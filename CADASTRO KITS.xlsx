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69c8738e02b05c/Documentos/Claude/Projects/WMS Kiwkiw/"/>
    </mc:Choice>
  </mc:AlternateContent>
  <xr:revisionPtr revIDLastSave="3" documentId="8_{F55AD854-235E-44E8-9478-1EA135BFEC34}" xr6:coauthVersionLast="47" xr6:coauthVersionMax="47" xr10:uidLastSave="{EEEF5C69-551E-44D7-BB5B-95F8113ED029}"/>
  <bookViews>
    <workbookView xWindow="43080" yWindow="-120" windowWidth="29040" windowHeight="15720" xr2:uid="{0C1AD92B-0684-48A4-897A-B3E7AAEAB0DE}"/>
  </bookViews>
  <sheets>
    <sheet name="CADASTRO KIT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3" i="1" l="1"/>
  <c r="E52" i="1"/>
  <c r="E48" i="1"/>
  <c r="E40" i="1"/>
  <c r="C40" i="1"/>
  <c r="K38" i="1"/>
  <c r="H38" i="1"/>
  <c r="E38" i="1"/>
  <c r="K37" i="1"/>
  <c r="H37" i="1"/>
  <c r="E37" i="1"/>
  <c r="Q36" i="1"/>
  <c r="N36" i="1"/>
  <c r="K36" i="1"/>
  <c r="H36" i="1"/>
  <c r="E36" i="1"/>
  <c r="K35" i="1"/>
  <c r="H35" i="1"/>
  <c r="E35" i="1"/>
  <c r="C35" i="1"/>
  <c r="H34" i="1"/>
  <c r="E34" i="1"/>
  <c r="C34" i="1"/>
  <c r="K33" i="1"/>
  <c r="H33" i="1"/>
  <c r="E33" i="1"/>
  <c r="C33" i="1"/>
  <c r="H32" i="1"/>
  <c r="E32" i="1"/>
  <c r="C32" i="1"/>
  <c r="E31" i="1"/>
  <c r="C31" i="1"/>
  <c r="E30" i="1"/>
  <c r="C30" i="1"/>
  <c r="H29" i="1"/>
  <c r="E29" i="1"/>
  <c r="H28" i="1"/>
  <c r="E28" i="1"/>
  <c r="E27" i="1"/>
  <c r="K26" i="1"/>
  <c r="H26" i="1"/>
  <c r="E26" i="1"/>
  <c r="H25" i="1"/>
  <c r="E25" i="1"/>
  <c r="E24" i="1"/>
  <c r="H23" i="1"/>
  <c r="E23" i="1"/>
  <c r="C23" i="1"/>
  <c r="E22" i="1"/>
  <c r="C22" i="1"/>
  <c r="E21" i="1"/>
  <c r="C21" i="1"/>
  <c r="H20" i="1"/>
  <c r="E20" i="1"/>
  <c r="C20" i="1"/>
  <c r="H19" i="1"/>
  <c r="E19" i="1"/>
  <c r="C19" i="1"/>
  <c r="H18" i="1"/>
  <c r="E18" i="1"/>
  <c r="C18" i="1"/>
  <c r="H17" i="1"/>
  <c r="E17" i="1"/>
  <c r="C17" i="1"/>
  <c r="H16" i="1"/>
  <c r="E16" i="1"/>
  <c r="C16" i="1"/>
  <c r="H15" i="1"/>
  <c r="E15" i="1"/>
  <c r="C15" i="1"/>
  <c r="H14" i="1"/>
  <c r="E14" i="1"/>
  <c r="C14" i="1"/>
  <c r="E13" i="1"/>
  <c r="C13" i="1"/>
  <c r="E12" i="1"/>
  <c r="E11" i="1"/>
  <c r="C11" i="1"/>
  <c r="E10" i="1"/>
  <c r="C10" i="1"/>
  <c r="E9" i="1"/>
  <c r="C9" i="1"/>
  <c r="E8" i="1"/>
  <c r="C8" i="1"/>
  <c r="E7" i="1"/>
  <c r="C7" i="1"/>
  <c r="E6" i="1"/>
  <c r="C6" i="1"/>
  <c r="H5" i="1"/>
  <c r="E5" i="1"/>
  <c r="C5" i="1"/>
  <c r="H4" i="1"/>
  <c r="E4" i="1"/>
  <c r="C4" i="1"/>
</calcChain>
</file>

<file path=xl/sharedStrings.xml><?xml version="1.0" encoding="utf-8"?>
<sst xmlns="http://schemas.openxmlformats.org/spreadsheetml/2006/main" count="752" uniqueCount="370">
  <si>
    <t>CLIENTE</t>
  </si>
  <si>
    <t>DE</t>
  </si>
  <si>
    <t>PARA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</si>
  <si>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</si>
  <si>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</si>
  <si>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</si>
  <si>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</si>
  <si>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</si>
  <si>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</si>
  <si>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</si>
  <si>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</si>
  <si>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</si>
  <si>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</si>
  <si>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</si>
  <si>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SKU Kit</t>
  </si>
  <si>
    <t>Nome</t>
  </si>
  <si>
    <t>SKU</t>
  </si>
  <si>
    <t>NOME</t>
  </si>
  <si>
    <t>QUANTIDADE</t>
  </si>
  <si>
    <t>Dita Cuja</t>
  </si>
  <si>
    <t>T23X2SS3NM</t>
  </si>
  <si>
    <t>MP6ESE20TK</t>
  </si>
  <si>
    <t>GR8VDOTOR4</t>
  </si>
  <si>
    <t>J749NQSIWD</t>
  </si>
  <si>
    <t>8RYMYQ4R10</t>
  </si>
  <si>
    <t>968BRIP1ZG</t>
  </si>
  <si>
    <t>AZXVGHHY3</t>
  </si>
  <si>
    <t>708HUYQW3K</t>
  </si>
  <si>
    <t>E3832ZXIIF</t>
  </si>
  <si>
    <t>FYRMKSNLMP</t>
  </si>
  <si>
    <t>R8UHWI83DT</t>
  </si>
  <si>
    <t>10 Amostras gratis - Consultorios e clinicas</t>
  </si>
  <si>
    <t>AMOSTRA</t>
  </si>
  <si>
    <t>EV357X416D</t>
  </si>
  <si>
    <t>BWQWDJL1E9</t>
  </si>
  <si>
    <t>IPHWKVW4JJ</t>
  </si>
  <si>
    <t>R5GQXVKJSG</t>
  </si>
  <si>
    <t>GE55Q85NGF</t>
  </si>
  <si>
    <t>5LJTMUSOVE</t>
  </si>
  <si>
    <t>PCBSO1QNQO</t>
  </si>
  <si>
    <t>CXBB17HA0P</t>
  </si>
  <si>
    <t>GKIC7VTSOO</t>
  </si>
  <si>
    <t>QFLY4DF0UW</t>
  </si>
  <si>
    <t>M3YJWLKLZ1</t>
  </si>
  <si>
    <t>8IKZERU1OB</t>
  </si>
  <si>
    <t>7JSC2HKWN</t>
  </si>
  <si>
    <t>10THRJJWRB</t>
  </si>
  <si>
    <t>Espuma Natural de Higiene Íntima + REFIL 300ml (Clube de Benefícios)</t>
  </si>
  <si>
    <t>BXSSX6YK6C</t>
  </si>
  <si>
    <t>Refil Espuma Suave Dita Cuja</t>
  </si>
  <si>
    <t>2ZU65L74GT</t>
  </si>
  <si>
    <t>Kit Ritual Relax (Clube de Benefícios)</t>
  </si>
  <si>
    <t>BRR7YZD7BF</t>
  </si>
  <si>
    <t>Dupla Perfeita + Refil (Clube de Benefícios)</t>
  </si>
  <si>
    <t>IQ4GB9NE6F</t>
  </si>
  <si>
    <t>2x REFIL Espuma Natural de Higiene Íntima (Clube de Benefícios)</t>
  </si>
  <si>
    <t>LXXAN3MG3V</t>
  </si>
  <si>
    <t>Kit Ritual Energia (Clube de Benefícios)</t>
  </si>
  <si>
    <t>IWFTGJXJG2</t>
  </si>
  <si>
    <t>Espuma Natural de Higiene Intima + REFIL 300ml</t>
  </si>
  <si>
    <t>AAGPK8MCBE</t>
  </si>
  <si>
    <t>NMZLW7EDTV</t>
  </si>
  <si>
    <t>GV5YZQKX8H</t>
  </si>
  <si>
    <t>TJ9LMA30RG</t>
  </si>
  <si>
    <t>MARMKSJLLD</t>
  </si>
  <si>
    <t>FDGJUVR5DM</t>
  </si>
  <si>
    <t>EQXJSPFCF3</t>
  </si>
  <si>
    <t>QJ3UCPLV4J</t>
  </si>
  <si>
    <t>ZAYAZ</t>
  </si>
  <si>
    <t>kitdifusorwax00</t>
  </si>
  <si>
    <t>kit difusor de aromas + trio wax melts.</t>
  </si>
  <si>
    <t>000144600043</t>
  </si>
  <si>
    <t>000144597022</t>
  </si>
  <si>
    <t>000144602986</t>
  </si>
  <si>
    <t>001530804168</t>
  </si>
  <si>
    <t>000144601118</t>
  </si>
  <si>
    <t>triowaxmelts00</t>
  </si>
  <si>
    <t>kit trio wax melts.</t>
  </si>
  <si>
    <t>kittrioblends00</t>
  </si>
  <si>
    <t>kit trio de blends de óleos essenciais.</t>
  </si>
  <si>
    <t>000144584435</t>
  </si>
  <si>
    <t>000144583056</t>
  </si>
  <si>
    <t>000144583964</t>
  </si>
  <si>
    <t>kitamour00</t>
  </si>
  <si>
    <t>kit Amour.</t>
  </si>
  <si>
    <t>hsA000144600</t>
  </si>
  <si>
    <t>home mist Amour.</t>
  </si>
  <si>
    <t>000144592782</t>
  </si>
  <si>
    <t>vela aromática Amour. (glow)</t>
  </si>
  <si>
    <t>000144588969</t>
  </si>
  <si>
    <t>aromatizador de ambiente Amour.</t>
  </si>
  <si>
    <t>P00014460004</t>
  </si>
  <si>
    <t>BRINDE: prendedor</t>
  </si>
  <si>
    <t>COAOYGSY8R</t>
  </si>
  <si>
    <t>NOWDAYS</t>
  </si>
  <si>
    <t>2 Porta-Beck</t>
  </si>
  <si>
    <t>The Duo</t>
  </si>
  <si>
    <t>PBECK</t>
  </si>
  <si>
    <t>porta beck</t>
  </si>
  <si>
    <t>Elfuego colar+Portabeck</t>
  </si>
  <si>
    <t>Kit tudinho (elfuego colar dorado+porta beck rosa)</t>
  </si>
  <si>
    <t>CASEISQ1</t>
  </si>
  <si>
    <t>el-fuego colar dourado</t>
  </si>
  <si>
    <t>Elfuego chain+Portabeck</t>
  </si>
  <si>
    <t>Kit tudinho (elfuego chaveiro+porta beck rosa)</t>
  </si>
  <si>
    <t>FUEGOKEYCHAIN</t>
  </si>
  <si>
    <t>el-fuego chaveiro</t>
  </si>
  <si>
    <t>Elfuego prata+Portabeck</t>
  </si>
  <si>
    <t>Kit tudinho (elfuego colar prata+porta beck rosa)</t>
  </si>
  <si>
    <t>ISQPRATA</t>
  </si>
  <si>
    <t>el-fuego prata</t>
  </si>
  <si>
    <t>HQOMWGC892</t>
  </si>
  <si>
    <t>5 x Espumas de Higiene Intima - SENSITIVE  Revenda Dita Cuja</t>
  </si>
  <si>
    <t>Espuma Natural de Higiene Intima - SENSITIVE</t>
  </si>
  <si>
    <t>DCE8Y147A3</t>
  </si>
  <si>
    <t>5 x Refil para Espuma de Higiene Intima - SENSITIVE  Revenda Dita Cuja</t>
  </si>
  <si>
    <t>TYQQW8ZK7A</t>
  </si>
  <si>
    <t>REFIL Espuma Natural de Higiene SENSITIVE</t>
  </si>
  <si>
    <t>3YU8QKZ0EU</t>
  </si>
  <si>
    <t>2 Unidades Shot Intimo para Imunidade</t>
  </si>
  <si>
    <t>HETASKIC8A</t>
  </si>
  <si>
    <t>Shot Intimo para Imunidade</t>
  </si>
  <si>
    <t>9PIG4XAFC3</t>
  </si>
  <si>
    <t>5 Saches p/ Viagem Serum Intimo</t>
  </si>
  <si>
    <t>Feel</t>
  </si>
  <si>
    <t>KIT-SAB-DOBRO</t>
  </si>
  <si>
    <t>Sabonete Íntimo em Dobro</t>
  </si>
  <si>
    <t>SIF 150</t>
  </si>
  <si>
    <t>Sabonete Intimo Feel</t>
  </si>
  <si>
    <t>KIT-LUBE-COM-SEM-PER-F</t>
  </si>
  <si>
    <t>Kit Lubrificante sem perfume + lubrificante com perfume</t>
  </si>
  <si>
    <t>GH MF 50</t>
  </si>
  <si>
    <t>Lubrificante e Hidratante Intimo Feel</t>
  </si>
  <si>
    <t>LUBE-SEM-PER-F</t>
  </si>
  <si>
    <t>Lubrificante e Hidratante Íntimo Sem Perfume</t>
  </si>
  <si>
    <t>KIT-JORN-COMP</t>
  </si>
  <si>
    <t>Kit Feel Jornada Completa</t>
  </si>
  <si>
    <t>EXCT LUBE 30</t>
  </si>
  <si>
    <t>Excitante Lubrificante Intimo Feel</t>
  </si>
  <si>
    <t>BL RF 30</t>
  </si>
  <si>
    <t>Oleo Feel</t>
  </si>
  <si>
    <t>G4MLO8TI13</t>
  </si>
  <si>
    <t>10 x Espumas de Higiene Intima - SENSITIVE  Revenda Dita Cuja</t>
  </si>
  <si>
    <t>8IJGOBUSRK</t>
  </si>
  <si>
    <t>5 Saches p/ Viagem Serum Intimo (100% off)</t>
  </si>
  <si>
    <t>KIT-LIMP</t>
  </si>
  <si>
    <t xml:space="preserve">Kit Limpeza </t>
  </si>
  <si>
    <t>SAB-NOVO</t>
  </si>
  <si>
    <t>SABONETE ÍNTIMO FEEL 120ml - Nova Embalagem</t>
  </si>
  <si>
    <t>AC OLEO FEEL</t>
  </si>
  <si>
    <t>comboduovelas</t>
  </si>
  <si>
    <t>combo duo velas Amour e Oceano.</t>
  </si>
  <si>
    <t>000144592744</t>
  </si>
  <si>
    <t>vela aromática Oceano. (glow)</t>
  </si>
  <si>
    <t>duoamourpixie</t>
  </si>
  <si>
    <t>duo velas Pixie Dust e Amour.</t>
  </si>
  <si>
    <t>000146760745</t>
  </si>
  <si>
    <t>vela aromática Pixie Dust. (glow)</t>
  </si>
  <si>
    <t>duopixieoceano</t>
  </si>
  <si>
    <t>duo velas Pixie Dust e Oceano.</t>
  </si>
  <si>
    <t>triovelas</t>
  </si>
  <si>
    <t>trio velas aromáticas glow.</t>
  </si>
  <si>
    <t>kitdifusorluckyera</t>
  </si>
  <si>
    <t>kit difusor Lucky Era + trio wax melts.</t>
  </si>
  <si>
    <t>HMYHG2386-L</t>
  </si>
  <si>
    <t>difusor de aromas Lucky Era.</t>
  </si>
  <si>
    <t>wax melts Lavender &amp; Sandalwood.</t>
  </si>
  <si>
    <t>wax melts bothanical.</t>
  </si>
  <si>
    <t>wax melts Amour.</t>
  </si>
  <si>
    <t>kit 5 velas réchaud.</t>
  </si>
  <si>
    <t>TRIO VELAS</t>
  </si>
  <si>
    <t>OG KUSH</t>
  </si>
  <si>
    <t>VELA OG KUSH</t>
  </si>
  <si>
    <t>SANTAL 420</t>
  </si>
  <si>
    <t>VELA SANTAL 420</t>
  </si>
  <si>
    <t>BLK VANILLA</t>
  </si>
  <si>
    <t>VELA BLK VANILLA</t>
  </si>
  <si>
    <t>TOTE KUSH</t>
  </si>
  <si>
    <t>icecreamtrio</t>
  </si>
  <si>
    <t>ice cream trio wax melts.</t>
  </si>
  <si>
    <t>644625560367</t>
  </si>
  <si>
    <t>wax melts Warm Vanilla</t>
  </si>
  <si>
    <t>644625553673</t>
  </si>
  <si>
    <t>Wax Melts Pistachio Cream</t>
  </si>
  <si>
    <t>000144600715</t>
  </si>
  <si>
    <t>wax melts Caramel Coffee.</t>
  </si>
  <si>
    <t>kitluckyicecream</t>
  </si>
  <si>
    <t>kit difusor Lucky Era + ice cream trio.</t>
  </si>
  <si>
    <t>kitoceano00</t>
  </si>
  <si>
    <t>kit Oceano Experience.</t>
  </si>
  <si>
    <t>hsB000144601</t>
  </si>
  <si>
    <t>home mist Oceano.</t>
  </si>
  <si>
    <t>000144588754</t>
  </si>
  <si>
    <t>aromatizador de ambiente Oceano.</t>
  </si>
  <si>
    <t>kitlavender00</t>
  </si>
  <si>
    <t>kit Lavender &amp; Sandalwood experience.</t>
  </si>
  <si>
    <t>hsL000144602</t>
  </si>
  <si>
    <t>home mist Lavender &amp; Sandalwood.</t>
  </si>
  <si>
    <t>644625566864</t>
  </si>
  <si>
    <t>aromatizador de ambiente Lavender &amp; Sandalwood.</t>
  </si>
  <si>
    <t>kitrainyroses</t>
  </si>
  <si>
    <t>kit Rainy Roses.</t>
  </si>
  <si>
    <t>RR644625904</t>
  </si>
  <si>
    <t>vela aromática Rainy Roses 300g - Limited Edition.</t>
  </si>
  <si>
    <t>HMR000144604</t>
  </si>
  <si>
    <t>home mist Rainy Roses.</t>
  </si>
  <si>
    <t>thefullselfcarekit</t>
  </si>
  <si>
    <t>the full self-care kit.</t>
  </si>
  <si>
    <t>blend de óleos essenciais calm + focus.</t>
  </si>
  <si>
    <t>blend de óleos essenciais goodnight.</t>
  </si>
  <si>
    <t>blend de óleos essenciais energy.</t>
  </si>
  <si>
    <t>duorainyechampagne</t>
  </si>
  <si>
    <t>duo velas Special Edition - 300g.</t>
  </si>
  <si>
    <t>644625844757</t>
  </si>
  <si>
    <t>vela aromática Champagne Flower 300g - Limited Edition.</t>
  </si>
  <si>
    <t>OG MOM CINZEIRO</t>
  </si>
  <si>
    <t>CINZEIRO</t>
  </si>
  <si>
    <t>CASE EL-FUEGO</t>
  </si>
  <si>
    <t>OG MOM INCENSARIO</t>
  </si>
  <si>
    <t>INCENSARIO</t>
  </si>
  <si>
    <t>HEALTHY MOM KUSH</t>
  </si>
  <si>
    <t>TERMICA</t>
  </si>
  <si>
    <t>GARRAFA TERMICA</t>
  </si>
  <si>
    <t>HEALTHY MOM SATIVA</t>
  </si>
  <si>
    <t>TOTE SATIVA</t>
  </si>
  <si>
    <t>TOTE</t>
  </si>
  <si>
    <t>WELLNESS MOM OG KUSH</t>
  </si>
  <si>
    <t>WELLNESS MOM SANTAL 420</t>
  </si>
  <si>
    <t>WELLNESS MOM BLK VANILLA</t>
  </si>
  <si>
    <t>CHILL MOM PUFF PUFF P</t>
  </si>
  <si>
    <t>PUFFP</t>
  </si>
  <si>
    <t>PUFF PUFF P</t>
  </si>
  <si>
    <t>CHILL MOM PUFF PUFF M</t>
  </si>
  <si>
    <t>PUFFM</t>
  </si>
  <si>
    <t>PUFF PUFF M</t>
  </si>
  <si>
    <t>CHILL MOM PUFF PUFF G</t>
  </si>
  <si>
    <t>PUFFG</t>
  </si>
  <si>
    <t>PUFF PUFF G</t>
  </si>
  <si>
    <t>CHILL MOM PUFF PUFF GG</t>
  </si>
  <si>
    <t>PUFFGG</t>
  </si>
  <si>
    <t>PUFF PUFF GG</t>
  </si>
  <si>
    <t>DRIP MOM SHADES MARROM</t>
  </si>
  <si>
    <t>CARTOES</t>
  </si>
  <si>
    <t>PORTA CARTOES</t>
  </si>
  <si>
    <t>BROWNSUNGLASSES</t>
  </si>
  <si>
    <t>NOWDAYS BROWN SUNGLASSES</t>
  </si>
  <si>
    <t>DRIP MOM SHADES PRETO</t>
  </si>
  <si>
    <t>BLACK SUNGLASSES</t>
  </si>
  <si>
    <t>NOWDAYS BLACK SUNGLASSES</t>
  </si>
  <si>
    <t>COZY MOM KUSH</t>
  </si>
  <si>
    <t>COZY MOM</t>
  </si>
  <si>
    <t>TAPETE</t>
  </si>
  <si>
    <t>TAPETE GET BAKED</t>
  </si>
  <si>
    <t>COZY MOM SATIVA</t>
  </si>
  <si>
    <t>KIT-LD</t>
  </si>
  <si>
    <t>Kit 2 Lubrificantes Íntimo Vaginal Hidratante Sem Perfume</t>
  </si>
  <si>
    <t>Lubrificante Hidratante Íntimo Feminino Sem Perfume</t>
  </si>
  <si>
    <t>KIT-LB</t>
  </si>
  <si>
    <t>Kit Lubrificação Molhadinho Gel Deslizante Natural E Lubrificante Íntimo</t>
  </si>
  <si>
    <t>GEL-REF</t>
  </si>
  <si>
    <t>Gel Íntimo Deslizante Refrescante Feminino Vegano Natural</t>
  </si>
  <si>
    <t>IVI5DO5HG9</t>
  </si>
  <si>
    <t>10 x Refil para Espuma de Higiene Intima - SENSITIVE  Revenda Dita Cuja</t>
  </si>
  <si>
    <t>HAIRCEUTICO</t>
  </si>
  <si>
    <t>Haircēutico 3 unidades</t>
  </si>
  <si>
    <t>HCT00017_8</t>
  </si>
  <si>
    <t>Haircēutico Suplemento Capilar</t>
  </si>
  <si>
    <t>Haircēutico 6 unidades</t>
  </si>
  <si>
    <t>Haircēutico 1 unidade</t>
  </si>
  <si>
    <t>kitpistachiocream</t>
  </si>
  <si>
    <t>kit Pistachio Cream.</t>
  </si>
  <si>
    <t>hsP000144614</t>
  </si>
  <si>
    <t>home mist Pistachio Cream.</t>
  </si>
  <si>
    <t>644625904390</t>
  </si>
  <si>
    <t>vela aromática Pistachio Cream 300g.</t>
  </si>
  <si>
    <t>duolavenderamour</t>
  </si>
  <si>
    <t>duo Lavender &amp; Sandalwood + Amour.</t>
  </si>
  <si>
    <t>ecL000144611</t>
  </si>
  <si>
    <t>essência concentrada Lavender &amp; Sandalwood.</t>
  </si>
  <si>
    <t>ecA000144609</t>
  </si>
  <si>
    <t>essência concentrada Amour.</t>
  </si>
  <si>
    <t>duoovanillapistachio</t>
  </si>
  <si>
    <t>duo Creamy Vanilla + Pistachio Cream.</t>
  </si>
  <si>
    <t>ecV000144608</t>
  </si>
  <si>
    <t>essência concentrada Creamy Vanilla.</t>
  </si>
  <si>
    <t>ecP000144612</t>
  </si>
  <si>
    <t>essência concentrada Pistachio Cream.</t>
  </si>
  <si>
    <t>duococonutmacchiato</t>
  </si>
  <si>
    <t>duo Coconut + Caramel Macchiato.</t>
  </si>
  <si>
    <t>ecC000144613</t>
  </si>
  <si>
    <t>essência concentrada Caramel Macchiato.</t>
  </si>
  <si>
    <t>DEZ000144710</t>
  </si>
  <si>
    <t>essência concentrada Coconut Lemonade.</t>
  </si>
  <si>
    <t>kitseredipitydifusor</t>
  </si>
  <si>
    <t>kit essências Serendipity + Difusor Elétrico.</t>
  </si>
  <si>
    <t>1000144710004</t>
  </si>
  <si>
    <t>difusor elétrico wellness (pocket).</t>
  </si>
  <si>
    <t>kitsweetdifusor</t>
  </si>
  <si>
    <t>kit essências Ice Cream + Difusor Elétrico.</t>
  </si>
  <si>
    <t>comboessenciasdifusor</t>
  </si>
  <si>
    <t>combo 6 essências concentradas + Difusor Elétrico.</t>
  </si>
  <si>
    <t>PUDIM BEAUTY</t>
  </si>
  <si>
    <t>PB-KIT1-EP</t>
  </si>
  <si>
    <t>Pudim Beauty - KIT BEIJINHO + PEQUIZINHO + ARRASEI + BRINDE NECESSAIRE</t>
  </si>
  <si>
    <t>PB-BOLUSH-BEIJINHO-EP</t>
  </si>
  <si>
    <t>Pudim Beauty Bolush - Blush Cremoso Multifuncional BEIJINHO - 12g</t>
  </si>
  <si>
    <t>PB-PEQUIZINHO-EP</t>
  </si>
  <si>
    <t>Pudim Beauty Pequizinho - Lip Oil - 5g</t>
  </si>
  <si>
    <t>PB-PGLOSS-ARRASEI-EP</t>
  </si>
  <si>
    <t>Pudim Beauty PurpuriGloss -  ARRASEI - 5g</t>
  </si>
  <si>
    <t>NECESSAIRE-PUFF--EP</t>
  </si>
  <si>
    <t>NECESSAIRE PUFF KIT EPOCA- PUDIM BEAUTY</t>
  </si>
  <si>
    <t>PB-KIT2-EP</t>
  </si>
  <si>
    <t>Pudim Beauty - KIT COCADA + PEQUIZINHO + ARRASEI + BRINDE NECESSAIRE</t>
  </si>
  <si>
    <t>PB-BOLUSH-COCADA-EP</t>
  </si>
  <si>
    <t>Pudim Beauty Bolush - Blush Cremoso Multifuncional COCADA - 12g</t>
  </si>
  <si>
    <t>PB-KIT3-EP</t>
  </si>
  <si>
    <t>Pudim Beauty - KIT GOIABA + PEQUIZINHO + ARRASEI + BRINDE NECESSAIRE</t>
  </si>
  <si>
    <t>PB-BOLUSH-GOIABADA-EP</t>
  </si>
  <si>
    <t>Pudim Beauty Bolush - Blush Cremoso Multifuncional GOIABADA - 12g</t>
  </si>
  <si>
    <t>PB-KIT4-EP</t>
  </si>
  <si>
    <t>Pudim Beauty - KIT ALGODÃO DOCE + PEQUIZINHO + ARRASEI + BRINDE NECESSAIRE</t>
  </si>
  <si>
    <t>PB-BOLUSH-ALGODAODOCE-EP</t>
  </si>
  <si>
    <t>Pudim Beauty Bolush - Blush Cremoso Multifuncional ALGODÃO DOCE - 12g</t>
  </si>
  <si>
    <t>mystery A</t>
  </si>
  <si>
    <t>mystery bag - A:3 itens</t>
  </si>
  <si>
    <t>Porta Isqueiro El-Fuego Estilo:Colar</t>
  </si>
  <si>
    <t>puffg</t>
  </si>
  <si>
    <t>SALE PUFF PUFF TEE Tamanho:G</t>
  </si>
  <si>
    <t>100001201</t>
  </si>
  <si>
    <t>Chaveiro Highly Honest Ilustralle + Nowdays</t>
  </si>
  <si>
    <t>mystery B</t>
  </si>
  <si>
    <t>mystery bag - B:3 itens</t>
  </si>
  <si>
    <t>Kush ToteBag</t>
  </si>
  <si>
    <t>890072211119</t>
  </si>
  <si>
    <t>Jogo de Cartas Let's Talk High Ilustralle + Nowdays</t>
  </si>
  <si>
    <t>mystery C</t>
  </si>
  <si>
    <t>mystery bag - C:3 itens</t>
  </si>
  <si>
    <t>KITHASH</t>
  </si>
  <si>
    <t>Kit Hash</t>
  </si>
  <si>
    <t>Kush aba long</t>
  </si>
  <si>
    <t>Kush Boné Dad hat</t>
  </si>
  <si>
    <t>mystery D</t>
  </si>
  <si>
    <t>mystery bag - D:3 itens</t>
  </si>
  <si>
    <t>100001203</t>
  </si>
  <si>
    <t>Caderno Highly Honest Ilustralle + Nowdays</t>
  </si>
  <si>
    <t>kittokyosantal</t>
  </si>
  <si>
    <t>kit vela + essencia concentrada Tokyo Santal.</t>
  </si>
  <si>
    <t>VTS000144622</t>
  </si>
  <si>
    <t>vela aromatica Tokyo Santal.</t>
  </si>
  <si>
    <t>ecS000144621</t>
  </si>
  <si>
    <t>essencia concentrada Tokyo Santal.</t>
  </si>
  <si>
    <t>kitsublime</t>
  </si>
  <si>
    <t>kit essências Sublime + Difusor Elétrico.</t>
  </si>
  <si>
    <t>esS000144615</t>
  </si>
  <si>
    <t>essencia concentrada Smoky Vanilla.</t>
  </si>
  <si>
    <t>esR000144614</t>
  </si>
  <si>
    <t>essência concentrada Roses &amp; Rain.</t>
  </si>
  <si>
    <t>KIT COMPLETO rose</t>
  </si>
  <si>
    <t>KIT COMP vidro rose</t>
  </si>
  <si>
    <t>BONG rose</t>
  </si>
  <si>
    <t>BONG vidro rose</t>
  </si>
  <si>
    <t>PIPE+CINZEIRO rose</t>
  </si>
  <si>
    <t>PIPE + CINZEIRO vidro rose</t>
  </si>
  <si>
    <t>KIT COMPLETO azul</t>
  </si>
  <si>
    <t>KIT COMP vidro azul</t>
  </si>
  <si>
    <t>BONG azul</t>
  </si>
  <si>
    <t>BONG vidro azul</t>
  </si>
  <si>
    <t>PIPE+CINZEIRO azul</t>
  </si>
  <si>
    <t>PIPE + CINZEIRO vidro 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</si>
</sst>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6" borderId="0" xfId="0" applyFill="1" applyAlignment="1">
      <alignment horizontal="center"/>
    </xf>
    <xf numFmtId="49" fontId="0" fillId="7" borderId="1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4" xfId="0" applyFill="1" applyBorder="1" applyAlignment="1">
      <alignment horizontal="center"/>
    </xf>
    <xf numFmtId="49" fontId="0" fillId="0" borderId="0" xfId="0" applyNumberFormat="1"/>
    <xf numFmtId="49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49" fontId="0" fillId="0" borderId="1" xfId="0" applyNumberFormat="1" applyBorder="1"/>
    <xf numFmtId="0" fontId="0" fillId="0" borderId="2" xfId="0" applyBorder="1"/>
    <xf numFmtId="0" fontId="0" fillId="0" borderId="3" xfId="0" applyBorder="1"/>
    <xf numFmtId="49" fontId="0" fillId="0" borderId="5" xfId="0" applyNumberFormat="1" applyBorder="1"/>
    <xf numFmtId="0" fontId="0" fillId="0" borderId="4" xfId="0" applyBorder="1"/>
    <xf numFmtId="49" fontId="0" fillId="0" borderId="0" xfId="0" applyNumberFormat="1" applyAlignment="1">
      <alignment horizontal="center"/>
    </xf>
    <xf numFmtId="49" fontId="4" fillId="0" borderId="5" xfId="0" applyNumberFormat="1" applyFont="1" applyBorder="1"/>
    <xf numFmtId="49" fontId="4" fillId="0" borderId="0" xfId="0" applyNumberFormat="1" applyFont="1"/>
    <xf numFmtId="0" fontId="1" fillId="8" borderId="0" xfId="0" applyFont="1" applyFill="1"/>
    <xf numFmtId="49" fontId="5" fillId="9" borderId="5" xfId="0" applyNumberFormat="1" applyFont="1" applyFill="1" applyBorder="1" applyAlignment="1">
      <alignment horizontal="left"/>
    </xf>
    <xf numFmtId="49" fontId="1" fillId="0" borderId="0" xfId="0" applyNumberFormat="1" applyFont="1"/>
    <xf numFmtId="49" fontId="1" fillId="0" borderId="5" xfId="0" applyNumberFormat="1" applyFont="1" applyBorder="1"/>
    <xf numFmtId="0" fontId="6" fillId="8" borderId="0" xfId="0" applyFont="1" applyFill="1"/>
    <xf numFmtId="49" fontId="0" fillId="0" borderId="6" xfId="0" applyNumberFormat="1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7" fillId="10" borderId="9" xfId="0" applyFont="1" applyFill="1" applyBorder="1" applyAlignment="1" applyProtection="1">
      <alignment wrapText="1"/>
      <protection hidden="1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&#193;rea%20de%20Trabalho/MANUSEIO/TRATAMENTO%20KITS.xlsm" TargetMode="External"/><Relationship Id="rId2" Type="http://schemas.openxmlformats.org/officeDocument/2006/relationships/externalLinkPath" Target="https://d.docs.live.net/7c69c8738e02b05c/&#193;rea%20de%20Trabalho/MANUSEIO/TRATAMENTO%20KITS.xlsm" TargetMode="External"/><Relationship Id="rId1" Type="http://schemas.openxmlformats.org/officeDocument/2006/relationships/externalLinkPath" Target="/7c69c8738e02b05c/&#193;rea%20de%20Trabalho/MANUSEIO/TRATAMENTO%20KIT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PUT"/>
      <sheetName val="OUTPUT"/>
      <sheetName val="CADASTRO PRODUTOS"/>
      <sheetName val="ANTIGOS"/>
      <sheetName val="CADASTRO KITS"/>
      <sheetName val="ACERTO SKU"/>
      <sheetName val="SUPORTE"/>
    </sheetNames>
    <sheetDataSet>
      <sheetData sheetId="0" refreshError="1"/>
      <sheetData sheetId="1" refreshError="1"/>
      <sheetData sheetId="2">
        <row r="2">
          <cell r="E2" t="str">
            <v>SKU</v>
          </cell>
          <cell r="F2" t="str">
            <v>Cliente</v>
          </cell>
          <cell r="G2" t="str">
            <v>Nome</v>
          </cell>
        </row>
        <row r="3">
          <cell r="E3" t="str">
            <v>8RYMYQ4R10</v>
          </cell>
          <cell r="F3" t="str">
            <v>DITA COSMETICOS LTDA</v>
          </cell>
          <cell r="G3" t="str">
            <v>10 x Espuma Natural de Higiene Intima  Revenda Dita Cuja</v>
          </cell>
        </row>
        <row r="4">
          <cell r="E4" t="str">
            <v>968BRIP1ZG</v>
          </cell>
          <cell r="F4" t="str">
            <v>DITA COSMETICOS LTDA</v>
          </cell>
          <cell r="G4" t="str">
            <v>10 x Serum Intimo Anti-Idade 12 em 1  Revenda Dita Cuja</v>
          </cell>
        </row>
        <row r="5">
          <cell r="E5" t="str">
            <v>AZXVGHHY3</v>
          </cell>
          <cell r="F5" t="str">
            <v>DITA COSMETICOS LTDA</v>
          </cell>
          <cell r="G5" t="str">
            <v>2x Serum Intimo Anti-Idade 12 em 1</v>
          </cell>
        </row>
        <row r="6">
          <cell r="E6" t="str">
            <v>R8UHWI83DT</v>
          </cell>
          <cell r="F6" t="str">
            <v>DITA COSMETICOS LTDA</v>
          </cell>
          <cell r="G6" t="str">
            <v>20 Amostras gratis - Consultorios e clinicas</v>
          </cell>
        </row>
        <row r="7">
          <cell r="E7" t="str">
            <v>708HUYQW3K</v>
          </cell>
          <cell r="F7" t="str">
            <v>DITA COSMETICOS LTDA</v>
          </cell>
          <cell r="G7" t="str">
            <v>3X Serum Intimo Anti-Idade 12 em 1</v>
          </cell>
        </row>
        <row r="8">
          <cell r="E8" t="str">
            <v>BR02</v>
          </cell>
          <cell r="F8" t="str">
            <v>DITA COSMETICOS LTDA</v>
          </cell>
          <cell r="G8" t="str">
            <v>40 mini cards rosa</v>
          </cell>
        </row>
        <row r="9">
          <cell r="E9" t="str">
            <v>E3832ZXIIF</v>
          </cell>
          <cell r="F9" t="str">
            <v>DITA COSMETICOS LTDA</v>
          </cell>
          <cell r="G9" t="str">
            <v>5 x Espuma Natural de Higiene Intima  Revenda Dita Cuja</v>
          </cell>
        </row>
        <row r="10">
          <cell r="E10" t="str">
            <v>FYRMKSNLMP</v>
          </cell>
          <cell r="F10" t="str">
            <v>DITA COSMETICOS LTDA</v>
          </cell>
          <cell r="G10" t="str">
            <v>5 x Serum Intimo Anti-Idade 12 em 1  Revenda Dita Cuja</v>
          </cell>
        </row>
        <row r="11">
          <cell r="E11" t="str">
            <v>AMOSTRA</v>
          </cell>
          <cell r="F11" t="str">
            <v>DITA COSMETICOS LTDA</v>
          </cell>
          <cell r="G11" t="str">
            <v>Amostra Serum Intimo Dita Cuja 12 em 1</v>
          </cell>
        </row>
        <row r="12">
          <cell r="E12" t="str">
            <v>EV357X416D</v>
          </cell>
          <cell r="F12" t="str">
            <v>DITA COSMETICOS LTDA</v>
          </cell>
          <cell r="G12" t="str">
            <v>Combo 2x Espuma Natural de Higiene Intima</v>
          </cell>
        </row>
        <row r="13">
          <cell r="E13" t="str">
            <v>BWQWDJL1E9</v>
          </cell>
          <cell r="F13" t="str">
            <v>DITA COSMETICOS LTDA</v>
          </cell>
          <cell r="G13" t="str">
            <v>Combo 2X Serum + 1 Espuma Natural (Clube de Beneficios)</v>
          </cell>
        </row>
        <row r="14">
          <cell r="E14" t="str">
            <v>IPHWKVW4JJ</v>
          </cell>
          <cell r="F14" t="str">
            <v>DITA COSMETICOS LTDA</v>
          </cell>
          <cell r="G14" t="str">
            <v>Combo 2X Serum Intimo + 1 Espuma Natural</v>
          </cell>
        </row>
        <row r="15">
          <cell r="E15" t="str">
            <v>1420183</v>
          </cell>
          <cell r="F15" t="str">
            <v>DITA COSMETICOS LTDA</v>
          </cell>
          <cell r="G15" t="str">
            <v>DITACUJA SERUM INTIMO ANTI IDADE</v>
          </cell>
        </row>
        <row r="16">
          <cell r="E16" t="str">
            <v>1420184</v>
          </cell>
          <cell r="F16" t="str">
            <v>DITA COSMETICOS LTDA</v>
          </cell>
          <cell r="G16" t="str">
            <v>DITACUJA SERUM INTIMO ANTI IDADE (Galao)</v>
          </cell>
        </row>
        <row r="17">
          <cell r="E17" t="str">
            <v>J749NQSIWD</v>
          </cell>
          <cell r="F17" t="str">
            <v>DITA COSMETICOS LTDA</v>
          </cell>
          <cell r="G17" t="str">
            <v>Dupla Perfeita (1 Espuma Natural de Higiene Intima + 1 Serum Intimo Anti-Idade)</v>
          </cell>
        </row>
        <row r="18">
          <cell r="E18" t="str">
            <v>T23X2SS3NM</v>
          </cell>
          <cell r="F18" t="str">
            <v>DITA COSMETICOS LTDA</v>
          </cell>
          <cell r="G18" t="str">
            <v>Dupla Perfeita (Clube de Beneficios)</v>
          </cell>
        </row>
        <row r="19">
          <cell r="E19" t="str">
            <v>BR03</v>
          </cell>
          <cell r="F19" t="str">
            <v>DITA COSMETICOS LTDA</v>
          </cell>
          <cell r="G19" t="str">
            <v>Espelho Brinde</v>
          </cell>
        </row>
        <row r="20">
          <cell r="E20" t="str">
            <v>MP6ESE20TK</v>
          </cell>
          <cell r="F20" t="str">
            <v>DITA COSMETICOS LTDA</v>
          </cell>
          <cell r="G20" t="str">
            <v>Espuma Natural de Higiene Intima - ACTIVE</v>
          </cell>
        </row>
        <row r="21">
          <cell r="E21" t="str">
            <v>E9QOLP5HF1</v>
          </cell>
          <cell r="F21" t="str">
            <v>DITA COSMETICOS LTDA</v>
          </cell>
          <cell r="G21" t="str">
            <v>Espuma Natural de Higiene Intima</v>
          </cell>
        </row>
        <row r="22">
          <cell r="E22" t="str">
            <v>R5GQXVKJSG</v>
          </cell>
          <cell r="F22" t="str">
            <v>DITA COSMETICOS LTDA</v>
          </cell>
          <cell r="G22" t="str">
            <v>Kit Bem Estar Anual - 6 Serum Intimo+6 Espumas Naturais (Clube de Beneficios)</v>
          </cell>
        </row>
        <row r="23">
          <cell r="E23" t="str">
            <v>GE55Q85NGF</v>
          </cell>
          <cell r="F23" t="str">
            <v>DITA COSMETICOS LTDA</v>
          </cell>
          <cell r="G23" t="str">
            <v>Kit Bem Estar Anual (6 Serum Intimo + 6 Espumas Naturais)</v>
          </cell>
        </row>
        <row r="24">
          <cell r="E24" t="str">
            <v>5LJTMUSOVE - OLD</v>
          </cell>
          <cell r="F24" t="str">
            <v>DITA COSMETICOS LTDA</v>
          </cell>
          <cell r="G24" t="str">
            <v>Kit Mae e Filha  2 Seruns + 2 Espumas (Clube de Beneficios)</v>
          </cell>
        </row>
        <row r="25">
          <cell r="E25" t="str">
            <v>PCBSO1QNQO</v>
          </cell>
          <cell r="F25" t="str">
            <v>DITA COSMETICOS LTDA</v>
          </cell>
          <cell r="G25" t="str">
            <v>Kit Ritual Energia - Serum Intimo + Vela Corporal Energia</v>
          </cell>
        </row>
        <row r="26">
          <cell r="E26" t="str">
            <v>GKIC7VTSOO</v>
          </cell>
          <cell r="F26" t="str">
            <v>DITA COSMETICOS LTDA</v>
          </cell>
          <cell r="G26" t="str">
            <v>Kit Ritual Relax - Serum Intimo + Vela Corporal Relax</v>
          </cell>
        </row>
        <row r="27">
          <cell r="E27" t="str">
            <v>M3YJWLKLZ1</v>
          </cell>
          <cell r="F27" t="str">
            <v>DITA COSMETICOS LTDA</v>
          </cell>
          <cell r="G27" t="str">
            <v>Kit Serum em Dobro (2x Serum Intimo Anti-Idade 12 em 1)</v>
          </cell>
        </row>
        <row r="28">
          <cell r="E28" t="str">
            <v>8IKZERU1OB</v>
          </cell>
          <cell r="F28" t="str">
            <v>DITA COSMETICOS LTDA</v>
          </cell>
          <cell r="G28" t="str">
            <v>Kit Serum em Dobro (Clube de Beneficios)</v>
          </cell>
        </row>
        <row r="29">
          <cell r="E29" t="str">
            <v>BR01</v>
          </cell>
          <cell r="F29" t="str">
            <v>DITA COSMETICOS LTDA</v>
          </cell>
          <cell r="G29" t="str">
            <v>Necessaire Flor Brinde Dita Cuja</v>
          </cell>
        </row>
        <row r="30">
          <cell r="E30" t="str">
            <v>GR8VDOTOR4</v>
          </cell>
          <cell r="F30" t="str">
            <v>DITA COSMETICOS LTDA</v>
          </cell>
          <cell r="G30" t="str">
            <v>Serum Intimo Anti-Idade 12 em 1</v>
          </cell>
        </row>
        <row r="31">
          <cell r="E31" t="str">
            <v>R7U5RQFU4I</v>
          </cell>
          <cell r="F31" t="str">
            <v>DITA COSMETICOS LTDA</v>
          </cell>
          <cell r="G31" t="str">
            <v>Serum Intimo Anti-Idade 12 em 1</v>
          </cell>
        </row>
        <row r="32">
          <cell r="E32" t="str">
            <v>GR8VDOTOR4</v>
          </cell>
          <cell r="F32" t="str">
            <v>DITA COSMETICOS LTDA (MG)</v>
          </cell>
          <cell r="G32" t="str">
            <v>Serum Intimo Anti-Idade 12 em 1</v>
          </cell>
        </row>
        <row r="33">
          <cell r="E33" t="str">
            <v>CXBB17HA0P</v>
          </cell>
          <cell r="F33" t="str">
            <v>DITA COSMETICOS LTDA</v>
          </cell>
          <cell r="G33" t="str">
            <v>Vela Corporal Energia</v>
          </cell>
        </row>
        <row r="34">
          <cell r="E34" t="str">
            <v>IWG2ASKU9Z</v>
          </cell>
          <cell r="F34" t="str">
            <v>DITA COSMETICOS LTDA</v>
          </cell>
          <cell r="G34" t="str">
            <v>Vela Corporal Energia</v>
          </cell>
        </row>
        <row r="35">
          <cell r="E35" t="str">
            <v>CXBB17HA0P</v>
          </cell>
          <cell r="F35" t="str">
            <v>DITA COSMETICOS LTDA (MG)</v>
          </cell>
          <cell r="G35" t="str">
            <v>Vela Corporal Energia</v>
          </cell>
        </row>
        <row r="36">
          <cell r="E36" t="str">
            <v>QFLY4DF0UW</v>
          </cell>
          <cell r="F36" t="str">
            <v>DITA COSMETICOS LTDA</v>
          </cell>
          <cell r="G36" t="str">
            <v>Vela Corporal Relax</v>
          </cell>
        </row>
        <row r="37">
          <cell r="E37" t="str">
            <v>7JSC2HKWN</v>
          </cell>
          <cell r="F37" t="str">
            <v>DITA COSMETICOS LTDA</v>
          </cell>
          <cell r="G37" t="str">
            <v>5 Velas Corporais Energia + 5 Velas Corporais Relax</v>
          </cell>
        </row>
        <row r="38">
          <cell r="E38" t="str">
            <v>BXSSX6YK6C</v>
          </cell>
          <cell r="F38" t="str">
            <v>DITA COSMETICOS LTDA</v>
          </cell>
          <cell r="G38" t="str">
            <v>Refil Espuma Suave Dita Cuja</v>
          </cell>
        </row>
        <row r="39">
          <cell r="E39" t="str">
            <v>IWFTGJXJG2</v>
          </cell>
          <cell r="F39" t="str">
            <v>DITA COSMETICOS LTDA</v>
          </cell>
          <cell r="G39" t="str">
            <v>Espuma Natural de Higiene Intima + REFIL 300ml</v>
          </cell>
        </row>
        <row r="40">
          <cell r="E40" t="str">
            <v>5LJTMUSOVE</v>
          </cell>
          <cell r="F40" t="str">
            <v>DITA COSMETICOS LTDA</v>
          </cell>
          <cell r="G40" t="str">
            <v>Kit Especial de Inverno  2 Seruns + 2 Espumas (Clube de Beneficios)</v>
          </cell>
        </row>
        <row r="41">
          <cell r="E41" t="str">
            <v>AAGPK8MCBE</v>
          </cell>
          <cell r="F41" t="str">
            <v>DITA COSMETICOS LTDA</v>
          </cell>
          <cell r="G41" t="str">
            <v>2x REFIL Espuma Natural de Higiene Intima</v>
          </cell>
        </row>
        <row r="42">
          <cell r="E42" t="str">
            <v>NMZLW7EDTV</v>
          </cell>
          <cell r="F42" t="str">
            <v>DITA COSMETICOS LTDA</v>
          </cell>
          <cell r="G42" t="str">
            <v>25 x Serum Intimo Anti-Idade 12 em 1  Revenda Dita Cuja</v>
          </cell>
        </row>
        <row r="43">
          <cell r="E43" t="str">
            <v>75</v>
          </cell>
          <cell r="F43" t="str">
            <v>SMART BABY BOX</v>
          </cell>
          <cell r="G43" t="str">
            <v>Box imediatamente anterior - Completa</v>
          </cell>
        </row>
        <row r="44">
          <cell r="E44" t="str">
            <v>CAVBOX1</v>
          </cell>
          <cell r="G44" t="str">
            <v>Cavalete Babygym Montessori</v>
          </cell>
        </row>
        <row r="45">
          <cell r="E45" t="str">
            <v>TAPBOX1</v>
          </cell>
          <cell r="G45" t="str">
            <v>Tapete para Recém-nascido</v>
          </cell>
        </row>
        <row r="46">
          <cell r="E46" t="str">
            <v>MOBMUBOX1</v>
          </cell>
          <cell r="G46" t="str">
            <v>Móbile Montessori Munari para bebê</v>
          </cell>
        </row>
        <row r="47">
          <cell r="E47" t="str">
            <v>GV5YZQKX8H</v>
          </cell>
          <cell r="G47" t="str">
            <v>Dupla Perfeita Sensitive (1 Serum Intimo + 1 Espuma Sensitive)</v>
          </cell>
        </row>
        <row r="48">
          <cell r="E48" t="str">
            <v>TJ9LMA30RG</v>
          </cell>
          <cell r="G48" t="str">
            <v>Espuma Natural de Higiene Intima Sensitive</v>
          </cell>
        </row>
        <row r="49">
          <cell r="E49" t="str">
            <v>MARMKSJLLD</v>
          </cell>
          <cell r="G49" t="str">
            <v>Combo 2 Serum Intimo + 2 Espumas (Active +Sensitive)</v>
          </cell>
        </row>
        <row r="50">
          <cell r="E50" t="str">
            <v>FDGJUVR5DM</v>
          </cell>
          <cell r="G50" t="str">
            <v>Kit Frescor e Protecao (Clube de Beneficios)</v>
          </cell>
        </row>
        <row r="51">
          <cell r="E51" t="str">
            <v>EQXJSPFCF3</v>
          </cell>
          <cell r="G51" t="str">
            <v>Kit Alivio Menstrual</v>
          </cell>
        </row>
        <row r="52">
          <cell r="E52" t="str">
            <v>QJ3UCPLV4J</v>
          </cell>
          <cell r="G52" t="str">
            <v>Bolsa Termica Anti-Colicas Dita Cuja</v>
          </cell>
        </row>
        <row r="53">
          <cell r="E53" t="str">
            <v>000144600043</v>
          </cell>
          <cell r="F53" t="str">
            <v>ZAYAZ</v>
          </cell>
          <cell r="G53" t="str">
            <v>wax melts Lavender &amp; Sandalwood.</v>
          </cell>
        </row>
        <row r="54">
          <cell r="E54" t="str">
            <v>000144600043</v>
          </cell>
          <cell r="F54" t="str">
            <v>ZAYAZ</v>
          </cell>
          <cell r="G54" t="str">
            <v>wax melts Lavender &amp; Sandalwood.</v>
          </cell>
        </row>
        <row r="55">
          <cell r="E55" t="str">
            <v>000144584435</v>
          </cell>
          <cell r="F55" t="str">
            <v>ZAYAZ</v>
          </cell>
          <cell r="G55" t="str">
            <v>blend de óleos essenciais calm + focus.</v>
          </cell>
        </row>
        <row r="56">
          <cell r="E56" t="str">
            <v>000144602986</v>
          </cell>
          <cell r="F56" t="str">
            <v>ZAYAZ</v>
          </cell>
          <cell r="G56" t="str">
            <v>wax melts Amour.</v>
          </cell>
        </row>
        <row r="57">
          <cell r="E57" t="str">
            <v>000144597022</v>
          </cell>
          <cell r="F57" t="str">
            <v>ZAYAZ</v>
          </cell>
          <cell r="G57" t="str">
            <v>wax melts bothanical.</v>
          </cell>
        </row>
        <row r="58">
          <cell r="E58" t="str">
            <v>000144597022</v>
          </cell>
          <cell r="F58" t="str">
            <v>ZAYAZ</v>
          </cell>
          <cell r="G58" t="str">
            <v>wax melts bothanical.</v>
          </cell>
        </row>
        <row r="59">
          <cell r="E59" t="str">
            <v>000144583056</v>
          </cell>
          <cell r="F59" t="str">
            <v>ZAYAZ</v>
          </cell>
          <cell r="G59" t="str">
            <v>blend de óleos essenciais goodnight.</v>
          </cell>
        </row>
        <row r="60">
          <cell r="E60" t="str">
            <v>000144592782</v>
          </cell>
          <cell r="F60" t="str">
            <v>ZAYAZ</v>
          </cell>
          <cell r="G60" t="str">
            <v>vela aromática Amour. (glow)</v>
          </cell>
        </row>
        <row r="61">
          <cell r="E61" t="str">
            <v>000144602986</v>
          </cell>
          <cell r="F61" t="str">
            <v>ZAYAZ</v>
          </cell>
          <cell r="G61" t="str">
            <v>wax melts Amour.</v>
          </cell>
        </row>
        <row r="62">
          <cell r="E62" t="str">
            <v>000144602986</v>
          </cell>
          <cell r="F62" t="str">
            <v>ZAYAZ</v>
          </cell>
          <cell r="G62" t="str">
            <v>wax melts Amour.</v>
          </cell>
        </row>
        <row r="63">
          <cell r="E63" t="str">
            <v>000144583964</v>
          </cell>
          <cell r="F63" t="str">
            <v>ZAYAZ</v>
          </cell>
          <cell r="G63" t="str">
            <v>blend de óleos essenciais energy.</v>
          </cell>
        </row>
        <row r="64">
          <cell r="E64" t="str">
            <v>000144588969</v>
          </cell>
          <cell r="F64" t="str">
            <v>ZAYAZ</v>
          </cell>
          <cell r="G64" t="str">
            <v>aromatizador de ambiente Amour.</v>
          </cell>
        </row>
        <row r="65">
          <cell r="E65" t="str">
            <v>001530804168</v>
          </cell>
          <cell r="F65" t="str">
            <v>ZAYAZ</v>
          </cell>
          <cell r="G65" t="str">
            <v>difusor de aromas. (queimador de wax melts)</v>
          </cell>
        </row>
        <row r="66">
          <cell r="E66" t="str">
            <v>000144601118</v>
          </cell>
          <cell r="F66" t="str">
            <v>ZAYAZ</v>
          </cell>
          <cell r="G66" t="str">
            <v>5 velas réchaud.</v>
          </cell>
        </row>
        <row r="67">
          <cell r="E67" t="str">
            <v>COAOYGSY8R</v>
          </cell>
          <cell r="G67" t="str">
            <v>10 x Refil para Espuma de Higiene Intima - ACTIVE  Revenda Dita Cuja</v>
          </cell>
        </row>
        <row r="68">
          <cell r="E68" t="str">
            <v>TYQQW8ZK7A</v>
          </cell>
          <cell r="G68" t="str">
            <v>REFIL Espuma Natural de Higiene SENSITIVE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CADA2-9070-4ABB-9FFF-803BB0ED06B5}">
  <sheetPr codeName="Folha4"/>
  <dimension ref="A1:AJ107"/>
  <sheetViews>
    <sheetView showGridLines="0" tabSelected="1" zoomScale="84" zoomScaleNormal="84" workbookViewId="0">
      <pane ySplit="3" topLeftCell="A48" activePane="bottomLeft" state="frozen"/>
      <selection pane="bottomLeft" activeCell="V53" sqref="V53"/>
    </sheetView>
  </sheetViews>
  <sheetFormatPr defaultRowHeight="14.6" x14ac:dyDescent="0.4"/>
  <cols>
    <col min="1" max="1" width="13" bestFit="1" customWidth="1"/>
    <col min="2" max="2" width="27.69140625" bestFit="1" customWidth="1"/>
    <col min="3" max="3" width="79.3046875" hidden="1" customWidth="1"/>
    <col min="4" max="4" width="19.3046875" style="8" customWidth="1"/>
    <col min="5" max="5" width="53" hidden="1" customWidth="1"/>
    <col min="6" max="6" width="19.3046875" style="10" customWidth="1"/>
    <col min="7" max="7" width="19.3046875" style="8" customWidth="1"/>
    <col min="8" max="8" width="43.69140625" hidden="1" customWidth="1"/>
    <col min="9" max="9" width="19.3046875" style="10" customWidth="1"/>
    <col min="10" max="10" width="19.3046875" style="8" customWidth="1"/>
    <col min="11" max="11" width="42.3046875" hidden="1" customWidth="1"/>
    <col min="12" max="12" width="19.3046875" style="10" customWidth="1"/>
    <col min="13" max="13" width="19.3046875" style="8" customWidth="1"/>
    <col min="14" max="14" width="44.84375" hidden="1" customWidth="1"/>
    <col min="15" max="15" width="19.3046875" customWidth="1"/>
    <col min="16" max="16" width="13.53515625" style="8" bestFit="1" customWidth="1"/>
    <col min="17" max="17" width="19.3046875" hidden="1" customWidth="1"/>
    <col min="21" max="21" width="13" customWidth="1"/>
    <col min="24" max="24" width="13" bestFit="1" customWidth="1"/>
    <col min="27" max="27" width="13" bestFit="1" customWidth="1"/>
    <col min="30" max="30" width="13" bestFit="1" customWidth="1"/>
    <col min="32" max="32" width="17.84375" bestFit="1" customWidth="1"/>
    <col min="33" max="33" width="13" bestFit="1" customWidth="1"/>
    <col min="34" max="34" width="13.53515625" bestFit="1" customWidth="1"/>
    <col min="36" max="36" width="13" customWidth="1"/>
  </cols>
  <sheetData>
    <row r="1" spans="1:36" x14ac:dyDescent="0.4">
      <c r="A1" s="33" t="s">
        <v>0</v>
      </c>
      <c r="B1" s="34" t="s">
        <v>1</v>
      </c>
      <c r="C1" s="34"/>
      <c r="D1" s="35" t="s">
        <v>2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</row>
    <row r="2" spans="1:36" x14ac:dyDescent="0.4">
      <c r="A2" s="33"/>
      <c r="B2" s="34"/>
      <c r="C2" s="34"/>
      <c r="D2" s="32" t="s">
        <v>3</v>
      </c>
      <c r="E2" s="32"/>
      <c r="F2" s="32"/>
      <c r="G2" s="32" t="s">
        <v>4</v>
      </c>
      <c r="H2" s="32"/>
      <c r="I2" s="32"/>
      <c r="J2" s="32" t="s">
        <v>5</v>
      </c>
      <c r="K2" s="32"/>
      <c r="L2" s="32"/>
      <c r="M2" s="32" t="s">
        <v>6</v>
      </c>
      <c r="N2" s="32"/>
      <c r="O2" s="32"/>
      <c r="P2" s="32" t="s">
        <v>7</v>
      </c>
      <c r="Q2" s="32"/>
      <c r="R2" s="32"/>
      <c r="S2" s="32" t="s">
        <v>8</v>
      </c>
      <c r="T2" s="32"/>
      <c r="U2" s="32"/>
      <c r="V2" s="32" t="s">
        <v>9</v>
      </c>
      <c r="W2" s="32"/>
      <c r="X2" s="32"/>
      <c r="Y2" s="32" t="s">
        <v>10</v>
      </c>
      <c r="Z2" s="32"/>
      <c r="AA2" s="32"/>
      <c r="AB2" s="32" t="s">
        <v>11</v>
      </c>
      <c r="AC2" s="32"/>
      <c r="AD2" s="32"/>
      <c r="AE2" s="32" t="s">
        <v>12</v>
      </c>
      <c r="AF2" s="32"/>
      <c r="AG2" s="32"/>
      <c r="AH2" s="32" t="s">
        <v>13</v>
      </c>
      <c r="AI2" s="32"/>
      <c r="AJ2" s="32"/>
    </row>
    <row r="3" spans="1:36" x14ac:dyDescent="0.4">
      <c r="A3" s="33"/>
      <c r="B3" s="1" t="s">
        <v>14</v>
      </c>
      <c r="C3" s="1" t="s">
        <v>15</v>
      </c>
      <c r="D3" s="2" t="s">
        <v>16</v>
      </c>
      <c r="E3" s="3" t="s">
        <v>17</v>
      </c>
      <c r="F3" s="4" t="s">
        <v>18</v>
      </c>
      <c r="G3" s="2" t="s">
        <v>16</v>
      </c>
      <c r="H3" s="3" t="s">
        <v>17</v>
      </c>
      <c r="I3" s="4" t="s">
        <v>18</v>
      </c>
      <c r="J3" s="2" t="s">
        <v>16</v>
      </c>
      <c r="K3" s="3" t="s">
        <v>17</v>
      </c>
      <c r="L3" s="4" t="s">
        <v>18</v>
      </c>
      <c r="M3" s="5" t="s">
        <v>16</v>
      </c>
      <c r="N3" s="6" t="s">
        <v>17</v>
      </c>
      <c r="O3" s="7" t="s">
        <v>18</v>
      </c>
      <c r="P3" s="2" t="s">
        <v>16</v>
      </c>
      <c r="Q3" s="3" t="s">
        <v>17</v>
      </c>
      <c r="R3" s="4" t="s">
        <v>18</v>
      </c>
      <c r="S3" s="2" t="s">
        <v>16</v>
      </c>
      <c r="T3" s="3" t="s">
        <v>17</v>
      </c>
      <c r="U3" s="4" t="s">
        <v>18</v>
      </c>
      <c r="V3" s="2" t="s">
        <v>16</v>
      </c>
      <c r="W3" s="3" t="s">
        <v>17</v>
      </c>
      <c r="X3" s="4" t="s">
        <v>18</v>
      </c>
      <c r="Y3" s="2" t="s">
        <v>16</v>
      </c>
      <c r="Z3" s="3" t="s">
        <v>17</v>
      </c>
      <c r="AA3" s="4" t="s">
        <v>18</v>
      </c>
      <c r="AB3" s="2" t="s">
        <v>16</v>
      </c>
      <c r="AC3" s="3" t="s">
        <v>17</v>
      </c>
      <c r="AD3" s="4" t="s">
        <v>18</v>
      </c>
      <c r="AE3" s="2" t="s">
        <v>16</v>
      </c>
      <c r="AF3" s="3" t="s">
        <v>17</v>
      </c>
      <c r="AG3" s="4" t="s">
        <v>18</v>
      </c>
      <c r="AH3" s="2" t="s">
        <v>16</v>
      </c>
      <c r="AI3" s="3" t="s">
        <v>17</v>
      </c>
      <c r="AJ3" s="4" t="s">
        <v>18</v>
      </c>
    </row>
    <row r="4" spans="1:36" x14ac:dyDescent="0.4">
      <c r="A4" t="s">
        <v>19</v>
      </c>
      <c r="B4" s="8" t="s">
        <v>20</v>
      </c>
      <c r="C4" t="str">
        <f>VLOOKUP(B4,'[1]CADASTRO PRODUTOS'!$E:$G,3,0)</f>
        <v>Dupla Perfeita (Clube de Beneficios)</v>
      </c>
      <c r="D4" s="9" t="s">
        <v>21</v>
      </c>
      <c r="E4" s="10" t="str">
        <f>VLOOKUP(D4,'[1]CADASTRO PRODUTOS'!$E:$G,3,0)</f>
        <v>Espuma Natural de Higiene Intima - ACTIVE</v>
      </c>
      <c r="F4" s="11">
        <v>1</v>
      </c>
      <c r="G4" s="9" t="s">
        <v>22</v>
      </c>
      <c r="H4" s="10" t="str">
        <f>VLOOKUP(G4,'[1]CADASTRO PRODUTOS'!$E:$G,3,0)</f>
        <v>Serum Intimo Anti-Idade 12 em 1</v>
      </c>
      <c r="I4" s="11">
        <v>1</v>
      </c>
      <c r="J4" s="9"/>
      <c r="L4" s="11"/>
      <c r="M4" s="12"/>
      <c r="N4" s="13"/>
      <c r="O4" s="14"/>
      <c r="P4" s="15"/>
      <c r="R4" s="16"/>
    </row>
    <row r="5" spans="1:36" x14ac:dyDescent="0.4">
      <c r="A5" t="s">
        <v>19</v>
      </c>
      <c r="B5" s="8" t="s">
        <v>23</v>
      </c>
      <c r="C5" t="str">
        <f>VLOOKUP(B5,'[1]CADASTRO PRODUTOS'!$E:$G,3,0)</f>
        <v>Dupla Perfeita (1 Espuma Natural de Higiene Intima + 1 Serum Intimo Anti-Idade)</v>
      </c>
      <c r="D5" s="9" t="s">
        <v>21</v>
      </c>
      <c r="E5" s="10" t="str">
        <f>VLOOKUP(D5,'[1]CADASTRO PRODUTOS'!$E:$G,3,0)</f>
        <v>Espuma Natural de Higiene Intima - ACTIVE</v>
      </c>
      <c r="F5" s="11">
        <v>1</v>
      </c>
      <c r="G5" s="9" t="s">
        <v>22</v>
      </c>
      <c r="H5" s="10" t="str">
        <f>VLOOKUP(G5,'[1]CADASTRO PRODUTOS'!$E:$G,3,0)</f>
        <v>Serum Intimo Anti-Idade 12 em 1</v>
      </c>
      <c r="I5" s="11">
        <v>1</v>
      </c>
      <c r="J5" s="9"/>
      <c r="L5" s="11"/>
      <c r="M5" s="15"/>
      <c r="O5" s="16"/>
      <c r="P5" s="15"/>
      <c r="R5" s="16"/>
    </row>
    <row r="6" spans="1:36" x14ac:dyDescent="0.4">
      <c r="A6" t="s">
        <v>19</v>
      </c>
      <c r="B6" s="8" t="s">
        <v>24</v>
      </c>
      <c r="C6" t="str">
        <f>VLOOKUP(B6,'[1]CADASTRO PRODUTOS'!$E:$G,3,0)</f>
        <v>10 x Espuma Natural de Higiene Intima  Revenda Dita Cuja</v>
      </c>
      <c r="D6" s="9" t="s">
        <v>21</v>
      </c>
      <c r="E6" s="10" t="str">
        <f>VLOOKUP(D6,'[1]CADASTRO PRODUTOS'!$E:$G,3,0)</f>
        <v>Espuma Natural de Higiene Intima - ACTIVE</v>
      </c>
      <c r="F6" s="11">
        <v>10</v>
      </c>
      <c r="G6" s="9"/>
      <c r="H6" s="10"/>
      <c r="I6" s="11"/>
      <c r="J6" s="9"/>
      <c r="L6" s="11"/>
      <c r="M6" s="15"/>
      <c r="O6" s="16"/>
      <c r="P6" s="15"/>
      <c r="R6" s="16"/>
    </row>
    <row r="7" spans="1:36" x14ac:dyDescent="0.4">
      <c r="A7" t="s">
        <v>19</v>
      </c>
      <c r="B7" s="8" t="s">
        <v>25</v>
      </c>
      <c r="C7" t="str">
        <f>VLOOKUP(B7,'[1]CADASTRO PRODUTOS'!$E:$G,3,0)</f>
        <v>10 x Serum Intimo Anti-Idade 12 em 1  Revenda Dita Cuja</v>
      </c>
      <c r="D7" s="9" t="s">
        <v>22</v>
      </c>
      <c r="E7" s="10" t="str">
        <f>VLOOKUP(D7,'[1]CADASTRO PRODUTOS'!$E:$G,3,0)</f>
        <v>Serum Intimo Anti-Idade 12 em 1</v>
      </c>
      <c r="F7" s="11">
        <v>10</v>
      </c>
      <c r="G7" s="9"/>
      <c r="H7" s="10"/>
      <c r="I7" s="11"/>
      <c r="J7" s="9"/>
      <c r="L7" s="11"/>
      <c r="M7" s="15"/>
      <c r="O7" s="16"/>
      <c r="P7" s="15"/>
      <c r="R7" s="16"/>
    </row>
    <row r="8" spans="1:36" x14ac:dyDescent="0.4">
      <c r="A8" t="s">
        <v>19</v>
      </c>
      <c r="B8" s="8" t="s">
        <v>26</v>
      </c>
      <c r="C8" t="str">
        <f>VLOOKUP(B8,'[1]CADASTRO PRODUTOS'!$E:$G,3,0)</f>
        <v>2x Serum Intimo Anti-Idade 12 em 1</v>
      </c>
      <c r="D8" s="9" t="s">
        <v>22</v>
      </c>
      <c r="E8" s="10" t="str">
        <f>VLOOKUP(D8,'[1]CADASTRO PRODUTOS'!$E:$G,3,0)</f>
        <v>Serum Intimo Anti-Idade 12 em 1</v>
      </c>
      <c r="F8" s="11">
        <v>2</v>
      </c>
      <c r="G8" s="9"/>
      <c r="H8" s="10"/>
      <c r="I8" s="11"/>
      <c r="J8" s="9"/>
      <c r="L8" s="11"/>
      <c r="M8" s="15"/>
      <c r="O8" s="16"/>
      <c r="P8" s="15"/>
      <c r="R8" s="16"/>
    </row>
    <row r="9" spans="1:36" x14ac:dyDescent="0.4">
      <c r="A9" t="s">
        <v>19</v>
      </c>
      <c r="B9" s="8" t="s">
        <v>27</v>
      </c>
      <c r="C9" t="str">
        <f>VLOOKUP(B9,'[1]CADASTRO PRODUTOS'!$E:$G,3,0)</f>
        <v>3X Serum Intimo Anti-Idade 12 em 1</v>
      </c>
      <c r="D9" s="9" t="s">
        <v>22</v>
      </c>
      <c r="E9" s="10" t="str">
        <f>VLOOKUP(D9,'[1]CADASTRO PRODUTOS'!$E:$G,3,0)</f>
        <v>Serum Intimo Anti-Idade 12 em 1</v>
      </c>
      <c r="F9" s="11">
        <v>3</v>
      </c>
      <c r="G9" s="9"/>
      <c r="H9" s="10"/>
      <c r="I9" s="11"/>
      <c r="J9" s="9"/>
      <c r="L9" s="11"/>
      <c r="M9" s="15"/>
      <c r="O9" s="16"/>
      <c r="P9" s="15"/>
      <c r="R9" s="16"/>
    </row>
    <row r="10" spans="1:36" x14ac:dyDescent="0.4">
      <c r="A10" t="s">
        <v>19</v>
      </c>
      <c r="B10" s="8" t="s">
        <v>28</v>
      </c>
      <c r="C10" t="str">
        <f>VLOOKUP(B10,'[1]CADASTRO PRODUTOS'!$E:$G,3,0)</f>
        <v>5 x Espuma Natural de Higiene Intima  Revenda Dita Cuja</v>
      </c>
      <c r="D10" s="9" t="s">
        <v>21</v>
      </c>
      <c r="E10" s="10" t="str">
        <f>VLOOKUP(D10,'[1]CADASTRO PRODUTOS'!$E:$G,3,0)</f>
        <v>Espuma Natural de Higiene Intima - ACTIVE</v>
      </c>
      <c r="F10" s="11">
        <v>5</v>
      </c>
      <c r="G10" s="9"/>
      <c r="H10" s="10"/>
      <c r="I10" s="11"/>
      <c r="J10" s="9"/>
      <c r="L10" s="11"/>
      <c r="M10" s="15"/>
      <c r="O10" s="16"/>
      <c r="P10" s="15"/>
      <c r="R10" s="16"/>
    </row>
    <row r="11" spans="1:36" x14ac:dyDescent="0.4">
      <c r="A11" t="s">
        <v>19</v>
      </c>
      <c r="B11" s="8" t="s">
        <v>29</v>
      </c>
      <c r="C11" t="str">
        <f>VLOOKUP(B11,'[1]CADASTRO PRODUTOS'!$E:$G,3,0)</f>
        <v>5 x Serum Intimo Anti-Idade 12 em 1  Revenda Dita Cuja</v>
      </c>
      <c r="D11" s="9" t="s">
        <v>22</v>
      </c>
      <c r="E11" s="10" t="str">
        <f>VLOOKUP(D11,'[1]CADASTRO PRODUTOS'!$E:$G,3,0)</f>
        <v>Serum Intimo Anti-Idade 12 em 1</v>
      </c>
      <c r="F11" s="11">
        <v>5</v>
      </c>
      <c r="G11" s="9"/>
      <c r="H11" s="10"/>
      <c r="I11" s="11"/>
      <c r="J11" s="9"/>
      <c r="L11" s="11"/>
      <c r="M11" s="15"/>
      <c r="O11" s="16"/>
      <c r="P11" s="15"/>
      <c r="R11" s="16"/>
    </row>
    <row r="12" spans="1:36" x14ac:dyDescent="0.4">
      <c r="A12" t="s">
        <v>19</v>
      </c>
      <c r="B12" s="8" t="s">
        <v>30</v>
      </c>
      <c r="C12" t="s">
        <v>31</v>
      </c>
      <c r="D12" s="9" t="s">
        <v>32</v>
      </c>
      <c r="E12" s="10" t="str">
        <f>VLOOKUP(D12,'[1]CADASTRO PRODUTOS'!$E:$G,3,0)</f>
        <v>Amostra Serum Intimo Dita Cuja 12 em 1</v>
      </c>
      <c r="F12" s="11">
        <v>10</v>
      </c>
      <c r="G12" s="9"/>
      <c r="H12" s="10"/>
      <c r="I12" s="11"/>
      <c r="J12" s="9"/>
      <c r="L12" s="11"/>
      <c r="M12" s="15"/>
      <c r="O12" s="16"/>
      <c r="P12" s="15"/>
      <c r="R12" s="16"/>
    </row>
    <row r="13" spans="1:36" x14ac:dyDescent="0.4">
      <c r="A13" t="s">
        <v>19</v>
      </c>
      <c r="B13" s="8" t="s">
        <v>33</v>
      </c>
      <c r="C13" t="str">
        <f>VLOOKUP(B13,'[1]CADASTRO PRODUTOS'!$E:$G,3,0)</f>
        <v>Combo 2x Espuma Natural de Higiene Intima</v>
      </c>
      <c r="D13" s="9" t="s">
        <v>21</v>
      </c>
      <c r="E13" s="10" t="str">
        <f>VLOOKUP(D13,'[1]CADASTRO PRODUTOS'!$E:$G,3,0)</f>
        <v>Espuma Natural de Higiene Intima - ACTIVE</v>
      </c>
      <c r="F13" s="11">
        <v>2</v>
      </c>
      <c r="G13" s="9"/>
      <c r="H13" s="10"/>
      <c r="I13" s="11"/>
      <c r="J13" s="9"/>
      <c r="L13" s="11"/>
      <c r="M13" s="15"/>
      <c r="O13" s="16"/>
      <c r="P13" s="15"/>
      <c r="R13" s="16"/>
    </row>
    <row r="14" spans="1:36" x14ac:dyDescent="0.4">
      <c r="A14" t="s">
        <v>19</v>
      </c>
      <c r="B14" s="8" t="s">
        <v>34</v>
      </c>
      <c r="C14" t="str">
        <f>VLOOKUP(B14,'[1]CADASTRO PRODUTOS'!$E:$G,3,0)</f>
        <v>Combo 2X Serum + 1 Espuma Natural (Clube de Beneficios)</v>
      </c>
      <c r="D14" s="9" t="s">
        <v>22</v>
      </c>
      <c r="E14" s="10" t="str">
        <f>VLOOKUP(D14,'[1]CADASTRO PRODUTOS'!$E:$G,3,0)</f>
        <v>Serum Intimo Anti-Idade 12 em 1</v>
      </c>
      <c r="F14" s="11">
        <v>2</v>
      </c>
      <c r="G14" s="9" t="s">
        <v>21</v>
      </c>
      <c r="H14" s="10" t="str">
        <f>VLOOKUP(G14,'[1]CADASTRO PRODUTOS'!$E:$G,3,0)</f>
        <v>Espuma Natural de Higiene Intima - ACTIVE</v>
      </c>
      <c r="I14" s="11">
        <v>1</v>
      </c>
      <c r="J14" s="9"/>
      <c r="L14" s="11"/>
      <c r="M14" s="15"/>
      <c r="O14" s="16"/>
      <c r="P14" s="15"/>
      <c r="R14" s="16"/>
    </row>
    <row r="15" spans="1:36" x14ac:dyDescent="0.4">
      <c r="A15" t="s">
        <v>19</v>
      </c>
      <c r="B15" s="8" t="s">
        <v>35</v>
      </c>
      <c r="C15" t="str">
        <f>VLOOKUP(B15,'[1]CADASTRO PRODUTOS'!$E:$G,3,0)</f>
        <v>Combo 2X Serum Intimo + 1 Espuma Natural</v>
      </c>
      <c r="D15" s="9" t="s">
        <v>22</v>
      </c>
      <c r="E15" s="10" t="str">
        <f>VLOOKUP(D15,'[1]CADASTRO PRODUTOS'!$E:$G,3,0)</f>
        <v>Serum Intimo Anti-Idade 12 em 1</v>
      </c>
      <c r="F15" s="11">
        <v>2</v>
      </c>
      <c r="G15" s="9" t="s">
        <v>21</v>
      </c>
      <c r="H15" s="10" t="str">
        <f>VLOOKUP(G15,'[1]CADASTRO PRODUTOS'!$E:$G,3,0)</f>
        <v>Espuma Natural de Higiene Intima - ACTIVE</v>
      </c>
      <c r="I15" s="11">
        <v>1</v>
      </c>
      <c r="J15" s="9"/>
      <c r="L15" s="11"/>
      <c r="M15" s="15"/>
      <c r="O15" s="16"/>
      <c r="P15" s="15"/>
      <c r="R15" s="16"/>
    </row>
    <row r="16" spans="1:36" x14ac:dyDescent="0.4">
      <c r="A16" t="s">
        <v>19</v>
      </c>
      <c r="B16" s="8" t="s">
        <v>36</v>
      </c>
      <c r="C16" t="str">
        <f>VLOOKUP(B16,'[1]CADASTRO PRODUTOS'!$E:$G,3,0)</f>
        <v>Kit Bem Estar Anual - 6 Serum Intimo+6 Espumas Naturais (Clube de Beneficios)</v>
      </c>
      <c r="D16" s="9" t="s">
        <v>22</v>
      </c>
      <c r="E16" s="10" t="str">
        <f>VLOOKUP(D16,'[1]CADASTRO PRODUTOS'!$E:$G,3,0)</f>
        <v>Serum Intimo Anti-Idade 12 em 1</v>
      </c>
      <c r="F16" s="11">
        <v>6</v>
      </c>
      <c r="G16" s="9" t="s">
        <v>21</v>
      </c>
      <c r="H16" s="10" t="str">
        <f>VLOOKUP(G16,'[1]CADASTRO PRODUTOS'!$E:$G,3,0)</f>
        <v>Espuma Natural de Higiene Intima - ACTIVE</v>
      </c>
      <c r="I16" s="11">
        <v>6</v>
      </c>
      <c r="J16" s="9"/>
      <c r="L16" s="11"/>
      <c r="M16" s="15"/>
      <c r="O16" s="16"/>
      <c r="P16" s="15"/>
      <c r="R16" s="16"/>
    </row>
    <row r="17" spans="1:18" x14ac:dyDescent="0.4">
      <c r="A17" t="s">
        <v>19</v>
      </c>
      <c r="B17" s="8" t="s">
        <v>37</v>
      </c>
      <c r="C17" t="str">
        <f>VLOOKUP(B17,'[1]CADASTRO PRODUTOS'!$E:$G,3,0)</f>
        <v>Kit Bem Estar Anual (6 Serum Intimo + 6 Espumas Naturais)</v>
      </c>
      <c r="D17" s="9" t="s">
        <v>22</v>
      </c>
      <c r="E17" s="10" t="str">
        <f>VLOOKUP(D17,'[1]CADASTRO PRODUTOS'!$E:$G,3,0)</f>
        <v>Serum Intimo Anti-Idade 12 em 1</v>
      </c>
      <c r="F17" s="11">
        <v>6</v>
      </c>
      <c r="G17" s="9" t="s">
        <v>21</v>
      </c>
      <c r="H17" s="10" t="str">
        <f>VLOOKUP(G17,'[1]CADASTRO PRODUTOS'!$E:$G,3,0)</f>
        <v>Espuma Natural de Higiene Intima - ACTIVE</v>
      </c>
      <c r="I17" s="11">
        <v>6</v>
      </c>
      <c r="J17" s="9"/>
      <c r="L17" s="11"/>
      <c r="M17" s="15"/>
      <c r="O17" s="16"/>
      <c r="P17" s="15"/>
      <c r="R17" s="16"/>
    </row>
    <row r="18" spans="1:18" x14ac:dyDescent="0.4">
      <c r="A18" t="s">
        <v>19</v>
      </c>
      <c r="B18" s="8" t="s">
        <v>38</v>
      </c>
      <c r="C18" t="str">
        <f>VLOOKUP(B18,'[1]CADASTRO PRODUTOS'!$E:$G,3,0)</f>
        <v>Kit Especial de Inverno  2 Seruns + 2 Espumas (Clube de Beneficios)</v>
      </c>
      <c r="D18" s="9" t="s">
        <v>22</v>
      </c>
      <c r="E18" s="10" t="str">
        <f>VLOOKUP(D18,'[1]CADASTRO PRODUTOS'!$E:$G,3,0)</f>
        <v>Serum Intimo Anti-Idade 12 em 1</v>
      </c>
      <c r="F18" s="11">
        <v>2</v>
      </c>
      <c r="G18" s="9" t="s">
        <v>21</v>
      </c>
      <c r="H18" s="10" t="str">
        <f>VLOOKUP(G18,'[1]CADASTRO PRODUTOS'!$E:$G,3,0)</f>
        <v>Espuma Natural de Higiene Intima - ACTIVE</v>
      </c>
      <c r="I18" s="11">
        <v>2</v>
      </c>
      <c r="J18" s="9"/>
      <c r="L18" s="11"/>
      <c r="M18" s="15"/>
      <c r="O18" s="16"/>
      <c r="P18" s="15"/>
      <c r="R18" s="16"/>
    </row>
    <row r="19" spans="1:18" x14ac:dyDescent="0.4">
      <c r="A19" t="s">
        <v>19</v>
      </c>
      <c r="B19" s="8" t="s">
        <v>39</v>
      </c>
      <c r="C19" t="str">
        <f>VLOOKUP(B19,'[1]CADASTRO PRODUTOS'!$E:$G,3,0)</f>
        <v>Kit Ritual Energia - Serum Intimo + Vela Corporal Energia</v>
      </c>
      <c r="D19" s="9" t="s">
        <v>22</v>
      </c>
      <c r="E19" s="10" t="str">
        <f>VLOOKUP(D19,'[1]CADASTRO PRODUTOS'!$E:$G,3,0)</f>
        <v>Serum Intimo Anti-Idade 12 em 1</v>
      </c>
      <c r="F19" s="11">
        <v>1</v>
      </c>
      <c r="G19" s="9" t="s">
        <v>40</v>
      </c>
      <c r="H19" s="10" t="str">
        <f>VLOOKUP(G19,'[1]CADASTRO PRODUTOS'!$E:$G,3,0)</f>
        <v>Vela Corporal Energia</v>
      </c>
      <c r="I19" s="11">
        <v>1</v>
      </c>
      <c r="J19" s="9"/>
      <c r="L19" s="11"/>
      <c r="M19" s="15"/>
      <c r="O19" s="16"/>
      <c r="P19" s="15"/>
      <c r="R19" s="16"/>
    </row>
    <row r="20" spans="1:18" x14ac:dyDescent="0.4">
      <c r="A20" t="s">
        <v>19</v>
      </c>
      <c r="B20" s="8" t="s">
        <v>41</v>
      </c>
      <c r="C20" t="str">
        <f>VLOOKUP(B20,'[1]CADASTRO PRODUTOS'!$E:$G,3,0)</f>
        <v>Kit Ritual Relax - Serum Intimo + Vela Corporal Relax</v>
      </c>
      <c r="D20" s="9" t="s">
        <v>22</v>
      </c>
      <c r="E20" s="10" t="str">
        <f>VLOOKUP(D20,'[1]CADASTRO PRODUTOS'!$E:$G,3,0)</f>
        <v>Serum Intimo Anti-Idade 12 em 1</v>
      </c>
      <c r="F20" s="11">
        <v>1</v>
      </c>
      <c r="G20" s="9" t="s">
        <v>42</v>
      </c>
      <c r="H20" s="10" t="str">
        <f>VLOOKUP(G20,'[1]CADASTRO PRODUTOS'!$E:$G,3,0)</f>
        <v>Vela Corporal Relax</v>
      </c>
      <c r="I20" s="11">
        <v>1</v>
      </c>
      <c r="J20" s="9"/>
      <c r="L20" s="11"/>
      <c r="M20" s="15"/>
      <c r="O20" s="16"/>
      <c r="P20" s="15"/>
      <c r="R20" s="16"/>
    </row>
    <row r="21" spans="1:18" x14ac:dyDescent="0.4">
      <c r="A21" t="s">
        <v>19</v>
      </c>
      <c r="B21" s="8" t="s">
        <v>43</v>
      </c>
      <c r="C21" t="str">
        <f>VLOOKUP(B21,'[1]CADASTRO PRODUTOS'!$E:$G,3,0)</f>
        <v>Kit Serum em Dobro (2x Serum Intimo Anti-Idade 12 em 1)</v>
      </c>
      <c r="D21" s="9" t="s">
        <v>22</v>
      </c>
      <c r="E21" s="10" t="str">
        <f>VLOOKUP(D21,'[1]CADASTRO PRODUTOS'!$E:$G,3,0)</f>
        <v>Serum Intimo Anti-Idade 12 em 1</v>
      </c>
      <c r="F21" s="11">
        <v>2</v>
      </c>
      <c r="G21" s="9"/>
      <c r="H21" s="10"/>
      <c r="I21" s="11"/>
      <c r="J21" s="9"/>
      <c r="L21" s="11"/>
      <c r="M21" s="15"/>
      <c r="O21" s="16"/>
      <c r="P21" s="15"/>
      <c r="R21" s="16"/>
    </row>
    <row r="22" spans="1:18" x14ac:dyDescent="0.4">
      <c r="A22" t="s">
        <v>19</v>
      </c>
      <c r="B22" s="8" t="s">
        <v>44</v>
      </c>
      <c r="C22" t="str">
        <f>VLOOKUP(B22,'[1]CADASTRO PRODUTOS'!$E:$G,3,0)</f>
        <v>Kit Serum em Dobro (Clube de Beneficios)</v>
      </c>
      <c r="D22" s="9" t="s">
        <v>22</v>
      </c>
      <c r="E22" s="10" t="str">
        <f>VLOOKUP(D22,'[1]CADASTRO PRODUTOS'!$E:$G,3,0)</f>
        <v>Serum Intimo Anti-Idade 12 em 1</v>
      </c>
      <c r="F22" s="11">
        <v>2</v>
      </c>
      <c r="G22" s="9"/>
      <c r="H22" s="10"/>
      <c r="I22" s="11"/>
      <c r="J22" s="9"/>
      <c r="L22" s="11"/>
      <c r="M22" s="15"/>
      <c r="O22" s="16"/>
      <c r="P22" s="15"/>
      <c r="R22" s="16"/>
    </row>
    <row r="23" spans="1:18" x14ac:dyDescent="0.4">
      <c r="A23" t="s">
        <v>19</v>
      </c>
      <c r="B23" t="s">
        <v>45</v>
      </c>
      <c r="C23" t="str">
        <f>VLOOKUP(B23,'[1]CADASTRO PRODUTOS'!$E:$G,3,0)</f>
        <v>5 Velas Corporais Energia + 5 Velas Corporais Relax</v>
      </c>
      <c r="D23" s="9" t="s">
        <v>40</v>
      </c>
      <c r="E23" s="10" t="str">
        <f>VLOOKUP(D23,'[1]CADASTRO PRODUTOS'!$E:$G,3,0)</f>
        <v>Vela Corporal Energia</v>
      </c>
      <c r="F23" s="11">
        <v>5</v>
      </c>
      <c r="G23" s="17" t="s">
        <v>42</v>
      </c>
      <c r="H23" s="10" t="str">
        <f>VLOOKUP(G23,'[1]CADASTRO PRODUTOS'!$E:$G,3,0)</f>
        <v>Vela Corporal Relax</v>
      </c>
      <c r="I23" s="11">
        <v>5</v>
      </c>
      <c r="J23" s="15"/>
      <c r="L23" s="11"/>
      <c r="M23" s="15"/>
      <c r="O23" s="16"/>
      <c r="P23" s="15"/>
      <c r="R23" s="16"/>
    </row>
    <row r="24" spans="1:18" x14ac:dyDescent="0.4">
      <c r="A24" t="s">
        <v>19</v>
      </c>
      <c r="B24" s="8" t="s">
        <v>46</v>
      </c>
      <c r="C24" t="s">
        <v>47</v>
      </c>
      <c r="D24" s="9" t="s">
        <v>21</v>
      </c>
      <c r="E24" s="10" t="str">
        <f>VLOOKUP(D24,'[1]CADASTRO PRODUTOS'!$E:$G,3,0)</f>
        <v>Espuma Natural de Higiene Intima - ACTIVE</v>
      </c>
      <c r="F24" s="11">
        <v>1</v>
      </c>
      <c r="G24" s="9" t="s">
        <v>48</v>
      </c>
      <c r="H24" t="s">
        <v>49</v>
      </c>
      <c r="I24" s="11">
        <v>1</v>
      </c>
      <c r="J24" s="15"/>
      <c r="L24" s="11"/>
      <c r="M24" s="15"/>
      <c r="O24" s="16"/>
      <c r="P24" s="15"/>
      <c r="R24" s="16"/>
    </row>
    <row r="25" spans="1:18" x14ac:dyDescent="0.4">
      <c r="A25" t="s">
        <v>19</v>
      </c>
      <c r="B25" s="8" t="s">
        <v>50</v>
      </c>
      <c r="C25" t="s">
        <v>51</v>
      </c>
      <c r="D25" s="9" t="s">
        <v>22</v>
      </c>
      <c r="E25" s="10" t="str">
        <f>VLOOKUP(D25,'[1]CADASTRO PRODUTOS'!$E:$G,3,0)</f>
        <v>Serum Intimo Anti-Idade 12 em 1</v>
      </c>
      <c r="F25" s="11">
        <v>1</v>
      </c>
      <c r="G25" s="9" t="s">
        <v>42</v>
      </c>
      <c r="H25" s="10" t="str">
        <f>VLOOKUP(G25,'[1]CADASTRO PRODUTOS'!$E:$G,3,0)</f>
        <v>Vela Corporal Relax</v>
      </c>
      <c r="I25" s="11">
        <v>1</v>
      </c>
      <c r="J25" s="15"/>
      <c r="L25" s="11"/>
      <c r="M25" s="15"/>
      <c r="O25" s="16"/>
      <c r="P25" s="15"/>
      <c r="R25" s="16"/>
    </row>
    <row r="26" spans="1:18" x14ac:dyDescent="0.4">
      <c r="A26" t="s">
        <v>19</v>
      </c>
      <c r="B26" s="8" t="s">
        <v>52</v>
      </c>
      <c r="C26" t="s">
        <v>53</v>
      </c>
      <c r="D26" s="9" t="s">
        <v>22</v>
      </c>
      <c r="E26" s="10" t="str">
        <f>VLOOKUP(D26,'[1]CADASTRO PRODUTOS'!$E:$G,3,0)</f>
        <v>Serum Intimo Anti-Idade 12 em 1</v>
      </c>
      <c r="F26" s="11">
        <v>1</v>
      </c>
      <c r="G26" s="9" t="s">
        <v>21</v>
      </c>
      <c r="H26" s="10" t="str">
        <f>VLOOKUP(G26,'[1]CADASTRO PRODUTOS'!$E:$G,3,0)</f>
        <v>Espuma Natural de Higiene Intima - ACTIVE</v>
      </c>
      <c r="I26" s="11">
        <v>1</v>
      </c>
      <c r="J26" s="9" t="s">
        <v>48</v>
      </c>
      <c r="K26" s="10" t="str">
        <f>VLOOKUP(J26,'[1]CADASTRO PRODUTOS'!$E:$G,3,0)</f>
        <v>Refil Espuma Suave Dita Cuja</v>
      </c>
      <c r="L26" s="11">
        <v>1</v>
      </c>
      <c r="M26" s="15"/>
      <c r="O26" s="16"/>
      <c r="P26" s="15"/>
      <c r="R26" s="16"/>
    </row>
    <row r="27" spans="1:18" x14ac:dyDescent="0.4">
      <c r="A27" t="s">
        <v>19</v>
      </c>
      <c r="B27" s="8" t="s">
        <v>54</v>
      </c>
      <c r="C27" t="s">
        <v>55</v>
      </c>
      <c r="D27" s="9" t="s">
        <v>48</v>
      </c>
      <c r="E27" s="10" t="str">
        <f>VLOOKUP(D27,'[1]CADASTRO PRODUTOS'!$E:$G,3,0)</f>
        <v>Refil Espuma Suave Dita Cuja</v>
      </c>
      <c r="F27" s="11">
        <v>2</v>
      </c>
      <c r="I27" s="11"/>
      <c r="J27" s="15"/>
      <c r="K27" s="10"/>
      <c r="L27" s="11"/>
      <c r="M27" s="15"/>
      <c r="O27" s="16"/>
      <c r="P27" s="15"/>
      <c r="R27" s="16"/>
    </row>
    <row r="28" spans="1:18" x14ac:dyDescent="0.4">
      <c r="A28" t="s">
        <v>19</v>
      </c>
      <c r="B28" s="8" t="s">
        <v>56</v>
      </c>
      <c r="C28" t="s">
        <v>57</v>
      </c>
      <c r="D28" s="9" t="s">
        <v>22</v>
      </c>
      <c r="E28" s="10" t="str">
        <f>VLOOKUP(D28,'[1]CADASTRO PRODUTOS'!$E:$G,3,0)</f>
        <v>Serum Intimo Anti-Idade 12 em 1</v>
      </c>
      <c r="F28" s="11">
        <v>1</v>
      </c>
      <c r="G28" s="9" t="s">
        <v>40</v>
      </c>
      <c r="H28" s="10" t="str">
        <f>VLOOKUP(G28,'[1]CADASTRO PRODUTOS'!$E:$G,3,0)</f>
        <v>Vela Corporal Energia</v>
      </c>
      <c r="I28" s="11">
        <v>1</v>
      </c>
      <c r="J28" s="15"/>
      <c r="K28" s="10"/>
      <c r="L28" s="11"/>
      <c r="M28" s="15"/>
      <c r="O28" s="16"/>
      <c r="P28" s="15"/>
      <c r="R28" s="16"/>
    </row>
    <row r="29" spans="1:18" x14ac:dyDescent="0.4">
      <c r="A29" t="s">
        <v>19</v>
      </c>
      <c r="B29" t="s">
        <v>58</v>
      </c>
      <c r="C29" t="s">
        <v>59</v>
      </c>
      <c r="D29" s="9" t="s">
        <v>21</v>
      </c>
      <c r="E29" s="10" t="str">
        <f>VLOOKUP(D29,'[1]CADASTRO PRODUTOS'!$E:$G,3,0)</f>
        <v>Espuma Natural de Higiene Intima - ACTIVE</v>
      </c>
      <c r="F29" s="11">
        <v>1</v>
      </c>
      <c r="G29" s="8" t="s">
        <v>48</v>
      </c>
      <c r="H29" s="10" t="str">
        <f>VLOOKUP(G29,'[1]CADASTRO PRODUTOS'!$E:$G,3,0)</f>
        <v>Refil Espuma Suave Dita Cuja</v>
      </c>
      <c r="I29" s="11">
        <v>1</v>
      </c>
      <c r="J29" s="15"/>
      <c r="K29" s="10"/>
      <c r="L29" s="11"/>
      <c r="M29" s="15"/>
      <c r="O29" s="16"/>
      <c r="P29" s="15"/>
      <c r="R29" s="16"/>
    </row>
    <row r="30" spans="1:18" x14ac:dyDescent="0.4">
      <c r="A30" t="s">
        <v>19</v>
      </c>
      <c r="B30" t="s">
        <v>60</v>
      </c>
      <c r="C30" t="str">
        <f>VLOOKUP(B30,'[1]CADASTRO PRODUTOS'!$E:$G,3,0)</f>
        <v>2x REFIL Espuma Natural de Higiene Intima</v>
      </c>
      <c r="D30" s="9" t="s">
        <v>48</v>
      </c>
      <c r="E30" s="10" t="str">
        <f>VLOOKUP(D30,'[1]CADASTRO PRODUTOS'!$E:$G,3,0)</f>
        <v>Refil Espuma Suave Dita Cuja</v>
      </c>
      <c r="F30" s="11">
        <v>2</v>
      </c>
      <c r="H30" s="10"/>
      <c r="I30" s="11"/>
      <c r="J30" s="15"/>
      <c r="K30" s="10"/>
      <c r="L30" s="11"/>
      <c r="M30" s="15"/>
      <c r="O30" s="16"/>
      <c r="P30" s="15"/>
      <c r="R30" s="16"/>
    </row>
    <row r="31" spans="1:18" x14ac:dyDescent="0.4">
      <c r="A31" t="s">
        <v>19</v>
      </c>
      <c r="B31" t="s">
        <v>61</v>
      </c>
      <c r="C31" t="str">
        <f>VLOOKUP(B31,'[1]CADASTRO PRODUTOS'!$E:$G,3,0)</f>
        <v>25 x Serum Intimo Anti-Idade 12 em 1  Revenda Dita Cuja</v>
      </c>
      <c r="D31" s="9" t="s">
        <v>22</v>
      </c>
      <c r="E31" s="10" t="str">
        <f>VLOOKUP(D31,'[1]CADASTRO PRODUTOS'!$E:$G,3,0)</f>
        <v>Serum Intimo Anti-Idade 12 em 1</v>
      </c>
      <c r="F31" s="11">
        <v>25</v>
      </c>
      <c r="H31" s="10"/>
      <c r="I31" s="11"/>
      <c r="J31" s="15"/>
      <c r="K31" s="10"/>
      <c r="L31" s="11"/>
      <c r="M31" s="15"/>
      <c r="O31" s="16"/>
      <c r="P31" s="15"/>
      <c r="R31" s="16"/>
    </row>
    <row r="32" spans="1:18" ht="15.45" x14ac:dyDescent="0.4">
      <c r="A32" t="s">
        <v>19</v>
      </c>
      <c r="B32" s="8" t="s">
        <v>62</v>
      </c>
      <c r="C32" t="str">
        <f>VLOOKUP(B32,'[1]CADASTRO PRODUTOS'!$E:$G,3,0)</f>
        <v>Dupla Perfeita Sensitive (1 Serum Intimo + 1 Espuma Sensitive)</v>
      </c>
      <c r="D32" s="18" t="s">
        <v>22</v>
      </c>
      <c r="E32" s="10" t="str">
        <f>VLOOKUP(D32,'[1]CADASTRO PRODUTOS'!$E:$G,3,0)</f>
        <v>Serum Intimo Anti-Idade 12 em 1</v>
      </c>
      <c r="F32" s="11">
        <v>1</v>
      </c>
      <c r="G32" s="19" t="s">
        <v>63</v>
      </c>
      <c r="H32" s="10" t="str">
        <f>VLOOKUP(G32,'[1]CADASTRO PRODUTOS'!$E:$G,3,0)</f>
        <v>Espuma Natural de Higiene Intima Sensitive</v>
      </c>
      <c r="I32" s="11">
        <v>1</v>
      </c>
      <c r="J32" s="15"/>
      <c r="K32" s="10"/>
      <c r="L32" s="11"/>
      <c r="M32" s="15"/>
      <c r="O32" s="16"/>
      <c r="P32" s="15"/>
      <c r="R32" s="16"/>
    </row>
    <row r="33" spans="1:18" ht="15.45" x14ac:dyDescent="0.4">
      <c r="A33" t="s">
        <v>19</v>
      </c>
      <c r="B33" t="s">
        <v>64</v>
      </c>
      <c r="C33" t="str">
        <f>VLOOKUP(B33,'[1]CADASTRO PRODUTOS'!$E:$G,3,0)</f>
        <v>Combo 2 Serum Intimo + 2 Espumas (Active +Sensitive)</v>
      </c>
      <c r="D33" s="18" t="s">
        <v>22</v>
      </c>
      <c r="E33" s="10" t="str">
        <f>VLOOKUP(D33,'[1]CADASTRO PRODUTOS'!$E:$G,3,0)</f>
        <v>Serum Intimo Anti-Idade 12 em 1</v>
      </c>
      <c r="F33" s="11">
        <v>2</v>
      </c>
      <c r="G33" s="19" t="s">
        <v>63</v>
      </c>
      <c r="H33" s="10" t="str">
        <f>VLOOKUP(G33,'[1]CADASTRO PRODUTOS'!$E:$G,3,0)</f>
        <v>Espuma Natural de Higiene Intima Sensitive</v>
      </c>
      <c r="I33" s="11">
        <v>1</v>
      </c>
      <c r="J33" s="15" t="s">
        <v>21</v>
      </c>
      <c r="K33" s="10" t="str">
        <f>VLOOKUP(J33,'[1]CADASTRO PRODUTOS'!$E:$G,3,0)</f>
        <v>Espuma Natural de Higiene Intima - ACTIVE</v>
      </c>
      <c r="L33" s="11">
        <v>1</v>
      </c>
      <c r="M33" s="15"/>
      <c r="O33" s="16"/>
      <c r="P33" s="15"/>
      <c r="R33" s="16"/>
    </row>
    <row r="34" spans="1:18" x14ac:dyDescent="0.4">
      <c r="A34" t="s">
        <v>19</v>
      </c>
      <c r="B34" t="s">
        <v>65</v>
      </c>
      <c r="C34" t="str">
        <f>VLOOKUP(B34,'[1]CADASTRO PRODUTOS'!$E:$G,3,0)</f>
        <v>Kit Frescor e Protecao (Clube de Beneficios)</v>
      </c>
      <c r="D34" s="9" t="s">
        <v>21</v>
      </c>
      <c r="E34" s="10" t="str">
        <f>VLOOKUP(D34,'[1]CADASTRO PRODUTOS'!$E:$G,3,0)</f>
        <v>Espuma Natural de Higiene Intima - ACTIVE</v>
      </c>
      <c r="F34" s="11">
        <v>2</v>
      </c>
      <c r="G34" s="9" t="s">
        <v>22</v>
      </c>
      <c r="H34" s="10" t="str">
        <f>VLOOKUP(G34,'[1]CADASTRO PRODUTOS'!$E:$G,3,0)</f>
        <v>Serum Intimo Anti-Idade 12 em 1</v>
      </c>
      <c r="I34" s="11">
        <v>1</v>
      </c>
      <c r="J34" s="15"/>
      <c r="K34" s="10"/>
      <c r="L34" s="11"/>
      <c r="M34" s="15"/>
      <c r="O34" s="16"/>
      <c r="P34" s="15"/>
      <c r="R34" s="16"/>
    </row>
    <row r="35" spans="1:18" ht="15.45" x14ac:dyDescent="0.4">
      <c r="A35" t="s">
        <v>19</v>
      </c>
      <c r="B35" t="s">
        <v>66</v>
      </c>
      <c r="C35" t="str">
        <f>VLOOKUP(B35,'[1]CADASTRO PRODUTOS'!$E:$G,3,0)</f>
        <v>Kit Alivio Menstrual</v>
      </c>
      <c r="D35" s="18" t="s">
        <v>22</v>
      </c>
      <c r="E35" s="10" t="str">
        <f>VLOOKUP(D35,'[1]CADASTRO PRODUTOS'!$E:$G,3,0)</f>
        <v>Serum Intimo Anti-Idade 12 em 1</v>
      </c>
      <c r="F35" s="11">
        <v>1</v>
      </c>
      <c r="G35" s="19" t="s">
        <v>63</v>
      </c>
      <c r="H35" s="10" t="str">
        <f>VLOOKUP(G35,'[1]CADASTRO PRODUTOS'!$E:$G,3,0)</f>
        <v>Espuma Natural de Higiene Intima Sensitive</v>
      </c>
      <c r="I35" s="11">
        <v>1</v>
      </c>
      <c r="J35" s="15" t="s">
        <v>67</v>
      </c>
      <c r="K35" s="10" t="str">
        <f>VLOOKUP(J35,'[1]CADASTRO PRODUTOS'!$E:$G,3,0)</f>
        <v>Bolsa Termica Anti-Colicas Dita Cuja</v>
      </c>
      <c r="L35" s="11">
        <v>1</v>
      </c>
      <c r="M35" s="15"/>
      <c r="O35" s="16"/>
      <c r="P35" s="15"/>
      <c r="R35" s="16"/>
    </row>
    <row r="36" spans="1:18" x14ac:dyDescent="0.4">
      <c r="A36" t="s">
        <v>68</v>
      </c>
      <c r="B36" s="20" t="s">
        <v>69</v>
      </c>
      <c r="C36" s="20" t="s">
        <v>70</v>
      </c>
      <c r="D36" s="21" t="s">
        <v>71</v>
      </c>
      <c r="E36" s="10" t="str">
        <f>VLOOKUP(D36,'[1]CADASTRO PRODUTOS'!$E:$G,3,0)</f>
        <v>wax melts Lavender &amp; Sandalwood.</v>
      </c>
      <c r="F36" s="11">
        <v>1</v>
      </c>
      <c r="G36" s="22" t="s">
        <v>72</v>
      </c>
      <c r="H36" s="10" t="str">
        <f>VLOOKUP(G36,'[1]CADASTRO PRODUTOS'!$E:$G,3,0)</f>
        <v>wax melts bothanical.</v>
      </c>
      <c r="I36" s="11">
        <v>1</v>
      </c>
      <c r="J36" s="15" t="s">
        <v>73</v>
      </c>
      <c r="K36" s="10" t="str">
        <f>VLOOKUP(J36,'[1]CADASTRO PRODUTOS'!$E:$G,3,0)</f>
        <v>wax melts Amour.</v>
      </c>
      <c r="L36" s="11">
        <v>1</v>
      </c>
      <c r="M36" s="15" t="s">
        <v>74</v>
      </c>
      <c r="N36" t="str">
        <f>VLOOKUP(M36,'[1]CADASTRO PRODUTOS'!$E:$G,3,0)</f>
        <v>difusor de aromas. (queimador de wax melts)</v>
      </c>
      <c r="O36" s="16">
        <v>1</v>
      </c>
      <c r="P36" s="23" t="s">
        <v>75</v>
      </c>
      <c r="Q36" s="10" t="str">
        <f>VLOOKUP(P36,'[1]CADASTRO PRODUTOS'!$E:$G,3,0)</f>
        <v>5 velas réchaud.</v>
      </c>
      <c r="R36" s="16">
        <v>1</v>
      </c>
    </row>
    <row r="37" spans="1:18" x14ac:dyDescent="0.4">
      <c r="A37" t="s">
        <v>68</v>
      </c>
      <c r="B37" s="20" t="s">
        <v>76</v>
      </c>
      <c r="C37" s="20" t="s">
        <v>77</v>
      </c>
      <c r="D37" s="21" t="s">
        <v>71</v>
      </c>
      <c r="E37" s="10" t="str">
        <f>VLOOKUP(D37,'[1]CADASTRO PRODUTOS'!$E:$G,3,0)</f>
        <v>wax melts Lavender &amp; Sandalwood.</v>
      </c>
      <c r="F37" s="11">
        <v>1</v>
      </c>
      <c r="G37" s="22" t="s">
        <v>72</v>
      </c>
      <c r="H37" s="10" t="str">
        <f>VLOOKUP(G37,'[1]CADASTRO PRODUTOS'!$E:$G,3,0)</f>
        <v>wax melts bothanical.</v>
      </c>
      <c r="I37" s="11">
        <v>1</v>
      </c>
      <c r="J37" s="15" t="s">
        <v>73</v>
      </c>
      <c r="K37" s="10" t="str">
        <f>VLOOKUP(J37,'[1]CADASTRO PRODUTOS'!$E:$G,3,0)</f>
        <v>wax melts Amour.</v>
      </c>
      <c r="L37" s="11">
        <v>1</v>
      </c>
      <c r="M37" s="15"/>
      <c r="O37" s="16"/>
      <c r="P37" s="23"/>
      <c r="Q37" s="10"/>
      <c r="R37" s="16"/>
    </row>
    <row r="38" spans="1:18" x14ac:dyDescent="0.4">
      <c r="A38" t="s">
        <v>68</v>
      </c>
      <c r="B38" s="24" t="s">
        <v>78</v>
      </c>
      <c r="C38" s="24" t="s">
        <v>79</v>
      </c>
      <c r="D38" s="23" t="s">
        <v>80</v>
      </c>
      <c r="E38" s="10" t="str">
        <f>VLOOKUP(D38,'[1]CADASTRO PRODUTOS'!$E:$G,3,0)</f>
        <v>blend de óleos essenciais calm + focus.</v>
      </c>
      <c r="F38" s="11">
        <v>1</v>
      </c>
      <c r="G38" s="22" t="s">
        <v>81</v>
      </c>
      <c r="H38" s="10" t="str">
        <f>VLOOKUP(G38,'[1]CADASTRO PRODUTOS'!$E:$G,3,0)</f>
        <v>blend de óleos essenciais goodnight.</v>
      </c>
      <c r="I38" s="11">
        <v>1</v>
      </c>
      <c r="J38" s="15" t="s">
        <v>82</v>
      </c>
      <c r="K38" s="10" t="str">
        <f>VLOOKUP(J38,'[1]CADASTRO PRODUTOS'!$E:$G,3,0)</f>
        <v>blend de óleos essenciais energy.</v>
      </c>
      <c r="L38" s="11">
        <v>1</v>
      </c>
      <c r="M38" s="15"/>
      <c r="O38" s="16"/>
      <c r="P38" s="23"/>
      <c r="Q38" s="10"/>
      <c r="R38" s="16"/>
    </row>
    <row r="39" spans="1:18" x14ac:dyDescent="0.4">
      <c r="A39" t="s">
        <v>68</v>
      </c>
      <c r="B39" s="24" t="s">
        <v>83</v>
      </c>
      <c r="C39" s="24" t="s">
        <v>84</v>
      </c>
      <c r="D39" s="23" t="s">
        <v>85</v>
      </c>
      <c r="E39" s="10" t="s">
        <v>86</v>
      </c>
      <c r="F39" s="11">
        <v>1</v>
      </c>
      <c r="G39" s="22" t="s">
        <v>87</v>
      </c>
      <c r="H39" s="10" t="s">
        <v>88</v>
      </c>
      <c r="I39" s="11">
        <v>1</v>
      </c>
      <c r="J39" s="15" t="s">
        <v>89</v>
      </c>
      <c r="K39" s="10" t="s">
        <v>90</v>
      </c>
      <c r="L39" s="11">
        <v>1</v>
      </c>
      <c r="M39" s="15" t="s">
        <v>91</v>
      </c>
      <c r="N39" t="s">
        <v>92</v>
      </c>
      <c r="O39" s="16">
        <v>1</v>
      </c>
      <c r="P39" s="23"/>
      <c r="Q39" s="10"/>
      <c r="R39" s="16"/>
    </row>
    <row r="40" spans="1:18" x14ac:dyDescent="0.4">
      <c r="A40" t="s">
        <v>19</v>
      </c>
      <c r="B40" s="8" t="s">
        <v>93</v>
      </c>
      <c r="C40" t="str">
        <f>VLOOKUP(B40,'[1]CADASTRO PRODUTOS'!$E:$G,3,0)</f>
        <v>10 x Refil para Espuma de Higiene Intima - ACTIVE  Revenda Dita Cuja</v>
      </c>
      <c r="D40" s="17" t="s">
        <v>48</v>
      </c>
      <c r="E40" s="10" t="str">
        <f>VLOOKUP(D40,'[1]CADASTRO PRODUTOS'!$E:$G,3,0)</f>
        <v>Refil Espuma Suave Dita Cuja</v>
      </c>
      <c r="F40" s="10">
        <v>10</v>
      </c>
      <c r="G40" s="17"/>
      <c r="H40" s="10"/>
      <c r="I40" s="11"/>
      <c r="J40" s="9"/>
      <c r="K40" s="10"/>
      <c r="L40" s="11"/>
      <c r="M40" s="15"/>
      <c r="O40" s="16"/>
      <c r="P40" s="25"/>
      <c r="Q40" s="26"/>
      <c r="R40" s="27"/>
    </row>
    <row r="41" spans="1:18" x14ac:dyDescent="0.4">
      <c r="A41" t="s">
        <v>94</v>
      </c>
      <c r="B41" s="8" t="s">
        <v>95</v>
      </c>
      <c r="C41" t="s">
        <v>96</v>
      </c>
      <c r="D41" s="17" t="s">
        <v>97</v>
      </c>
      <c r="E41" s="10" t="s">
        <v>98</v>
      </c>
      <c r="F41" s="10">
        <v>2</v>
      </c>
      <c r="G41" s="17"/>
      <c r="H41" s="10"/>
      <c r="I41" s="11"/>
      <c r="J41" s="9"/>
      <c r="K41" s="10"/>
      <c r="L41" s="11"/>
      <c r="M41" s="15"/>
      <c r="O41" s="16"/>
    </row>
    <row r="42" spans="1:18" x14ac:dyDescent="0.4">
      <c r="A42" t="s">
        <v>94</v>
      </c>
      <c r="B42" s="8" t="s">
        <v>99</v>
      </c>
      <c r="C42" t="s">
        <v>100</v>
      </c>
      <c r="D42" s="17" t="s">
        <v>97</v>
      </c>
      <c r="E42" s="10" t="s">
        <v>98</v>
      </c>
      <c r="F42" s="10">
        <v>1</v>
      </c>
      <c r="G42" s="17" t="s">
        <v>101</v>
      </c>
      <c r="H42" s="10" t="s">
        <v>102</v>
      </c>
      <c r="I42" s="11">
        <v>1</v>
      </c>
      <c r="J42" s="9"/>
      <c r="K42" s="10"/>
      <c r="L42" s="11"/>
      <c r="M42" s="15"/>
      <c r="O42" s="16"/>
    </row>
    <row r="43" spans="1:18" x14ac:dyDescent="0.4">
      <c r="A43" t="s">
        <v>94</v>
      </c>
      <c r="B43" s="8" t="s">
        <v>103</v>
      </c>
      <c r="C43" t="s">
        <v>104</v>
      </c>
      <c r="D43" s="17" t="s">
        <v>97</v>
      </c>
      <c r="E43" s="10" t="s">
        <v>98</v>
      </c>
      <c r="F43" s="10">
        <v>1</v>
      </c>
      <c r="G43" s="17" t="s">
        <v>105</v>
      </c>
      <c r="H43" s="10" t="s">
        <v>106</v>
      </c>
      <c r="I43" s="11">
        <v>1</v>
      </c>
      <c r="J43" s="9"/>
      <c r="K43" s="10"/>
      <c r="L43" s="11"/>
      <c r="M43" s="15"/>
      <c r="O43" s="16"/>
    </row>
    <row r="44" spans="1:18" x14ac:dyDescent="0.4">
      <c r="A44" t="s">
        <v>94</v>
      </c>
      <c r="B44" s="8" t="s">
        <v>107</v>
      </c>
      <c r="C44" t="s">
        <v>108</v>
      </c>
      <c r="D44" s="17" t="s">
        <v>97</v>
      </c>
      <c r="E44" s="10" t="s">
        <v>98</v>
      </c>
      <c r="F44" s="10">
        <v>1</v>
      </c>
      <c r="G44" s="17" t="s">
        <v>109</v>
      </c>
      <c r="H44" s="10" t="s">
        <v>110</v>
      </c>
      <c r="I44" s="11">
        <v>1</v>
      </c>
      <c r="J44" s="9"/>
      <c r="K44" s="10"/>
      <c r="L44" s="11"/>
      <c r="M44" s="15"/>
      <c r="O44" s="16"/>
    </row>
    <row r="45" spans="1:18" x14ac:dyDescent="0.4">
      <c r="A45" t="s">
        <v>19</v>
      </c>
      <c r="B45" s="8" t="s">
        <v>111</v>
      </c>
      <c r="C45" t="s">
        <v>112</v>
      </c>
      <c r="D45" s="17" t="s">
        <v>63</v>
      </c>
      <c r="E45" s="10" t="s">
        <v>113</v>
      </c>
      <c r="F45" s="10">
        <v>5</v>
      </c>
      <c r="G45" s="17"/>
      <c r="H45" s="10"/>
      <c r="I45" s="11"/>
      <c r="J45" s="9"/>
      <c r="K45" s="10"/>
      <c r="L45" s="11"/>
      <c r="M45" s="15"/>
      <c r="O45" s="16"/>
    </row>
    <row r="46" spans="1:18" x14ac:dyDescent="0.4">
      <c r="A46" t="s">
        <v>19</v>
      </c>
      <c r="B46" s="8" t="s">
        <v>114</v>
      </c>
      <c r="C46" t="s">
        <v>115</v>
      </c>
      <c r="D46" s="8" t="s">
        <v>116</v>
      </c>
      <c r="E46" s="28" t="s">
        <v>117</v>
      </c>
      <c r="F46" s="10">
        <v>5</v>
      </c>
      <c r="J46" s="15"/>
      <c r="K46" s="10"/>
      <c r="L46" s="11"/>
      <c r="M46" s="15"/>
      <c r="O46" s="16"/>
    </row>
    <row r="47" spans="1:18" x14ac:dyDescent="0.4">
      <c r="A47" t="s">
        <v>19</v>
      </c>
      <c r="B47" s="8" t="s">
        <v>118</v>
      </c>
      <c r="C47" t="s">
        <v>119</v>
      </c>
      <c r="D47" s="8" t="s">
        <v>120</v>
      </c>
      <c r="E47" t="s">
        <v>121</v>
      </c>
      <c r="F47" s="10">
        <v>2</v>
      </c>
    </row>
    <row r="48" spans="1:18" x14ac:dyDescent="0.4">
      <c r="A48" t="s">
        <v>19</v>
      </c>
      <c r="B48" s="8" t="s">
        <v>122</v>
      </c>
      <c r="C48" t="s">
        <v>123</v>
      </c>
      <c r="D48" s="8" t="s">
        <v>32</v>
      </c>
      <c r="E48" t="str">
        <f>VLOOKUP(D48,'[1]CADASTRO PRODUTOS'!$E:$G,3,0)</f>
        <v>Amostra Serum Intimo Dita Cuja 12 em 1</v>
      </c>
      <c r="F48" s="10">
        <v>5</v>
      </c>
    </row>
    <row r="49" spans="1:18" x14ac:dyDescent="0.4">
      <c r="A49" t="s">
        <v>124</v>
      </c>
      <c r="B49" s="8" t="s">
        <v>125</v>
      </c>
      <c r="C49" t="s">
        <v>126</v>
      </c>
      <c r="D49" s="8" t="s">
        <v>127</v>
      </c>
      <c r="E49" t="s">
        <v>128</v>
      </c>
      <c r="F49" s="10">
        <v>2</v>
      </c>
    </row>
    <row r="50" spans="1:18" x14ac:dyDescent="0.4">
      <c r="A50" t="s">
        <v>124</v>
      </c>
      <c r="B50" s="8" t="s">
        <v>129</v>
      </c>
      <c r="C50" t="s">
        <v>130</v>
      </c>
      <c r="D50" s="8" t="s">
        <v>131</v>
      </c>
      <c r="E50" t="s">
        <v>132</v>
      </c>
      <c r="F50" s="10">
        <v>1</v>
      </c>
      <c r="G50" s="8" t="s">
        <v>133</v>
      </c>
      <c r="H50" t="s">
        <v>134</v>
      </c>
      <c r="I50" s="10">
        <v>1</v>
      </c>
    </row>
    <row r="51" spans="1:18" x14ac:dyDescent="0.4">
      <c r="A51" t="s">
        <v>124</v>
      </c>
      <c r="B51" t="s">
        <v>135</v>
      </c>
      <c r="C51" t="s">
        <v>136</v>
      </c>
      <c r="D51" s="8" t="s">
        <v>131</v>
      </c>
      <c r="E51" t="s">
        <v>132</v>
      </c>
      <c r="F51" s="10">
        <v>1</v>
      </c>
      <c r="G51" s="8" t="s">
        <v>133</v>
      </c>
      <c r="H51" t="s">
        <v>134</v>
      </c>
      <c r="I51" s="10">
        <v>1</v>
      </c>
      <c r="J51" s="8" t="s">
        <v>137</v>
      </c>
      <c r="K51" t="s">
        <v>138</v>
      </c>
      <c r="L51" s="10">
        <v>1</v>
      </c>
      <c r="M51" s="8" t="s">
        <v>127</v>
      </c>
      <c r="N51" t="s">
        <v>128</v>
      </c>
      <c r="O51" s="10">
        <v>1</v>
      </c>
      <c r="P51" s="8" t="s">
        <v>139</v>
      </c>
      <c r="Q51" t="s">
        <v>140</v>
      </c>
      <c r="R51">
        <v>1</v>
      </c>
    </row>
    <row r="52" spans="1:18" ht="15.45" x14ac:dyDescent="0.4">
      <c r="A52" t="s">
        <v>19</v>
      </c>
      <c r="B52" s="8" t="s">
        <v>141</v>
      </c>
      <c r="C52" t="s">
        <v>142</v>
      </c>
      <c r="D52" s="19" t="s">
        <v>63</v>
      </c>
      <c r="E52" s="10" t="str">
        <f>VLOOKUP(D52,'[1]CADASTRO PRODUTOS'!$E:$G,3,0)</f>
        <v>Espuma Natural de Higiene Intima Sensitive</v>
      </c>
      <c r="F52" s="10">
        <v>10</v>
      </c>
    </row>
    <row r="53" spans="1:18" x14ac:dyDescent="0.4">
      <c r="A53" t="s">
        <v>19</v>
      </c>
      <c r="B53" s="8" t="s">
        <v>143</v>
      </c>
      <c r="C53" t="s">
        <v>144</v>
      </c>
      <c r="D53" s="8" t="s">
        <v>32</v>
      </c>
      <c r="E53" t="str">
        <f>VLOOKUP(D53,'[1]CADASTRO PRODUTOS'!$E:$G,3,0)</f>
        <v>Amostra Serum Intimo Dita Cuja 12 em 1</v>
      </c>
      <c r="F53" s="10">
        <v>5</v>
      </c>
    </row>
    <row r="54" spans="1:18" x14ac:dyDescent="0.4">
      <c r="A54" t="s">
        <v>124</v>
      </c>
      <c r="B54" s="8" t="s">
        <v>145</v>
      </c>
      <c r="C54" t="s">
        <v>146</v>
      </c>
      <c r="D54" s="8" t="s">
        <v>147</v>
      </c>
      <c r="E54" t="s">
        <v>148</v>
      </c>
      <c r="F54" s="10">
        <v>1</v>
      </c>
      <c r="G54" s="8" t="s">
        <v>139</v>
      </c>
      <c r="H54" t="s">
        <v>149</v>
      </c>
      <c r="I54" s="10">
        <v>1</v>
      </c>
    </row>
    <row r="55" spans="1:18" x14ac:dyDescent="0.4">
      <c r="A55" t="s">
        <v>68</v>
      </c>
      <c r="B55" s="8" t="s">
        <v>150</v>
      </c>
      <c r="C55" t="s">
        <v>151</v>
      </c>
      <c r="D55" s="8" t="s">
        <v>87</v>
      </c>
      <c r="E55" t="s">
        <v>88</v>
      </c>
      <c r="F55" s="10">
        <v>1</v>
      </c>
      <c r="G55" s="8" t="s">
        <v>152</v>
      </c>
      <c r="H55" t="s">
        <v>153</v>
      </c>
      <c r="I55" s="10">
        <v>1</v>
      </c>
    </row>
    <row r="56" spans="1:18" x14ac:dyDescent="0.4">
      <c r="A56" t="s">
        <v>68</v>
      </c>
      <c r="B56" s="8" t="s">
        <v>154</v>
      </c>
      <c r="C56" t="s">
        <v>155</v>
      </c>
      <c r="D56" s="8" t="s">
        <v>87</v>
      </c>
      <c r="E56" t="s">
        <v>88</v>
      </c>
      <c r="F56" s="10">
        <v>1</v>
      </c>
      <c r="G56" s="8" t="s">
        <v>156</v>
      </c>
      <c r="H56" t="s">
        <v>157</v>
      </c>
      <c r="I56" s="10">
        <v>1</v>
      </c>
    </row>
    <row r="57" spans="1:18" x14ac:dyDescent="0.4">
      <c r="A57" t="s">
        <v>68</v>
      </c>
      <c r="B57" s="8" t="s">
        <v>158</v>
      </c>
      <c r="C57" t="s">
        <v>159</v>
      </c>
      <c r="D57" s="8" t="s">
        <v>152</v>
      </c>
      <c r="E57" t="s">
        <v>153</v>
      </c>
      <c r="F57" s="10">
        <v>1</v>
      </c>
      <c r="G57" s="8" t="s">
        <v>156</v>
      </c>
      <c r="H57" t="s">
        <v>157</v>
      </c>
      <c r="I57" s="10">
        <v>1</v>
      </c>
    </row>
    <row r="58" spans="1:18" x14ac:dyDescent="0.4">
      <c r="A58" t="s">
        <v>68</v>
      </c>
      <c r="B58" s="8" t="s">
        <v>160</v>
      </c>
      <c r="C58" t="s">
        <v>161</v>
      </c>
      <c r="D58" s="8" t="s">
        <v>152</v>
      </c>
      <c r="E58" t="s">
        <v>153</v>
      </c>
      <c r="F58" s="10">
        <v>1</v>
      </c>
      <c r="G58" s="8" t="s">
        <v>87</v>
      </c>
      <c r="H58" t="s">
        <v>88</v>
      </c>
      <c r="I58" s="10">
        <v>1</v>
      </c>
      <c r="J58" s="8" t="s">
        <v>156</v>
      </c>
      <c r="K58" t="s">
        <v>157</v>
      </c>
      <c r="L58" s="10">
        <v>1</v>
      </c>
    </row>
    <row r="59" spans="1:18" x14ac:dyDescent="0.4">
      <c r="A59" t="s">
        <v>68</v>
      </c>
      <c r="B59" s="8" t="s">
        <v>162</v>
      </c>
      <c r="C59" t="s">
        <v>163</v>
      </c>
      <c r="D59" s="8" t="s">
        <v>164</v>
      </c>
      <c r="E59" t="s">
        <v>165</v>
      </c>
      <c r="F59" s="10">
        <v>1</v>
      </c>
      <c r="G59" s="8" t="s">
        <v>71</v>
      </c>
      <c r="H59" t="s">
        <v>166</v>
      </c>
      <c r="I59" s="10">
        <v>1</v>
      </c>
      <c r="J59" s="8" t="s">
        <v>72</v>
      </c>
      <c r="K59" t="s">
        <v>167</v>
      </c>
      <c r="L59" s="10">
        <v>1</v>
      </c>
      <c r="M59" s="8" t="s">
        <v>73</v>
      </c>
      <c r="N59" t="s">
        <v>168</v>
      </c>
      <c r="O59" s="10">
        <v>1</v>
      </c>
      <c r="P59" s="8" t="s">
        <v>75</v>
      </c>
      <c r="Q59" t="s">
        <v>169</v>
      </c>
      <c r="R59" s="10">
        <v>1</v>
      </c>
    </row>
    <row r="60" spans="1:18" x14ac:dyDescent="0.4">
      <c r="A60" t="s">
        <v>94</v>
      </c>
      <c r="B60" s="8" t="s">
        <v>170</v>
      </c>
      <c r="C60" t="s">
        <v>170</v>
      </c>
      <c r="D60" s="8" t="s">
        <v>171</v>
      </c>
      <c r="E60" t="s">
        <v>172</v>
      </c>
      <c r="F60" s="10">
        <v>1</v>
      </c>
      <c r="G60" s="8" t="s">
        <v>173</v>
      </c>
      <c r="H60" t="s">
        <v>174</v>
      </c>
      <c r="I60" s="10">
        <v>1</v>
      </c>
      <c r="J60" s="8" t="s">
        <v>175</v>
      </c>
      <c r="K60" t="s">
        <v>176</v>
      </c>
      <c r="L60" s="10">
        <v>1</v>
      </c>
      <c r="M60" s="8" t="s">
        <v>177</v>
      </c>
      <c r="N60" t="s">
        <v>177</v>
      </c>
      <c r="O60" s="10">
        <v>1</v>
      </c>
      <c r="R60" s="10"/>
    </row>
    <row r="61" spans="1:18" x14ac:dyDescent="0.4">
      <c r="A61" t="s">
        <v>68</v>
      </c>
      <c r="B61" t="s">
        <v>178</v>
      </c>
      <c r="C61" t="s">
        <v>179</v>
      </c>
      <c r="D61" s="8" t="s">
        <v>180</v>
      </c>
      <c r="E61" t="s">
        <v>181</v>
      </c>
      <c r="F61" s="10">
        <v>1</v>
      </c>
      <c r="G61" s="8" t="s">
        <v>182</v>
      </c>
      <c r="H61" t="s">
        <v>183</v>
      </c>
      <c r="I61" s="10">
        <v>1</v>
      </c>
      <c r="J61" s="8" t="s">
        <v>184</v>
      </c>
      <c r="K61" t="s">
        <v>185</v>
      </c>
      <c r="L61" s="10">
        <v>1</v>
      </c>
      <c r="O61" s="10"/>
      <c r="R61" s="10"/>
    </row>
    <row r="62" spans="1:18" x14ac:dyDescent="0.4">
      <c r="A62" t="s">
        <v>68</v>
      </c>
      <c r="B62" t="s">
        <v>186</v>
      </c>
      <c r="C62" t="s">
        <v>187</v>
      </c>
      <c r="D62" s="8" t="s">
        <v>180</v>
      </c>
      <c r="E62" t="s">
        <v>181</v>
      </c>
      <c r="F62" s="10">
        <v>1</v>
      </c>
      <c r="G62" s="8" t="s">
        <v>182</v>
      </c>
      <c r="H62" t="s">
        <v>183</v>
      </c>
      <c r="I62" s="10">
        <v>1</v>
      </c>
      <c r="J62" s="8" t="s">
        <v>184</v>
      </c>
      <c r="K62" t="s">
        <v>185</v>
      </c>
      <c r="L62" s="10">
        <v>1</v>
      </c>
      <c r="M62" s="8" t="s">
        <v>164</v>
      </c>
      <c r="N62" t="s">
        <v>165</v>
      </c>
      <c r="O62" s="10">
        <v>1</v>
      </c>
      <c r="P62" s="8" t="s">
        <v>75</v>
      </c>
      <c r="Q62" t="s">
        <v>169</v>
      </c>
      <c r="R62" s="10">
        <v>1</v>
      </c>
    </row>
    <row r="63" spans="1:18" x14ac:dyDescent="0.4">
      <c r="A63" t="s">
        <v>68</v>
      </c>
      <c r="B63" t="s">
        <v>188</v>
      </c>
      <c r="C63" t="s">
        <v>189</v>
      </c>
      <c r="D63" s="8" t="s">
        <v>190</v>
      </c>
      <c r="E63" t="s">
        <v>191</v>
      </c>
      <c r="F63" s="10">
        <v>1</v>
      </c>
      <c r="G63" s="8" t="s">
        <v>152</v>
      </c>
      <c r="H63" t="s">
        <v>153</v>
      </c>
      <c r="I63" s="10">
        <v>1</v>
      </c>
      <c r="J63" s="8" t="s">
        <v>192</v>
      </c>
      <c r="K63" t="s">
        <v>193</v>
      </c>
      <c r="L63" s="10">
        <v>1</v>
      </c>
    </row>
    <row r="64" spans="1:18" x14ac:dyDescent="0.4">
      <c r="A64" t="s">
        <v>68</v>
      </c>
      <c r="B64" t="s">
        <v>194</v>
      </c>
      <c r="C64" t="s">
        <v>195</v>
      </c>
      <c r="D64" s="8" t="s">
        <v>196</v>
      </c>
      <c r="E64" t="s">
        <v>197</v>
      </c>
      <c r="F64" s="10">
        <v>1</v>
      </c>
      <c r="G64" s="8" t="s">
        <v>198</v>
      </c>
      <c r="H64" t="s">
        <v>199</v>
      </c>
      <c r="I64" s="10">
        <v>1</v>
      </c>
      <c r="J64" s="8" t="s">
        <v>156</v>
      </c>
      <c r="K64" t="s">
        <v>157</v>
      </c>
      <c r="L64" s="10">
        <v>1</v>
      </c>
    </row>
    <row r="65" spans="1:36" x14ac:dyDescent="0.4">
      <c r="A65" t="s">
        <v>68</v>
      </c>
      <c r="B65" t="s">
        <v>200</v>
      </c>
      <c r="C65" t="s">
        <v>201</v>
      </c>
      <c r="D65" s="8" t="s">
        <v>202</v>
      </c>
      <c r="E65" t="s">
        <v>203</v>
      </c>
      <c r="F65" s="10">
        <v>1</v>
      </c>
      <c r="G65" s="8" t="s">
        <v>204</v>
      </c>
      <c r="H65" t="s">
        <v>205</v>
      </c>
      <c r="I65" s="10">
        <v>1</v>
      </c>
    </row>
    <row r="66" spans="1:36" x14ac:dyDescent="0.4">
      <c r="A66" t="s">
        <v>68</v>
      </c>
      <c r="B66" t="s">
        <v>206</v>
      </c>
      <c r="C66" t="s">
        <v>207</v>
      </c>
      <c r="D66" s="8" t="s">
        <v>202</v>
      </c>
      <c r="E66" t="s">
        <v>203</v>
      </c>
      <c r="F66" s="10">
        <v>1</v>
      </c>
      <c r="G66" s="8" t="s">
        <v>204</v>
      </c>
      <c r="H66" t="s">
        <v>205</v>
      </c>
      <c r="I66" s="10">
        <v>1</v>
      </c>
      <c r="J66" s="8" t="s">
        <v>80</v>
      </c>
      <c r="K66" t="s">
        <v>208</v>
      </c>
      <c r="L66" s="10">
        <v>1</v>
      </c>
      <c r="M66" s="8" t="s">
        <v>81</v>
      </c>
      <c r="N66" t="s">
        <v>209</v>
      </c>
      <c r="O66" s="29">
        <v>1</v>
      </c>
      <c r="P66" s="8" t="s">
        <v>82</v>
      </c>
      <c r="Q66" t="s">
        <v>210</v>
      </c>
      <c r="R66" s="10">
        <v>1</v>
      </c>
      <c r="S66" t="s">
        <v>91</v>
      </c>
      <c r="T66" t="s">
        <v>92</v>
      </c>
      <c r="U66" s="10">
        <v>1</v>
      </c>
      <c r="V66" t="s">
        <v>164</v>
      </c>
      <c r="W66" t="s">
        <v>165</v>
      </c>
      <c r="X66" s="10">
        <v>1</v>
      </c>
      <c r="Y66" t="s">
        <v>71</v>
      </c>
      <c r="Z66" t="s">
        <v>166</v>
      </c>
      <c r="AA66" s="10">
        <v>1</v>
      </c>
      <c r="AB66" t="s">
        <v>72</v>
      </c>
      <c r="AC66" t="s">
        <v>167</v>
      </c>
      <c r="AD66" s="10">
        <v>1</v>
      </c>
      <c r="AE66" t="s">
        <v>73</v>
      </c>
      <c r="AF66" t="s">
        <v>168</v>
      </c>
      <c r="AG66" s="10">
        <v>1</v>
      </c>
      <c r="AH66" t="s">
        <v>75</v>
      </c>
      <c r="AI66" t="s">
        <v>169</v>
      </c>
      <c r="AJ66" s="10">
        <v>1</v>
      </c>
    </row>
    <row r="67" spans="1:36" x14ac:dyDescent="0.4">
      <c r="A67" t="s">
        <v>68</v>
      </c>
      <c r="B67" t="s">
        <v>211</v>
      </c>
      <c r="C67" t="s">
        <v>212</v>
      </c>
      <c r="D67" s="8" t="s">
        <v>202</v>
      </c>
      <c r="E67" t="s">
        <v>203</v>
      </c>
      <c r="F67" s="10">
        <v>1</v>
      </c>
      <c r="G67" s="8" t="s">
        <v>213</v>
      </c>
      <c r="H67" t="s">
        <v>214</v>
      </c>
      <c r="I67" s="10">
        <v>1</v>
      </c>
    </row>
    <row r="68" spans="1:36" x14ac:dyDescent="0.4">
      <c r="A68" t="s">
        <v>94</v>
      </c>
      <c r="B68" t="s">
        <v>215</v>
      </c>
      <c r="C68" t="s">
        <v>215</v>
      </c>
      <c r="D68" s="8" t="s">
        <v>216</v>
      </c>
      <c r="E68" t="s">
        <v>216</v>
      </c>
      <c r="F68" s="10">
        <v>1</v>
      </c>
      <c r="G68" s="8" t="s">
        <v>101</v>
      </c>
      <c r="H68" t="s">
        <v>217</v>
      </c>
      <c r="I68" s="10">
        <v>1</v>
      </c>
      <c r="J68" s="8" t="s">
        <v>171</v>
      </c>
      <c r="K68" t="s">
        <v>172</v>
      </c>
      <c r="L68" s="10">
        <v>1</v>
      </c>
    </row>
    <row r="69" spans="1:36" x14ac:dyDescent="0.4">
      <c r="A69" t="s">
        <v>94</v>
      </c>
      <c r="B69" t="s">
        <v>218</v>
      </c>
      <c r="C69" t="s">
        <v>218</v>
      </c>
      <c r="D69" s="8" t="s">
        <v>219</v>
      </c>
      <c r="E69" t="s">
        <v>219</v>
      </c>
      <c r="F69" s="10">
        <v>1</v>
      </c>
      <c r="G69" s="8" t="s">
        <v>101</v>
      </c>
      <c r="H69" t="s">
        <v>217</v>
      </c>
      <c r="I69" s="10">
        <v>1</v>
      </c>
      <c r="J69" s="8" t="s">
        <v>171</v>
      </c>
      <c r="K69" t="s">
        <v>172</v>
      </c>
      <c r="L69" s="10">
        <v>1</v>
      </c>
    </row>
    <row r="70" spans="1:36" x14ac:dyDescent="0.4">
      <c r="A70" t="s">
        <v>94</v>
      </c>
      <c r="B70" t="s">
        <v>220</v>
      </c>
      <c r="C70" t="s">
        <v>220</v>
      </c>
      <c r="D70" s="8" t="s">
        <v>221</v>
      </c>
      <c r="E70" t="s">
        <v>222</v>
      </c>
      <c r="F70" s="10">
        <v>1</v>
      </c>
      <c r="G70" s="8" t="s">
        <v>177</v>
      </c>
      <c r="H70" t="s">
        <v>177</v>
      </c>
      <c r="I70" s="10">
        <v>1</v>
      </c>
    </row>
    <row r="71" spans="1:36" x14ac:dyDescent="0.4">
      <c r="A71" t="s">
        <v>94</v>
      </c>
      <c r="B71" t="s">
        <v>223</v>
      </c>
      <c r="C71" t="s">
        <v>223</v>
      </c>
      <c r="D71" s="8" t="s">
        <v>221</v>
      </c>
      <c r="E71" t="s">
        <v>222</v>
      </c>
      <c r="F71" s="10">
        <v>1</v>
      </c>
      <c r="G71" s="8" t="s">
        <v>224</v>
      </c>
      <c r="H71" t="s">
        <v>225</v>
      </c>
      <c r="I71" s="10">
        <v>1</v>
      </c>
    </row>
    <row r="72" spans="1:36" x14ac:dyDescent="0.4">
      <c r="A72" t="s">
        <v>94</v>
      </c>
      <c r="B72" t="s">
        <v>226</v>
      </c>
      <c r="C72" t="s">
        <v>226</v>
      </c>
      <c r="D72" s="8" t="s">
        <v>219</v>
      </c>
      <c r="E72" t="s">
        <v>219</v>
      </c>
      <c r="F72" s="10">
        <v>1</v>
      </c>
      <c r="G72" s="8" t="s">
        <v>221</v>
      </c>
      <c r="H72" t="s">
        <v>222</v>
      </c>
      <c r="I72" s="10">
        <v>1</v>
      </c>
      <c r="J72" s="8" t="s">
        <v>171</v>
      </c>
      <c r="K72" t="s">
        <v>172</v>
      </c>
      <c r="L72" s="10">
        <v>1</v>
      </c>
    </row>
    <row r="73" spans="1:36" x14ac:dyDescent="0.4">
      <c r="A73" t="s">
        <v>94</v>
      </c>
      <c r="B73" t="s">
        <v>227</v>
      </c>
      <c r="C73" t="s">
        <v>227</v>
      </c>
      <c r="D73" s="8" t="s">
        <v>219</v>
      </c>
      <c r="E73" t="s">
        <v>219</v>
      </c>
      <c r="F73" s="10">
        <v>1</v>
      </c>
      <c r="G73" s="8" t="s">
        <v>221</v>
      </c>
      <c r="H73" t="s">
        <v>222</v>
      </c>
      <c r="I73" s="10">
        <v>1</v>
      </c>
      <c r="J73" s="8" t="s">
        <v>173</v>
      </c>
      <c r="K73" t="s">
        <v>174</v>
      </c>
      <c r="L73" s="10">
        <v>1</v>
      </c>
    </row>
    <row r="74" spans="1:36" x14ac:dyDescent="0.4">
      <c r="A74" t="s">
        <v>94</v>
      </c>
      <c r="B74" t="s">
        <v>228</v>
      </c>
      <c r="C74" t="s">
        <v>228</v>
      </c>
      <c r="D74" s="8" t="s">
        <v>219</v>
      </c>
      <c r="E74" t="s">
        <v>219</v>
      </c>
      <c r="F74" s="10">
        <v>1</v>
      </c>
      <c r="G74" s="8" t="s">
        <v>221</v>
      </c>
      <c r="H74" t="s">
        <v>222</v>
      </c>
      <c r="I74" s="10">
        <v>1</v>
      </c>
      <c r="J74" s="8" t="s">
        <v>175</v>
      </c>
      <c r="K74" t="s">
        <v>176</v>
      </c>
      <c r="L74" s="10">
        <v>1</v>
      </c>
    </row>
    <row r="75" spans="1:36" x14ac:dyDescent="0.4">
      <c r="A75" t="s">
        <v>94</v>
      </c>
      <c r="B75" t="s">
        <v>229</v>
      </c>
      <c r="C75" t="s">
        <v>229</v>
      </c>
      <c r="D75" s="8" t="s">
        <v>224</v>
      </c>
      <c r="E75" t="s">
        <v>225</v>
      </c>
      <c r="F75" s="10">
        <v>1</v>
      </c>
      <c r="G75" s="8" t="s">
        <v>230</v>
      </c>
      <c r="H75" t="s">
        <v>231</v>
      </c>
      <c r="I75" s="10">
        <v>1</v>
      </c>
    </row>
    <row r="76" spans="1:36" x14ac:dyDescent="0.4">
      <c r="A76" t="s">
        <v>94</v>
      </c>
      <c r="B76" t="s">
        <v>232</v>
      </c>
      <c r="C76" t="s">
        <v>232</v>
      </c>
      <c r="D76" s="8" t="s">
        <v>224</v>
      </c>
      <c r="E76" t="s">
        <v>225</v>
      </c>
      <c r="F76" s="10">
        <v>1</v>
      </c>
      <c r="G76" s="8" t="s">
        <v>233</v>
      </c>
      <c r="H76" t="s">
        <v>234</v>
      </c>
      <c r="I76" s="10">
        <v>1</v>
      </c>
    </row>
    <row r="77" spans="1:36" x14ac:dyDescent="0.4">
      <c r="A77" t="s">
        <v>94</v>
      </c>
      <c r="B77" t="s">
        <v>235</v>
      </c>
      <c r="C77" t="s">
        <v>235</v>
      </c>
      <c r="D77" s="8" t="s">
        <v>224</v>
      </c>
      <c r="E77" t="s">
        <v>225</v>
      </c>
      <c r="F77" s="10">
        <v>1</v>
      </c>
      <c r="G77" s="8" t="s">
        <v>236</v>
      </c>
      <c r="H77" t="s">
        <v>237</v>
      </c>
      <c r="I77" s="10">
        <v>1</v>
      </c>
    </row>
    <row r="78" spans="1:36" x14ac:dyDescent="0.4">
      <c r="A78" t="s">
        <v>94</v>
      </c>
      <c r="B78" t="s">
        <v>238</v>
      </c>
      <c r="C78" t="s">
        <v>238</v>
      </c>
      <c r="D78" s="8" t="s">
        <v>224</v>
      </c>
      <c r="E78" t="s">
        <v>225</v>
      </c>
      <c r="F78" s="10">
        <v>1</v>
      </c>
      <c r="G78" s="8" t="s">
        <v>239</v>
      </c>
      <c r="H78" t="s">
        <v>240</v>
      </c>
      <c r="I78" s="10">
        <v>1</v>
      </c>
    </row>
    <row r="79" spans="1:36" x14ac:dyDescent="0.4">
      <c r="A79" t="s">
        <v>94</v>
      </c>
      <c r="B79" t="s">
        <v>241</v>
      </c>
      <c r="C79" t="s">
        <v>241</v>
      </c>
      <c r="D79" s="8" t="s">
        <v>242</v>
      </c>
      <c r="E79" t="s">
        <v>243</v>
      </c>
      <c r="F79" s="10">
        <v>1</v>
      </c>
      <c r="G79" s="8" t="s">
        <v>244</v>
      </c>
      <c r="H79" t="s">
        <v>245</v>
      </c>
      <c r="I79" s="10">
        <v>1</v>
      </c>
      <c r="J79" s="8" t="s">
        <v>101</v>
      </c>
      <c r="K79" t="s">
        <v>217</v>
      </c>
      <c r="L79" s="10">
        <v>1</v>
      </c>
    </row>
    <row r="80" spans="1:36" x14ac:dyDescent="0.4">
      <c r="A80" t="s">
        <v>94</v>
      </c>
      <c r="B80" t="s">
        <v>246</v>
      </c>
      <c r="C80" t="s">
        <v>246</v>
      </c>
      <c r="D80" s="8" t="s">
        <v>242</v>
      </c>
      <c r="E80" t="s">
        <v>243</v>
      </c>
      <c r="F80" s="10">
        <v>1</v>
      </c>
      <c r="G80" s="8" t="s">
        <v>247</v>
      </c>
      <c r="H80" t="s">
        <v>248</v>
      </c>
      <c r="I80" s="10">
        <v>1</v>
      </c>
      <c r="J80" s="8" t="s">
        <v>101</v>
      </c>
      <c r="K80" t="s">
        <v>217</v>
      </c>
      <c r="L80" s="10">
        <v>1</v>
      </c>
    </row>
    <row r="81" spans="1:24" x14ac:dyDescent="0.4">
      <c r="A81" t="s">
        <v>94</v>
      </c>
      <c r="B81" t="s">
        <v>249</v>
      </c>
      <c r="C81" t="s">
        <v>250</v>
      </c>
      <c r="D81" s="8" t="s">
        <v>177</v>
      </c>
      <c r="E81" t="s">
        <v>177</v>
      </c>
      <c r="F81" s="10">
        <v>1</v>
      </c>
      <c r="G81" s="8" t="s">
        <v>251</v>
      </c>
      <c r="H81" t="s">
        <v>252</v>
      </c>
      <c r="I81" s="10">
        <v>1</v>
      </c>
    </row>
    <row r="82" spans="1:24" x14ac:dyDescent="0.4">
      <c r="A82" t="s">
        <v>94</v>
      </c>
      <c r="B82" t="s">
        <v>253</v>
      </c>
      <c r="C82" t="s">
        <v>250</v>
      </c>
      <c r="D82" s="8" t="s">
        <v>224</v>
      </c>
      <c r="E82" t="s">
        <v>225</v>
      </c>
      <c r="F82" s="10">
        <v>1</v>
      </c>
      <c r="G82" s="8" t="s">
        <v>251</v>
      </c>
      <c r="H82" t="s">
        <v>252</v>
      </c>
      <c r="I82" s="10">
        <v>1</v>
      </c>
    </row>
    <row r="83" spans="1:24" x14ac:dyDescent="0.4">
      <c r="A83" t="s">
        <v>124</v>
      </c>
      <c r="B83" s="8" t="s">
        <v>254</v>
      </c>
      <c r="C83" t="s">
        <v>255</v>
      </c>
      <c r="D83" s="8" t="s">
        <v>133</v>
      </c>
      <c r="E83" t="s">
        <v>256</v>
      </c>
      <c r="F83" s="10">
        <v>2</v>
      </c>
    </row>
    <row r="84" spans="1:24" x14ac:dyDescent="0.4">
      <c r="A84" t="s">
        <v>124</v>
      </c>
      <c r="B84" t="s">
        <v>257</v>
      </c>
      <c r="C84" t="s">
        <v>258</v>
      </c>
      <c r="D84" s="8" t="s">
        <v>133</v>
      </c>
      <c r="E84" t="s">
        <v>256</v>
      </c>
      <c r="F84" s="10">
        <v>1</v>
      </c>
      <c r="G84" s="8" t="s">
        <v>259</v>
      </c>
      <c r="H84" t="s">
        <v>260</v>
      </c>
      <c r="I84" s="10">
        <v>1</v>
      </c>
    </row>
    <row r="85" spans="1:24" x14ac:dyDescent="0.4">
      <c r="A85" t="s">
        <v>19</v>
      </c>
      <c r="B85" s="8" t="s">
        <v>261</v>
      </c>
      <c r="C85" t="s">
        <v>262</v>
      </c>
      <c r="D85" s="30" t="s">
        <v>116</v>
      </c>
      <c r="E85" t="s">
        <v>117</v>
      </c>
      <c r="F85" s="10">
        <v>10</v>
      </c>
    </row>
    <row r="86" spans="1:24" x14ac:dyDescent="0.4">
      <c r="A86" t="s">
        <v>263</v>
      </c>
      <c r="B86" s="31">
        <v>3</v>
      </c>
      <c r="C86" t="s">
        <v>264</v>
      </c>
      <c r="D86" s="8" t="s">
        <v>265</v>
      </c>
      <c r="E86" t="s">
        <v>266</v>
      </c>
      <c r="F86" s="10">
        <v>3</v>
      </c>
    </row>
    <row r="87" spans="1:24" x14ac:dyDescent="0.4">
      <c r="A87" t="s">
        <v>263</v>
      </c>
      <c r="B87" s="31">
        <v>6</v>
      </c>
      <c r="C87" t="s">
        <v>267</v>
      </c>
      <c r="D87" s="8" t="s">
        <v>265</v>
      </c>
      <c r="E87" t="s">
        <v>266</v>
      </c>
      <c r="F87" s="10">
        <v>6</v>
      </c>
    </row>
    <row r="88" spans="1:24" x14ac:dyDescent="0.4">
      <c r="A88" t="s">
        <v>263</v>
      </c>
      <c r="B88" s="31">
        <v>1</v>
      </c>
      <c r="C88" t="s">
        <v>268</v>
      </c>
      <c r="D88" s="8" t="s">
        <v>265</v>
      </c>
      <c r="E88" t="s">
        <v>266</v>
      </c>
      <c r="F88" s="10">
        <v>1</v>
      </c>
    </row>
    <row r="89" spans="1:24" x14ac:dyDescent="0.4">
      <c r="A89" t="s">
        <v>68</v>
      </c>
      <c r="B89" t="s">
        <v>269</v>
      </c>
      <c r="C89" t="s">
        <v>270</v>
      </c>
      <c r="D89" s="8" t="s">
        <v>271</v>
      </c>
      <c r="E89" t="s">
        <v>272</v>
      </c>
      <c r="F89" s="10">
        <v>1</v>
      </c>
      <c r="G89" s="8" t="s">
        <v>273</v>
      </c>
      <c r="H89" t="s">
        <v>274</v>
      </c>
      <c r="I89" s="10">
        <v>1</v>
      </c>
    </row>
    <row r="90" spans="1:24" x14ac:dyDescent="0.4">
      <c r="A90" t="s">
        <v>68</v>
      </c>
      <c r="B90" t="s">
        <v>275</v>
      </c>
      <c r="C90" t="s">
        <v>276</v>
      </c>
      <c r="D90" s="8" t="s">
        <v>277</v>
      </c>
      <c r="E90" t="s">
        <v>278</v>
      </c>
      <c r="F90" s="10">
        <v>1</v>
      </c>
      <c r="G90" s="8" t="s">
        <v>279</v>
      </c>
      <c r="H90" t="s">
        <v>280</v>
      </c>
      <c r="I90" s="10">
        <v>1</v>
      </c>
    </row>
    <row r="91" spans="1:24" x14ac:dyDescent="0.4">
      <c r="A91" t="s">
        <v>68</v>
      </c>
      <c r="B91" t="s">
        <v>281</v>
      </c>
      <c r="C91" t="s">
        <v>282</v>
      </c>
      <c r="D91" s="8" t="s">
        <v>283</v>
      </c>
      <c r="E91" t="s">
        <v>284</v>
      </c>
      <c r="F91" s="10">
        <v>1</v>
      </c>
      <c r="G91" s="8" t="s">
        <v>285</v>
      </c>
      <c r="H91" t="s">
        <v>286</v>
      </c>
      <c r="I91" s="10">
        <v>1</v>
      </c>
    </row>
    <row r="92" spans="1:24" x14ac:dyDescent="0.4">
      <c r="A92" t="s">
        <v>68</v>
      </c>
      <c r="B92" t="s">
        <v>287</v>
      </c>
      <c r="C92" t="s">
        <v>288</v>
      </c>
      <c r="D92" s="8" t="s">
        <v>289</v>
      </c>
      <c r="E92" t="s">
        <v>290</v>
      </c>
      <c r="F92" s="10">
        <v>1</v>
      </c>
      <c r="G92" s="8" t="s">
        <v>291</v>
      </c>
      <c r="H92" t="s">
        <v>292</v>
      </c>
      <c r="I92" s="10">
        <v>1</v>
      </c>
    </row>
    <row r="93" spans="1:24" x14ac:dyDescent="0.4">
      <c r="A93" t="s">
        <v>68</v>
      </c>
      <c r="B93" t="s">
        <v>293</v>
      </c>
      <c r="C93" t="s">
        <v>294</v>
      </c>
      <c r="D93" s="8" t="s">
        <v>277</v>
      </c>
      <c r="E93" t="s">
        <v>278</v>
      </c>
      <c r="F93" s="10">
        <v>1</v>
      </c>
      <c r="G93" s="8" t="s">
        <v>279</v>
      </c>
      <c r="H93" t="s">
        <v>280</v>
      </c>
      <c r="I93" s="10">
        <v>1</v>
      </c>
      <c r="J93" s="8" t="s">
        <v>291</v>
      </c>
      <c r="K93" t="s">
        <v>292</v>
      </c>
      <c r="L93" s="10">
        <v>1</v>
      </c>
      <c r="M93" s="8" t="s">
        <v>295</v>
      </c>
      <c r="N93" t="s">
        <v>296</v>
      </c>
      <c r="O93">
        <v>1</v>
      </c>
    </row>
    <row r="94" spans="1:24" x14ac:dyDescent="0.4">
      <c r="A94" t="s">
        <v>68</v>
      </c>
      <c r="B94" t="s">
        <v>297</v>
      </c>
      <c r="C94" t="s">
        <v>298</v>
      </c>
      <c r="D94" s="8" t="s">
        <v>283</v>
      </c>
      <c r="E94" t="s">
        <v>284</v>
      </c>
      <c r="F94" s="10">
        <v>1</v>
      </c>
      <c r="G94" s="8" t="s">
        <v>285</v>
      </c>
      <c r="H94" t="s">
        <v>286</v>
      </c>
      <c r="I94" s="10">
        <v>1</v>
      </c>
      <c r="J94" s="8" t="s">
        <v>289</v>
      </c>
      <c r="K94" t="s">
        <v>290</v>
      </c>
      <c r="L94" s="10">
        <v>1</v>
      </c>
      <c r="M94" s="8" t="s">
        <v>295</v>
      </c>
      <c r="N94" t="s">
        <v>296</v>
      </c>
      <c r="O94">
        <v>1</v>
      </c>
    </row>
    <row r="95" spans="1:24" x14ac:dyDescent="0.4">
      <c r="A95" t="s">
        <v>68</v>
      </c>
      <c r="B95" t="s">
        <v>299</v>
      </c>
      <c r="C95" t="s">
        <v>300</v>
      </c>
      <c r="D95" s="8" t="s">
        <v>277</v>
      </c>
      <c r="E95" t="s">
        <v>278</v>
      </c>
      <c r="F95" s="10">
        <v>1</v>
      </c>
      <c r="G95" s="8" t="s">
        <v>279</v>
      </c>
      <c r="H95" t="s">
        <v>280</v>
      </c>
      <c r="I95" s="10">
        <v>1</v>
      </c>
      <c r="J95" s="8" t="s">
        <v>283</v>
      </c>
      <c r="K95" t="s">
        <v>284</v>
      </c>
      <c r="L95" s="10">
        <v>1</v>
      </c>
      <c r="M95" s="8" t="s">
        <v>285</v>
      </c>
      <c r="N95" t="s">
        <v>286</v>
      </c>
      <c r="O95">
        <v>1</v>
      </c>
      <c r="P95" s="8" t="s">
        <v>289</v>
      </c>
      <c r="Q95" t="s">
        <v>290</v>
      </c>
      <c r="R95">
        <v>1</v>
      </c>
      <c r="S95" t="s">
        <v>291</v>
      </c>
      <c r="T95" t="s">
        <v>292</v>
      </c>
      <c r="U95">
        <v>1</v>
      </c>
      <c r="V95" t="s">
        <v>295</v>
      </c>
      <c r="W95" t="s">
        <v>296</v>
      </c>
      <c r="X95">
        <v>1</v>
      </c>
    </row>
    <row r="96" spans="1:24" x14ac:dyDescent="0.4">
      <c r="A96" t="s">
        <v>301</v>
      </c>
      <c r="B96" t="s">
        <v>302</v>
      </c>
      <c r="C96" t="s">
        <v>303</v>
      </c>
      <c r="D96" s="8" t="s">
        <v>304</v>
      </c>
      <c r="E96" t="s">
        <v>305</v>
      </c>
      <c r="F96" s="10">
        <v>1</v>
      </c>
      <c r="G96" s="8" t="s">
        <v>306</v>
      </c>
      <c r="H96" t="s">
        <v>307</v>
      </c>
      <c r="I96" s="10">
        <v>1</v>
      </c>
      <c r="J96" s="8" t="s">
        <v>308</v>
      </c>
      <c r="K96" t="s">
        <v>309</v>
      </c>
      <c r="L96" s="10">
        <v>1</v>
      </c>
      <c r="M96" s="8" t="s">
        <v>310</v>
      </c>
      <c r="N96" t="s">
        <v>311</v>
      </c>
      <c r="O96">
        <v>1</v>
      </c>
    </row>
    <row r="97" spans="1:15" x14ac:dyDescent="0.4">
      <c r="A97" t="s">
        <v>301</v>
      </c>
      <c r="B97" t="s">
        <v>312</v>
      </c>
      <c r="C97" t="s">
        <v>313</v>
      </c>
      <c r="D97" s="8" t="s">
        <v>314</v>
      </c>
      <c r="E97" t="s">
        <v>315</v>
      </c>
      <c r="F97" s="10">
        <v>1</v>
      </c>
      <c r="G97" s="8" t="s">
        <v>306</v>
      </c>
      <c r="H97" t="s">
        <v>307</v>
      </c>
      <c r="I97" s="10">
        <v>1</v>
      </c>
      <c r="J97" s="8" t="s">
        <v>308</v>
      </c>
      <c r="K97" t="s">
        <v>309</v>
      </c>
      <c r="L97" s="10">
        <v>1</v>
      </c>
      <c r="M97" s="8" t="s">
        <v>310</v>
      </c>
      <c r="N97" t="s">
        <v>311</v>
      </c>
      <c r="O97">
        <v>1</v>
      </c>
    </row>
    <row r="98" spans="1:15" x14ac:dyDescent="0.4">
      <c r="A98" t="s">
        <v>301</v>
      </c>
      <c r="B98" t="s">
        <v>316</v>
      </c>
      <c r="C98" t="s">
        <v>317</v>
      </c>
      <c r="D98" s="8" t="s">
        <v>318</v>
      </c>
      <c r="E98" t="s">
        <v>319</v>
      </c>
      <c r="F98" s="10">
        <v>1</v>
      </c>
      <c r="G98" s="8" t="s">
        <v>306</v>
      </c>
      <c r="H98" t="s">
        <v>307</v>
      </c>
      <c r="I98" s="10">
        <v>1</v>
      </c>
      <c r="J98" s="8" t="s">
        <v>308</v>
      </c>
      <c r="K98" t="s">
        <v>309</v>
      </c>
      <c r="L98" s="10">
        <v>1</v>
      </c>
      <c r="M98" s="8" t="s">
        <v>310</v>
      </c>
      <c r="N98" t="s">
        <v>311</v>
      </c>
      <c r="O98">
        <v>1</v>
      </c>
    </row>
    <row r="99" spans="1:15" x14ac:dyDescent="0.4">
      <c r="A99" t="s">
        <v>301</v>
      </c>
      <c r="B99" t="s">
        <v>320</v>
      </c>
      <c r="C99" t="s">
        <v>321</v>
      </c>
      <c r="D99" s="8" t="s">
        <v>322</v>
      </c>
      <c r="E99" t="s">
        <v>323</v>
      </c>
      <c r="F99" s="10">
        <v>1</v>
      </c>
      <c r="G99" s="8" t="s">
        <v>306</v>
      </c>
      <c r="H99" t="s">
        <v>307</v>
      </c>
      <c r="I99" s="10">
        <v>1</v>
      </c>
      <c r="J99" s="8" t="s">
        <v>308</v>
      </c>
      <c r="K99" t="s">
        <v>309</v>
      </c>
      <c r="L99" s="10">
        <v>1</v>
      </c>
      <c r="M99" s="8" t="s">
        <v>310</v>
      </c>
      <c r="N99" t="s">
        <v>311</v>
      </c>
      <c r="O99">
        <v>1</v>
      </c>
    </row>
    <row r="100" spans="1:15" x14ac:dyDescent="0.4">
      <c r="A100" t="s">
        <v>94</v>
      </c>
      <c r="B100" t="s">
        <v>324</v>
      </c>
      <c r="C100" t="s">
        <v>325</v>
      </c>
      <c r="D100" s="8" t="s">
        <v>101</v>
      </c>
      <c r="E100" t="s">
        <v>326</v>
      </c>
      <c r="F100" s="10">
        <v>1</v>
      </c>
      <c r="G100" s="8" t="s">
        <v>327</v>
      </c>
      <c r="H100" t="s">
        <v>328</v>
      </c>
      <c r="I100" s="10">
        <v>1</v>
      </c>
      <c r="J100" s="8" t="s">
        <v>329</v>
      </c>
      <c r="K100" t="s">
        <v>330</v>
      </c>
      <c r="L100" s="10">
        <v>1</v>
      </c>
    </row>
    <row r="101" spans="1:15" x14ac:dyDescent="0.4">
      <c r="A101" t="s">
        <v>94</v>
      </c>
      <c r="B101" t="s">
        <v>331</v>
      </c>
      <c r="C101" t="s">
        <v>332</v>
      </c>
      <c r="D101" s="8" t="s">
        <v>101</v>
      </c>
      <c r="E101" t="s">
        <v>326</v>
      </c>
      <c r="F101" s="10">
        <v>1</v>
      </c>
      <c r="G101" s="8" t="s">
        <v>177</v>
      </c>
      <c r="H101" t="s">
        <v>333</v>
      </c>
      <c r="I101" s="10">
        <v>1</v>
      </c>
      <c r="J101" s="8" t="s">
        <v>334</v>
      </c>
      <c r="K101" t="s">
        <v>335</v>
      </c>
      <c r="L101" s="10">
        <v>1</v>
      </c>
    </row>
    <row r="102" spans="1:15" x14ac:dyDescent="0.4">
      <c r="A102" t="s">
        <v>94</v>
      </c>
      <c r="B102" t="s">
        <v>336</v>
      </c>
      <c r="C102" t="s">
        <v>337</v>
      </c>
      <c r="D102" s="8" t="s">
        <v>101</v>
      </c>
      <c r="E102" t="s">
        <v>326</v>
      </c>
      <c r="F102" s="10">
        <v>1</v>
      </c>
      <c r="G102" s="8" t="s">
        <v>338</v>
      </c>
      <c r="H102" t="s">
        <v>339</v>
      </c>
      <c r="I102" s="10">
        <v>1</v>
      </c>
      <c r="J102" s="8" t="s">
        <v>340</v>
      </c>
      <c r="K102" t="s">
        <v>341</v>
      </c>
      <c r="L102" s="10">
        <v>1</v>
      </c>
    </row>
    <row r="103" spans="1:15" x14ac:dyDescent="0.4">
      <c r="A103" t="s">
        <v>94</v>
      </c>
      <c r="B103" t="s">
        <v>342</v>
      </c>
      <c r="C103" t="s">
        <v>343</v>
      </c>
      <c r="D103" s="8" t="s">
        <v>101</v>
      </c>
      <c r="E103" t="s">
        <v>326</v>
      </c>
      <c r="F103" s="10">
        <v>1</v>
      </c>
      <c r="G103" s="8" t="s">
        <v>329</v>
      </c>
      <c r="H103" t="s">
        <v>330</v>
      </c>
      <c r="I103" s="10">
        <v>1</v>
      </c>
      <c r="J103" s="8" t="s">
        <v>344</v>
      </c>
      <c r="K103" t="s">
        <v>345</v>
      </c>
      <c r="L103" s="10">
        <v>1</v>
      </c>
    </row>
    <row r="104" spans="1:15" x14ac:dyDescent="0.4">
      <c r="A104" t="s">
        <v>68</v>
      </c>
      <c r="B104" t="s">
        <v>346</v>
      </c>
      <c r="C104" t="s">
        <v>347</v>
      </c>
      <c r="D104" s="8" t="s">
        <v>348</v>
      </c>
      <c r="E104" t="s">
        <v>349</v>
      </c>
      <c r="F104" s="10">
        <v>1</v>
      </c>
      <c r="G104" s="8" t="s">
        <v>350</v>
      </c>
      <c r="H104" t="s">
        <v>351</v>
      </c>
      <c r="I104" s="10">
        <v>1</v>
      </c>
    </row>
    <row r="105" spans="1:15" x14ac:dyDescent="0.4">
      <c r="A105" t="s">
        <v>68</v>
      </c>
      <c r="B105" t="s">
        <v>352</v>
      </c>
      <c r="C105" t="s">
        <v>353</v>
      </c>
      <c r="D105" s="8" t="s">
        <v>350</v>
      </c>
      <c r="E105" t="s">
        <v>351</v>
      </c>
      <c r="F105" s="10">
        <v>1</v>
      </c>
      <c r="G105" s="8" t="s">
        <v>354</v>
      </c>
      <c r="H105" t="s">
        <v>355</v>
      </c>
      <c r="I105" s="10">
        <v>1</v>
      </c>
      <c r="J105" s="8" t="s">
        <v>356</v>
      </c>
      <c r="K105" t="s">
        <v>357</v>
      </c>
    </row>
    <row r="106" spans="1:15" x14ac:dyDescent="0.4">
      <c r="A106" t="s">
        <v>94</v>
      </c>
      <c r="B106" t="s">
        <v>358</v>
      </c>
      <c r="C106" t="s">
        <v>359</v>
      </c>
      <c r="D106" s="8" t="s">
        <v>360</v>
      </c>
      <c r="E106" t="s">
        <v>361</v>
      </c>
      <c r="F106" s="10">
        <v>1</v>
      </c>
      <c r="G106" s="8" t="s">
        <v>362</v>
      </c>
      <c r="H106" t="s">
        <v>363</v>
      </c>
      <c r="I106" s="10">
        <v>1</v>
      </c>
    </row>
    <row r="107" spans="1:15" x14ac:dyDescent="0.4">
      <c r="A107" t="s">
        <v>94</v>
      </c>
      <c r="B107" t="s">
        <v>364</v>
      </c>
      <c r="C107" t="s">
        <v>365</v>
      </c>
      <c r="D107" s="8" t="s">
        <v>366</v>
      </c>
      <c r="E107" t="s">
        <v>367</v>
      </c>
      <c r="F107" s="10">
        <v>1</v>
      </c>
      <c r="G107" s="8" t="s">
        <v>368</v>
      </c>
      <c r="H107" t="s">
        <v>369</v>
      </c>
      <c r="I107" s="10">
        <v>1</v>
      </c>
    </row>
  </sheetData>
  <mergeCells count="16">
    <mergeCell ref="AH2:AJ2"/>
    <mergeCell ref="A1:A3"/>
    <mergeCell ref="B1:C2"/>
    <mergeCell ref="D1:O1"/>
    <mergeCell ref="P1:AA1"/>
    <mergeCell ref="AB1:AJ1"/>
    <mergeCell ref="D2:F2"/>
    <mergeCell ref="G2:I2"/>
    <mergeCell ref="J2:L2"/>
    <mergeCell ref="M2:O2"/>
    <mergeCell ref="P2:R2"/>
    <mergeCell ref="S2:U2"/>
    <mergeCell ref="V2:X2"/>
    <mergeCell ref="Y2:AA2"/>
    <mergeCell ref="AB2:AD2"/>
    <mergeCell ref="AE2:A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 KITS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Flávio Pinto</dc:creator>
  <cp:lastModifiedBy>KiwKiw LTDA</cp:lastModifiedBy>
  <dcterms:created xsi:type="dcterms:W3CDTF">2026-04-19T19:35:01Z</dcterms:created>
  <dcterms:modified xsi:type="dcterms:W3CDTF">2026-04-20T01:45:49Z</dcterms:modified>
</cp:coreProperties>
</file>