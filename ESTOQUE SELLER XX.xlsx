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7c69c8738e02b05c/Documentos/Claude/Projects/WMS Kiwkiw/"/>
    </mc:Choice>
  </mc:AlternateContent>
  <xr:revisionPtr revIDLastSave="734" documentId="13_ncr:1_{E53895EC-C77E-45A7-8A4A-ABCD39401952}" xr6:coauthVersionLast="47" xr6:coauthVersionMax="47" xr10:uidLastSave="{5B0CFDDE-C9B9-46D4-B78A-F4537A617C8E}"/>
  <bookViews>
    <workbookView xWindow="43080" yWindow="-120" windowWidth="29040" windowHeight="15720" activeTab="1" xr2:uid="{00000000-000D-0000-FFFF-FFFF00000000}"/>
  </bookViews>
  <sheets>
    <sheet name="ESTOQUE" sheetId="1" r:id="rId1"/>
    <sheet name="DETALHADO" sheetId="2" r:id="rId2"/>
    <sheet name="Cadastro Produtos (kiwkiw)" sheetId="3" state="hidden" r:id="rId3"/>
  </sheets>
  <definedNames>
    <definedName name="_xlnm._FilterDatabase" localSheetId="1" hidden="1">DETALHADO!$A$2:$AB$2</definedName>
    <definedName name="_xlnm._FilterDatabase" localSheetId="0" hidden="1">ESTOQUE!$O$5:$P$23</definedName>
    <definedName name="_xlnm.Print_Area" localSheetId="0">ESTOQUE!$C$6:$I$23</definedName>
    <definedName name="Z_44154B6F_B3CD_48F7_9F3B_46DA1E5548AD_.wvu.FilterData" localSheetId="1" hidden="1">DETALHADO!$A$2:$AB$2</definedName>
    <definedName name="Z_44154B6F_B3CD_48F7_9F3B_46DA1E5548AD_.wvu.FilterData" localSheetId="0" hidden="1">ESTOQUE!$A$6:$Z$21</definedName>
  </definedNames>
  <calcPr calcId="191028"/>
  <customWorkbookViews>
    <customWorkbookView name="Filtro 1" guid="{44154B6F-B3CD-48F7-9F3B-46DA1E5548AD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5" i="1" l="1"/>
  <c r="E185" i="1"/>
  <c r="D186" i="1"/>
  <c r="E186" i="1"/>
  <c r="D187" i="1"/>
  <c r="E187" i="1"/>
  <c r="D188" i="1"/>
  <c r="E188" i="1"/>
  <c r="D189" i="1"/>
  <c r="E189" i="1"/>
  <c r="D190" i="1"/>
  <c r="E190" i="1"/>
  <c r="G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72" i="1"/>
  <c r="E172" i="1"/>
  <c r="D173" i="1"/>
  <c r="E173" i="1"/>
  <c r="D174" i="1"/>
  <c r="E174" i="1"/>
  <c r="D175" i="1"/>
  <c r="E175" i="1"/>
  <c r="D176" i="1"/>
  <c r="E176" i="1"/>
  <c r="G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18" i="1" l="1"/>
  <c r="E118" i="1"/>
  <c r="D119" i="1"/>
  <c r="E119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H1538" i="2"/>
  <c r="G1538" i="2"/>
  <c r="H1547" i="2"/>
  <c r="G1547" i="2"/>
  <c r="H1272" i="2"/>
  <c r="G979" i="2"/>
  <c r="H979" i="2"/>
  <c r="G978" i="2"/>
  <c r="H978" i="2"/>
  <c r="G471" i="2"/>
  <c r="H471" i="2"/>
  <c r="H769" i="2"/>
  <c r="G769" i="2"/>
  <c r="G770" i="2"/>
  <c r="H770" i="2"/>
  <c r="H759" i="2"/>
  <c r="G759" i="2"/>
  <c r="H674" i="2"/>
  <c r="G674" i="2"/>
  <c r="G576" i="2"/>
  <c r="D7" i="1"/>
  <c r="G4946" i="2"/>
  <c r="H4946" i="2"/>
  <c r="G4947" i="2"/>
  <c r="H4947" i="2"/>
  <c r="G4948" i="2"/>
  <c r="H4948" i="2"/>
  <c r="G4949" i="2"/>
  <c r="H4949" i="2"/>
  <c r="G4950" i="2"/>
  <c r="H4950" i="2"/>
  <c r="G4951" i="2"/>
  <c r="H4951" i="2"/>
  <c r="G4952" i="2"/>
  <c r="H4952" i="2"/>
  <c r="G4953" i="2"/>
  <c r="H4953" i="2"/>
  <c r="G4954" i="2"/>
  <c r="H4954" i="2"/>
  <c r="G4955" i="2"/>
  <c r="H4955" i="2"/>
  <c r="G4956" i="2"/>
  <c r="H4956" i="2"/>
  <c r="G4957" i="2"/>
  <c r="H4957" i="2"/>
  <c r="G4958" i="2"/>
  <c r="H4958" i="2"/>
  <c r="G4959" i="2"/>
  <c r="H4959" i="2"/>
  <c r="G4960" i="2"/>
  <c r="H4960" i="2"/>
  <c r="G4961" i="2"/>
  <c r="H4961" i="2"/>
  <c r="G4962" i="2"/>
  <c r="H4962" i="2"/>
  <c r="G4963" i="2"/>
  <c r="H4963" i="2"/>
  <c r="G4964" i="2"/>
  <c r="H4964" i="2"/>
  <c r="G4965" i="2"/>
  <c r="H4965" i="2"/>
  <c r="G4966" i="2"/>
  <c r="H4966" i="2"/>
  <c r="G4967" i="2"/>
  <c r="H4967" i="2"/>
  <c r="G4968" i="2"/>
  <c r="H4968" i="2"/>
  <c r="G4969" i="2"/>
  <c r="H4969" i="2"/>
  <c r="G4970" i="2"/>
  <c r="H4970" i="2"/>
  <c r="G4971" i="2"/>
  <c r="H4971" i="2"/>
  <c r="G4972" i="2"/>
  <c r="H4972" i="2"/>
  <c r="G4973" i="2"/>
  <c r="H4973" i="2"/>
  <c r="G4974" i="2"/>
  <c r="H4974" i="2"/>
  <c r="G4975" i="2"/>
  <c r="H4975" i="2"/>
  <c r="G4976" i="2"/>
  <c r="H4976" i="2"/>
  <c r="G4977" i="2"/>
  <c r="H4977" i="2"/>
  <c r="G4978" i="2"/>
  <c r="H4978" i="2"/>
  <c r="G4979" i="2"/>
  <c r="H4979" i="2"/>
  <c r="G4980" i="2"/>
  <c r="H4980" i="2"/>
  <c r="G4981" i="2"/>
  <c r="H4981" i="2"/>
  <c r="G4982" i="2"/>
  <c r="H4982" i="2"/>
  <c r="G4983" i="2"/>
  <c r="H4983" i="2"/>
  <c r="G4984" i="2"/>
  <c r="H4984" i="2"/>
  <c r="G4985" i="2"/>
  <c r="H4985" i="2"/>
  <c r="G4986" i="2"/>
  <c r="H4986" i="2"/>
  <c r="G4987" i="2"/>
  <c r="H4987" i="2"/>
  <c r="G4988" i="2"/>
  <c r="H4988" i="2"/>
  <c r="G4989" i="2"/>
  <c r="H4989" i="2"/>
  <c r="G4990" i="2"/>
  <c r="H4990" i="2"/>
  <c r="G4991" i="2"/>
  <c r="H4991" i="2"/>
  <c r="G4992" i="2"/>
  <c r="H4992" i="2"/>
  <c r="G4993" i="2"/>
  <c r="H4993" i="2"/>
  <c r="G4994" i="2"/>
  <c r="H4994" i="2"/>
  <c r="G4995" i="2"/>
  <c r="H4995" i="2"/>
  <c r="G4996" i="2"/>
  <c r="H4996" i="2"/>
  <c r="G4997" i="2"/>
  <c r="H4997" i="2"/>
  <c r="G4998" i="2"/>
  <c r="H4998" i="2"/>
  <c r="G4999" i="2"/>
  <c r="H4999" i="2"/>
  <c r="G5000" i="2"/>
  <c r="H5000" i="2"/>
  <c r="G5001" i="2"/>
  <c r="H5001" i="2"/>
  <c r="G5002" i="2"/>
  <c r="H5002" i="2"/>
  <c r="G5003" i="2"/>
  <c r="H5003" i="2"/>
  <c r="G5004" i="2"/>
  <c r="H5004" i="2"/>
  <c r="G5005" i="2"/>
  <c r="H5005" i="2"/>
  <c r="G5006" i="2"/>
  <c r="H5006" i="2"/>
  <c r="G5007" i="2"/>
  <c r="H5007" i="2"/>
  <c r="G5008" i="2"/>
  <c r="H5008" i="2"/>
  <c r="G5009" i="2"/>
  <c r="H5009" i="2"/>
  <c r="G5010" i="2"/>
  <c r="H5010" i="2"/>
  <c r="G5011" i="2"/>
  <c r="H5011" i="2"/>
  <c r="G5012" i="2"/>
  <c r="H5012" i="2"/>
  <c r="G5013" i="2"/>
  <c r="H5013" i="2"/>
  <c r="G5014" i="2"/>
  <c r="H5014" i="2"/>
  <c r="G5015" i="2"/>
  <c r="H5015" i="2"/>
  <c r="G5016" i="2"/>
  <c r="H5016" i="2"/>
  <c r="G5017" i="2"/>
  <c r="H5017" i="2"/>
  <c r="G5018" i="2"/>
  <c r="H5018" i="2"/>
  <c r="G5019" i="2"/>
  <c r="H5019" i="2"/>
  <c r="G5020" i="2"/>
  <c r="H5020" i="2"/>
  <c r="G5021" i="2"/>
  <c r="H5021" i="2"/>
  <c r="G5022" i="2"/>
  <c r="H5022" i="2"/>
  <c r="G5023" i="2"/>
  <c r="H5023" i="2"/>
  <c r="G5024" i="2"/>
  <c r="H5024" i="2"/>
  <c r="G5025" i="2"/>
  <c r="H5025" i="2"/>
  <c r="G5026" i="2"/>
  <c r="H5026" i="2"/>
  <c r="G5027" i="2"/>
  <c r="H5027" i="2"/>
  <c r="G5028" i="2"/>
  <c r="H5028" i="2"/>
  <c r="G5029" i="2"/>
  <c r="H5029" i="2"/>
  <c r="G5030" i="2"/>
  <c r="H5030" i="2"/>
  <c r="G5031" i="2"/>
  <c r="H5031" i="2"/>
  <c r="G5032" i="2"/>
  <c r="H5032" i="2"/>
  <c r="G5033" i="2"/>
  <c r="H5033" i="2"/>
  <c r="G5034" i="2"/>
  <c r="H5034" i="2"/>
  <c r="G5035" i="2"/>
  <c r="H5035" i="2"/>
  <c r="G5036" i="2"/>
  <c r="H5036" i="2"/>
  <c r="G5037" i="2"/>
  <c r="H5037" i="2"/>
  <c r="G5038" i="2"/>
  <c r="H5038" i="2"/>
  <c r="G5039" i="2"/>
  <c r="H5039" i="2"/>
  <c r="G5040" i="2"/>
  <c r="H5040" i="2"/>
  <c r="G5041" i="2"/>
  <c r="H5041" i="2"/>
  <c r="G5042" i="2"/>
  <c r="H5042" i="2"/>
  <c r="G5043" i="2"/>
  <c r="H5043" i="2"/>
  <c r="G5044" i="2"/>
  <c r="H5044" i="2"/>
  <c r="G5045" i="2"/>
  <c r="H5045" i="2"/>
  <c r="G5046" i="2"/>
  <c r="H5046" i="2"/>
  <c r="G5047" i="2"/>
  <c r="H5047" i="2"/>
  <c r="G5048" i="2"/>
  <c r="H5048" i="2"/>
  <c r="G5049" i="2"/>
  <c r="H5049" i="2"/>
  <c r="G5050" i="2"/>
  <c r="H5050" i="2"/>
  <c r="G5051" i="2"/>
  <c r="H5051" i="2"/>
  <c r="G5052" i="2"/>
  <c r="H5052" i="2"/>
  <c r="G5053" i="2"/>
  <c r="H5053" i="2"/>
  <c r="G5054" i="2"/>
  <c r="H5054" i="2"/>
  <c r="G5055" i="2"/>
  <c r="H5055" i="2"/>
  <c r="G5056" i="2"/>
  <c r="H5056" i="2"/>
  <c r="G5057" i="2"/>
  <c r="H5057" i="2"/>
  <c r="G5058" i="2"/>
  <c r="H5058" i="2"/>
  <c r="G5059" i="2"/>
  <c r="H5059" i="2"/>
  <c r="G5060" i="2"/>
  <c r="H5060" i="2"/>
  <c r="G5061" i="2"/>
  <c r="H5061" i="2"/>
  <c r="G5062" i="2"/>
  <c r="H5062" i="2"/>
  <c r="G5063" i="2"/>
  <c r="H5063" i="2"/>
  <c r="G5064" i="2"/>
  <c r="H5064" i="2"/>
  <c r="G5065" i="2"/>
  <c r="H5065" i="2"/>
  <c r="G5066" i="2"/>
  <c r="H5066" i="2"/>
  <c r="G5067" i="2"/>
  <c r="H5067" i="2"/>
  <c r="G5068" i="2"/>
  <c r="H5068" i="2"/>
  <c r="G5069" i="2"/>
  <c r="H5069" i="2"/>
  <c r="G5070" i="2"/>
  <c r="H5070" i="2"/>
  <c r="G5071" i="2"/>
  <c r="H5071" i="2"/>
  <c r="G5072" i="2"/>
  <c r="H5072" i="2"/>
  <c r="G5073" i="2"/>
  <c r="H5073" i="2"/>
  <c r="G5074" i="2"/>
  <c r="H5074" i="2"/>
  <c r="G5075" i="2"/>
  <c r="H5075" i="2"/>
  <c r="G5076" i="2"/>
  <c r="H5076" i="2"/>
  <c r="G5077" i="2"/>
  <c r="H5077" i="2"/>
  <c r="G5078" i="2"/>
  <c r="H5078" i="2"/>
  <c r="G5079" i="2"/>
  <c r="H5079" i="2"/>
  <c r="G5080" i="2"/>
  <c r="H5080" i="2"/>
  <c r="G5081" i="2"/>
  <c r="H5081" i="2"/>
  <c r="G5082" i="2"/>
  <c r="H5082" i="2"/>
  <c r="G5083" i="2"/>
  <c r="H5083" i="2"/>
  <c r="G5084" i="2"/>
  <c r="H5084" i="2"/>
  <c r="G5085" i="2"/>
  <c r="H5085" i="2"/>
  <c r="G5086" i="2"/>
  <c r="H5086" i="2"/>
  <c r="G5087" i="2"/>
  <c r="H5087" i="2"/>
  <c r="G5088" i="2"/>
  <c r="H5088" i="2"/>
  <c r="G5089" i="2"/>
  <c r="H5089" i="2"/>
  <c r="G5090" i="2"/>
  <c r="H5090" i="2"/>
  <c r="G5091" i="2"/>
  <c r="H5091" i="2"/>
  <c r="G5092" i="2"/>
  <c r="H5092" i="2"/>
  <c r="G5093" i="2"/>
  <c r="H5093" i="2"/>
  <c r="G5094" i="2"/>
  <c r="H5094" i="2"/>
  <c r="G5095" i="2"/>
  <c r="H5095" i="2"/>
  <c r="G5096" i="2"/>
  <c r="H5096" i="2"/>
  <c r="G5097" i="2"/>
  <c r="H5097" i="2"/>
  <c r="G5098" i="2"/>
  <c r="H5098" i="2"/>
  <c r="G5099" i="2"/>
  <c r="H5099" i="2"/>
  <c r="G5100" i="2"/>
  <c r="H5100" i="2"/>
  <c r="G5101" i="2"/>
  <c r="H5101" i="2"/>
  <c r="G5102" i="2"/>
  <c r="H5102" i="2"/>
  <c r="G5103" i="2"/>
  <c r="H5103" i="2"/>
  <c r="G5104" i="2"/>
  <c r="H5104" i="2"/>
  <c r="G5105" i="2"/>
  <c r="H5105" i="2"/>
  <c r="G5106" i="2"/>
  <c r="H5106" i="2"/>
  <c r="G5107" i="2"/>
  <c r="H5107" i="2"/>
  <c r="G5108" i="2"/>
  <c r="H5108" i="2"/>
  <c r="G5109" i="2"/>
  <c r="H5109" i="2"/>
  <c r="G5110" i="2"/>
  <c r="H5110" i="2"/>
  <c r="G5111" i="2"/>
  <c r="H5111" i="2"/>
  <c r="G5112" i="2"/>
  <c r="H5112" i="2"/>
  <c r="G5113" i="2"/>
  <c r="H5113" i="2"/>
  <c r="G5114" i="2"/>
  <c r="H5114" i="2"/>
  <c r="G5115" i="2"/>
  <c r="H5115" i="2"/>
  <c r="G5116" i="2"/>
  <c r="H5116" i="2"/>
  <c r="G5117" i="2"/>
  <c r="H5117" i="2"/>
  <c r="G5118" i="2"/>
  <c r="H5118" i="2"/>
  <c r="G5119" i="2"/>
  <c r="H5119" i="2"/>
  <c r="G5120" i="2"/>
  <c r="H5120" i="2"/>
  <c r="G5121" i="2"/>
  <c r="H5121" i="2"/>
  <c r="G5122" i="2"/>
  <c r="H5122" i="2"/>
  <c r="G5123" i="2"/>
  <c r="H5123" i="2"/>
  <c r="G5124" i="2"/>
  <c r="H5124" i="2"/>
  <c r="G5125" i="2"/>
  <c r="H5125" i="2"/>
  <c r="G5126" i="2"/>
  <c r="H5126" i="2"/>
  <c r="G5127" i="2"/>
  <c r="H5127" i="2"/>
  <c r="G5128" i="2"/>
  <c r="H5128" i="2"/>
  <c r="G5129" i="2"/>
  <c r="H5129" i="2"/>
  <c r="G5130" i="2"/>
  <c r="H5130" i="2"/>
  <c r="G5131" i="2"/>
  <c r="H5131" i="2"/>
  <c r="G5132" i="2"/>
  <c r="H5132" i="2"/>
  <c r="G5133" i="2"/>
  <c r="H5133" i="2"/>
  <c r="G5134" i="2"/>
  <c r="H5134" i="2"/>
  <c r="G5135" i="2"/>
  <c r="H5135" i="2"/>
  <c r="G5136" i="2"/>
  <c r="H5136" i="2"/>
  <c r="G5137" i="2"/>
  <c r="H5137" i="2"/>
  <c r="G5138" i="2"/>
  <c r="H5138" i="2"/>
  <c r="G5139" i="2"/>
  <c r="H5139" i="2"/>
  <c r="G5140" i="2"/>
  <c r="H5140" i="2"/>
  <c r="G5141" i="2"/>
  <c r="H5141" i="2"/>
  <c r="G5142" i="2"/>
  <c r="H5142" i="2"/>
  <c r="G5143" i="2"/>
  <c r="H5143" i="2"/>
  <c r="G5144" i="2"/>
  <c r="H5144" i="2"/>
  <c r="G5145" i="2"/>
  <c r="H5145" i="2"/>
  <c r="G5146" i="2"/>
  <c r="H5146" i="2"/>
  <c r="G5147" i="2"/>
  <c r="H5147" i="2"/>
  <c r="G5148" i="2"/>
  <c r="H5148" i="2"/>
  <c r="G5149" i="2"/>
  <c r="H5149" i="2"/>
  <c r="G5150" i="2"/>
  <c r="H5150" i="2"/>
  <c r="G5151" i="2"/>
  <c r="H5151" i="2"/>
  <c r="G5152" i="2"/>
  <c r="H5152" i="2"/>
  <c r="G5153" i="2"/>
  <c r="H5153" i="2"/>
  <c r="G5154" i="2"/>
  <c r="H5154" i="2"/>
  <c r="G5155" i="2"/>
  <c r="H5155" i="2"/>
  <c r="G5156" i="2"/>
  <c r="H5156" i="2"/>
  <c r="G5157" i="2"/>
  <c r="H5157" i="2"/>
  <c r="G5158" i="2"/>
  <c r="H5158" i="2"/>
  <c r="G5159" i="2"/>
  <c r="H5159" i="2"/>
  <c r="G5160" i="2"/>
  <c r="H5160" i="2"/>
  <c r="G5161" i="2"/>
  <c r="H5161" i="2"/>
  <c r="G5162" i="2"/>
  <c r="H5162" i="2"/>
  <c r="G5163" i="2"/>
  <c r="H5163" i="2"/>
  <c r="G5164" i="2"/>
  <c r="H5164" i="2"/>
  <c r="G5165" i="2"/>
  <c r="H5165" i="2"/>
  <c r="G5166" i="2"/>
  <c r="H5166" i="2"/>
  <c r="G5167" i="2"/>
  <c r="H5167" i="2"/>
  <c r="G5168" i="2"/>
  <c r="H5168" i="2"/>
  <c r="G5169" i="2"/>
  <c r="H5169" i="2"/>
  <c r="G5170" i="2"/>
  <c r="H5170" i="2"/>
  <c r="G5171" i="2"/>
  <c r="H5171" i="2"/>
  <c r="G5172" i="2"/>
  <c r="H5172" i="2"/>
  <c r="G5173" i="2"/>
  <c r="H5173" i="2"/>
  <c r="G5174" i="2"/>
  <c r="H5174" i="2"/>
  <c r="G5175" i="2"/>
  <c r="H5175" i="2"/>
  <c r="G5176" i="2"/>
  <c r="H5176" i="2"/>
  <c r="G5177" i="2"/>
  <c r="H5177" i="2"/>
  <c r="G5178" i="2"/>
  <c r="H5178" i="2"/>
  <c r="G5179" i="2"/>
  <c r="H5179" i="2"/>
  <c r="G5180" i="2"/>
  <c r="H5180" i="2"/>
  <c r="G5181" i="2"/>
  <c r="H5181" i="2"/>
  <c r="G5182" i="2"/>
  <c r="H5182" i="2"/>
  <c r="G5183" i="2"/>
  <c r="H5183" i="2"/>
  <c r="G5184" i="2"/>
  <c r="H5184" i="2"/>
  <c r="G5185" i="2"/>
  <c r="H5185" i="2"/>
  <c r="G5186" i="2"/>
  <c r="H5186" i="2"/>
  <c r="G5187" i="2"/>
  <c r="H5187" i="2"/>
  <c r="G5188" i="2"/>
  <c r="H5188" i="2"/>
  <c r="G5189" i="2"/>
  <c r="H5189" i="2"/>
  <c r="G5190" i="2"/>
  <c r="H5190" i="2"/>
  <c r="G5191" i="2"/>
  <c r="H5191" i="2"/>
  <c r="G5192" i="2"/>
  <c r="H5192" i="2"/>
  <c r="G5193" i="2"/>
  <c r="H5193" i="2"/>
  <c r="G5194" i="2"/>
  <c r="H5194" i="2"/>
  <c r="G5195" i="2"/>
  <c r="H5195" i="2"/>
  <c r="G5196" i="2"/>
  <c r="H5196" i="2"/>
  <c r="G5197" i="2"/>
  <c r="H5197" i="2"/>
  <c r="G5198" i="2"/>
  <c r="H5198" i="2"/>
  <c r="G5199" i="2"/>
  <c r="H5199" i="2"/>
  <c r="G5200" i="2"/>
  <c r="H5200" i="2"/>
  <c r="G5201" i="2"/>
  <c r="H5201" i="2"/>
  <c r="G5202" i="2"/>
  <c r="H5202" i="2"/>
  <c r="G5203" i="2"/>
  <c r="H5203" i="2"/>
  <c r="G5204" i="2"/>
  <c r="H5204" i="2"/>
  <c r="G5205" i="2"/>
  <c r="H5205" i="2"/>
  <c r="G5206" i="2"/>
  <c r="H5206" i="2"/>
  <c r="G5207" i="2"/>
  <c r="H5207" i="2"/>
  <c r="G5208" i="2"/>
  <c r="H5208" i="2"/>
  <c r="G5209" i="2"/>
  <c r="H5209" i="2"/>
  <c r="G5210" i="2"/>
  <c r="H5210" i="2"/>
  <c r="G5211" i="2"/>
  <c r="H5211" i="2"/>
  <c r="G5212" i="2"/>
  <c r="H5212" i="2"/>
  <c r="G5213" i="2"/>
  <c r="H5213" i="2"/>
  <c r="G5214" i="2"/>
  <c r="H5214" i="2"/>
  <c r="G5215" i="2"/>
  <c r="H5215" i="2"/>
  <c r="G5216" i="2"/>
  <c r="H5216" i="2"/>
  <c r="G5217" i="2"/>
  <c r="H5217" i="2"/>
  <c r="G5218" i="2"/>
  <c r="H5218" i="2"/>
  <c r="G5219" i="2"/>
  <c r="H5219" i="2"/>
  <c r="G5220" i="2"/>
  <c r="H5220" i="2"/>
  <c r="G5221" i="2"/>
  <c r="H5221" i="2"/>
  <c r="G5222" i="2"/>
  <c r="H5222" i="2"/>
  <c r="G5223" i="2"/>
  <c r="H5223" i="2"/>
  <c r="G5224" i="2"/>
  <c r="H5224" i="2"/>
  <c r="G5225" i="2"/>
  <c r="H5225" i="2"/>
  <c r="G5226" i="2"/>
  <c r="H5226" i="2"/>
  <c r="G5227" i="2"/>
  <c r="H5227" i="2"/>
  <c r="G5228" i="2"/>
  <c r="H5228" i="2"/>
  <c r="G5229" i="2"/>
  <c r="H5229" i="2"/>
  <c r="G5230" i="2"/>
  <c r="H5230" i="2"/>
  <c r="G5231" i="2"/>
  <c r="H5231" i="2"/>
  <c r="G5232" i="2"/>
  <c r="H5232" i="2"/>
  <c r="G5233" i="2"/>
  <c r="H5233" i="2"/>
  <c r="G5234" i="2"/>
  <c r="H5234" i="2"/>
  <c r="G5235" i="2"/>
  <c r="H5235" i="2"/>
  <c r="G5236" i="2"/>
  <c r="H5236" i="2"/>
  <c r="G5237" i="2"/>
  <c r="H5237" i="2"/>
  <c r="G5238" i="2"/>
  <c r="H5238" i="2"/>
  <c r="G5239" i="2"/>
  <c r="H5239" i="2"/>
  <c r="G5240" i="2"/>
  <c r="H5240" i="2"/>
  <c r="G5241" i="2"/>
  <c r="H5241" i="2"/>
  <c r="G5242" i="2"/>
  <c r="H5242" i="2"/>
  <c r="G5243" i="2"/>
  <c r="H5243" i="2"/>
  <c r="G5244" i="2"/>
  <c r="H5244" i="2"/>
  <c r="G5245" i="2"/>
  <c r="H5245" i="2"/>
  <c r="G5246" i="2"/>
  <c r="H5246" i="2"/>
  <c r="G5247" i="2"/>
  <c r="H5247" i="2"/>
  <c r="G5248" i="2"/>
  <c r="H5248" i="2"/>
  <c r="G5249" i="2"/>
  <c r="H5249" i="2"/>
  <c r="G5250" i="2"/>
  <c r="H5250" i="2"/>
  <c r="G5251" i="2"/>
  <c r="H5251" i="2"/>
  <c r="G5252" i="2"/>
  <c r="H5252" i="2"/>
  <c r="G5253" i="2"/>
  <c r="H5253" i="2"/>
  <c r="G5254" i="2"/>
  <c r="H5254" i="2"/>
  <c r="G5255" i="2"/>
  <c r="H5255" i="2"/>
  <c r="G5256" i="2"/>
  <c r="H5256" i="2"/>
  <c r="G5257" i="2"/>
  <c r="H5257" i="2"/>
  <c r="G5258" i="2"/>
  <c r="H5258" i="2"/>
  <c r="G5259" i="2"/>
  <c r="H5259" i="2"/>
  <c r="G5260" i="2"/>
  <c r="H5260" i="2"/>
  <c r="G5261" i="2"/>
  <c r="H5261" i="2"/>
  <c r="G5262" i="2"/>
  <c r="H5262" i="2"/>
  <c r="G5263" i="2"/>
  <c r="H5263" i="2"/>
  <c r="G5264" i="2"/>
  <c r="H5264" i="2"/>
  <c r="G5265" i="2"/>
  <c r="H5265" i="2"/>
  <c r="G5266" i="2"/>
  <c r="H5266" i="2"/>
  <c r="G5267" i="2"/>
  <c r="H5267" i="2"/>
  <c r="G5268" i="2"/>
  <c r="H5268" i="2"/>
  <c r="G5269" i="2"/>
  <c r="H5269" i="2"/>
  <c r="G5270" i="2"/>
  <c r="H5270" i="2"/>
  <c r="G5271" i="2"/>
  <c r="H5271" i="2"/>
  <c r="G5272" i="2"/>
  <c r="H5272" i="2"/>
  <c r="G5273" i="2"/>
  <c r="H5273" i="2"/>
  <c r="G5274" i="2"/>
  <c r="H5274" i="2"/>
  <c r="G5275" i="2"/>
  <c r="H5275" i="2"/>
  <c r="G5276" i="2"/>
  <c r="H5276" i="2"/>
  <c r="G5277" i="2"/>
  <c r="H5277" i="2"/>
  <c r="G5278" i="2"/>
  <c r="H5278" i="2"/>
  <c r="G5279" i="2"/>
  <c r="H5279" i="2"/>
  <c r="G5280" i="2"/>
  <c r="H5280" i="2"/>
  <c r="G5281" i="2"/>
  <c r="H5281" i="2"/>
  <c r="G5282" i="2"/>
  <c r="H5282" i="2"/>
  <c r="G5283" i="2"/>
  <c r="H5283" i="2"/>
  <c r="G5284" i="2"/>
  <c r="H5284" i="2"/>
  <c r="G5285" i="2"/>
  <c r="H5285" i="2"/>
  <c r="G5286" i="2"/>
  <c r="H5286" i="2"/>
  <c r="G5287" i="2"/>
  <c r="H5287" i="2"/>
  <c r="G5288" i="2"/>
  <c r="H5288" i="2"/>
  <c r="G5289" i="2"/>
  <c r="H5289" i="2"/>
  <c r="G5290" i="2"/>
  <c r="H5290" i="2"/>
  <c r="G5291" i="2"/>
  <c r="H5291" i="2"/>
  <c r="G5292" i="2"/>
  <c r="H5292" i="2"/>
  <c r="G5293" i="2"/>
  <c r="H5293" i="2"/>
  <c r="G5294" i="2"/>
  <c r="H5294" i="2"/>
  <c r="G5295" i="2"/>
  <c r="H5295" i="2"/>
  <c r="G5296" i="2"/>
  <c r="H5296" i="2"/>
  <c r="G5297" i="2"/>
  <c r="H5297" i="2"/>
  <c r="G5298" i="2"/>
  <c r="H5298" i="2"/>
  <c r="G5299" i="2"/>
  <c r="H5299" i="2"/>
  <c r="G5300" i="2"/>
  <c r="H5300" i="2"/>
  <c r="G5301" i="2"/>
  <c r="H5301" i="2"/>
  <c r="G5302" i="2"/>
  <c r="H5302" i="2"/>
  <c r="G5303" i="2"/>
  <c r="H5303" i="2"/>
  <c r="G5304" i="2"/>
  <c r="H5304" i="2"/>
  <c r="G5305" i="2"/>
  <c r="H5305" i="2"/>
  <c r="G5306" i="2"/>
  <c r="H5306" i="2"/>
  <c r="G5307" i="2"/>
  <c r="H5307" i="2"/>
  <c r="G5308" i="2"/>
  <c r="H5308" i="2"/>
  <c r="G5309" i="2"/>
  <c r="H5309" i="2"/>
  <c r="G5310" i="2"/>
  <c r="H5310" i="2"/>
  <c r="G5311" i="2"/>
  <c r="H5311" i="2"/>
  <c r="G5312" i="2"/>
  <c r="H5312" i="2"/>
  <c r="G5313" i="2"/>
  <c r="H5313" i="2"/>
  <c r="G5314" i="2"/>
  <c r="H5314" i="2"/>
  <c r="G5315" i="2"/>
  <c r="H5315" i="2"/>
  <c r="G5316" i="2"/>
  <c r="H5316" i="2"/>
  <c r="G5317" i="2"/>
  <c r="H5317" i="2"/>
  <c r="G5318" i="2"/>
  <c r="H5318" i="2"/>
  <c r="G5319" i="2"/>
  <c r="H5319" i="2"/>
  <c r="G5320" i="2"/>
  <c r="H5320" i="2"/>
  <c r="G5321" i="2"/>
  <c r="H5321" i="2"/>
  <c r="G5322" i="2"/>
  <c r="H5322" i="2"/>
  <c r="G5323" i="2"/>
  <c r="H5323" i="2"/>
  <c r="G5324" i="2"/>
  <c r="H5324" i="2"/>
  <c r="G5325" i="2"/>
  <c r="H5325" i="2"/>
  <c r="G5326" i="2"/>
  <c r="H5326" i="2"/>
  <c r="G5327" i="2"/>
  <c r="H5327" i="2"/>
  <c r="G5328" i="2"/>
  <c r="H5328" i="2"/>
  <c r="G5329" i="2"/>
  <c r="H5329" i="2"/>
  <c r="G5330" i="2"/>
  <c r="H5330" i="2"/>
  <c r="G5331" i="2"/>
  <c r="H5331" i="2"/>
  <c r="G5332" i="2"/>
  <c r="H5332" i="2"/>
  <c r="G5333" i="2"/>
  <c r="H5333" i="2"/>
  <c r="G5334" i="2"/>
  <c r="H5334" i="2"/>
  <c r="G5335" i="2"/>
  <c r="H5335" i="2"/>
  <c r="G5336" i="2"/>
  <c r="H5336" i="2"/>
  <c r="G5337" i="2"/>
  <c r="H5337" i="2"/>
  <c r="G5338" i="2"/>
  <c r="H5338" i="2"/>
  <c r="G5339" i="2"/>
  <c r="H5339" i="2"/>
  <c r="G5340" i="2"/>
  <c r="H5340" i="2"/>
  <c r="G5341" i="2"/>
  <c r="H5341" i="2"/>
  <c r="G5342" i="2"/>
  <c r="H5342" i="2"/>
  <c r="G5343" i="2"/>
  <c r="H5343" i="2"/>
  <c r="G5344" i="2"/>
  <c r="H5344" i="2"/>
  <c r="G5345" i="2"/>
  <c r="H5345" i="2"/>
  <c r="G5346" i="2"/>
  <c r="H5346" i="2"/>
  <c r="G5347" i="2"/>
  <c r="H5347" i="2"/>
  <c r="G5348" i="2"/>
  <c r="H5348" i="2"/>
  <c r="G5349" i="2"/>
  <c r="H5349" i="2"/>
  <c r="G5350" i="2"/>
  <c r="H5350" i="2"/>
  <c r="G5351" i="2"/>
  <c r="H5351" i="2"/>
  <c r="G5352" i="2"/>
  <c r="H5352" i="2"/>
  <c r="G5353" i="2"/>
  <c r="H5353" i="2"/>
  <c r="G5354" i="2"/>
  <c r="H5354" i="2"/>
  <c r="G5355" i="2"/>
  <c r="H5355" i="2"/>
  <c r="G5356" i="2"/>
  <c r="H5356" i="2"/>
  <c r="G5357" i="2"/>
  <c r="H5357" i="2"/>
  <c r="G5358" i="2"/>
  <c r="H5358" i="2"/>
  <c r="G5359" i="2"/>
  <c r="H5359" i="2"/>
  <c r="G5360" i="2"/>
  <c r="H5360" i="2"/>
  <c r="G5361" i="2"/>
  <c r="H5361" i="2"/>
  <c r="G5362" i="2"/>
  <c r="H5362" i="2"/>
  <c r="G5363" i="2"/>
  <c r="H5363" i="2"/>
  <c r="G5364" i="2"/>
  <c r="H5364" i="2"/>
  <c r="G5365" i="2"/>
  <c r="H5365" i="2"/>
  <c r="G5366" i="2"/>
  <c r="H5366" i="2"/>
  <c r="G5367" i="2"/>
  <c r="H5367" i="2"/>
  <c r="G5368" i="2"/>
  <c r="H5368" i="2"/>
  <c r="G5369" i="2"/>
  <c r="H5369" i="2"/>
  <c r="G5370" i="2"/>
  <c r="H5370" i="2"/>
  <c r="G5371" i="2"/>
  <c r="H5371" i="2"/>
  <c r="G5372" i="2"/>
  <c r="H5372" i="2"/>
  <c r="G5373" i="2"/>
  <c r="H5373" i="2"/>
  <c r="G5374" i="2"/>
  <c r="H5374" i="2"/>
  <c r="G5375" i="2"/>
  <c r="H5375" i="2"/>
  <c r="G5376" i="2"/>
  <c r="H5376" i="2"/>
  <c r="G5377" i="2"/>
  <c r="H5377" i="2"/>
  <c r="G5378" i="2"/>
  <c r="H5378" i="2"/>
  <c r="G5379" i="2"/>
  <c r="H5379" i="2"/>
  <c r="G5380" i="2"/>
  <c r="H5380" i="2"/>
  <c r="G5381" i="2"/>
  <c r="H5381" i="2"/>
  <c r="G5382" i="2"/>
  <c r="H5382" i="2"/>
  <c r="G5383" i="2"/>
  <c r="H5383" i="2"/>
  <c r="G5384" i="2"/>
  <c r="H5384" i="2"/>
  <c r="G5385" i="2"/>
  <c r="H5385" i="2"/>
  <c r="G5386" i="2"/>
  <c r="H5386" i="2"/>
  <c r="G5387" i="2"/>
  <c r="H5387" i="2"/>
  <c r="G5388" i="2"/>
  <c r="H5388" i="2"/>
  <c r="G5389" i="2"/>
  <c r="H5389" i="2"/>
  <c r="G5390" i="2"/>
  <c r="H5390" i="2"/>
  <c r="G5391" i="2"/>
  <c r="H5391" i="2"/>
  <c r="G5392" i="2"/>
  <c r="H5392" i="2"/>
  <c r="G5393" i="2"/>
  <c r="H5393" i="2"/>
  <c r="G5394" i="2"/>
  <c r="H5394" i="2"/>
  <c r="G5395" i="2"/>
  <c r="H5395" i="2"/>
  <c r="G5396" i="2"/>
  <c r="H5396" i="2"/>
  <c r="G5397" i="2"/>
  <c r="H5397" i="2"/>
  <c r="G5398" i="2"/>
  <c r="H5398" i="2"/>
  <c r="G5399" i="2"/>
  <c r="H5399" i="2"/>
  <c r="G5400" i="2"/>
  <c r="H5400" i="2"/>
  <c r="G5401" i="2"/>
  <c r="H5401" i="2"/>
  <c r="G5402" i="2"/>
  <c r="H5402" i="2"/>
  <c r="G5403" i="2"/>
  <c r="H5403" i="2"/>
  <c r="G5404" i="2"/>
  <c r="H5404" i="2"/>
  <c r="G5405" i="2"/>
  <c r="H5405" i="2"/>
  <c r="G5406" i="2"/>
  <c r="H5406" i="2"/>
  <c r="G5407" i="2"/>
  <c r="H5407" i="2"/>
  <c r="G5408" i="2"/>
  <c r="H5408" i="2"/>
  <c r="G5409" i="2"/>
  <c r="H5409" i="2"/>
  <c r="G5410" i="2"/>
  <c r="H5410" i="2"/>
  <c r="G5411" i="2"/>
  <c r="H5411" i="2"/>
  <c r="G5412" i="2"/>
  <c r="H5412" i="2"/>
  <c r="G5413" i="2"/>
  <c r="H5413" i="2"/>
  <c r="G5414" i="2"/>
  <c r="H5414" i="2"/>
  <c r="G5415" i="2"/>
  <c r="H5415" i="2"/>
  <c r="G5416" i="2"/>
  <c r="H5416" i="2"/>
  <c r="G5417" i="2"/>
  <c r="H5417" i="2"/>
  <c r="G5418" i="2"/>
  <c r="H5418" i="2"/>
  <c r="G5419" i="2"/>
  <c r="H5419" i="2"/>
  <c r="G5420" i="2"/>
  <c r="H5420" i="2"/>
  <c r="G5421" i="2"/>
  <c r="H5421" i="2"/>
  <c r="G5422" i="2"/>
  <c r="H5422" i="2"/>
  <c r="G5423" i="2"/>
  <c r="H5423" i="2"/>
  <c r="G5424" i="2"/>
  <c r="H5424" i="2"/>
  <c r="G5425" i="2"/>
  <c r="H5425" i="2"/>
  <c r="G5426" i="2"/>
  <c r="H5426" i="2"/>
  <c r="G5427" i="2"/>
  <c r="H5427" i="2"/>
  <c r="G5428" i="2"/>
  <c r="H5428" i="2"/>
  <c r="G5429" i="2"/>
  <c r="H5429" i="2"/>
  <c r="G5430" i="2"/>
  <c r="H5430" i="2"/>
  <c r="G5431" i="2"/>
  <c r="H5431" i="2"/>
  <c r="G5432" i="2"/>
  <c r="H5432" i="2"/>
  <c r="G5433" i="2"/>
  <c r="H5433" i="2"/>
  <c r="G5434" i="2"/>
  <c r="H5434" i="2"/>
  <c r="G5435" i="2"/>
  <c r="H5435" i="2"/>
  <c r="G5436" i="2"/>
  <c r="H5436" i="2"/>
  <c r="G5437" i="2"/>
  <c r="H5437" i="2"/>
  <c r="G5438" i="2"/>
  <c r="H5438" i="2"/>
  <c r="G5439" i="2"/>
  <c r="H5439" i="2"/>
  <c r="G5440" i="2"/>
  <c r="H5440" i="2"/>
  <c r="G5441" i="2"/>
  <c r="H5441" i="2"/>
  <c r="G5442" i="2"/>
  <c r="H5442" i="2"/>
  <c r="G5443" i="2"/>
  <c r="H5443" i="2"/>
  <c r="G5444" i="2"/>
  <c r="H5444" i="2"/>
  <c r="G5445" i="2"/>
  <c r="H5445" i="2"/>
  <c r="G5446" i="2"/>
  <c r="H5446" i="2"/>
  <c r="G5447" i="2"/>
  <c r="H5447" i="2"/>
  <c r="G5448" i="2"/>
  <c r="H5448" i="2"/>
  <c r="G5449" i="2"/>
  <c r="H5449" i="2"/>
  <c r="G5450" i="2"/>
  <c r="H5450" i="2"/>
  <c r="G5451" i="2"/>
  <c r="H5451" i="2"/>
  <c r="G5452" i="2"/>
  <c r="H5452" i="2"/>
  <c r="G5453" i="2"/>
  <c r="H5453" i="2"/>
  <c r="G5454" i="2"/>
  <c r="H5454" i="2"/>
  <c r="G5455" i="2"/>
  <c r="H5455" i="2"/>
  <c r="G5456" i="2"/>
  <c r="H5456" i="2"/>
  <c r="G5457" i="2"/>
  <c r="H5457" i="2"/>
  <c r="G5458" i="2"/>
  <c r="H5458" i="2"/>
  <c r="G5459" i="2"/>
  <c r="H5459" i="2"/>
  <c r="G5460" i="2"/>
  <c r="H5460" i="2"/>
  <c r="G5461" i="2"/>
  <c r="H5461" i="2"/>
  <c r="G5462" i="2"/>
  <c r="H5462" i="2"/>
  <c r="G5463" i="2"/>
  <c r="H5463" i="2"/>
  <c r="G5464" i="2"/>
  <c r="H5464" i="2"/>
  <c r="G5465" i="2"/>
  <c r="H5465" i="2"/>
  <c r="G5466" i="2"/>
  <c r="H5466" i="2"/>
  <c r="G5467" i="2"/>
  <c r="H5467" i="2"/>
  <c r="G5468" i="2"/>
  <c r="H5468" i="2"/>
  <c r="G5469" i="2"/>
  <c r="H5469" i="2"/>
  <c r="G5470" i="2"/>
  <c r="H5470" i="2"/>
  <c r="G5471" i="2"/>
  <c r="H5471" i="2"/>
  <c r="G5472" i="2"/>
  <c r="H5472" i="2"/>
  <c r="G5473" i="2"/>
  <c r="H5473" i="2"/>
  <c r="G5474" i="2"/>
  <c r="H5474" i="2"/>
  <c r="G5475" i="2"/>
  <c r="H5475" i="2"/>
  <c r="G5476" i="2"/>
  <c r="H5476" i="2"/>
  <c r="G5477" i="2"/>
  <c r="H5477" i="2"/>
  <c r="G5478" i="2"/>
  <c r="H5478" i="2"/>
  <c r="G5479" i="2"/>
  <c r="H5479" i="2"/>
  <c r="G5480" i="2"/>
  <c r="H5480" i="2"/>
  <c r="G5481" i="2"/>
  <c r="H5481" i="2"/>
  <c r="G5482" i="2"/>
  <c r="H5482" i="2"/>
  <c r="G5483" i="2"/>
  <c r="H5483" i="2"/>
  <c r="G5484" i="2"/>
  <c r="H5484" i="2"/>
  <c r="G5485" i="2"/>
  <c r="H5485" i="2"/>
  <c r="G5486" i="2"/>
  <c r="H5486" i="2"/>
  <c r="G5487" i="2"/>
  <c r="H5487" i="2"/>
  <c r="G5488" i="2"/>
  <c r="H5488" i="2"/>
  <c r="G5489" i="2"/>
  <c r="H5489" i="2"/>
  <c r="G5490" i="2"/>
  <c r="H5490" i="2"/>
  <c r="G5491" i="2"/>
  <c r="H5491" i="2"/>
  <c r="G5492" i="2"/>
  <c r="H5492" i="2"/>
  <c r="G5493" i="2"/>
  <c r="H5493" i="2"/>
  <c r="G5494" i="2"/>
  <c r="H5494" i="2"/>
  <c r="G5495" i="2"/>
  <c r="H5495" i="2"/>
  <c r="G5496" i="2"/>
  <c r="H5496" i="2"/>
  <c r="G5497" i="2"/>
  <c r="H5497" i="2"/>
  <c r="G5498" i="2"/>
  <c r="H5498" i="2"/>
  <c r="G5499" i="2"/>
  <c r="H5499" i="2"/>
  <c r="G5500" i="2"/>
  <c r="H5500" i="2"/>
  <c r="G5501" i="2"/>
  <c r="H5501" i="2"/>
  <c r="G5502" i="2"/>
  <c r="H5502" i="2"/>
  <c r="G5503" i="2"/>
  <c r="H5503" i="2"/>
  <c r="G5504" i="2"/>
  <c r="H5504" i="2"/>
  <c r="G5505" i="2"/>
  <c r="H5505" i="2"/>
  <c r="G5506" i="2"/>
  <c r="H5506" i="2"/>
  <c r="G5507" i="2"/>
  <c r="H5507" i="2"/>
  <c r="G5508" i="2"/>
  <c r="H5508" i="2"/>
  <c r="G5509" i="2"/>
  <c r="H5509" i="2"/>
  <c r="G5510" i="2"/>
  <c r="H5510" i="2"/>
  <c r="G5511" i="2"/>
  <c r="H5511" i="2"/>
  <c r="G5512" i="2"/>
  <c r="H5512" i="2"/>
  <c r="G5513" i="2"/>
  <c r="H5513" i="2"/>
  <c r="G5514" i="2"/>
  <c r="H5514" i="2"/>
  <c r="G5515" i="2"/>
  <c r="H5515" i="2"/>
  <c r="G5516" i="2"/>
  <c r="H5516" i="2"/>
  <c r="G5517" i="2"/>
  <c r="H5517" i="2"/>
  <c r="G5518" i="2"/>
  <c r="H5518" i="2"/>
  <c r="G5519" i="2"/>
  <c r="H5519" i="2"/>
  <c r="G5520" i="2"/>
  <c r="H5520" i="2"/>
  <c r="G5521" i="2"/>
  <c r="H5521" i="2"/>
  <c r="G5522" i="2"/>
  <c r="H5522" i="2"/>
  <c r="G5523" i="2"/>
  <c r="H5523" i="2"/>
  <c r="G5524" i="2"/>
  <c r="H5524" i="2"/>
  <c r="G5525" i="2"/>
  <c r="H5525" i="2"/>
  <c r="G5526" i="2"/>
  <c r="H5526" i="2"/>
  <c r="G5527" i="2"/>
  <c r="H5527" i="2"/>
  <c r="G5528" i="2"/>
  <c r="H5528" i="2"/>
  <c r="G5529" i="2"/>
  <c r="H5529" i="2"/>
  <c r="G5530" i="2"/>
  <c r="H5530" i="2"/>
  <c r="G5531" i="2"/>
  <c r="H5531" i="2"/>
  <c r="G5532" i="2"/>
  <c r="H5532" i="2"/>
  <c r="G5533" i="2"/>
  <c r="H5533" i="2"/>
  <c r="G5534" i="2"/>
  <c r="H5534" i="2"/>
  <c r="G5535" i="2"/>
  <c r="H5535" i="2"/>
  <c r="G5536" i="2"/>
  <c r="H5536" i="2"/>
  <c r="G5537" i="2"/>
  <c r="H5537" i="2"/>
  <c r="G5538" i="2"/>
  <c r="H5538" i="2"/>
  <c r="G5539" i="2"/>
  <c r="H5539" i="2"/>
  <c r="G5540" i="2"/>
  <c r="H5540" i="2"/>
  <c r="G5541" i="2"/>
  <c r="H5541" i="2"/>
  <c r="G5542" i="2"/>
  <c r="H5542" i="2"/>
  <c r="G5543" i="2"/>
  <c r="H5543" i="2"/>
  <c r="G5544" i="2"/>
  <c r="H5544" i="2"/>
  <c r="G5545" i="2"/>
  <c r="H5545" i="2"/>
  <c r="G5546" i="2"/>
  <c r="H5546" i="2"/>
  <c r="G5547" i="2"/>
  <c r="H5547" i="2"/>
  <c r="G5548" i="2"/>
  <c r="H5548" i="2"/>
  <c r="G5549" i="2"/>
  <c r="H5549" i="2"/>
  <c r="G5550" i="2"/>
  <c r="H5550" i="2"/>
  <c r="G5551" i="2"/>
  <c r="H5551" i="2"/>
  <c r="G5552" i="2"/>
  <c r="H5552" i="2"/>
  <c r="G5553" i="2"/>
  <c r="H5553" i="2"/>
  <c r="G5554" i="2"/>
  <c r="H5554" i="2"/>
  <c r="G5555" i="2"/>
  <c r="H5555" i="2"/>
  <c r="G5556" i="2"/>
  <c r="H5556" i="2"/>
  <c r="G5557" i="2"/>
  <c r="H5557" i="2"/>
  <c r="G5558" i="2"/>
  <c r="H5558" i="2"/>
  <c r="G5559" i="2"/>
  <c r="H5559" i="2"/>
  <c r="G5560" i="2"/>
  <c r="H5560" i="2"/>
  <c r="G5561" i="2"/>
  <c r="H5561" i="2"/>
  <c r="G5562" i="2"/>
  <c r="H5562" i="2"/>
  <c r="G5563" i="2"/>
  <c r="H5563" i="2"/>
  <c r="G5564" i="2"/>
  <c r="H5564" i="2"/>
  <c r="G5565" i="2"/>
  <c r="H5565" i="2"/>
  <c r="G5566" i="2"/>
  <c r="H5566" i="2"/>
  <c r="G5567" i="2"/>
  <c r="H5567" i="2"/>
  <c r="G5568" i="2"/>
  <c r="H5568" i="2"/>
  <c r="G5569" i="2"/>
  <c r="H5569" i="2"/>
  <c r="G5570" i="2"/>
  <c r="H5570" i="2"/>
  <c r="G5571" i="2"/>
  <c r="H5571" i="2"/>
  <c r="G5572" i="2"/>
  <c r="H5572" i="2"/>
  <c r="G5573" i="2"/>
  <c r="H5573" i="2"/>
  <c r="G5574" i="2"/>
  <c r="H5574" i="2"/>
  <c r="G5575" i="2"/>
  <c r="H5575" i="2"/>
  <c r="G5576" i="2"/>
  <c r="H5576" i="2"/>
  <c r="G5577" i="2"/>
  <c r="H5577" i="2"/>
  <c r="G5578" i="2"/>
  <c r="H5578" i="2"/>
  <c r="G5579" i="2"/>
  <c r="H5579" i="2"/>
  <c r="G5580" i="2"/>
  <c r="H5580" i="2"/>
  <c r="G5581" i="2"/>
  <c r="H5581" i="2"/>
  <c r="G5582" i="2"/>
  <c r="H5582" i="2"/>
  <c r="G5583" i="2"/>
  <c r="H5583" i="2"/>
  <c r="G5584" i="2"/>
  <c r="H5584" i="2"/>
  <c r="G5585" i="2"/>
  <c r="H5585" i="2"/>
  <c r="G5586" i="2"/>
  <c r="H5586" i="2"/>
  <c r="G5587" i="2"/>
  <c r="H5587" i="2"/>
  <c r="G5588" i="2"/>
  <c r="H5588" i="2"/>
  <c r="G5589" i="2"/>
  <c r="H5589" i="2"/>
  <c r="G5590" i="2"/>
  <c r="H5590" i="2"/>
  <c r="G5591" i="2"/>
  <c r="H5591" i="2"/>
  <c r="G5592" i="2"/>
  <c r="H5592" i="2"/>
  <c r="G5593" i="2"/>
  <c r="H5593" i="2"/>
  <c r="G5594" i="2"/>
  <c r="H5594" i="2"/>
  <c r="G5595" i="2"/>
  <c r="H5595" i="2"/>
  <c r="G5596" i="2"/>
  <c r="H5596" i="2"/>
  <c r="G5597" i="2"/>
  <c r="H5597" i="2"/>
  <c r="G5598" i="2"/>
  <c r="H5598" i="2"/>
  <c r="G5599" i="2"/>
  <c r="H5599" i="2"/>
  <c r="G5600" i="2"/>
  <c r="H5600" i="2"/>
  <c r="G5601" i="2"/>
  <c r="H5601" i="2"/>
  <c r="G5602" i="2"/>
  <c r="H5602" i="2"/>
  <c r="G5603" i="2"/>
  <c r="H5603" i="2"/>
  <c r="G5604" i="2"/>
  <c r="H5604" i="2"/>
  <c r="G5605" i="2"/>
  <c r="H5605" i="2"/>
  <c r="G5606" i="2"/>
  <c r="H5606" i="2"/>
  <c r="G5607" i="2"/>
  <c r="H5607" i="2"/>
  <c r="G5608" i="2"/>
  <c r="H5608" i="2"/>
  <c r="G5609" i="2"/>
  <c r="H5609" i="2"/>
  <c r="G5610" i="2"/>
  <c r="H5610" i="2"/>
  <c r="G5611" i="2"/>
  <c r="H5611" i="2"/>
  <c r="G5612" i="2"/>
  <c r="H5612" i="2"/>
  <c r="G5613" i="2"/>
  <c r="H5613" i="2"/>
  <c r="G5614" i="2"/>
  <c r="H5614" i="2"/>
  <c r="G5615" i="2"/>
  <c r="H5615" i="2"/>
  <c r="G5616" i="2"/>
  <c r="H5616" i="2"/>
  <c r="G5617" i="2"/>
  <c r="H5617" i="2"/>
  <c r="G5618" i="2"/>
  <c r="H5618" i="2"/>
  <c r="G5619" i="2"/>
  <c r="H5619" i="2"/>
  <c r="G5620" i="2"/>
  <c r="H5620" i="2"/>
  <c r="G5621" i="2"/>
  <c r="H5621" i="2"/>
  <c r="G5622" i="2"/>
  <c r="H5622" i="2"/>
  <c r="G5623" i="2"/>
  <c r="H5623" i="2"/>
  <c r="G5624" i="2"/>
  <c r="H5624" i="2"/>
  <c r="G5625" i="2"/>
  <c r="H5625" i="2"/>
  <c r="G5626" i="2"/>
  <c r="H5626" i="2"/>
  <c r="G5627" i="2"/>
  <c r="H5627" i="2"/>
  <c r="G5628" i="2"/>
  <c r="H5628" i="2"/>
  <c r="G5629" i="2"/>
  <c r="H5629" i="2"/>
  <c r="G5630" i="2"/>
  <c r="H5630" i="2"/>
  <c r="G5631" i="2"/>
  <c r="H5631" i="2"/>
  <c r="G5632" i="2"/>
  <c r="H5632" i="2"/>
  <c r="G5633" i="2"/>
  <c r="H5633" i="2"/>
  <c r="G5634" i="2"/>
  <c r="H5634" i="2"/>
  <c r="G5635" i="2"/>
  <c r="H5635" i="2"/>
  <c r="G5636" i="2"/>
  <c r="H5636" i="2"/>
  <c r="G5637" i="2"/>
  <c r="H5637" i="2"/>
  <c r="G5638" i="2"/>
  <c r="H5638" i="2"/>
  <c r="G5639" i="2"/>
  <c r="H5639" i="2"/>
  <c r="G5640" i="2"/>
  <c r="H5640" i="2"/>
  <c r="G5641" i="2"/>
  <c r="H5641" i="2"/>
  <c r="G5642" i="2"/>
  <c r="H5642" i="2"/>
  <c r="G5643" i="2"/>
  <c r="H5643" i="2"/>
  <c r="G5644" i="2"/>
  <c r="H5644" i="2"/>
  <c r="G5645" i="2"/>
  <c r="H5645" i="2"/>
  <c r="G5646" i="2"/>
  <c r="H5646" i="2"/>
  <c r="G5647" i="2"/>
  <c r="H5647" i="2"/>
  <c r="G5648" i="2"/>
  <c r="H5648" i="2"/>
  <c r="G5649" i="2"/>
  <c r="H5649" i="2"/>
  <c r="G5650" i="2"/>
  <c r="H5650" i="2"/>
  <c r="G5651" i="2"/>
  <c r="H5651" i="2"/>
  <c r="G5652" i="2"/>
  <c r="H5652" i="2"/>
  <c r="G5653" i="2"/>
  <c r="H5653" i="2"/>
  <c r="G5654" i="2"/>
  <c r="H5654" i="2"/>
  <c r="G5655" i="2"/>
  <c r="H5655" i="2"/>
  <c r="G5656" i="2"/>
  <c r="H5656" i="2"/>
  <c r="G5657" i="2"/>
  <c r="H5657" i="2"/>
  <c r="G5658" i="2"/>
  <c r="H5658" i="2"/>
  <c r="G5659" i="2"/>
  <c r="H5659" i="2"/>
  <c r="G5660" i="2"/>
  <c r="H5660" i="2"/>
  <c r="G5661" i="2"/>
  <c r="H5661" i="2"/>
  <c r="G5662" i="2"/>
  <c r="H5662" i="2"/>
  <c r="G5663" i="2"/>
  <c r="H5663" i="2"/>
  <c r="G5664" i="2"/>
  <c r="H5664" i="2"/>
  <c r="G5665" i="2"/>
  <c r="H5665" i="2"/>
  <c r="G5666" i="2"/>
  <c r="H5666" i="2"/>
  <c r="G5667" i="2"/>
  <c r="H5667" i="2"/>
  <c r="G5668" i="2"/>
  <c r="H5668" i="2"/>
  <c r="G5669" i="2"/>
  <c r="H5669" i="2"/>
  <c r="G5670" i="2"/>
  <c r="H5670" i="2"/>
  <c r="G5671" i="2"/>
  <c r="H5671" i="2"/>
  <c r="G5672" i="2"/>
  <c r="H5672" i="2"/>
  <c r="G5673" i="2"/>
  <c r="H5673" i="2"/>
  <c r="G5674" i="2"/>
  <c r="H5674" i="2"/>
  <c r="G5675" i="2"/>
  <c r="H5675" i="2"/>
  <c r="G5676" i="2"/>
  <c r="H5676" i="2"/>
  <c r="G5677" i="2"/>
  <c r="H5677" i="2"/>
  <c r="G5678" i="2"/>
  <c r="H5678" i="2"/>
  <c r="G5679" i="2"/>
  <c r="H5679" i="2"/>
  <c r="G5680" i="2"/>
  <c r="H5680" i="2"/>
  <c r="G5681" i="2"/>
  <c r="H5681" i="2"/>
  <c r="G5682" i="2"/>
  <c r="H5682" i="2"/>
  <c r="G5683" i="2"/>
  <c r="H5683" i="2"/>
  <c r="G5684" i="2"/>
  <c r="H5684" i="2"/>
  <c r="G5685" i="2"/>
  <c r="H5685" i="2"/>
  <c r="G5686" i="2"/>
  <c r="H5686" i="2"/>
  <c r="G5687" i="2"/>
  <c r="H5687" i="2"/>
  <c r="G5688" i="2"/>
  <c r="H5688" i="2"/>
  <c r="G5689" i="2"/>
  <c r="H5689" i="2"/>
  <c r="G5690" i="2"/>
  <c r="H5690" i="2"/>
  <c r="G5691" i="2"/>
  <c r="H5691" i="2"/>
  <c r="G5692" i="2"/>
  <c r="H5692" i="2"/>
  <c r="G5693" i="2"/>
  <c r="H5693" i="2"/>
  <c r="G5694" i="2"/>
  <c r="H5694" i="2"/>
  <c r="G5695" i="2"/>
  <c r="H5695" i="2"/>
  <c r="G5696" i="2"/>
  <c r="H5696" i="2"/>
  <c r="G5697" i="2"/>
  <c r="H5697" i="2"/>
  <c r="G5698" i="2"/>
  <c r="H5698" i="2"/>
  <c r="G5699" i="2"/>
  <c r="H5699" i="2"/>
  <c r="G5700" i="2"/>
  <c r="H5700" i="2"/>
  <c r="G5701" i="2"/>
  <c r="H5701" i="2"/>
  <c r="G5702" i="2"/>
  <c r="H5702" i="2"/>
  <c r="G5703" i="2"/>
  <c r="H5703" i="2"/>
  <c r="G5704" i="2"/>
  <c r="H5704" i="2"/>
  <c r="G5705" i="2"/>
  <c r="H5705" i="2"/>
  <c r="G5706" i="2"/>
  <c r="H5706" i="2"/>
  <c r="G5707" i="2"/>
  <c r="H5707" i="2"/>
  <c r="G5708" i="2"/>
  <c r="H5708" i="2"/>
  <c r="G5709" i="2"/>
  <c r="H5709" i="2"/>
  <c r="G5710" i="2"/>
  <c r="H5710" i="2"/>
  <c r="G5711" i="2"/>
  <c r="H5711" i="2"/>
  <c r="G5712" i="2"/>
  <c r="H5712" i="2"/>
  <c r="G5713" i="2"/>
  <c r="H5713" i="2"/>
  <c r="G5714" i="2"/>
  <c r="H5714" i="2"/>
  <c r="G5715" i="2"/>
  <c r="H5715" i="2"/>
  <c r="G5716" i="2"/>
  <c r="H5716" i="2"/>
  <c r="G5717" i="2"/>
  <c r="H5717" i="2"/>
  <c r="G5718" i="2"/>
  <c r="H5718" i="2"/>
  <c r="G5719" i="2"/>
  <c r="H5719" i="2"/>
  <c r="G5720" i="2"/>
  <c r="H5720" i="2"/>
  <c r="G5721" i="2"/>
  <c r="H5721" i="2"/>
  <c r="G5722" i="2"/>
  <c r="H5722" i="2"/>
  <c r="G5723" i="2"/>
  <c r="H5723" i="2"/>
  <c r="G5724" i="2"/>
  <c r="H5724" i="2"/>
  <c r="G5725" i="2"/>
  <c r="H5725" i="2"/>
  <c r="G5726" i="2"/>
  <c r="H5726" i="2"/>
  <c r="G5727" i="2"/>
  <c r="H5727" i="2"/>
  <c r="G5728" i="2"/>
  <c r="H5728" i="2"/>
  <c r="G5729" i="2"/>
  <c r="H5729" i="2"/>
  <c r="G5730" i="2"/>
  <c r="H5730" i="2"/>
  <c r="G5731" i="2"/>
  <c r="H5731" i="2"/>
  <c r="G5732" i="2"/>
  <c r="H5732" i="2"/>
  <c r="G5733" i="2"/>
  <c r="H5733" i="2"/>
  <c r="G5734" i="2"/>
  <c r="H5734" i="2"/>
  <c r="G5735" i="2"/>
  <c r="H5735" i="2"/>
  <c r="G5736" i="2"/>
  <c r="H5736" i="2"/>
  <c r="G5737" i="2"/>
  <c r="H5737" i="2"/>
  <c r="G5738" i="2"/>
  <c r="H5738" i="2"/>
  <c r="G5739" i="2"/>
  <c r="H5739" i="2"/>
  <c r="G5740" i="2"/>
  <c r="H5740" i="2"/>
  <c r="G5741" i="2"/>
  <c r="H5741" i="2"/>
  <c r="G5742" i="2"/>
  <c r="H5742" i="2"/>
  <c r="G5743" i="2"/>
  <c r="H5743" i="2"/>
  <c r="G5744" i="2"/>
  <c r="H5744" i="2"/>
  <c r="G5745" i="2"/>
  <c r="H5745" i="2"/>
  <c r="G5746" i="2"/>
  <c r="H5746" i="2"/>
  <c r="G5747" i="2"/>
  <c r="H5747" i="2"/>
  <c r="G5748" i="2"/>
  <c r="H5748" i="2"/>
  <c r="G5749" i="2"/>
  <c r="H5749" i="2"/>
  <c r="G5750" i="2"/>
  <c r="H5750" i="2"/>
  <c r="G5751" i="2"/>
  <c r="H5751" i="2"/>
  <c r="G5752" i="2"/>
  <c r="H5752" i="2"/>
  <c r="G5753" i="2"/>
  <c r="H5753" i="2"/>
  <c r="G5754" i="2"/>
  <c r="H5754" i="2"/>
  <c r="G5755" i="2"/>
  <c r="H5755" i="2"/>
  <c r="G5756" i="2"/>
  <c r="H5756" i="2"/>
  <c r="G5757" i="2"/>
  <c r="H5757" i="2"/>
  <c r="G5758" i="2"/>
  <c r="H5758" i="2"/>
  <c r="G5759" i="2"/>
  <c r="H5759" i="2"/>
  <c r="G5760" i="2"/>
  <c r="H5760" i="2"/>
  <c r="G5761" i="2"/>
  <c r="H5761" i="2"/>
  <c r="G5762" i="2"/>
  <c r="H5762" i="2"/>
  <c r="G5763" i="2"/>
  <c r="H5763" i="2"/>
  <c r="G5764" i="2"/>
  <c r="H5764" i="2"/>
  <c r="G5765" i="2"/>
  <c r="H5765" i="2"/>
  <c r="G5766" i="2"/>
  <c r="H5766" i="2"/>
  <c r="G5767" i="2"/>
  <c r="H5767" i="2"/>
  <c r="G5768" i="2"/>
  <c r="H5768" i="2"/>
  <c r="G5769" i="2"/>
  <c r="H5769" i="2"/>
  <c r="G5770" i="2"/>
  <c r="H5770" i="2"/>
  <c r="G5771" i="2"/>
  <c r="H5771" i="2"/>
  <c r="G5772" i="2"/>
  <c r="H5772" i="2"/>
  <c r="G5773" i="2"/>
  <c r="H5773" i="2"/>
  <c r="G5774" i="2"/>
  <c r="H5774" i="2"/>
  <c r="G5775" i="2"/>
  <c r="H5775" i="2"/>
  <c r="G5776" i="2"/>
  <c r="H5776" i="2"/>
  <c r="G5777" i="2"/>
  <c r="H5777" i="2"/>
  <c r="G5778" i="2"/>
  <c r="H5778" i="2"/>
  <c r="G5779" i="2"/>
  <c r="H5779" i="2"/>
  <c r="G5780" i="2"/>
  <c r="H5780" i="2"/>
  <c r="G5781" i="2"/>
  <c r="H5781" i="2"/>
  <c r="G5782" i="2"/>
  <c r="H5782" i="2"/>
  <c r="G5783" i="2"/>
  <c r="H5783" i="2"/>
  <c r="G5784" i="2"/>
  <c r="H5784" i="2"/>
  <c r="G5785" i="2"/>
  <c r="H5785" i="2"/>
  <c r="G5786" i="2"/>
  <c r="H5786" i="2"/>
  <c r="G5787" i="2"/>
  <c r="H5787" i="2"/>
  <c r="G5788" i="2"/>
  <c r="H5788" i="2"/>
  <c r="G5789" i="2"/>
  <c r="H5789" i="2"/>
  <c r="G5790" i="2"/>
  <c r="H5790" i="2"/>
  <c r="G5791" i="2"/>
  <c r="H5791" i="2"/>
  <c r="G5792" i="2"/>
  <c r="H5792" i="2"/>
  <c r="G5793" i="2"/>
  <c r="H5793" i="2"/>
  <c r="G5794" i="2"/>
  <c r="H5794" i="2"/>
  <c r="G5795" i="2"/>
  <c r="H5795" i="2"/>
  <c r="G5796" i="2"/>
  <c r="H5796" i="2"/>
  <c r="G5797" i="2"/>
  <c r="H5797" i="2"/>
  <c r="G5798" i="2"/>
  <c r="H5798" i="2"/>
  <c r="G5799" i="2"/>
  <c r="H5799" i="2"/>
  <c r="G5800" i="2"/>
  <c r="H5800" i="2"/>
  <c r="G5801" i="2"/>
  <c r="H5801" i="2"/>
  <c r="G5802" i="2"/>
  <c r="H5802" i="2"/>
  <c r="G5803" i="2"/>
  <c r="H5803" i="2"/>
  <c r="G5804" i="2"/>
  <c r="H5804" i="2"/>
  <c r="G5805" i="2"/>
  <c r="H5805" i="2"/>
  <c r="G5806" i="2"/>
  <c r="H5806" i="2"/>
  <c r="G5807" i="2"/>
  <c r="H5807" i="2"/>
  <c r="G5808" i="2"/>
  <c r="H5808" i="2"/>
  <c r="G5809" i="2"/>
  <c r="H5809" i="2"/>
  <c r="G5810" i="2"/>
  <c r="H5810" i="2"/>
  <c r="G5811" i="2"/>
  <c r="H5811" i="2"/>
  <c r="G5812" i="2"/>
  <c r="H5812" i="2"/>
  <c r="G5813" i="2"/>
  <c r="H5813" i="2"/>
  <c r="G5814" i="2"/>
  <c r="H5814" i="2"/>
  <c r="G5815" i="2"/>
  <c r="H5815" i="2"/>
  <c r="G5816" i="2"/>
  <c r="H5816" i="2"/>
  <c r="G5817" i="2"/>
  <c r="H5817" i="2"/>
  <c r="G5818" i="2"/>
  <c r="H5818" i="2"/>
  <c r="G5819" i="2"/>
  <c r="H5819" i="2"/>
  <c r="G5820" i="2"/>
  <c r="H5820" i="2"/>
  <c r="G5821" i="2"/>
  <c r="H5821" i="2"/>
  <c r="G5822" i="2"/>
  <c r="H5822" i="2"/>
  <c r="G5823" i="2"/>
  <c r="H5823" i="2"/>
  <c r="G5824" i="2"/>
  <c r="H5824" i="2"/>
  <c r="G5825" i="2"/>
  <c r="H5825" i="2"/>
  <c r="G5826" i="2"/>
  <c r="H5826" i="2"/>
  <c r="G5827" i="2"/>
  <c r="H5827" i="2"/>
  <c r="G5828" i="2"/>
  <c r="H5828" i="2"/>
  <c r="G5829" i="2"/>
  <c r="H5829" i="2"/>
  <c r="G5830" i="2"/>
  <c r="H5830" i="2"/>
  <c r="G5831" i="2"/>
  <c r="H5831" i="2"/>
  <c r="G5832" i="2"/>
  <c r="H5832" i="2"/>
  <c r="G5833" i="2"/>
  <c r="H5833" i="2"/>
  <c r="G5834" i="2"/>
  <c r="H5834" i="2"/>
  <c r="G5835" i="2"/>
  <c r="H5835" i="2"/>
  <c r="G5836" i="2"/>
  <c r="H5836" i="2"/>
  <c r="G5837" i="2"/>
  <c r="H5837" i="2"/>
  <c r="G5838" i="2"/>
  <c r="H5838" i="2"/>
  <c r="G5839" i="2"/>
  <c r="H5839" i="2"/>
  <c r="G5840" i="2"/>
  <c r="H5840" i="2"/>
  <c r="G5841" i="2"/>
  <c r="H5841" i="2"/>
  <c r="G5842" i="2"/>
  <c r="H5842" i="2"/>
  <c r="G5843" i="2"/>
  <c r="H5843" i="2"/>
  <c r="G5844" i="2"/>
  <c r="H5844" i="2"/>
  <c r="G5845" i="2"/>
  <c r="H5845" i="2"/>
  <c r="G5846" i="2"/>
  <c r="H5846" i="2"/>
  <c r="G5847" i="2"/>
  <c r="H5847" i="2"/>
  <c r="G5848" i="2"/>
  <c r="H5848" i="2"/>
  <c r="G5849" i="2"/>
  <c r="H5849" i="2"/>
  <c r="G5850" i="2"/>
  <c r="H5850" i="2"/>
  <c r="G5851" i="2"/>
  <c r="H5851" i="2"/>
  <c r="G5852" i="2"/>
  <c r="H5852" i="2"/>
  <c r="G5853" i="2"/>
  <c r="H5853" i="2"/>
  <c r="G5854" i="2"/>
  <c r="H5854" i="2"/>
  <c r="G5855" i="2"/>
  <c r="H5855" i="2"/>
  <c r="G5856" i="2"/>
  <c r="H5856" i="2"/>
  <c r="G5857" i="2"/>
  <c r="H5857" i="2"/>
  <c r="G5858" i="2"/>
  <c r="H5858" i="2"/>
  <c r="G5859" i="2"/>
  <c r="H5859" i="2"/>
  <c r="G5860" i="2"/>
  <c r="H5860" i="2"/>
  <c r="G5861" i="2"/>
  <c r="H5861" i="2"/>
  <c r="G5862" i="2"/>
  <c r="H5862" i="2"/>
  <c r="G5863" i="2"/>
  <c r="H5863" i="2"/>
  <c r="G5864" i="2"/>
  <c r="H5864" i="2"/>
  <c r="G5865" i="2"/>
  <c r="H5865" i="2"/>
  <c r="G5866" i="2"/>
  <c r="H5866" i="2"/>
  <c r="G5867" i="2"/>
  <c r="H5867" i="2"/>
  <c r="G5868" i="2"/>
  <c r="H5868" i="2"/>
  <c r="G5869" i="2"/>
  <c r="H5869" i="2"/>
  <c r="G5870" i="2"/>
  <c r="H5870" i="2"/>
  <c r="G5871" i="2"/>
  <c r="H5871" i="2"/>
  <c r="G5872" i="2"/>
  <c r="H5872" i="2"/>
  <c r="G5873" i="2"/>
  <c r="H5873" i="2"/>
  <c r="G5874" i="2"/>
  <c r="H5874" i="2"/>
  <c r="G5875" i="2"/>
  <c r="H5875" i="2"/>
  <c r="G5876" i="2"/>
  <c r="H5876" i="2"/>
  <c r="G5877" i="2"/>
  <c r="H5877" i="2"/>
  <c r="G5878" i="2"/>
  <c r="H5878" i="2"/>
  <c r="G5879" i="2"/>
  <c r="H5879" i="2"/>
  <c r="G5880" i="2"/>
  <c r="H5880" i="2"/>
  <c r="G5881" i="2"/>
  <c r="H5881" i="2"/>
  <c r="G5882" i="2"/>
  <c r="H5882" i="2"/>
  <c r="G5883" i="2"/>
  <c r="H5883" i="2"/>
  <c r="G5884" i="2"/>
  <c r="H5884" i="2"/>
  <c r="G5885" i="2"/>
  <c r="H5885" i="2"/>
  <c r="G5886" i="2"/>
  <c r="H5886" i="2"/>
  <c r="G5887" i="2"/>
  <c r="H5887" i="2"/>
  <c r="G5888" i="2"/>
  <c r="H5888" i="2"/>
  <c r="G5889" i="2"/>
  <c r="H5889" i="2"/>
  <c r="G5890" i="2"/>
  <c r="H5890" i="2"/>
  <c r="G5891" i="2"/>
  <c r="H5891" i="2"/>
  <c r="G5892" i="2"/>
  <c r="H5892" i="2"/>
  <c r="G5893" i="2"/>
  <c r="H5893" i="2"/>
  <c r="G5894" i="2"/>
  <c r="H5894" i="2"/>
  <c r="G5895" i="2"/>
  <c r="H5895" i="2"/>
  <c r="G5896" i="2"/>
  <c r="H5896" i="2"/>
  <c r="G5897" i="2"/>
  <c r="H5897" i="2"/>
  <c r="G5898" i="2"/>
  <c r="H5898" i="2"/>
  <c r="G5899" i="2"/>
  <c r="H5899" i="2"/>
  <c r="G5900" i="2"/>
  <c r="H5900" i="2"/>
  <c r="G5901" i="2"/>
  <c r="H5901" i="2"/>
  <c r="G5902" i="2"/>
  <c r="H5902" i="2"/>
  <c r="G5903" i="2"/>
  <c r="H5903" i="2"/>
  <c r="G5904" i="2"/>
  <c r="H5904" i="2"/>
  <c r="G5905" i="2"/>
  <c r="H5905" i="2"/>
  <c r="G5906" i="2"/>
  <c r="H5906" i="2"/>
  <c r="G5907" i="2"/>
  <c r="H5907" i="2"/>
  <c r="G5908" i="2"/>
  <c r="H5908" i="2"/>
  <c r="G5909" i="2"/>
  <c r="H5909" i="2"/>
  <c r="G5910" i="2"/>
  <c r="H5910" i="2"/>
  <c r="G5911" i="2"/>
  <c r="H5911" i="2"/>
  <c r="G5912" i="2"/>
  <c r="H5912" i="2"/>
  <c r="G5913" i="2"/>
  <c r="H5913" i="2"/>
  <c r="G5914" i="2"/>
  <c r="H5914" i="2"/>
  <c r="G5915" i="2"/>
  <c r="H5915" i="2"/>
  <c r="G5916" i="2"/>
  <c r="H5916" i="2"/>
  <c r="G5917" i="2"/>
  <c r="H5917" i="2"/>
  <c r="G5918" i="2"/>
  <c r="H5918" i="2"/>
  <c r="G5919" i="2"/>
  <c r="H5919" i="2"/>
  <c r="G5920" i="2"/>
  <c r="H5920" i="2"/>
  <c r="G5921" i="2"/>
  <c r="H5921" i="2"/>
  <c r="G5922" i="2"/>
  <c r="H5922" i="2"/>
  <c r="G5923" i="2"/>
  <c r="H5923" i="2"/>
  <c r="G5924" i="2"/>
  <c r="H5924" i="2"/>
  <c r="G5925" i="2"/>
  <c r="H5925" i="2"/>
  <c r="G5926" i="2"/>
  <c r="H5926" i="2"/>
  <c r="G5927" i="2"/>
  <c r="H5927" i="2"/>
  <c r="G5928" i="2"/>
  <c r="H5928" i="2"/>
  <c r="G5929" i="2"/>
  <c r="H5929" i="2"/>
  <c r="G5930" i="2"/>
  <c r="H5930" i="2"/>
  <c r="G5931" i="2"/>
  <c r="H5931" i="2"/>
  <c r="G5932" i="2"/>
  <c r="H5932" i="2"/>
  <c r="G5933" i="2"/>
  <c r="H5933" i="2"/>
  <c r="G5934" i="2"/>
  <c r="H5934" i="2"/>
  <c r="G5935" i="2"/>
  <c r="H5935" i="2"/>
  <c r="G5936" i="2"/>
  <c r="H5936" i="2"/>
  <c r="G5937" i="2"/>
  <c r="H5937" i="2"/>
  <c r="G5938" i="2"/>
  <c r="H5938" i="2"/>
  <c r="G5939" i="2"/>
  <c r="H5939" i="2"/>
  <c r="G5940" i="2"/>
  <c r="H5940" i="2"/>
  <c r="G5941" i="2"/>
  <c r="H5941" i="2"/>
  <c r="G5942" i="2"/>
  <c r="H5942" i="2"/>
  <c r="G5943" i="2"/>
  <c r="H5943" i="2"/>
  <c r="G5944" i="2"/>
  <c r="H5944" i="2"/>
  <c r="G5945" i="2"/>
  <c r="H5945" i="2"/>
  <c r="G5946" i="2"/>
  <c r="H5946" i="2"/>
  <c r="G5947" i="2"/>
  <c r="H5947" i="2"/>
  <c r="G5948" i="2"/>
  <c r="H5948" i="2"/>
  <c r="G5949" i="2"/>
  <c r="H5949" i="2"/>
  <c r="G5950" i="2"/>
  <c r="H5950" i="2"/>
  <c r="G5951" i="2"/>
  <c r="H5951" i="2"/>
  <c r="G5952" i="2"/>
  <c r="H5952" i="2"/>
  <c r="G5953" i="2"/>
  <c r="H5953" i="2"/>
  <c r="G5954" i="2"/>
  <c r="H5954" i="2"/>
  <c r="G5955" i="2"/>
  <c r="H5955" i="2"/>
  <c r="G5956" i="2"/>
  <c r="H5956" i="2"/>
  <c r="G5957" i="2"/>
  <c r="H5957" i="2"/>
  <c r="G5958" i="2"/>
  <c r="H5958" i="2"/>
  <c r="G5959" i="2"/>
  <c r="H5959" i="2"/>
  <c r="G5960" i="2"/>
  <c r="H5960" i="2"/>
  <c r="G5961" i="2"/>
  <c r="H5961" i="2"/>
  <c r="G5962" i="2"/>
  <c r="H5962" i="2"/>
  <c r="G5963" i="2"/>
  <c r="H5963" i="2"/>
  <c r="G5964" i="2"/>
  <c r="H5964" i="2"/>
  <c r="G5965" i="2"/>
  <c r="H5965" i="2"/>
  <c r="G5966" i="2"/>
  <c r="H5966" i="2"/>
  <c r="G5967" i="2"/>
  <c r="H5967" i="2"/>
  <c r="G5968" i="2"/>
  <c r="H5968" i="2"/>
  <c r="G5969" i="2"/>
  <c r="H5969" i="2"/>
  <c r="G5970" i="2"/>
  <c r="H5970" i="2"/>
  <c r="G5971" i="2"/>
  <c r="H5971" i="2"/>
  <c r="G5972" i="2"/>
  <c r="H5972" i="2"/>
  <c r="G5973" i="2"/>
  <c r="H5973" i="2"/>
  <c r="G5974" i="2"/>
  <c r="H5974" i="2"/>
  <c r="G5975" i="2"/>
  <c r="H5975" i="2"/>
  <c r="G5976" i="2"/>
  <c r="H5976" i="2"/>
  <c r="G5977" i="2"/>
  <c r="H5977" i="2"/>
  <c r="G5978" i="2"/>
  <c r="H5978" i="2"/>
  <c r="G5979" i="2"/>
  <c r="H5979" i="2"/>
  <c r="G5980" i="2"/>
  <c r="H5980" i="2"/>
  <c r="G5981" i="2"/>
  <c r="H5981" i="2"/>
  <c r="G5982" i="2"/>
  <c r="H5982" i="2"/>
  <c r="G5983" i="2"/>
  <c r="H5983" i="2"/>
  <c r="G5984" i="2"/>
  <c r="H5984" i="2"/>
  <c r="G5985" i="2"/>
  <c r="H5985" i="2"/>
  <c r="G5986" i="2"/>
  <c r="H5986" i="2"/>
  <c r="G5987" i="2"/>
  <c r="H5987" i="2"/>
  <c r="G5988" i="2"/>
  <c r="H5988" i="2"/>
  <c r="G5989" i="2"/>
  <c r="H5989" i="2"/>
  <c r="G5990" i="2"/>
  <c r="H5990" i="2"/>
  <c r="G5991" i="2"/>
  <c r="H5991" i="2"/>
  <c r="G5992" i="2"/>
  <c r="H5992" i="2"/>
  <c r="G5993" i="2"/>
  <c r="H5993" i="2"/>
  <c r="G5994" i="2"/>
  <c r="H5994" i="2"/>
  <c r="G5995" i="2"/>
  <c r="H5995" i="2"/>
  <c r="G5996" i="2"/>
  <c r="H5996" i="2"/>
  <c r="G5997" i="2"/>
  <c r="H5997" i="2"/>
  <c r="G5998" i="2"/>
  <c r="H5998" i="2"/>
  <c r="G5999" i="2"/>
  <c r="H5999" i="2"/>
  <c r="G6000" i="2"/>
  <c r="H6000" i="2"/>
  <c r="G6001" i="2"/>
  <c r="H6001" i="2"/>
  <c r="G6002" i="2"/>
  <c r="H6002" i="2"/>
  <c r="G6003" i="2"/>
  <c r="H6003" i="2"/>
  <c r="G6004" i="2"/>
  <c r="H6004" i="2"/>
  <c r="G6005" i="2"/>
  <c r="H6005" i="2"/>
  <c r="G6006" i="2"/>
  <c r="H6006" i="2"/>
  <c r="G6007" i="2"/>
  <c r="H6007" i="2"/>
  <c r="G6008" i="2"/>
  <c r="H6008" i="2"/>
  <c r="G6009" i="2"/>
  <c r="H6009" i="2"/>
  <c r="G6010" i="2"/>
  <c r="H6010" i="2"/>
  <c r="G6011" i="2"/>
  <c r="H6011" i="2"/>
  <c r="G6012" i="2"/>
  <c r="H6012" i="2"/>
  <c r="G6013" i="2"/>
  <c r="H6013" i="2"/>
  <c r="G6014" i="2"/>
  <c r="H6014" i="2"/>
  <c r="G6015" i="2"/>
  <c r="H6015" i="2"/>
  <c r="G6016" i="2"/>
  <c r="H6016" i="2"/>
  <c r="G6017" i="2"/>
  <c r="H6017" i="2"/>
  <c r="G6018" i="2"/>
  <c r="H6018" i="2"/>
  <c r="G6019" i="2"/>
  <c r="H6019" i="2"/>
  <c r="G6020" i="2"/>
  <c r="H6020" i="2"/>
  <c r="G6021" i="2"/>
  <c r="H6021" i="2"/>
  <c r="G6022" i="2"/>
  <c r="H6022" i="2"/>
  <c r="G6023" i="2"/>
  <c r="H6023" i="2"/>
  <c r="G6024" i="2"/>
  <c r="H6024" i="2"/>
  <c r="G6025" i="2"/>
  <c r="H6025" i="2"/>
  <c r="G6026" i="2"/>
  <c r="H6026" i="2"/>
  <c r="G6027" i="2"/>
  <c r="H6027" i="2"/>
  <c r="G6028" i="2"/>
  <c r="H6028" i="2"/>
  <c r="G6029" i="2"/>
  <c r="H6029" i="2"/>
  <c r="G6030" i="2"/>
  <c r="H6030" i="2"/>
  <c r="G6031" i="2"/>
  <c r="H6031" i="2"/>
  <c r="G6032" i="2"/>
  <c r="H6032" i="2"/>
  <c r="G6033" i="2"/>
  <c r="H6033" i="2"/>
  <c r="G6034" i="2"/>
  <c r="H6034" i="2"/>
  <c r="G6035" i="2"/>
  <c r="H6035" i="2"/>
  <c r="G6036" i="2"/>
  <c r="H6036" i="2"/>
  <c r="G6037" i="2"/>
  <c r="H6037" i="2"/>
  <c r="G6038" i="2"/>
  <c r="H6038" i="2"/>
  <c r="G6039" i="2"/>
  <c r="H6039" i="2"/>
  <c r="G6040" i="2"/>
  <c r="H6040" i="2"/>
  <c r="G6041" i="2"/>
  <c r="H6041" i="2"/>
  <c r="G6042" i="2"/>
  <c r="H6042" i="2"/>
  <c r="G6043" i="2"/>
  <c r="H6043" i="2"/>
  <c r="G6044" i="2"/>
  <c r="H6044" i="2"/>
  <c r="G6045" i="2"/>
  <c r="H6045" i="2"/>
  <c r="G6046" i="2"/>
  <c r="H6046" i="2"/>
  <c r="G6047" i="2"/>
  <c r="H6047" i="2"/>
  <c r="G6048" i="2"/>
  <c r="H6048" i="2"/>
  <c r="G6049" i="2"/>
  <c r="H6049" i="2"/>
  <c r="G6050" i="2"/>
  <c r="H6050" i="2"/>
  <c r="G6051" i="2"/>
  <c r="H6051" i="2"/>
  <c r="G6052" i="2"/>
  <c r="H6052" i="2"/>
  <c r="G6053" i="2"/>
  <c r="H6053" i="2"/>
  <c r="G6054" i="2"/>
  <c r="H6054" i="2"/>
  <c r="G6055" i="2"/>
  <c r="H6055" i="2"/>
  <c r="G6056" i="2"/>
  <c r="H6056" i="2"/>
  <c r="G6057" i="2"/>
  <c r="H6057" i="2"/>
  <c r="G6058" i="2"/>
  <c r="H6058" i="2"/>
  <c r="G6059" i="2"/>
  <c r="H6059" i="2"/>
  <c r="G6060" i="2"/>
  <c r="H6060" i="2"/>
  <c r="G6061" i="2"/>
  <c r="H6061" i="2"/>
  <c r="G6062" i="2"/>
  <c r="H6062" i="2"/>
  <c r="G6063" i="2"/>
  <c r="H6063" i="2"/>
  <c r="G6064" i="2"/>
  <c r="H6064" i="2"/>
  <c r="G6065" i="2"/>
  <c r="H6065" i="2"/>
  <c r="G6066" i="2"/>
  <c r="H6066" i="2"/>
  <c r="G6067" i="2"/>
  <c r="H6067" i="2"/>
  <c r="G6068" i="2"/>
  <c r="H6068" i="2"/>
  <c r="G6069" i="2"/>
  <c r="H6069" i="2"/>
  <c r="G6070" i="2"/>
  <c r="H6070" i="2"/>
  <c r="G6071" i="2"/>
  <c r="H6071" i="2"/>
  <c r="G6072" i="2"/>
  <c r="H6072" i="2"/>
  <c r="G6073" i="2"/>
  <c r="H6073" i="2"/>
  <c r="G6074" i="2"/>
  <c r="H6074" i="2"/>
  <c r="G6075" i="2"/>
  <c r="H6075" i="2"/>
  <c r="G6076" i="2"/>
  <c r="H6076" i="2"/>
  <c r="G6077" i="2"/>
  <c r="H6077" i="2"/>
  <c r="G6078" i="2"/>
  <c r="H6078" i="2"/>
  <c r="G6079" i="2"/>
  <c r="H6079" i="2"/>
  <c r="G6080" i="2"/>
  <c r="H6080" i="2"/>
  <c r="G6081" i="2"/>
  <c r="H6081" i="2"/>
  <c r="G6082" i="2"/>
  <c r="H6082" i="2"/>
  <c r="G6083" i="2"/>
  <c r="H6083" i="2"/>
  <c r="G6084" i="2"/>
  <c r="H6084" i="2"/>
  <c r="G6085" i="2"/>
  <c r="H6085" i="2"/>
  <c r="G6086" i="2"/>
  <c r="H6086" i="2"/>
  <c r="G6087" i="2"/>
  <c r="H6087" i="2"/>
  <c r="G6088" i="2"/>
  <c r="H6088" i="2"/>
  <c r="G6089" i="2"/>
  <c r="H6089" i="2"/>
  <c r="G6090" i="2"/>
  <c r="H6090" i="2"/>
  <c r="G6091" i="2"/>
  <c r="H6091" i="2"/>
  <c r="G6092" i="2"/>
  <c r="H6092" i="2"/>
  <c r="G6093" i="2"/>
  <c r="H6093" i="2"/>
  <c r="G6094" i="2"/>
  <c r="H6094" i="2"/>
  <c r="G6095" i="2"/>
  <c r="H6095" i="2"/>
  <c r="G6096" i="2"/>
  <c r="H6096" i="2"/>
  <c r="G6097" i="2"/>
  <c r="H6097" i="2"/>
  <c r="G6098" i="2"/>
  <c r="H6098" i="2"/>
  <c r="G6099" i="2"/>
  <c r="H6099" i="2"/>
  <c r="G6100" i="2"/>
  <c r="H6100" i="2"/>
  <c r="G6101" i="2"/>
  <c r="H6101" i="2"/>
  <c r="G6102" i="2"/>
  <c r="H6102" i="2"/>
  <c r="G6103" i="2"/>
  <c r="H6103" i="2"/>
  <c r="G6104" i="2"/>
  <c r="H6104" i="2"/>
  <c r="G6105" i="2"/>
  <c r="H6105" i="2"/>
  <c r="G6106" i="2"/>
  <c r="H6106" i="2"/>
  <c r="G6107" i="2"/>
  <c r="H6107" i="2"/>
  <c r="G6108" i="2"/>
  <c r="H6108" i="2"/>
  <c r="G6109" i="2"/>
  <c r="H6109" i="2"/>
  <c r="G6110" i="2"/>
  <c r="H6110" i="2"/>
  <c r="G6111" i="2"/>
  <c r="H6111" i="2"/>
  <c r="G6112" i="2"/>
  <c r="H6112" i="2"/>
  <c r="G6113" i="2"/>
  <c r="H6113" i="2"/>
  <c r="G6114" i="2"/>
  <c r="H6114" i="2"/>
  <c r="G6115" i="2"/>
  <c r="H6115" i="2"/>
  <c r="G6116" i="2"/>
  <c r="H6116" i="2"/>
  <c r="G6117" i="2"/>
  <c r="H6117" i="2"/>
  <c r="G6118" i="2"/>
  <c r="H6118" i="2"/>
  <c r="G6119" i="2"/>
  <c r="H6119" i="2"/>
  <c r="G6120" i="2"/>
  <c r="H6120" i="2"/>
  <c r="G6121" i="2"/>
  <c r="H6121" i="2"/>
  <c r="G6122" i="2"/>
  <c r="H6122" i="2"/>
  <c r="G6123" i="2"/>
  <c r="H6123" i="2"/>
  <c r="G6124" i="2"/>
  <c r="H6124" i="2"/>
  <c r="G6125" i="2"/>
  <c r="H6125" i="2"/>
  <c r="G6126" i="2"/>
  <c r="H6126" i="2"/>
  <c r="G6127" i="2"/>
  <c r="H6127" i="2"/>
  <c r="G6128" i="2"/>
  <c r="H6128" i="2"/>
  <c r="G6129" i="2"/>
  <c r="H6129" i="2"/>
  <c r="G6130" i="2"/>
  <c r="H6130" i="2"/>
  <c r="G6131" i="2"/>
  <c r="H6131" i="2"/>
  <c r="G6132" i="2"/>
  <c r="H6132" i="2"/>
  <c r="G6133" i="2"/>
  <c r="H6133" i="2"/>
  <c r="G6134" i="2"/>
  <c r="H6134" i="2"/>
  <c r="G6135" i="2"/>
  <c r="H6135" i="2"/>
  <c r="G6136" i="2"/>
  <c r="H6136" i="2"/>
  <c r="G6137" i="2"/>
  <c r="H6137" i="2"/>
  <c r="G6138" i="2"/>
  <c r="H6138" i="2"/>
  <c r="G6139" i="2"/>
  <c r="H6139" i="2"/>
  <c r="G6140" i="2"/>
  <c r="H6140" i="2"/>
  <c r="G6141" i="2"/>
  <c r="H6141" i="2"/>
  <c r="G6142" i="2"/>
  <c r="H6142" i="2"/>
  <c r="G6143" i="2"/>
  <c r="H6143" i="2"/>
  <c r="G6144" i="2"/>
  <c r="H6144" i="2"/>
  <c r="G6145" i="2"/>
  <c r="H6145" i="2"/>
  <c r="G6146" i="2"/>
  <c r="H6146" i="2"/>
  <c r="G6147" i="2"/>
  <c r="H6147" i="2"/>
  <c r="G6148" i="2"/>
  <c r="H6148" i="2"/>
  <c r="G6149" i="2"/>
  <c r="H6149" i="2"/>
  <c r="G6150" i="2"/>
  <c r="H6150" i="2"/>
  <c r="G6151" i="2"/>
  <c r="H6151" i="2"/>
  <c r="G6152" i="2"/>
  <c r="H6152" i="2"/>
  <c r="G6153" i="2"/>
  <c r="H6153" i="2"/>
  <c r="G6154" i="2"/>
  <c r="H6154" i="2"/>
  <c r="G6155" i="2"/>
  <c r="H6155" i="2"/>
  <c r="G6156" i="2"/>
  <c r="H6156" i="2"/>
  <c r="G6157" i="2"/>
  <c r="H6157" i="2"/>
  <c r="G6158" i="2"/>
  <c r="H6158" i="2"/>
  <c r="G6159" i="2"/>
  <c r="H6159" i="2"/>
  <c r="G6160" i="2"/>
  <c r="H6160" i="2"/>
  <c r="G6161" i="2"/>
  <c r="H6161" i="2"/>
  <c r="G6162" i="2"/>
  <c r="H6162" i="2"/>
  <c r="G6163" i="2"/>
  <c r="H6163" i="2"/>
  <c r="G6164" i="2"/>
  <c r="H6164" i="2"/>
  <c r="G6165" i="2"/>
  <c r="H6165" i="2"/>
  <c r="G6166" i="2"/>
  <c r="H6166" i="2"/>
  <c r="G6167" i="2"/>
  <c r="H6167" i="2"/>
  <c r="G6168" i="2"/>
  <c r="H6168" i="2"/>
  <c r="G6169" i="2"/>
  <c r="H6169" i="2"/>
  <c r="G6170" i="2"/>
  <c r="H6170" i="2"/>
  <c r="G6171" i="2"/>
  <c r="H6171" i="2"/>
  <c r="G6172" i="2"/>
  <c r="H6172" i="2"/>
  <c r="G6173" i="2"/>
  <c r="H6173" i="2"/>
  <c r="G6174" i="2"/>
  <c r="H6174" i="2"/>
  <c r="G6175" i="2"/>
  <c r="H6175" i="2"/>
  <c r="G6176" i="2"/>
  <c r="H6176" i="2"/>
  <c r="G6177" i="2"/>
  <c r="H6177" i="2"/>
  <c r="G6178" i="2"/>
  <c r="H6178" i="2"/>
  <c r="G6179" i="2"/>
  <c r="H6179" i="2"/>
  <c r="G6180" i="2"/>
  <c r="H6180" i="2"/>
  <c r="G6181" i="2"/>
  <c r="H6181" i="2"/>
  <c r="G6182" i="2"/>
  <c r="H6182" i="2"/>
  <c r="G6183" i="2"/>
  <c r="H6183" i="2"/>
  <c r="G6184" i="2"/>
  <c r="H6184" i="2"/>
  <c r="G6185" i="2"/>
  <c r="H6185" i="2"/>
  <c r="G6186" i="2"/>
  <c r="H6186" i="2"/>
  <c r="G6187" i="2"/>
  <c r="H6187" i="2"/>
  <c r="G6188" i="2"/>
  <c r="H6188" i="2"/>
  <c r="G6189" i="2"/>
  <c r="H6189" i="2"/>
  <c r="G6190" i="2"/>
  <c r="H6190" i="2"/>
  <c r="G6191" i="2"/>
  <c r="H6191" i="2"/>
  <c r="G6192" i="2"/>
  <c r="H6192" i="2"/>
  <c r="G6193" i="2"/>
  <c r="H6193" i="2"/>
  <c r="G6194" i="2"/>
  <c r="H6194" i="2"/>
  <c r="G6195" i="2"/>
  <c r="H6195" i="2"/>
  <c r="G6196" i="2"/>
  <c r="H6196" i="2"/>
  <c r="G6197" i="2"/>
  <c r="H6197" i="2"/>
  <c r="G6198" i="2"/>
  <c r="H6198" i="2"/>
  <c r="G6199" i="2"/>
  <c r="H6199" i="2"/>
  <c r="G6200" i="2"/>
  <c r="H6200" i="2"/>
  <c r="G6201" i="2"/>
  <c r="H6201" i="2"/>
  <c r="G6202" i="2"/>
  <c r="H6202" i="2"/>
  <c r="G6203" i="2"/>
  <c r="H6203" i="2"/>
  <c r="G6204" i="2"/>
  <c r="H6204" i="2"/>
  <c r="G6205" i="2"/>
  <c r="H6205" i="2"/>
  <c r="G6206" i="2"/>
  <c r="H6206" i="2"/>
  <c r="G6207" i="2"/>
  <c r="H6207" i="2"/>
  <c r="G6208" i="2"/>
  <c r="H6208" i="2"/>
  <c r="G6209" i="2"/>
  <c r="H6209" i="2"/>
  <c r="G6210" i="2"/>
  <c r="H6210" i="2"/>
  <c r="G6211" i="2"/>
  <c r="H6211" i="2"/>
  <c r="G6212" i="2"/>
  <c r="H6212" i="2"/>
  <c r="G6213" i="2"/>
  <c r="H6213" i="2"/>
  <c r="G6214" i="2"/>
  <c r="H6214" i="2"/>
  <c r="G6215" i="2"/>
  <c r="H6215" i="2"/>
  <c r="G6216" i="2"/>
  <c r="H6216" i="2"/>
  <c r="G6217" i="2"/>
  <c r="H6217" i="2"/>
  <c r="G6218" i="2"/>
  <c r="H6218" i="2"/>
  <c r="G6219" i="2"/>
  <c r="H6219" i="2"/>
  <c r="G6220" i="2"/>
  <c r="H6220" i="2"/>
  <c r="G6221" i="2"/>
  <c r="H6221" i="2"/>
  <c r="G6222" i="2"/>
  <c r="H6222" i="2"/>
  <c r="G6223" i="2"/>
  <c r="H6223" i="2"/>
  <c r="G6224" i="2"/>
  <c r="H6224" i="2"/>
  <c r="G6225" i="2"/>
  <c r="H6225" i="2"/>
  <c r="G6226" i="2"/>
  <c r="H6226" i="2"/>
  <c r="G6227" i="2"/>
  <c r="H6227" i="2"/>
  <c r="G6228" i="2"/>
  <c r="H6228" i="2"/>
  <c r="G6229" i="2"/>
  <c r="H6229" i="2"/>
  <c r="G6230" i="2"/>
  <c r="H6230" i="2"/>
  <c r="G6231" i="2"/>
  <c r="H6231" i="2"/>
  <c r="G6232" i="2"/>
  <c r="H6232" i="2"/>
  <c r="G6233" i="2"/>
  <c r="H6233" i="2"/>
  <c r="G6234" i="2"/>
  <c r="H6234" i="2"/>
  <c r="G6235" i="2"/>
  <c r="H6235" i="2"/>
  <c r="G6236" i="2"/>
  <c r="H6236" i="2"/>
  <c r="G6237" i="2"/>
  <c r="H6237" i="2"/>
  <c r="G6238" i="2"/>
  <c r="H6238" i="2"/>
  <c r="G6239" i="2"/>
  <c r="H6239" i="2"/>
  <c r="G6240" i="2"/>
  <c r="H6240" i="2"/>
  <c r="G6241" i="2"/>
  <c r="H6241" i="2"/>
  <c r="G6242" i="2"/>
  <c r="H6242" i="2"/>
  <c r="G6243" i="2"/>
  <c r="H6243" i="2"/>
  <c r="G6244" i="2"/>
  <c r="H6244" i="2"/>
  <c r="G6245" i="2"/>
  <c r="H6245" i="2"/>
  <c r="G6246" i="2"/>
  <c r="H6246" i="2"/>
  <c r="G6247" i="2"/>
  <c r="H6247" i="2"/>
  <c r="G6248" i="2"/>
  <c r="H6248" i="2"/>
  <c r="G6249" i="2"/>
  <c r="H6249" i="2"/>
  <c r="G6250" i="2"/>
  <c r="H6250" i="2"/>
  <c r="G6251" i="2"/>
  <c r="H6251" i="2"/>
  <c r="G6252" i="2"/>
  <c r="H6252" i="2"/>
  <c r="G6253" i="2"/>
  <c r="H6253" i="2"/>
  <c r="G6254" i="2"/>
  <c r="H6254" i="2"/>
  <c r="G6255" i="2"/>
  <c r="H6255" i="2"/>
  <c r="G6256" i="2"/>
  <c r="H6256" i="2"/>
  <c r="G6257" i="2"/>
  <c r="H6257" i="2"/>
  <c r="G6258" i="2"/>
  <c r="H6258" i="2"/>
  <c r="G6259" i="2"/>
  <c r="H6259" i="2"/>
  <c r="G6260" i="2"/>
  <c r="H6260" i="2"/>
  <c r="G6261" i="2"/>
  <c r="H6261" i="2"/>
  <c r="G6262" i="2"/>
  <c r="H6262" i="2"/>
  <c r="G6263" i="2"/>
  <c r="H6263" i="2"/>
  <c r="G6264" i="2"/>
  <c r="H6264" i="2"/>
  <c r="G6265" i="2"/>
  <c r="H6265" i="2"/>
  <c r="G6266" i="2"/>
  <c r="H6266" i="2"/>
  <c r="G6267" i="2"/>
  <c r="H6267" i="2"/>
  <c r="G6268" i="2"/>
  <c r="H6268" i="2"/>
  <c r="G6269" i="2"/>
  <c r="H6269" i="2"/>
  <c r="G6270" i="2"/>
  <c r="H6270" i="2"/>
  <c r="G6271" i="2"/>
  <c r="H6271" i="2"/>
  <c r="G6272" i="2"/>
  <c r="H6272" i="2"/>
  <c r="G6273" i="2"/>
  <c r="H6273" i="2"/>
  <c r="G6274" i="2"/>
  <c r="H6274" i="2"/>
  <c r="G6275" i="2"/>
  <c r="H6275" i="2"/>
  <c r="G6276" i="2"/>
  <c r="H6276" i="2"/>
  <c r="G6277" i="2"/>
  <c r="H6277" i="2"/>
  <c r="G6278" i="2"/>
  <c r="H6278" i="2"/>
  <c r="G6279" i="2"/>
  <c r="H6279" i="2"/>
  <c r="G6280" i="2"/>
  <c r="H6280" i="2"/>
  <c r="G6281" i="2"/>
  <c r="H6281" i="2"/>
  <c r="G6282" i="2"/>
  <c r="H6282" i="2"/>
  <c r="G6283" i="2"/>
  <c r="H6283" i="2"/>
  <c r="G6284" i="2"/>
  <c r="H6284" i="2"/>
  <c r="G6285" i="2"/>
  <c r="H6285" i="2"/>
  <c r="G6286" i="2"/>
  <c r="H6286" i="2"/>
  <c r="G6287" i="2"/>
  <c r="H6287" i="2"/>
  <c r="G6288" i="2"/>
  <c r="H6288" i="2"/>
  <c r="G6289" i="2"/>
  <c r="H6289" i="2"/>
  <c r="G6290" i="2"/>
  <c r="H6290" i="2"/>
  <c r="G6291" i="2"/>
  <c r="H6291" i="2"/>
  <c r="G6292" i="2"/>
  <c r="H6292" i="2"/>
  <c r="G6293" i="2"/>
  <c r="H6293" i="2"/>
  <c r="G6294" i="2"/>
  <c r="H6294" i="2"/>
  <c r="G6295" i="2"/>
  <c r="H6295" i="2"/>
  <c r="G6296" i="2"/>
  <c r="H6296" i="2"/>
  <c r="G6297" i="2"/>
  <c r="H6297" i="2"/>
  <c r="G6298" i="2"/>
  <c r="H6298" i="2"/>
  <c r="G6299" i="2"/>
  <c r="H6299" i="2"/>
  <c r="G6300" i="2"/>
  <c r="H6300" i="2"/>
  <c r="G6301" i="2"/>
  <c r="H6301" i="2"/>
  <c r="G6302" i="2"/>
  <c r="H6302" i="2"/>
  <c r="G6303" i="2"/>
  <c r="H6303" i="2"/>
  <c r="G6304" i="2"/>
  <c r="H6304" i="2"/>
  <c r="G6305" i="2"/>
  <c r="H6305" i="2"/>
  <c r="G6306" i="2"/>
  <c r="H6306" i="2"/>
  <c r="G6307" i="2"/>
  <c r="H6307" i="2"/>
  <c r="G6308" i="2"/>
  <c r="H6308" i="2"/>
  <c r="G6309" i="2"/>
  <c r="H6309" i="2"/>
  <c r="G6310" i="2"/>
  <c r="H6310" i="2"/>
  <c r="G6311" i="2"/>
  <c r="H6311" i="2"/>
  <c r="G6312" i="2"/>
  <c r="H6312" i="2"/>
  <c r="G6313" i="2"/>
  <c r="H6313" i="2"/>
  <c r="G6314" i="2"/>
  <c r="H6314" i="2"/>
  <c r="G6315" i="2"/>
  <c r="H6315" i="2"/>
  <c r="G6316" i="2"/>
  <c r="H6316" i="2"/>
  <c r="G6317" i="2"/>
  <c r="H6317" i="2"/>
  <c r="G6318" i="2"/>
  <c r="H6318" i="2"/>
  <c r="G6319" i="2"/>
  <c r="H6319" i="2"/>
  <c r="G6320" i="2"/>
  <c r="H6320" i="2"/>
  <c r="G6321" i="2"/>
  <c r="H6321" i="2"/>
  <c r="G6322" i="2"/>
  <c r="H6322" i="2"/>
  <c r="G6323" i="2"/>
  <c r="H6323" i="2"/>
  <c r="G6324" i="2"/>
  <c r="H6324" i="2"/>
  <c r="G6325" i="2"/>
  <c r="H6325" i="2"/>
  <c r="G6326" i="2"/>
  <c r="H6326" i="2"/>
  <c r="G6327" i="2"/>
  <c r="H6327" i="2"/>
  <c r="G6328" i="2"/>
  <c r="H6328" i="2"/>
  <c r="G6329" i="2"/>
  <c r="H6329" i="2"/>
  <c r="G6330" i="2"/>
  <c r="H6330" i="2"/>
  <c r="G6331" i="2"/>
  <c r="H6331" i="2"/>
  <c r="G6332" i="2"/>
  <c r="H6332" i="2"/>
  <c r="G6333" i="2"/>
  <c r="H6333" i="2"/>
  <c r="G6334" i="2"/>
  <c r="H6334" i="2"/>
  <c r="G6335" i="2"/>
  <c r="H6335" i="2"/>
  <c r="G6336" i="2"/>
  <c r="H6336" i="2"/>
  <c r="G6337" i="2"/>
  <c r="H6337" i="2"/>
  <c r="G6338" i="2"/>
  <c r="H6338" i="2"/>
  <c r="G6339" i="2"/>
  <c r="H6339" i="2"/>
  <c r="G6340" i="2"/>
  <c r="H6340" i="2"/>
  <c r="G6341" i="2"/>
  <c r="H6341" i="2"/>
  <c r="G6342" i="2"/>
  <c r="H6342" i="2"/>
  <c r="G6343" i="2"/>
  <c r="H6343" i="2"/>
  <c r="G6344" i="2"/>
  <c r="H6344" i="2"/>
  <c r="G6345" i="2"/>
  <c r="H6345" i="2"/>
  <c r="G6346" i="2"/>
  <c r="H6346" i="2"/>
  <c r="G6347" i="2"/>
  <c r="H6347" i="2"/>
  <c r="G6348" i="2"/>
  <c r="H6348" i="2"/>
  <c r="G6349" i="2"/>
  <c r="H6349" i="2"/>
  <c r="G6350" i="2"/>
  <c r="H6350" i="2"/>
  <c r="G6351" i="2"/>
  <c r="H6351" i="2"/>
  <c r="G6352" i="2"/>
  <c r="H6352" i="2"/>
  <c r="G6353" i="2"/>
  <c r="H6353" i="2"/>
  <c r="G6354" i="2"/>
  <c r="H6354" i="2"/>
  <c r="G6355" i="2"/>
  <c r="H6355" i="2"/>
  <c r="G6356" i="2"/>
  <c r="H6356" i="2"/>
  <c r="G6357" i="2"/>
  <c r="H6357" i="2"/>
  <c r="G6358" i="2"/>
  <c r="H6358" i="2"/>
  <c r="G6359" i="2"/>
  <c r="H6359" i="2"/>
  <c r="G6360" i="2"/>
  <c r="H6360" i="2"/>
  <c r="G6361" i="2"/>
  <c r="H6361" i="2"/>
  <c r="G6362" i="2"/>
  <c r="H6362" i="2"/>
  <c r="G6363" i="2"/>
  <c r="H6363" i="2"/>
  <c r="G6364" i="2"/>
  <c r="H6364" i="2"/>
  <c r="G6365" i="2"/>
  <c r="H6365" i="2"/>
  <c r="G6366" i="2"/>
  <c r="H6366" i="2"/>
  <c r="G6367" i="2"/>
  <c r="H6367" i="2"/>
  <c r="G6368" i="2"/>
  <c r="H6368" i="2"/>
  <c r="G6369" i="2"/>
  <c r="H6369" i="2"/>
  <c r="G6370" i="2"/>
  <c r="H6370" i="2"/>
  <c r="G6371" i="2"/>
  <c r="H6371" i="2"/>
  <c r="G6372" i="2"/>
  <c r="H6372" i="2"/>
  <c r="G6373" i="2"/>
  <c r="H6373" i="2"/>
  <c r="G6374" i="2"/>
  <c r="H6374" i="2"/>
  <c r="G6375" i="2"/>
  <c r="H6375" i="2"/>
  <c r="G6376" i="2"/>
  <c r="H6376" i="2"/>
  <c r="G6377" i="2"/>
  <c r="H6377" i="2"/>
  <c r="G6378" i="2"/>
  <c r="H6378" i="2"/>
  <c r="G6379" i="2"/>
  <c r="H6379" i="2"/>
  <c r="G6380" i="2"/>
  <c r="H6380" i="2"/>
  <c r="G6381" i="2"/>
  <c r="H6381" i="2"/>
  <c r="G6382" i="2"/>
  <c r="H6382" i="2"/>
  <c r="G6383" i="2"/>
  <c r="H6383" i="2"/>
  <c r="G6384" i="2"/>
  <c r="H6384" i="2"/>
  <c r="G6385" i="2"/>
  <c r="H6385" i="2"/>
  <c r="G6386" i="2"/>
  <c r="H6386" i="2"/>
  <c r="G6387" i="2"/>
  <c r="H6387" i="2"/>
  <c r="G6388" i="2"/>
  <c r="H6388" i="2"/>
  <c r="G6389" i="2"/>
  <c r="H6389" i="2"/>
  <c r="G6390" i="2"/>
  <c r="H6390" i="2"/>
  <c r="G6391" i="2"/>
  <c r="H6391" i="2"/>
  <c r="G6392" i="2"/>
  <c r="H6392" i="2"/>
  <c r="G6393" i="2"/>
  <c r="H6393" i="2"/>
  <c r="G6394" i="2"/>
  <c r="H6394" i="2"/>
  <c r="G6395" i="2"/>
  <c r="H6395" i="2"/>
  <c r="G6396" i="2"/>
  <c r="H6396" i="2"/>
  <c r="G6397" i="2"/>
  <c r="H6397" i="2"/>
  <c r="G6398" i="2"/>
  <c r="H6398" i="2"/>
  <c r="G6399" i="2"/>
  <c r="H6399" i="2"/>
  <c r="G6400" i="2"/>
  <c r="H6400" i="2"/>
  <c r="G6401" i="2"/>
  <c r="H6401" i="2"/>
  <c r="G6402" i="2"/>
  <c r="H6402" i="2"/>
  <c r="G6403" i="2"/>
  <c r="H6403" i="2"/>
  <c r="G6404" i="2"/>
  <c r="H6404" i="2"/>
  <c r="G6405" i="2"/>
  <c r="H6405" i="2"/>
  <c r="G6406" i="2"/>
  <c r="H6406" i="2"/>
  <c r="G6407" i="2"/>
  <c r="H6407" i="2"/>
  <c r="G6408" i="2"/>
  <c r="H6408" i="2"/>
  <c r="G6409" i="2"/>
  <c r="H6409" i="2"/>
  <c r="G6410" i="2"/>
  <c r="H6410" i="2"/>
  <c r="G6411" i="2"/>
  <c r="H6411" i="2"/>
  <c r="G6412" i="2"/>
  <c r="H6412" i="2"/>
  <c r="G6413" i="2"/>
  <c r="H6413" i="2"/>
  <c r="G6414" i="2"/>
  <c r="H6414" i="2"/>
  <c r="G6415" i="2"/>
  <c r="H6415" i="2"/>
  <c r="G6416" i="2"/>
  <c r="H6416" i="2"/>
  <c r="G6417" i="2"/>
  <c r="H6417" i="2"/>
  <c r="G6418" i="2"/>
  <c r="H6418" i="2"/>
  <c r="G6419" i="2"/>
  <c r="H6419" i="2"/>
  <c r="G6420" i="2"/>
  <c r="H6420" i="2"/>
  <c r="G6421" i="2"/>
  <c r="H6421" i="2"/>
  <c r="G6422" i="2"/>
  <c r="H6422" i="2"/>
  <c r="G6423" i="2"/>
  <c r="H6423" i="2"/>
  <c r="G6424" i="2"/>
  <c r="H6424" i="2"/>
  <c r="G6425" i="2"/>
  <c r="H6425" i="2"/>
  <c r="G6426" i="2"/>
  <c r="H6426" i="2"/>
  <c r="G6427" i="2"/>
  <c r="H6427" i="2"/>
  <c r="G6428" i="2"/>
  <c r="H6428" i="2"/>
  <c r="G6429" i="2"/>
  <c r="H6429" i="2"/>
  <c r="G6430" i="2"/>
  <c r="H6430" i="2"/>
  <c r="G6431" i="2"/>
  <c r="H6431" i="2"/>
  <c r="G6432" i="2"/>
  <c r="H6432" i="2"/>
  <c r="G6433" i="2"/>
  <c r="H6433" i="2"/>
  <c r="G6434" i="2"/>
  <c r="H6434" i="2"/>
  <c r="G6435" i="2"/>
  <c r="H6435" i="2"/>
  <c r="G6436" i="2"/>
  <c r="H6436" i="2"/>
  <c r="G6437" i="2"/>
  <c r="H6437" i="2"/>
  <c r="G6438" i="2"/>
  <c r="H6438" i="2"/>
  <c r="G6439" i="2"/>
  <c r="H6439" i="2"/>
  <c r="G6440" i="2"/>
  <c r="H6440" i="2"/>
  <c r="G6441" i="2"/>
  <c r="H6441" i="2"/>
  <c r="G6442" i="2"/>
  <c r="H6442" i="2"/>
  <c r="G6443" i="2"/>
  <c r="H6443" i="2"/>
  <c r="G6444" i="2"/>
  <c r="H6444" i="2"/>
  <c r="G6445" i="2"/>
  <c r="H6445" i="2"/>
  <c r="G6446" i="2"/>
  <c r="H6446" i="2"/>
  <c r="G6447" i="2"/>
  <c r="H6447" i="2"/>
  <c r="G6448" i="2"/>
  <c r="H6448" i="2"/>
  <c r="G6449" i="2"/>
  <c r="H6449" i="2"/>
  <c r="G6450" i="2"/>
  <c r="H6450" i="2"/>
  <c r="G6451" i="2"/>
  <c r="H6451" i="2"/>
  <c r="G6452" i="2"/>
  <c r="H6452" i="2"/>
  <c r="G6453" i="2"/>
  <c r="H6453" i="2"/>
  <c r="G6454" i="2"/>
  <c r="H6454" i="2"/>
  <c r="G6455" i="2"/>
  <c r="H6455" i="2"/>
  <c r="G6456" i="2"/>
  <c r="H6456" i="2"/>
  <c r="G6457" i="2"/>
  <c r="H6457" i="2"/>
  <c r="G6458" i="2"/>
  <c r="H6458" i="2"/>
  <c r="G6459" i="2"/>
  <c r="H6459" i="2"/>
  <c r="G6460" i="2"/>
  <c r="H6460" i="2"/>
  <c r="G6461" i="2"/>
  <c r="H6461" i="2"/>
  <c r="G6462" i="2"/>
  <c r="H6462" i="2"/>
  <c r="G6463" i="2"/>
  <c r="H6463" i="2"/>
  <c r="G6464" i="2"/>
  <c r="H6464" i="2"/>
  <c r="G6465" i="2"/>
  <c r="H6465" i="2"/>
  <c r="G6466" i="2"/>
  <c r="H6466" i="2"/>
  <c r="G6467" i="2"/>
  <c r="H6467" i="2"/>
  <c r="G6468" i="2"/>
  <c r="H6468" i="2"/>
  <c r="G6469" i="2"/>
  <c r="H6469" i="2"/>
  <c r="G6470" i="2"/>
  <c r="H6470" i="2"/>
  <c r="G6471" i="2"/>
  <c r="H6471" i="2"/>
  <c r="G6472" i="2"/>
  <c r="H6472" i="2"/>
  <c r="G6473" i="2"/>
  <c r="H6473" i="2"/>
  <c r="G6474" i="2"/>
  <c r="H6474" i="2"/>
  <c r="G6475" i="2"/>
  <c r="H6475" i="2"/>
  <c r="G6476" i="2"/>
  <c r="H6476" i="2"/>
  <c r="G6477" i="2"/>
  <c r="H6477" i="2"/>
  <c r="G6478" i="2"/>
  <c r="H6478" i="2"/>
  <c r="G6479" i="2"/>
  <c r="H6479" i="2"/>
  <c r="G6480" i="2"/>
  <c r="H6480" i="2"/>
  <c r="G6481" i="2"/>
  <c r="H6481" i="2"/>
  <c r="G6482" i="2"/>
  <c r="H6482" i="2"/>
  <c r="G6483" i="2"/>
  <c r="H6483" i="2"/>
  <c r="G6484" i="2"/>
  <c r="H6484" i="2"/>
  <c r="G6485" i="2"/>
  <c r="H6485" i="2"/>
  <c r="G6486" i="2"/>
  <c r="H6486" i="2"/>
  <c r="G6487" i="2"/>
  <c r="H6487" i="2"/>
  <c r="G6488" i="2"/>
  <c r="H6488" i="2"/>
  <c r="G6489" i="2"/>
  <c r="H6489" i="2"/>
  <c r="G6490" i="2"/>
  <c r="H6490" i="2"/>
  <c r="G6491" i="2"/>
  <c r="H6491" i="2"/>
  <c r="G6492" i="2"/>
  <c r="H6492" i="2"/>
  <c r="G6493" i="2"/>
  <c r="H6493" i="2"/>
  <c r="G6494" i="2"/>
  <c r="H6494" i="2"/>
  <c r="G6495" i="2"/>
  <c r="H6495" i="2"/>
  <c r="G6496" i="2"/>
  <c r="H6496" i="2"/>
  <c r="G6497" i="2"/>
  <c r="H6497" i="2"/>
  <c r="G6498" i="2"/>
  <c r="H6498" i="2"/>
  <c r="G6499" i="2"/>
  <c r="H6499" i="2"/>
  <c r="G6500" i="2"/>
  <c r="H6500" i="2"/>
  <c r="G6501" i="2"/>
  <c r="H6501" i="2"/>
  <c r="G6502" i="2"/>
  <c r="H6502" i="2"/>
  <c r="G6503" i="2"/>
  <c r="H6503" i="2"/>
  <c r="G6504" i="2"/>
  <c r="H6504" i="2"/>
  <c r="G6505" i="2"/>
  <c r="H6505" i="2"/>
  <c r="G6506" i="2"/>
  <c r="H6506" i="2"/>
  <c r="G6507" i="2"/>
  <c r="H6507" i="2"/>
  <c r="G6508" i="2"/>
  <c r="H6508" i="2"/>
  <c r="G6509" i="2"/>
  <c r="H6509" i="2"/>
  <c r="G6510" i="2"/>
  <c r="H6510" i="2"/>
  <c r="G6511" i="2"/>
  <c r="H6511" i="2"/>
  <c r="G6512" i="2"/>
  <c r="H6512" i="2"/>
  <c r="G6513" i="2"/>
  <c r="H6513" i="2"/>
  <c r="G6514" i="2"/>
  <c r="H6514" i="2"/>
  <c r="G6515" i="2"/>
  <c r="H6515" i="2"/>
  <c r="G6516" i="2"/>
  <c r="H6516" i="2"/>
  <c r="G6517" i="2"/>
  <c r="H6517" i="2"/>
  <c r="G6518" i="2"/>
  <c r="H6518" i="2"/>
  <c r="G6519" i="2"/>
  <c r="H6519" i="2"/>
  <c r="G6520" i="2"/>
  <c r="H6520" i="2"/>
  <c r="G6521" i="2"/>
  <c r="H6521" i="2"/>
  <c r="G6522" i="2"/>
  <c r="H6522" i="2"/>
  <c r="G6523" i="2"/>
  <c r="H6523" i="2"/>
  <c r="G6524" i="2"/>
  <c r="H6524" i="2"/>
  <c r="G6525" i="2"/>
  <c r="H6525" i="2"/>
  <c r="G6526" i="2"/>
  <c r="H6526" i="2"/>
  <c r="G6527" i="2"/>
  <c r="H6527" i="2"/>
  <c r="G6528" i="2"/>
  <c r="H6528" i="2"/>
  <c r="G6529" i="2"/>
  <c r="H6529" i="2"/>
  <c r="G6530" i="2"/>
  <c r="H6530" i="2"/>
  <c r="G6531" i="2"/>
  <c r="H6531" i="2"/>
  <c r="G6532" i="2"/>
  <c r="H6532" i="2"/>
  <c r="G6533" i="2"/>
  <c r="H6533" i="2"/>
  <c r="G6534" i="2"/>
  <c r="H6534" i="2"/>
  <c r="G6535" i="2"/>
  <c r="H6535" i="2"/>
  <c r="G6536" i="2"/>
  <c r="H6536" i="2"/>
  <c r="G6537" i="2"/>
  <c r="H6537" i="2"/>
  <c r="G6538" i="2"/>
  <c r="H6538" i="2"/>
  <c r="G6539" i="2"/>
  <c r="H6539" i="2"/>
  <c r="G6540" i="2"/>
  <c r="H6540" i="2"/>
  <c r="G6541" i="2"/>
  <c r="H6541" i="2"/>
  <c r="G6542" i="2"/>
  <c r="H6542" i="2"/>
  <c r="G6543" i="2"/>
  <c r="H6543" i="2"/>
  <c r="G6544" i="2"/>
  <c r="H6544" i="2"/>
  <c r="G6545" i="2"/>
  <c r="H6545" i="2"/>
  <c r="G6546" i="2"/>
  <c r="H6546" i="2"/>
  <c r="G6547" i="2"/>
  <c r="H6547" i="2"/>
  <c r="G6548" i="2"/>
  <c r="H6548" i="2"/>
  <c r="G6549" i="2"/>
  <c r="H6549" i="2"/>
  <c r="G6550" i="2"/>
  <c r="H6550" i="2"/>
  <c r="G6551" i="2"/>
  <c r="H6551" i="2"/>
  <c r="G6552" i="2"/>
  <c r="H6552" i="2"/>
  <c r="G6553" i="2"/>
  <c r="H6553" i="2"/>
  <c r="G6554" i="2"/>
  <c r="H6554" i="2"/>
  <c r="G6555" i="2"/>
  <c r="H6555" i="2"/>
  <c r="G6556" i="2"/>
  <c r="H6556" i="2"/>
  <c r="G6557" i="2"/>
  <c r="H6557" i="2"/>
  <c r="G6558" i="2"/>
  <c r="H6558" i="2"/>
  <c r="G6559" i="2"/>
  <c r="H6559" i="2"/>
  <c r="G6560" i="2"/>
  <c r="H6560" i="2"/>
  <c r="G6561" i="2"/>
  <c r="H6561" i="2"/>
  <c r="G6562" i="2"/>
  <c r="H6562" i="2"/>
  <c r="G6563" i="2"/>
  <c r="H6563" i="2"/>
  <c r="G6564" i="2"/>
  <c r="H6564" i="2"/>
  <c r="G6565" i="2"/>
  <c r="H6565" i="2"/>
  <c r="G6566" i="2"/>
  <c r="H6566" i="2"/>
  <c r="G6567" i="2"/>
  <c r="H6567" i="2"/>
  <c r="G6568" i="2"/>
  <c r="H6568" i="2"/>
  <c r="G6569" i="2"/>
  <c r="H6569" i="2"/>
  <c r="G6570" i="2"/>
  <c r="H6570" i="2"/>
  <c r="G6571" i="2"/>
  <c r="H6571" i="2"/>
  <c r="G6572" i="2"/>
  <c r="H6572" i="2"/>
  <c r="G6573" i="2"/>
  <c r="H6573" i="2"/>
  <c r="G6574" i="2"/>
  <c r="H6574" i="2"/>
  <c r="G6575" i="2"/>
  <c r="H6575" i="2"/>
  <c r="G6576" i="2"/>
  <c r="H6576" i="2"/>
  <c r="G6577" i="2"/>
  <c r="H6577" i="2"/>
  <c r="G6578" i="2"/>
  <c r="H6578" i="2"/>
  <c r="G6579" i="2"/>
  <c r="H6579" i="2"/>
  <c r="G6580" i="2"/>
  <c r="H6580" i="2"/>
  <c r="G6581" i="2"/>
  <c r="H6581" i="2"/>
  <c r="G6582" i="2"/>
  <c r="H6582" i="2"/>
  <c r="G6583" i="2"/>
  <c r="H6583" i="2"/>
  <c r="G6584" i="2"/>
  <c r="H6584" i="2"/>
  <c r="G6585" i="2"/>
  <c r="H6585" i="2"/>
  <c r="G6586" i="2"/>
  <c r="H6586" i="2"/>
  <c r="G6587" i="2"/>
  <c r="H6587" i="2"/>
  <c r="G6588" i="2"/>
  <c r="H6588" i="2"/>
  <c r="G6589" i="2"/>
  <c r="H6589" i="2"/>
  <c r="G6590" i="2"/>
  <c r="H6590" i="2"/>
  <c r="G6591" i="2"/>
  <c r="H6591" i="2"/>
  <c r="G6592" i="2"/>
  <c r="H6592" i="2"/>
  <c r="G6593" i="2"/>
  <c r="H6593" i="2"/>
  <c r="G6594" i="2"/>
  <c r="H6594" i="2"/>
  <c r="G6595" i="2"/>
  <c r="H6595" i="2"/>
  <c r="G6596" i="2"/>
  <c r="H6596" i="2"/>
  <c r="G6597" i="2"/>
  <c r="H6597" i="2"/>
  <c r="G6598" i="2"/>
  <c r="H6598" i="2"/>
  <c r="G6599" i="2"/>
  <c r="H6599" i="2"/>
  <c r="G6600" i="2"/>
  <c r="H6600" i="2"/>
  <c r="G6601" i="2"/>
  <c r="H6601" i="2"/>
  <c r="G6602" i="2"/>
  <c r="H6602" i="2"/>
  <c r="G6603" i="2"/>
  <c r="H6603" i="2"/>
  <c r="G6604" i="2"/>
  <c r="H6604" i="2"/>
  <c r="G6605" i="2"/>
  <c r="H6605" i="2"/>
  <c r="G6606" i="2"/>
  <c r="H6606" i="2"/>
  <c r="G6607" i="2"/>
  <c r="H6607" i="2"/>
  <c r="G6608" i="2"/>
  <c r="H6608" i="2"/>
  <c r="G6609" i="2"/>
  <c r="H6609" i="2"/>
  <c r="G6610" i="2"/>
  <c r="H6610" i="2"/>
  <c r="G6611" i="2"/>
  <c r="H6611" i="2"/>
  <c r="G6612" i="2"/>
  <c r="H6612" i="2"/>
  <c r="G6613" i="2"/>
  <c r="H6613" i="2"/>
  <c r="G6614" i="2"/>
  <c r="H6614" i="2"/>
  <c r="G6615" i="2"/>
  <c r="H6615" i="2"/>
  <c r="G6616" i="2"/>
  <c r="H6616" i="2"/>
  <c r="G6617" i="2"/>
  <c r="H6617" i="2"/>
  <c r="G6618" i="2"/>
  <c r="H6618" i="2"/>
  <c r="G6619" i="2"/>
  <c r="H6619" i="2"/>
  <c r="G6620" i="2"/>
  <c r="H6620" i="2"/>
  <c r="G6621" i="2"/>
  <c r="H6621" i="2"/>
  <c r="G6622" i="2"/>
  <c r="H6622" i="2"/>
  <c r="G6623" i="2"/>
  <c r="H6623" i="2"/>
  <c r="G6624" i="2"/>
  <c r="H6624" i="2"/>
  <c r="G6625" i="2"/>
  <c r="H6625" i="2"/>
  <c r="G6626" i="2"/>
  <c r="H6626" i="2"/>
  <c r="G6627" i="2"/>
  <c r="H6627" i="2"/>
  <c r="G6628" i="2"/>
  <c r="H6628" i="2"/>
  <c r="G6629" i="2"/>
  <c r="H6629" i="2"/>
  <c r="G6630" i="2"/>
  <c r="H6630" i="2"/>
  <c r="G6631" i="2"/>
  <c r="H6631" i="2"/>
  <c r="G6632" i="2"/>
  <c r="H6632" i="2"/>
  <c r="G6633" i="2"/>
  <c r="H6633" i="2"/>
  <c r="G6634" i="2"/>
  <c r="H6634" i="2"/>
  <c r="G6635" i="2"/>
  <c r="H6635" i="2"/>
  <c r="G6636" i="2"/>
  <c r="H6636" i="2"/>
  <c r="G6637" i="2"/>
  <c r="H6637" i="2"/>
  <c r="G6638" i="2"/>
  <c r="H6638" i="2"/>
  <c r="G6639" i="2"/>
  <c r="H6639" i="2"/>
  <c r="G6640" i="2"/>
  <c r="H6640" i="2"/>
  <c r="G6641" i="2"/>
  <c r="H6641" i="2"/>
  <c r="G6642" i="2"/>
  <c r="H6642" i="2"/>
  <c r="G6643" i="2"/>
  <c r="H6643" i="2"/>
  <c r="G6644" i="2"/>
  <c r="H6644" i="2"/>
  <c r="G6645" i="2"/>
  <c r="H6645" i="2"/>
  <c r="G6646" i="2"/>
  <c r="H6646" i="2"/>
  <c r="G6647" i="2"/>
  <c r="H6647" i="2"/>
  <c r="G6648" i="2"/>
  <c r="H6648" i="2"/>
  <c r="G6649" i="2"/>
  <c r="H6649" i="2"/>
  <c r="G6650" i="2"/>
  <c r="H6650" i="2"/>
  <c r="G6651" i="2"/>
  <c r="H6651" i="2"/>
  <c r="G6652" i="2"/>
  <c r="H6652" i="2"/>
  <c r="G6653" i="2"/>
  <c r="H6653" i="2"/>
  <c r="G6654" i="2"/>
  <c r="H6654" i="2"/>
  <c r="G6655" i="2"/>
  <c r="H6655" i="2"/>
  <c r="G6656" i="2"/>
  <c r="H6656" i="2"/>
  <c r="G6657" i="2"/>
  <c r="H6657" i="2"/>
  <c r="G6658" i="2"/>
  <c r="H6658" i="2"/>
  <c r="G6659" i="2"/>
  <c r="H6659" i="2"/>
  <c r="G6660" i="2"/>
  <c r="H6660" i="2"/>
  <c r="G6661" i="2"/>
  <c r="H6661" i="2"/>
  <c r="G6662" i="2"/>
  <c r="H6662" i="2"/>
  <c r="G6663" i="2"/>
  <c r="H6663" i="2"/>
  <c r="G6664" i="2"/>
  <c r="H6664" i="2"/>
  <c r="G6665" i="2"/>
  <c r="H6665" i="2"/>
  <c r="G6666" i="2"/>
  <c r="H6666" i="2"/>
  <c r="G6667" i="2"/>
  <c r="H6667" i="2"/>
  <c r="G6668" i="2"/>
  <c r="H6668" i="2"/>
  <c r="G6669" i="2"/>
  <c r="H6669" i="2"/>
  <c r="G6670" i="2"/>
  <c r="H6670" i="2"/>
  <c r="G6671" i="2"/>
  <c r="H6671" i="2"/>
  <c r="G6672" i="2"/>
  <c r="H6672" i="2"/>
  <c r="G6673" i="2"/>
  <c r="H6673" i="2"/>
  <c r="G6674" i="2"/>
  <c r="H6674" i="2"/>
  <c r="G6675" i="2"/>
  <c r="H6675" i="2"/>
  <c r="G6676" i="2"/>
  <c r="H6676" i="2"/>
  <c r="G6677" i="2"/>
  <c r="H6677" i="2"/>
  <c r="G6678" i="2"/>
  <c r="H6678" i="2"/>
  <c r="G6679" i="2"/>
  <c r="H6679" i="2"/>
  <c r="G6680" i="2"/>
  <c r="H6680" i="2"/>
  <c r="G6681" i="2"/>
  <c r="H6681" i="2"/>
  <c r="G6682" i="2"/>
  <c r="H6682" i="2"/>
  <c r="G6683" i="2"/>
  <c r="H6683" i="2"/>
  <c r="G6684" i="2"/>
  <c r="H6684" i="2"/>
  <c r="G6685" i="2"/>
  <c r="H6685" i="2"/>
  <c r="G6686" i="2"/>
  <c r="H6686" i="2"/>
  <c r="G6687" i="2"/>
  <c r="H6687" i="2"/>
  <c r="G6688" i="2"/>
  <c r="H6688" i="2"/>
  <c r="G6689" i="2"/>
  <c r="H6689" i="2"/>
  <c r="G6690" i="2"/>
  <c r="H6690" i="2"/>
  <c r="G6691" i="2"/>
  <c r="H6691" i="2"/>
  <c r="G6692" i="2"/>
  <c r="H6692" i="2"/>
  <c r="G6693" i="2"/>
  <c r="H6693" i="2"/>
  <c r="G6694" i="2"/>
  <c r="H6694" i="2"/>
  <c r="G6695" i="2"/>
  <c r="H6695" i="2"/>
  <c r="G6696" i="2"/>
  <c r="H6696" i="2"/>
  <c r="G6697" i="2"/>
  <c r="H6697" i="2"/>
  <c r="G6698" i="2"/>
  <c r="H6698" i="2"/>
  <c r="G6699" i="2"/>
  <c r="H6699" i="2"/>
  <c r="G6700" i="2"/>
  <c r="H6700" i="2"/>
  <c r="G6701" i="2"/>
  <c r="H6701" i="2"/>
  <c r="G6702" i="2"/>
  <c r="H6702" i="2"/>
  <c r="G6703" i="2"/>
  <c r="H6703" i="2"/>
  <c r="G6704" i="2"/>
  <c r="H6704" i="2"/>
  <c r="G6705" i="2"/>
  <c r="H6705" i="2"/>
  <c r="G6706" i="2"/>
  <c r="H6706" i="2"/>
  <c r="G6707" i="2"/>
  <c r="H6707" i="2"/>
  <c r="G6708" i="2"/>
  <c r="H6708" i="2"/>
  <c r="G6709" i="2"/>
  <c r="H6709" i="2"/>
  <c r="G6710" i="2"/>
  <c r="H6710" i="2"/>
  <c r="G6711" i="2"/>
  <c r="H6711" i="2"/>
  <c r="G6712" i="2"/>
  <c r="H6712" i="2"/>
  <c r="G6713" i="2"/>
  <c r="H6713" i="2"/>
  <c r="G6714" i="2"/>
  <c r="H6714" i="2"/>
  <c r="G6715" i="2"/>
  <c r="H6715" i="2"/>
  <c r="G6716" i="2"/>
  <c r="H6716" i="2"/>
  <c r="G6717" i="2"/>
  <c r="H6717" i="2"/>
  <c r="G6718" i="2"/>
  <c r="H6718" i="2"/>
  <c r="G6719" i="2"/>
  <c r="H6719" i="2"/>
  <c r="G6720" i="2"/>
  <c r="H6720" i="2"/>
  <c r="G6721" i="2"/>
  <c r="H6721" i="2"/>
  <c r="G6722" i="2"/>
  <c r="H6722" i="2"/>
  <c r="G6723" i="2"/>
  <c r="H6723" i="2"/>
  <c r="G6724" i="2"/>
  <c r="H6724" i="2"/>
  <c r="G6725" i="2"/>
  <c r="H6725" i="2"/>
  <c r="G6726" i="2"/>
  <c r="H6726" i="2"/>
  <c r="G6727" i="2"/>
  <c r="H6727" i="2"/>
  <c r="G6728" i="2"/>
  <c r="H6728" i="2"/>
  <c r="G6729" i="2"/>
  <c r="H6729" i="2"/>
  <c r="G6730" i="2"/>
  <c r="H6730" i="2"/>
  <c r="G6731" i="2"/>
  <c r="H6731" i="2"/>
  <c r="G6732" i="2"/>
  <c r="H6732" i="2"/>
  <c r="G6733" i="2"/>
  <c r="H6733" i="2"/>
  <c r="G6734" i="2"/>
  <c r="H6734" i="2"/>
  <c r="G6735" i="2"/>
  <c r="H6735" i="2"/>
  <c r="G6736" i="2"/>
  <c r="H6736" i="2"/>
  <c r="G6737" i="2"/>
  <c r="H6737" i="2"/>
  <c r="G6738" i="2"/>
  <c r="H6738" i="2"/>
  <c r="G6739" i="2"/>
  <c r="H6739" i="2"/>
  <c r="G6740" i="2"/>
  <c r="H6740" i="2"/>
  <c r="G6741" i="2"/>
  <c r="H6741" i="2"/>
  <c r="G6742" i="2"/>
  <c r="H6742" i="2"/>
  <c r="G6743" i="2"/>
  <c r="H6743" i="2"/>
  <c r="G6744" i="2"/>
  <c r="H6744" i="2"/>
  <c r="G6745" i="2"/>
  <c r="H6745" i="2"/>
  <c r="G6746" i="2"/>
  <c r="H6746" i="2"/>
  <c r="G6747" i="2"/>
  <c r="H6747" i="2"/>
  <c r="G6748" i="2"/>
  <c r="H6748" i="2"/>
  <c r="G6749" i="2"/>
  <c r="H6749" i="2"/>
  <c r="G6750" i="2"/>
  <c r="H6750" i="2"/>
  <c r="G6751" i="2"/>
  <c r="H6751" i="2"/>
  <c r="G6752" i="2"/>
  <c r="H6752" i="2"/>
  <c r="G6753" i="2"/>
  <c r="H6753" i="2"/>
  <c r="G6754" i="2"/>
  <c r="H6754" i="2"/>
  <c r="G6755" i="2"/>
  <c r="H6755" i="2"/>
  <c r="G6756" i="2"/>
  <c r="H6756" i="2"/>
  <c r="G6757" i="2"/>
  <c r="H6757" i="2"/>
  <c r="G6758" i="2"/>
  <c r="H6758" i="2"/>
  <c r="G6759" i="2"/>
  <c r="H6759" i="2"/>
  <c r="G6760" i="2"/>
  <c r="H6760" i="2"/>
  <c r="G6761" i="2"/>
  <c r="H6761" i="2"/>
  <c r="G6762" i="2"/>
  <c r="H6762" i="2"/>
  <c r="G6763" i="2"/>
  <c r="H6763" i="2"/>
  <c r="G6764" i="2"/>
  <c r="H6764" i="2"/>
  <c r="G6765" i="2"/>
  <c r="H6765" i="2"/>
  <c r="G6766" i="2"/>
  <c r="H6766" i="2"/>
  <c r="G6767" i="2"/>
  <c r="H6767" i="2"/>
  <c r="G6768" i="2"/>
  <c r="H6768" i="2"/>
  <c r="G6769" i="2"/>
  <c r="H6769" i="2"/>
  <c r="G6770" i="2"/>
  <c r="H6770" i="2"/>
  <c r="G6771" i="2"/>
  <c r="H6771" i="2"/>
  <c r="G6772" i="2"/>
  <c r="H6772" i="2"/>
  <c r="G6773" i="2"/>
  <c r="H6773" i="2"/>
  <c r="G6774" i="2"/>
  <c r="H6774" i="2"/>
  <c r="G6775" i="2"/>
  <c r="H6775" i="2"/>
  <c r="G6776" i="2"/>
  <c r="H6776" i="2"/>
  <c r="G6777" i="2"/>
  <c r="H6777" i="2"/>
  <c r="G6778" i="2"/>
  <c r="H6778" i="2"/>
  <c r="G6779" i="2"/>
  <c r="H6779" i="2"/>
  <c r="G6780" i="2"/>
  <c r="H6780" i="2"/>
  <c r="G6781" i="2"/>
  <c r="H6781" i="2"/>
  <c r="G6782" i="2"/>
  <c r="H6782" i="2"/>
  <c r="G6783" i="2"/>
  <c r="H6783" i="2"/>
  <c r="G6784" i="2"/>
  <c r="H6784" i="2"/>
  <c r="G6785" i="2"/>
  <c r="H6785" i="2"/>
  <c r="G6786" i="2"/>
  <c r="H6786" i="2"/>
  <c r="G6787" i="2"/>
  <c r="H6787" i="2"/>
  <c r="G6788" i="2"/>
  <c r="H6788" i="2"/>
  <c r="G6789" i="2"/>
  <c r="H6789" i="2"/>
  <c r="G6790" i="2"/>
  <c r="H6790" i="2"/>
  <c r="G6791" i="2"/>
  <c r="H6791" i="2"/>
  <c r="G6792" i="2"/>
  <c r="H6792" i="2"/>
  <c r="G6793" i="2"/>
  <c r="H6793" i="2"/>
  <c r="G6794" i="2"/>
  <c r="H6794" i="2"/>
  <c r="G6795" i="2"/>
  <c r="H6795" i="2"/>
  <c r="G6796" i="2"/>
  <c r="H6796" i="2"/>
  <c r="G6797" i="2"/>
  <c r="H6797" i="2"/>
  <c r="G6798" i="2"/>
  <c r="H6798" i="2"/>
  <c r="G6799" i="2"/>
  <c r="H6799" i="2"/>
  <c r="G6800" i="2"/>
  <c r="H6800" i="2"/>
  <c r="G6801" i="2"/>
  <c r="H6801" i="2"/>
  <c r="G6802" i="2"/>
  <c r="H6802" i="2"/>
  <c r="G6803" i="2"/>
  <c r="H6803" i="2"/>
  <c r="G6804" i="2"/>
  <c r="H6804" i="2"/>
  <c r="G6805" i="2"/>
  <c r="H6805" i="2"/>
  <c r="G6806" i="2"/>
  <c r="H6806" i="2"/>
  <c r="G6807" i="2"/>
  <c r="H6807" i="2"/>
  <c r="G6808" i="2"/>
  <c r="H6808" i="2"/>
  <c r="G6809" i="2"/>
  <c r="H6809" i="2"/>
  <c r="G6810" i="2"/>
  <c r="H6810" i="2"/>
  <c r="G6811" i="2"/>
  <c r="H6811" i="2"/>
  <c r="G6812" i="2"/>
  <c r="H6812" i="2"/>
  <c r="G6813" i="2"/>
  <c r="H6813" i="2"/>
  <c r="G6814" i="2"/>
  <c r="H6814" i="2"/>
  <c r="G6815" i="2"/>
  <c r="H6815" i="2"/>
  <c r="G6816" i="2"/>
  <c r="H6816" i="2"/>
  <c r="G6817" i="2"/>
  <c r="H6817" i="2"/>
  <c r="G6818" i="2"/>
  <c r="H6818" i="2"/>
  <c r="G6819" i="2"/>
  <c r="H6819" i="2"/>
  <c r="G6820" i="2"/>
  <c r="H6820" i="2"/>
  <c r="G6821" i="2"/>
  <c r="H6821" i="2"/>
  <c r="G6822" i="2"/>
  <c r="H6822" i="2"/>
  <c r="G6823" i="2"/>
  <c r="H6823" i="2"/>
  <c r="G6824" i="2"/>
  <c r="H6824" i="2"/>
  <c r="G6825" i="2"/>
  <c r="H6825" i="2"/>
  <c r="G6826" i="2"/>
  <c r="H6826" i="2"/>
  <c r="G6827" i="2"/>
  <c r="H6827" i="2"/>
  <c r="G6828" i="2"/>
  <c r="H6828" i="2"/>
  <c r="G6829" i="2"/>
  <c r="H6829" i="2"/>
  <c r="G6830" i="2"/>
  <c r="H6830" i="2"/>
  <c r="G6831" i="2"/>
  <c r="H6831" i="2"/>
  <c r="G6832" i="2"/>
  <c r="H6832" i="2"/>
  <c r="G6833" i="2"/>
  <c r="H6833" i="2"/>
  <c r="G6834" i="2"/>
  <c r="H6834" i="2"/>
  <c r="G6835" i="2"/>
  <c r="H6835" i="2"/>
  <c r="G6836" i="2"/>
  <c r="H6836" i="2"/>
  <c r="G6837" i="2"/>
  <c r="H6837" i="2"/>
  <c r="G6838" i="2"/>
  <c r="H6838" i="2"/>
  <c r="G6839" i="2"/>
  <c r="H6839" i="2"/>
  <c r="G6840" i="2"/>
  <c r="H6840" i="2"/>
  <c r="G6841" i="2"/>
  <c r="H6841" i="2"/>
  <c r="G6842" i="2"/>
  <c r="H6842" i="2"/>
  <c r="G6843" i="2"/>
  <c r="H6843" i="2"/>
  <c r="G6844" i="2"/>
  <c r="H6844" i="2"/>
  <c r="G6845" i="2"/>
  <c r="H6845" i="2"/>
  <c r="G6846" i="2"/>
  <c r="H6846" i="2"/>
  <c r="G6847" i="2"/>
  <c r="H6847" i="2"/>
  <c r="G6848" i="2"/>
  <c r="H6848" i="2"/>
  <c r="G6849" i="2"/>
  <c r="H6849" i="2"/>
  <c r="G6850" i="2"/>
  <c r="H6850" i="2"/>
  <c r="G6851" i="2"/>
  <c r="H6851" i="2"/>
  <c r="G6852" i="2"/>
  <c r="H6852" i="2"/>
  <c r="G6853" i="2"/>
  <c r="H6853" i="2"/>
  <c r="G6854" i="2"/>
  <c r="H6854" i="2"/>
  <c r="G6855" i="2"/>
  <c r="H6855" i="2"/>
  <c r="G6856" i="2"/>
  <c r="H6856" i="2"/>
  <c r="G6857" i="2"/>
  <c r="H6857" i="2"/>
  <c r="G6858" i="2"/>
  <c r="H6858" i="2"/>
  <c r="G6859" i="2"/>
  <c r="H6859" i="2"/>
  <c r="G6860" i="2"/>
  <c r="H6860" i="2"/>
  <c r="G6861" i="2"/>
  <c r="H6861" i="2"/>
  <c r="G6862" i="2"/>
  <c r="H6862" i="2"/>
  <c r="G6863" i="2"/>
  <c r="H6863" i="2"/>
  <c r="G6864" i="2"/>
  <c r="H6864" i="2"/>
  <c r="G6865" i="2"/>
  <c r="H6865" i="2"/>
  <c r="G6866" i="2"/>
  <c r="H6866" i="2"/>
  <c r="G6867" i="2"/>
  <c r="H6867" i="2"/>
  <c r="G6868" i="2"/>
  <c r="H6868" i="2"/>
  <c r="G6869" i="2"/>
  <c r="H6869" i="2"/>
  <c r="G6870" i="2"/>
  <c r="H6870" i="2"/>
  <c r="G6871" i="2"/>
  <c r="H6871" i="2"/>
  <c r="G6872" i="2"/>
  <c r="H6872" i="2"/>
  <c r="G6873" i="2"/>
  <c r="H6873" i="2"/>
  <c r="G6874" i="2"/>
  <c r="H6874" i="2"/>
  <c r="G6875" i="2"/>
  <c r="H6875" i="2"/>
  <c r="G6876" i="2"/>
  <c r="H6876" i="2"/>
  <c r="G6877" i="2"/>
  <c r="H6877" i="2"/>
  <c r="G6878" i="2"/>
  <c r="H6878" i="2"/>
  <c r="G6879" i="2"/>
  <c r="H6879" i="2"/>
  <c r="G6880" i="2"/>
  <c r="H6880" i="2"/>
  <c r="G6881" i="2"/>
  <c r="H6881" i="2"/>
  <c r="G6882" i="2"/>
  <c r="H6882" i="2"/>
  <c r="G6883" i="2"/>
  <c r="H6883" i="2"/>
  <c r="G6884" i="2"/>
  <c r="H6884" i="2"/>
  <c r="G6885" i="2"/>
  <c r="H6885" i="2"/>
  <c r="G6886" i="2"/>
  <c r="H6886" i="2"/>
  <c r="G6887" i="2"/>
  <c r="H6887" i="2"/>
  <c r="G6888" i="2"/>
  <c r="H6888" i="2"/>
  <c r="G6889" i="2"/>
  <c r="H6889" i="2"/>
  <c r="G6890" i="2"/>
  <c r="H6890" i="2"/>
  <c r="G6891" i="2"/>
  <c r="H6891" i="2"/>
  <c r="G6892" i="2"/>
  <c r="H6892" i="2"/>
  <c r="G6893" i="2"/>
  <c r="H6893" i="2"/>
  <c r="G6894" i="2"/>
  <c r="H6894" i="2"/>
  <c r="G6895" i="2"/>
  <c r="H6895" i="2"/>
  <c r="G6896" i="2"/>
  <c r="H6896" i="2"/>
  <c r="G6897" i="2"/>
  <c r="H6897" i="2"/>
  <c r="G6898" i="2"/>
  <c r="H6898" i="2"/>
  <c r="G6899" i="2"/>
  <c r="H6899" i="2"/>
  <c r="G6900" i="2"/>
  <c r="H6900" i="2"/>
  <c r="G6901" i="2"/>
  <c r="H6901" i="2"/>
  <c r="G6902" i="2"/>
  <c r="H6902" i="2"/>
  <c r="G6903" i="2"/>
  <c r="H6903" i="2"/>
  <c r="G6904" i="2"/>
  <c r="H6904" i="2"/>
  <c r="G6905" i="2"/>
  <c r="H6905" i="2"/>
  <c r="G6906" i="2"/>
  <c r="H6906" i="2"/>
  <c r="G6907" i="2"/>
  <c r="H6907" i="2"/>
  <c r="G6908" i="2"/>
  <c r="H6908" i="2"/>
  <c r="G6909" i="2"/>
  <c r="H6909" i="2"/>
  <c r="G6910" i="2"/>
  <c r="H6910" i="2"/>
  <c r="G6911" i="2"/>
  <c r="H6911" i="2"/>
  <c r="G6912" i="2"/>
  <c r="H6912" i="2"/>
  <c r="G6913" i="2"/>
  <c r="H6913" i="2"/>
  <c r="G6914" i="2"/>
  <c r="H6914" i="2"/>
  <c r="G6915" i="2"/>
  <c r="H6915" i="2"/>
  <c r="G6916" i="2"/>
  <c r="H6916" i="2"/>
  <c r="G6917" i="2"/>
  <c r="H6917" i="2"/>
  <c r="G6918" i="2"/>
  <c r="H6918" i="2"/>
  <c r="G6919" i="2"/>
  <c r="H6919" i="2"/>
  <c r="G6920" i="2"/>
  <c r="H6920" i="2"/>
  <c r="G6921" i="2"/>
  <c r="H6921" i="2"/>
  <c r="G6922" i="2"/>
  <c r="H6922" i="2"/>
  <c r="G6923" i="2"/>
  <c r="H6923" i="2"/>
  <c r="G6924" i="2"/>
  <c r="H6924" i="2"/>
  <c r="G6925" i="2"/>
  <c r="H6925" i="2"/>
  <c r="G6926" i="2"/>
  <c r="H6926" i="2"/>
  <c r="G6927" i="2"/>
  <c r="H6927" i="2"/>
  <c r="G6928" i="2"/>
  <c r="H6928" i="2"/>
  <c r="G6929" i="2"/>
  <c r="H6929" i="2"/>
  <c r="G6930" i="2"/>
  <c r="H6930" i="2"/>
  <c r="G6931" i="2"/>
  <c r="H6931" i="2"/>
  <c r="G6932" i="2"/>
  <c r="H6932" i="2"/>
  <c r="G6933" i="2"/>
  <c r="H6933" i="2"/>
  <c r="G6934" i="2"/>
  <c r="H6934" i="2"/>
  <c r="G6935" i="2"/>
  <c r="H6935" i="2"/>
  <c r="G6936" i="2"/>
  <c r="H6936" i="2"/>
  <c r="G6937" i="2"/>
  <c r="H6937" i="2"/>
  <c r="G6938" i="2"/>
  <c r="H6938" i="2"/>
  <c r="G6939" i="2"/>
  <c r="H6939" i="2"/>
  <c r="G6940" i="2"/>
  <c r="H6940" i="2"/>
  <c r="G6941" i="2"/>
  <c r="H6941" i="2"/>
  <c r="G6942" i="2"/>
  <c r="H6942" i="2"/>
  <c r="G6943" i="2"/>
  <c r="H6943" i="2"/>
  <c r="G6944" i="2"/>
  <c r="H6944" i="2"/>
  <c r="G6945" i="2"/>
  <c r="H6945" i="2"/>
  <c r="G6946" i="2"/>
  <c r="H6946" i="2"/>
  <c r="G6947" i="2"/>
  <c r="H6947" i="2"/>
  <c r="G6948" i="2"/>
  <c r="H6948" i="2"/>
  <c r="G6949" i="2"/>
  <c r="H6949" i="2"/>
  <c r="G6950" i="2"/>
  <c r="H6950" i="2"/>
  <c r="G6951" i="2"/>
  <c r="H6951" i="2"/>
  <c r="G6952" i="2"/>
  <c r="H6952" i="2"/>
  <c r="G6953" i="2"/>
  <c r="H6953" i="2"/>
  <c r="G6954" i="2"/>
  <c r="H6954" i="2"/>
  <c r="G6955" i="2"/>
  <c r="H6955" i="2"/>
  <c r="G6956" i="2"/>
  <c r="H6956" i="2"/>
  <c r="G6957" i="2"/>
  <c r="H6957" i="2"/>
  <c r="G6958" i="2"/>
  <c r="H6958" i="2"/>
  <c r="G6959" i="2"/>
  <c r="H6959" i="2"/>
  <c r="G6960" i="2"/>
  <c r="H6960" i="2"/>
  <c r="G6961" i="2"/>
  <c r="H6961" i="2"/>
  <c r="G6962" i="2"/>
  <c r="H6962" i="2"/>
  <c r="G6963" i="2"/>
  <c r="H6963" i="2"/>
  <c r="G6964" i="2"/>
  <c r="H6964" i="2"/>
  <c r="G6965" i="2"/>
  <c r="H6965" i="2"/>
  <c r="G6966" i="2"/>
  <c r="H6966" i="2"/>
  <c r="G6967" i="2"/>
  <c r="H6967" i="2"/>
  <c r="G6968" i="2"/>
  <c r="H6968" i="2"/>
  <c r="G6969" i="2"/>
  <c r="H6969" i="2"/>
  <c r="G6970" i="2"/>
  <c r="H6970" i="2"/>
  <c r="G6971" i="2"/>
  <c r="H6971" i="2"/>
  <c r="G6972" i="2"/>
  <c r="H6972" i="2"/>
  <c r="G6973" i="2"/>
  <c r="H6973" i="2"/>
  <c r="G6974" i="2"/>
  <c r="H6974" i="2"/>
  <c r="G6975" i="2"/>
  <c r="H6975" i="2"/>
  <c r="G6976" i="2"/>
  <c r="H6976" i="2"/>
  <c r="G6977" i="2"/>
  <c r="H6977" i="2"/>
  <c r="G6978" i="2"/>
  <c r="H6978" i="2"/>
  <c r="G6979" i="2"/>
  <c r="H6979" i="2"/>
  <c r="G6980" i="2"/>
  <c r="H6980" i="2"/>
  <c r="G6981" i="2"/>
  <c r="H6981" i="2"/>
  <c r="G6982" i="2"/>
  <c r="H6982" i="2"/>
  <c r="G6983" i="2"/>
  <c r="H6983" i="2"/>
  <c r="G6984" i="2"/>
  <c r="H6984" i="2"/>
  <c r="G6985" i="2"/>
  <c r="H6985" i="2"/>
  <c r="G6986" i="2"/>
  <c r="H6986" i="2"/>
  <c r="G6987" i="2"/>
  <c r="H6987" i="2"/>
  <c r="G6988" i="2"/>
  <c r="H6988" i="2"/>
  <c r="G6989" i="2"/>
  <c r="H6989" i="2"/>
  <c r="G6990" i="2"/>
  <c r="H6990" i="2"/>
  <c r="G6991" i="2"/>
  <c r="H6991" i="2"/>
  <c r="G6992" i="2"/>
  <c r="H6992" i="2"/>
  <c r="G6993" i="2"/>
  <c r="H6993" i="2"/>
  <c r="G6994" i="2"/>
  <c r="H6994" i="2"/>
  <c r="G6995" i="2"/>
  <c r="H6995" i="2"/>
  <c r="G6996" i="2"/>
  <c r="H6996" i="2"/>
  <c r="G6997" i="2"/>
  <c r="H6997" i="2"/>
  <c r="G6998" i="2"/>
  <c r="H6998" i="2"/>
  <c r="G6999" i="2"/>
  <c r="H6999" i="2"/>
  <c r="G7000" i="2"/>
  <c r="H7000" i="2"/>
  <c r="G7001" i="2"/>
  <c r="H7001" i="2"/>
  <c r="G7002" i="2"/>
  <c r="H7002" i="2"/>
  <c r="G7003" i="2"/>
  <c r="H7003" i="2"/>
  <c r="G7004" i="2"/>
  <c r="H7004" i="2"/>
  <c r="G7005" i="2"/>
  <c r="H7005" i="2"/>
  <c r="G7006" i="2"/>
  <c r="H7006" i="2"/>
  <c r="G7007" i="2"/>
  <c r="H7007" i="2"/>
  <c r="G7008" i="2"/>
  <c r="H7008" i="2"/>
  <c r="G7009" i="2"/>
  <c r="H7009" i="2"/>
  <c r="G7010" i="2"/>
  <c r="H7010" i="2"/>
  <c r="G7011" i="2"/>
  <c r="H7011" i="2"/>
  <c r="G7012" i="2"/>
  <c r="H7012" i="2"/>
  <c r="G7013" i="2"/>
  <c r="H7013" i="2"/>
  <c r="G7014" i="2"/>
  <c r="H7014" i="2"/>
  <c r="G7015" i="2"/>
  <c r="H7015" i="2"/>
  <c r="G7016" i="2"/>
  <c r="H7016" i="2"/>
  <c r="G7017" i="2"/>
  <c r="H7017" i="2"/>
  <c r="G7018" i="2"/>
  <c r="H7018" i="2"/>
  <c r="G7019" i="2"/>
  <c r="H7019" i="2"/>
  <c r="G7020" i="2"/>
  <c r="H7020" i="2"/>
  <c r="G7021" i="2"/>
  <c r="H7021" i="2"/>
  <c r="G7022" i="2"/>
  <c r="H7022" i="2"/>
  <c r="G7023" i="2"/>
  <c r="H7023" i="2"/>
  <c r="G7024" i="2"/>
  <c r="H7024" i="2"/>
  <c r="G7025" i="2"/>
  <c r="H7025" i="2"/>
  <c r="G7026" i="2"/>
  <c r="H7026" i="2"/>
  <c r="G7027" i="2"/>
  <c r="H7027" i="2"/>
  <c r="G7028" i="2"/>
  <c r="H7028" i="2"/>
  <c r="G7029" i="2"/>
  <c r="H7029" i="2"/>
  <c r="G7030" i="2"/>
  <c r="H7030" i="2"/>
  <c r="G7031" i="2"/>
  <c r="H7031" i="2"/>
  <c r="G7032" i="2"/>
  <c r="H7032" i="2"/>
  <c r="G7033" i="2"/>
  <c r="H7033" i="2"/>
  <c r="G7034" i="2"/>
  <c r="H7034" i="2"/>
  <c r="G7035" i="2"/>
  <c r="H7035" i="2"/>
  <c r="G7036" i="2"/>
  <c r="H7036" i="2"/>
  <c r="G7037" i="2"/>
  <c r="H7037" i="2"/>
  <c r="G7038" i="2"/>
  <c r="H7038" i="2"/>
  <c r="G7039" i="2"/>
  <c r="H7039" i="2"/>
  <c r="G7040" i="2"/>
  <c r="H7040" i="2"/>
  <c r="G7041" i="2"/>
  <c r="H7041" i="2"/>
  <c r="G7042" i="2"/>
  <c r="H7042" i="2"/>
  <c r="G7043" i="2"/>
  <c r="H7043" i="2"/>
  <c r="G7044" i="2"/>
  <c r="H7044" i="2"/>
  <c r="G7045" i="2"/>
  <c r="H7045" i="2"/>
  <c r="G7046" i="2"/>
  <c r="H7046" i="2"/>
  <c r="G7047" i="2"/>
  <c r="H7047" i="2"/>
  <c r="G7048" i="2"/>
  <c r="H7048" i="2"/>
  <c r="G7049" i="2"/>
  <c r="H7049" i="2"/>
  <c r="G7050" i="2"/>
  <c r="H7050" i="2"/>
  <c r="G7051" i="2"/>
  <c r="H7051" i="2"/>
  <c r="G7052" i="2"/>
  <c r="H7052" i="2"/>
  <c r="G7053" i="2"/>
  <c r="H7053" i="2"/>
  <c r="G7054" i="2"/>
  <c r="H7054" i="2"/>
  <c r="G7055" i="2"/>
  <c r="H7055" i="2"/>
  <c r="G7056" i="2"/>
  <c r="H7056" i="2"/>
  <c r="G7057" i="2"/>
  <c r="H7057" i="2"/>
  <c r="G7058" i="2"/>
  <c r="H7058" i="2"/>
  <c r="G7059" i="2"/>
  <c r="H7059" i="2"/>
  <c r="G7060" i="2"/>
  <c r="H7060" i="2"/>
  <c r="G7061" i="2"/>
  <c r="H7061" i="2"/>
  <c r="G7062" i="2"/>
  <c r="H7062" i="2"/>
  <c r="G7063" i="2"/>
  <c r="H7063" i="2"/>
  <c r="G7064" i="2"/>
  <c r="H7064" i="2"/>
  <c r="G7065" i="2"/>
  <c r="H7065" i="2"/>
  <c r="G7066" i="2"/>
  <c r="H7066" i="2"/>
  <c r="G7067" i="2"/>
  <c r="H7067" i="2"/>
  <c r="G7068" i="2"/>
  <c r="H7068" i="2"/>
  <c r="G7069" i="2"/>
  <c r="H7069" i="2"/>
  <c r="G7070" i="2"/>
  <c r="H7070" i="2"/>
  <c r="G7071" i="2"/>
  <c r="H7071" i="2"/>
  <c r="G7072" i="2"/>
  <c r="H7072" i="2"/>
  <c r="G7073" i="2"/>
  <c r="H7073" i="2"/>
  <c r="G7074" i="2"/>
  <c r="H7074" i="2"/>
  <c r="G7075" i="2"/>
  <c r="H7075" i="2"/>
  <c r="G7076" i="2"/>
  <c r="H7076" i="2"/>
  <c r="G7077" i="2"/>
  <c r="H7077" i="2"/>
  <c r="G7078" i="2"/>
  <c r="H7078" i="2"/>
  <c r="G7079" i="2"/>
  <c r="H7079" i="2"/>
  <c r="G7080" i="2"/>
  <c r="H7080" i="2"/>
  <c r="G7081" i="2"/>
  <c r="H7081" i="2"/>
  <c r="G7082" i="2"/>
  <c r="H7082" i="2"/>
  <c r="G7083" i="2"/>
  <c r="H7083" i="2"/>
  <c r="G7084" i="2"/>
  <c r="H7084" i="2"/>
  <c r="G7085" i="2"/>
  <c r="H7085" i="2"/>
  <c r="G7086" i="2"/>
  <c r="H7086" i="2"/>
  <c r="G7087" i="2"/>
  <c r="H7087" i="2"/>
  <c r="G7088" i="2"/>
  <c r="H7088" i="2"/>
  <c r="G7089" i="2"/>
  <c r="H7089" i="2"/>
  <c r="G7090" i="2"/>
  <c r="H7090" i="2"/>
  <c r="G7091" i="2"/>
  <c r="H7091" i="2"/>
  <c r="G7092" i="2"/>
  <c r="H7092" i="2"/>
  <c r="G7093" i="2"/>
  <c r="H7093" i="2"/>
  <c r="G7094" i="2"/>
  <c r="H7094" i="2"/>
  <c r="G7095" i="2"/>
  <c r="H7095" i="2"/>
  <c r="G7096" i="2"/>
  <c r="H7096" i="2"/>
  <c r="G7097" i="2"/>
  <c r="H7097" i="2"/>
  <c r="G7098" i="2"/>
  <c r="H7098" i="2"/>
  <c r="G7099" i="2"/>
  <c r="H7099" i="2"/>
  <c r="G7100" i="2"/>
  <c r="H7100" i="2"/>
  <c r="G7101" i="2"/>
  <c r="H7101" i="2"/>
  <c r="G7102" i="2"/>
  <c r="H7102" i="2"/>
  <c r="G7103" i="2"/>
  <c r="H7103" i="2"/>
  <c r="G7104" i="2"/>
  <c r="H7104" i="2"/>
  <c r="G7105" i="2"/>
  <c r="H7105" i="2"/>
  <c r="G7106" i="2"/>
  <c r="H7106" i="2"/>
  <c r="G7107" i="2"/>
  <c r="H7107" i="2"/>
  <c r="G7108" i="2"/>
  <c r="H7108" i="2"/>
  <c r="G7109" i="2"/>
  <c r="H7109" i="2"/>
  <c r="G7110" i="2"/>
  <c r="H7110" i="2"/>
  <c r="G7111" i="2"/>
  <c r="H7111" i="2"/>
  <c r="G7112" i="2"/>
  <c r="H7112" i="2"/>
  <c r="G7113" i="2"/>
  <c r="H7113" i="2"/>
  <c r="G7114" i="2"/>
  <c r="H7114" i="2"/>
  <c r="G7115" i="2"/>
  <c r="H7115" i="2"/>
  <c r="G7116" i="2"/>
  <c r="H7116" i="2"/>
  <c r="G7117" i="2"/>
  <c r="H7117" i="2"/>
  <c r="G7118" i="2"/>
  <c r="H7118" i="2"/>
  <c r="G7119" i="2"/>
  <c r="H7119" i="2"/>
  <c r="G7120" i="2"/>
  <c r="H7120" i="2"/>
  <c r="G7121" i="2"/>
  <c r="H7121" i="2"/>
  <c r="G7122" i="2"/>
  <c r="H7122" i="2"/>
  <c r="G7123" i="2"/>
  <c r="H7123" i="2"/>
  <c r="G7124" i="2"/>
  <c r="H7124" i="2"/>
  <c r="G7125" i="2"/>
  <c r="H7125" i="2"/>
  <c r="G7126" i="2"/>
  <c r="H7126" i="2"/>
  <c r="G7127" i="2"/>
  <c r="H7127" i="2"/>
  <c r="G7128" i="2"/>
  <c r="H7128" i="2"/>
  <c r="G7129" i="2"/>
  <c r="H7129" i="2"/>
  <c r="G7130" i="2"/>
  <c r="H7130" i="2"/>
  <c r="G7131" i="2"/>
  <c r="H7131" i="2"/>
  <c r="G7132" i="2"/>
  <c r="H7132" i="2"/>
  <c r="G7133" i="2"/>
  <c r="H7133" i="2"/>
  <c r="G7134" i="2"/>
  <c r="H7134" i="2"/>
  <c r="G7135" i="2"/>
  <c r="H7135" i="2"/>
  <c r="G7136" i="2"/>
  <c r="H7136" i="2"/>
  <c r="G7137" i="2"/>
  <c r="H7137" i="2"/>
  <c r="G7138" i="2"/>
  <c r="H7138" i="2"/>
  <c r="G7139" i="2"/>
  <c r="H7139" i="2"/>
  <c r="G7140" i="2"/>
  <c r="H7140" i="2"/>
  <c r="G7141" i="2"/>
  <c r="H7141" i="2"/>
  <c r="G7142" i="2"/>
  <c r="H7142" i="2"/>
  <c r="G7143" i="2"/>
  <c r="H7143" i="2"/>
  <c r="G7144" i="2"/>
  <c r="H7144" i="2"/>
  <c r="G7145" i="2"/>
  <c r="H7145" i="2"/>
  <c r="G7146" i="2"/>
  <c r="H7146" i="2"/>
  <c r="G7147" i="2"/>
  <c r="H7147" i="2"/>
  <c r="G7148" i="2"/>
  <c r="H7148" i="2"/>
  <c r="G7149" i="2"/>
  <c r="H7149" i="2"/>
  <c r="G7150" i="2"/>
  <c r="H7150" i="2"/>
  <c r="G7151" i="2"/>
  <c r="H7151" i="2"/>
  <c r="G7152" i="2"/>
  <c r="H7152" i="2"/>
  <c r="G7153" i="2"/>
  <c r="H7153" i="2"/>
  <c r="G7154" i="2"/>
  <c r="H7154" i="2"/>
  <c r="G7155" i="2"/>
  <c r="H7155" i="2"/>
  <c r="G7156" i="2"/>
  <c r="H7156" i="2"/>
  <c r="G7157" i="2"/>
  <c r="H7157" i="2"/>
  <c r="G7158" i="2"/>
  <c r="H7158" i="2"/>
  <c r="G7159" i="2"/>
  <c r="H7159" i="2"/>
  <c r="G7160" i="2"/>
  <c r="H7160" i="2"/>
  <c r="G7161" i="2"/>
  <c r="H7161" i="2"/>
  <c r="G7162" i="2"/>
  <c r="H7162" i="2"/>
  <c r="G7163" i="2"/>
  <c r="H7163" i="2"/>
  <c r="G7164" i="2"/>
  <c r="H7164" i="2"/>
  <c r="G7165" i="2"/>
  <c r="H7165" i="2"/>
  <c r="G7166" i="2"/>
  <c r="H7166" i="2"/>
  <c r="G7167" i="2"/>
  <c r="H7167" i="2"/>
  <c r="G7168" i="2"/>
  <c r="H7168" i="2"/>
  <c r="G7169" i="2"/>
  <c r="H7169" i="2"/>
  <c r="G7170" i="2"/>
  <c r="H7170" i="2"/>
  <c r="G7171" i="2"/>
  <c r="H7171" i="2"/>
  <c r="G7172" i="2"/>
  <c r="H7172" i="2"/>
  <c r="G7173" i="2"/>
  <c r="H7173" i="2"/>
  <c r="G7174" i="2"/>
  <c r="H7174" i="2"/>
  <c r="G7175" i="2"/>
  <c r="H7175" i="2"/>
  <c r="G7176" i="2"/>
  <c r="H7176" i="2"/>
  <c r="G7177" i="2"/>
  <c r="H7177" i="2"/>
  <c r="G7178" i="2"/>
  <c r="H7178" i="2"/>
  <c r="G7179" i="2"/>
  <c r="H7179" i="2"/>
  <c r="G7180" i="2"/>
  <c r="H7180" i="2"/>
  <c r="G7181" i="2"/>
  <c r="H7181" i="2"/>
  <c r="G7182" i="2"/>
  <c r="H7182" i="2"/>
  <c r="G7183" i="2"/>
  <c r="H7183" i="2"/>
  <c r="G7184" i="2"/>
  <c r="H7184" i="2"/>
  <c r="G7185" i="2"/>
  <c r="H7185" i="2"/>
  <c r="G7186" i="2"/>
  <c r="H7186" i="2"/>
  <c r="G7187" i="2"/>
  <c r="H7187" i="2"/>
  <c r="G7188" i="2"/>
  <c r="H7188" i="2"/>
  <c r="G7189" i="2"/>
  <c r="H7189" i="2"/>
  <c r="G7190" i="2"/>
  <c r="H7190" i="2"/>
  <c r="G7191" i="2"/>
  <c r="H7191" i="2"/>
  <c r="G7192" i="2"/>
  <c r="H7192" i="2"/>
  <c r="G7193" i="2"/>
  <c r="H7193" i="2"/>
  <c r="G7194" i="2"/>
  <c r="H7194" i="2"/>
  <c r="G7195" i="2"/>
  <c r="H7195" i="2"/>
  <c r="G7196" i="2"/>
  <c r="H7196" i="2"/>
  <c r="G7197" i="2"/>
  <c r="H7197" i="2"/>
  <c r="G7198" i="2"/>
  <c r="H7198" i="2"/>
  <c r="G7199" i="2"/>
  <c r="H7199" i="2"/>
  <c r="G7200" i="2"/>
  <c r="H7200" i="2"/>
  <c r="G7201" i="2"/>
  <c r="H7201" i="2"/>
  <c r="G7202" i="2"/>
  <c r="H7202" i="2"/>
  <c r="G7203" i="2"/>
  <c r="H7203" i="2"/>
  <c r="G7204" i="2"/>
  <c r="H7204" i="2"/>
  <c r="G7205" i="2"/>
  <c r="H7205" i="2"/>
  <c r="G7206" i="2"/>
  <c r="H7206" i="2"/>
  <c r="G7207" i="2"/>
  <c r="H7207" i="2"/>
  <c r="G7208" i="2"/>
  <c r="H7208" i="2"/>
  <c r="G7209" i="2"/>
  <c r="H7209" i="2"/>
  <c r="G7210" i="2"/>
  <c r="H7210" i="2"/>
  <c r="G7211" i="2"/>
  <c r="H7211" i="2"/>
  <c r="G7212" i="2"/>
  <c r="H7212" i="2"/>
  <c r="G7213" i="2"/>
  <c r="H7213" i="2"/>
  <c r="G7214" i="2"/>
  <c r="H7214" i="2"/>
  <c r="G7215" i="2"/>
  <c r="H7215" i="2"/>
  <c r="G7216" i="2"/>
  <c r="H7216" i="2"/>
  <c r="G7217" i="2"/>
  <c r="H7217" i="2"/>
  <c r="G7218" i="2"/>
  <c r="H7218" i="2"/>
  <c r="G7219" i="2"/>
  <c r="H7219" i="2"/>
  <c r="G7220" i="2"/>
  <c r="H7220" i="2"/>
  <c r="G7221" i="2"/>
  <c r="H7221" i="2"/>
  <c r="G7222" i="2"/>
  <c r="H7222" i="2"/>
  <c r="G7223" i="2"/>
  <c r="H7223" i="2"/>
  <c r="G7224" i="2"/>
  <c r="H7224" i="2"/>
  <c r="G7225" i="2"/>
  <c r="H7225" i="2"/>
  <c r="G7226" i="2"/>
  <c r="H7226" i="2"/>
  <c r="G7227" i="2"/>
  <c r="H7227" i="2"/>
  <c r="G7228" i="2"/>
  <c r="H7228" i="2"/>
  <c r="G7229" i="2"/>
  <c r="H7229" i="2"/>
  <c r="G7230" i="2"/>
  <c r="H7230" i="2"/>
  <c r="G7231" i="2"/>
  <c r="H7231" i="2"/>
  <c r="G7232" i="2"/>
  <c r="H7232" i="2"/>
  <c r="G7233" i="2"/>
  <c r="H7233" i="2"/>
  <c r="G7234" i="2"/>
  <c r="H7234" i="2"/>
  <c r="G7235" i="2"/>
  <c r="H7235" i="2"/>
  <c r="G7236" i="2"/>
  <c r="H7236" i="2"/>
  <c r="G7237" i="2"/>
  <c r="H7237" i="2"/>
  <c r="G7238" i="2"/>
  <c r="H7238" i="2"/>
  <c r="G7239" i="2"/>
  <c r="H7239" i="2"/>
  <c r="G7240" i="2"/>
  <c r="H7240" i="2"/>
  <c r="G7241" i="2"/>
  <c r="H7241" i="2"/>
  <c r="G7242" i="2"/>
  <c r="H7242" i="2"/>
  <c r="G7243" i="2"/>
  <c r="H7243" i="2"/>
  <c r="G7244" i="2"/>
  <c r="H7244" i="2"/>
  <c r="G7245" i="2"/>
  <c r="H7245" i="2"/>
  <c r="G7246" i="2"/>
  <c r="H7246" i="2"/>
  <c r="G7247" i="2"/>
  <c r="H7247" i="2"/>
  <c r="G7248" i="2"/>
  <c r="H7248" i="2"/>
  <c r="G7249" i="2"/>
  <c r="H7249" i="2"/>
  <c r="G7250" i="2"/>
  <c r="H7250" i="2"/>
  <c r="G7251" i="2"/>
  <c r="H7251" i="2"/>
  <c r="G7252" i="2"/>
  <c r="H7252" i="2"/>
  <c r="G7253" i="2"/>
  <c r="H7253" i="2"/>
  <c r="G7254" i="2"/>
  <c r="H7254" i="2"/>
  <c r="G7255" i="2"/>
  <c r="H7255" i="2"/>
  <c r="G7256" i="2"/>
  <c r="H7256" i="2"/>
  <c r="G7257" i="2"/>
  <c r="H7257" i="2"/>
  <c r="G7258" i="2"/>
  <c r="H7258" i="2"/>
  <c r="G7259" i="2"/>
  <c r="H7259" i="2"/>
  <c r="G7260" i="2"/>
  <c r="H7260" i="2"/>
  <c r="G7261" i="2"/>
  <c r="H7261" i="2"/>
  <c r="G7262" i="2"/>
  <c r="H7262" i="2"/>
  <c r="G7263" i="2"/>
  <c r="H7263" i="2"/>
  <c r="G7264" i="2"/>
  <c r="H7264" i="2"/>
  <c r="G7265" i="2"/>
  <c r="H7265" i="2"/>
  <c r="G7266" i="2"/>
  <c r="H7266" i="2"/>
  <c r="G7267" i="2"/>
  <c r="H7267" i="2"/>
  <c r="G7268" i="2"/>
  <c r="H7268" i="2"/>
  <c r="G7269" i="2"/>
  <c r="H7269" i="2"/>
  <c r="G7270" i="2"/>
  <c r="H7270" i="2"/>
  <c r="G7271" i="2"/>
  <c r="H7271" i="2"/>
  <c r="G7272" i="2"/>
  <c r="H7272" i="2"/>
  <c r="G7273" i="2"/>
  <c r="H7273" i="2"/>
  <c r="G7274" i="2"/>
  <c r="H7274" i="2"/>
  <c r="G7275" i="2"/>
  <c r="H7275" i="2"/>
  <c r="G7276" i="2"/>
  <c r="H7276" i="2"/>
  <c r="G7277" i="2"/>
  <c r="H7277" i="2"/>
  <c r="G7278" i="2"/>
  <c r="H7278" i="2"/>
  <c r="G7279" i="2"/>
  <c r="H7279" i="2"/>
  <c r="G7280" i="2"/>
  <c r="H7280" i="2"/>
  <c r="G7281" i="2"/>
  <c r="H7281" i="2"/>
  <c r="G7282" i="2"/>
  <c r="H7282" i="2"/>
  <c r="G7283" i="2"/>
  <c r="H7283" i="2"/>
  <c r="G7284" i="2"/>
  <c r="H7284" i="2"/>
  <c r="G7285" i="2"/>
  <c r="H7285" i="2"/>
  <c r="G7286" i="2"/>
  <c r="H7286" i="2"/>
  <c r="G7287" i="2"/>
  <c r="H7287" i="2"/>
  <c r="G7288" i="2"/>
  <c r="H7288" i="2"/>
  <c r="G7289" i="2"/>
  <c r="H7289" i="2"/>
  <c r="G7290" i="2"/>
  <c r="H7290" i="2"/>
  <c r="G7291" i="2"/>
  <c r="H7291" i="2"/>
  <c r="G7292" i="2"/>
  <c r="H7292" i="2"/>
  <c r="G7293" i="2"/>
  <c r="H7293" i="2"/>
  <c r="G7294" i="2"/>
  <c r="H7294" i="2"/>
  <c r="G7295" i="2"/>
  <c r="H7295" i="2"/>
  <c r="G7296" i="2"/>
  <c r="H7296" i="2"/>
  <c r="G7297" i="2"/>
  <c r="H7297" i="2"/>
  <c r="G7298" i="2"/>
  <c r="H7298" i="2"/>
  <c r="G7299" i="2"/>
  <c r="H7299" i="2"/>
  <c r="G7300" i="2"/>
  <c r="H7300" i="2"/>
  <c r="G7301" i="2"/>
  <c r="H7301" i="2"/>
  <c r="G7302" i="2"/>
  <c r="H7302" i="2"/>
  <c r="G7303" i="2"/>
  <c r="H7303" i="2"/>
  <c r="G7304" i="2"/>
  <c r="H7304" i="2"/>
  <c r="G7305" i="2"/>
  <c r="H7305" i="2"/>
  <c r="G7306" i="2"/>
  <c r="H7306" i="2"/>
  <c r="G7307" i="2"/>
  <c r="H7307" i="2"/>
  <c r="G7308" i="2"/>
  <c r="H7308" i="2"/>
  <c r="G7309" i="2"/>
  <c r="H7309" i="2"/>
  <c r="G7310" i="2"/>
  <c r="H7310" i="2"/>
  <c r="G7311" i="2"/>
  <c r="H7311" i="2"/>
  <c r="G7312" i="2"/>
  <c r="H7312" i="2"/>
  <c r="G7313" i="2"/>
  <c r="H7313" i="2"/>
  <c r="G7314" i="2"/>
  <c r="H7314" i="2"/>
  <c r="G7315" i="2"/>
  <c r="H7315" i="2"/>
  <c r="G7316" i="2"/>
  <c r="H7316" i="2"/>
  <c r="G7317" i="2"/>
  <c r="H7317" i="2"/>
  <c r="G7318" i="2"/>
  <c r="H7318" i="2"/>
  <c r="G7319" i="2"/>
  <c r="H7319" i="2"/>
  <c r="G7320" i="2"/>
  <c r="H7320" i="2"/>
  <c r="G7321" i="2"/>
  <c r="H7321" i="2"/>
  <c r="G7322" i="2"/>
  <c r="H7322" i="2"/>
  <c r="G7323" i="2"/>
  <c r="H7323" i="2"/>
  <c r="G7324" i="2"/>
  <c r="H7324" i="2"/>
  <c r="G7325" i="2"/>
  <c r="H7325" i="2"/>
  <c r="G7326" i="2"/>
  <c r="H7326" i="2"/>
  <c r="G7327" i="2"/>
  <c r="H7327" i="2"/>
  <c r="G7328" i="2"/>
  <c r="H7328" i="2"/>
  <c r="G7329" i="2"/>
  <c r="H7329" i="2"/>
  <c r="G7330" i="2"/>
  <c r="H7330" i="2"/>
  <c r="G7331" i="2"/>
  <c r="H7331" i="2"/>
  <c r="G7332" i="2"/>
  <c r="H7332" i="2"/>
  <c r="G7333" i="2"/>
  <c r="H7333" i="2"/>
  <c r="G7334" i="2"/>
  <c r="H7334" i="2"/>
  <c r="G7335" i="2"/>
  <c r="H7335" i="2"/>
  <c r="G7336" i="2"/>
  <c r="H7336" i="2"/>
  <c r="G7337" i="2"/>
  <c r="H7337" i="2"/>
  <c r="G7338" i="2"/>
  <c r="H7338" i="2"/>
  <c r="G7339" i="2"/>
  <c r="H7339" i="2"/>
  <c r="G7340" i="2"/>
  <c r="H7340" i="2"/>
  <c r="G7341" i="2"/>
  <c r="H7341" i="2"/>
  <c r="G7342" i="2"/>
  <c r="H7342" i="2"/>
  <c r="G7343" i="2"/>
  <c r="H7343" i="2"/>
  <c r="G7344" i="2"/>
  <c r="H7344" i="2"/>
  <c r="G7345" i="2"/>
  <c r="H7345" i="2"/>
  <c r="G7346" i="2"/>
  <c r="H7346" i="2"/>
  <c r="G7347" i="2"/>
  <c r="H7347" i="2"/>
  <c r="G7348" i="2"/>
  <c r="H7348" i="2"/>
  <c r="G7349" i="2"/>
  <c r="H7349" i="2"/>
  <c r="G7350" i="2"/>
  <c r="H7350" i="2"/>
  <c r="G7351" i="2"/>
  <c r="H7351" i="2"/>
  <c r="G7352" i="2"/>
  <c r="H7352" i="2"/>
  <c r="G7353" i="2"/>
  <c r="H7353" i="2"/>
  <c r="G7354" i="2"/>
  <c r="H7354" i="2"/>
  <c r="G7355" i="2"/>
  <c r="H7355" i="2"/>
  <c r="G7356" i="2"/>
  <c r="H7356" i="2"/>
  <c r="G7357" i="2"/>
  <c r="H7357" i="2"/>
  <c r="G7358" i="2"/>
  <c r="H7358" i="2"/>
  <c r="G7359" i="2"/>
  <c r="H7359" i="2"/>
  <c r="G7360" i="2"/>
  <c r="H7360" i="2"/>
  <c r="G7361" i="2"/>
  <c r="H7361" i="2"/>
  <c r="G7362" i="2"/>
  <c r="H7362" i="2"/>
  <c r="G7363" i="2"/>
  <c r="H7363" i="2"/>
  <c r="G7364" i="2"/>
  <c r="H7364" i="2"/>
  <c r="G7365" i="2"/>
  <c r="H7365" i="2"/>
  <c r="G7366" i="2"/>
  <c r="H7366" i="2"/>
  <c r="G7367" i="2"/>
  <c r="H7367" i="2"/>
  <c r="G7368" i="2"/>
  <c r="H7368" i="2"/>
  <c r="G7369" i="2"/>
  <c r="H7369" i="2"/>
  <c r="G7370" i="2"/>
  <c r="H7370" i="2"/>
  <c r="G7371" i="2"/>
  <c r="H7371" i="2"/>
  <c r="G7372" i="2"/>
  <c r="H7372" i="2"/>
  <c r="G7373" i="2"/>
  <c r="H7373" i="2"/>
  <c r="G7374" i="2"/>
  <c r="H7374" i="2"/>
  <c r="G7375" i="2"/>
  <c r="H7375" i="2"/>
  <c r="G7376" i="2"/>
  <c r="H7376" i="2"/>
  <c r="G7377" i="2"/>
  <c r="H7377" i="2"/>
  <c r="G7378" i="2"/>
  <c r="H7378" i="2"/>
  <c r="G7379" i="2"/>
  <c r="H7379" i="2"/>
  <c r="G7380" i="2"/>
  <c r="H7380" i="2"/>
  <c r="G7381" i="2"/>
  <c r="H7381" i="2"/>
  <c r="G7382" i="2"/>
  <c r="H7382" i="2"/>
  <c r="G7383" i="2"/>
  <c r="H7383" i="2"/>
  <c r="G7384" i="2"/>
  <c r="H7384" i="2"/>
  <c r="G7385" i="2"/>
  <c r="H7385" i="2"/>
  <c r="G7386" i="2"/>
  <c r="H7386" i="2"/>
  <c r="G7387" i="2"/>
  <c r="H7387" i="2"/>
  <c r="G7388" i="2"/>
  <c r="H7388" i="2"/>
  <c r="G7389" i="2"/>
  <c r="H7389" i="2"/>
  <c r="G7390" i="2"/>
  <c r="H7390" i="2"/>
  <c r="G7391" i="2"/>
  <c r="H7391" i="2"/>
  <c r="G7392" i="2"/>
  <c r="H7392" i="2"/>
  <c r="G7393" i="2"/>
  <c r="H7393" i="2"/>
  <c r="G7394" i="2"/>
  <c r="H7394" i="2"/>
  <c r="G7395" i="2"/>
  <c r="H7395" i="2"/>
  <c r="G7396" i="2"/>
  <c r="H7396" i="2"/>
  <c r="G7397" i="2"/>
  <c r="H7397" i="2"/>
  <c r="G7398" i="2"/>
  <c r="H7398" i="2"/>
  <c r="G7399" i="2"/>
  <c r="H7399" i="2"/>
  <c r="G7400" i="2"/>
  <c r="H7400" i="2"/>
  <c r="G7401" i="2"/>
  <c r="H7401" i="2"/>
  <c r="G7402" i="2"/>
  <c r="H7402" i="2"/>
  <c r="G7403" i="2"/>
  <c r="H7403" i="2"/>
  <c r="G7404" i="2"/>
  <c r="H7404" i="2"/>
  <c r="G7405" i="2"/>
  <c r="H7405" i="2"/>
  <c r="G7406" i="2"/>
  <c r="H7406" i="2"/>
  <c r="G7407" i="2"/>
  <c r="H7407" i="2"/>
  <c r="G7408" i="2"/>
  <c r="H7408" i="2"/>
  <c r="G7409" i="2"/>
  <c r="H7409" i="2"/>
  <c r="G7410" i="2"/>
  <c r="H7410" i="2"/>
  <c r="G7411" i="2"/>
  <c r="H7411" i="2"/>
  <c r="G7412" i="2"/>
  <c r="H7412" i="2"/>
  <c r="G7413" i="2"/>
  <c r="H7413" i="2"/>
  <c r="G7414" i="2"/>
  <c r="H7414" i="2"/>
  <c r="G7415" i="2"/>
  <c r="H7415" i="2"/>
  <c r="G7416" i="2"/>
  <c r="H7416" i="2"/>
  <c r="G7417" i="2"/>
  <c r="H7417" i="2"/>
  <c r="G7418" i="2"/>
  <c r="H7418" i="2"/>
  <c r="G7419" i="2"/>
  <c r="H7419" i="2"/>
  <c r="G7420" i="2"/>
  <c r="H7420" i="2"/>
  <c r="G7421" i="2"/>
  <c r="H7421" i="2"/>
  <c r="G7422" i="2"/>
  <c r="H7422" i="2"/>
  <c r="G7423" i="2"/>
  <c r="H7423" i="2"/>
  <c r="G7424" i="2"/>
  <c r="H7424" i="2"/>
  <c r="G7425" i="2"/>
  <c r="H7425" i="2"/>
  <c r="G7426" i="2"/>
  <c r="H7426" i="2"/>
  <c r="G7427" i="2"/>
  <c r="H7427" i="2"/>
  <c r="G7428" i="2"/>
  <c r="H7428" i="2"/>
  <c r="G7429" i="2"/>
  <c r="H7429" i="2"/>
  <c r="G7430" i="2"/>
  <c r="H7430" i="2"/>
  <c r="G7431" i="2"/>
  <c r="H7431" i="2"/>
  <c r="G7432" i="2"/>
  <c r="H7432" i="2"/>
  <c r="G7433" i="2"/>
  <c r="H7433" i="2"/>
  <c r="G7434" i="2"/>
  <c r="H7434" i="2"/>
  <c r="G7435" i="2"/>
  <c r="H7435" i="2"/>
  <c r="G7436" i="2"/>
  <c r="H7436" i="2"/>
  <c r="G7437" i="2"/>
  <c r="H7437" i="2"/>
  <c r="G7438" i="2"/>
  <c r="H7438" i="2"/>
  <c r="G7439" i="2"/>
  <c r="H7439" i="2"/>
  <c r="G7440" i="2"/>
  <c r="H7440" i="2"/>
  <c r="G7441" i="2"/>
  <c r="H7441" i="2"/>
  <c r="G7442" i="2"/>
  <c r="H7442" i="2"/>
  <c r="G7443" i="2"/>
  <c r="H7443" i="2"/>
  <c r="G7444" i="2"/>
  <c r="H7444" i="2"/>
  <c r="G7445" i="2"/>
  <c r="H7445" i="2"/>
  <c r="G7446" i="2"/>
  <c r="H7446" i="2"/>
  <c r="G7447" i="2"/>
  <c r="H7447" i="2"/>
  <c r="G7448" i="2"/>
  <c r="H7448" i="2"/>
  <c r="G7449" i="2"/>
  <c r="H7449" i="2"/>
  <c r="G7450" i="2"/>
  <c r="H7450" i="2"/>
  <c r="G7451" i="2"/>
  <c r="H7451" i="2"/>
  <c r="G7452" i="2"/>
  <c r="H7452" i="2"/>
  <c r="G7453" i="2"/>
  <c r="H7453" i="2"/>
  <c r="G7454" i="2"/>
  <c r="H7454" i="2"/>
  <c r="G7455" i="2"/>
  <c r="H7455" i="2"/>
  <c r="G7456" i="2"/>
  <c r="H7456" i="2"/>
  <c r="G7457" i="2"/>
  <c r="H7457" i="2"/>
  <c r="G7458" i="2"/>
  <c r="H7458" i="2"/>
  <c r="G7459" i="2"/>
  <c r="H7459" i="2"/>
  <c r="G7460" i="2"/>
  <c r="H7460" i="2"/>
  <c r="G7461" i="2"/>
  <c r="H7461" i="2"/>
  <c r="G7462" i="2"/>
  <c r="H7462" i="2"/>
  <c r="G7463" i="2"/>
  <c r="H7463" i="2"/>
  <c r="G7464" i="2"/>
  <c r="H7464" i="2"/>
  <c r="G7465" i="2"/>
  <c r="H7465" i="2"/>
  <c r="G7466" i="2"/>
  <c r="H7466" i="2"/>
  <c r="G7467" i="2"/>
  <c r="H7467" i="2"/>
  <c r="G7468" i="2"/>
  <c r="H7468" i="2"/>
  <c r="G7469" i="2"/>
  <c r="H7469" i="2"/>
  <c r="G7470" i="2"/>
  <c r="H7470" i="2"/>
  <c r="G7471" i="2"/>
  <c r="H7471" i="2"/>
  <c r="G7472" i="2"/>
  <c r="H7472" i="2"/>
  <c r="G7473" i="2"/>
  <c r="H7473" i="2"/>
  <c r="G7474" i="2"/>
  <c r="H7474" i="2"/>
  <c r="G7475" i="2"/>
  <c r="H7475" i="2"/>
  <c r="G7476" i="2"/>
  <c r="H7476" i="2"/>
  <c r="G7477" i="2"/>
  <c r="H7477" i="2"/>
  <c r="G7478" i="2"/>
  <c r="H7478" i="2"/>
  <c r="G7479" i="2"/>
  <c r="H7479" i="2"/>
  <c r="G7480" i="2"/>
  <c r="H7480" i="2"/>
  <c r="G7481" i="2"/>
  <c r="H7481" i="2"/>
  <c r="G7482" i="2"/>
  <c r="H7482" i="2"/>
  <c r="G7483" i="2"/>
  <c r="H7483" i="2"/>
  <c r="G7484" i="2"/>
  <c r="H7484" i="2"/>
  <c r="G7485" i="2"/>
  <c r="H7485" i="2"/>
  <c r="G7486" i="2"/>
  <c r="H7486" i="2"/>
  <c r="G7487" i="2"/>
  <c r="H7487" i="2"/>
  <c r="G7488" i="2"/>
  <c r="H7488" i="2"/>
  <c r="G7489" i="2"/>
  <c r="H7489" i="2"/>
  <c r="G7490" i="2"/>
  <c r="H7490" i="2"/>
  <c r="G7491" i="2"/>
  <c r="H7491" i="2"/>
  <c r="G7492" i="2"/>
  <c r="H7492" i="2"/>
  <c r="G7493" i="2"/>
  <c r="H7493" i="2"/>
  <c r="G7494" i="2"/>
  <c r="H7494" i="2"/>
  <c r="G7495" i="2"/>
  <c r="H7495" i="2"/>
  <c r="G7496" i="2"/>
  <c r="H7496" i="2"/>
  <c r="G7497" i="2"/>
  <c r="H7497" i="2"/>
  <c r="G7498" i="2"/>
  <c r="H7498" i="2"/>
  <c r="G7499" i="2"/>
  <c r="H7499" i="2"/>
  <c r="G7500" i="2"/>
  <c r="H7500" i="2"/>
  <c r="G7501" i="2"/>
  <c r="H7501" i="2"/>
  <c r="G7502" i="2"/>
  <c r="H7502" i="2"/>
  <c r="G7503" i="2"/>
  <c r="H7503" i="2"/>
  <c r="G7504" i="2"/>
  <c r="H7504" i="2"/>
  <c r="G7505" i="2"/>
  <c r="H7505" i="2"/>
  <c r="G7506" i="2"/>
  <c r="H7506" i="2"/>
  <c r="G7507" i="2"/>
  <c r="H7507" i="2"/>
  <c r="G7508" i="2"/>
  <c r="H7508" i="2"/>
  <c r="G7509" i="2"/>
  <c r="H7509" i="2"/>
  <c r="G7510" i="2"/>
  <c r="H7510" i="2"/>
  <c r="G7511" i="2"/>
  <c r="H7511" i="2"/>
  <c r="G7512" i="2"/>
  <c r="H7512" i="2"/>
  <c r="G7513" i="2"/>
  <c r="H7513" i="2"/>
  <c r="G7514" i="2"/>
  <c r="H7514" i="2"/>
  <c r="G7515" i="2"/>
  <c r="H7515" i="2"/>
  <c r="G7516" i="2"/>
  <c r="H7516" i="2"/>
  <c r="G7517" i="2"/>
  <c r="H7517" i="2"/>
  <c r="G7518" i="2"/>
  <c r="H7518" i="2"/>
  <c r="G7519" i="2"/>
  <c r="H7519" i="2"/>
  <c r="G7520" i="2"/>
  <c r="H7520" i="2"/>
  <c r="G7521" i="2"/>
  <c r="H7521" i="2"/>
  <c r="G7522" i="2"/>
  <c r="H7522" i="2"/>
  <c r="G7523" i="2"/>
  <c r="H7523" i="2"/>
  <c r="G7524" i="2"/>
  <c r="H7524" i="2"/>
  <c r="G7525" i="2"/>
  <c r="H7525" i="2"/>
  <c r="G7526" i="2"/>
  <c r="H7526" i="2"/>
  <c r="G7527" i="2"/>
  <c r="H7527" i="2"/>
  <c r="G7528" i="2"/>
  <c r="H7528" i="2"/>
  <c r="G7529" i="2"/>
  <c r="H7529" i="2"/>
  <c r="G7530" i="2"/>
  <c r="H7530" i="2"/>
  <c r="G7531" i="2"/>
  <c r="H7531" i="2"/>
  <c r="G7532" i="2"/>
  <c r="H7532" i="2"/>
  <c r="G7533" i="2"/>
  <c r="H7533" i="2"/>
  <c r="G7534" i="2"/>
  <c r="H7534" i="2"/>
  <c r="G7535" i="2"/>
  <c r="H7535" i="2"/>
  <c r="G7536" i="2"/>
  <c r="H7536" i="2"/>
  <c r="G7537" i="2"/>
  <c r="H7537" i="2"/>
  <c r="G7538" i="2"/>
  <c r="H7538" i="2"/>
  <c r="G7539" i="2"/>
  <c r="H7539" i="2"/>
  <c r="G7540" i="2"/>
  <c r="H7540" i="2"/>
  <c r="G7541" i="2"/>
  <c r="H7541" i="2"/>
  <c r="G7542" i="2"/>
  <c r="H7542" i="2"/>
  <c r="G7543" i="2"/>
  <c r="H7543" i="2"/>
  <c r="G7544" i="2"/>
  <c r="H7544" i="2"/>
  <c r="G7545" i="2"/>
  <c r="H7545" i="2"/>
  <c r="G7546" i="2"/>
  <c r="H7546" i="2"/>
  <c r="G7547" i="2"/>
  <c r="H7547" i="2"/>
  <c r="G7548" i="2"/>
  <c r="H7548" i="2"/>
  <c r="G7549" i="2"/>
  <c r="H7549" i="2"/>
  <c r="G7550" i="2"/>
  <c r="H7550" i="2"/>
  <c r="G7551" i="2"/>
  <c r="H7551" i="2"/>
  <c r="G7552" i="2"/>
  <c r="H7552" i="2"/>
  <c r="G7553" i="2"/>
  <c r="H7553" i="2"/>
  <c r="G7554" i="2"/>
  <c r="H7554" i="2"/>
  <c r="G7555" i="2"/>
  <c r="H7555" i="2"/>
  <c r="G7556" i="2"/>
  <c r="H7556" i="2"/>
  <c r="G7557" i="2"/>
  <c r="H7557" i="2"/>
  <c r="G7558" i="2"/>
  <c r="H7558" i="2"/>
  <c r="G7559" i="2"/>
  <c r="H7559" i="2"/>
  <c r="G7560" i="2"/>
  <c r="H7560" i="2"/>
  <c r="G7561" i="2"/>
  <c r="H7561" i="2"/>
  <c r="G7562" i="2"/>
  <c r="H7562" i="2"/>
  <c r="G7563" i="2"/>
  <c r="H7563" i="2"/>
  <c r="G7564" i="2"/>
  <c r="H7564" i="2"/>
  <c r="G7565" i="2"/>
  <c r="H7565" i="2"/>
  <c r="G7566" i="2"/>
  <c r="H7566" i="2"/>
  <c r="G7567" i="2"/>
  <c r="H7567" i="2"/>
  <c r="G7568" i="2"/>
  <c r="H7568" i="2"/>
  <c r="G7569" i="2"/>
  <c r="H7569" i="2"/>
  <c r="G7570" i="2"/>
  <c r="H7570" i="2"/>
  <c r="G7571" i="2"/>
  <c r="H7571" i="2"/>
  <c r="G7572" i="2"/>
  <c r="H7572" i="2"/>
  <c r="G7573" i="2"/>
  <c r="H7573" i="2"/>
  <c r="G7574" i="2"/>
  <c r="H7574" i="2"/>
  <c r="G7575" i="2"/>
  <c r="H7575" i="2"/>
  <c r="G7576" i="2"/>
  <c r="H7576" i="2"/>
  <c r="G7577" i="2"/>
  <c r="H7577" i="2"/>
  <c r="G7578" i="2"/>
  <c r="H7578" i="2"/>
  <c r="G7579" i="2"/>
  <c r="H7579" i="2"/>
  <c r="G7580" i="2"/>
  <c r="H7580" i="2"/>
  <c r="G7581" i="2"/>
  <c r="H7581" i="2"/>
  <c r="G7582" i="2"/>
  <c r="H7582" i="2"/>
  <c r="G7583" i="2"/>
  <c r="H7583" i="2"/>
  <c r="G7584" i="2"/>
  <c r="H7584" i="2"/>
  <c r="G7585" i="2"/>
  <c r="H7585" i="2"/>
  <c r="G7586" i="2"/>
  <c r="H7586" i="2"/>
  <c r="G7587" i="2"/>
  <c r="H7587" i="2"/>
  <c r="G7588" i="2"/>
  <c r="H7588" i="2"/>
  <c r="G7589" i="2"/>
  <c r="H7589" i="2"/>
  <c r="G7590" i="2"/>
  <c r="H7590" i="2"/>
  <c r="G7591" i="2"/>
  <c r="H7591" i="2"/>
  <c r="G7592" i="2"/>
  <c r="H7592" i="2"/>
  <c r="G7593" i="2"/>
  <c r="H7593" i="2"/>
  <c r="G7594" i="2"/>
  <c r="H7594" i="2"/>
  <c r="G7595" i="2"/>
  <c r="H7595" i="2"/>
  <c r="G7596" i="2"/>
  <c r="H7596" i="2"/>
  <c r="G7597" i="2"/>
  <c r="H7597" i="2"/>
  <c r="G7598" i="2"/>
  <c r="H7598" i="2"/>
  <c r="G7599" i="2"/>
  <c r="H7599" i="2"/>
  <c r="G7600" i="2"/>
  <c r="H7600" i="2"/>
  <c r="G7601" i="2"/>
  <c r="H7601" i="2"/>
  <c r="G7602" i="2"/>
  <c r="H7602" i="2"/>
  <c r="G7603" i="2"/>
  <c r="H7603" i="2"/>
  <c r="G7604" i="2"/>
  <c r="H7604" i="2"/>
  <c r="G7605" i="2"/>
  <c r="H7605" i="2"/>
  <c r="G7606" i="2"/>
  <c r="H7606" i="2"/>
  <c r="G7607" i="2"/>
  <c r="H7607" i="2"/>
  <c r="G7608" i="2"/>
  <c r="H7608" i="2"/>
  <c r="G7609" i="2"/>
  <c r="H7609" i="2"/>
  <c r="G7610" i="2"/>
  <c r="H7610" i="2"/>
  <c r="G7611" i="2"/>
  <c r="H7611" i="2"/>
  <c r="G7612" i="2"/>
  <c r="H7612" i="2"/>
  <c r="G7613" i="2"/>
  <c r="H7613" i="2"/>
  <c r="G7614" i="2"/>
  <c r="H7614" i="2"/>
  <c r="G7615" i="2"/>
  <c r="H7615" i="2"/>
  <c r="G7616" i="2"/>
  <c r="H7616" i="2"/>
  <c r="G7617" i="2"/>
  <c r="H7617" i="2"/>
  <c r="G7618" i="2"/>
  <c r="H7618" i="2"/>
  <c r="G7619" i="2"/>
  <c r="H7619" i="2"/>
  <c r="G7620" i="2"/>
  <c r="H7620" i="2"/>
  <c r="G7621" i="2"/>
  <c r="H7621" i="2"/>
  <c r="G7622" i="2"/>
  <c r="H7622" i="2"/>
  <c r="G7623" i="2"/>
  <c r="H7623" i="2"/>
  <c r="G7624" i="2"/>
  <c r="H7624" i="2"/>
  <c r="G7625" i="2"/>
  <c r="H7625" i="2"/>
  <c r="G7626" i="2"/>
  <c r="H7626" i="2"/>
  <c r="G7627" i="2"/>
  <c r="H7627" i="2"/>
  <c r="G7628" i="2"/>
  <c r="H7628" i="2"/>
  <c r="G7629" i="2"/>
  <c r="H7629" i="2"/>
  <c r="G7630" i="2"/>
  <c r="H7630" i="2"/>
  <c r="G7631" i="2"/>
  <c r="H7631" i="2"/>
  <c r="G7632" i="2"/>
  <c r="H7632" i="2"/>
  <c r="G7633" i="2"/>
  <c r="H7633" i="2"/>
  <c r="G7634" i="2"/>
  <c r="H7634" i="2"/>
  <c r="G7635" i="2"/>
  <c r="H7635" i="2"/>
  <c r="G7636" i="2"/>
  <c r="H7636" i="2"/>
  <c r="G7637" i="2"/>
  <c r="H7637" i="2"/>
  <c r="G7638" i="2"/>
  <c r="H7638" i="2"/>
  <c r="G7639" i="2"/>
  <c r="H7639" i="2"/>
  <c r="G7640" i="2"/>
  <c r="H7640" i="2"/>
  <c r="G7641" i="2"/>
  <c r="H7641" i="2"/>
  <c r="G7642" i="2"/>
  <c r="H7642" i="2"/>
  <c r="G7643" i="2"/>
  <c r="H7643" i="2"/>
  <c r="G7644" i="2"/>
  <c r="H7644" i="2"/>
  <c r="G7645" i="2"/>
  <c r="H7645" i="2"/>
  <c r="G7646" i="2"/>
  <c r="H7646" i="2"/>
  <c r="G7647" i="2"/>
  <c r="H7647" i="2"/>
  <c r="G7648" i="2"/>
  <c r="H7648" i="2"/>
  <c r="G7649" i="2"/>
  <c r="H7649" i="2"/>
  <c r="G7650" i="2"/>
  <c r="H7650" i="2"/>
  <c r="G7651" i="2"/>
  <c r="H7651" i="2"/>
  <c r="G7652" i="2"/>
  <c r="H7652" i="2"/>
  <c r="G7653" i="2"/>
  <c r="H7653" i="2"/>
  <c r="G7654" i="2"/>
  <c r="H7654" i="2"/>
  <c r="G7655" i="2"/>
  <c r="H7655" i="2"/>
  <c r="G7656" i="2"/>
  <c r="H7656" i="2"/>
  <c r="G7657" i="2"/>
  <c r="H7657" i="2"/>
  <c r="G7658" i="2"/>
  <c r="H7658" i="2"/>
  <c r="G7659" i="2"/>
  <c r="H7659" i="2"/>
  <c r="G7660" i="2"/>
  <c r="H7660" i="2"/>
  <c r="G7661" i="2"/>
  <c r="H7661" i="2"/>
  <c r="G7662" i="2"/>
  <c r="H7662" i="2"/>
  <c r="G7663" i="2"/>
  <c r="H7663" i="2"/>
  <c r="G7664" i="2"/>
  <c r="H7664" i="2"/>
  <c r="G7665" i="2"/>
  <c r="H7665" i="2"/>
  <c r="G7666" i="2"/>
  <c r="H7666" i="2"/>
  <c r="G7667" i="2"/>
  <c r="H7667" i="2"/>
  <c r="G7668" i="2"/>
  <c r="H7668" i="2"/>
  <c r="G7669" i="2"/>
  <c r="H7669" i="2"/>
  <c r="G7670" i="2"/>
  <c r="H7670" i="2"/>
  <c r="G7671" i="2"/>
  <c r="H7671" i="2"/>
  <c r="G7672" i="2"/>
  <c r="H7672" i="2"/>
  <c r="G7673" i="2"/>
  <c r="H7673" i="2"/>
  <c r="G7674" i="2"/>
  <c r="H7674" i="2"/>
  <c r="G7675" i="2"/>
  <c r="H7675" i="2"/>
  <c r="G7676" i="2"/>
  <c r="H7676" i="2"/>
  <c r="G7677" i="2"/>
  <c r="H7677" i="2"/>
  <c r="G7678" i="2"/>
  <c r="H7678" i="2"/>
  <c r="G7679" i="2"/>
  <c r="H7679" i="2"/>
  <c r="G7680" i="2"/>
  <c r="H7680" i="2"/>
  <c r="G7681" i="2"/>
  <c r="H7681" i="2"/>
  <c r="G7682" i="2"/>
  <c r="H7682" i="2"/>
  <c r="G7683" i="2"/>
  <c r="H7683" i="2"/>
  <c r="G7684" i="2"/>
  <c r="H7684" i="2"/>
  <c r="G7685" i="2"/>
  <c r="H7685" i="2"/>
  <c r="G7686" i="2"/>
  <c r="H7686" i="2"/>
  <c r="G7687" i="2"/>
  <c r="H7687" i="2"/>
  <c r="G7688" i="2"/>
  <c r="H7688" i="2"/>
  <c r="G7689" i="2"/>
  <c r="H7689" i="2"/>
  <c r="G7690" i="2"/>
  <c r="H7690" i="2"/>
  <c r="G7691" i="2"/>
  <c r="H7691" i="2"/>
  <c r="G7692" i="2"/>
  <c r="H7692" i="2"/>
  <c r="G7693" i="2"/>
  <c r="H7693" i="2"/>
  <c r="G7694" i="2"/>
  <c r="H7694" i="2"/>
  <c r="G7695" i="2"/>
  <c r="H7695" i="2"/>
  <c r="G7696" i="2"/>
  <c r="H7696" i="2"/>
  <c r="G7697" i="2"/>
  <c r="H7697" i="2"/>
  <c r="G7698" i="2"/>
  <c r="H7698" i="2"/>
  <c r="G7699" i="2"/>
  <c r="H7699" i="2"/>
  <c r="G7700" i="2"/>
  <c r="H7700" i="2"/>
  <c r="G7701" i="2"/>
  <c r="H7701" i="2"/>
  <c r="G7702" i="2"/>
  <c r="H7702" i="2"/>
  <c r="G7703" i="2"/>
  <c r="H7703" i="2"/>
  <c r="G7704" i="2"/>
  <c r="H7704" i="2"/>
  <c r="G7705" i="2"/>
  <c r="H7705" i="2"/>
  <c r="G7706" i="2"/>
  <c r="H7706" i="2"/>
  <c r="G7707" i="2"/>
  <c r="H7707" i="2"/>
  <c r="G7708" i="2"/>
  <c r="H7708" i="2"/>
  <c r="G7709" i="2"/>
  <c r="H7709" i="2"/>
  <c r="G7710" i="2"/>
  <c r="H7710" i="2"/>
  <c r="G7711" i="2"/>
  <c r="H7711" i="2"/>
  <c r="G7712" i="2"/>
  <c r="H7712" i="2"/>
  <c r="G7713" i="2"/>
  <c r="H7713" i="2"/>
  <c r="G7714" i="2"/>
  <c r="H7714" i="2"/>
  <c r="G7715" i="2"/>
  <c r="H7715" i="2"/>
  <c r="G7716" i="2"/>
  <c r="H7716" i="2"/>
  <c r="G7717" i="2"/>
  <c r="H7717" i="2"/>
  <c r="G7718" i="2"/>
  <c r="H7718" i="2"/>
  <c r="G7719" i="2"/>
  <c r="H7719" i="2"/>
  <c r="G7720" i="2"/>
  <c r="H7720" i="2"/>
  <c r="G7721" i="2"/>
  <c r="H7721" i="2"/>
  <c r="G7722" i="2"/>
  <c r="H7722" i="2"/>
  <c r="G7723" i="2"/>
  <c r="H7723" i="2"/>
  <c r="G7724" i="2"/>
  <c r="H7724" i="2"/>
  <c r="G7725" i="2"/>
  <c r="H7725" i="2"/>
  <c r="G7726" i="2"/>
  <c r="H7726" i="2"/>
  <c r="G7727" i="2"/>
  <c r="H7727" i="2"/>
  <c r="G7728" i="2"/>
  <c r="H7728" i="2"/>
  <c r="G7729" i="2"/>
  <c r="H7729" i="2"/>
  <c r="G7730" i="2"/>
  <c r="H7730" i="2"/>
  <c r="G7731" i="2"/>
  <c r="H7731" i="2"/>
  <c r="G7732" i="2"/>
  <c r="H7732" i="2"/>
  <c r="G7733" i="2"/>
  <c r="H7733" i="2"/>
  <c r="G7734" i="2"/>
  <c r="H7734" i="2"/>
  <c r="G7735" i="2"/>
  <c r="H7735" i="2"/>
  <c r="G7736" i="2"/>
  <c r="H7736" i="2"/>
  <c r="G7737" i="2"/>
  <c r="H7737" i="2"/>
  <c r="G7738" i="2"/>
  <c r="H7738" i="2"/>
  <c r="G7739" i="2"/>
  <c r="H7739" i="2"/>
  <c r="G7740" i="2"/>
  <c r="H7740" i="2"/>
  <c r="G7741" i="2"/>
  <c r="H7741" i="2"/>
  <c r="G7742" i="2"/>
  <c r="H7742" i="2"/>
  <c r="G7743" i="2"/>
  <c r="H7743" i="2"/>
  <c r="G7744" i="2"/>
  <c r="H7744" i="2"/>
  <c r="G7745" i="2"/>
  <c r="H7745" i="2"/>
  <c r="G7746" i="2"/>
  <c r="H7746" i="2"/>
  <c r="G7747" i="2"/>
  <c r="H7747" i="2"/>
  <c r="G7748" i="2"/>
  <c r="H7748" i="2"/>
  <c r="G7749" i="2"/>
  <c r="H7749" i="2"/>
  <c r="G7750" i="2"/>
  <c r="H7750" i="2"/>
  <c r="G7751" i="2"/>
  <c r="H7751" i="2"/>
  <c r="G7752" i="2"/>
  <c r="H7752" i="2"/>
  <c r="G7753" i="2"/>
  <c r="H7753" i="2"/>
  <c r="G7754" i="2"/>
  <c r="H7754" i="2"/>
  <c r="G7755" i="2"/>
  <c r="H7755" i="2"/>
  <c r="G7756" i="2"/>
  <c r="H7756" i="2"/>
  <c r="G7757" i="2"/>
  <c r="H7757" i="2"/>
  <c r="G7758" i="2"/>
  <c r="H7758" i="2"/>
  <c r="G7759" i="2"/>
  <c r="H7759" i="2"/>
  <c r="G7760" i="2"/>
  <c r="H7760" i="2"/>
  <c r="G7761" i="2"/>
  <c r="H7761" i="2"/>
  <c r="G7762" i="2"/>
  <c r="H7762" i="2"/>
  <c r="G7763" i="2"/>
  <c r="H7763" i="2"/>
  <c r="G7764" i="2"/>
  <c r="H7764" i="2"/>
  <c r="G7765" i="2"/>
  <c r="H7765" i="2"/>
  <c r="G7766" i="2"/>
  <c r="H7766" i="2"/>
  <c r="G7767" i="2"/>
  <c r="H7767" i="2"/>
  <c r="G7768" i="2"/>
  <c r="H7768" i="2"/>
  <c r="G7769" i="2"/>
  <c r="H7769" i="2"/>
  <c r="G7770" i="2"/>
  <c r="H7770" i="2"/>
  <c r="G7771" i="2"/>
  <c r="H7771" i="2"/>
  <c r="G7772" i="2"/>
  <c r="H7772" i="2"/>
  <c r="G7773" i="2"/>
  <c r="H7773" i="2"/>
  <c r="G7774" i="2"/>
  <c r="H7774" i="2"/>
  <c r="G7775" i="2"/>
  <c r="H7775" i="2"/>
  <c r="G7776" i="2"/>
  <c r="H7776" i="2"/>
  <c r="G7777" i="2"/>
  <c r="H7777" i="2"/>
  <c r="G7778" i="2"/>
  <c r="H7778" i="2"/>
  <c r="G7779" i="2"/>
  <c r="H7779" i="2"/>
  <c r="G7780" i="2"/>
  <c r="H7780" i="2"/>
  <c r="G7781" i="2"/>
  <c r="H7781" i="2"/>
  <c r="G7782" i="2"/>
  <c r="H7782" i="2"/>
  <c r="G7783" i="2"/>
  <c r="H7783" i="2"/>
  <c r="G7784" i="2"/>
  <c r="H7784" i="2"/>
  <c r="G7785" i="2"/>
  <c r="H7785" i="2"/>
  <c r="G7786" i="2"/>
  <c r="H7786" i="2"/>
  <c r="G7787" i="2"/>
  <c r="H7787" i="2"/>
  <c r="G7788" i="2"/>
  <c r="H7788" i="2"/>
  <c r="G7789" i="2"/>
  <c r="H7789" i="2"/>
  <c r="G7790" i="2"/>
  <c r="H7790" i="2"/>
  <c r="G7791" i="2"/>
  <c r="H7791" i="2"/>
  <c r="G7792" i="2"/>
  <c r="H7792" i="2"/>
  <c r="G7793" i="2"/>
  <c r="H7793" i="2"/>
  <c r="G7794" i="2"/>
  <c r="H7794" i="2"/>
  <c r="G7795" i="2"/>
  <c r="H7795" i="2"/>
  <c r="G7796" i="2"/>
  <c r="H7796" i="2"/>
  <c r="G7797" i="2"/>
  <c r="H7797" i="2"/>
  <c r="G7798" i="2"/>
  <c r="H7798" i="2"/>
  <c r="G7799" i="2"/>
  <c r="H7799" i="2"/>
  <c r="G7800" i="2"/>
  <c r="H7800" i="2"/>
  <c r="G7801" i="2"/>
  <c r="H7801" i="2"/>
  <c r="G7802" i="2"/>
  <c r="H7802" i="2"/>
  <c r="G7803" i="2"/>
  <c r="H7803" i="2"/>
  <c r="G7804" i="2"/>
  <c r="H7804" i="2"/>
  <c r="G7805" i="2"/>
  <c r="H7805" i="2"/>
  <c r="G7806" i="2"/>
  <c r="H7806" i="2"/>
  <c r="G7807" i="2"/>
  <c r="H7807" i="2"/>
  <c r="G7808" i="2"/>
  <c r="H7808" i="2"/>
  <c r="G7809" i="2"/>
  <c r="H7809" i="2"/>
  <c r="G7810" i="2"/>
  <c r="H7810" i="2"/>
  <c r="G7811" i="2"/>
  <c r="H7811" i="2"/>
  <c r="G7812" i="2"/>
  <c r="H7812" i="2"/>
  <c r="G7813" i="2"/>
  <c r="H7813" i="2"/>
  <c r="G7814" i="2"/>
  <c r="H7814" i="2"/>
  <c r="G7815" i="2"/>
  <c r="H7815" i="2"/>
  <c r="G7816" i="2"/>
  <c r="H7816" i="2"/>
  <c r="G7817" i="2"/>
  <c r="H7817" i="2"/>
  <c r="G7818" i="2"/>
  <c r="H7818" i="2"/>
  <c r="G7819" i="2"/>
  <c r="H7819" i="2"/>
  <c r="G7820" i="2"/>
  <c r="H7820" i="2"/>
  <c r="G7821" i="2"/>
  <c r="H7821" i="2"/>
  <c r="G7822" i="2"/>
  <c r="H7822" i="2"/>
  <c r="G7823" i="2"/>
  <c r="H7823" i="2"/>
  <c r="G7824" i="2"/>
  <c r="H7824" i="2"/>
  <c r="G7825" i="2"/>
  <c r="H7825" i="2"/>
  <c r="G7826" i="2"/>
  <c r="H7826" i="2"/>
  <c r="G7827" i="2"/>
  <c r="H7827" i="2"/>
  <c r="G7828" i="2"/>
  <c r="H7828" i="2"/>
  <c r="G7829" i="2"/>
  <c r="H7829" i="2"/>
  <c r="G7830" i="2"/>
  <c r="H7830" i="2"/>
  <c r="G7831" i="2"/>
  <c r="H7831" i="2"/>
  <c r="G7832" i="2"/>
  <c r="H7832" i="2"/>
  <c r="G7833" i="2"/>
  <c r="H7833" i="2"/>
  <c r="G7834" i="2"/>
  <c r="H7834" i="2"/>
  <c r="G7835" i="2"/>
  <c r="H7835" i="2"/>
  <c r="G7836" i="2"/>
  <c r="H7836" i="2"/>
  <c r="G7837" i="2"/>
  <c r="H7837" i="2"/>
  <c r="G7838" i="2"/>
  <c r="H7838" i="2"/>
  <c r="G7839" i="2"/>
  <c r="H7839" i="2"/>
  <c r="G7840" i="2"/>
  <c r="H7840" i="2"/>
  <c r="G7841" i="2"/>
  <c r="H7841" i="2"/>
  <c r="G7842" i="2"/>
  <c r="H7842" i="2"/>
  <c r="G7843" i="2"/>
  <c r="H7843" i="2"/>
  <c r="G7844" i="2"/>
  <c r="H7844" i="2"/>
  <c r="G7845" i="2"/>
  <c r="H7845" i="2"/>
  <c r="G7846" i="2"/>
  <c r="H7846" i="2"/>
  <c r="G7847" i="2"/>
  <c r="H7847" i="2"/>
  <c r="G7848" i="2"/>
  <c r="H7848" i="2"/>
  <c r="G7849" i="2"/>
  <c r="H7849" i="2"/>
  <c r="G7850" i="2"/>
  <c r="H7850" i="2"/>
  <c r="G7851" i="2"/>
  <c r="H7851" i="2"/>
  <c r="G7852" i="2"/>
  <c r="H7852" i="2"/>
  <c r="G7853" i="2"/>
  <c r="H7853" i="2"/>
  <c r="G7854" i="2"/>
  <c r="H7854" i="2"/>
  <c r="G7855" i="2"/>
  <c r="H7855" i="2"/>
  <c r="G7856" i="2"/>
  <c r="H7856" i="2"/>
  <c r="G7857" i="2"/>
  <c r="H7857" i="2"/>
  <c r="G7858" i="2"/>
  <c r="H7858" i="2"/>
  <c r="G7859" i="2"/>
  <c r="H7859" i="2"/>
  <c r="G7860" i="2"/>
  <c r="H7860" i="2"/>
  <c r="G7861" i="2"/>
  <c r="H7861" i="2"/>
  <c r="G7862" i="2"/>
  <c r="H7862" i="2"/>
  <c r="G7863" i="2"/>
  <c r="H7863" i="2"/>
  <c r="G7864" i="2"/>
  <c r="H7864" i="2"/>
  <c r="G7865" i="2"/>
  <c r="H7865" i="2"/>
  <c r="G7866" i="2"/>
  <c r="H7866" i="2"/>
  <c r="G7867" i="2"/>
  <c r="H7867" i="2"/>
  <c r="G7868" i="2"/>
  <c r="H7868" i="2"/>
  <c r="G7869" i="2"/>
  <c r="H7869" i="2"/>
  <c r="G7870" i="2"/>
  <c r="H7870" i="2"/>
  <c r="G7871" i="2"/>
  <c r="H7871" i="2"/>
  <c r="G7872" i="2"/>
  <c r="H7872" i="2"/>
  <c r="G7873" i="2"/>
  <c r="H7873" i="2"/>
  <c r="G7874" i="2"/>
  <c r="H7874" i="2"/>
  <c r="G7875" i="2"/>
  <c r="H7875" i="2"/>
  <c r="G7876" i="2"/>
  <c r="H7876" i="2"/>
  <c r="G7877" i="2"/>
  <c r="H7877" i="2"/>
  <c r="G7878" i="2"/>
  <c r="H7878" i="2"/>
  <c r="G7879" i="2"/>
  <c r="H7879" i="2"/>
  <c r="G7880" i="2"/>
  <c r="H7880" i="2"/>
  <c r="G7881" i="2"/>
  <c r="H7881" i="2"/>
  <c r="G7882" i="2"/>
  <c r="H7882" i="2"/>
  <c r="G7883" i="2"/>
  <c r="H7883" i="2"/>
  <c r="G7884" i="2"/>
  <c r="H7884" i="2"/>
  <c r="G7885" i="2"/>
  <c r="H7885" i="2"/>
  <c r="G7886" i="2"/>
  <c r="H7886" i="2"/>
  <c r="G7887" i="2"/>
  <c r="H7887" i="2"/>
  <c r="G7888" i="2"/>
  <c r="H7888" i="2"/>
  <c r="G7889" i="2"/>
  <c r="H7889" i="2"/>
  <c r="G7890" i="2"/>
  <c r="H7890" i="2"/>
  <c r="G7891" i="2"/>
  <c r="H7891" i="2"/>
  <c r="G7892" i="2"/>
  <c r="H7892" i="2"/>
  <c r="G7893" i="2"/>
  <c r="H7893" i="2"/>
  <c r="G7894" i="2"/>
  <c r="H7894" i="2"/>
  <c r="G7895" i="2"/>
  <c r="H7895" i="2"/>
  <c r="G7896" i="2"/>
  <c r="H7896" i="2"/>
  <c r="G7897" i="2"/>
  <c r="H7897" i="2"/>
  <c r="G7898" i="2"/>
  <c r="H7898" i="2"/>
  <c r="G7899" i="2"/>
  <c r="H7899" i="2"/>
  <c r="G7900" i="2"/>
  <c r="H7900" i="2"/>
  <c r="G7901" i="2"/>
  <c r="H7901" i="2"/>
  <c r="G7902" i="2"/>
  <c r="H7902" i="2"/>
  <c r="G7903" i="2"/>
  <c r="H7903" i="2"/>
  <c r="G7904" i="2"/>
  <c r="H7904" i="2"/>
  <c r="G7905" i="2"/>
  <c r="H7905" i="2"/>
  <c r="G7906" i="2"/>
  <c r="H7906" i="2"/>
  <c r="G7907" i="2"/>
  <c r="H7907" i="2"/>
  <c r="G7908" i="2"/>
  <c r="H7908" i="2"/>
  <c r="G7909" i="2"/>
  <c r="H7909" i="2"/>
  <c r="G7910" i="2"/>
  <c r="H7910" i="2"/>
  <c r="G7911" i="2"/>
  <c r="H7911" i="2"/>
  <c r="G7912" i="2"/>
  <c r="H7912" i="2"/>
  <c r="G7913" i="2"/>
  <c r="H7913" i="2"/>
  <c r="G7914" i="2"/>
  <c r="H7914" i="2"/>
  <c r="G7915" i="2"/>
  <c r="H7915" i="2"/>
  <c r="G7916" i="2"/>
  <c r="H7916" i="2"/>
  <c r="G7917" i="2"/>
  <c r="H7917" i="2"/>
  <c r="G7918" i="2"/>
  <c r="H7918" i="2"/>
  <c r="G7919" i="2"/>
  <c r="H7919" i="2"/>
  <c r="G7920" i="2"/>
  <c r="H7920" i="2"/>
  <c r="G7921" i="2"/>
  <c r="H7921" i="2"/>
  <c r="G7922" i="2"/>
  <c r="H7922" i="2"/>
  <c r="G7923" i="2"/>
  <c r="H7923" i="2"/>
  <c r="G7924" i="2"/>
  <c r="H7924" i="2"/>
  <c r="G7925" i="2"/>
  <c r="H7925" i="2"/>
  <c r="G7926" i="2"/>
  <c r="H7926" i="2"/>
  <c r="G7927" i="2"/>
  <c r="H7927" i="2"/>
  <c r="G7928" i="2"/>
  <c r="H7928" i="2"/>
  <c r="G7929" i="2"/>
  <c r="H7929" i="2"/>
  <c r="G7930" i="2"/>
  <c r="H7930" i="2"/>
  <c r="G7931" i="2"/>
  <c r="H7931" i="2"/>
  <c r="G7932" i="2"/>
  <c r="H7932" i="2"/>
  <c r="G7933" i="2"/>
  <c r="H7933" i="2"/>
  <c r="G7934" i="2"/>
  <c r="H7934" i="2"/>
  <c r="G7935" i="2"/>
  <c r="H7935" i="2"/>
  <c r="G7936" i="2"/>
  <c r="H7936" i="2"/>
  <c r="G7937" i="2"/>
  <c r="H7937" i="2"/>
  <c r="G7938" i="2"/>
  <c r="H7938" i="2"/>
  <c r="G7939" i="2"/>
  <c r="H7939" i="2"/>
  <c r="G7940" i="2"/>
  <c r="H7940" i="2"/>
  <c r="G7941" i="2"/>
  <c r="H7941" i="2"/>
  <c r="G7942" i="2"/>
  <c r="H7942" i="2"/>
  <c r="G7943" i="2"/>
  <c r="H7943" i="2"/>
  <c r="G7944" i="2"/>
  <c r="H7944" i="2"/>
  <c r="G7945" i="2"/>
  <c r="H7945" i="2"/>
  <c r="G7946" i="2"/>
  <c r="H7946" i="2"/>
  <c r="G7947" i="2"/>
  <c r="H7947" i="2"/>
  <c r="G7948" i="2"/>
  <c r="H7948" i="2"/>
  <c r="G7949" i="2"/>
  <c r="H7949" i="2"/>
  <c r="G7950" i="2"/>
  <c r="H7950" i="2"/>
  <c r="G7951" i="2"/>
  <c r="H7951" i="2"/>
  <c r="G7952" i="2"/>
  <c r="H7952" i="2"/>
  <c r="G7953" i="2"/>
  <c r="H7953" i="2"/>
  <c r="G7954" i="2"/>
  <c r="H7954" i="2"/>
  <c r="G7955" i="2"/>
  <c r="H7955" i="2"/>
  <c r="G7956" i="2"/>
  <c r="H7956" i="2"/>
  <c r="G7957" i="2"/>
  <c r="H7957" i="2"/>
  <c r="G7958" i="2"/>
  <c r="H7958" i="2"/>
  <c r="G7959" i="2"/>
  <c r="H7959" i="2"/>
  <c r="G7960" i="2"/>
  <c r="H7960" i="2"/>
  <c r="G7961" i="2"/>
  <c r="H7961" i="2"/>
  <c r="G7962" i="2"/>
  <c r="H7962" i="2"/>
  <c r="G7963" i="2"/>
  <c r="H7963" i="2"/>
  <c r="G7964" i="2"/>
  <c r="H7964" i="2"/>
  <c r="G7965" i="2"/>
  <c r="H7965" i="2"/>
  <c r="G7966" i="2"/>
  <c r="H7966" i="2"/>
  <c r="G7967" i="2"/>
  <c r="H7967" i="2"/>
  <c r="G7968" i="2"/>
  <c r="H7968" i="2"/>
  <c r="G7969" i="2"/>
  <c r="H7969" i="2"/>
  <c r="G7970" i="2"/>
  <c r="H7970" i="2"/>
  <c r="G7971" i="2"/>
  <c r="H7971" i="2"/>
  <c r="G7972" i="2"/>
  <c r="H7972" i="2"/>
  <c r="G7973" i="2"/>
  <c r="H7973" i="2"/>
  <c r="G7974" i="2"/>
  <c r="H7974" i="2"/>
  <c r="G7975" i="2"/>
  <c r="H7975" i="2"/>
  <c r="G7976" i="2"/>
  <c r="H7976" i="2"/>
  <c r="G7977" i="2"/>
  <c r="H7977" i="2"/>
  <c r="G7978" i="2"/>
  <c r="H7978" i="2"/>
  <c r="G7979" i="2"/>
  <c r="H7979" i="2"/>
  <c r="G7980" i="2"/>
  <c r="H7980" i="2"/>
  <c r="G7981" i="2"/>
  <c r="H7981" i="2"/>
  <c r="G7982" i="2"/>
  <c r="H7982" i="2"/>
  <c r="G7983" i="2"/>
  <c r="H7983" i="2"/>
  <c r="G7984" i="2"/>
  <c r="H7984" i="2"/>
  <c r="G7985" i="2"/>
  <c r="H7985" i="2"/>
  <c r="G7986" i="2"/>
  <c r="H7986" i="2"/>
  <c r="G7987" i="2"/>
  <c r="H7987" i="2"/>
  <c r="G7988" i="2"/>
  <c r="H7988" i="2"/>
  <c r="G7989" i="2"/>
  <c r="H7989" i="2"/>
  <c r="G7990" i="2"/>
  <c r="H7990" i="2"/>
  <c r="G7991" i="2"/>
  <c r="H7991" i="2"/>
  <c r="G7992" i="2"/>
  <c r="H7992" i="2"/>
  <c r="G7993" i="2"/>
  <c r="H7993" i="2"/>
  <c r="G7994" i="2"/>
  <c r="H7994" i="2"/>
  <c r="G7995" i="2"/>
  <c r="H7995" i="2"/>
  <c r="G7996" i="2"/>
  <c r="H7996" i="2"/>
  <c r="G7997" i="2"/>
  <c r="H7997" i="2"/>
  <c r="G7998" i="2"/>
  <c r="H7998" i="2"/>
  <c r="G7999" i="2"/>
  <c r="H7999" i="2"/>
  <c r="G8000" i="2"/>
  <c r="H8000" i="2"/>
  <c r="G8001" i="2"/>
  <c r="H8001" i="2"/>
  <c r="G8002" i="2"/>
  <c r="H8002" i="2"/>
  <c r="G8003" i="2"/>
  <c r="H8003" i="2"/>
  <c r="G8004" i="2"/>
  <c r="H8004" i="2"/>
  <c r="G8005" i="2"/>
  <c r="H8005" i="2"/>
  <c r="G8006" i="2"/>
  <c r="H8006" i="2"/>
  <c r="G8007" i="2"/>
  <c r="H8007" i="2"/>
  <c r="G8008" i="2"/>
  <c r="H8008" i="2"/>
  <c r="G8009" i="2"/>
  <c r="H8009" i="2"/>
  <c r="G8010" i="2"/>
  <c r="H8010" i="2"/>
  <c r="G8011" i="2"/>
  <c r="H8011" i="2"/>
  <c r="G8012" i="2"/>
  <c r="H8012" i="2"/>
  <c r="G8013" i="2"/>
  <c r="H8013" i="2"/>
  <c r="G8014" i="2"/>
  <c r="H8014" i="2"/>
  <c r="G8015" i="2"/>
  <c r="H8015" i="2"/>
  <c r="G8016" i="2"/>
  <c r="H8016" i="2"/>
  <c r="G8017" i="2"/>
  <c r="H8017" i="2"/>
  <c r="G8018" i="2"/>
  <c r="H8018" i="2"/>
  <c r="G8019" i="2"/>
  <c r="H8019" i="2"/>
  <c r="G8020" i="2"/>
  <c r="H8020" i="2"/>
  <c r="G8021" i="2"/>
  <c r="H8021" i="2"/>
  <c r="G8022" i="2"/>
  <c r="H8022" i="2"/>
  <c r="G8023" i="2"/>
  <c r="H8023" i="2"/>
  <c r="G8024" i="2"/>
  <c r="H8024" i="2"/>
  <c r="G8025" i="2"/>
  <c r="H8025" i="2"/>
  <c r="G8026" i="2"/>
  <c r="H8026" i="2"/>
  <c r="G8027" i="2"/>
  <c r="H8027" i="2"/>
  <c r="G8028" i="2"/>
  <c r="H8028" i="2"/>
  <c r="G8029" i="2"/>
  <c r="H8029" i="2"/>
  <c r="G8030" i="2"/>
  <c r="H8030" i="2"/>
  <c r="G8031" i="2"/>
  <c r="H8031" i="2"/>
  <c r="G8032" i="2"/>
  <c r="H8032" i="2"/>
  <c r="G8033" i="2"/>
  <c r="H8033" i="2"/>
  <c r="G8034" i="2"/>
  <c r="H8034" i="2"/>
  <c r="G8035" i="2"/>
  <c r="H8035" i="2"/>
  <c r="G8036" i="2"/>
  <c r="H8036" i="2"/>
  <c r="G8037" i="2"/>
  <c r="H8037" i="2"/>
  <c r="G8038" i="2"/>
  <c r="H8038" i="2"/>
  <c r="G8039" i="2"/>
  <c r="H8039" i="2"/>
  <c r="G8040" i="2"/>
  <c r="H8040" i="2"/>
  <c r="G8041" i="2"/>
  <c r="H8041" i="2"/>
  <c r="G8042" i="2"/>
  <c r="H8042" i="2"/>
  <c r="G8043" i="2"/>
  <c r="H8043" i="2"/>
  <c r="G8044" i="2"/>
  <c r="H8044" i="2"/>
  <c r="G8045" i="2"/>
  <c r="H8045" i="2"/>
  <c r="G8046" i="2"/>
  <c r="H8046" i="2"/>
  <c r="G8047" i="2"/>
  <c r="H8047" i="2"/>
  <c r="G8048" i="2"/>
  <c r="H8048" i="2"/>
  <c r="G8049" i="2"/>
  <c r="H8049" i="2"/>
  <c r="G8050" i="2"/>
  <c r="H8050" i="2"/>
  <c r="G8051" i="2"/>
  <c r="H8051" i="2"/>
  <c r="G8052" i="2"/>
  <c r="H8052" i="2"/>
  <c r="G8053" i="2"/>
  <c r="H8053" i="2"/>
  <c r="G8054" i="2"/>
  <c r="H8054" i="2"/>
  <c r="G8055" i="2"/>
  <c r="H8055" i="2"/>
  <c r="G8056" i="2"/>
  <c r="H8056" i="2"/>
  <c r="G8057" i="2"/>
  <c r="H8057" i="2"/>
  <c r="G8058" i="2"/>
  <c r="H8058" i="2"/>
  <c r="G8059" i="2"/>
  <c r="H8059" i="2"/>
  <c r="G8060" i="2"/>
  <c r="H8060" i="2"/>
  <c r="G8061" i="2"/>
  <c r="H8061" i="2"/>
  <c r="G8062" i="2"/>
  <c r="H8062" i="2"/>
  <c r="G8063" i="2"/>
  <c r="H8063" i="2"/>
  <c r="G8064" i="2"/>
  <c r="H8064" i="2"/>
  <c r="G8065" i="2"/>
  <c r="H8065" i="2"/>
  <c r="G8066" i="2"/>
  <c r="H8066" i="2"/>
  <c r="G8067" i="2"/>
  <c r="H8067" i="2"/>
  <c r="G8068" i="2"/>
  <c r="H8068" i="2"/>
  <c r="G8069" i="2"/>
  <c r="H8069" i="2"/>
  <c r="G8070" i="2"/>
  <c r="H8070" i="2"/>
  <c r="G8071" i="2"/>
  <c r="H8071" i="2"/>
  <c r="G8072" i="2"/>
  <c r="H8072" i="2"/>
  <c r="G8073" i="2"/>
  <c r="H8073" i="2"/>
  <c r="G8074" i="2"/>
  <c r="H8074" i="2"/>
  <c r="G8075" i="2"/>
  <c r="H8075" i="2"/>
  <c r="G8076" i="2"/>
  <c r="H8076" i="2"/>
  <c r="G8077" i="2"/>
  <c r="H8077" i="2"/>
  <c r="G8078" i="2"/>
  <c r="H8078" i="2"/>
  <c r="G8079" i="2"/>
  <c r="H8079" i="2"/>
  <c r="G8080" i="2"/>
  <c r="H8080" i="2"/>
  <c r="G8081" i="2"/>
  <c r="H8081" i="2"/>
  <c r="G8082" i="2"/>
  <c r="H8082" i="2"/>
  <c r="G8083" i="2"/>
  <c r="H8083" i="2"/>
  <c r="G8084" i="2"/>
  <c r="H8084" i="2"/>
  <c r="G8085" i="2"/>
  <c r="H8085" i="2"/>
  <c r="G8086" i="2"/>
  <c r="H8086" i="2"/>
  <c r="G8087" i="2"/>
  <c r="H8087" i="2"/>
  <c r="G8088" i="2"/>
  <c r="H8088" i="2"/>
  <c r="G8089" i="2"/>
  <c r="H8089" i="2"/>
  <c r="G8090" i="2"/>
  <c r="H8090" i="2"/>
  <c r="G8091" i="2"/>
  <c r="H8091" i="2"/>
  <c r="G8092" i="2"/>
  <c r="H8092" i="2"/>
  <c r="G8093" i="2"/>
  <c r="H8093" i="2"/>
  <c r="G8094" i="2"/>
  <c r="H8094" i="2"/>
  <c r="G8095" i="2"/>
  <c r="H8095" i="2"/>
  <c r="G8096" i="2"/>
  <c r="H8096" i="2"/>
  <c r="G8097" i="2"/>
  <c r="H8097" i="2"/>
  <c r="G8098" i="2"/>
  <c r="H8098" i="2"/>
  <c r="G8099" i="2"/>
  <c r="H8099" i="2"/>
  <c r="G8100" i="2"/>
  <c r="H8100" i="2"/>
  <c r="G8101" i="2"/>
  <c r="H8101" i="2"/>
  <c r="G8102" i="2"/>
  <c r="H8102" i="2"/>
  <c r="G8103" i="2"/>
  <c r="H8103" i="2"/>
  <c r="G8104" i="2"/>
  <c r="H8104" i="2"/>
  <c r="G8105" i="2"/>
  <c r="H8105" i="2"/>
  <c r="G8106" i="2"/>
  <c r="H8106" i="2"/>
  <c r="G8107" i="2"/>
  <c r="H8107" i="2"/>
  <c r="G8108" i="2"/>
  <c r="H8108" i="2"/>
  <c r="G8109" i="2"/>
  <c r="H8109" i="2"/>
  <c r="G8110" i="2"/>
  <c r="H8110" i="2"/>
  <c r="G8111" i="2"/>
  <c r="H8111" i="2"/>
  <c r="G8112" i="2"/>
  <c r="H8112" i="2"/>
  <c r="G8113" i="2"/>
  <c r="H8113" i="2"/>
  <c r="G8114" i="2"/>
  <c r="H8114" i="2"/>
  <c r="G8115" i="2"/>
  <c r="H8115" i="2"/>
  <c r="G8116" i="2"/>
  <c r="H8116" i="2"/>
  <c r="G8117" i="2"/>
  <c r="H8117" i="2"/>
  <c r="G8118" i="2"/>
  <c r="H8118" i="2"/>
  <c r="G8119" i="2"/>
  <c r="H8119" i="2"/>
  <c r="G8120" i="2"/>
  <c r="H8120" i="2"/>
  <c r="G8121" i="2"/>
  <c r="H8121" i="2"/>
  <c r="G8122" i="2"/>
  <c r="H8122" i="2"/>
  <c r="G8123" i="2"/>
  <c r="H8123" i="2"/>
  <c r="G8124" i="2"/>
  <c r="H8124" i="2"/>
  <c r="G8125" i="2"/>
  <c r="H8125" i="2"/>
  <c r="G8126" i="2"/>
  <c r="H8126" i="2"/>
  <c r="G8127" i="2"/>
  <c r="H8127" i="2"/>
  <c r="G8128" i="2"/>
  <c r="H8128" i="2"/>
  <c r="G8129" i="2"/>
  <c r="H8129" i="2"/>
  <c r="G8130" i="2"/>
  <c r="H8130" i="2"/>
  <c r="G8131" i="2"/>
  <c r="H8131" i="2"/>
  <c r="G8132" i="2"/>
  <c r="H8132" i="2"/>
  <c r="G8133" i="2"/>
  <c r="H8133" i="2"/>
  <c r="G8134" i="2"/>
  <c r="H8134" i="2"/>
  <c r="G8135" i="2"/>
  <c r="H8135" i="2"/>
  <c r="G8136" i="2"/>
  <c r="H8136" i="2"/>
  <c r="G8137" i="2"/>
  <c r="H8137" i="2"/>
  <c r="G8138" i="2"/>
  <c r="H8138" i="2"/>
  <c r="G8139" i="2"/>
  <c r="H8139" i="2"/>
  <c r="G8140" i="2"/>
  <c r="H8140" i="2"/>
  <c r="G8141" i="2"/>
  <c r="H8141" i="2"/>
  <c r="G8142" i="2"/>
  <c r="H8142" i="2"/>
  <c r="G8143" i="2"/>
  <c r="H8143" i="2"/>
  <c r="G8144" i="2"/>
  <c r="H8144" i="2"/>
  <c r="G8145" i="2"/>
  <c r="H8145" i="2"/>
  <c r="G8146" i="2"/>
  <c r="H8146" i="2"/>
  <c r="G8147" i="2"/>
  <c r="H8147" i="2"/>
  <c r="G8148" i="2"/>
  <c r="H8148" i="2"/>
  <c r="G8149" i="2"/>
  <c r="H8149" i="2"/>
  <c r="G8150" i="2"/>
  <c r="H8150" i="2"/>
  <c r="G8151" i="2"/>
  <c r="H8151" i="2"/>
  <c r="G8152" i="2"/>
  <c r="H8152" i="2"/>
  <c r="G8153" i="2"/>
  <c r="H8153" i="2"/>
  <c r="G8154" i="2"/>
  <c r="H8154" i="2"/>
  <c r="G8155" i="2"/>
  <c r="H8155" i="2"/>
  <c r="G8156" i="2"/>
  <c r="H8156" i="2"/>
  <c r="G8157" i="2"/>
  <c r="H8157" i="2"/>
  <c r="G8158" i="2"/>
  <c r="H8158" i="2"/>
  <c r="G8159" i="2"/>
  <c r="H8159" i="2"/>
  <c r="G8160" i="2"/>
  <c r="H8160" i="2"/>
  <c r="G8161" i="2"/>
  <c r="H8161" i="2"/>
  <c r="G8162" i="2"/>
  <c r="H8162" i="2"/>
  <c r="G8163" i="2"/>
  <c r="H8163" i="2"/>
  <c r="G8164" i="2"/>
  <c r="H8164" i="2"/>
  <c r="G8165" i="2"/>
  <c r="H8165" i="2"/>
  <c r="G8166" i="2"/>
  <c r="H8166" i="2"/>
  <c r="G8167" i="2"/>
  <c r="H8167" i="2"/>
  <c r="G8168" i="2"/>
  <c r="H8168" i="2"/>
  <c r="G8169" i="2"/>
  <c r="H8169" i="2"/>
  <c r="G8170" i="2"/>
  <c r="H8170" i="2"/>
  <c r="G8171" i="2"/>
  <c r="H8171" i="2"/>
  <c r="G8172" i="2"/>
  <c r="H8172" i="2"/>
  <c r="G8173" i="2"/>
  <c r="H8173" i="2"/>
  <c r="G8174" i="2"/>
  <c r="H8174" i="2"/>
  <c r="G8175" i="2"/>
  <c r="H8175" i="2"/>
  <c r="G8176" i="2"/>
  <c r="H8176" i="2"/>
  <c r="G8177" i="2"/>
  <c r="H8177" i="2"/>
  <c r="G8178" i="2"/>
  <c r="H8178" i="2"/>
  <c r="G8179" i="2"/>
  <c r="H8179" i="2"/>
  <c r="G8180" i="2"/>
  <c r="H8180" i="2"/>
  <c r="G8181" i="2"/>
  <c r="H8181" i="2"/>
  <c r="G8182" i="2"/>
  <c r="H8182" i="2"/>
  <c r="G8183" i="2"/>
  <c r="H8183" i="2"/>
  <c r="G8184" i="2"/>
  <c r="H8184" i="2"/>
  <c r="G8185" i="2"/>
  <c r="H8185" i="2"/>
  <c r="G8186" i="2"/>
  <c r="H8186" i="2"/>
  <c r="G8187" i="2"/>
  <c r="H8187" i="2"/>
  <c r="G8188" i="2"/>
  <c r="H8188" i="2"/>
  <c r="G8189" i="2"/>
  <c r="H8189" i="2"/>
  <c r="G8190" i="2"/>
  <c r="H8190" i="2"/>
  <c r="G8191" i="2"/>
  <c r="H8191" i="2"/>
  <c r="G8192" i="2"/>
  <c r="H8192" i="2"/>
  <c r="G8193" i="2"/>
  <c r="H8193" i="2"/>
  <c r="G8194" i="2"/>
  <c r="H8194" i="2"/>
  <c r="G8195" i="2"/>
  <c r="H8195" i="2"/>
  <c r="G8196" i="2"/>
  <c r="H8196" i="2"/>
  <c r="G8197" i="2"/>
  <c r="H8197" i="2"/>
  <c r="G8198" i="2"/>
  <c r="H8198" i="2"/>
  <c r="G8199" i="2"/>
  <c r="H8199" i="2"/>
  <c r="G8200" i="2"/>
  <c r="H8200" i="2"/>
  <c r="G8201" i="2"/>
  <c r="H8201" i="2"/>
  <c r="G8202" i="2"/>
  <c r="H8202" i="2"/>
  <c r="G8203" i="2"/>
  <c r="H8203" i="2"/>
  <c r="G8204" i="2"/>
  <c r="H8204" i="2"/>
  <c r="G8205" i="2"/>
  <c r="H8205" i="2"/>
  <c r="G8206" i="2"/>
  <c r="H8206" i="2"/>
  <c r="G8207" i="2"/>
  <c r="H8207" i="2"/>
  <c r="G8208" i="2"/>
  <c r="H8208" i="2"/>
  <c r="G8209" i="2"/>
  <c r="H8209" i="2"/>
  <c r="G8210" i="2"/>
  <c r="H8210" i="2"/>
  <c r="G8211" i="2"/>
  <c r="H8211" i="2"/>
  <c r="G8212" i="2"/>
  <c r="H8212" i="2"/>
  <c r="G8213" i="2"/>
  <c r="H8213" i="2"/>
  <c r="G8214" i="2"/>
  <c r="H8214" i="2"/>
  <c r="G8215" i="2"/>
  <c r="H8215" i="2"/>
  <c r="G8216" i="2"/>
  <c r="H8216" i="2"/>
  <c r="G8217" i="2"/>
  <c r="H8217" i="2"/>
  <c r="G8218" i="2"/>
  <c r="H8218" i="2"/>
  <c r="G8219" i="2"/>
  <c r="H8219" i="2"/>
  <c r="G8220" i="2"/>
  <c r="H8220" i="2"/>
  <c r="G8221" i="2"/>
  <c r="H8221" i="2"/>
  <c r="G8222" i="2"/>
  <c r="H8222" i="2"/>
  <c r="G8223" i="2"/>
  <c r="H8223" i="2"/>
  <c r="G8224" i="2"/>
  <c r="H8224" i="2"/>
  <c r="G8225" i="2"/>
  <c r="H8225" i="2"/>
  <c r="G8226" i="2"/>
  <c r="H8226" i="2"/>
  <c r="G8227" i="2"/>
  <c r="H8227" i="2"/>
  <c r="G8228" i="2"/>
  <c r="H8228" i="2"/>
  <c r="G8229" i="2"/>
  <c r="H8229" i="2"/>
  <c r="G8230" i="2"/>
  <c r="H8230" i="2"/>
  <c r="G8231" i="2"/>
  <c r="H8231" i="2"/>
  <c r="G8232" i="2"/>
  <c r="H8232" i="2"/>
  <c r="G8233" i="2"/>
  <c r="H8233" i="2"/>
  <c r="G8234" i="2"/>
  <c r="H8234" i="2"/>
  <c r="G8235" i="2"/>
  <c r="H8235" i="2"/>
  <c r="G8236" i="2"/>
  <c r="H8236" i="2"/>
  <c r="G8237" i="2"/>
  <c r="H8237" i="2"/>
  <c r="G8238" i="2"/>
  <c r="H8238" i="2"/>
  <c r="G8239" i="2"/>
  <c r="H8239" i="2"/>
  <c r="G8240" i="2"/>
  <c r="H8240" i="2"/>
  <c r="G8241" i="2"/>
  <c r="H8241" i="2"/>
  <c r="G8242" i="2"/>
  <c r="H8242" i="2"/>
  <c r="G8243" i="2"/>
  <c r="H8243" i="2"/>
  <c r="G8244" i="2"/>
  <c r="H8244" i="2"/>
  <c r="G8245" i="2"/>
  <c r="H8245" i="2"/>
  <c r="G8246" i="2"/>
  <c r="H8246" i="2"/>
  <c r="G8247" i="2"/>
  <c r="H8247" i="2"/>
  <c r="G8248" i="2"/>
  <c r="H8248" i="2"/>
  <c r="G8249" i="2"/>
  <c r="H8249" i="2"/>
  <c r="G8250" i="2"/>
  <c r="H8250" i="2"/>
  <c r="G8251" i="2"/>
  <c r="H8251" i="2"/>
  <c r="G8252" i="2"/>
  <c r="H8252" i="2"/>
  <c r="G8253" i="2"/>
  <c r="H8253" i="2"/>
  <c r="G8254" i="2"/>
  <c r="H8254" i="2"/>
  <c r="G8255" i="2"/>
  <c r="H8255" i="2"/>
  <c r="G8256" i="2"/>
  <c r="H8256" i="2"/>
  <c r="G8257" i="2"/>
  <c r="H8257" i="2"/>
  <c r="G8258" i="2"/>
  <c r="H8258" i="2"/>
  <c r="G8259" i="2"/>
  <c r="H8259" i="2"/>
  <c r="G8260" i="2"/>
  <c r="H8260" i="2"/>
  <c r="G8261" i="2"/>
  <c r="H8261" i="2"/>
  <c r="G8262" i="2"/>
  <c r="H8262" i="2"/>
  <c r="G8263" i="2"/>
  <c r="H8263" i="2"/>
  <c r="G8264" i="2"/>
  <c r="H8264" i="2"/>
  <c r="G8265" i="2"/>
  <c r="H8265" i="2"/>
  <c r="G8266" i="2"/>
  <c r="H8266" i="2"/>
  <c r="G8267" i="2"/>
  <c r="H8267" i="2"/>
  <c r="G8268" i="2"/>
  <c r="H8268" i="2"/>
  <c r="G8269" i="2"/>
  <c r="H8269" i="2"/>
  <c r="G8270" i="2"/>
  <c r="H8270" i="2"/>
  <c r="G8271" i="2"/>
  <c r="H8271" i="2"/>
  <c r="G8272" i="2"/>
  <c r="H8272" i="2"/>
  <c r="G8273" i="2"/>
  <c r="H8273" i="2"/>
  <c r="G8274" i="2"/>
  <c r="H8274" i="2"/>
  <c r="G8275" i="2"/>
  <c r="H8275" i="2"/>
  <c r="G8276" i="2"/>
  <c r="H8276" i="2"/>
  <c r="G8277" i="2"/>
  <c r="H8277" i="2"/>
  <c r="G8278" i="2"/>
  <c r="H8278" i="2"/>
  <c r="G8279" i="2"/>
  <c r="H8279" i="2"/>
  <c r="G8280" i="2"/>
  <c r="H8280" i="2"/>
  <c r="G8281" i="2"/>
  <c r="H8281" i="2"/>
  <c r="G8282" i="2"/>
  <c r="H8282" i="2"/>
  <c r="G8283" i="2"/>
  <c r="H8283" i="2"/>
  <c r="G8284" i="2"/>
  <c r="H8284" i="2"/>
  <c r="G8285" i="2"/>
  <c r="H8285" i="2"/>
  <c r="G8286" i="2"/>
  <c r="H8286" i="2"/>
  <c r="G8287" i="2"/>
  <c r="H8287" i="2"/>
  <c r="G8288" i="2"/>
  <c r="H8288" i="2"/>
  <c r="G8289" i="2"/>
  <c r="H8289" i="2"/>
  <c r="G8290" i="2"/>
  <c r="H8290" i="2"/>
  <c r="G8291" i="2"/>
  <c r="H8291" i="2"/>
  <c r="G8292" i="2"/>
  <c r="H8292" i="2"/>
  <c r="G8293" i="2"/>
  <c r="H8293" i="2"/>
  <c r="G8294" i="2"/>
  <c r="H8294" i="2"/>
  <c r="G8295" i="2"/>
  <c r="H8295" i="2"/>
  <c r="G8296" i="2"/>
  <c r="H8296" i="2"/>
  <c r="G8297" i="2"/>
  <c r="H8297" i="2"/>
  <c r="G8298" i="2"/>
  <c r="H8298" i="2"/>
  <c r="G8299" i="2"/>
  <c r="H8299" i="2"/>
  <c r="G8300" i="2"/>
  <c r="H8300" i="2"/>
  <c r="G8301" i="2"/>
  <c r="H8301" i="2"/>
  <c r="G8302" i="2"/>
  <c r="H8302" i="2"/>
  <c r="G8303" i="2"/>
  <c r="H8303" i="2"/>
  <c r="G8304" i="2"/>
  <c r="H8304" i="2"/>
  <c r="G8305" i="2"/>
  <c r="H8305" i="2"/>
  <c r="G8306" i="2"/>
  <c r="H8306" i="2"/>
  <c r="G8307" i="2"/>
  <c r="H8307" i="2"/>
  <c r="G8308" i="2"/>
  <c r="H8308" i="2"/>
  <c r="G8309" i="2"/>
  <c r="H8309" i="2"/>
  <c r="G8310" i="2"/>
  <c r="H8310" i="2"/>
  <c r="G8311" i="2"/>
  <c r="H8311" i="2"/>
  <c r="G8312" i="2"/>
  <c r="H8312" i="2"/>
  <c r="G8313" i="2"/>
  <c r="H8313" i="2"/>
  <c r="G8314" i="2"/>
  <c r="H8314" i="2"/>
  <c r="G8315" i="2"/>
  <c r="H8315" i="2"/>
  <c r="G8316" i="2"/>
  <c r="H8316" i="2"/>
  <c r="G8317" i="2"/>
  <c r="H8317" i="2"/>
  <c r="G8318" i="2"/>
  <c r="H8318" i="2"/>
  <c r="G8319" i="2"/>
  <c r="H8319" i="2"/>
  <c r="G8320" i="2"/>
  <c r="H8320" i="2"/>
  <c r="G8321" i="2"/>
  <c r="H8321" i="2"/>
  <c r="G8322" i="2"/>
  <c r="H8322" i="2"/>
  <c r="G8323" i="2"/>
  <c r="H8323" i="2"/>
  <c r="G8324" i="2"/>
  <c r="H8324" i="2"/>
  <c r="G8325" i="2"/>
  <c r="H8325" i="2"/>
  <c r="G8326" i="2"/>
  <c r="H8326" i="2"/>
  <c r="G8327" i="2"/>
  <c r="H8327" i="2"/>
  <c r="G8328" i="2"/>
  <c r="H8328" i="2"/>
  <c r="G8329" i="2"/>
  <c r="H8329" i="2"/>
  <c r="G8330" i="2"/>
  <c r="H8330" i="2"/>
  <c r="G8331" i="2"/>
  <c r="H8331" i="2"/>
  <c r="G8332" i="2"/>
  <c r="H8332" i="2"/>
  <c r="G8333" i="2"/>
  <c r="H8333" i="2"/>
  <c r="G8334" i="2"/>
  <c r="H8334" i="2"/>
  <c r="G8335" i="2"/>
  <c r="H8335" i="2"/>
  <c r="G8336" i="2"/>
  <c r="H8336" i="2"/>
  <c r="G8337" i="2"/>
  <c r="H8337" i="2"/>
  <c r="G8338" i="2"/>
  <c r="H8338" i="2"/>
  <c r="G8339" i="2"/>
  <c r="H8339" i="2"/>
  <c r="G8340" i="2"/>
  <c r="H8340" i="2"/>
  <c r="G8341" i="2"/>
  <c r="H8341" i="2"/>
  <c r="G8342" i="2"/>
  <c r="H8342" i="2"/>
  <c r="G8343" i="2"/>
  <c r="H8343" i="2"/>
  <c r="G8344" i="2"/>
  <c r="H8344" i="2"/>
  <c r="G8345" i="2"/>
  <c r="H8345" i="2"/>
  <c r="G8346" i="2"/>
  <c r="H8346" i="2"/>
  <c r="G8347" i="2"/>
  <c r="H8347" i="2"/>
  <c r="G8348" i="2"/>
  <c r="H8348" i="2"/>
  <c r="G8349" i="2"/>
  <c r="H8349" i="2"/>
  <c r="G8350" i="2"/>
  <c r="H8350" i="2"/>
  <c r="G8351" i="2"/>
  <c r="H8351" i="2"/>
  <c r="G8352" i="2"/>
  <c r="H8352" i="2"/>
  <c r="G8353" i="2"/>
  <c r="H8353" i="2"/>
  <c r="G8354" i="2"/>
  <c r="H8354" i="2"/>
  <c r="G8355" i="2"/>
  <c r="H8355" i="2"/>
  <c r="G8356" i="2"/>
  <c r="H8356" i="2"/>
  <c r="G8357" i="2"/>
  <c r="H8357" i="2"/>
  <c r="G8358" i="2"/>
  <c r="H8358" i="2"/>
  <c r="G8359" i="2"/>
  <c r="H8359" i="2"/>
  <c r="G8360" i="2"/>
  <c r="H8360" i="2"/>
  <c r="G8361" i="2"/>
  <c r="H8361" i="2"/>
  <c r="G8362" i="2"/>
  <c r="H8362" i="2"/>
  <c r="G8363" i="2"/>
  <c r="H8363" i="2"/>
  <c r="G8364" i="2"/>
  <c r="H8364" i="2"/>
  <c r="G8365" i="2"/>
  <c r="H8365" i="2"/>
  <c r="G8366" i="2"/>
  <c r="H8366" i="2"/>
  <c r="G8367" i="2"/>
  <c r="H8367" i="2"/>
  <c r="G8368" i="2"/>
  <c r="H8368" i="2"/>
  <c r="G8369" i="2"/>
  <c r="H8369" i="2"/>
  <c r="G8370" i="2"/>
  <c r="H8370" i="2"/>
  <c r="G8371" i="2"/>
  <c r="H8371" i="2"/>
  <c r="G8372" i="2"/>
  <c r="H8372" i="2"/>
  <c r="G8373" i="2"/>
  <c r="H8373" i="2"/>
  <c r="G8374" i="2"/>
  <c r="H8374" i="2"/>
  <c r="G8375" i="2"/>
  <c r="H8375" i="2"/>
  <c r="G8376" i="2"/>
  <c r="H8376" i="2"/>
  <c r="G8377" i="2"/>
  <c r="H8377" i="2"/>
  <c r="G8378" i="2"/>
  <c r="H8378" i="2"/>
  <c r="G8379" i="2"/>
  <c r="H8379" i="2"/>
  <c r="G8380" i="2"/>
  <c r="H8380" i="2"/>
  <c r="G8381" i="2"/>
  <c r="H8381" i="2"/>
  <c r="G8382" i="2"/>
  <c r="H8382" i="2"/>
  <c r="G8383" i="2"/>
  <c r="H8383" i="2"/>
  <c r="G8384" i="2"/>
  <c r="H8384" i="2"/>
  <c r="G8385" i="2"/>
  <c r="H8385" i="2"/>
  <c r="G8386" i="2"/>
  <c r="H8386" i="2"/>
  <c r="G8387" i="2"/>
  <c r="H8387" i="2"/>
  <c r="G8388" i="2"/>
  <c r="H8388" i="2"/>
  <c r="G8389" i="2"/>
  <c r="H8389" i="2"/>
  <c r="G8390" i="2"/>
  <c r="H8390" i="2"/>
  <c r="G8391" i="2"/>
  <c r="H8391" i="2"/>
  <c r="G8392" i="2"/>
  <c r="H8392" i="2"/>
  <c r="G8393" i="2"/>
  <c r="H8393" i="2"/>
  <c r="G8394" i="2"/>
  <c r="H8394" i="2"/>
  <c r="G8395" i="2"/>
  <c r="H8395" i="2"/>
  <c r="G8396" i="2"/>
  <c r="H8396" i="2"/>
  <c r="G8397" i="2"/>
  <c r="H8397" i="2"/>
  <c r="G8398" i="2"/>
  <c r="H8398" i="2"/>
  <c r="G8399" i="2"/>
  <c r="H8399" i="2"/>
  <c r="G8400" i="2"/>
  <c r="H8400" i="2"/>
  <c r="G8401" i="2"/>
  <c r="H8401" i="2"/>
  <c r="G8402" i="2"/>
  <c r="H8402" i="2"/>
  <c r="G8403" i="2"/>
  <c r="H8403" i="2"/>
  <c r="G8404" i="2"/>
  <c r="H8404" i="2"/>
  <c r="G8405" i="2"/>
  <c r="H8405" i="2"/>
  <c r="G8406" i="2"/>
  <c r="H8406" i="2"/>
  <c r="G8407" i="2"/>
  <c r="H8407" i="2"/>
  <c r="G8408" i="2"/>
  <c r="H8408" i="2"/>
  <c r="G8409" i="2"/>
  <c r="H8409" i="2"/>
  <c r="G8410" i="2"/>
  <c r="H8410" i="2"/>
  <c r="G8411" i="2"/>
  <c r="H8411" i="2"/>
  <c r="G8412" i="2"/>
  <c r="H8412" i="2"/>
  <c r="G8413" i="2"/>
  <c r="H8413" i="2"/>
  <c r="G8414" i="2"/>
  <c r="H8414" i="2"/>
  <c r="G8415" i="2"/>
  <c r="H8415" i="2"/>
  <c r="G8416" i="2"/>
  <c r="H8416" i="2"/>
  <c r="G8417" i="2"/>
  <c r="H8417" i="2"/>
  <c r="G8418" i="2"/>
  <c r="H8418" i="2"/>
  <c r="G8419" i="2"/>
  <c r="H8419" i="2"/>
  <c r="G8420" i="2"/>
  <c r="H8420" i="2"/>
  <c r="G8421" i="2"/>
  <c r="H8421" i="2"/>
  <c r="G8422" i="2"/>
  <c r="H8422" i="2"/>
  <c r="G8423" i="2"/>
  <c r="H8423" i="2"/>
  <c r="G8424" i="2"/>
  <c r="H8424" i="2"/>
  <c r="G8425" i="2"/>
  <c r="H8425" i="2"/>
  <c r="G8426" i="2"/>
  <c r="H8426" i="2"/>
  <c r="G8427" i="2"/>
  <c r="H8427" i="2"/>
  <c r="G8428" i="2"/>
  <c r="H8428" i="2"/>
  <c r="G8429" i="2"/>
  <c r="H8429" i="2"/>
  <c r="G8430" i="2"/>
  <c r="H8430" i="2"/>
  <c r="G8431" i="2"/>
  <c r="H8431" i="2"/>
  <c r="G8432" i="2"/>
  <c r="H8432" i="2"/>
  <c r="G8433" i="2"/>
  <c r="H8433" i="2"/>
  <c r="G8434" i="2"/>
  <c r="H8434" i="2"/>
  <c r="G8435" i="2"/>
  <c r="H8435" i="2"/>
  <c r="G8436" i="2"/>
  <c r="H8436" i="2"/>
  <c r="G8437" i="2"/>
  <c r="H8437" i="2"/>
  <c r="G8438" i="2"/>
  <c r="H8438" i="2"/>
  <c r="G8439" i="2"/>
  <c r="H8439" i="2"/>
  <c r="G8440" i="2"/>
  <c r="H8440" i="2"/>
  <c r="G8441" i="2"/>
  <c r="H8441" i="2"/>
  <c r="G8442" i="2"/>
  <c r="H8442" i="2"/>
  <c r="G8443" i="2"/>
  <c r="H8443" i="2"/>
  <c r="G8444" i="2"/>
  <c r="H8444" i="2"/>
  <c r="G8445" i="2"/>
  <c r="H8445" i="2"/>
  <c r="G8446" i="2"/>
  <c r="H8446" i="2"/>
  <c r="G8447" i="2"/>
  <c r="H8447" i="2"/>
  <c r="G8448" i="2"/>
  <c r="H8448" i="2"/>
  <c r="G8449" i="2"/>
  <c r="H8449" i="2"/>
  <c r="G8450" i="2"/>
  <c r="H8450" i="2"/>
  <c r="G8451" i="2"/>
  <c r="H8451" i="2"/>
  <c r="G8452" i="2"/>
  <c r="H8452" i="2"/>
  <c r="G8453" i="2"/>
  <c r="H8453" i="2"/>
  <c r="G8454" i="2"/>
  <c r="H8454" i="2"/>
  <c r="G8455" i="2"/>
  <c r="H8455" i="2"/>
  <c r="G8456" i="2"/>
  <c r="H8456" i="2"/>
  <c r="G8457" i="2"/>
  <c r="H8457" i="2"/>
  <c r="G8458" i="2"/>
  <c r="H8458" i="2"/>
  <c r="G8459" i="2"/>
  <c r="H8459" i="2"/>
  <c r="G8460" i="2"/>
  <c r="H8460" i="2"/>
  <c r="G8461" i="2"/>
  <c r="H8461" i="2"/>
  <c r="G8462" i="2"/>
  <c r="H8462" i="2"/>
  <c r="G8463" i="2"/>
  <c r="H8463" i="2"/>
  <c r="G8464" i="2"/>
  <c r="H8464" i="2"/>
  <c r="G8465" i="2"/>
  <c r="H8465" i="2"/>
  <c r="G8466" i="2"/>
  <c r="H8466" i="2"/>
  <c r="G8467" i="2"/>
  <c r="H8467" i="2"/>
  <c r="G8468" i="2"/>
  <c r="H8468" i="2"/>
  <c r="G8469" i="2"/>
  <c r="H8469" i="2"/>
  <c r="G8470" i="2"/>
  <c r="H8470" i="2"/>
  <c r="G8471" i="2"/>
  <c r="H8471" i="2"/>
  <c r="G8472" i="2"/>
  <c r="H8472" i="2"/>
  <c r="G8473" i="2"/>
  <c r="H8473" i="2"/>
  <c r="G8474" i="2"/>
  <c r="H8474" i="2"/>
  <c r="G8475" i="2"/>
  <c r="H8475" i="2"/>
  <c r="G8476" i="2"/>
  <c r="H8476" i="2"/>
  <c r="G8477" i="2"/>
  <c r="H8477" i="2"/>
  <c r="G8478" i="2"/>
  <c r="H8478" i="2"/>
  <c r="G8479" i="2"/>
  <c r="H8479" i="2"/>
  <c r="G8480" i="2"/>
  <c r="H8480" i="2"/>
  <c r="G8481" i="2"/>
  <c r="H8481" i="2"/>
  <c r="G8482" i="2"/>
  <c r="H8482" i="2"/>
  <c r="G8483" i="2"/>
  <c r="H8483" i="2"/>
  <c r="G8484" i="2"/>
  <c r="H8484" i="2"/>
  <c r="G8485" i="2"/>
  <c r="H8485" i="2"/>
  <c r="G8486" i="2"/>
  <c r="H8486" i="2"/>
  <c r="G8487" i="2"/>
  <c r="H8487" i="2"/>
  <c r="G8488" i="2"/>
  <c r="H8488" i="2"/>
  <c r="G8489" i="2"/>
  <c r="H8489" i="2"/>
  <c r="G8490" i="2"/>
  <c r="H8490" i="2"/>
  <c r="G8491" i="2"/>
  <c r="H8491" i="2"/>
  <c r="G8492" i="2"/>
  <c r="H8492" i="2"/>
  <c r="G8493" i="2"/>
  <c r="H8493" i="2"/>
  <c r="G8494" i="2"/>
  <c r="H8494" i="2"/>
  <c r="G8495" i="2"/>
  <c r="H8495" i="2"/>
  <c r="G8496" i="2"/>
  <c r="H8496" i="2"/>
  <c r="G8497" i="2"/>
  <c r="H8497" i="2"/>
  <c r="G8498" i="2"/>
  <c r="H8498" i="2"/>
  <c r="G8499" i="2"/>
  <c r="H8499" i="2"/>
  <c r="G8500" i="2"/>
  <c r="H8500" i="2"/>
  <c r="G8501" i="2"/>
  <c r="H8501" i="2"/>
  <c r="G8502" i="2"/>
  <c r="H8502" i="2"/>
  <c r="G8503" i="2"/>
  <c r="H8503" i="2"/>
  <c r="G8504" i="2"/>
  <c r="H8504" i="2"/>
  <c r="G8505" i="2"/>
  <c r="H8505" i="2"/>
  <c r="G8506" i="2"/>
  <c r="H8506" i="2"/>
  <c r="G8507" i="2"/>
  <c r="H8507" i="2"/>
  <c r="G8508" i="2"/>
  <c r="H8508" i="2"/>
  <c r="G8509" i="2"/>
  <c r="H8509" i="2"/>
  <c r="G8510" i="2"/>
  <c r="H8510" i="2"/>
  <c r="G8511" i="2"/>
  <c r="H8511" i="2"/>
  <c r="G8512" i="2"/>
  <c r="H8512" i="2"/>
  <c r="G8513" i="2"/>
  <c r="H8513" i="2"/>
  <c r="G8514" i="2"/>
  <c r="H8514" i="2"/>
  <c r="G8515" i="2"/>
  <c r="H8515" i="2"/>
  <c r="G8516" i="2"/>
  <c r="H8516" i="2"/>
  <c r="G8517" i="2"/>
  <c r="H8517" i="2"/>
  <c r="G8518" i="2"/>
  <c r="H8518" i="2"/>
  <c r="G8519" i="2"/>
  <c r="H8519" i="2"/>
  <c r="G8520" i="2"/>
  <c r="H8520" i="2"/>
  <c r="G8521" i="2"/>
  <c r="H8521" i="2"/>
  <c r="G8522" i="2"/>
  <c r="H8522" i="2"/>
  <c r="G8523" i="2"/>
  <c r="H8523" i="2"/>
  <c r="G8524" i="2"/>
  <c r="H8524" i="2"/>
  <c r="G8525" i="2"/>
  <c r="H8525" i="2"/>
  <c r="G8526" i="2"/>
  <c r="H8526" i="2"/>
  <c r="G8527" i="2"/>
  <c r="H8527" i="2"/>
  <c r="G8528" i="2"/>
  <c r="H8528" i="2"/>
  <c r="G8529" i="2"/>
  <c r="H8529" i="2"/>
  <c r="G8530" i="2"/>
  <c r="H8530" i="2"/>
  <c r="G8531" i="2"/>
  <c r="H8531" i="2"/>
  <c r="G8532" i="2"/>
  <c r="H8532" i="2"/>
  <c r="G8533" i="2"/>
  <c r="H8533" i="2"/>
  <c r="G8534" i="2"/>
  <c r="H8534" i="2"/>
  <c r="G8535" i="2"/>
  <c r="H8535" i="2"/>
  <c r="G8536" i="2"/>
  <c r="H8536" i="2"/>
  <c r="G8537" i="2"/>
  <c r="H8537" i="2"/>
  <c r="G8538" i="2"/>
  <c r="H8538" i="2"/>
  <c r="G8539" i="2"/>
  <c r="H8539" i="2"/>
  <c r="G8540" i="2"/>
  <c r="H8540" i="2"/>
  <c r="G8541" i="2"/>
  <c r="H8541" i="2"/>
  <c r="G8542" i="2"/>
  <c r="H8542" i="2"/>
  <c r="G8543" i="2"/>
  <c r="H8543" i="2"/>
  <c r="G8544" i="2"/>
  <c r="H8544" i="2"/>
  <c r="G8545" i="2"/>
  <c r="H8545" i="2"/>
  <c r="G8546" i="2"/>
  <c r="H8546" i="2"/>
  <c r="G8547" i="2"/>
  <c r="H8547" i="2"/>
  <c r="G8548" i="2"/>
  <c r="H8548" i="2"/>
  <c r="G8549" i="2"/>
  <c r="H8549" i="2"/>
  <c r="G8550" i="2"/>
  <c r="H8550" i="2"/>
  <c r="G8551" i="2"/>
  <c r="H8551" i="2"/>
  <c r="G8552" i="2"/>
  <c r="H8552" i="2"/>
  <c r="G8553" i="2"/>
  <c r="H8553" i="2"/>
  <c r="G8554" i="2"/>
  <c r="H8554" i="2"/>
  <c r="G8555" i="2"/>
  <c r="H8555" i="2"/>
  <c r="G8556" i="2"/>
  <c r="H8556" i="2"/>
  <c r="G8557" i="2"/>
  <c r="H8557" i="2"/>
  <c r="G8558" i="2"/>
  <c r="H8558" i="2"/>
  <c r="G8559" i="2"/>
  <c r="H8559" i="2"/>
  <c r="G8560" i="2"/>
  <c r="H8560" i="2"/>
  <c r="G8561" i="2"/>
  <c r="H8561" i="2"/>
  <c r="G8562" i="2"/>
  <c r="H8562" i="2"/>
  <c r="G8563" i="2"/>
  <c r="H8563" i="2"/>
  <c r="G8564" i="2"/>
  <c r="H8564" i="2"/>
  <c r="G8565" i="2"/>
  <c r="H8565" i="2"/>
  <c r="G8566" i="2"/>
  <c r="H8566" i="2"/>
  <c r="G8567" i="2"/>
  <c r="H8567" i="2"/>
  <c r="G8568" i="2"/>
  <c r="H8568" i="2"/>
  <c r="G8569" i="2"/>
  <c r="H8569" i="2"/>
  <c r="G8570" i="2"/>
  <c r="H8570" i="2"/>
  <c r="G8571" i="2"/>
  <c r="H8571" i="2"/>
  <c r="G8572" i="2"/>
  <c r="H8572" i="2"/>
  <c r="G8573" i="2"/>
  <c r="H8573" i="2"/>
  <c r="G8574" i="2"/>
  <c r="H8574" i="2"/>
  <c r="G8575" i="2"/>
  <c r="H8575" i="2"/>
  <c r="G8576" i="2"/>
  <c r="H8576" i="2"/>
  <c r="G8577" i="2"/>
  <c r="H8577" i="2"/>
  <c r="G8578" i="2"/>
  <c r="H8578" i="2"/>
  <c r="G8579" i="2"/>
  <c r="H8579" i="2"/>
  <c r="G8580" i="2"/>
  <c r="H8580" i="2"/>
  <c r="G8581" i="2"/>
  <c r="H8581" i="2"/>
  <c r="G8582" i="2"/>
  <c r="H8582" i="2"/>
  <c r="G8583" i="2"/>
  <c r="H8583" i="2"/>
  <c r="G8584" i="2"/>
  <c r="H8584" i="2"/>
  <c r="G8585" i="2"/>
  <c r="H8585" i="2"/>
  <c r="G8586" i="2"/>
  <c r="H8586" i="2"/>
  <c r="G8587" i="2"/>
  <c r="H8587" i="2"/>
  <c r="G8588" i="2"/>
  <c r="H8588" i="2"/>
  <c r="G8589" i="2"/>
  <c r="H8589" i="2"/>
  <c r="G8590" i="2"/>
  <c r="H8590" i="2"/>
  <c r="G8591" i="2"/>
  <c r="H8591" i="2"/>
  <c r="G8592" i="2"/>
  <c r="H8592" i="2"/>
  <c r="G8593" i="2"/>
  <c r="H8593" i="2"/>
  <c r="G8594" i="2"/>
  <c r="H8594" i="2"/>
  <c r="G8595" i="2"/>
  <c r="H8595" i="2"/>
  <c r="G8596" i="2"/>
  <c r="H8596" i="2"/>
  <c r="G8597" i="2"/>
  <c r="H8597" i="2"/>
  <c r="G8598" i="2"/>
  <c r="H8598" i="2"/>
  <c r="G8599" i="2"/>
  <c r="H8599" i="2"/>
  <c r="G8600" i="2"/>
  <c r="H8600" i="2"/>
  <c r="G8601" i="2"/>
  <c r="H8601" i="2"/>
  <c r="G8602" i="2"/>
  <c r="H8602" i="2"/>
  <c r="G8603" i="2"/>
  <c r="H8603" i="2"/>
  <c r="G8604" i="2"/>
  <c r="H8604" i="2"/>
  <c r="G8605" i="2"/>
  <c r="H8605" i="2"/>
  <c r="G8606" i="2"/>
  <c r="H8606" i="2"/>
  <c r="G8607" i="2"/>
  <c r="H8607" i="2"/>
  <c r="G8608" i="2"/>
  <c r="H8608" i="2"/>
  <c r="G8609" i="2"/>
  <c r="H8609" i="2"/>
  <c r="G8610" i="2"/>
  <c r="H8610" i="2"/>
  <c r="G8611" i="2"/>
  <c r="H8611" i="2"/>
  <c r="G8612" i="2"/>
  <c r="H8612" i="2"/>
  <c r="G8613" i="2"/>
  <c r="H8613" i="2"/>
  <c r="G8614" i="2"/>
  <c r="H8614" i="2"/>
  <c r="G8615" i="2"/>
  <c r="H8615" i="2"/>
  <c r="G8616" i="2"/>
  <c r="H8616" i="2"/>
  <c r="G8617" i="2"/>
  <c r="H8617" i="2"/>
  <c r="G8618" i="2"/>
  <c r="H8618" i="2"/>
  <c r="G8619" i="2"/>
  <c r="H8619" i="2"/>
  <c r="G8620" i="2"/>
  <c r="H8620" i="2"/>
  <c r="G8621" i="2"/>
  <c r="H8621" i="2"/>
  <c r="G8622" i="2"/>
  <c r="H8622" i="2"/>
  <c r="G8623" i="2"/>
  <c r="H8623" i="2"/>
  <c r="G8624" i="2"/>
  <c r="H8624" i="2"/>
  <c r="G8625" i="2"/>
  <c r="H8625" i="2"/>
  <c r="G8626" i="2"/>
  <c r="H8626" i="2"/>
  <c r="G8627" i="2"/>
  <c r="H8627" i="2"/>
  <c r="G8628" i="2"/>
  <c r="H8628" i="2"/>
  <c r="G8629" i="2"/>
  <c r="H8629" i="2"/>
  <c r="G8630" i="2"/>
  <c r="H8630" i="2"/>
  <c r="G8631" i="2"/>
  <c r="H8631" i="2"/>
  <c r="G8632" i="2"/>
  <c r="H8632" i="2"/>
  <c r="G8633" i="2"/>
  <c r="H8633" i="2"/>
  <c r="G8634" i="2"/>
  <c r="H8634" i="2"/>
  <c r="G8635" i="2"/>
  <c r="H8635" i="2"/>
  <c r="G8636" i="2"/>
  <c r="H8636" i="2"/>
  <c r="G8637" i="2"/>
  <c r="H8637" i="2"/>
  <c r="G8638" i="2"/>
  <c r="H8638" i="2"/>
  <c r="G8639" i="2"/>
  <c r="H8639" i="2"/>
  <c r="G8640" i="2"/>
  <c r="H8640" i="2"/>
  <c r="G8641" i="2"/>
  <c r="H8641" i="2"/>
  <c r="G8642" i="2"/>
  <c r="H8642" i="2"/>
  <c r="G8643" i="2"/>
  <c r="H8643" i="2"/>
  <c r="G8644" i="2"/>
  <c r="H8644" i="2"/>
  <c r="G8645" i="2"/>
  <c r="H8645" i="2"/>
  <c r="G8646" i="2"/>
  <c r="H8646" i="2"/>
  <c r="G8647" i="2"/>
  <c r="H8647" i="2"/>
  <c r="G8648" i="2"/>
  <c r="H8648" i="2"/>
  <c r="G8649" i="2"/>
  <c r="H8649" i="2"/>
  <c r="G8650" i="2"/>
  <c r="H8650" i="2"/>
  <c r="G8651" i="2"/>
  <c r="H8651" i="2"/>
  <c r="G8652" i="2"/>
  <c r="H8652" i="2"/>
  <c r="G8653" i="2"/>
  <c r="H8653" i="2"/>
  <c r="G8654" i="2"/>
  <c r="H8654" i="2"/>
  <c r="G8655" i="2"/>
  <c r="H8655" i="2"/>
  <c r="G8656" i="2"/>
  <c r="H8656" i="2"/>
  <c r="G8657" i="2"/>
  <c r="H8657" i="2"/>
  <c r="G8658" i="2"/>
  <c r="H8658" i="2"/>
  <c r="G8659" i="2"/>
  <c r="H8659" i="2"/>
  <c r="G8660" i="2"/>
  <c r="H8660" i="2"/>
  <c r="G8661" i="2"/>
  <c r="H8661" i="2"/>
  <c r="G8662" i="2"/>
  <c r="H8662" i="2"/>
  <c r="G8663" i="2"/>
  <c r="H8663" i="2"/>
  <c r="G8664" i="2"/>
  <c r="H8664" i="2"/>
  <c r="G8665" i="2"/>
  <c r="H8665" i="2"/>
  <c r="G8666" i="2"/>
  <c r="H8666" i="2"/>
  <c r="G8667" i="2"/>
  <c r="H8667" i="2"/>
  <c r="G8668" i="2"/>
  <c r="H8668" i="2"/>
  <c r="G8669" i="2"/>
  <c r="H8669" i="2"/>
  <c r="G8670" i="2"/>
  <c r="H8670" i="2"/>
  <c r="G8671" i="2"/>
  <c r="H8671" i="2"/>
  <c r="G8672" i="2"/>
  <c r="H8672" i="2"/>
  <c r="G8673" i="2"/>
  <c r="H8673" i="2"/>
  <c r="G8674" i="2"/>
  <c r="H8674" i="2"/>
  <c r="G8675" i="2"/>
  <c r="H8675" i="2"/>
  <c r="G8676" i="2"/>
  <c r="H8676" i="2"/>
  <c r="G8677" i="2"/>
  <c r="H8677" i="2"/>
  <c r="G8678" i="2"/>
  <c r="H8678" i="2"/>
  <c r="G8679" i="2"/>
  <c r="H8679" i="2"/>
  <c r="G8680" i="2"/>
  <c r="H8680" i="2"/>
  <c r="G8681" i="2"/>
  <c r="H8681" i="2"/>
  <c r="G8682" i="2"/>
  <c r="H8682" i="2"/>
  <c r="G8683" i="2"/>
  <c r="H8683" i="2"/>
  <c r="G8684" i="2"/>
  <c r="H8684" i="2"/>
  <c r="G8685" i="2"/>
  <c r="H8685" i="2"/>
  <c r="G8686" i="2"/>
  <c r="H8686" i="2"/>
  <c r="G8687" i="2"/>
  <c r="H8687" i="2"/>
  <c r="G8688" i="2"/>
  <c r="H8688" i="2"/>
  <c r="G8689" i="2"/>
  <c r="H8689" i="2"/>
  <c r="G8690" i="2"/>
  <c r="H8690" i="2"/>
  <c r="G8691" i="2"/>
  <c r="H8691" i="2"/>
  <c r="G8692" i="2"/>
  <c r="H8692" i="2"/>
  <c r="G8693" i="2"/>
  <c r="H8693" i="2"/>
  <c r="G8694" i="2"/>
  <c r="H8694" i="2"/>
  <c r="G8695" i="2"/>
  <c r="H8695" i="2"/>
  <c r="G8696" i="2"/>
  <c r="H8696" i="2"/>
  <c r="G8697" i="2"/>
  <c r="H8697" i="2"/>
  <c r="G8698" i="2"/>
  <c r="H8698" i="2"/>
  <c r="G8699" i="2"/>
  <c r="H8699" i="2"/>
  <c r="G8700" i="2"/>
  <c r="H8700" i="2"/>
  <c r="G8701" i="2"/>
  <c r="H8701" i="2"/>
  <c r="G8702" i="2"/>
  <c r="H8702" i="2"/>
  <c r="G8703" i="2"/>
  <c r="H8703" i="2"/>
  <c r="G8704" i="2"/>
  <c r="H8704" i="2"/>
  <c r="G8705" i="2"/>
  <c r="H8705" i="2"/>
  <c r="G8706" i="2"/>
  <c r="H8706" i="2"/>
  <c r="G8707" i="2"/>
  <c r="H8707" i="2"/>
  <c r="G8708" i="2"/>
  <c r="H8708" i="2"/>
  <c r="G8709" i="2"/>
  <c r="H8709" i="2"/>
  <c r="G8710" i="2"/>
  <c r="H8710" i="2"/>
  <c r="G8711" i="2"/>
  <c r="H8711" i="2"/>
  <c r="G8712" i="2"/>
  <c r="H8712" i="2"/>
  <c r="G8713" i="2"/>
  <c r="H8713" i="2"/>
  <c r="G8714" i="2"/>
  <c r="H8714" i="2"/>
  <c r="G8715" i="2"/>
  <c r="H8715" i="2"/>
  <c r="G8716" i="2"/>
  <c r="H8716" i="2"/>
  <c r="G8717" i="2"/>
  <c r="H8717" i="2"/>
  <c r="G8718" i="2"/>
  <c r="H8718" i="2"/>
  <c r="G8719" i="2"/>
  <c r="H8719" i="2"/>
  <c r="G8720" i="2"/>
  <c r="H8720" i="2"/>
  <c r="G8721" i="2"/>
  <c r="H8721" i="2"/>
  <c r="G8722" i="2"/>
  <c r="H8722" i="2"/>
  <c r="G8723" i="2"/>
  <c r="H8723" i="2"/>
  <c r="G8724" i="2"/>
  <c r="H8724" i="2"/>
  <c r="G8725" i="2"/>
  <c r="H8725" i="2"/>
  <c r="G8726" i="2"/>
  <c r="H8726" i="2"/>
  <c r="G8727" i="2"/>
  <c r="H8727" i="2"/>
  <c r="G8728" i="2"/>
  <c r="H8728" i="2"/>
  <c r="G8729" i="2"/>
  <c r="H8729" i="2"/>
  <c r="G8730" i="2"/>
  <c r="H8730" i="2"/>
  <c r="G8731" i="2"/>
  <c r="H8731" i="2"/>
  <c r="G8732" i="2"/>
  <c r="H8732" i="2"/>
  <c r="G8733" i="2"/>
  <c r="H8733" i="2"/>
  <c r="G8734" i="2"/>
  <c r="H8734" i="2"/>
  <c r="G8735" i="2"/>
  <c r="H8735" i="2"/>
  <c r="G8736" i="2"/>
  <c r="H8736" i="2"/>
  <c r="G8737" i="2"/>
  <c r="H8737" i="2"/>
  <c r="G8738" i="2"/>
  <c r="H8738" i="2"/>
  <c r="G8739" i="2"/>
  <c r="H8739" i="2"/>
  <c r="G8740" i="2"/>
  <c r="H8740" i="2"/>
  <c r="G8741" i="2"/>
  <c r="H8741" i="2"/>
  <c r="G8742" i="2"/>
  <c r="H8742" i="2"/>
  <c r="G8743" i="2"/>
  <c r="H8743" i="2"/>
  <c r="G8744" i="2"/>
  <c r="H8744" i="2"/>
  <c r="G8745" i="2"/>
  <c r="H8745" i="2"/>
  <c r="G8746" i="2"/>
  <c r="H8746" i="2"/>
  <c r="G8747" i="2"/>
  <c r="H8747" i="2"/>
  <c r="G8748" i="2"/>
  <c r="H8748" i="2"/>
  <c r="G8749" i="2"/>
  <c r="H8749" i="2"/>
  <c r="G8750" i="2"/>
  <c r="H8750" i="2"/>
  <c r="G8751" i="2"/>
  <c r="H8751" i="2"/>
  <c r="G8752" i="2"/>
  <c r="H8752" i="2"/>
  <c r="G8753" i="2"/>
  <c r="H8753" i="2"/>
  <c r="G8754" i="2"/>
  <c r="H8754" i="2"/>
  <c r="G8755" i="2"/>
  <c r="H8755" i="2"/>
  <c r="G8756" i="2"/>
  <c r="H8756" i="2"/>
  <c r="G8757" i="2"/>
  <c r="H8757" i="2"/>
  <c r="G8758" i="2"/>
  <c r="H8758" i="2"/>
  <c r="G8759" i="2"/>
  <c r="H8759" i="2"/>
  <c r="G8760" i="2"/>
  <c r="H8760" i="2"/>
  <c r="G8761" i="2"/>
  <c r="H8761" i="2"/>
  <c r="G8762" i="2"/>
  <c r="H8762" i="2"/>
  <c r="G8763" i="2"/>
  <c r="H8763" i="2"/>
  <c r="G8764" i="2"/>
  <c r="H8764" i="2"/>
  <c r="G8765" i="2"/>
  <c r="H8765" i="2"/>
  <c r="G8766" i="2"/>
  <c r="H8766" i="2"/>
  <c r="G8767" i="2"/>
  <c r="H8767" i="2"/>
  <c r="G8768" i="2"/>
  <c r="H8768" i="2"/>
  <c r="G8769" i="2"/>
  <c r="H8769" i="2"/>
  <c r="G8770" i="2"/>
  <c r="H8770" i="2"/>
  <c r="G8771" i="2"/>
  <c r="H8771" i="2"/>
  <c r="G8772" i="2"/>
  <c r="H8772" i="2"/>
  <c r="G8773" i="2"/>
  <c r="H8773" i="2"/>
  <c r="G8774" i="2"/>
  <c r="H8774" i="2"/>
  <c r="G8775" i="2"/>
  <c r="H8775" i="2"/>
  <c r="G8776" i="2"/>
  <c r="H8776" i="2"/>
  <c r="G8777" i="2"/>
  <c r="H8777" i="2"/>
  <c r="G8778" i="2"/>
  <c r="H8778" i="2"/>
  <c r="G8779" i="2"/>
  <c r="H8779" i="2"/>
  <c r="G8780" i="2"/>
  <c r="H8780" i="2"/>
  <c r="G8781" i="2"/>
  <c r="H8781" i="2"/>
  <c r="G8782" i="2"/>
  <c r="H8782" i="2"/>
  <c r="G8783" i="2"/>
  <c r="H8783" i="2"/>
  <c r="G8784" i="2"/>
  <c r="H8784" i="2"/>
  <c r="G8785" i="2"/>
  <c r="H8785" i="2"/>
  <c r="G8786" i="2"/>
  <c r="H8786" i="2"/>
  <c r="G8787" i="2"/>
  <c r="H8787" i="2"/>
  <c r="G8788" i="2"/>
  <c r="H8788" i="2"/>
  <c r="G8789" i="2"/>
  <c r="H8789" i="2"/>
  <c r="G8790" i="2"/>
  <c r="H8790" i="2"/>
  <c r="G8791" i="2"/>
  <c r="H8791" i="2"/>
  <c r="G8792" i="2"/>
  <c r="H8792" i="2"/>
  <c r="G8793" i="2"/>
  <c r="H8793" i="2"/>
  <c r="G8794" i="2"/>
  <c r="H8794" i="2"/>
  <c r="G8795" i="2"/>
  <c r="H8795" i="2"/>
  <c r="G8796" i="2"/>
  <c r="H8796" i="2"/>
  <c r="G8797" i="2"/>
  <c r="H8797" i="2"/>
  <c r="G8798" i="2"/>
  <c r="H8798" i="2"/>
  <c r="G8799" i="2"/>
  <c r="H8799" i="2"/>
  <c r="G8800" i="2"/>
  <c r="H8800" i="2"/>
  <c r="G8801" i="2"/>
  <c r="H8801" i="2"/>
  <c r="G8802" i="2"/>
  <c r="H8802" i="2"/>
  <c r="G8803" i="2"/>
  <c r="H8803" i="2"/>
  <c r="G8804" i="2"/>
  <c r="H8804" i="2"/>
  <c r="G8805" i="2"/>
  <c r="H8805" i="2"/>
  <c r="G8806" i="2"/>
  <c r="H8806" i="2"/>
  <c r="G8807" i="2"/>
  <c r="H8807" i="2"/>
  <c r="G8808" i="2"/>
  <c r="H8808" i="2"/>
  <c r="G8809" i="2"/>
  <c r="H8809" i="2"/>
  <c r="G8810" i="2"/>
  <c r="H8810" i="2"/>
  <c r="G8811" i="2"/>
  <c r="H8811" i="2"/>
  <c r="G8812" i="2"/>
  <c r="H8812" i="2"/>
  <c r="G8813" i="2"/>
  <c r="H8813" i="2"/>
  <c r="G8814" i="2"/>
  <c r="H8814" i="2"/>
  <c r="G8815" i="2"/>
  <c r="H8815" i="2"/>
  <c r="G8816" i="2"/>
  <c r="H8816" i="2"/>
  <c r="G8817" i="2"/>
  <c r="H8817" i="2"/>
  <c r="G8818" i="2"/>
  <c r="H8818" i="2"/>
  <c r="G8819" i="2"/>
  <c r="H8819" i="2"/>
  <c r="G8820" i="2"/>
  <c r="H8820" i="2"/>
  <c r="G8821" i="2"/>
  <c r="H8821" i="2"/>
  <c r="G8822" i="2"/>
  <c r="H8822" i="2"/>
  <c r="G8823" i="2"/>
  <c r="H8823" i="2"/>
  <c r="G8824" i="2"/>
  <c r="H8824" i="2"/>
  <c r="G8825" i="2"/>
  <c r="H8825" i="2"/>
  <c r="G8826" i="2"/>
  <c r="H8826" i="2"/>
  <c r="G8827" i="2"/>
  <c r="H8827" i="2"/>
  <c r="G8828" i="2"/>
  <c r="H8828" i="2"/>
  <c r="G8829" i="2"/>
  <c r="H8829" i="2"/>
  <c r="G8830" i="2"/>
  <c r="H8830" i="2"/>
  <c r="G8831" i="2"/>
  <c r="H8831" i="2"/>
  <c r="G8832" i="2"/>
  <c r="H8832" i="2"/>
  <c r="G8833" i="2"/>
  <c r="H8833" i="2"/>
  <c r="G8834" i="2"/>
  <c r="H8834" i="2"/>
  <c r="G8835" i="2"/>
  <c r="H8835" i="2"/>
  <c r="G8836" i="2"/>
  <c r="H8836" i="2"/>
  <c r="G8837" i="2"/>
  <c r="H8837" i="2"/>
  <c r="G8838" i="2"/>
  <c r="H8838" i="2"/>
  <c r="G8839" i="2"/>
  <c r="H8839" i="2"/>
  <c r="G8840" i="2"/>
  <c r="H8840" i="2"/>
  <c r="G8841" i="2"/>
  <c r="H8841" i="2"/>
  <c r="G8842" i="2"/>
  <c r="H8842" i="2"/>
  <c r="G8843" i="2"/>
  <c r="H8843" i="2"/>
  <c r="G8844" i="2"/>
  <c r="H8844" i="2"/>
  <c r="G8845" i="2"/>
  <c r="H8845" i="2"/>
  <c r="G8846" i="2"/>
  <c r="H8846" i="2"/>
  <c r="G8847" i="2"/>
  <c r="H8847" i="2"/>
  <c r="G8848" i="2"/>
  <c r="H8848" i="2"/>
  <c r="G8849" i="2"/>
  <c r="H8849" i="2"/>
  <c r="G8850" i="2"/>
  <c r="H8850" i="2"/>
  <c r="G8851" i="2"/>
  <c r="H8851" i="2"/>
  <c r="G8852" i="2"/>
  <c r="H8852" i="2"/>
  <c r="G8853" i="2"/>
  <c r="H8853" i="2"/>
  <c r="G8854" i="2"/>
  <c r="H8854" i="2"/>
  <c r="G8855" i="2"/>
  <c r="H8855" i="2"/>
  <c r="G8856" i="2"/>
  <c r="H8856" i="2"/>
  <c r="G8857" i="2"/>
  <c r="H8857" i="2"/>
  <c r="G8858" i="2"/>
  <c r="H8858" i="2"/>
  <c r="G8859" i="2"/>
  <c r="H8859" i="2"/>
  <c r="G8860" i="2"/>
  <c r="H8860" i="2"/>
  <c r="G8861" i="2"/>
  <c r="H8861" i="2"/>
  <c r="G8862" i="2"/>
  <c r="H8862" i="2"/>
  <c r="G8863" i="2"/>
  <c r="H8863" i="2"/>
  <c r="G8864" i="2"/>
  <c r="H8864" i="2"/>
  <c r="G8865" i="2"/>
  <c r="H8865" i="2"/>
  <c r="G8866" i="2"/>
  <c r="H8866" i="2"/>
  <c r="G8867" i="2"/>
  <c r="H8867" i="2"/>
  <c r="G8868" i="2"/>
  <c r="H8868" i="2"/>
  <c r="G8869" i="2"/>
  <c r="H8869" i="2"/>
  <c r="G8870" i="2"/>
  <c r="H8870" i="2"/>
  <c r="G8871" i="2"/>
  <c r="H8871" i="2"/>
  <c r="G8872" i="2"/>
  <c r="H8872" i="2"/>
  <c r="G8873" i="2"/>
  <c r="H8873" i="2"/>
  <c r="G8874" i="2"/>
  <c r="H8874" i="2"/>
  <c r="G8875" i="2"/>
  <c r="H8875" i="2"/>
  <c r="G8876" i="2"/>
  <c r="H8876" i="2"/>
  <c r="G8877" i="2"/>
  <c r="H8877" i="2"/>
  <c r="G8878" i="2"/>
  <c r="H8878" i="2"/>
  <c r="G8879" i="2"/>
  <c r="H8879" i="2"/>
  <c r="G8880" i="2"/>
  <c r="H8880" i="2"/>
  <c r="G8881" i="2"/>
  <c r="H8881" i="2"/>
  <c r="G8882" i="2"/>
  <c r="H8882" i="2"/>
  <c r="G8883" i="2"/>
  <c r="H8883" i="2"/>
  <c r="G8884" i="2"/>
  <c r="H8884" i="2"/>
  <c r="G8885" i="2"/>
  <c r="H8885" i="2"/>
  <c r="G8886" i="2"/>
  <c r="H8886" i="2"/>
  <c r="G8887" i="2"/>
  <c r="H8887" i="2"/>
  <c r="G8888" i="2"/>
  <c r="H8888" i="2"/>
  <c r="G8889" i="2"/>
  <c r="H8889" i="2"/>
  <c r="G8890" i="2"/>
  <c r="H8890" i="2"/>
  <c r="G8891" i="2"/>
  <c r="H8891" i="2"/>
  <c r="G8892" i="2"/>
  <c r="H8892" i="2"/>
  <c r="G8893" i="2"/>
  <c r="H8893" i="2"/>
  <c r="G8894" i="2"/>
  <c r="H8894" i="2"/>
  <c r="G8895" i="2"/>
  <c r="H8895" i="2"/>
  <c r="G8896" i="2"/>
  <c r="H8896" i="2"/>
  <c r="G8897" i="2"/>
  <c r="H8897" i="2"/>
  <c r="G8898" i="2"/>
  <c r="H8898" i="2"/>
  <c r="G8899" i="2"/>
  <c r="H8899" i="2"/>
  <c r="G8900" i="2"/>
  <c r="H8900" i="2"/>
  <c r="G8901" i="2"/>
  <c r="H8901" i="2"/>
  <c r="G8902" i="2"/>
  <c r="H8902" i="2"/>
  <c r="G8903" i="2"/>
  <c r="H8903" i="2"/>
  <c r="G8904" i="2"/>
  <c r="H8904" i="2"/>
  <c r="G8905" i="2"/>
  <c r="H8905" i="2"/>
  <c r="G8906" i="2"/>
  <c r="H8906" i="2"/>
  <c r="G8907" i="2"/>
  <c r="H8907" i="2"/>
  <c r="G8908" i="2"/>
  <c r="H8908" i="2"/>
  <c r="G8909" i="2"/>
  <c r="H8909" i="2"/>
  <c r="G8910" i="2"/>
  <c r="H8910" i="2"/>
  <c r="G8911" i="2"/>
  <c r="H8911" i="2"/>
  <c r="G8912" i="2"/>
  <c r="H8912" i="2"/>
  <c r="G8913" i="2"/>
  <c r="H8913" i="2"/>
  <c r="G8914" i="2"/>
  <c r="H8914" i="2"/>
  <c r="G8915" i="2"/>
  <c r="H8915" i="2"/>
  <c r="G8916" i="2"/>
  <c r="H8916" i="2"/>
  <c r="G8917" i="2"/>
  <c r="H8917" i="2"/>
  <c r="G8918" i="2"/>
  <c r="H8918" i="2"/>
  <c r="G8919" i="2"/>
  <c r="H8919" i="2"/>
  <c r="G8920" i="2"/>
  <c r="H8920" i="2"/>
  <c r="G8921" i="2"/>
  <c r="H8921" i="2"/>
  <c r="G8922" i="2"/>
  <c r="H8922" i="2"/>
  <c r="G8923" i="2"/>
  <c r="H8923" i="2"/>
  <c r="G8924" i="2"/>
  <c r="H8924" i="2"/>
  <c r="G8925" i="2"/>
  <c r="H8925" i="2"/>
  <c r="G8926" i="2"/>
  <c r="H8926" i="2"/>
  <c r="G8927" i="2"/>
  <c r="H8927" i="2"/>
  <c r="G8928" i="2"/>
  <c r="H8928" i="2"/>
  <c r="G8929" i="2"/>
  <c r="H8929" i="2"/>
  <c r="G8930" i="2"/>
  <c r="H8930" i="2"/>
  <c r="G8931" i="2"/>
  <c r="H8931" i="2"/>
  <c r="G8932" i="2"/>
  <c r="H8932" i="2"/>
  <c r="G8933" i="2"/>
  <c r="H8933" i="2"/>
  <c r="G8934" i="2"/>
  <c r="H8934" i="2"/>
  <c r="G8935" i="2"/>
  <c r="H8935" i="2"/>
  <c r="G8936" i="2"/>
  <c r="H8936" i="2"/>
  <c r="G8937" i="2"/>
  <c r="H8937" i="2"/>
  <c r="G8938" i="2"/>
  <c r="H8938" i="2"/>
  <c r="G8939" i="2"/>
  <c r="H8939" i="2"/>
  <c r="G8940" i="2"/>
  <c r="H8940" i="2"/>
  <c r="G8941" i="2"/>
  <c r="H8941" i="2"/>
  <c r="G8942" i="2"/>
  <c r="H8942" i="2"/>
  <c r="G8943" i="2"/>
  <c r="H8943" i="2"/>
  <c r="G8944" i="2"/>
  <c r="H8944" i="2"/>
  <c r="G8945" i="2"/>
  <c r="H8945" i="2"/>
  <c r="G8946" i="2"/>
  <c r="H8946" i="2"/>
  <c r="G8947" i="2"/>
  <c r="H8947" i="2"/>
  <c r="G8948" i="2"/>
  <c r="H8948" i="2"/>
  <c r="G8949" i="2"/>
  <c r="H8949" i="2"/>
  <c r="G8950" i="2"/>
  <c r="H8950" i="2"/>
  <c r="G8951" i="2"/>
  <c r="H8951" i="2"/>
  <c r="G8952" i="2"/>
  <c r="H8952" i="2"/>
  <c r="G8953" i="2"/>
  <c r="H8953" i="2"/>
  <c r="G8954" i="2"/>
  <c r="H8954" i="2"/>
  <c r="G8955" i="2"/>
  <c r="H8955" i="2"/>
  <c r="G8956" i="2"/>
  <c r="H8956" i="2"/>
  <c r="G8957" i="2"/>
  <c r="H8957" i="2"/>
  <c r="G8958" i="2"/>
  <c r="H8958" i="2"/>
  <c r="G8959" i="2"/>
  <c r="H8959" i="2"/>
  <c r="G8960" i="2"/>
  <c r="H8960" i="2"/>
  <c r="G8961" i="2"/>
  <c r="H8961" i="2"/>
  <c r="G8962" i="2"/>
  <c r="H8962" i="2"/>
  <c r="G8963" i="2"/>
  <c r="H8963" i="2"/>
  <c r="G8964" i="2"/>
  <c r="H8964" i="2"/>
  <c r="G8965" i="2"/>
  <c r="H8965" i="2"/>
  <c r="G8966" i="2"/>
  <c r="H8966" i="2"/>
  <c r="G8967" i="2"/>
  <c r="H8967" i="2"/>
  <c r="G8968" i="2"/>
  <c r="H8968" i="2"/>
  <c r="G8969" i="2"/>
  <c r="H8969" i="2"/>
  <c r="G8970" i="2"/>
  <c r="H8970" i="2"/>
  <c r="G8971" i="2"/>
  <c r="H8971" i="2"/>
  <c r="G8972" i="2"/>
  <c r="H8972" i="2"/>
  <c r="G8973" i="2"/>
  <c r="H8973" i="2"/>
  <c r="G8974" i="2"/>
  <c r="H8974" i="2"/>
  <c r="G8975" i="2"/>
  <c r="H8975" i="2"/>
  <c r="G8976" i="2"/>
  <c r="H8976" i="2"/>
  <c r="G8977" i="2"/>
  <c r="H8977" i="2"/>
  <c r="G8978" i="2"/>
  <c r="H8978" i="2"/>
  <c r="G8979" i="2"/>
  <c r="H8979" i="2"/>
  <c r="G8980" i="2"/>
  <c r="H8980" i="2"/>
  <c r="G8981" i="2"/>
  <c r="H8981" i="2"/>
  <c r="G8982" i="2"/>
  <c r="H8982" i="2"/>
  <c r="G8983" i="2"/>
  <c r="H8983" i="2"/>
  <c r="G8984" i="2"/>
  <c r="H8984" i="2"/>
  <c r="G8985" i="2"/>
  <c r="H8985" i="2"/>
  <c r="G8986" i="2"/>
  <c r="H8986" i="2"/>
  <c r="G8987" i="2"/>
  <c r="H8987" i="2"/>
  <c r="G8988" i="2"/>
  <c r="H8988" i="2"/>
  <c r="G8989" i="2"/>
  <c r="H8989" i="2"/>
  <c r="G8990" i="2"/>
  <c r="H8990" i="2"/>
  <c r="G8991" i="2"/>
  <c r="H8991" i="2"/>
  <c r="G8992" i="2"/>
  <c r="H8992" i="2"/>
  <c r="G8993" i="2"/>
  <c r="H8993" i="2"/>
  <c r="G8994" i="2"/>
  <c r="H8994" i="2"/>
  <c r="G8995" i="2"/>
  <c r="H8995" i="2"/>
  <c r="G8996" i="2"/>
  <c r="H8996" i="2"/>
  <c r="G8997" i="2"/>
  <c r="H8997" i="2"/>
  <c r="G8998" i="2"/>
  <c r="H8998" i="2"/>
  <c r="G8999" i="2"/>
  <c r="H8999" i="2"/>
  <c r="G9000" i="2"/>
  <c r="H9000" i="2"/>
  <c r="G9001" i="2"/>
  <c r="H9001" i="2"/>
  <c r="G9002" i="2"/>
  <c r="H9002" i="2"/>
  <c r="G9003" i="2"/>
  <c r="H9003" i="2"/>
  <c r="G9004" i="2"/>
  <c r="H9004" i="2"/>
  <c r="G9005" i="2"/>
  <c r="H9005" i="2"/>
  <c r="G9006" i="2"/>
  <c r="H9006" i="2"/>
  <c r="G9007" i="2"/>
  <c r="H9007" i="2"/>
  <c r="G9008" i="2"/>
  <c r="H9008" i="2"/>
  <c r="G9009" i="2"/>
  <c r="H9009" i="2"/>
  <c r="G9010" i="2"/>
  <c r="H9010" i="2"/>
  <c r="G9011" i="2"/>
  <c r="H9011" i="2"/>
  <c r="G9012" i="2"/>
  <c r="H9012" i="2"/>
  <c r="G9013" i="2"/>
  <c r="H9013" i="2"/>
  <c r="G9014" i="2"/>
  <c r="H9014" i="2"/>
  <c r="G9015" i="2"/>
  <c r="H9015" i="2"/>
  <c r="G9016" i="2"/>
  <c r="H9016" i="2"/>
  <c r="G9017" i="2"/>
  <c r="H9017" i="2"/>
  <c r="G9018" i="2"/>
  <c r="H9018" i="2"/>
  <c r="G9019" i="2"/>
  <c r="H9019" i="2"/>
  <c r="G9020" i="2"/>
  <c r="H9020" i="2"/>
  <c r="G9021" i="2"/>
  <c r="H9021" i="2"/>
  <c r="G9022" i="2"/>
  <c r="H9022" i="2"/>
  <c r="G9023" i="2"/>
  <c r="H9023" i="2"/>
  <c r="G9024" i="2"/>
  <c r="H9024" i="2"/>
  <c r="G9025" i="2"/>
  <c r="H9025" i="2"/>
  <c r="G9026" i="2"/>
  <c r="H9026" i="2"/>
  <c r="G9027" i="2"/>
  <c r="H9027" i="2"/>
  <c r="G9028" i="2"/>
  <c r="H9028" i="2"/>
  <c r="G9029" i="2"/>
  <c r="H9029" i="2"/>
  <c r="G9030" i="2"/>
  <c r="H9030" i="2"/>
  <c r="G9031" i="2"/>
  <c r="H9031" i="2"/>
  <c r="G9032" i="2"/>
  <c r="H9032" i="2"/>
  <c r="G9033" i="2"/>
  <c r="H9033" i="2"/>
  <c r="G9034" i="2"/>
  <c r="H9034" i="2"/>
  <c r="G9035" i="2"/>
  <c r="H9035" i="2"/>
  <c r="G9036" i="2"/>
  <c r="H9036" i="2"/>
  <c r="G9037" i="2"/>
  <c r="H9037" i="2"/>
  <c r="G9038" i="2"/>
  <c r="H9038" i="2"/>
  <c r="G9039" i="2"/>
  <c r="H9039" i="2"/>
  <c r="G9040" i="2"/>
  <c r="H9040" i="2"/>
  <c r="G9041" i="2"/>
  <c r="H9041" i="2"/>
  <c r="G9042" i="2"/>
  <c r="H9042" i="2"/>
  <c r="G9043" i="2"/>
  <c r="H9043" i="2"/>
  <c r="G9044" i="2"/>
  <c r="H9044" i="2"/>
  <c r="G9045" i="2"/>
  <c r="H9045" i="2"/>
  <c r="G9046" i="2"/>
  <c r="H9046" i="2"/>
  <c r="G9047" i="2"/>
  <c r="H9047" i="2"/>
  <c r="G9048" i="2"/>
  <c r="H9048" i="2"/>
  <c r="G9049" i="2"/>
  <c r="H9049" i="2"/>
  <c r="G9050" i="2"/>
  <c r="H9050" i="2"/>
  <c r="G9051" i="2"/>
  <c r="H9051" i="2"/>
  <c r="G9052" i="2"/>
  <c r="H9052" i="2"/>
  <c r="G9053" i="2"/>
  <c r="H9053" i="2"/>
  <c r="G9054" i="2"/>
  <c r="H9054" i="2"/>
  <c r="G9055" i="2"/>
  <c r="H9055" i="2"/>
  <c r="G9056" i="2"/>
  <c r="H9056" i="2"/>
  <c r="G9057" i="2"/>
  <c r="H9057" i="2"/>
  <c r="G9058" i="2"/>
  <c r="H9058" i="2"/>
  <c r="G9059" i="2"/>
  <c r="H9059" i="2"/>
  <c r="G9060" i="2"/>
  <c r="H9060" i="2"/>
  <c r="G9061" i="2"/>
  <c r="H9061" i="2"/>
  <c r="G9062" i="2"/>
  <c r="H9062" i="2"/>
  <c r="G9063" i="2"/>
  <c r="H9063" i="2"/>
  <c r="G9064" i="2"/>
  <c r="H9064" i="2"/>
  <c r="G9065" i="2"/>
  <c r="H9065" i="2"/>
  <c r="G9066" i="2"/>
  <c r="H9066" i="2"/>
  <c r="G9067" i="2"/>
  <c r="H9067" i="2"/>
  <c r="G9068" i="2"/>
  <c r="H9068" i="2"/>
  <c r="G9069" i="2"/>
  <c r="H9069" i="2"/>
  <c r="G9070" i="2"/>
  <c r="H9070" i="2"/>
  <c r="G9071" i="2"/>
  <c r="H9071" i="2"/>
  <c r="G9072" i="2"/>
  <c r="H9072" i="2"/>
  <c r="G9073" i="2"/>
  <c r="H9073" i="2"/>
  <c r="G9074" i="2"/>
  <c r="H9074" i="2"/>
  <c r="G9075" i="2"/>
  <c r="H9075" i="2"/>
  <c r="G9076" i="2"/>
  <c r="H9076" i="2"/>
  <c r="G9077" i="2"/>
  <c r="H9077" i="2"/>
  <c r="G9078" i="2"/>
  <c r="H9078" i="2"/>
  <c r="G9079" i="2"/>
  <c r="H9079" i="2"/>
  <c r="G9080" i="2"/>
  <c r="H9080" i="2"/>
  <c r="G9081" i="2"/>
  <c r="H9081" i="2"/>
  <c r="G9082" i="2"/>
  <c r="H9082" i="2"/>
  <c r="G9083" i="2"/>
  <c r="H9083" i="2"/>
  <c r="G9084" i="2"/>
  <c r="H9084" i="2"/>
  <c r="G9085" i="2"/>
  <c r="H9085" i="2"/>
  <c r="G9086" i="2"/>
  <c r="H9086" i="2"/>
  <c r="G9087" i="2"/>
  <c r="H9087" i="2"/>
  <c r="G9088" i="2"/>
  <c r="H9088" i="2"/>
  <c r="G9089" i="2"/>
  <c r="H9089" i="2"/>
  <c r="G9090" i="2"/>
  <c r="H9090" i="2"/>
  <c r="G9091" i="2"/>
  <c r="H9091" i="2"/>
  <c r="G9092" i="2"/>
  <c r="H9092" i="2"/>
  <c r="G9093" i="2"/>
  <c r="H9093" i="2"/>
  <c r="G9094" i="2"/>
  <c r="H9094" i="2"/>
  <c r="G9095" i="2"/>
  <c r="H9095" i="2"/>
  <c r="G9096" i="2"/>
  <c r="H9096" i="2"/>
  <c r="G9097" i="2"/>
  <c r="H9097" i="2"/>
  <c r="G9098" i="2"/>
  <c r="H9098" i="2"/>
  <c r="G9099" i="2"/>
  <c r="H9099" i="2"/>
  <c r="G9100" i="2"/>
  <c r="H9100" i="2"/>
  <c r="G9101" i="2"/>
  <c r="H9101" i="2"/>
  <c r="G9102" i="2"/>
  <c r="H9102" i="2"/>
  <c r="G9103" i="2"/>
  <c r="H9103" i="2"/>
  <c r="G9104" i="2"/>
  <c r="H9104" i="2"/>
  <c r="G9105" i="2"/>
  <c r="H9105" i="2"/>
  <c r="G9106" i="2"/>
  <c r="H9106" i="2"/>
  <c r="G9107" i="2"/>
  <c r="H9107" i="2"/>
  <c r="G9108" i="2"/>
  <c r="H9108" i="2"/>
  <c r="G9109" i="2"/>
  <c r="H9109" i="2"/>
  <c r="G9110" i="2"/>
  <c r="H9110" i="2"/>
  <c r="G9111" i="2"/>
  <c r="H9111" i="2"/>
  <c r="G9112" i="2"/>
  <c r="H9112" i="2"/>
  <c r="G9113" i="2"/>
  <c r="H9113" i="2"/>
  <c r="G9114" i="2"/>
  <c r="H9114" i="2"/>
  <c r="G9115" i="2"/>
  <c r="H9115" i="2"/>
  <c r="G9116" i="2"/>
  <c r="H9116" i="2"/>
  <c r="G9117" i="2"/>
  <c r="H9117" i="2"/>
  <c r="G9118" i="2"/>
  <c r="H9118" i="2"/>
  <c r="G9119" i="2"/>
  <c r="H9119" i="2"/>
  <c r="G9120" i="2"/>
  <c r="H9120" i="2"/>
  <c r="G9121" i="2"/>
  <c r="H9121" i="2"/>
  <c r="G9122" i="2"/>
  <c r="H9122" i="2"/>
  <c r="G9123" i="2"/>
  <c r="H9123" i="2"/>
  <c r="G9124" i="2"/>
  <c r="H9124" i="2"/>
  <c r="G9125" i="2"/>
  <c r="H9125" i="2"/>
  <c r="G9126" i="2"/>
  <c r="H9126" i="2"/>
  <c r="G9127" i="2"/>
  <c r="H9127" i="2"/>
  <c r="G9128" i="2"/>
  <c r="H9128" i="2"/>
  <c r="G9129" i="2"/>
  <c r="H9129" i="2"/>
  <c r="G9130" i="2"/>
  <c r="H9130" i="2"/>
  <c r="G9131" i="2"/>
  <c r="H9131" i="2"/>
  <c r="G9132" i="2"/>
  <c r="H9132" i="2"/>
  <c r="G9133" i="2"/>
  <c r="H9133" i="2"/>
  <c r="G9134" i="2"/>
  <c r="H9134" i="2"/>
  <c r="G9135" i="2"/>
  <c r="H9135" i="2"/>
  <c r="G9136" i="2"/>
  <c r="H9136" i="2"/>
  <c r="G9137" i="2"/>
  <c r="H9137" i="2"/>
  <c r="G9138" i="2"/>
  <c r="H9138" i="2"/>
  <c r="G9139" i="2"/>
  <c r="H9139" i="2"/>
  <c r="G9140" i="2"/>
  <c r="H9140" i="2"/>
  <c r="G9141" i="2"/>
  <c r="H9141" i="2"/>
  <c r="G9142" i="2"/>
  <c r="H9142" i="2"/>
  <c r="G9143" i="2"/>
  <c r="H9143" i="2"/>
  <c r="G9144" i="2"/>
  <c r="H9144" i="2"/>
  <c r="G9145" i="2"/>
  <c r="H9145" i="2"/>
  <c r="G9146" i="2"/>
  <c r="H9146" i="2"/>
  <c r="G9147" i="2"/>
  <c r="H9147" i="2"/>
  <c r="G9148" i="2"/>
  <c r="H9148" i="2"/>
  <c r="G9149" i="2"/>
  <c r="H9149" i="2"/>
  <c r="G9150" i="2"/>
  <c r="H9150" i="2"/>
  <c r="G9151" i="2"/>
  <c r="H9151" i="2"/>
  <c r="G9152" i="2"/>
  <c r="H9152" i="2"/>
  <c r="G9153" i="2"/>
  <c r="H9153" i="2"/>
  <c r="G9154" i="2"/>
  <c r="H9154" i="2"/>
  <c r="G9155" i="2"/>
  <c r="H9155" i="2"/>
  <c r="G9156" i="2"/>
  <c r="H9156" i="2"/>
  <c r="G9157" i="2"/>
  <c r="H9157" i="2"/>
  <c r="G9158" i="2"/>
  <c r="H9158" i="2"/>
  <c r="G9159" i="2"/>
  <c r="H9159" i="2"/>
  <c r="G9160" i="2"/>
  <c r="H9160" i="2"/>
  <c r="G9161" i="2"/>
  <c r="H9161" i="2"/>
  <c r="G9162" i="2"/>
  <c r="H9162" i="2"/>
  <c r="G9163" i="2"/>
  <c r="H9163" i="2"/>
  <c r="G9164" i="2"/>
  <c r="H9164" i="2"/>
  <c r="G9165" i="2"/>
  <c r="H9165" i="2"/>
  <c r="G9166" i="2"/>
  <c r="H9166" i="2"/>
  <c r="G9167" i="2"/>
  <c r="H9167" i="2"/>
  <c r="G9168" i="2"/>
  <c r="H9168" i="2"/>
  <c r="G9169" i="2"/>
  <c r="H9169" i="2"/>
  <c r="G9170" i="2"/>
  <c r="H9170" i="2"/>
  <c r="G9171" i="2"/>
  <c r="H9171" i="2"/>
  <c r="G9172" i="2"/>
  <c r="H9172" i="2"/>
  <c r="G9173" i="2"/>
  <c r="H9173" i="2"/>
  <c r="G9174" i="2"/>
  <c r="H9174" i="2"/>
  <c r="G9175" i="2"/>
  <c r="H9175" i="2"/>
  <c r="G9176" i="2"/>
  <c r="H9176" i="2"/>
  <c r="G9177" i="2"/>
  <c r="H9177" i="2"/>
  <c r="G9178" i="2"/>
  <c r="H9178" i="2"/>
  <c r="G9179" i="2"/>
  <c r="H9179" i="2"/>
  <c r="G9180" i="2"/>
  <c r="H9180" i="2"/>
  <c r="G9181" i="2"/>
  <c r="H9181" i="2"/>
  <c r="G9182" i="2"/>
  <c r="H9182" i="2"/>
  <c r="G9183" i="2"/>
  <c r="H9183" i="2"/>
  <c r="G9184" i="2"/>
  <c r="H9184" i="2"/>
  <c r="G9185" i="2"/>
  <c r="H9185" i="2"/>
  <c r="G9186" i="2"/>
  <c r="H9186" i="2"/>
  <c r="G9187" i="2"/>
  <c r="H9187" i="2"/>
  <c r="G9188" i="2"/>
  <c r="H9188" i="2"/>
  <c r="G9189" i="2"/>
  <c r="H9189" i="2"/>
  <c r="G9190" i="2"/>
  <c r="H9190" i="2"/>
  <c r="G9191" i="2"/>
  <c r="H9191" i="2"/>
  <c r="G9192" i="2"/>
  <c r="H9192" i="2"/>
  <c r="G9193" i="2"/>
  <c r="H9193" i="2"/>
  <c r="G9194" i="2"/>
  <c r="H9194" i="2"/>
  <c r="G9195" i="2"/>
  <c r="H9195" i="2"/>
  <c r="G9196" i="2"/>
  <c r="H9196" i="2"/>
  <c r="G9197" i="2"/>
  <c r="H9197" i="2"/>
  <c r="G9198" i="2"/>
  <c r="H9198" i="2"/>
  <c r="G9199" i="2"/>
  <c r="H9199" i="2"/>
  <c r="G9200" i="2"/>
  <c r="H9200" i="2"/>
  <c r="G9201" i="2"/>
  <c r="H9201" i="2"/>
  <c r="G9202" i="2"/>
  <c r="H9202" i="2"/>
  <c r="G9203" i="2"/>
  <c r="H9203" i="2"/>
  <c r="G9204" i="2"/>
  <c r="H9204" i="2"/>
  <c r="G9205" i="2"/>
  <c r="H9205" i="2"/>
  <c r="G9206" i="2"/>
  <c r="H9206" i="2"/>
  <c r="G9207" i="2"/>
  <c r="H9207" i="2"/>
  <c r="G9208" i="2"/>
  <c r="H9208" i="2"/>
  <c r="G9209" i="2"/>
  <c r="H9209" i="2"/>
  <c r="G9210" i="2"/>
  <c r="H9210" i="2"/>
  <c r="G9211" i="2"/>
  <c r="H9211" i="2"/>
  <c r="G9212" i="2"/>
  <c r="H9212" i="2"/>
  <c r="G9213" i="2"/>
  <c r="H9213" i="2"/>
  <c r="G9214" i="2"/>
  <c r="H9214" i="2"/>
  <c r="G9215" i="2"/>
  <c r="H9215" i="2"/>
  <c r="G9216" i="2"/>
  <c r="H9216" i="2"/>
  <c r="G9217" i="2"/>
  <c r="H9217" i="2"/>
  <c r="G9218" i="2"/>
  <c r="H9218" i="2"/>
  <c r="G9219" i="2"/>
  <c r="H9219" i="2"/>
  <c r="G9220" i="2"/>
  <c r="H9220" i="2"/>
  <c r="G9221" i="2"/>
  <c r="H9221" i="2"/>
  <c r="G9222" i="2"/>
  <c r="H9222" i="2"/>
  <c r="G9223" i="2"/>
  <c r="H9223" i="2"/>
  <c r="G9224" i="2"/>
  <c r="H9224" i="2"/>
  <c r="G9225" i="2"/>
  <c r="H9225" i="2"/>
  <c r="G9226" i="2"/>
  <c r="H9226" i="2"/>
  <c r="G9227" i="2"/>
  <c r="H9227" i="2"/>
  <c r="G9228" i="2"/>
  <c r="H9228" i="2"/>
  <c r="G9229" i="2"/>
  <c r="H9229" i="2"/>
  <c r="G9230" i="2"/>
  <c r="H9230" i="2"/>
  <c r="G9231" i="2"/>
  <c r="H9231" i="2"/>
  <c r="G9232" i="2"/>
  <c r="H9232" i="2"/>
  <c r="G9233" i="2"/>
  <c r="H9233" i="2"/>
  <c r="G9234" i="2"/>
  <c r="H9234" i="2"/>
  <c r="G9235" i="2"/>
  <c r="H9235" i="2"/>
  <c r="G9236" i="2"/>
  <c r="H9236" i="2"/>
  <c r="G9237" i="2"/>
  <c r="H9237" i="2"/>
  <c r="G9238" i="2"/>
  <c r="H9238" i="2"/>
  <c r="G9239" i="2"/>
  <c r="H9239" i="2"/>
  <c r="G9240" i="2"/>
  <c r="H9240" i="2"/>
  <c r="G9241" i="2"/>
  <c r="H9241" i="2"/>
  <c r="G9242" i="2"/>
  <c r="H9242" i="2"/>
  <c r="G9243" i="2"/>
  <c r="H9243" i="2"/>
  <c r="G9244" i="2"/>
  <c r="H9244" i="2"/>
  <c r="G9245" i="2"/>
  <c r="H9245" i="2"/>
  <c r="G9246" i="2"/>
  <c r="H9246" i="2"/>
  <c r="G9247" i="2"/>
  <c r="H9247" i="2"/>
  <c r="G9248" i="2"/>
  <c r="H9248" i="2"/>
  <c r="G9249" i="2"/>
  <c r="H9249" i="2"/>
  <c r="G9250" i="2"/>
  <c r="H9250" i="2"/>
  <c r="G9251" i="2"/>
  <c r="H9251" i="2"/>
  <c r="G9252" i="2"/>
  <c r="H9252" i="2"/>
  <c r="G9253" i="2"/>
  <c r="H9253" i="2"/>
  <c r="G9254" i="2"/>
  <c r="H9254" i="2"/>
  <c r="G9255" i="2"/>
  <c r="H9255" i="2"/>
  <c r="G9256" i="2"/>
  <c r="H9256" i="2"/>
  <c r="G9257" i="2"/>
  <c r="H9257" i="2"/>
  <c r="G9258" i="2"/>
  <c r="H9258" i="2"/>
  <c r="G9259" i="2"/>
  <c r="H9259" i="2"/>
  <c r="G9260" i="2"/>
  <c r="H9260" i="2"/>
  <c r="G9261" i="2"/>
  <c r="H9261" i="2"/>
  <c r="G9262" i="2"/>
  <c r="H9262" i="2"/>
  <c r="G9263" i="2"/>
  <c r="H9263" i="2"/>
  <c r="G9264" i="2"/>
  <c r="H9264" i="2"/>
  <c r="G9265" i="2"/>
  <c r="H9265" i="2"/>
  <c r="G9266" i="2"/>
  <c r="H9266" i="2"/>
  <c r="G9267" i="2"/>
  <c r="H9267" i="2"/>
  <c r="G9268" i="2"/>
  <c r="H9268" i="2"/>
  <c r="G9269" i="2"/>
  <c r="H9269" i="2"/>
  <c r="G9270" i="2"/>
  <c r="H9270" i="2"/>
  <c r="G9271" i="2"/>
  <c r="H9271" i="2"/>
  <c r="G9272" i="2"/>
  <c r="H9272" i="2"/>
  <c r="G9273" i="2"/>
  <c r="H9273" i="2"/>
  <c r="G9274" i="2"/>
  <c r="H9274" i="2"/>
  <c r="G9275" i="2"/>
  <c r="H9275" i="2"/>
  <c r="G9276" i="2"/>
  <c r="H9276" i="2"/>
  <c r="G9277" i="2"/>
  <c r="H9277" i="2"/>
  <c r="G9278" i="2"/>
  <c r="H9278" i="2"/>
  <c r="G9279" i="2"/>
  <c r="H9279" i="2"/>
  <c r="G9280" i="2"/>
  <c r="H9280" i="2"/>
  <c r="G9281" i="2"/>
  <c r="H9281" i="2"/>
  <c r="G9282" i="2"/>
  <c r="H9282" i="2"/>
  <c r="G9283" i="2"/>
  <c r="H9283" i="2"/>
  <c r="G9284" i="2"/>
  <c r="H9284" i="2"/>
  <c r="G9285" i="2"/>
  <c r="H9285" i="2"/>
  <c r="G9286" i="2"/>
  <c r="H9286" i="2"/>
  <c r="G9287" i="2"/>
  <c r="H9287" i="2"/>
  <c r="G9288" i="2"/>
  <c r="H9288" i="2"/>
  <c r="G9289" i="2"/>
  <c r="H9289" i="2"/>
  <c r="G9290" i="2"/>
  <c r="H9290" i="2"/>
  <c r="G9291" i="2"/>
  <c r="H9291" i="2"/>
  <c r="G9292" i="2"/>
  <c r="H9292" i="2"/>
  <c r="G9293" i="2"/>
  <c r="H9293" i="2"/>
  <c r="G9294" i="2"/>
  <c r="H9294" i="2"/>
  <c r="G9295" i="2"/>
  <c r="H9295" i="2"/>
  <c r="G9296" i="2"/>
  <c r="H9296" i="2"/>
  <c r="G9297" i="2"/>
  <c r="H9297" i="2"/>
  <c r="G9298" i="2"/>
  <c r="H9298" i="2"/>
  <c r="G9299" i="2"/>
  <c r="H9299" i="2"/>
  <c r="G9300" i="2"/>
  <c r="H9300" i="2"/>
  <c r="G9301" i="2"/>
  <c r="H9301" i="2"/>
  <c r="G9302" i="2"/>
  <c r="H9302" i="2"/>
  <c r="G9303" i="2"/>
  <c r="H9303" i="2"/>
  <c r="G9304" i="2"/>
  <c r="H9304" i="2"/>
  <c r="G9305" i="2"/>
  <c r="H9305" i="2"/>
  <c r="G9306" i="2"/>
  <c r="H9306" i="2"/>
  <c r="G9307" i="2"/>
  <c r="H9307" i="2"/>
  <c r="G9308" i="2"/>
  <c r="H9308" i="2"/>
  <c r="G9309" i="2"/>
  <c r="H9309" i="2"/>
  <c r="G9310" i="2"/>
  <c r="H9310" i="2"/>
  <c r="G9311" i="2"/>
  <c r="H9311" i="2"/>
  <c r="G9312" i="2"/>
  <c r="H9312" i="2"/>
  <c r="G9313" i="2"/>
  <c r="H9313" i="2"/>
  <c r="G9314" i="2"/>
  <c r="H9314" i="2"/>
  <c r="G9315" i="2"/>
  <c r="H9315" i="2"/>
  <c r="G9316" i="2"/>
  <c r="H9316" i="2"/>
  <c r="G9317" i="2"/>
  <c r="H9317" i="2"/>
  <c r="G9318" i="2"/>
  <c r="H9318" i="2"/>
  <c r="G9319" i="2"/>
  <c r="H9319" i="2"/>
  <c r="G9320" i="2"/>
  <c r="H9320" i="2"/>
  <c r="G9321" i="2"/>
  <c r="H9321" i="2"/>
  <c r="G9322" i="2"/>
  <c r="H9322" i="2"/>
  <c r="G9323" i="2"/>
  <c r="H9323" i="2"/>
  <c r="G9324" i="2"/>
  <c r="H9324" i="2"/>
  <c r="G9325" i="2"/>
  <c r="H9325" i="2"/>
  <c r="G9326" i="2"/>
  <c r="H9326" i="2"/>
  <c r="G9327" i="2"/>
  <c r="H9327" i="2"/>
  <c r="G9328" i="2"/>
  <c r="H9328" i="2"/>
  <c r="G9329" i="2"/>
  <c r="H9329" i="2"/>
  <c r="G9330" i="2"/>
  <c r="H9330" i="2"/>
  <c r="G9331" i="2"/>
  <c r="H9331" i="2"/>
  <c r="G9332" i="2"/>
  <c r="H9332" i="2"/>
  <c r="G9333" i="2"/>
  <c r="H9333" i="2"/>
  <c r="G9334" i="2"/>
  <c r="H9334" i="2"/>
  <c r="G9335" i="2"/>
  <c r="H9335" i="2"/>
  <c r="G9336" i="2"/>
  <c r="H9336" i="2"/>
  <c r="G9337" i="2"/>
  <c r="H9337" i="2"/>
  <c r="G9338" i="2"/>
  <c r="H9338" i="2"/>
  <c r="G9339" i="2"/>
  <c r="H9339" i="2"/>
  <c r="G9340" i="2"/>
  <c r="H9340" i="2"/>
  <c r="G9341" i="2"/>
  <c r="H9341" i="2"/>
  <c r="G9342" i="2"/>
  <c r="H9342" i="2"/>
  <c r="G9343" i="2"/>
  <c r="H9343" i="2"/>
  <c r="G9344" i="2"/>
  <c r="H9344" i="2"/>
  <c r="G9345" i="2"/>
  <c r="H9345" i="2"/>
  <c r="G9346" i="2"/>
  <c r="H9346" i="2"/>
  <c r="G9347" i="2"/>
  <c r="H9347" i="2"/>
  <c r="G9348" i="2"/>
  <c r="H9348" i="2"/>
  <c r="G9349" i="2"/>
  <c r="H9349" i="2"/>
  <c r="G9350" i="2"/>
  <c r="H9350" i="2"/>
  <c r="G9351" i="2"/>
  <c r="H9351" i="2"/>
  <c r="G9352" i="2"/>
  <c r="H9352" i="2"/>
  <c r="G9353" i="2"/>
  <c r="H9353" i="2"/>
  <c r="G9354" i="2"/>
  <c r="H9354" i="2"/>
  <c r="G9355" i="2"/>
  <c r="H9355" i="2"/>
  <c r="G9356" i="2"/>
  <c r="H9356" i="2"/>
  <c r="G9357" i="2"/>
  <c r="H9357" i="2"/>
  <c r="G9358" i="2"/>
  <c r="H9358" i="2"/>
  <c r="G9359" i="2"/>
  <c r="H9359" i="2"/>
  <c r="G9360" i="2"/>
  <c r="H9360" i="2"/>
  <c r="G9361" i="2"/>
  <c r="H9361" i="2"/>
  <c r="G9362" i="2"/>
  <c r="H9362" i="2"/>
  <c r="G9363" i="2"/>
  <c r="H9363" i="2"/>
  <c r="G9364" i="2"/>
  <c r="H9364" i="2"/>
  <c r="G9365" i="2"/>
  <c r="H9365" i="2"/>
  <c r="G9366" i="2"/>
  <c r="H9366" i="2"/>
  <c r="G9367" i="2"/>
  <c r="H9367" i="2"/>
  <c r="G9368" i="2"/>
  <c r="H9368" i="2"/>
  <c r="G9369" i="2"/>
  <c r="H9369" i="2"/>
  <c r="G9370" i="2"/>
  <c r="H9370" i="2"/>
  <c r="G9371" i="2"/>
  <c r="H9371" i="2"/>
  <c r="G9372" i="2"/>
  <c r="H9372" i="2"/>
  <c r="G9373" i="2"/>
  <c r="H9373" i="2"/>
  <c r="G9374" i="2"/>
  <c r="H9374" i="2"/>
  <c r="G9375" i="2"/>
  <c r="H9375" i="2"/>
  <c r="G9376" i="2"/>
  <c r="H9376" i="2"/>
  <c r="G9377" i="2"/>
  <c r="H9377" i="2"/>
  <c r="G9378" i="2"/>
  <c r="H9378" i="2"/>
  <c r="G9379" i="2"/>
  <c r="H9379" i="2"/>
  <c r="G9380" i="2"/>
  <c r="H9380" i="2"/>
  <c r="G9381" i="2"/>
  <c r="H9381" i="2"/>
  <c r="G9382" i="2"/>
  <c r="H9382" i="2"/>
  <c r="G9383" i="2"/>
  <c r="H9383" i="2"/>
  <c r="G9384" i="2"/>
  <c r="H9384" i="2"/>
  <c r="G9385" i="2"/>
  <c r="H9385" i="2"/>
  <c r="G9386" i="2"/>
  <c r="H9386" i="2"/>
  <c r="G9387" i="2"/>
  <c r="H9387" i="2"/>
  <c r="G9388" i="2"/>
  <c r="H9388" i="2"/>
  <c r="G9389" i="2"/>
  <c r="H9389" i="2"/>
  <c r="G9390" i="2"/>
  <c r="H9390" i="2"/>
  <c r="G9391" i="2"/>
  <c r="H9391" i="2"/>
  <c r="G9392" i="2"/>
  <c r="H9392" i="2"/>
  <c r="G9393" i="2"/>
  <c r="H9393" i="2"/>
  <c r="G9394" i="2"/>
  <c r="H9394" i="2"/>
  <c r="G9395" i="2"/>
  <c r="H9395" i="2"/>
  <c r="G9396" i="2"/>
  <c r="H9396" i="2"/>
  <c r="G9397" i="2"/>
  <c r="H9397" i="2"/>
  <c r="G9398" i="2"/>
  <c r="H9398" i="2"/>
  <c r="G9399" i="2"/>
  <c r="H9399" i="2"/>
  <c r="G9400" i="2"/>
  <c r="H9400" i="2"/>
  <c r="G9401" i="2"/>
  <c r="H9401" i="2"/>
  <c r="G9402" i="2"/>
  <c r="H9402" i="2"/>
  <c r="G9403" i="2"/>
  <c r="H9403" i="2"/>
  <c r="G9404" i="2"/>
  <c r="H9404" i="2"/>
  <c r="G9405" i="2"/>
  <c r="H9405" i="2"/>
  <c r="G9406" i="2"/>
  <c r="H9406" i="2"/>
  <c r="G9407" i="2"/>
  <c r="H9407" i="2"/>
  <c r="G9408" i="2"/>
  <c r="H9408" i="2"/>
  <c r="G9409" i="2"/>
  <c r="H9409" i="2"/>
  <c r="G9410" i="2"/>
  <c r="H9410" i="2"/>
  <c r="G9411" i="2"/>
  <c r="H9411" i="2"/>
  <c r="G9412" i="2"/>
  <c r="H9412" i="2"/>
  <c r="G9413" i="2"/>
  <c r="H9413" i="2"/>
  <c r="G9414" i="2"/>
  <c r="H9414" i="2"/>
  <c r="G9415" i="2"/>
  <c r="H9415" i="2"/>
  <c r="G9416" i="2"/>
  <c r="H9416" i="2"/>
  <c r="G9417" i="2"/>
  <c r="H9417" i="2"/>
  <c r="G9418" i="2"/>
  <c r="H9418" i="2"/>
  <c r="G9419" i="2"/>
  <c r="H9419" i="2"/>
  <c r="G9420" i="2"/>
  <c r="H9420" i="2"/>
  <c r="G9421" i="2"/>
  <c r="H9421" i="2"/>
  <c r="G9422" i="2"/>
  <c r="H9422" i="2"/>
  <c r="G9423" i="2"/>
  <c r="H9423" i="2"/>
  <c r="G9424" i="2"/>
  <c r="H9424" i="2"/>
  <c r="G9425" i="2"/>
  <c r="H9425" i="2"/>
  <c r="G9426" i="2"/>
  <c r="H9426" i="2"/>
  <c r="G9427" i="2"/>
  <c r="H9427" i="2"/>
  <c r="G9428" i="2"/>
  <c r="H9428" i="2"/>
  <c r="G9429" i="2"/>
  <c r="H9429" i="2"/>
  <c r="G9430" i="2"/>
  <c r="H9430" i="2"/>
  <c r="G9431" i="2"/>
  <c r="H9431" i="2"/>
  <c r="G9432" i="2"/>
  <c r="H9432" i="2"/>
  <c r="G9433" i="2"/>
  <c r="H9433" i="2"/>
  <c r="G9434" i="2"/>
  <c r="H9434" i="2"/>
  <c r="G9435" i="2"/>
  <c r="H9435" i="2"/>
  <c r="G9436" i="2"/>
  <c r="H9436" i="2"/>
  <c r="G9437" i="2"/>
  <c r="H9437" i="2"/>
  <c r="G9438" i="2"/>
  <c r="H9438" i="2"/>
  <c r="G9439" i="2"/>
  <c r="H9439" i="2"/>
  <c r="G9440" i="2"/>
  <c r="H9440" i="2"/>
  <c r="G9441" i="2"/>
  <c r="H9441" i="2"/>
  <c r="G9442" i="2"/>
  <c r="H9442" i="2"/>
  <c r="G9443" i="2"/>
  <c r="H9443" i="2"/>
  <c r="G9444" i="2"/>
  <c r="H9444" i="2"/>
  <c r="G9445" i="2"/>
  <c r="H9445" i="2"/>
  <c r="G9446" i="2"/>
  <c r="H9446" i="2"/>
  <c r="G9447" i="2"/>
  <c r="H9447" i="2"/>
  <c r="G9448" i="2"/>
  <c r="H9448" i="2"/>
  <c r="G9449" i="2"/>
  <c r="H9449" i="2"/>
  <c r="G9450" i="2"/>
  <c r="H9450" i="2"/>
  <c r="G9451" i="2"/>
  <c r="H9451" i="2"/>
  <c r="G9452" i="2"/>
  <c r="H9452" i="2"/>
  <c r="G9453" i="2"/>
  <c r="H9453" i="2"/>
  <c r="G9454" i="2"/>
  <c r="H9454" i="2"/>
  <c r="G9455" i="2"/>
  <c r="H9455" i="2"/>
  <c r="G9456" i="2"/>
  <c r="H9456" i="2"/>
  <c r="G9457" i="2"/>
  <c r="H9457" i="2"/>
  <c r="G9458" i="2"/>
  <c r="H9458" i="2"/>
  <c r="G9459" i="2"/>
  <c r="H9459" i="2"/>
  <c r="G9460" i="2"/>
  <c r="H9460" i="2"/>
  <c r="G9461" i="2"/>
  <c r="H9461" i="2"/>
  <c r="G9462" i="2"/>
  <c r="H9462" i="2"/>
  <c r="G9463" i="2"/>
  <c r="H9463" i="2"/>
  <c r="G9464" i="2"/>
  <c r="H9464" i="2"/>
  <c r="G9465" i="2"/>
  <c r="H9465" i="2"/>
  <c r="G9466" i="2"/>
  <c r="H9466" i="2"/>
  <c r="G9467" i="2"/>
  <c r="H9467" i="2"/>
  <c r="G9468" i="2"/>
  <c r="H9468" i="2"/>
  <c r="G9469" i="2"/>
  <c r="H9469" i="2"/>
  <c r="G9470" i="2"/>
  <c r="H9470" i="2"/>
  <c r="G9471" i="2"/>
  <c r="H9471" i="2"/>
  <c r="G9472" i="2"/>
  <c r="H9472" i="2"/>
  <c r="G9473" i="2"/>
  <c r="H9473" i="2"/>
  <c r="G9474" i="2"/>
  <c r="H9474" i="2"/>
  <c r="G9475" i="2"/>
  <c r="H9475" i="2"/>
  <c r="G9476" i="2"/>
  <c r="H9476" i="2"/>
  <c r="G9477" i="2"/>
  <c r="H9477" i="2"/>
  <c r="G9478" i="2"/>
  <c r="H9478" i="2"/>
  <c r="G9479" i="2"/>
  <c r="H9479" i="2"/>
  <c r="G9480" i="2"/>
  <c r="H9480" i="2"/>
  <c r="G9481" i="2"/>
  <c r="H9481" i="2"/>
  <c r="G9482" i="2"/>
  <c r="H9482" i="2"/>
  <c r="G9483" i="2"/>
  <c r="H9483" i="2"/>
  <c r="G9484" i="2"/>
  <c r="H9484" i="2"/>
  <c r="G9485" i="2"/>
  <c r="H9485" i="2"/>
  <c r="G9486" i="2"/>
  <c r="H9486" i="2"/>
  <c r="G9487" i="2"/>
  <c r="H9487" i="2"/>
  <c r="G9488" i="2"/>
  <c r="H9488" i="2"/>
  <c r="G9489" i="2"/>
  <c r="H9489" i="2"/>
  <c r="G9490" i="2"/>
  <c r="H9490" i="2"/>
  <c r="G9491" i="2"/>
  <c r="H9491" i="2"/>
  <c r="G9492" i="2"/>
  <c r="H9492" i="2"/>
  <c r="G9493" i="2"/>
  <c r="H9493" i="2"/>
  <c r="G9494" i="2"/>
  <c r="H9494" i="2"/>
  <c r="G9495" i="2"/>
  <c r="H9495" i="2"/>
  <c r="G9496" i="2"/>
  <c r="H9496" i="2"/>
  <c r="G9497" i="2"/>
  <c r="H9497" i="2"/>
  <c r="G9498" i="2"/>
  <c r="H9498" i="2"/>
  <c r="G9499" i="2"/>
  <c r="H9499" i="2"/>
  <c r="G9500" i="2"/>
  <c r="H9500" i="2"/>
  <c r="G9501" i="2"/>
  <c r="H9501" i="2"/>
  <c r="G9502" i="2"/>
  <c r="H9502" i="2"/>
  <c r="G9503" i="2"/>
  <c r="H9503" i="2"/>
  <c r="G9504" i="2"/>
  <c r="H9504" i="2"/>
  <c r="G9505" i="2"/>
  <c r="H9505" i="2"/>
  <c r="G9506" i="2"/>
  <c r="H9506" i="2"/>
  <c r="G9507" i="2"/>
  <c r="H9507" i="2"/>
  <c r="G9508" i="2"/>
  <c r="H9508" i="2"/>
  <c r="G9509" i="2"/>
  <c r="H9509" i="2"/>
  <c r="G9510" i="2"/>
  <c r="H9510" i="2"/>
  <c r="G9511" i="2"/>
  <c r="H9511" i="2"/>
  <c r="G9512" i="2"/>
  <c r="H9512" i="2"/>
  <c r="G9513" i="2"/>
  <c r="H9513" i="2"/>
  <c r="G9514" i="2"/>
  <c r="H9514" i="2"/>
  <c r="G9515" i="2"/>
  <c r="H9515" i="2"/>
  <c r="G9516" i="2"/>
  <c r="H9516" i="2"/>
  <c r="G9517" i="2"/>
  <c r="H9517" i="2"/>
  <c r="G9518" i="2"/>
  <c r="H9518" i="2"/>
  <c r="G9519" i="2"/>
  <c r="H9519" i="2"/>
  <c r="G9520" i="2"/>
  <c r="H9520" i="2"/>
  <c r="G9521" i="2"/>
  <c r="H9521" i="2"/>
  <c r="G9522" i="2"/>
  <c r="H9522" i="2"/>
  <c r="G9523" i="2"/>
  <c r="H9523" i="2"/>
  <c r="G9524" i="2"/>
  <c r="H9524" i="2"/>
  <c r="G9525" i="2"/>
  <c r="H9525" i="2"/>
  <c r="G9526" i="2"/>
  <c r="H9526" i="2"/>
  <c r="G9527" i="2"/>
  <c r="H9527" i="2"/>
  <c r="G9528" i="2"/>
  <c r="H9528" i="2"/>
  <c r="G9529" i="2"/>
  <c r="H9529" i="2"/>
  <c r="G9530" i="2"/>
  <c r="H9530" i="2"/>
  <c r="G9531" i="2"/>
  <c r="H9531" i="2"/>
  <c r="G9532" i="2"/>
  <c r="H9532" i="2"/>
  <c r="G9533" i="2"/>
  <c r="H9533" i="2"/>
  <c r="G9534" i="2"/>
  <c r="H9534" i="2"/>
  <c r="G9535" i="2"/>
  <c r="H9535" i="2"/>
  <c r="G9536" i="2"/>
  <c r="H9536" i="2"/>
  <c r="G9537" i="2"/>
  <c r="H9537" i="2"/>
  <c r="G9538" i="2"/>
  <c r="H9538" i="2"/>
  <c r="G9539" i="2"/>
  <c r="H9539" i="2"/>
  <c r="G9540" i="2"/>
  <c r="H9540" i="2"/>
  <c r="G9541" i="2"/>
  <c r="H9541" i="2"/>
  <c r="G9542" i="2"/>
  <c r="H9542" i="2"/>
  <c r="G9543" i="2"/>
  <c r="H9543" i="2"/>
  <c r="G9544" i="2"/>
  <c r="H9544" i="2"/>
  <c r="G9545" i="2"/>
  <c r="H9545" i="2"/>
  <c r="G9546" i="2"/>
  <c r="H9546" i="2"/>
  <c r="G9547" i="2"/>
  <c r="H9547" i="2"/>
  <c r="G9548" i="2"/>
  <c r="H9548" i="2"/>
  <c r="G9549" i="2"/>
  <c r="H9549" i="2"/>
  <c r="G9550" i="2"/>
  <c r="H9550" i="2"/>
  <c r="G9551" i="2"/>
  <c r="H9551" i="2"/>
  <c r="G9552" i="2"/>
  <c r="H9552" i="2"/>
  <c r="G9553" i="2"/>
  <c r="H9553" i="2"/>
  <c r="G9554" i="2"/>
  <c r="H9554" i="2"/>
  <c r="G9555" i="2"/>
  <c r="H9555" i="2"/>
  <c r="G9556" i="2"/>
  <c r="H9556" i="2"/>
  <c r="G9557" i="2"/>
  <c r="H9557" i="2"/>
  <c r="G9558" i="2"/>
  <c r="H9558" i="2"/>
  <c r="G9559" i="2"/>
  <c r="H9559" i="2"/>
  <c r="G9560" i="2"/>
  <c r="H9560" i="2"/>
  <c r="G9561" i="2"/>
  <c r="H9561" i="2"/>
  <c r="G9562" i="2"/>
  <c r="H9562" i="2"/>
  <c r="G9563" i="2"/>
  <c r="H9563" i="2"/>
  <c r="G9564" i="2"/>
  <c r="H9564" i="2"/>
  <c r="G9565" i="2"/>
  <c r="H9565" i="2"/>
  <c r="G9566" i="2"/>
  <c r="H9566" i="2"/>
  <c r="G9567" i="2"/>
  <c r="H9567" i="2"/>
  <c r="G9568" i="2"/>
  <c r="H9568" i="2"/>
  <c r="G9569" i="2"/>
  <c r="H9569" i="2"/>
  <c r="G9570" i="2"/>
  <c r="H9570" i="2"/>
  <c r="G9571" i="2"/>
  <c r="H9571" i="2"/>
  <c r="G9572" i="2"/>
  <c r="H9572" i="2"/>
  <c r="G9573" i="2"/>
  <c r="H9573" i="2"/>
  <c r="G9574" i="2"/>
  <c r="H9574" i="2"/>
  <c r="G9575" i="2"/>
  <c r="H9575" i="2"/>
  <c r="G9576" i="2"/>
  <c r="H9576" i="2"/>
  <c r="G9577" i="2"/>
  <c r="H9577" i="2"/>
  <c r="G9578" i="2"/>
  <c r="H9578" i="2"/>
  <c r="G9579" i="2"/>
  <c r="H9579" i="2"/>
  <c r="G9580" i="2"/>
  <c r="H9580" i="2"/>
  <c r="G9581" i="2"/>
  <c r="H9581" i="2"/>
  <c r="G9582" i="2"/>
  <c r="H9582" i="2"/>
  <c r="G9583" i="2"/>
  <c r="H9583" i="2"/>
  <c r="G9584" i="2"/>
  <c r="H9584" i="2"/>
  <c r="G9585" i="2"/>
  <c r="H9585" i="2"/>
  <c r="G9586" i="2"/>
  <c r="H9586" i="2"/>
  <c r="G9587" i="2"/>
  <c r="H9587" i="2"/>
  <c r="G9588" i="2"/>
  <c r="H9588" i="2"/>
  <c r="G9589" i="2"/>
  <c r="H9589" i="2"/>
  <c r="G9590" i="2"/>
  <c r="H9590" i="2"/>
  <c r="G9591" i="2"/>
  <c r="H9591" i="2"/>
  <c r="G9592" i="2"/>
  <c r="H9592" i="2"/>
  <c r="G9593" i="2"/>
  <c r="H9593" i="2"/>
  <c r="G9594" i="2"/>
  <c r="H9594" i="2"/>
  <c r="G9595" i="2"/>
  <c r="H9595" i="2"/>
  <c r="G9596" i="2"/>
  <c r="H9596" i="2"/>
  <c r="G9597" i="2"/>
  <c r="H9597" i="2"/>
  <c r="G9598" i="2"/>
  <c r="H9598" i="2"/>
  <c r="G9599" i="2"/>
  <c r="H9599" i="2"/>
  <c r="G9600" i="2"/>
  <c r="H9600" i="2"/>
  <c r="G9601" i="2"/>
  <c r="H9601" i="2"/>
  <c r="G9602" i="2"/>
  <c r="H9602" i="2"/>
  <c r="G9603" i="2"/>
  <c r="H9603" i="2"/>
  <c r="G9604" i="2"/>
  <c r="H9604" i="2"/>
  <c r="G9605" i="2"/>
  <c r="H9605" i="2"/>
  <c r="G9606" i="2"/>
  <c r="H9606" i="2"/>
  <c r="G9607" i="2"/>
  <c r="H9607" i="2"/>
  <c r="G9608" i="2"/>
  <c r="H9608" i="2"/>
  <c r="G9609" i="2"/>
  <c r="H9609" i="2"/>
  <c r="G9610" i="2"/>
  <c r="H9610" i="2"/>
  <c r="G9611" i="2"/>
  <c r="H9611" i="2"/>
  <c r="G9612" i="2"/>
  <c r="H9612" i="2"/>
  <c r="G9613" i="2"/>
  <c r="H9613" i="2"/>
  <c r="G9614" i="2"/>
  <c r="H9614" i="2"/>
  <c r="G9615" i="2"/>
  <c r="H9615" i="2"/>
  <c r="G9616" i="2"/>
  <c r="H9616" i="2"/>
  <c r="G9617" i="2"/>
  <c r="H9617" i="2"/>
  <c r="G9618" i="2"/>
  <c r="H9618" i="2"/>
  <c r="G9619" i="2"/>
  <c r="H9619" i="2"/>
  <c r="G9620" i="2"/>
  <c r="H9620" i="2"/>
  <c r="G9621" i="2"/>
  <c r="H9621" i="2"/>
  <c r="G9622" i="2"/>
  <c r="H9622" i="2"/>
  <c r="G9623" i="2"/>
  <c r="H9623" i="2"/>
  <c r="G9624" i="2"/>
  <c r="H9624" i="2"/>
  <c r="G9625" i="2"/>
  <c r="H9625" i="2"/>
  <c r="G9626" i="2"/>
  <c r="H9626" i="2"/>
  <c r="G9627" i="2"/>
  <c r="H9627" i="2"/>
  <c r="G9628" i="2"/>
  <c r="H9628" i="2"/>
  <c r="G9629" i="2"/>
  <c r="H9629" i="2"/>
  <c r="G9630" i="2"/>
  <c r="H9630" i="2"/>
  <c r="G9631" i="2"/>
  <c r="H9631" i="2"/>
  <c r="G9632" i="2"/>
  <c r="H9632" i="2"/>
  <c r="G9633" i="2"/>
  <c r="H9633" i="2"/>
  <c r="G9634" i="2"/>
  <c r="H9634" i="2"/>
  <c r="G9635" i="2"/>
  <c r="H9635" i="2"/>
  <c r="G9636" i="2"/>
  <c r="H9636" i="2"/>
  <c r="G9637" i="2"/>
  <c r="H9637" i="2"/>
  <c r="G9638" i="2"/>
  <c r="H9638" i="2"/>
  <c r="G9639" i="2"/>
  <c r="H9639" i="2"/>
  <c r="G9640" i="2"/>
  <c r="H9640" i="2"/>
  <c r="G9641" i="2"/>
  <c r="H9641" i="2"/>
  <c r="G9642" i="2"/>
  <c r="H9642" i="2"/>
  <c r="G9643" i="2"/>
  <c r="H9643" i="2"/>
  <c r="G9644" i="2"/>
  <c r="H9644" i="2"/>
  <c r="G9645" i="2"/>
  <c r="H9645" i="2"/>
  <c r="G9646" i="2"/>
  <c r="H9646" i="2"/>
  <c r="G9647" i="2"/>
  <c r="H9647" i="2"/>
  <c r="G9648" i="2"/>
  <c r="H9648" i="2"/>
  <c r="G9649" i="2"/>
  <c r="H9649" i="2"/>
  <c r="G9650" i="2"/>
  <c r="H9650" i="2"/>
  <c r="G9651" i="2"/>
  <c r="H9651" i="2"/>
  <c r="G9652" i="2"/>
  <c r="H9652" i="2"/>
  <c r="G9653" i="2"/>
  <c r="H9653" i="2"/>
  <c r="G9654" i="2"/>
  <c r="H9654" i="2"/>
  <c r="G9655" i="2"/>
  <c r="H9655" i="2"/>
  <c r="G9656" i="2"/>
  <c r="H9656" i="2"/>
  <c r="G9657" i="2"/>
  <c r="H9657" i="2"/>
  <c r="G9658" i="2"/>
  <c r="H9658" i="2"/>
  <c r="G9659" i="2"/>
  <c r="H9659" i="2"/>
  <c r="G9660" i="2"/>
  <c r="H9660" i="2"/>
  <c r="G9661" i="2"/>
  <c r="H9661" i="2"/>
  <c r="G9662" i="2"/>
  <c r="H9662" i="2"/>
  <c r="G9663" i="2"/>
  <c r="H9663" i="2"/>
  <c r="G9664" i="2"/>
  <c r="H9664" i="2"/>
  <c r="G9665" i="2"/>
  <c r="H9665" i="2"/>
  <c r="G9666" i="2"/>
  <c r="H9666" i="2"/>
  <c r="G9667" i="2"/>
  <c r="H9667" i="2"/>
  <c r="G9668" i="2"/>
  <c r="H9668" i="2"/>
  <c r="G9669" i="2"/>
  <c r="H9669" i="2"/>
  <c r="G9670" i="2"/>
  <c r="H9670" i="2"/>
  <c r="G9671" i="2"/>
  <c r="H9671" i="2"/>
  <c r="G9672" i="2"/>
  <c r="H9672" i="2"/>
  <c r="G9673" i="2"/>
  <c r="H9673" i="2"/>
  <c r="G9674" i="2"/>
  <c r="H9674" i="2"/>
  <c r="G9675" i="2"/>
  <c r="H9675" i="2"/>
  <c r="G9676" i="2"/>
  <c r="H9676" i="2"/>
  <c r="G9677" i="2"/>
  <c r="H9677" i="2"/>
  <c r="G9678" i="2"/>
  <c r="H9678" i="2"/>
  <c r="G9679" i="2"/>
  <c r="H9679" i="2"/>
  <c r="G9680" i="2"/>
  <c r="H9680" i="2"/>
  <c r="G9681" i="2"/>
  <c r="H9681" i="2"/>
  <c r="G9682" i="2"/>
  <c r="H9682" i="2"/>
  <c r="G9683" i="2"/>
  <c r="H9683" i="2"/>
  <c r="G9684" i="2"/>
  <c r="H9684" i="2"/>
  <c r="G9685" i="2"/>
  <c r="H9685" i="2"/>
  <c r="G9686" i="2"/>
  <c r="H9686" i="2"/>
  <c r="G9687" i="2"/>
  <c r="H9687" i="2"/>
  <c r="G9688" i="2"/>
  <c r="H9688" i="2"/>
  <c r="G9689" i="2"/>
  <c r="H9689" i="2"/>
  <c r="G9690" i="2"/>
  <c r="H9690" i="2"/>
  <c r="G9691" i="2"/>
  <c r="H9691" i="2"/>
  <c r="G9692" i="2"/>
  <c r="H9692" i="2"/>
  <c r="G9693" i="2"/>
  <c r="H9693" i="2"/>
  <c r="G9694" i="2"/>
  <c r="H9694" i="2"/>
  <c r="G9695" i="2"/>
  <c r="H9695" i="2"/>
  <c r="G9696" i="2"/>
  <c r="H9696" i="2"/>
  <c r="G9697" i="2"/>
  <c r="H9697" i="2"/>
  <c r="G9698" i="2"/>
  <c r="H9698" i="2"/>
  <c r="G9699" i="2"/>
  <c r="H9699" i="2"/>
  <c r="G9700" i="2"/>
  <c r="H9700" i="2"/>
  <c r="G9701" i="2"/>
  <c r="H9701" i="2"/>
  <c r="G9702" i="2"/>
  <c r="H9702" i="2"/>
  <c r="G9703" i="2"/>
  <c r="H9703" i="2"/>
  <c r="G9704" i="2"/>
  <c r="H9704" i="2"/>
  <c r="G9705" i="2"/>
  <c r="H9705" i="2"/>
  <c r="G9706" i="2"/>
  <c r="H9706" i="2"/>
  <c r="G9707" i="2"/>
  <c r="H9707" i="2"/>
  <c r="G9708" i="2"/>
  <c r="H9708" i="2"/>
  <c r="G9709" i="2"/>
  <c r="H9709" i="2"/>
  <c r="G9710" i="2"/>
  <c r="H9710" i="2"/>
  <c r="G9711" i="2"/>
  <c r="H9711" i="2"/>
  <c r="G9712" i="2"/>
  <c r="H9712" i="2"/>
  <c r="G9713" i="2"/>
  <c r="H9713" i="2"/>
  <c r="G9714" i="2"/>
  <c r="H9714" i="2"/>
  <c r="G9715" i="2"/>
  <c r="H9715" i="2"/>
  <c r="G9716" i="2"/>
  <c r="H9716" i="2"/>
  <c r="G9717" i="2"/>
  <c r="H9717" i="2"/>
  <c r="G9718" i="2"/>
  <c r="H9718" i="2"/>
  <c r="G9719" i="2"/>
  <c r="H9719" i="2"/>
  <c r="G9720" i="2"/>
  <c r="H9720" i="2"/>
  <c r="G9721" i="2"/>
  <c r="H9721" i="2"/>
  <c r="G9722" i="2"/>
  <c r="H9722" i="2"/>
  <c r="G9723" i="2"/>
  <c r="H9723" i="2"/>
  <c r="G9724" i="2"/>
  <c r="H9724" i="2"/>
  <c r="G9725" i="2"/>
  <c r="H9725" i="2"/>
  <c r="G9726" i="2"/>
  <c r="H9726" i="2"/>
  <c r="G9727" i="2"/>
  <c r="H9727" i="2"/>
  <c r="G9728" i="2"/>
  <c r="H9728" i="2"/>
  <c r="G9729" i="2"/>
  <c r="H9729" i="2"/>
  <c r="G9730" i="2"/>
  <c r="H9730" i="2"/>
  <c r="G9731" i="2"/>
  <c r="H9731" i="2"/>
  <c r="G9732" i="2"/>
  <c r="H9732" i="2"/>
  <c r="G9733" i="2"/>
  <c r="H9733" i="2"/>
  <c r="G9734" i="2"/>
  <c r="H9734" i="2"/>
  <c r="G9735" i="2"/>
  <c r="H9735" i="2"/>
  <c r="G9736" i="2"/>
  <c r="H9736" i="2"/>
  <c r="G9737" i="2"/>
  <c r="H9737" i="2"/>
  <c r="G9738" i="2"/>
  <c r="H9738" i="2"/>
  <c r="G9739" i="2"/>
  <c r="H9739" i="2"/>
  <c r="G9740" i="2"/>
  <c r="H9740" i="2"/>
  <c r="G9741" i="2"/>
  <c r="H9741" i="2"/>
  <c r="G9742" i="2"/>
  <c r="H9742" i="2"/>
  <c r="G9743" i="2"/>
  <c r="H9743" i="2"/>
  <c r="G9744" i="2"/>
  <c r="H9744" i="2"/>
  <c r="G9745" i="2"/>
  <c r="H9745" i="2"/>
  <c r="G9746" i="2"/>
  <c r="H9746" i="2"/>
  <c r="G9747" i="2"/>
  <c r="H9747" i="2"/>
  <c r="G9748" i="2"/>
  <c r="H9748" i="2"/>
  <c r="G9749" i="2"/>
  <c r="H9749" i="2"/>
  <c r="G9750" i="2"/>
  <c r="H9750" i="2"/>
  <c r="G9751" i="2"/>
  <c r="H9751" i="2"/>
  <c r="G9752" i="2"/>
  <c r="H9752" i="2"/>
  <c r="G9753" i="2"/>
  <c r="H9753" i="2"/>
  <c r="G9754" i="2"/>
  <c r="H9754" i="2"/>
  <c r="G9755" i="2"/>
  <c r="H9755" i="2"/>
  <c r="G9756" i="2"/>
  <c r="H9756" i="2"/>
  <c r="G9757" i="2"/>
  <c r="H9757" i="2"/>
  <c r="G9758" i="2"/>
  <c r="H9758" i="2"/>
  <c r="G9759" i="2"/>
  <c r="H9759" i="2"/>
  <c r="G9760" i="2"/>
  <c r="H9760" i="2"/>
  <c r="G9761" i="2"/>
  <c r="H9761" i="2"/>
  <c r="G9762" i="2"/>
  <c r="H9762" i="2"/>
  <c r="G9763" i="2"/>
  <c r="H9763" i="2"/>
  <c r="G9764" i="2"/>
  <c r="H9764" i="2"/>
  <c r="G9765" i="2"/>
  <c r="H9765" i="2"/>
  <c r="G9766" i="2"/>
  <c r="H9766" i="2"/>
  <c r="G9767" i="2"/>
  <c r="H9767" i="2"/>
  <c r="G9768" i="2"/>
  <c r="H9768" i="2"/>
  <c r="G9769" i="2"/>
  <c r="H9769" i="2"/>
  <c r="G9770" i="2"/>
  <c r="H9770" i="2"/>
  <c r="G9771" i="2"/>
  <c r="H9771" i="2"/>
  <c r="G9772" i="2"/>
  <c r="H9772" i="2"/>
  <c r="G9773" i="2"/>
  <c r="H9773" i="2"/>
  <c r="G9774" i="2"/>
  <c r="H9774" i="2"/>
  <c r="G9775" i="2"/>
  <c r="H9775" i="2"/>
  <c r="G9776" i="2"/>
  <c r="H9776" i="2"/>
  <c r="G9777" i="2"/>
  <c r="H9777" i="2"/>
  <c r="G9778" i="2"/>
  <c r="H9778" i="2"/>
  <c r="G9779" i="2"/>
  <c r="H9779" i="2"/>
  <c r="G9780" i="2"/>
  <c r="H9780" i="2"/>
  <c r="G9781" i="2"/>
  <c r="H9781" i="2"/>
  <c r="G9782" i="2"/>
  <c r="H9782" i="2"/>
  <c r="G9783" i="2"/>
  <c r="H9783" i="2"/>
  <c r="G9784" i="2"/>
  <c r="H9784" i="2"/>
  <c r="G9785" i="2"/>
  <c r="H9785" i="2"/>
  <c r="G9786" i="2"/>
  <c r="H9786" i="2"/>
  <c r="G9787" i="2"/>
  <c r="H9787" i="2"/>
  <c r="G9788" i="2"/>
  <c r="H9788" i="2"/>
  <c r="G9789" i="2"/>
  <c r="H9789" i="2"/>
  <c r="G9790" i="2"/>
  <c r="H9790" i="2"/>
  <c r="G9791" i="2"/>
  <c r="H9791" i="2"/>
  <c r="G9792" i="2"/>
  <c r="H9792" i="2"/>
  <c r="G9793" i="2"/>
  <c r="H9793" i="2"/>
  <c r="G9794" i="2"/>
  <c r="H9794" i="2"/>
  <c r="G9795" i="2"/>
  <c r="H9795" i="2"/>
  <c r="G9796" i="2"/>
  <c r="H9796" i="2"/>
  <c r="G9797" i="2"/>
  <c r="H9797" i="2"/>
  <c r="G9798" i="2"/>
  <c r="H9798" i="2"/>
  <c r="G9799" i="2"/>
  <c r="H9799" i="2"/>
  <c r="G9800" i="2"/>
  <c r="H9800" i="2"/>
  <c r="G9801" i="2"/>
  <c r="H9801" i="2"/>
  <c r="G9802" i="2"/>
  <c r="H9802" i="2"/>
  <c r="G9803" i="2"/>
  <c r="H9803" i="2"/>
  <c r="G9804" i="2"/>
  <c r="H9804" i="2"/>
  <c r="G9805" i="2"/>
  <c r="H9805" i="2"/>
  <c r="G9806" i="2"/>
  <c r="H9806" i="2"/>
  <c r="G9807" i="2"/>
  <c r="H9807" i="2"/>
  <c r="G9808" i="2"/>
  <c r="H9808" i="2"/>
  <c r="G9809" i="2"/>
  <c r="H9809" i="2"/>
  <c r="G9810" i="2"/>
  <c r="H9810" i="2"/>
  <c r="G9811" i="2"/>
  <c r="H9811" i="2"/>
  <c r="G9812" i="2"/>
  <c r="H9812" i="2"/>
  <c r="G9813" i="2"/>
  <c r="H9813" i="2"/>
  <c r="G9814" i="2"/>
  <c r="H9814" i="2"/>
  <c r="G9815" i="2"/>
  <c r="H9815" i="2"/>
  <c r="G9816" i="2"/>
  <c r="H9816" i="2"/>
  <c r="G9817" i="2"/>
  <c r="H9817" i="2"/>
  <c r="G9818" i="2"/>
  <c r="H9818" i="2"/>
  <c r="G9819" i="2"/>
  <c r="H9819" i="2"/>
  <c r="G9820" i="2"/>
  <c r="H9820" i="2"/>
  <c r="G9821" i="2"/>
  <c r="H9821" i="2"/>
  <c r="G9822" i="2"/>
  <c r="H9822" i="2"/>
  <c r="G9823" i="2"/>
  <c r="H9823" i="2"/>
  <c r="G9824" i="2"/>
  <c r="H9824" i="2"/>
  <c r="G9825" i="2"/>
  <c r="H9825" i="2"/>
  <c r="G9826" i="2"/>
  <c r="H9826" i="2"/>
  <c r="G9827" i="2"/>
  <c r="H9827" i="2"/>
  <c r="G9828" i="2"/>
  <c r="H9828" i="2"/>
  <c r="G9829" i="2"/>
  <c r="H9829" i="2"/>
  <c r="G9830" i="2"/>
  <c r="H9830" i="2"/>
  <c r="G9831" i="2"/>
  <c r="H9831" i="2"/>
  <c r="G9832" i="2"/>
  <c r="H9832" i="2"/>
  <c r="G9833" i="2"/>
  <c r="H9833" i="2"/>
  <c r="G9834" i="2"/>
  <c r="H9834" i="2"/>
  <c r="G9835" i="2"/>
  <c r="H9835" i="2"/>
  <c r="G9836" i="2"/>
  <c r="H9836" i="2"/>
  <c r="G9837" i="2"/>
  <c r="H9837" i="2"/>
  <c r="G9838" i="2"/>
  <c r="H9838" i="2"/>
  <c r="G9839" i="2"/>
  <c r="H9839" i="2"/>
  <c r="G9840" i="2"/>
  <c r="H9840" i="2"/>
  <c r="G9841" i="2"/>
  <c r="H9841" i="2"/>
  <c r="G9842" i="2"/>
  <c r="H9842" i="2"/>
  <c r="G9843" i="2"/>
  <c r="H9843" i="2"/>
  <c r="G9844" i="2"/>
  <c r="H9844" i="2"/>
  <c r="G9845" i="2"/>
  <c r="H9845" i="2"/>
  <c r="G9846" i="2"/>
  <c r="H9846" i="2"/>
  <c r="G9847" i="2"/>
  <c r="H9847" i="2"/>
  <c r="G9848" i="2"/>
  <c r="H9848" i="2"/>
  <c r="G9849" i="2"/>
  <c r="H9849" i="2"/>
  <c r="G9850" i="2"/>
  <c r="H9850" i="2"/>
  <c r="G9851" i="2"/>
  <c r="H9851" i="2"/>
  <c r="G9852" i="2"/>
  <c r="H9852" i="2"/>
  <c r="G9853" i="2"/>
  <c r="H9853" i="2"/>
  <c r="G9854" i="2"/>
  <c r="H9854" i="2"/>
  <c r="G9855" i="2"/>
  <c r="H9855" i="2"/>
  <c r="G9856" i="2"/>
  <c r="H9856" i="2"/>
  <c r="G9857" i="2"/>
  <c r="H9857" i="2"/>
  <c r="G9858" i="2"/>
  <c r="H9858" i="2"/>
  <c r="G9859" i="2"/>
  <c r="H9859" i="2"/>
  <c r="G9860" i="2"/>
  <c r="H9860" i="2"/>
  <c r="G9861" i="2"/>
  <c r="H9861" i="2"/>
  <c r="G9862" i="2"/>
  <c r="H9862" i="2"/>
  <c r="G9863" i="2"/>
  <c r="H9863" i="2"/>
  <c r="G9864" i="2"/>
  <c r="H9864" i="2"/>
  <c r="G9865" i="2"/>
  <c r="H9865" i="2"/>
  <c r="G9866" i="2"/>
  <c r="H9866" i="2"/>
  <c r="G9867" i="2"/>
  <c r="H9867" i="2"/>
  <c r="G9868" i="2"/>
  <c r="H9868" i="2"/>
  <c r="G9869" i="2"/>
  <c r="H9869" i="2"/>
  <c r="G9870" i="2"/>
  <c r="H9870" i="2"/>
  <c r="G9871" i="2"/>
  <c r="H9871" i="2"/>
  <c r="G9872" i="2"/>
  <c r="H9872" i="2"/>
  <c r="G9873" i="2"/>
  <c r="H9873" i="2"/>
  <c r="G9874" i="2"/>
  <c r="H9874" i="2"/>
  <c r="G9875" i="2"/>
  <c r="H9875" i="2"/>
  <c r="G9876" i="2"/>
  <c r="H9876" i="2"/>
  <c r="G9877" i="2"/>
  <c r="H9877" i="2"/>
  <c r="G9878" i="2"/>
  <c r="H9878" i="2"/>
  <c r="G9879" i="2"/>
  <c r="H9879" i="2"/>
  <c r="G9880" i="2"/>
  <c r="H9880" i="2"/>
  <c r="G9881" i="2"/>
  <c r="H9881" i="2"/>
  <c r="G9882" i="2"/>
  <c r="H9882" i="2"/>
  <c r="G9883" i="2"/>
  <c r="H9883" i="2"/>
  <c r="G9884" i="2"/>
  <c r="H9884" i="2"/>
  <c r="G9885" i="2"/>
  <c r="H9885" i="2"/>
  <c r="G9886" i="2"/>
  <c r="H9886" i="2"/>
  <c r="G9887" i="2"/>
  <c r="H9887" i="2"/>
  <c r="G9888" i="2"/>
  <c r="H9888" i="2"/>
  <c r="G9889" i="2"/>
  <c r="H9889" i="2"/>
  <c r="G9890" i="2"/>
  <c r="H9890" i="2"/>
  <c r="G9891" i="2"/>
  <c r="H9891" i="2"/>
  <c r="G9892" i="2"/>
  <c r="H9892" i="2"/>
  <c r="G9893" i="2"/>
  <c r="H9893" i="2"/>
  <c r="G9894" i="2"/>
  <c r="H9894" i="2"/>
  <c r="G9895" i="2"/>
  <c r="H9895" i="2"/>
  <c r="G9896" i="2"/>
  <c r="H9896" i="2"/>
  <c r="G9897" i="2"/>
  <c r="H9897" i="2"/>
  <c r="G9898" i="2"/>
  <c r="H9898" i="2"/>
  <c r="G9899" i="2"/>
  <c r="H9899" i="2"/>
  <c r="G9900" i="2"/>
  <c r="H9900" i="2"/>
  <c r="G9901" i="2"/>
  <c r="H9901" i="2"/>
  <c r="G9902" i="2"/>
  <c r="H9902" i="2"/>
  <c r="G9903" i="2"/>
  <c r="H9903" i="2"/>
  <c r="G9904" i="2"/>
  <c r="H9904" i="2"/>
  <c r="G9905" i="2"/>
  <c r="H9905" i="2"/>
  <c r="G9906" i="2"/>
  <c r="H9906" i="2"/>
  <c r="G9907" i="2"/>
  <c r="H9907" i="2"/>
  <c r="G9908" i="2"/>
  <c r="H9908" i="2"/>
  <c r="G9909" i="2"/>
  <c r="H9909" i="2"/>
  <c r="G9910" i="2"/>
  <c r="H9910" i="2"/>
  <c r="G9911" i="2"/>
  <c r="H9911" i="2"/>
  <c r="G9912" i="2"/>
  <c r="H9912" i="2"/>
  <c r="G9913" i="2"/>
  <c r="H9913" i="2"/>
  <c r="G9914" i="2"/>
  <c r="H9914" i="2"/>
  <c r="G9915" i="2"/>
  <c r="H9915" i="2"/>
  <c r="G9916" i="2"/>
  <c r="H9916" i="2"/>
  <c r="G9917" i="2"/>
  <c r="H9917" i="2"/>
  <c r="G9918" i="2"/>
  <c r="H9918" i="2"/>
  <c r="G9919" i="2"/>
  <c r="H9919" i="2"/>
  <c r="G9920" i="2"/>
  <c r="H9920" i="2"/>
  <c r="G9921" i="2"/>
  <c r="H9921" i="2"/>
  <c r="G9922" i="2"/>
  <c r="H9922" i="2"/>
  <c r="G9923" i="2"/>
  <c r="H9923" i="2"/>
  <c r="G9924" i="2"/>
  <c r="H9924" i="2"/>
  <c r="G9925" i="2"/>
  <c r="H9925" i="2"/>
  <c r="G9926" i="2"/>
  <c r="H9926" i="2"/>
  <c r="G9927" i="2"/>
  <c r="H9927" i="2"/>
  <c r="G9928" i="2"/>
  <c r="H9928" i="2"/>
  <c r="G9929" i="2"/>
  <c r="H9929" i="2"/>
  <c r="G9930" i="2"/>
  <c r="H9930" i="2"/>
  <c r="G9931" i="2"/>
  <c r="H9931" i="2"/>
  <c r="G9932" i="2"/>
  <c r="H9932" i="2"/>
  <c r="G9933" i="2"/>
  <c r="H9933" i="2"/>
  <c r="G9934" i="2"/>
  <c r="H9934" i="2"/>
  <c r="G9935" i="2"/>
  <c r="H9935" i="2"/>
  <c r="G9936" i="2"/>
  <c r="H9936" i="2"/>
  <c r="G9937" i="2"/>
  <c r="H9937" i="2"/>
  <c r="G9938" i="2"/>
  <c r="H9938" i="2"/>
  <c r="G9939" i="2"/>
  <c r="H9939" i="2"/>
  <c r="G9940" i="2"/>
  <c r="H9940" i="2"/>
  <c r="G9941" i="2"/>
  <c r="H9941" i="2"/>
  <c r="G9942" i="2"/>
  <c r="H9942" i="2"/>
  <c r="G9943" i="2"/>
  <c r="H9943" i="2"/>
  <c r="G9944" i="2"/>
  <c r="H9944" i="2"/>
  <c r="G9945" i="2"/>
  <c r="H9945" i="2"/>
  <c r="G9946" i="2"/>
  <c r="H9946" i="2"/>
  <c r="G9947" i="2"/>
  <c r="H9947" i="2"/>
  <c r="G9948" i="2"/>
  <c r="H9948" i="2"/>
  <c r="G9949" i="2"/>
  <c r="H9949" i="2"/>
  <c r="G9950" i="2"/>
  <c r="H9950" i="2"/>
  <c r="G9951" i="2"/>
  <c r="H9951" i="2"/>
  <c r="G9952" i="2"/>
  <c r="H9952" i="2"/>
  <c r="G9953" i="2"/>
  <c r="H9953" i="2"/>
  <c r="G9954" i="2"/>
  <c r="H9954" i="2"/>
  <c r="G9955" i="2"/>
  <c r="H9955" i="2"/>
  <c r="G9956" i="2"/>
  <c r="H9956" i="2"/>
  <c r="G9957" i="2"/>
  <c r="H9957" i="2"/>
  <c r="G9958" i="2"/>
  <c r="H9958" i="2"/>
  <c r="G9959" i="2"/>
  <c r="H9959" i="2"/>
  <c r="G9960" i="2"/>
  <c r="H9960" i="2"/>
  <c r="G9961" i="2"/>
  <c r="H9961" i="2"/>
  <c r="G9962" i="2"/>
  <c r="H9962" i="2"/>
  <c r="G9963" i="2"/>
  <c r="H9963" i="2"/>
  <c r="G9964" i="2"/>
  <c r="H9964" i="2"/>
  <c r="G9965" i="2"/>
  <c r="H9965" i="2"/>
  <c r="G9966" i="2"/>
  <c r="H9966" i="2"/>
  <c r="G9967" i="2"/>
  <c r="H9967" i="2"/>
  <c r="G9968" i="2"/>
  <c r="H9968" i="2"/>
  <c r="G9969" i="2"/>
  <c r="H9969" i="2"/>
  <c r="G9970" i="2"/>
  <c r="H9970" i="2"/>
  <c r="G9971" i="2"/>
  <c r="H9971" i="2"/>
  <c r="G9972" i="2"/>
  <c r="H9972" i="2"/>
  <c r="G9973" i="2"/>
  <c r="H9973" i="2"/>
  <c r="G9974" i="2"/>
  <c r="H9974" i="2"/>
  <c r="G9975" i="2"/>
  <c r="H9975" i="2"/>
  <c r="G9976" i="2"/>
  <c r="H9976" i="2"/>
  <c r="G9977" i="2"/>
  <c r="H9977" i="2"/>
  <c r="G9978" i="2"/>
  <c r="H9978" i="2"/>
  <c r="G9979" i="2"/>
  <c r="H9979" i="2"/>
  <c r="G9980" i="2"/>
  <c r="H9980" i="2"/>
  <c r="G9981" i="2"/>
  <c r="H9981" i="2"/>
  <c r="G9982" i="2"/>
  <c r="H9982" i="2"/>
  <c r="G9983" i="2"/>
  <c r="H9983" i="2"/>
  <c r="G9984" i="2"/>
  <c r="H9984" i="2"/>
  <c r="G9985" i="2"/>
  <c r="H9985" i="2"/>
  <c r="G4934" i="2"/>
  <c r="G4932" i="2"/>
  <c r="G4930" i="2"/>
  <c r="G4928" i="2"/>
  <c r="G4926" i="2"/>
  <c r="G4924" i="2"/>
  <c r="G4922" i="2"/>
  <c r="G4920" i="2"/>
  <c r="G4918" i="2"/>
  <c r="G4916" i="2"/>
  <c r="G4914" i="2"/>
  <c r="G4912" i="2"/>
  <c r="G4910" i="2"/>
  <c r="G4908" i="2"/>
  <c r="G4906" i="2"/>
  <c r="G4904" i="2"/>
  <c r="G4902" i="2"/>
  <c r="G4900" i="2"/>
  <c r="G4898" i="2"/>
  <c r="G4896" i="2"/>
  <c r="G4894" i="2"/>
  <c r="G4892" i="2"/>
  <c r="G4890" i="2"/>
  <c r="G4888" i="2"/>
  <c r="G4886" i="2"/>
  <c r="G4884" i="2"/>
  <c r="G4882" i="2"/>
  <c r="G4880" i="2"/>
  <c r="G4878" i="2"/>
  <c r="G4876" i="2"/>
  <c r="G4874" i="2"/>
  <c r="G4872" i="2"/>
  <c r="G4870" i="2"/>
  <c r="G4868" i="2"/>
  <c r="G4866" i="2"/>
  <c r="G4864" i="2"/>
  <c r="G4862" i="2"/>
  <c r="G4860" i="2"/>
  <c r="G4858" i="2"/>
  <c r="H4422" i="2"/>
  <c r="H4421" i="2"/>
  <c r="H4418" i="2"/>
  <c r="G4417" i="2"/>
  <c r="G4418" i="2"/>
  <c r="G4419" i="2"/>
  <c r="H4419" i="2"/>
  <c r="G4420" i="2"/>
  <c r="H4420" i="2"/>
  <c r="G4421" i="2"/>
  <c r="G4422" i="2"/>
  <c r="G4423" i="2"/>
  <c r="H4423" i="2"/>
  <c r="G4424" i="2"/>
  <c r="H4424" i="2"/>
  <c r="G4425" i="2"/>
  <c r="H4425" i="2"/>
  <c r="G4426" i="2"/>
  <c r="H4426" i="2"/>
  <c r="G4427" i="2"/>
  <c r="H4427" i="2"/>
  <c r="G4428" i="2"/>
  <c r="H4428" i="2"/>
  <c r="G4429" i="2"/>
  <c r="H4429" i="2"/>
  <c r="G4430" i="2"/>
  <c r="H4430" i="2"/>
  <c r="G4431" i="2"/>
  <c r="H4431" i="2"/>
  <c r="G4432" i="2"/>
  <c r="H4432" i="2"/>
  <c r="G4433" i="2"/>
  <c r="H4433" i="2"/>
  <c r="G4434" i="2"/>
  <c r="H4434" i="2"/>
  <c r="G4435" i="2"/>
  <c r="H4435" i="2"/>
  <c r="G4436" i="2"/>
  <c r="H4436" i="2"/>
  <c r="G4437" i="2"/>
  <c r="H4437" i="2"/>
  <c r="G4438" i="2"/>
  <c r="H4438" i="2"/>
  <c r="G4439" i="2"/>
  <c r="H4439" i="2"/>
  <c r="G4440" i="2"/>
  <c r="H4440" i="2"/>
  <c r="G4441" i="2"/>
  <c r="H4441" i="2"/>
  <c r="G4442" i="2"/>
  <c r="H4442" i="2"/>
  <c r="G4443" i="2"/>
  <c r="H4443" i="2"/>
  <c r="G4444" i="2"/>
  <c r="H4444" i="2"/>
  <c r="G4445" i="2"/>
  <c r="H4445" i="2"/>
  <c r="G4446" i="2"/>
  <c r="H4446" i="2"/>
  <c r="G4447" i="2"/>
  <c r="H4447" i="2"/>
  <c r="G4448" i="2"/>
  <c r="H4448" i="2"/>
  <c r="G4449" i="2"/>
  <c r="H4449" i="2"/>
  <c r="G4450" i="2"/>
  <c r="H4450" i="2"/>
  <c r="G4451" i="2"/>
  <c r="H4451" i="2"/>
  <c r="G4452" i="2"/>
  <c r="H4452" i="2"/>
  <c r="G4453" i="2"/>
  <c r="H4453" i="2"/>
  <c r="G4454" i="2"/>
  <c r="H4454" i="2"/>
  <c r="G4455" i="2"/>
  <c r="H4455" i="2"/>
  <c r="G4456" i="2"/>
  <c r="H4456" i="2"/>
  <c r="G4457" i="2"/>
  <c r="H4457" i="2"/>
  <c r="G4458" i="2"/>
  <c r="H4458" i="2"/>
  <c r="G4459" i="2"/>
  <c r="H4459" i="2"/>
  <c r="G4460" i="2"/>
  <c r="H4460" i="2"/>
  <c r="G4461" i="2"/>
  <c r="H4461" i="2"/>
  <c r="G4462" i="2"/>
  <c r="H4462" i="2"/>
  <c r="G4463" i="2"/>
  <c r="H4463" i="2"/>
  <c r="G4464" i="2"/>
  <c r="H4464" i="2"/>
  <c r="G4465" i="2"/>
  <c r="H4465" i="2"/>
  <c r="G4466" i="2"/>
  <c r="H4466" i="2"/>
  <c r="G4467" i="2"/>
  <c r="H4467" i="2"/>
  <c r="G4468" i="2"/>
  <c r="H4468" i="2"/>
  <c r="G4469" i="2"/>
  <c r="H4469" i="2"/>
  <c r="G4470" i="2"/>
  <c r="H4470" i="2"/>
  <c r="G4471" i="2"/>
  <c r="H4471" i="2"/>
  <c r="G4472" i="2"/>
  <c r="H4472" i="2"/>
  <c r="G4473" i="2"/>
  <c r="H4473" i="2"/>
  <c r="G4474" i="2"/>
  <c r="H4474" i="2"/>
  <c r="G4475" i="2"/>
  <c r="H4475" i="2"/>
  <c r="G4476" i="2"/>
  <c r="H4476" i="2"/>
  <c r="G4477" i="2"/>
  <c r="H4477" i="2"/>
  <c r="G4478" i="2"/>
  <c r="H4478" i="2"/>
  <c r="G4479" i="2"/>
  <c r="H4479" i="2"/>
  <c r="G4480" i="2"/>
  <c r="H4480" i="2"/>
  <c r="G4481" i="2"/>
  <c r="H4481" i="2"/>
  <c r="G4482" i="2"/>
  <c r="H4482" i="2"/>
  <c r="G4483" i="2"/>
  <c r="H4483" i="2"/>
  <c r="G4484" i="2"/>
  <c r="H4484" i="2"/>
  <c r="G4485" i="2"/>
  <c r="H4485" i="2"/>
  <c r="G4486" i="2"/>
  <c r="H4486" i="2"/>
  <c r="G4487" i="2"/>
  <c r="H4487" i="2"/>
  <c r="G4488" i="2"/>
  <c r="H4488" i="2"/>
  <c r="G4489" i="2"/>
  <c r="H4489" i="2"/>
  <c r="G4490" i="2"/>
  <c r="H4490" i="2"/>
  <c r="G4491" i="2"/>
  <c r="H4491" i="2"/>
  <c r="G4492" i="2"/>
  <c r="H4492" i="2"/>
  <c r="G4493" i="2"/>
  <c r="H4493" i="2"/>
  <c r="G4494" i="2"/>
  <c r="H4494" i="2"/>
  <c r="G4495" i="2"/>
  <c r="H4495" i="2"/>
  <c r="G4496" i="2"/>
  <c r="H4496" i="2"/>
  <c r="G4497" i="2"/>
  <c r="H4497" i="2"/>
  <c r="G4498" i="2"/>
  <c r="H4498" i="2"/>
  <c r="G4499" i="2"/>
  <c r="H4499" i="2"/>
  <c r="G4500" i="2"/>
  <c r="H4500" i="2"/>
  <c r="G4501" i="2"/>
  <c r="H4501" i="2"/>
  <c r="G4502" i="2"/>
  <c r="H4502" i="2"/>
  <c r="G4503" i="2"/>
  <c r="H4503" i="2"/>
  <c r="G4504" i="2"/>
  <c r="H4504" i="2"/>
  <c r="G4505" i="2"/>
  <c r="H4505" i="2"/>
  <c r="G4506" i="2"/>
  <c r="H4506" i="2"/>
  <c r="G4507" i="2"/>
  <c r="H4507" i="2"/>
  <c r="G4508" i="2"/>
  <c r="H4508" i="2"/>
  <c r="G4509" i="2"/>
  <c r="H4509" i="2"/>
  <c r="G4510" i="2"/>
  <c r="H4510" i="2"/>
  <c r="G4511" i="2"/>
  <c r="H4511" i="2"/>
  <c r="G4512" i="2"/>
  <c r="H4512" i="2"/>
  <c r="G4513" i="2"/>
  <c r="H4513" i="2"/>
  <c r="G4514" i="2"/>
  <c r="H4514" i="2"/>
  <c r="G4515" i="2"/>
  <c r="H4515" i="2"/>
  <c r="G4516" i="2"/>
  <c r="H4516" i="2"/>
  <c r="G4517" i="2"/>
  <c r="H4517" i="2"/>
  <c r="G4518" i="2"/>
  <c r="H4518" i="2"/>
  <c r="G4519" i="2"/>
  <c r="H4519" i="2"/>
  <c r="G4520" i="2"/>
  <c r="H4520" i="2"/>
  <c r="G4521" i="2"/>
  <c r="H4521" i="2"/>
  <c r="G4522" i="2"/>
  <c r="H4522" i="2"/>
  <c r="G4523" i="2"/>
  <c r="H4523" i="2"/>
  <c r="G4524" i="2"/>
  <c r="H4524" i="2"/>
  <c r="G4525" i="2"/>
  <c r="H4525" i="2"/>
  <c r="G4526" i="2"/>
  <c r="H4526" i="2"/>
  <c r="G4527" i="2"/>
  <c r="H4527" i="2"/>
  <c r="G4528" i="2"/>
  <c r="H4528" i="2"/>
  <c r="G4529" i="2"/>
  <c r="H4529" i="2"/>
  <c r="G4530" i="2"/>
  <c r="H4530" i="2"/>
  <c r="G4531" i="2"/>
  <c r="H4531" i="2"/>
  <c r="G4532" i="2"/>
  <c r="H4532" i="2"/>
  <c r="G4533" i="2"/>
  <c r="H4533" i="2"/>
  <c r="G4534" i="2"/>
  <c r="H4534" i="2"/>
  <c r="G4535" i="2"/>
  <c r="H4535" i="2"/>
  <c r="G4536" i="2"/>
  <c r="H4536" i="2"/>
  <c r="G4537" i="2"/>
  <c r="H4537" i="2"/>
  <c r="G4538" i="2"/>
  <c r="H4538" i="2"/>
  <c r="G4539" i="2"/>
  <c r="H4539" i="2"/>
  <c r="G4540" i="2"/>
  <c r="H4540" i="2"/>
  <c r="G4541" i="2"/>
  <c r="H4541" i="2"/>
  <c r="G4542" i="2"/>
  <c r="H4542" i="2"/>
  <c r="G4543" i="2"/>
  <c r="H4543" i="2"/>
  <c r="G4544" i="2"/>
  <c r="H4544" i="2"/>
  <c r="G4545" i="2"/>
  <c r="H4545" i="2"/>
  <c r="G4546" i="2"/>
  <c r="H4546" i="2"/>
  <c r="G4547" i="2"/>
  <c r="H4547" i="2"/>
  <c r="G4548" i="2"/>
  <c r="H4548" i="2"/>
  <c r="G4549" i="2"/>
  <c r="H4549" i="2"/>
  <c r="G4550" i="2"/>
  <c r="H4550" i="2"/>
  <c r="G4551" i="2"/>
  <c r="H4551" i="2"/>
  <c r="G4552" i="2"/>
  <c r="H4552" i="2"/>
  <c r="G4553" i="2"/>
  <c r="H4553" i="2"/>
  <c r="G4554" i="2"/>
  <c r="H4554" i="2"/>
  <c r="G4555" i="2"/>
  <c r="H4555" i="2"/>
  <c r="G4556" i="2"/>
  <c r="H4556" i="2"/>
  <c r="G4557" i="2"/>
  <c r="H4557" i="2"/>
  <c r="G4558" i="2"/>
  <c r="H4558" i="2"/>
  <c r="G4559" i="2"/>
  <c r="H4559" i="2"/>
  <c r="G4560" i="2"/>
  <c r="H4560" i="2"/>
  <c r="G4561" i="2"/>
  <c r="H4561" i="2"/>
  <c r="G4562" i="2"/>
  <c r="H4562" i="2"/>
  <c r="G4563" i="2"/>
  <c r="H4563" i="2"/>
  <c r="G4564" i="2"/>
  <c r="H4564" i="2"/>
  <c r="G4565" i="2"/>
  <c r="H4565" i="2"/>
  <c r="G4566" i="2"/>
  <c r="H4566" i="2"/>
  <c r="G4567" i="2"/>
  <c r="H4567" i="2"/>
  <c r="G4568" i="2"/>
  <c r="H4568" i="2"/>
  <c r="G4569" i="2"/>
  <c r="H4569" i="2"/>
  <c r="G4570" i="2"/>
  <c r="H4570" i="2"/>
  <c r="G4571" i="2"/>
  <c r="H4571" i="2"/>
  <c r="G4572" i="2"/>
  <c r="H4572" i="2"/>
  <c r="G4573" i="2"/>
  <c r="H4573" i="2"/>
  <c r="G4574" i="2"/>
  <c r="H4574" i="2"/>
  <c r="G4575" i="2"/>
  <c r="H4575" i="2"/>
  <c r="G4576" i="2"/>
  <c r="H4576" i="2"/>
  <c r="G4577" i="2"/>
  <c r="H4577" i="2"/>
  <c r="G4578" i="2"/>
  <c r="H4578" i="2"/>
  <c r="G4579" i="2"/>
  <c r="H4579" i="2"/>
  <c r="G4580" i="2"/>
  <c r="H4580" i="2"/>
  <c r="G4581" i="2"/>
  <c r="H4581" i="2"/>
  <c r="G4582" i="2"/>
  <c r="H4582" i="2"/>
  <c r="G4583" i="2"/>
  <c r="H4583" i="2"/>
  <c r="G4584" i="2"/>
  <c r="H4584" i="2"/>
  <c r="G4585" i="2"/>
  <c r="H4585" i="2"/>
  <c r="G4586" i="2"/>
  <c r="H4586" i="2"/>
  <c r="G4587" i="2"/>
  <c r="H4587" i="2"/>
  <c r="G4588" i="2"/>
  <c r="H4588" i="2"/>
  <c r="G4589" i="2"/>
  <c r="H4589" i="2"/>
  <c r="G4590" i="2"/>
  <c r="H4590" i="2"/>
  <c r="G4591" i="2"/>
  <c r="H4591" i="2"/>
  <c r="G4592" i="2"/>
  <c r="H4592" i="2"/>
  <c r="G4593" i="2"/>
  <c r="H4593" i="2"/>
  <c r="G4594" i="2"/>
  <c r="H4594" i="2"/>
  <c r="G4595" i="2"/>
  <c r="H4595" i="2"/>
  <c r="G4596" i="2"/>
  <c r="H4596" i="2"/>
  <c r="G4597" i="2"/>
  <c r="H4597" i="2"/>
  <c r="G4598" i="2"/>
  <c r="H4598" i="2"/>
  <c r="G4599" i="2"/>
  <c r="H4599" i="2"/>
  <c r="G4600" i="2"/>
  <c r="H4600" i="2"/>
  <c r="G4601" i="2"/>
  <c r="H4601" i="2"/>
  <c r="G4602" i="2"/>
  <c r="H4602" i="2"/>
  <c r="G4603" i="2"/>
  <c r="H4603" i="2"/>
  <c r="G4604" i="2"/>
  <c r="H4604" i="2"/>
  <c r="G4605" i="2"/>
  <c r="H4605" i="2"/>
  <c r="G4606" i="2"/>
  <c r="H4606" i="2"/>
  <c r="G4607" i="2"/>
  <c r="H4607" i="2"/>
  <c r="G4608" i="2"/>
  <c r="H4608" i="2"/>
  <c r="G4609" i="2"/>
  <c r="H4609" i="2"/>
  <c r="G4610" i="2"/>
  <c r="H4610" i="2"/>
  <c r="G4611" i="2"/>
  <c r="H4611" i="2"/>
  <c r="G4612" i="2"/>
  <c r="H4612" i="2"/>
  <c r="G4613" i="2"/>
  <c r="H4613" i="2"/>
  <c r="G4614" i="2"/>
  <c r="H4614" i="2"/>
  <c r="G4615" i="2"/>
  <c r="H4615" i="2"/>
  <c r="G4616" i="2"/>
  <c r="H4616" i="2"/>
  <c r="G4617" i="2"/>
  <c r="H4617" i="2"/>
  <c r="G4618" i="2"/>
  <c r="H4618" i="2"/>
  <c r="G4619" i="2"/>
  <c r="H4619" i="2"/>
  <c r="G4620" i="2"/>
  <c r="H4620" i="2"/>
  <c r="G4621" i="2"/>
  <c r="H4621" i="2"/>
  <c r="G4622" i="2"/>
  <c r="H4622" i="2"/>
  <c r="G4623" i="2"/>
  <c r="H4623" i="2"/>
  <c r="G4624" i="2"/>
  <c r="H4624" i="2"/>
  <c r="G4625" i="2"/>
  <c r="H4625" i="2"/>
  <c r="G4626" i="2"/>
  <c r="H4626" i="2"/>
  <c r="G4627" i="2"/>
  <c r="H4627" i="2"/>
  <c r="G4628" i="2"/>
  <c r="H4628" i="2"/>
  <c r="G4629" i="2"/>
  <c r="H4629" i="2"/>
  <c r="G4630" i="2"/>
  <c r="H4630" i="2"/>
  <c r="G4631" i="2"/>
  <c r="H4631" i="2"/>
  <c r="G4632" i="2"/>
  <c r="H4632" i="2"/>
  <c r="G4633" i="2"/>
  <c r="H4633" i="2"/>
  <c r="G4634" i="2"/>
  <c r="H4634" i="2"/>
  <c r="G4635" i="2"/>
  <c r="H4635" i="2"/>
  <c r="G4636" i="2"/>
  <c r="H4636" i="2"/>
  <c r="G4637" i="2"/>
  <c r="H4637" i="2"/>
  <c r="G4638" i="2"/>
  <c r="H4638" i="2"/>
  <c r="G4639" i="2"/>
  <c r="H4639" i="2"/>
  <c r="G4640" i="2"/>
  <c r="H4640" i="2"/>
  <c r="G4641" i="2"/>
  <c r="H4641" i="2"/>
  <c r="G4642" i="2"/>
  <c r="H4642" i="2"/>
  <c r="G4643" i="2"/>
  <c r="H4643" i="2"/>
  <c r="G4644" i="2"/>
  <c r="H4644" i="2"/>
  <c r="G4645" i="2"/>
  <c r="H4645" i="2"/>
  <c r="G4646" i="2"/>
  <c r="H4646" i="2"/>
  <c r="G4647" i="2"/>
  <c r="H4647" i="2"/>
  <c r="G4648" i="2"/>
  <c r="H4648" i="2"/>
  <c r="G4649" i="2"/>
  <c r="H4649" i="2"/>
  <c r="G4650" i="2"/>
  <c r="H4650" i="2"/>
  <c r="G4651" i="2"/>
  <c r="H4651" i="2"/>
  <c r="G4652" i="2"/>
  <c r="H4652" i="2"/>
  <c r="G4653" i="2"/>
  <c r="H4653" i="2"/>
  <c r="G4654" i="2"/>
  <c r="H4654" i="2"/>
  <c r="G4655" i="2"/>
  <c r="H4655" i="2"/>
  <c r="G4656" i="2"/>
  <c r="H4656" i="2"/>
  <c r="G4657" i="2"/>
  <c r="H4657" i="2"/>
  <c r="G4658" i="2"/>
  <c r="H4658" i="2"/>
  <c r="G4659" i="2"/>
  <c r="H4659" i="2"/>
  <c r="G4660" i="2"/>
  <c r="H4660" i="2"/>
  <c r="G4661" i="2"/>
  <c r="H4661" i="2"/>
  <c r="G4662" i="2"/>
  <c r="H4662" i="2"/>
  <c r="G4663" i="2"/>
  <c r="H4663" i="2"/>
  <c r="G4664" i="2"/>
  <c r="H4664" i="2"/>
  <c r="G4665" i="2"/>
  <c r="H4665" i="2"/>
  <c r="G4666" i="2"/>
  <c r="H4666" i="2"/>
  <c r="G4667" i="2"/>
  <c r="H4667" i="2"/>
  <c r="G4668" i="2"/>
  <c r="H4668" i="2"/>
  <c r="G4669" i="2"/>
  <c r="H4669" i="2"/>
  <c r="G4670" i="2"/>
  <c r="H4670" i="2"/>
  <c r="G4671" i="2"/>
  <c r="H4671" i="2"/>
  <c r="G4672" i="2"/>
  <c r="H4672" i="2"/>
  <c r="G4673" i="2"/>
  <c r="H4673" i="2"/>
  <c r="G4674" i="2"/>
  <c r="H4674" i="2"/>
  <c r="G4675" i="2"/>
  <c r="H4675" i="2"/>
  <c r="G4676" i="2"/>
  <c r="H4676" i="2"/>
  <c r="G4677" i="2"/>
  <c r="H4677" i="2"/>
  <c r="G4678" i="2"/>
  <c r="H4678" i="2"/>
  <c r="G4679" i="2"/>
  <c r="H4679" i="2"/>
  <c r="G4680" i="2"/>
  <c r="H4680" i="2"/>
  <c r="G4681" i="2"/>
  <c r="H4681" i="2"/>
  <c r="G4682" i="2"/>
  <c r="H4682" i="2"/>
  <c r="G4683" i="2"/>
  <c r="H4683" i="2"/>
  <c r="G4684" i="2"/>
  <c r="H4684" i="2"/>
  <c r="G4685" i="2"/>
  <c r="H4685" i="2"/>
  <c r="G4686" i="2"/>
  <c r="H4686" i="2"/>
  <c r="G4687" i="2"/>
  <c r="H4687" i="2"/>
  <c r="G4688" i="2"/>
  <c r="H4688" i="2"/>
  <c r="G4689" i="2"/>
  <c r="H4689" i="2"/>
  <c r="G4690" i="2"/>
  <c r="H4690" i="2"/>
  <c r="G4691" i="2"/>
  <c r="H4691" i="2"/>
  <c r="G4692" i="2"/>
  <c r="H4692" i="2"/>
  <c r="G4693" i="2"/>
  <c r="H4693" i="2"/>
  <c r="G4694" i="2"/>
  <c r="H4694" i="2"/>
  <c r="G4695" i="2"/>
  <c r="H4695" i="2"/>
  <c r="G4696" i="2"/>
  <c r="H4696" i="2"/>
  <c r="G4697" i="2"/>
  <c r="H4697" i="2"/>
  <c r="G4698" i="2"/>
  <c r="H4698" i="2"/>
  <c r="G4699" i="2"/>
  <c r="H4699" i="2"/>
  <c r="G4700" i="2"/>
  <c r="H4700" i="2"/>
  <c r="G4701" i="2"/>
  <c r="H4701" i="2"/>
  <c r="G4702" i="2"/>
  <c r="H4702" i="2"/>
  <c r="G4703" i="2"/>
  <c r="H4703" i="2"/>
  <c r="G4704" i="2"/>
  <c r="H4704" i="2"/>
  <c r="G4705" i="2"/>
  <c r="H4705" i="2"/>
  <c r="G4706" i="2"/>
  <c r="H4706" i="2"/>
  <c r="G4707" i="2"/>
  <c r="H4707" i="2"/>
  <c r="G4708" i="2"/>
  <c r="H4708" i="2"/>
  <c r="G4709" i="2"/>
  <c r="H4709" i="2"/>
  <c r="G4710" i="2"/>
  <c r="H4710" i="2"/>
  <c r="G4711" i="2"/>
  <c r="H4711" i="2"/>
  <c r="G4712" i="2"/>
  <c r="H4712" i="2"/>
  <c r="G4713" i="2"/>
  <c r="H4713" i="2"/>
  <c r="G4714" i="2"/>
  <c r="H4714" i="2"/>
  <c r="G4715" i="2"/>
  <c r="H4715" i="2"/>
  <c r="G4716" i="2"/>
  <c r="H4716" i="2"/>
  <c r="G4717" i="2"/>
  <c r="H4717" i="2"/>
  <c r="G4718" i="2"/>
  <c r="H4718" i="2"/>
  <c r="G4719" i="2"/>
  <c r="H4719" i="2"/>
  <c r="G4720" i="2"/>
  <c r="H4720" i="2"/>
  <c r="G4721" i="2"/>
  <c r="H4721" i="2"/>
  <c r="G4722" i="2"/>
  <c r="H4722" i="2"/>
  <c r="G4723" i="2"/>
  <c r="H4723" i="2"/>
  <c r="G4724" i="2"/>
  <c r="H4724" i="2"/>
  <c r="G4725" i="2"/>
  <c r="H4725" i="2"/>
  <c r="G4726" i="2"/>
  <c r="H4726" i="2"/>
  <c r="G4727" i="2"/>
  <c r="H4727" i="2"/>
  <c r="G4728" i="2"/>
  <c r="H4728" i="2"/>
  <c r="G4729" i="2"/>
  <c r="H4729" i="2"/>
  <c r="G4730" i="2"/>
  <c r="H4730" i="2"/>
  <c r="G4731" i="2"/>
  <c r="H4731" i="2"/>
  <c r="G4732" i="2"/>
  <c r="H4732" i="2"/>
  <c r="G4733" i="2"/>
  <c r="H4733" i="2"/>
  <c r="G4734" i="2"/>
  <c r="H4734" i="2"/>
  <c r="G4735" i="2"/>
  <c r="H4735" i="2"/>
  <c r="G4736" i="2"/>
  <c r="H4736" i="2"/>
  <c r="G4737" i="2"/>
  <c r="H4737" i="2"/>
  <c r="G4738" i="2"/>
  <c r="H4738" i="2"/>
  <c r="G4739" i="2"/>
  <c r="H4739" i="2"/>
  <c r="G4740" i="2"/>
  <c r="H4740" i="2"/>
  <c r="G4741" i="2"/>
  <c r="H4741" i="2"/>
  <c r="G4742" i="2"/>
  <c r="H4742" i="2"/>
  <c r="G4743" i="2"/>
  <c r="H4743" i="2"/>
  <c r="G4744" i="2"/>
  <c r="H4744" i="2"/>
  <c r="G4745" i="2"/>
  <c r="H4745" i="2"/>
  <c r="G4746" i="2"/>
  <c r="H4746" i="2"/>
  <c r="G4747" i="2"/>
  <c r="H4747" i="2"/>
  <c r="G4748" i="2"/>
  <c r="H4748" i="2"/>
  <c r="G4749" i="2"/>
  <c r="H4749" i="2"/>
  <c r="G4750" i="2"/>
  <c r="H4750" i="2"/>
  <c r="G4751" i="2"/>
  <c r="H4751" i="2"/>
  <c r="G4752" i="2"/>
  <c r="H4752" i="2"/>
  <c r="G4753" i="2"/>
  <c r="H4753" i="2"/>
  <c r="G4754" i="2"/>
  <c r="H4754" i="2"/>
  <c r="G4755" i="2"/>
  <c r="H4755" i="2"/>
  <c r="G4756" i="2"/>
  <c r="H4756" i="2"/>
  <c r="G4757" i="2"/>
  <c r="H4757" i="2"/>
  <c r="G4758" i="2"/>
  <c r="H4758" i="2"/>
  <c r="G4759" i="2"/>
  <c r="H4759" i="2"/>
  <c r="G4760" i="2"/>
  <c r="H4760" i="2"/>
  <c r="G4761" i="2"/>
  <c r="H4761" i="2"/>
  <c r="G4762" i="2"/>
  <c r="H4762" i="2"/>
  <c r="G4763" i="2"/>
  <c r="H4763" i="2"/>
  <c r="G4764" i="2"/>
  <c r="H4764" i="2"/>
  <c r="G4765" i="2"/>
  <c r="H4765" i="2"/>
  <c r="G4766" i="2"/>
  <c r="H4766" i="2"/>
  <c r="G4767" i="2"/>
  <c r="H4767" i="2"/>
  <c r="G4768" i="2"/>
  <c r="H4768" i="2"/>
  <c r="G4769" i="2"/>
  <c r="H4769" i="2"/>
  <c r="G4770" i="2"/>
  <c r="H4770" i="2"/>
  <c r="G4771" i="2"/>
  <c r="H4771" i="2"/>
  <c r="G4772" i="2"/>
  <c r="H4772" i="2"/>
  <c r="G4773" i="2"/>
  <c r="H4773" i="2"/>
  <c r="G4774" i="2"/>
  <c r="H4774" i="2"/>
  <c r="G4775" i="2"/>
  <c r="H4775" i="2"/>
  <c r="G4776" i="2"/>
  <c r="H4776" i="2"/>
  <c r="G4777" i="2"/>
  <c r="H4777" i="2"/>
  <c r="G4778" i="2"/>
  <c r="H4778" i="2"/>
  <c r="G4779" i="2"/>
  <c r="H4779" i="2"/>
  <c r="G4780" i="2"/>
  <c r="H4780" i="2"/>
  <c r="G4781" i="2"/>
  <c r="H4781" i="2"/>
  <c r="G4782" i="2"/>
  <c r="H4782" i="2"/>
  <c r="G4783" i="2"/>
  <c r="H4783" i="2"/>
  <c r="G4784" i="2"/>
  <c r="H4784" i="2"/>
  <c r="G4785" i="2"/>
  <c r="H4785" i="2"/>
  <c r="G4786" i="2"/>
  <c r="H4786" i="2"/>
  <c r="G4787" i="2"/>
  <c r="H4787" i="2"/>
  <c r="G4788" i="2"/>
  <c r="H4788" i="2"/>
  <c r="G4789" i="2"/>
  <c r="H4789" i="2"/>
  <c r="G4790" i="2"/>
  <c r="H4790" i="2"/>
  <c r="G4791" i="2"/>
  <c r="H4791" i="2"/>
  <c r="G4792" i="2"/>
  <c r="H4792" i="2"/>
  <c r="G4793" i="2"/>
  <c r="H4793" i="2"/>
  <c r="G4794" i="2"/>
  <c r="H4794" i="2"/>
  <c r="G4795" i="2"/>
  <c r="H4795" i="2"/>
  <c r="G4796" i="2"/>
  <c r="H4796" i="2"/>
  <c r="G4797" i="2"/>
  <c r="H4797" i="2"/>
  <c r="G4798" i="2"/>
  <c r="H4798" i="2"/>
  <c r="G4799" i="2"/>
  <c r="H4799" i="2"/>
  <c r="G4800" i="2"/>
  <c r="H4800" i="2"/>
  <c r="G4801" i="2"/>
  <c r="H4801" i="2"/>
  <c r="G4802" i="2"/>
  <c r="H4802" i="2"/>
  <c r="G4803" i="2"/>
  <c r="H4803" i="2"/>
  <c r="G4804" i="2"/>
  <c r="H4804" i="2"/>
  <c r="G4805" i="2"/>
  <c r="H4805" i="2"/>
  <c r="G4806" i="2"/>
  <c r="H4806" i="2"/>
  <c r="G4807" i="2"/>
  <c r="H4807" i="2"/>
  <c r="G4808" i="2"/>
  <c r="H4808" i="2"/>
  <c r="G4809" i="2"/>
  <c r="H4809" i="2"/>
  <c r="G4810" i="2"/>
  <c r="H4810" i="2"/>
  <c r="G4811" i="2"/>
  <c r="H4811" i="2"/>
  <c r="G4812" i="2"/>
  <c r="H4812" i="2"/>
  <c r="G4813" i="2"/>
  <c r="H4813" i="2"/>
  <c r="G4814" i="2"/>
  <c r="H4814" i="2"/>
  <c r="G4815" i="2"/>
  <c r="H4815" i="2"/>
  <c r="G4816" i="2"/>
  <c r="H4816" i="2"/>
  <c r="G4817" i="2"/>
  <c r="H4817" i="2"/>
  <c r="G4818" i="2"/>
  <c r="H4818" i="2"/>
  <c r="G4819" i="2"/>
  <c r="H4819" i="2"/>
  <c r="G4820" i="2"/>
  <c r="H4820" i="2"/>
  <c r="G4821" i="2"/>
  <c r="H4821" i="2"/>
  <c r="G4822" i="2"/>
  <c r="H4822" i="2"/>
  <c r="G4823" i="2"/>
  <c r="H4823" i="2"/>
  <c r="G4824" i="2"/>
  <c r="H4824" i="2"/>
  <c r="G4825" i="2"/>
  <c r="H4825" i="2"/>
  <c r="G4826" i="2"/>
  <c r="H4826" i="2"/>
  <c r="G4827" i="2"/>
  <c r="H4827" i="2"/>
  <c r="G4828" i="2"/>
  <c r="H4828" i="2"/>
  <c r="G4829" i="2"/>
  <c r="H4829" i="2"/>
  <c r="G4830" i="2"/>
  <c r="H4830" i="2"/>
  <c r="G4831" i="2"/>
  <c r="H4831" i="2"/>
  <c r="G4832" i="2"/>
  <c r="H4832" i="2"/>
  <c r="G4833" i="2"/>
  <c r="H4833" i="2"/>
  <c r="G4834" i="2"/>
  <c r="H4834" i="2"/>
  <c r="G4835" i="2"/>
  <c r="H4835" i="2"/>
  <c r="G4836" i="2"/>
  <c r="H4836" i="2"/>
  <c r="G4837" i="2"/>
  <c r="H4837" i="2"/>
  <c r="G4838" i="2"/>
  <c r="H4838" i="2"/>
  <c r="G4839" i="2"/>
  <c r="H4839" i="2"/>
  <c r="G4840" i="2"/>
  <c r="H4840" i="2"/>
  <c r="G4841" i="2"/>
  <c r="H4841" i="2"/>
  <c r="G4842" i="2"/>
  <c r="H4842" i="2"/>
  <c r="G4843" i="2"/>
  <c r="H4843" i="2"/>
  <c r="G4844" i="2"/>
  <c r="H4844" i="2"/>
  <c r="G4845" i="2"/>
  <c r="H4845" i="2"/>
  <c r="G4846" i="2"/>
  <c r="H4846" i="2"/>
  <c r="G4847" i="2"/>
  <c r="H4847" i="2"/>
  <c r="G4848" i="2"/>
  <c r="H4848" i="2"/>
  <c r="G4849" i="2"/>
  <c r="H4849" i="2"/>
  <c r="G4850" i="2"/>
  <c r="H4850" i="2"/>
  <c r="G4851" i="2"/>
  <c r="H4851" i="2"/>
  <c r="G4852" i="2"/>
  <c r="H4852" i="2"/>
  <c r="G4853" i="2"/>
  <c r="H4853" i="2"/>
  <c r="G4854" i="2"/>
  <c r="H4854" i="2"/>
  <c r="G4855" i="2"/>
  <c r="H4855" i="2"/>
  <c r="G4856" i="2"/>
  <c r="H4856" i="2"/>
  <c r="G4857" i="2"/>
  <c r="H4857" i="2"/>
  <c r="H4858" i="2"/>
  <c r="G4859" i="2"/>
  <c r="H4859" i="2"/>
  <c r="H4860" i="2"/>
  <c r="G4861" i="2"/>
  <c r="H4861" i="2"/>
  <c r="H4862" i="2"/>
  <c r="G4863" i="2"/>
  <c r="H4863" i="2"/>
  <c r="H4864" i="2"/>
  <c r="G4865" i="2"/>
  <c r="H4865" i="2"/>
  <c r="H4866" i="2"/>
  <c r="G4867" i="2"/>
  <c r="H4867" i="2"/>
  <c r="H4868" i="2"/>
  <c r="G4869" i="2"/>
  <c r="H4869" i="2"/>
  <c r="H4870" i="2"/>
  <c r="G4871" i="2"/>
  <c r="H4871" i="2"/>
  <c r="H4872" i="2"/>
  <c r="G4873" i="2"/>
  <c r="H4873" i="2"/>
  <c r="H4874" i="2"/>
  <c r="G4875" i="2"/>
  <c r="H4875" i="2"/>
  <c r="H4876" i="2"/>
  <c r="G4877" i="2"/>
  <c r="H4877" i="2"/>
  <c r="H4878" i="2"/>
  <c r="G4879" i="2"/>
  <c r="H4879" i="2"/>
  <c r="H4880" i="2"/>
  <c r="G4881" i="2"/>
  <c r="H4881" i="2"/>
  <c r="H4882" i="2"/>
  <c r="G4883" i="2"/>
  <c r="H4883" i="2"/>
  <c r="H4884" i="2"/>
  <c r="G4885" i="2"/>
  <c r="H4885" i="2"/>
  <c r="H4886" i="2"/>
  <c r="G4887" i="2"/>
  <c r="H4887" i="2"/>
  <c r="H4888" i="2"/>
  <c r="G4889" i="2"/>
  <c r="H4889" i="2"/>
  <c r="H4890" i="2"/>
  <c r="G4891" i="2"/>
  <c r="H4891" i="2"/>
  <c r="H4892" i="2"/>
  <c r="G4893" i="2"/>
  <c r="H4893" i="2"/>
  <c r="H4894" i="2"/>
  <c r="G4895" i="2"/>
  <c r="H4895" i="2"/>
  <c r="H4896" i="2"/>
  <c r="G4897" i="2"/>
  <c r="H4897" i="2"/>
  <c r="H4898" i="2"/>
  <c r="G4899" i="2"/>
  <c r="H4899" i="2"/>
  <c r="H4900" i="2"/>
  <c r="G4901" i="2"/>
  <c r="H4901" i="2"/>
  <c r="H4902" i="2"/>
  <c r="G4903" i="2"/>
  <c r="H4903" i="2"/>
  <c r="H4904" i="2"/>
  <c r="G4905" i="2"/>
  <c r="H4905" i="2"/>
  <c r="H4906" i="2"/>
  <c r="G4907" i="2"/>
  <c r="H4907" i="2"/>
  <c r="H4908" i="2"/>
  <c r="G4909" i="2"/>
  <c r="H4909" i="2"/>
  <c r="H4910" i="2"/>
  <c r="G4911" i="2"/>
  <c r="H4911" i="2"/>
  <c r="H4912" i="2"/>
  <c r="G4913" i="2"/>
  <c r="H4913" i="2"/>
  <c r="H4914" i="2"/>
  <c r="G4915" i="2"/>
  <c r="H4915" i="2"/>
  <c r="H4916" i="2"/>
  <c r="G4917" i="2"/>
  <c r="H4917" i="2"/>
  <c r="H4918" i="2"/>
  <c r="G4919" i="2"/>
  <c r="H4919" i="2"/>
  <c r="H4920" i="2"/>
  <c r="G4921" i="2"/>
  <c r="H4921" i="2"/>
  <c r="H4922" i="2"/>
  <c r="G4923" i="2"/>
  <c r="H4923" i="2"/>
  <c r="H4924" i="2"/>
  <c r="G4925" i="2"/>
  <c r="H4925" i="2"/>
  <c r="H4926" i="2"/>
  <c r="G4927" i="2"/>
  <c r="H4927" i="2"/>
  <c r="H4928" i="2"/>
  <c r="G4929" i="2"/>
  <c r="H4929" i="2"/>
  <c r="H4930" i="2"/>
  <c r="G4931" i="2"/>
  <c r="H4931" i="2"/>
  <c r="H4932" i="2"/>
  <c r="G4933" i="2"/>
  <c r="H4933" i="2"/>
  <c r="H4934" i="2"/>
  <c r="G4935" i="2"/>
  <c r="H4935" i="2"/>
  <c r="G4936" i="2"/>
  <c r="H4936" i="2"/>
  <c r="G4937" i="2"/>
  <c r="H4937" i="2"/>
  <c r="G4938" i="2"/>
  <c r="H4938" i="2"/>
  <c r="G4939" i="2"/>
  <c r="H4939" i="2"/>
  <c r="G4940" i="2"/>
  <c r="H4940" i="2"/>
  <c r="G4941" i="2"/>
  <c r="H4941" i="2"/>
  <c r="G4942" i="2"/>
  <c r="H4942" i="2"/>
  <c r="G4943" i="2"/>
  <c r="H4943" i="2"/>
  <c r="G4944" i="2"/>
  <c r="H4944" i="2"/>
  <c r="G4945" i="2"/>
  <c r="H4945" i="2"/>
  <c r="G4365" i="2"/>
  <c r="H4365" i="2"/>
  <c r="G4366" i="2"/>
  <c r="H4366" i="2"/>
  <c r="G4367" i="2"/>
  <c r="H4367" i="2"/>
  <c r="G4368" i="2"/>
  <c r="H4368" i="2"/>
  <c r="G4369" i="2"/>
  <c r="H4369" i="2"/>
  <c r="G4370" i="2"/>
  <c r="H4370" i="2"/>
  <c r="G4371" i="2"/>
  <c r="H4371" i="2"/>
  <c r="G4372" i="2"/>
  <c r="H4372" i="2"/>
  <c r="G4373" i="2"/>
  <c r="H4373" i="2"/>
  <c r="G4374" i="2"/>
  <c r="H4374" i="2"/>
  <c r="G4375" i="2"/>
  <c r="H4375" i="2"/>
  <c r="G4376" i="2"/>
  <c r="H4376" i="2"/>
  <c r="G4377" i="2"/>
  <c r="H4377" i="2"/>
  <c r="G4378" i="2"/>
  <c r="H4378" i="2"/>
  <c r="G4379" i="2"/>
  <c r="H4379" i="2"/>
  <c r="G4380" i="2"/>
  <c r="H4380" i="2"/>
  <c r="G4381" i="2"/>
  <c r="H4381" i="2"/>
  <c r="G4382" i="2"/>
  <c r="H4382" i="2"/>
  <c r="G4383" i="2"/>
  <c r="H4383" i="2"/>
  <c r="G4384" i="2"/>
  <c r="H4384" i="2"/>
  <c r="G4385" i="2"/>
  <c r="H4385" i="2"/>
  <c r="G4386" i="2"/>
  <c r="H4386" i="2"/>
  <c r="G4387" i="2"/>
  <c r="H4387" i="2"/>
  <c r="G4388" i="2"/>
  <c r="H4388" i="2"/>
  <c r="G4389" i="2"/>
  <c r="H4389" i="2"/>
  <c r="G4390" i="2"/>
  <c r="H4390" i="2"/>
  <c r="G4391" i="2"/>
  <c r="H4391" i="2"/>
  <c r="G4392" i="2"/>
  <c r="H4392" i="2"/>
  <c r="G4393" i="2"/>
  <c r="H4393" i="2"/>
  <c r="G4394" i="2"/>
  <c r="H4394" i="2"/>
  <c r="G4395" i="2"/>
  <c r="H4395" i="2"/>
  <c r="G4396" i="2"/>
  <c r="H4396" i="2"/>
  <c r="G4397" i="2"/>
  <c r="H4397" i="2"/>
  <c r="G4398" i="2"/>
  <c r="H4398" i="2"/>
  <c r="G4399" i="2"/>
  <c r="H4399" i="2"/>
  <c r="G4400" i="2"/>
  <c r="H4400" i="2"/>
  <c r="G4401" i="2"/>
  <c r="H4401" i="2"/>
  <c r="G4402" i="2"/>
  <c r="H4402" i="2"/>
  <c r="G4403" i="2"/>
  <c r="H4403" i="2"/>
  <c r="G4404" i="2"/>
  <c r="H4404" i="2"/>
  <c r="G4405" i="2"/>
  <c r="H4405" i="2"/>
  <c r="G4406" i="2"/>
  <c r="H4406" i="2"/>
  <c r="G4407" i="2"/>
  <c r="H4407" i="2"/>
  <c r="G4408" i="2"/>
  <c r="H4408" i="2"/>
  <c r="G4409" i="2"/>
  <c r="H4409" i="2"/>
  <c r="G4410" i="2"/>
  <c r="H4410" i="2"/>
  <c r="G4411" i="2"/>
  <c r="H4411" i="2"/>
  <c r="G4412" i="2"/>
  <c r="H4412" i="2"/>
  <c r="G4413" i="2"/>
  <c r="H4413" i="2"/>
  <c r="G4414" i="2"/>
  <c r="H4414" i="2"/>
  <c r="G4415" i="2"/>
  <c r="H4415" i="2"/>
  <c r="G4416" i="2"/>
  <c r="H4416" i="2"/>
  <c r="E7" i="1"/>
  <c r="G4170" i="2"/>
  <c r="H4170" i="2"/>
  <c r="G4171" i="2"/>
  <c r="H4171" i="2"/>
  <c r="G4172" i="2"/>
  <c r="H4172" i="2"/>
  <c r="G4173" i="2"/>
  <c r="H4173" i="2"/>
  <c r="G4174" i="2"/>
  <c r="H4174" i="2"/>
  <c r="G4175" i="2"/>
  <c r="H4175" i="2"/>
  <c r="G4176" i="2"/>
  <c r="H4176" i="2"/>
  <c r="G4177" i="2"/>
  <c r="H4177" i="2"/>
  <c r="G4178" i="2"/>
  <c r="H4178" i="2"/>
  <c r="G4179" i="2"/>
  <c r="H4179" i="2"/>
  <c r="G4180" i="2"/>
  <c r="H4180" i="2"/>
  <c r="G4181" i="2"/>
  <c r="H4181" i="2"/>
  <c r="G4182" i="2"/>
  <c r="H4182" i="2"/>
  <c r="G4183" i="2"/>
  <c r="H4183" i="2"/>
  <c r="G4184" i="2"/>
  <c r="H4184" i="2"/>
  <c r="G4185" i="2"/>
  <c r="H4185" i="2"/>
  <c r="G4186" i="2"/>
  <c r="H4186" i="2"/>
  <c r="G4187" i="2"/>
  <c r="H4187" i="2"/>
  <c r="G4188" i="2"/>
  <c r="H4188" i="2"/>
  <c r="G4189" i="2"/>
  <c r="H4189" i="2"/>
  <c r="G4190" i="2"/>
  <c r="H4190" i="2"/>
  <c r="G4191" i="2"/>
  <c r="H4191" i="2"/>
  <c r="G4192" i="2"/>
  <c r="H4192" i="2"/>
  <c r="G4193" i="2"/>
  <c r="H4193" i="2"/>
  <c r="G4194" i="2"/>
  <c r="H4194" i="2"/>
  <c r="G4195" i="2"/>
  <c r="H4195" i="2"/>
  <c r="G4196" i="2"/>
  <c r="H4196" i="2"/>
  <c r="G4197" i="2"/>
  <c r="H4197" i="2"/>
  <c r="G4198" i="2"/>
  <c r="H4198" i="2"/>
  <c r="G4199" i="2"/>
  <c r="H4199" i="2"/>
  <c r="G4200" i="2"/>
  <c r="H4200" i="2"/>
  <c r="G4201" i="2"/>
  <c r="H4201" i="2"/>
  <c r="G4202" i="2"/>
  <c r="H4202" i="2"/>
  <c r="G4203" i="2"/>
  <c r="H4203" i="2"/>
  <c r="G4204" i="2"/>
  <c r="H4204" i="2"/>
  <c r="G4205" i="2"/>
  <c r="H4205" i="2"/>
  <c r="G4206" i="2"/>
  <c r="H4206" i="2"/>
  <c r="G4207" i="2"/>
  <c r="H4207" i="2"/>
  <c r="G4208" i="2"/>
  <c r="H4208" i="2"/>
  <c r="G4209" i="2"/>
  <c r="H4209" i="2"/>
  <c r="G4210" i="2"/>
  <c r="H4210" i="2"/>
  <c r="G4211" i="2"/>
  <c r="H4211" i="2"/>
  <c r="G4212" i="2"/>
  <c r="H4212" i="2"/>
  <c r="G4213" i="2"/>
  <c r="H4213" i="2"/>
  <c r="G4214" i="2"/>
  <c r="H4214" i="2"/>
  <c r="G4215" i="2"/>
  <c r="H4215" i="2"/>
  <c r="G4216" i="2"/>
  <c r="H4216" i="2"/>
  <c r="G4217" i="2"/>
  <c r="H4217" i="2"/>
  <c r="G4218" i="2"/>
  <c r="H4218" i="2"/>
  <c r="G4219" i="2"/>
  <c r="H4219" i="2"/>
  <c r="G4220" i="2"/>
  <c r="H4220" i="2"/>
  <c r="G4221" i="2"/>
  <c r="H4221" i="2"/>
  <c r="G4222" i="2"/>
  <c r="H4222" i="2"/>
  <c r="G4223" i="2"/>
  <c r="H4223" i="2"/>
  <c r="G4224" i="2"/>
  <c r="H4224" i="2"/>
  <c r="G4225" i="2"/>
  <c r="H4225" i="2"/>
  <c r="G4226" i="2"/>
  <c r="H4226" i="2"/>
  <c r="G4227" i="2"/>
  <c r="H4227" i="2"/>
  <c r="G4228" i="2"/>
  <c r="H4228" i="2"/>
  <c r="G4229" i="2"/>
  <c r="H4229" i="2"/>
  <c r="G4230" i="2"/>
  <c r="H4230" i="2"/>
  <c r="G4231" i="2"/>
  <c r="H4231" i="2"/>
  <c r="G4232" i="2"/>
  <c r="H4232" i="2"/>
  <c r="G4233" i="2"/>
  <c r="H4233" i="2"/>
  <c r="G4234" i="2"/>
  <c r="H4234" i="2"/>
  <c r="G4235" i="2"/>
  <c r="H4235" i="2"/>
  <c r="G4236" i="2"/>
  <c r="H4236" i="2"/>
  <c r="G4237" i="2"/>
  <c r="H4237" i="2"/>
  <c r="G4238" i="2"/>
  <c r="H4238" i="2"/>
  <c r="G4239" i="2"/>
  <c r="H4239" i="2"/>
  <c r="G4240" i="2"/>
  <c r="H4240" i="2"/>
  <c r="G4241" i="2"/>
  <c r="H4241" i="2"/>
  <c r="G4242" i="2"/>
  <c r="H4242" i="2"/>
  <c r="G4243" i="2"/>
  <c r="H4243" i="2"/>
  <c r="G4244" i="2"/>
  <c r="H4244" i="2"/>
  <c r="G4245" i="2"/>
  <c r="H4245" i="2"/>
  <c r="G4246" i="2"/>
  <c r="H4246" i="2"/>
  <c r="G4247" i="2"/>
  <c r="H4247" i="2"/>
  <c r="G4248" i="2"/>
  <c r="H4248" i="2"/>
  <c r="G4249" i="2"/>
  <c r="H4249" i="2"/>
  <c r="G4250" i="2"/>
  <c r="H4250" i="2"/>
  <c r="G4251" i="2"/>
  <c r="H4251" i="2"/>
  <c r="G4252" i="2"/>
  <c r="H4252" i="2"/>
  <c r="G4253" i="2"/>
  <c r="H4253" i="2"/>
  <c r="G4254" i="2"/>
  <c r="H4254" i="2"/>
  <c r="G4255" i="2"/>
  <c r="H4255" i="2"/>
  <c r="G4256" i="2"/>
  <c r="H4256" i="2"/>
  <c r="G4257" i="2"/>
  <c r="H4257" i="2"/>
  <c r="G4258" i="2"/>
  <c r="H4258" i="2"/>
  <c r="G4259" i="2"/>
  <c r="H4259" i="2"/>
  <c r="G4260" i="2"/>
  <c r="H4260" i="2"/>
  <c r="G4261" i="2"/>
  <c r="H4261" i="2"/>
  <c r="G4262" i="2"/>
  <c r="H4262" i="2"/>
  <c r="G4263" i="2"/>
  <c r="H4263" i="2"/>
  <c r="G4264" i="2"/>
  <c r="H4264" i="2"/>
  <c r="G4265" i="2"/>
  <c r="H4265" i="2"/>
  <c r="G4266" i="2"/>
  <c r="H4266" i="2"/>
  <c r="G4267" i="2"/>
  <c r="H4267" i="2"/>
  <c r="G4268" i="2"/>
  <c r="H4268" i="2"/>
  <c r="G4269" i="2"/>
  <c r="H4269" i="2"/>
  <c r="G4270" i="2"/>
  <c r="H4270" i="2"/>
  <c r="G4271" i="2"/>
  <c r="H4271" i="2"/>
  <c r="G4272" i="2"/>
  <c r="H4272" i="2"/>
  <c r="G4273" i="2"/>
  <c r="H4273" i="2"/>
  <c r="G4274" i="2"/>
  <c r="H4274" i="2"/>
  <c r="G4275" i="2"/>
  <c r="H4275" i="2"/>
  <c r="G4276" i="2"/>
  <c r="H4276" i="2"/>
  <c r="G4277" i="2"/>
  <c r="H4277" i="2"/>
  <c r="G4278" i="2"/>
  <c r="H4278" i="2"/>
  <c r="G4279" i="2"/>
  <c r="H4279" i="2"/>
  <c r="G4280" i="2"/>
  <c r="H4280" i="2"/>
  <c r="G4281" i="2"/>
  <c r="H4281" i="2"/>
  <c r="G4282" i="2"/>
  <c r="H4282" i="2"/>
  <c r="G4283" i="2"/>
  <c r="H4283" i="2"/>
  <c r="G4284" i="2"/>
  <c r="H4284" i="2"/>
  <c r="G4285" i="2"/>
  <c r="H4285" i="2"/>
  <c r="G4286" i="2"/>
  <c r="H4286" i="2"/>
  <c r="G4287" i="2"/>
  <c r="H4287" i="2"/>
  <c r="G4288" i="2"/>
  <c r="H4288" i="2"/>
  <c r="G4289" i="2"/>
  <c r="H4289" i="2"/>
  <c r="G4290" i="2"/>
  <c r="H4290" i="2"/>
  <c r="G4291" i="2"/>
  <c r="H4291" i="2"/>
  <c r="G4292" i="2"/>
  <c r="H4292" i="2"/>
  <c r="G4293" i="2"/>
  <c r="H4293" i="2"/>
  <c r="G4294" i="2"/>
  <c r="H4294" i="2"/>
  <c r="G4295" i="2"/>
  <c r="H4295" i="2"/>
  <c r="G4296" i="2"/>
  <c r="H4296" i="2"/>
  <c r="G4297" i="2"/>
  <c r="H4297" i="2"/>
  <c r="G4298" i="2"/>
  <c r="H4298" i="2"/>
  <c r="G4299" i="2"/>
  <c r="H4299" i="2"/>
  <c r="G4300" i="2"/>
  <c r="H4300" i="2"/>
  <c r="G4301" i="2"/>
  <c r="H4301" i="2"/>
  <c r="G4302" i="2"/>
  <c r="H4302" i="2"/>
  <c r="G4303" i="2"/>
  <c r="H4303" i="2"/>
  <c r="G4304" i="2"/>
  <c r="H4304" i="2"/>
  <c r="G4305" i="2"/>
  <c r="H4305" i="2"/>
  <c r="G4306" i="2"/>
  <c r="H4306" i="2"/>
  <c r="G4307" i="2"/>
  <c r="H4307" i="2"/>
  <c r="G4308" i="2"/>
  <c r="H4308" i="2"/>
  <c r="G4309" i="2"/>
  <c r="H4309" i="2"/>
  <c r="G4310" i="2"/>
  <c r="H4310" i="2"/>
  <c r="G4311" i="2"/>
  <c r="H4311" i="2"/>
  <c r="G4312" i="2"/>
  <c r="H4312" i="2"/>
  <c r="G4313" i="2"/>
  <c r="H4313" i="2"/>
  <c r="G4314" i="2"/>
  <c r="H4314" i="2"/>
  <c r="G4315" i="2"/>
  <c r="H4315" i="2"/>
  <c r="G4316" i="2"/>
  <c r="H4316" i="2"/>
  <c r="G4317" i="2"/>
  <c r="H4317" i="2"/>
  <c r="G4318" i="2"/>
  <c r="H4318" i="2"/>
  <c r="G4319" i="2"/>
  <c r="H4319" i="2"/>
  <c r="G4320" i="2"/>
  <c r="H4320" i="2"/>
  <c r="G4321" i="2"/>
  <c r="H4321" i="2"/>
  <c r="G4322" i="2"/>
  <c r="H4322" i="2"/>
  <c r="G4323" i="2"/>
  <c r="H4323" i="2"/>
  <c r="G4324" i="2"/>
  <c r="H4324" i="2"/>
  <c r="G4325" i="2"/>
  <c r="H4325" i="2"/>
  <c r="G4326" i="2"/>
  <c r="H4326" i="2"/>
  <c r="G4327" i="2"/>
  <c r="H4327" i="2"/>
  <c r="G4328" i="2"/>
  <c r="H4328" i="2"/>
  <c r="G4329" i="2"/>
  <c r="H4329" i="2"/>
  <c r="G4330" i="2"/>
  <c r="H4330" i="2"/>
  <c r="G4331" i="2"/>
  <c r="H4331" i="2"/>
  <c r="G4332" i="2"/>
  <c r="H4332" i="2"/>
  <c r="G4333" i="2"/>
  <c r="H4333" i="2"/>
  <c r="G4334" i="2"/>
  <c r="H4334" i="2"/>
  <c r="G4335" i="2"/>
  <c r="H4335" i="2"/>
  <c r="G4336" i="2"/>
  <c r="H4336" i="2"/>
  <c r="G4337" i="2"/>
  <c r="H4337" i="2"/>
  <c r="G4338" i="2"/>
  <c r="H4338" i="2"/>
  <c r="G4339" i="2"/>
  <c r="H4339" i="2"/>
  <c r="G4340" i="2"/>
  <c r="H4340" i="2"/>
  <c r="G4341" i="2"/>
  <c r="H4341" i="2"/>
  <c r="G4342" i="2"/>
  <c r="H4342" i="2"/>
  <c r="G4343" i="2"/>
  <c r="H4343" i="2"/>
  <c r="G4344" i="2"/>
  <c r="H4344" i="2"/>
  <c r="G4345" i="2"/>
  <c r="H4345" i="2"/>
  <c r="G4346" i="2"/>
  <c r="H4346" i="2"/>
  <c r="G4347" i="2"/>
  <c r="H4347" i="2"/>
  <c r="G4348" i="2"/>
  <c r="H4348" i="2"/>
  <c r="G4349" i="2"/>
  <c r="H4349" i="2"/>
  <c r="G4350" i="2"/>
  <c r="H4350" i="2"/>
  <c r="G4351" i="2"/>
  <c r="H4351" i="2"/>
  <c r="G4352" i="2"/>
  <c r="H4352" i="2"/>
  <c r="G4353" i="2"/>
  <c r="H4353" i="2"/>
  <c r="G4354" i="2"/>
  <c r="H4354" i="2"/>
  <c r="G4355" i="2"/>
  <c r="H4355" i="2"/>
  <c r="G4356" i="2"/>
  <c r="H4356" i="2"/>
  <c r="G4357" i="2"/>
  <c r="H4357" i="2"/>
  <c r="G4358" i="2"/>
  <c r="H4358" i="2"/>
  <c r="G4359" i="2"/>
  <c r="H4359" i="2"/>
  <c r="G4360" i="2"/>
  <c r="H4360" i="2"/>
  <c r="G4361" i="2"/>
  <c r="H4361" i="2"/>
  <c r="G4362" i="2"/>
  <c r="H4362" i="2"/>
  <c r="G4363" i="2"/>
  <c r="H4363" i="2"/>
  <c r="G4364" i="2"/>
  <c r="H4364" i="2"/>
  <c r="G4010" i="2"/>
  <c r="H4010" i="2"/>
  <c r="G4011" i="2"/>
  <c r="H4011" i="2"/>
  <c r="G4012" i="2"/>
  <c r="H4012" i="2"/>
  <c r="G4013" i="2"/>
  <c r="H4013" i="2"/>
  <c r="G4014" i="2"/>
  <c r="H4014" i="2"/>
  <c r="G4015" i="2"/>
  <c r="H4015" i="2"/>
  <c r="G4016" i="2"/>
  <c r="H4016" i="2"/>
  <c r="G4017" i="2"/>
  <c r="H4017" i="2"/>
  <c r="G4018" i="2"/>
  <c r="H4018" i="2"/>
  <c r="G4019" i="2"/>
  <c r="H4019" i="2"/>
  <c r="G4020" i="2"/>
  <c r="H4020" i="2"/>
  <c r="G4021" i="2"/>
  <c r="H4021" i="2"/>
  <c r="G4022" i="2"/>
  <c r="H4022" i="2"/>
  <c r="G4023" i="2"/>
  <c r="H4023" i="2"/>
  <c r="G4024" i="2"/>
  <c r="H4024" i="2"/>
  <c r="G4025" i="2"/>
  <c r="H4025" i="2"/>
  <c r="G4026" i="2"/>
  <c r="H4026" i="2"/>
  <c r="G4027" i="2"/>
  <c r="H4027" i="2"/>
  <c r="G4028" i="2"/>
  <c r="H4028" i="2"/>
  <c r="G4029" i="2"/>
  <c r="H4029" i="2"/>
  <c r="G4030" i="2"/>
  <c r="H4030" i="2"/>
  <c r="G4031" i="2"/>
  <c r="H4031" i="2"/>
  <c r="G4032" i="2"/>
  <c r="H4032" i="2"/>
  <c r="G4033" i="2"/>
  <c r="H4033" i="2"/>
  <c r="G4034" i="2"/>
  <c r="H4034" i="2"/>
  <c r="G4035" i="2"/>
  <c r="H4035" i="2"/>
  <c r="G4036" i="2"/>
  <c r="H4036" i="2"/>
  <c r="G4037" i="2"/>
  <c r="H4037" i="2"/>
  <c r="G4038" i="2"/>
  <c r="H4038" i="2"/>
  <c r="G4039" i="2"/>
  <c r="H4039" i="2"/>
  <c r="G4040" i="2"/>
  <c r="H4040" i="2"/>
  <c r="G4041" i="2"/>
  <c r="H4041" i="2"/>
  <c r="G4042" i="2"/>
  <c r="H4042" i="2"/>
  <c r="G4043" i="2"/>
  <c r="H4043" i="2"/>
  <c r="G4044" i="2"/>
  <c r="H4044" i="2"/>
  <c r="G4045" i="2"/>
  <c r="H4045" i="2"/>
  <c r="G4046" i="2"/>
  <c r="H4046" i="2"/>
  <c r="G4047" i="2"/>
  <c r="H4047" i="2"/>
  <c r="G4048" i="2"/>
  <c r="H4048" i="2"/>
  <c r="G4049" i="2"/>
  <c r="H4049" i="2"/>
  <c r="G4050" i="2"/>
  <c r="H4050" i="2"/>
  <c r="G4051" i="2"/>
  <c r="H4051" i="2"/>
  <c r="G4052" i="2"/>
  <c r="H4052" i="2"/>
  <c r="G4053" i="2"/>
  <c r="H4053" i="2"/>
  <c r="G4054" i="2"/>
  <c r="H4054" i="2"/>
  <c r="G4055" i="2"/>
  <c r="H4055" i="2"/>
  <c r="G4056" i="2"/>
  <c r="H4056" i="2"/>
  <c r="G4057" i="2"/>
  <c r="H4057" i="2"/>
  <c r="G4058" i="2"/>
  <c r="H4058" i="2"/>
  <c r="G4059" i="2"/>
  <c r="H4059" i="2"/>
  <c r="G4060" i="2"/>
  <c r="H4060" i="2"/>
  <c r="G4061" i="2"/>
  <c r="H4061" i="2"/>
  <c r="G4062" i="2"/>
  <c r="H4062" i="2"/>
  <c r="G4063" i="2"/>
  <c r="H4063" i="2"/>
  <c r="G4064" i="2"/>
  <c r="H4064" i="2"/>
  <c r="G4065" i="2"/>
  <c r="H4065" i="2"/>
  <c r="G4066" i="2"/>
  <c r="H4066" i="2"/>
  <c r="G4067" i="2"/>
  <c r="H4067" i="2"/>
  <c r="G4068" i="2"/>
  <c r="H4068" i="2"/>
  <c r="G4069" i="2"/>
  <c r="H4069" i="2"/>
  <c r="G4070" i="2"/>
  <c r="H4070" i="2"/>
  <c r="G4071" i="2"/>
  <c r="H4071" i="2"/>
  <c r="G4072" i="2"/>
  <c r="H4072" i="2"/>
  <c r="G4073" i="2"/>
  <c r="H4073" i="2"/>
  <c r="G4074" i="2"/>
  <c r="H4074" i="2"/>
  <c r="G4075" i="2"/>
  <c r="H4075" i="2"/>
  <c r="G4076" i="2"/>
  <c r="H4076" i="2"/>
  <c r="G4077" i="2"/>
  <c r="H4077" i="2"/>
  <c r="G4078" i="2"/>
  <c r="H4078" i="2"/>
  <c r="G4079" i="2"/>
  <c r="H4079" i="2"/>
  <c r="G4080" i="2"/>
  <c r="H4080" i="2"/>
  <c r="G4081" i="2"/>
  <c r="H4081" i="2"/>
  <c r="G4082" i="2"/>
  <c r="H4082" i="2"/>
  <c r="G4083" i="2"/>
  <c r="H4083" i="2"/>
  <c r="G4084" i="2"/>
  <c r="H4084" i="2"/>
  <c r="G4085" i="2"/>
  <c r="H4085" i="2"/>
  <c r="G4086" i="2"/>
  <c r="H4086" i="2"/>
  <c r="G4087" i="2"/>
  <c r="H4087" i="2"/>
  <c r="G4088" i="2"/>
  <c r="H4088" i="2"/>
  <c r="G4089" i="2"/>
  <c r="H4089" i="2"/>
  <c r="G4090" i="2"/>
  <c r="H4090" i="2"/>
  <c r="G4091" i="2"/>
  <c r="H4091" i="2"/>
  <c r="G4092" i="2"/>
  <c r="H4092" i="2"/>
  <c r="G4093" i="2"/>
  <c r="H4093" i="2"/>
  <c r="G4094" i="2"/>
  <c r="H4094" i="2"/>
  <c r="G4095" i="2"/>
  <c r="H4095" i="2"/>
  <c r="G4096" i="2"/>
  <c r="H4096" i="2"/>
  <c r="G4097" i="2"/>
  <c r="H4097" i="2"/>
  <c r="G4098" i="2"/>
  <c r="H4098" i="2"/>
  <c r="G4099" i="2"/>
  <c r="H4099" i="2"/>
  <c r="G4100" i="2"/>
  <c r="H4100" i="2"/>
  <c r="G4101" i="2"/>
  <c r="H4101" i="2"/>
  <c r="G4102" i="2"/>
  <c r="H4102" i="2"/>
  <c r="G4103" i="2"/>
  <c r="H4103" i="2"/>
  <c r="G4104" i="2"/>
  <c r="H4104" i="2"/>
  <c r="G4105" i="2"/>
  <c r="H4105" i="2"/>
  <c r="G4106" i="2"/>
  <c r="H4106" i="2"/>
  <c r="G4107" i="2"/>
  <c r="H4107" i="2"/>
  <c r="G4108" i="2"/>
  <c r="H4108" i="2"/>
  <c r="G4109" i="2"/>
  <c r="H4109" i="2"/>
  <c r="G4110" i="2"/>
  <c r="H4110" i="2"/>
  <c r="G4111" i="2"/>
  <c r="H4111" i="2"/>
  <c r="G4112" i="2"/>
  <c r="H4112" i="2"/>
  <c r="G4113" i="2"/>
  <c r="H4113" i="2"/>
  <c r="G4114" i="2"/>
  <c r="H4114" i="2"/>
  <c r="G4115" i="2"/>
  <c r="H4115" i="2"/>
  <c r="G4116" i="2"/>
  <c r="H4116" i="2"/>
  <c r="G4117" i="2"/>
  <c r="H4117" i="2"/>
  <c r="G4118" i="2"/>
  <c r="H4118" i="2"/>
  <c r="G4119" i="2"/>
  <c r="H4119" i="2"/>
  <c r="G4120" i="2"/>
  <c r="H4120" i="2"/>
  <c r="G4121" i="2"/>
  <c r="H4121" i="2"/>
  <c r="G4122" i="2"/>
  <c r="H4122" i="2"/>
  <c r="G4123" i="2"/>
  <c r="H4123" i="2"/>
  <c r="G4124" i="2"/>
  <c r="H4124" i="2"/>
  <c r="G4125" i="2"/>
  <c r="H4125" i="2"/>
  <c r="G4126" i="2"/>
  <c r="H4126" i="2"/>
  <c r="G4127" i="2"/>
  <c r="H4127" i="2"/>
  <c r="G4128" i="2"/>
  <c r="H4128" i="2"/>
  <c r="G4129" i="2"/>
  <c r="H4129" i="2"/>
  <c r="G4130" i="2"/>
  <c r="H4130" i="2"/>
  <c r="G4131" i="2"/>
  <c r="H4131" i="2"/>
  <c r="G4132" i="2"/>
  <c r="H4132" i="2"/>
  <c r="G4133" i="2"/>
  <c r="H4133" i="2"/>
  <c r="G4134" i="2"/>
  <c r="H4134" i="2"/>
  <c r="G4135" i="2"/>
  <c r="H4135" i="2"/>
  <c r="G4136" i="2"/>
  <c r="H4136" i="2"/>
  <c r="G4137" i="2"/>
  <c r="H4137" i="2"/>
  <c r="G4138" i="2"/>
  <c r="H4138" i="2"/>
  <c r="G4139" i="2"/>
  <c r="H4139" i="2"/>
  <c r="G4140" i="2"/>
  <c r="H4140" i="2"/>
  <c r="G4141" i="2"/>
  <c r="H4141" i="2"/>
  <c r="G4142" i="2"/>
  <c r="H4142" i="2"/>
  <c r="G4143" i="2"/>
  <c r="H4143" i="2"/>
  <c r="G4144" i="2"/>
  <c r="H4144" i="2"/>
  <c r="G4145" i="2"/>
  <c r="H4145" i="2"/>
  <c r="G4146" i="2"/>
  <c r="H4146" i="2"/>
  <c r="G4147" i="2"/>
  <c r="H4147" i="2"/>
  <c r="G4148" i="2"/>
  <c r="H4148" i="2"/>
  <c r="G4149" i="2"/>
  <c r="H4149" i="2"/>
  <c r="G4150" i="2"/>
  <c r="H4150" i="2"/>
  <c r="G4151" i="2"/>
  <c r="H4151" i="2"/>
  <c r="G4152" i="2"/>
  <c r="H4152" i="2"/>
  <c r="G4153" i="2"/>
  <c r="H4153" i="2"/>
  <c r="G4154" i="2"/>
  <c r="H4154" i="2"/>
  <c r="G4155" i="2"/>
  <c r="H4155" i="2"/>
  <c r="G4156" i="2"/>
  <c r="H4156" i="2"/>
  <c r="G4157" i="2"/>
  <c r="H4157" i="2"/>
  <c r="G4158" i="2"/>
  <c r="H4158" i="2"/>
  <c r="G4159" i="2"/>
  <c r="H4159" i="2"/>
  <c r="G4160" i="2"/>
  <c r="H4160" i="2"/>
  <c r="G4161" i="2"/>
  <c r="H4161" i="2"/>
  <c r="G4162" i="2"/>
  <c r="H4162" i="2"/>
  <c r="G4163" i="2"/>
  <c r="H4163" i="2"/>
  <c r="G4164" i="2"/>
  <c r="H4164" i="2"/>
  <c r="G4165" i="2"/>
  <c r="H4165" i="2"/>
  <c r="G4166" i="2"/>
  <c r="H4166" i="2"/>
  <c r="G4167" i="2"/>
  <c r="H4167" i="2"/>
  <c r="G4168" i="2"/>
  <c r="H4168" i="2"/>
  <c r="G4169" i="2"/>
  <c r="H4169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H4417" i="2" l="1"/>
  <c r="H2693" i="2"/>
  <c r="H2305" i="2"/>
  <c r="G2305" i="2"/>
  <c r="H2303" i="2"/>
  <c r="G2303" i="2"/>
  <c r="H2301" i="2"/>
  <c r="G2301" i="2"/>
  <c r="H2299" i="2"/>
  <c r="G2299" i="2"/>
  <c r="H2297" i="2"/>
  <c r="G2297" i="2"/>
  <c r="H2295" i="2"/>
  <c r="G2295" i="2"/>
  <c r="H2293" i="2"/>
  <c r="G2293" i="2"/>
  <c r="H2291" i="2"/>
  <c r="G2291" i="2"/>
  <c r="H2289" i="2"/>
  <c r="G2289" i="2"/>
  <c r="H2287" i="2"/>
  <c r="G2287" i="2"/>
  <c r="H2285" i="2"/>
  <c r="G2285" i="2"/>
  <c r="H2283" i="2"/>
  <c r="G2283" i="2"/>
  <c r="H2281" i="2"/>
  <c r="G2281" i="2"/>
  <c r="H2279" i="2"/>
  <c r="G2279" i="2"/>
  <c r="H2277" i="2"/>
  <c r="G2277" i="2"/>
  <c r="H2275" i="2"/>
  <c r="G2275" i="2"/>
  <c r="H2273" i="2"/>
  <c r="G2273" i="2"/>
  <c r="H2271" i="2"/>
  <c r="G2271" i="2"/>
  <c r="H2269" i="2"/>
  <c r="G2269" i="2"/>
  <c r="H2267" i="2"/>
  <c r="G2267" i="2"/>
  <c r="H2265" i="2"/>
  <c r="G2265" i="2"/>
  <c r="H2263" i="2"/>
  <c r="G2263" i="2"/>
  <c r="H2261" i="2"/>
  <c r="G2261" i="2"/>
  <c r="H2259" i="2"/>
  <c r="G2259" i="2"/>
  <c r="H2257" i="2"/>
  <c r="G2257" i="2"/>
  <c r="H2255" i="2"/>
  <c r="G2255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G3776" i="2"/>
  <c r="H3775" i="2"/>
  <c r="G3775" i="2"/>
  <c r="H3774" i="2"/>
  <c r="G3774" i="2"/>
  <c r="H3773" i="2"/>
  <c r="G3773" i="2"/>
  <c r="H3772" i="2"/>
  <c r="G3772" i="2"/>
  <c r="H3771" i="2"/>
  <c r="G3771" i="2"/>
  <c r="H3770" i="2"/>
  <c r="G3770" i="2"/>
  <c r="H3769" i="2"/>
  <c r="G3769" i="2"/>
  <c r="H3768" i="2"/>
  <c r="G3768" i="2"/>
  <c r="H3767" i="2"/>
  <c r="G3767" i="2"/>
  <c r="H3766" i="2"/>
  <c r="G3766" i="2"/>
  <c r="H3765" i="2"/>
  <c r="G3765" i="2"/>
  <c r="H3764" i="2"/>
  <c r="G3764" i="2"/>
  <c r="H3763" i="2"/>
  <c r="G3763" i="2"/>
  <c r="H3762" i="2"/>
  <c r="G3762" i="2"/>
  <c r="H3761" i="2"/>
  <c r="G3761" i="2"/>
  <c r="H3760" i="2"/>
  <c r="G3760" i="2"/>
  <c r="H3759" i="2"/>
  <c r="G3759" i="2"/>
  <c r="H3758" i="2"/>
  <c r="G3758" i="2"/>
  <c r="H3757" i="2"/>
  <c r="G3757" i="2"/>
  <c r="H3756" i="2"/>
  <c r="G3756" i="2"/>
  <c r="H3755" i="2"/>
  <c r="G3755" i="2"/>
  <c r="H3754" i="2"/>
  <c r="G3754" i="2"/>
  <c r="H3753" i="2"/>
  <c r="G3753" i="2"/>
  <c r="H3752" i="2"/>
  <c r="G3752" i="2"/>
  <c r="H3751" i="2"/>
  <c r="G3751" i="2"/>
  <c r="H3750" i="2"/>
  <c r="G3750" i="2"/>
  <c r="H3749" i="2"/>
  <c r="G3749" i="2"/>
  <c r="H3748" i="2"/>
  <c r="G3748" i="2"/>
  <c r="H3747" i="2"/>
  <c r="G3747" i="2"/>
  <c r="H3746" i="2"/>
  <c r="G3746" i="2"/>
  <c r="H3745" i="2"/>
  <c r="G3745" i="2"/>
  <c r="H3744" i="2"/>
  <c r="G3744" i="2"/>
  <c r="H3743" i="2"/>
  <c r="G3743" i="2"/>
  <c r="H3742" i="2"/>
  <c r="G3742" i="2"/>
  <c r="H3741" i="2"/>
  <c r="G3741" i="2"/>
  <c r="H3740" i="2"/>
  <c r="G3740" i="2"/>
  <c r="H3739" i="2"/>
  <c r="G3739" i="2"/>
  <c r="H3738" i="2"/>
  <c r="G3738" i="2"/>
  <c r="H3737" i="2"/>
  <c r="G3737" i="2"/>
  <c r="H3736" i="2"/>
  <c r="G3736" i="2"/>
  <c r="H3735" i="2"/>
  <c r="G3735" i="2"/>
  <c r="H3734" i="2"/>
  <c r="G3734" i="2"/>
  <c r="H3733" i="2"/>
  <c r="G3733" i="2"/>
  <c r="H3732" i="2"/>
  <c r="G3732" i="2"/>
  <c r="H3731" i="2"/>
  <c r="G3731" i="2"/>
  <c r="H3730" i="2"/>
  <c r="G3730" i="2"/>
  <c r="H3729" i="2"/>
  <c r="G3729" i="2"/>
  <c r="H3728" i="2"/>
  <c r="G3728" i="2"/>
  <c r="H3727" i="2"/>
  <c r="G3727" i="2"/>
  <c r="H3726" i="2"/>
  <c r="G3726" i="2"/>
  <c r="H3725" i="2"/>
  <c r="G3725" i="2"/>
  <c r="H3724" i="2"/>
  <c r="G3724" i="2"/>
  <c r="H3723" i="2"/>
  <c r="G3723" i="2"/>
  <c r="H3722" i="2"/>
  <c r="G3722" i="2"/>
  <c r="H3721" i="2"/>
  <c r="G3721" i="2"/>
  <c r="H3720" i="2"/>
  <c r="G3720" i="2"/>
  <c r="H3719" i="2"/>
  <c r="G3719" i="2"/>
  <c r="H3718" i="2"/>
  <c r="G3718" i="2"/>
  <c r="H3717" i="2"/>
  <c r="G3717" i="2"/>
  <c r="H3716" i="2"/>
  <c r="G3716" i="2"/>
  <c r="H3715" i="2"/>
  <c r="G3715" i="2"/>
  <c r="H3714" i="2"/>
  <c r="G3714" i="2"/>
  <c r="H3713" i="2"/>
  <c r="G3713" i="2"/>
  <c r="H3712" i="2"/>
  <c r="G3712" i="2"/>
  <c r="H3711" i="2"/>
  <c r="G3711" i="2"/>
  <c r="H3710" i="2"/>
  <c r="G3710" i="2"/>
  <c r="H3709" i="2"/>
  <c r="G3709" i="2"/>
  <c r="H3708" i="2"/>
  <c r="G3708" i="2"/>
  <c r="H3707" i="2"/>
  <c r="G3707" i="2"/>
  <c r="H3706" i="2"/>
  <c r="G3706" i="2"/>
  <c r="H3705" i="2"/>
  <c r="G3705" i="2"/>
  <c r="H3704" i="2"/>
  <c r="G3704" i="2"/>
  <c r="H3703" i="2"/>
  <c r="G3703" i="2"/>
  <c r="H3702" i="2"/>
  <c r="G3702" i="2"/>
  <c r="H3701" i="2"/>
  <c r="G3701" i="2"/>
  <c r="H3700" i="2"/>
  <c r="G3700" i="2"/>
  <c r="H3699" i="2"/>
  <c r="G3699" i="2"/>
  <c r="H3698" i="2"/>
  <c r="G3698" i="2"/>
  <c r="H3697" i="2"/>
  <c r="G3697" i="2"/>
  <c r="H3696" i="2"/>
  <c r="G3696" i="2"/>
  <c r="H3695" i="2"/>
  <c r="G3695" i="2"/>
  <c r="H3694" i="2"/>
  <c r="G3694" i="2"/>
  <c r="H3693" i="2"/>
  <c r="G3693" i="2"/>
  <c r="H3692" i="2"/>
  <c r="G3692" i="2"/>
  <c r="H3691" i="2"/>
  <c r="G3691" i="2"/>
  <c r="H3690" i="2"/>
  <c r="G3690" i="2"/>
  <c r="H3689" i="2"/>
  <c r="G3689" i="2"/>
  <c r="H3688" i="2"/>
  <c r="G3688" i="2"/>
  <c r="H3687" i="2"/>
  <c r="G3687" i="2"/>
  <c r="H3686" i="2"/>
  <c r="G3686" i="2"/>
  <c r="H3685" i="2"/>
  <c r="G3685" i="2"/>
  <c r="H3684" i="2"/>
  <c r="G3684" i="2"/>
  <c r="H3683" i="2"/>
  <c r="G3683" i="2"/>
  <c r="H3682" i="2"/>
  <c r="G3682" i="2"/>
  <c r="H3681" i="2"/>
  <c r="G3681" i="2"/>
  <c r="H3680" i="2"/>
  <c r="G3680" i="2"/>
  <c r="H3679" i="2"/>
  <c r="G3679" i="2"/>
  <c r="H3678" i="2"/>
  <c r="G3678" i="2"/>
  <c r="H3677" i="2"/>
  <c r="G3677" i="2"/>
  <c r="H3676" i="2"/>
  <c r="G3676" i="2"/>
  <c r="H3675" i="2"/>
  <c r="G3675" i="2"/>
  <c r="H3674" i="2"/>
  <c r="G3674" i="2"/>
  <c r="H3673" i="2"/>
  <c r="G3673" i="2"/>
  <c r="H3672" i="2"/>
  <c r="G3672" i="2"/>
  <c r="H3671" i="2"/>
  <c r="G3671" i="2"/>
  <c r="H3670" i="2"/>
  <c r="G3670" i="2"/>
  <c r="H3669" i="2"/>
  <c r="G3669" i="2"/>
  <c r="H3668" i="2"/>
  <c r="G3668" i="2"/>
  <c r="H3667" i="2"/>
  <c r="G3667" i="2"/>
  <c r="H3666" i="2"/>
  <c r="G3666" i="2"/>
  <c r="H3665" i="2"/>
  <c r="G3665" i="2"/>
  <c r="H3664" i="2"/>
  <c r="G3664" i="2"/>
  <c r="H3663" i="2"/>
  <c r="G3663" i="2"/>
  <c r="H3662" i="2"/>
  <c r="G3662" i="2"/>
  <c r="H3661" i="2"/>
  <c r="G3661" i="2"/>
  <c r="H3660" i="2"/>
  <c r="G3660" i="2"/>
  <c r="H3659" i="2"/>
  <c r="G3659" i="2"/>
  <c r="H3658" i="2"/>
  <c r="G3658" i="2"/>
  <c r="H3657" i="2"/>
  <c r="G3657" i="2"/>
  <c r="H3656" i="2"/>
  <c r="G3656" i="2"/>
  <c r="H3655" i="2"/>
  <c r="G3655" i="2"/>
  <c r="H3654" i="2"/>
  <c r="G3654" i="2"/>
  <c r="H3653" i="2"/>
  <c r="G3653" i="2"/>
  <c r="H3652" i="2"/>
  <c r="G3652" i="2"/>
  <c r="H3651" i="2"/>
  <c r="G3651" i="2"/>
  <c r="H3650" i="2"/>
  <c r="G3650" i="2"/>
  <c r="H3649" i="2"/>
  <c r="G3649" i="2"/>
  <c r="H3648" i="2"/>
  <c r="G3648" i="2"/>
  <c r="H3647" i="2"/>
  <c r="G3647" i="2"/>
  <c r="H3646" i="2"/>
  <c r="G3646" i="2"/>
  <c r="H3645" i="2"/>
  <c r="G3645" i="2"/>
  <c r="H3644" i="2"/>
  <c r="G3644" i="2"/>
  <c r="H3643" i="2"/>
  <c r="G3643" i="2"/>
  <c r="H3642" i="2"/>
  <c r="G3642" i="2"/>
  <c r="H3641" i="2"/>
  <c r="G3641" i="2"/>
  <c r="H3640" i="2"/>
  <c r="G3640" i="2"/>
  <c r="H3639" i="2"/>
  <c r="G3639" i="2"/>
  <c r="H3638" i="2"/>
  <c r="G3638" i="2"/>
  <c r="H3637" i="2"/>
  <c r="G3637" i="2"/>
  <c r="H3636" i="2"/>
  <c r="G3636" i="2"/>
  <c r="H3635" i="2"/>
  <c r="G3635" i="2"/>
  <c r="H3634" i="2"/>
  <c r="G3634" i="2"/>
  <c r="H3633" i="2"/>
  <c r="G3633" i="2"/>
  <c r="H3632" i="2"/>
  <c r="G3632" i="2"/>
  <c r="H3631" i="2"/>
  <c r="G3631" i="2"/>
  <c r="H3630" i="2"/>
  <c r="G3630" i="2"/>
  <c r="H3629" i="2"/>
  <c r="G3629" i="2"/>
  <c r="H3628" i="2"/>
  <c r="G3628" i="2"/>
  <c r="H3627" i="2"/>
  <c r="G3627" i="2"/>
  <c r="H3626" i="2"/>
  <c r="G3626" i="2"/>
  <c r="H3625" i="2"/>
  <c r="G3625" i="2"/>
  <c r="H3624" i="2"/>
  <c r="G3624" i="2"/>
  <c r="H3623" i="2"/>
  <c r="G3623" i="2"/>
  <c r="H3622" i="2"/>
  <c r="G3622" i="2"/>
  <c r="H3621" i="2"/>
  <c r="G3621" i="2"/>
  <c r="H3620" i="2"/>
  <c r="G3620" i="2"/>
  <c r="H3619" i="2"/>
  <c r="G3619" i="2"/>
  <c r="H3618" i="2"/>
  <c r="G3618" i="2"/>
  <c r="H3617" i="2"/>
  <c r="G3617" i="2"/>
  <c r="H3616" i="2"/>
  <c r="G3616" i="2"/>
  <c r="H3615" i="2"/>
  <c r="G3615" i="2"/>
  <c r="H3614" i="2"/>
  <c r="G3614" i="2"/>
  <c r="H3613" i="2"/>
  <c r="G3613" i="2"/>
  <c r="H3612" i="2"/>
  <c r="G3612" i="2"/>
  <c r="H3611" i="2"/>
  <c r="G3611" i="2"/>
  <c r="H3610" i="2"/>
  <c r="G3610" i="2"/>
  <c r="H3609" i="2"/>
  <c r="G3609" i="2"/>
  <c r="H3608" i="2"/>
  <c r="G3608" i="2"/>
  <c r="H3607" i="2"/>
  <c r="G3607" i="2"/>
  <c r="H3606" i="2"/>
  <c r="G3606" i="2"/>
  <c r="H3605" i="2"/>
  <c r="G3605" i="2"/>
  <c r="H3604" i="2"/>
  <c r="G3604" i="2"/>
  <c r="H3603" i="2"/>
  <c r="G3603" i="2"/>
  <c r="H3602" i="2"/>
  <c r="G3602" i="2"/>
  <c r="H3601" i="2"/>
  <c r="G3601" i="2"/>
  <c r="H3600" i="2"/>
  <c r="G3600" i="2"/>
  <c r="H3599" i="2"/>
  <c r="G3599" i="2"/>
  <c r="H3598" i="2"/>
  <c r="G3598" i="2"/>
  <c r="H3597" i="2"/>
  <c r="G3597" i="2"/>
  <c r="H3596" i="2"/>
  <c r="G3596" i="2"/>
  <c r="H3595" i="2"/>
  <c r="G3595" i="2"/>
  <c r="H3594" i="2"/>
  <c r="G3594" i="2"/>
  <c r="H3593" i="2"/>
  <c r="G3593" i="2"/>
  <c r="H3592" i="2"/>
  <c r="G3592" i="2"/>
  <c r="H3591" i="2"/>
  <c r="G3591" i="2"/>
  <c r="H3590" i="2"/>
  <c r="G3590" i="2"/>
  <c r="H3589" i="2"/>
  <c r="G3589" i="2"/>
  <c r="H3588" i="2"/>
  <c r="G3588" i="2"/>
  <c r="H3587" i="2"/>
  <c r="G3587" i="2"/>
  <c r="H3586" i="2"/>
  <c r="G3586" i="2"/>
  <c r="H3585" i="2"/>
  <c r="G3585" i="2"/>
  <c r="H3584" i="2"/>
  <c r="G3584" i="2"/>
  <c r="H3583" i="2"/>
  <c r="G3583" i="2"/>
  <c r="H3582" i="2"/>
  <c r="G3582" i="2"/>
  <c r="H3581" i="2"/>
  <c r="G3581" i="2"/>
  <c r="H3580" i="2"/>
  <c r="G3580" i="2"/>
  <c r="H3579" i="2"/>
  <c r="G3579" i="2"/>
  <c r="H3578" i="2"/>
  <c r="G3578" i="2"/>
  <c r="H3577" i="2"/>
  <c r="G3577" i="2"/>
  <c r="H3576" i="2"/>
  <c r="G3576" i="2"/>
  <c r="H3575" i="2"/>
  <c r="G3575" i="2"/>
  <c r="H3574" i="2"/>
  <c r="G3574" i="2"/>
  <c r="H3573" i="2"/>
  <c r="G3573" i="2"/>
  <c r="H3572" i="2"/>
  <c r="G3572" i="2"/>
  <c r="H3571" i="2"/>
  <c r="G3571" i="2"/>
  <c r="H3570" i="2"/>
  <c r="G3570" i="2"/>
  <c r="H3569" i="2"/>
  <c r="G3569" i="2"/>
  <c r="H3568" i="2"/>
  <c r="G3568" i="2"/>
  <c r="H3567" i="2"/>
  <c r="G3567" i="2"/>
  <c r="H3566" i="2"/>
  <c r="G3566" i="2"/>
  <c r="H3565" i="2"/>
  <c r="G3565" i="2"/>
  <c r="H3564" i="2"/>
  <c r="G3564" i="2"/>
  <c r="H3563" i="2"/>
  <c r="G3563" i="2"/>
  <c r="H3562" i="2"/>
  <c r="G3562" i="2"/>
  <c r="H3561" i="2"/>
  <c r="G3561" i="2"/>
  <c r="H3560" i="2"/>
  <c r="G3560" i="2"/>
  <c r="H3559" i="2"/>
  <c r="G3559" i="2"/>
  <c r="H3558" i="2"/>
  <c r="G3558" i="2"/>
  <c r="H3557" i="2"/>
  <c r="G3557" i="2"/>
  <c r="H3556" i="2"/>
  <c r="G3556" i="2"/>
  <c r="H3555" i="2"/>
  <c r="G3555" i="2"/>
  <c r="H3554" i="2"/>
  <c r="G3554" i="2"/>
  <c r="H3553" i="2"/>
  <c r="G3553" i="2"/>
  <c r="H3552" i="2"/>
  <c r="G3552" i="2"/>
  <c r="H3551" i="2"/>
  <c r="G3551" i="2"/>
  <c r="H3550" i="2"/>
  <c r="G3550" i="2"/>
  <c r="H3549" i="2"/>
  <c r="G3549" i="2"/>
  <c r="H3548" i="2"/>
  <c r="G3548" i="2"/>
  <c r="H3547" i="2"/>
  <c r="G3547" i="2"/>
  <c r="H3546" i="2"/>
  <c r="G3546" i="2"/>
  <c r="H3545" i="2"/>
  <c r="G3545" i="2"/>
  <c r="H3544" i="2"/>
  <c r="G3544" i="2"/>
  <c r="H3543" i="2"/>
  <c r="G3543" i="2"/>
  <c r="H3542" i="2"/>
  <c r="G3542" i="2"/>
  <c r="H3541" i="2"/>
  <c r="G3541" i="2"/>
  <c r="H3540" i="2"/>
  <c r="G3540" i="2"/>
  <c r="H3539" i="2"/>
  <c r="G3539" i="2"/>
  <c r="H3538" i="2"/>
  <c r="G3538" i="2"/>
  <c r="H3537" i="2"/>
  <c r="G3537" i="2"/>
  <c r="H3536" i="2"/>
  <c r="G3536" i="2"/>
  <c r="H3535" i="2"/>
  <c r="G3535" i="2"/>
  <c r="H3534" i="2"/>
  <c r="G3534" i="2"/>
  <c r="H3533" i="2"/>
  <c r="G3533" i="2"/>
  <c r="H3532" i="2"/>
  <c r="G3532" i="2"/>
  <c r="H3531" i="2"/>
  <c r="G3531" i="2"/>
  <c r="H3530" i="2"/>
  <c r="G3530" i="2"/>
  <c r="H3529" i="2"/>
  <c r="G3529" i="2"/>
  <c r="H3528" i="2"/>
  <c r="G3528" i="2"/>
  <c r="H3527" i="2"/>
  <c r="G3527" i="2"/>
  <c r="H3526" i="2"/>
  <c r="G3526" i="2"/>
  <c r="H3525" i="2"/>
  <c r="G3525" i="2"/>
  <c r="H3524" i="2"/>
  <c r="G3524" i="2"/>
  <c r="H3523" i="2"/>
  <c r="G3523" i="2"/>
  <c r="H3522" i="2"/>
  <c r="G3522" i="2"/>
  <c r="H3521" i="2"/>
  <c r="G3521" i="2"/>
  <c r="H3520" i="2"/>
  <c r="G3520" i="2"/>
  <c r="H3519" i="2"/>
  <c r="G3519" i="2"/>
  <c r="H3518" i="2"/>
  <c r="G3518" i="2"/>
  <c r="H3517" i="2"/>
  <c r="G3517" i="2"/>
  <c r="H3516" i="2"/>
  <c r="G3516" i="2"/>
  <c r="H3515" i="2"/>
  <c r="G3515" i="2"/>
  <c r="H3514" i="2"/>
  <c r="G3514" i="2"/>
  <c r="H3513" i="2"/>
  <c r="G3513" i="2"/>
  <c r="H3512" i="2"/>
  <c r="G3512" i="2"/>
  <c r="H3511" i="2"/>
  <c r="G3511" i="2"/>
  <c r="H3510" i="2"/>
  <c r="G3510" i="2"/>
  <c r="H3509" i="2"/>
  <c r="G3509" i="2"/>
  <c r="H3508" i="2"/>
  <c r="G3508" i="2"/>
  <c r="H3507" i="2"/>
  <c r="G3507" i="2"/>
  <c r="H3506" i="2"/>
  <c r="G3506" i="2"/>
  <c r="H3505" i="2"/>
  <c r="G3505" i="2"/>
  <c r="H3504" i="2"/>
  <c r="G3504" i="2"/>
  <c r="H3503" i="2"/>
  <c r="G3503" i="2"/>
  <c r="H3502" i="2"/>
  <c r="G3502" i="2"/>
  <c r="H3501" i="2"/>
  <c r="G3501" i="2"/>
  <c r="H3500" i="2"/>
  <c r="G3500" i="2"/>
  <c r="H3499" i="2"/>
  <c r="G3499" i="2"/>
  <c r="H3498" i="2"/>
  <c r="G3498" i="2"/>
  <c r="H3497" i="2"/>
  <c r="G3497" i="2"/>
  <c r="H3496" i="2"/>
  <c r="G3496" i="2"/>
  <c r="H3495" i="2"/>
  <c r="G3495" i="2"/>
  <c r="H3494" i="2"/>
  <c r="G3494" i="2"/>
  <c r="H3493" i="2"/>
  <c r="G3493" i="2"/>
  <c r="H3492" i="2"/>
  <c r="G3492" i="2"/>
  <c r="H3491" i="2"/>
  <c r="G3491" i="2"/>
  <c r="H3490" i="2"/>
  <c r="G3490" i="2"/>
  <c r="H3489" i="2"/>
  <c r="G3489" i="2"/>
  <c r="H3488" i="2"/>
  <c r="G3488" i="2"/>
  <c r="H3487" i="2"/>
  <c r="G3487" i="2"/>
  <c r="H3486" i="2"/>
  <c r="G3486" i="2"/>
  <c r="H3485" i="2"/>
  <c r="G3485" i="2"/>
  <c r="H3484" i="2"/>
  <c r="G3484" i="2"/>
  <c r="H3483" i="2"/>
  <c r="G3483" i="2"/>
  <c r="H3482" i="2"/>
  <c r="G3482" i="2"/>
  <c r="H3481" i="2"/>
  <c r="G3481" i="2"/>
  <c r="H3480" i="2"/>
  <c r="G3480" i="2"/>
  <c r="H3479" i="2"/>
  <c r="G3479" i="2"/>
  <c r="H3478" i="2"/>
  <c r="G3478" i="2"/>
  <c r="H3477" i="2"/>
  <c r="G3477" i="2"/>
  <c r="H3476" i="2"/>
  <c r="G3476" i="2"/>
  <c r="H3475" i="2"/>
  <c r="G3475" i="2"/>
  <c r="H3474" i="2"/>
  <c r="G3474" i="2"/>
  <c r="H3473" i="2"/>
  <c r="G3473" i="2"/>
  <c r="H3472" i="2"/>
  <c r="G3472" i="2"/>
  <c r="H3471" i="2"/>
  <c r="G3471" i="2"/>
  <c r="H3470" i="2"/>
  <c r="G3470" i="2"/>
  <c r="H3469" i="2"/>
  <c r="G3469" i="2"/>
  <c r="H3468" i="2"/>
  <c r="G3468" i="2"/>
  <c r="H3467" i="2"/>
  <c r="G3467" i="2"/>
  <c r="H3466" i="2"/>
  <c r="G3466" i="2"/>
  <c r="H3465" i="2"/>
  <c r="G3465" i="2"/>
  <c r="H3464" i="2"/>
  <c r="G3464" i="2"/>
  <c r="H3463" i="2"/>
  <c r="G3463" i="2"/>
  <c r="H3462" i="2"/>
  <c r="G3462" i="2"/>
  <c r="H3461" i="2"/>
  <c r="G3461" i="2"/>
  <c r="H3460" i="2"/>
  <c r="G3460" i="2"/>
  <c r="H3459" i="2"/>
  <c r="G3459" i="2"/>
  <c r="H3458" i="2"/>
  <c r="G3458" i="2"/>
  <c r="H3457" i="2"/>
  <c r="G3457" i="2"/>
  <c r="H3456" i="2"/>
  <c r="G3456" i="2"/>
  <c r="H3455" i="2"/>
  <c r="G3455" i="2"/>
  <c r="H3454" i="2"/>
  <c r="G3454" i="2"/>
  <c r="H3453" i="2"/>
  <c r="G3453" i="2"/>
  <c r="H3452" i="2"/>
  <c r="G3452" i="2"/>
  <c r="H3451" i="2"/>
  <c r="G3451" i="2"/>
  <c r="H3450" i="2"/>
  <c r="G3450" i="2"/>
  <c r="H3449" i="2"/>
  <c r="G3449" i="2"/>
  <c r="H3448" i="2"/>
  <c r="G3448" i="2"/>
  <c r="H3447" i="2"/>
  <c r="G3447" i="2"/>
  <c r="H3446" i="2"/>
  <c r="G3446" i="2"/>
  <c r="H3445" i="2"/>
  <c r="G3445" i="2"/>
  <c r="H3444" i="2"/>
  <c r="G3444" i="2"/>
  <c r="H3443" i="2"/>
  <c r="G3443" i="2"/>
  <c r="H3442" i="2"/>
  <c r="G3442" i="2"/>
  <c r="H3441" i="2"/>
  <c r="G3441" i="2"/>
  <c r="H3440" i="2"/>
  <c r="G3440" i="2"/>
  <c r="H3439" i="2"/>
  <c r="G3439" i="2"/>
  <c r="H3438" i="2"/>
  <c r="G3438" i="2"/>
  <c r="H3437" i="2"/>
  <c r="G3437" i="2"/>
  <c r="H3436" i="2"/>
  <c r="G3436" i="2"/>
  <c r="H3435" i="2"/>
  <c r="G3435" i="2"/>
  <c r="H3434" i="2"/>
  <c r="G3434" i="2"/>
  <c r="H3433" i="2"/>
  <c r="G3433" i="2"/>
  <c r="H3432" i="2"/>
  <c r="G3432" i="2"/>
  <c r="H3431" i="2"/>
  <c r="G3431" i="2"/>
  <c r="H3430" i="2"/>
  <c r="G3430" i="2"/>
  <c r="H3429" i="2"/>
  <c r="G3429" i="2"/>
  <c r="H3428" i="2"/>
  <c r="G3428" i="2"/>
  <c r="H3427" i="2"/>
  <c r="G3427" i="2"/>
  <c r="H3426" i="2"/>
  <c r="G3426" i="2"/>
  <c r="H3425" i="2"/>
  <c r="G3425" i="2"/>
  <c r="H3424" i="2"/>
  <c r="G3424" i="2"/>
  <c r="H3423" i="2"/>
  <c r="G3423" i="2"/>
  <c r="H3422" i="2"/>
  <c r="G3422" i="2"/>
  <c r="H3421" i="2"/>
  <c r="G3421" i="2"/>
  <c r="H3420" i="2"/>
  <c r="G3420" i="2"/>
  <c r="H3419" i="2"/>
  <c r="G3419" i="2"/>
  <c r="H3418" i="2"/>
  <c r="G3418" i="2"/>
  <c r="H3417" i="2"/>
  <c r="G3417" i="2"/>
  <c r="H3416" i="2"/>
  <c r="G3416" i="2"/>
  <c r="H3415" i="2"/>
  <c r="G3415" i="2"/>
  <c r="H3414" i="2"/>
  <c r="G3414" i="2"/>
  <c r="H3413" i="2"/>
  <c r="G3413" i="2"/>
  <c r="H3412" i="2"/>
  <c r="G3412" i="2"/>
  <c r="H3411" i="2"/>
  <c r="G3411" i="2"/>
  <c r="H3410" i="2"/>
  <c r="G3410" i="2"/>
  <c r="H3409" i="2"/>
  <c r="G3409" i="2"/>
  <c r="H3408" i="2"/>
  <c r="G3408" i="2"/>
  <c r="H3407" i="2"/>
  <c r="G3407" i="2"/>
  <c r="H3406" i="2"/>
  <c r="G3406" i="2"/>
  <c r="H3405" i="2"/>
  <c r="G3405" i="2"/>
  <c r="H3404" i="2"/>
  <c r="G3404" i="2"/>
  <c r="H3403" i="2"/>
  <c r="G3403" i="2"/>
  <c r="H3402" i="2"/>
  <c r="G3402" i="2"/>
  <c r="H3401" i="2"/>
  <c r="G3401" i="2"/>
  <c r="H3400" i="2"/>
  <c r="G3400" i="2"/>
  <c r="H3399" i="2"/>
  <c r="G3399" i="2"/>
  <c r="H3398" i="2"/>
  <c r="G3398" i="2"/>
  <c r="H3397" i="2"/>
  <c r="G3397" i="2"/>
  <c r="H3396" i="2"/>
  <c r="G3396" i="2"/>
  <c r="H3395" i="2"/>
  <c r="G3395" i="2"/>
  <c r="H3394" i="2"/>
  <c r="G3394" i="2"/>
  <c r="H3393" i="2"/>
  <c r="G3393" i="2"/>
  <c r="H3392" i="2"/>
  <c r="G3392" i="2"/>
  <c r="H3391" i="2"/>
  <c r="G3391" i="2"/>
  <c r="H3390" i="2"/>
  <c r="G3390" i="2"/>
  <c r="H3389" i="2"/>
  <c r="G3389" i="2"/>
  <c r="H3388" i="2"/>
  <c r="G3388" i="2"/>
  <c r="H3387" i="2"/>
  <c r="G3387" i="2"/>
  <c r="H3386" i="2"/>
  <c r="G3386" i="2"/>
  <c r="H3385" i="2"/>
  <c r="G3385" i="2"/>
  <c r="H3384" i="2"/>
  <c r="G3384" i="2"/>
  <c r="H3383" i="2"/>
  <c r="G3383" i="2"/>
  <c r="H3382" i="2"/>
  <c r="G3382" i="2"/>
  <c r="H3381" i="2"/>
  <c r="G3381" i="2"/>
  <c r="H3380" i="2"/>
  <c r="G3380" i="2"/>
  <c r="H3379" i="2"/>
  <c r="G3379" i="2"/>
  <c r="H3378" i="2"/>
  <c r="G3378" i="2"/>
  <c r="H3377" i="2"/>
  <c r="G3377" i="2"/>
  <c r="H3376" i="2"/>
  <c r="G3376" i="2"/>
  <c r="H3375" i="2"/>
  <c r="G3375" i="2"/>
  <c r="H3374" i="2"/>
  <c r="G3374" i="2"/>
  <c r="H3373" i="2"/>
  <c r="G3373" i="2"/>
  <c r="H3372" i="2"/>
  <c r="G3372" i="2"/>
  <c r="H3371" i="2"/>
  <c r="G3371" i="2"/>
  <c r="H3370" i="2"/>
  <c r="G3370" i="2"/>
  <c r="H3369" i="2"/>
  <c r="G3369" i="2"/>
  <c r="H3368" i="2"/>
  <c r="G3368" i="2"/>
  <c r="H3367" i="2"/>
  <c r="G3367" i="2"/>
  <c r="H3366" i="2"/>
  <c r="G3366" i="2"/>
  <c r="H3365" i="2"/>
  <c r="G3365" i="2"/>
  <c r="H3364" i="2"/>
  <c r="G3364" i="2"/>
  <c r="H3363" i="2"/>
  <c r="G3363" i="2"/>
  <c r="H3362" i="2"/>
  <c r="G3362" i="2"/>
  <c r="H3361" i="2"/>
  <c r="G3361" i="2"/>
  <c r="H3360" i="2"/>
  <c r="G3360" i="2"/>
  <c r="H3359" i="2"/>
  <c r="G3359" i="2"/>
  <c r="H3358" i="2"/>
  <c r="G3358" i="2"/>
  <c r="H3357" i="2"/>
  <c r="G3357" i="2"/>
  <c r="H3356" i="2"/>
  <c r="G3356" i="2"/>
  <c r="H3355" i="2"/>
  <c r="G3355" i="2"/>
  <c r="H3354" i="2"/>
  <c r="G3354" i="2"/>
  <c r="H3353" i="2"/>
  <c r="G3353" i="2"/>
  <c r="H3352" i="2"/>
  <c r="G3352" i="2"/>
  <c r="H3351" i="2"/>
  <c r="G3351" i="2"/>
  <c r="H3350" i="2"/>
  <c r="G3350" i="2"/>
  <c r="H3349" i="2"/>
  <c r="G3349" i="2"/>
  <c r="H3348" i="2"/>
  <c r="G3348" i="2"/>
  <c r="H3347" i="2"/>
  <c r="G3347" i="2"/>
  <c r="H3346" i="2"/>
  <c r="G3346" i="2"/>
  <c r="H3345" i="2"/>
  <c r="G3345" i="2"/>
  <c r="H3344" i="2"/>
  <c r="G3344" i="2"/>
  <c r="H3343" i="2"/>
  <c r="G3343" i="2"/>
  <c r="H3342" i="2"/>
  <c r="G3342" i="2"/>
  <c r="H3341" i="2"/>
  <c r="G3341" i="2"/>
  <c r="H3340" i="2"/>
  <c r="G3340" i="2"/>
  <c r="H3339" i="2"/>
  <c r="G3339" i="2"/>
  <c r="H3338" i="2"/>
  <c r="G3338" i="2"/>
  <c r="H3337" i="2"/>
  <c r="G3337" i="2"/>
  <c r="H3336" i="2"/>
  <c r="G3336" i="2"/>
  <c r="H3335" i="2"/>
  <c r="G3335" i="2"/>
  <c r="H3334" i="2"/>
  <c r="G3334" i="2"/>
  <c r="H3333" i="2"/>
  <c r="G3333" i="2"/>
  <c r="H3332" i="2"/>
  <c r="G3332" i="2"/>
  <c r="H3331" i="2"/>
  <c r="G3331" i="2"/>
  <c r="H3330" i="2"/>
  <c r="G3330" i="2"/>
  <c r="H3329" i="2"/>
  <c r="G3329" i="2"/>
  <c r="H3328" i="2"/>
  <c r="G3328" i="2"/>
  <c r="H3327" i="2"/>
  <c r="G3327" i="2"/>
  <c r="H3326" i="2"/>
  <c r="G3326" i="2"/>
  <c r="H3325" i="2"/>
  <c r="G3325" i="2"/>
  <c r="H3324" i="2"/>
  <c r="G3324" i="2"/>
  <c r="H3323" i="2"/>
  <c r="G3323" i="2"/>
  <c r="H3322" i="2"/>
  <c r="G3322" i="2"/>
  <c r="H3321" i="2"/>
  <c r="G3321" i="2"/>
  <c r="H3320" i="2"/>
  <c r="G3320" i="2"/>
  <c r="H3319" i="2"/>
  <c r="G3319" i="2"/>
  <c r="H3318" i="2"/>
  <c r="G3318" i="2"/>
  <c r="H3317" i="2"/>
  <c r="G3317" i="2"/>
  <c r="H3316" i="2"/>
  <c r="G3316" i="2"/>
  <c r="H3315" i="2"/>
  <c r="G3315" i="2"/>
  <c r="H3314" i="2"/>
  <c r="G3314" i="2"/>
  <c r="H3313" i="2"/>
  <c r="G3313" i="2"/>
  <c r="H3312" i="2"/>
  <c r="G3312" i="2"/>
  <c r="H3311" i="2"/>
  <c r="G3311" i="2"/>
  <c r="H3310" i="2"/>
  <c r="G3310" i="2"/>
  <c r="H3309" i="2"/>
  <c r="G3309" i="2"/>
  <c r="H3308" i="2"/>
  <c r="G3308" i="2"/>
  <c r="H3307" i="2"/>
  <c r="G3307" i="2"/>
  <c r="H3306" i="2"/>
  <c r="G3306" i="2"/>
  <c r="H3305" i="2"/>
  <c r="G3305" i="2"/>
  <c r="H3304" i="2"/>
  <c r="G3304" i="2"/>
  <c r="H3303" i="2"/>
  <c r="G3303" i="2"/>
  <c r="H3302" i="2"/>
  <c r="G3302" i="2"/>
  <c r="H3301" i="2"/>
  <c r="G3301" i="2"/>
  <c r="H3300" i="2"/>
  <c r="G3300" i="2"/>
  <c r="H3299" i="2"/>
  <c r="G3299" i="2"/>
  <c r="H3298" i="2"/>
  <c r="G3298" i="2"/>
  <c r="H3297" i="2"/>
  <c r="G3297" i="2"/>
  <c r="H3296" i="2"/>
  <c r="G3296" i="2"/>
  <c r="H3295" i="2"/>
  <c r="G3295" i="2"/>
  <c r="H3294" i="2"/>
  <c r="G3294" i="2"/>
  <c r="H3293" i="2"/>
  <c r="G3293" i="2"/>
  <c r="H3292" i="2"/>
  <c r="G3292" i="2"/>
  <c r="H3291" i="2"/>
  <c r="G3291" i="2"/>
  <c r="H3290" i="2"/>
  <c r="G3290" i="2"/>
  <c r="H3289" i="2"/>
  <c r="G3289" i="2"/>
  <c r="H3288" i="2"/>
  <c r="G3288" i="2"/>
  <c r="H3287" i="2"/>
  <c r="G3287" i="2"/>
  <c r="H3286" i="2"/>
  <c r="G3286" i="2"/>
  <c r="H3285" i="2"/>
  <c r="G3285" i="2"/>
  <c r="H3284" i="2"/>
  <c r="G3284" i="2"/>
  <c r="H3283" i="2"/>
  <c r="G3283" i="2"/>
  <c r="H3282" i="2"/>
  <c r="G3282" i="2"/>
  <c r="H3281" i="2"/>
  <c r="G3281" i="2"/>
  <c r="H3280" i="2"/>
  <c r="G3280" i="2"/>
  <c r="H3279" i="2"/>
  <c r="G3279" i="2"/>
  <c r="H3278" i="2"/>
  <c r="G3278" i="2"/>
  <c r="H3277" i="2"/>
  <c r="G3277" i="2"/>
  <c r="H3276" i="2"/>
  <c r="G3276" i="2"/>
  <c r="H3275" i="2"/>
  <c r="G3275" i="2"/>
  <c r="H3274" i="2"/>
  <c r="G3274" i="2"/>
  <c r="H3273" i="2"/>
  <c r="G3273" i="2"/>
  <c r="H3272" i="2"/>
  <c r="G3272" i="2"/>
  <c r="H3271" i="2"/>
  <c r="G3271" i="2"/>
  <c r="H3270" i="2"/>
  <c r="G3270" i="2"/>
  <c r="H3269" i="2"/>
  <c r="G3269" i="2"/>
  <c r="H3268" i="2"/>
  <c r="G3268" i="2"/>
  <c r="H3267" i="2"/>
  <c r="G3267" i="2"/>
  <c r="H3266" i="2"/>
  <c r="G3266" i="2"/>
  <c r="H3265" i="2"/>
  <c r="G3265" i="2"/>
  <c r="H3264" i="2"/>
  <c r="G3264" i="2"/>
  <c r="H3263" i="2"/>
  <c r="G3263" i="2"/>
  <c r="H3262" i="2"/>
  <c r="G3262" i="2"/>
  <c r="H3261" i="2"/>
  <c r="G3261" i="2"/>
  <c r="H3260" i="2"/>
  <c r="G3260" i="2"/>
  <c r="H3259" i="2"/>
  <c r="G3259" i="2"/>
  <c r="H3258" i="2"/>
  <c r="G3258" i="2"/>
  <c r="H3257" i="2"/>
  <c r="G3257" i="2"/>
  <c r="H3256" i="2"/>
  <c r="G3256" i="2"/>
  <c r="H3255" i="2"/>
  <c r="G3255" i="2"/>
  <c r="H3254" i="2"/>
  <c r="G3254" i="2"/>
  <c r="H3253" i="2"/>
  <c r="G3253" i="2"/>
  <c r="H3252" i="2"/>
  <c r="G3252" i="2"/>
  <c r="H3251" i="2"/>
  <c r="G3251" i="2"/>
  <c r="H3250" i="2"/>
  <c r="G3250" i="2"/>
  <c r="H3249" i="2"/>
  <c r="G3249" i="2"/>
  <c r="H3248" i="2"/>
  <c r="G3248" i="2"/>
  <c r="H3247" i="2"/>
  <c r="G3247" i="2"/>
  <c r="H3246" i="2"/>
  <c r="G3246" i="2"/>
  <c r="H3245" i="2"/>
  <c r="G3245" i="2"/>
  <c r="H3244" i="2"/>
  <c r="G3244" i="2"/>
  <c r="H3243" i="2"/>
  <c r="G3243" i="2"/>
  <c r="H3242" i="2"/>
  <c r="G3242" i="2"/>
  <c r="H3241" i="2"/>
  <c r="G3241" i="2"/>
  <c r="H3240" i="2"/>
  <c r="G3240" i="2"/>
  <c r="H3239" i="2"/>
  <c r="G3239" i="2"/>
  <c r="H3238" i="2"/>
  <c r="G3238" i="2"/>
  <c r="H3237" i="2"/>
  <c r="G3237" i="2"/>
  <c r="H3236" i="2"/>
  <c r="G3236" i="2"/>
  <c r="H3235" i="2"/>
  <c r="G3235" i="2"/>
  <c r="H3234" i="2"/>
  <c r="G3234" i="2"/>
  <c r="H3233" i="2"/>
  <c r="G3233" i="2"/>
  <c r="H3232" i="2"/>
  <c r="G3232" i="2"/>
  <c r="H3231" i="2"/>
  <c r="G3231" i="2"/>
  <c r="H3230" i="2"/>
  <c r="G3230" i="2"/>
  <c r="H3229" i="2"/>
  <c r="G3229" i="2"/>
  <c r="H3228" i="2"/>
  <c r="G3228" i="2"/>
  <c r="H3227" i="2"/>
  <c r="G3227" i="2"/>
  <c r="H3226" i="2"/>
  <c r="G3226" i="2"/>
  <c r="H3225" i="2"/>
  <c r="G3225" i="2"/>
  <c r="H3224" i="2"/>
  <c r="G3224" i="2"/>
  <c r="H3223" i="2"/>
  <c r="G3223" i="2"/>
  <c r="H3222" i="2"/>
  <c r="G3222" i="2"/>
  <c r="H3221" i="2"/>
  <c r="G3221" i="2"/>
  <c r="H3220" i="2"/>
  <c r="G3220" i="2"/>
  <c r="H3219" i="2"/>
  <c r="G3219" i="2"/>
  <c r="H3218" i="2"/>
  <c r="G3218" i="2"/>
  <c r="H3217" i="2"/>
  <c r="G3217" i="2"/>
  <c r="H3216" i="2"/>
  <c r="G3216" i="2"/>
  <c r="H3215" i="2"/>
  <c r="G3215" i="2"/>
  <c r="H3214" i="2"/>
  <c r="G3214" i="2"/>
  <c r="H3213" i="2"/>
  <c r="G3213" i="2"/>
  <c r="H3212" i="2"/>
  <c r="G3212" i="2"/>
  <c r="H3211" i="2"/>
  <c r="G3211" i="2"/>
  <c r="H3210" i="2"/>
  <c r="G3210" i="2"/>
  <c r="H3209" i="2"/>
  <c r="G3209" i="2"/>
  <c r="H3208" i="2"/>
  <c r="G3208" i="2"/>
  <c r="H3207" i="2"/>
  <c r="G3207" i="2"/>
  <c r="H3206" i="2"/>
  <c r="G3206" i="2"/>
  <c r="H3205" i="2"/>
  <c r="G3205" i="2"/>
  <c r="H3204" i="2"/>
  <c r="G3204" i="2"/>
  <c r="H3203" i="2"/>
  <c r="G3203" i="2"/>
  <c r="H3202" i="2"/>
  <c r="G3202" i="2"/>
  <c r="H3201" i="2"/>
  <c r="G3201" i="2"/>
  <c r="H3200" i="2"/>
  <c r="G3200" i="2"/>
  <c r="H3199" i="2"/>
  <c r="G3199" i="2"/>
  <c r="H3198" i="2"/>
  <c r="G3198" i="2"/>
  <c r="H3197" i="2"/>
  <c r="G3197" i="2"/>
  <c r="H3196" i="2"/>
  <c r="G3196" i="2"/>
  <c r="H3195" i="2"/>
  <c r="G3195" i="2"/>
  <c r="H3194" i="2"/>
  <c r="G3194" i="2"/>
  <c r="H3193" i="2"/>
  <c r="G3193" i="2"/>
  <c r="H3192" i="2"/>
  <c r="G3192" i="2"/>
  <c r="H3191" i="2"/>
  <c r="G3191" i="2"/>
  <c r="H3190" i="2"/>
  <c r="G3190" i="2"/>
  <c r="H3189" i="2"/>
  <c r="G3189" i="2"/>
  <c r="H3188" i="2"/>
  <c r="G3188" i="2"/>
  <c r="H3187" i="2"/>
  <c r="G3187" i="2"/>
  <c r="H3186" i="2"/>
  <c r="G3186" i="2"/>
  <c r="H3185" i="2"/>
  <c r="G3185" i="2"/>
  <c r="H3184" i="2"/>
  <c r="G3184" i="2"/>
  <c r="H3183" i="2"/>
  <c r="G3183" i="2"/>
  <c r="H3182" i="2"/>
  <c r="G3182" i="2"/>
  <c r="H3181" i="2"/>
  <c r="G3181" i="2"/>
  <c r="H3180" i="2"/>
  <c r="G3180" i="2"/>
  <c r="H3179" i="2"/>
  <c r="G3179" i="2"/>
  <c r="H3178" i="2"/>
  <c r="G3178" i="2"/>
  <c r="H3177" i="2"/>
  <c r="G3177" i="2"/>
  <c r="H3176" i="2"/>
  <c r="G3176" i="2"/>
  <c r="H3175" i="2"/>
  <c r="G3175" i="2"/>
  <c r="H3174" i="2"/>
  <c r="G3174" i="2"/>
  <c r="H3173" i="2"/>
  <c r="G3173" i="2"/>
  <c r="H3172" i="2"/>
  <c r="G3172" i="2"/>
  <c r="H3171" i="2"/>
  <c r="G3171" i="2"/>
  <c r="H3170" i="2"/>
  <c r="G3170" i="2"/>
  <c r="H3169" i="2"/>
  <c r="G3169" i="2"/>
  <c r="H3168" i="2"/>
  <c r="G3168" i="2"/>
  <c r="H3167" i="2"/>
  <c r="G3167" i="2"/>
  <c r="H3166" i="2"/>
  <c r="G3166" i="2"/>
  <c r="H3165" i="2"/>
  <c r="G3165" i="2"/>
  <c r="H3164" i="2"/>
  <c r="G3164" i="2"/>
  <c r="H3163" i="2"/>
  <c r="G3163" i="2"/>
  <c r="H3162" i="2"/>
  <c r="G3162" i="2"/>
  <c r="H3161" i="2"/>
  <c r="G3161" i="2"/>
  <c r="H3160" i="2"/>
  <c r="G3160" i="2"/>
  <c r="H3159" i="2"/>
  <c r="G3159" i="2"/>
  <c r="H3158" i="2"/>
  <c r="G3158" i="2"/>
  <c r="H3157" i="2"/>
  <c r="G3157" i="2"/>
  <c r="H3156" i="2"/>
  <c r="G3156" i="2"/>
  <c r="H3155" i="2"/>
  <c r="G3155" i="2"/>
  <c r="H3154" i="2"/>
  <c r="G3154" i="2"/>
  <c r="H3153" i="2"/>
  <c r="G3153" i="2"/>
  <c r="H3152" i="2"/>
  <c r="G3152" i="2"/>
  <c r="H3151" i="2"/>
  <c r="G3151" i="2"/>
  <c r="H3150" i="2"/>
  <c r="G3150" i="2"/>
  <c r="H3149" i="2"/>
  <c r="G3149" i="2"/>
  <c r="H3148" i="2"/>
  <c r="G3148" i="2"/>
  <c r="H3147" i="2"/>
  <c r="G3147" i="2"/>
  <c r="H3146" i="2"/>
  <c r="G3146" i="2"/>
  <c r="H3145" i="2"/>
  <c r="G3145" i="2"/>
  <c r="H3144" i="2"/>
  <c r="G3144" i="2"/>
  <c r="H3143" i="2"/>
  <c r="G3143" i="2"/>
  <c r="H3142" i="2"/>
  <c r="G3142" i="2"/>
  <c r="H3141" i="2"/>
  <c r="G3141" i="2"/>
  <c r="H3140" i="2"/>
  <c r="G3140" i="2"/>
  <c r="H3139" i="2"/>
  <c r="G3139" i="2"/>
  <c r="H3138" i="2"/>
  <c r="G3138" i="2"/>
  <c r="H3137" i="2"/>
  <c r="G3137" i="2"/>
  <c r="H3136" i="2"/>
  <c r="G3136" i="2"/>
  <c r="H3135" i="2"/>
  <c r="G3135" i="2"/>
  <c r="H3134" i="2"/>
  <c r="G3134" i="2"/>
  <c r="H3133" i="2"/>
  <c r="G3133" i="2"/>
  <c r="H3132" i="2"/>
  <c r="G3132" i="2"/>
  <c r="H3131" i="2"/>
  <c r="G3131" i="2"/>
  <c r="H3130" i="2"/>
  <c r="G3130" i="2"/>
  <c r="H3129" i="2"/>
  <c r="G3129" i="2"/>
  <c r="H3128" i="2"/>
  <c r="G3128" i="2"/>
  <c r="H3127" i="2"/>
  <c r="G3127" i="2"/>
  <c r="H3126" i="2"/>
  <c r="G3126" i="2"/>
  <c r="H3125" i="2"/>
  <c r="G3125" i="2"/>
  <c r="H3124" i="2"/>
  <c r="G3124" i="2"/>
  <c r="H3123" i="2"/>
  <c r="G3123" i="2"/>
  <c r="H3122" i="2"/>
  <c r="G3122" i="2"/>
  <c r="H3121" i="2"/>
  <c r="G3121" i="2"/>
  <c r="H3120" i="2"/>
  <c r="G3120" i="2"/>
  <c r="H3119" i="2"/>
  <c r="G3119" i="2"/>
  <c r="H3118" i="2"/>
  <c r="G3118" i="2"/>
  <c r="H3117" i="2"/>
  <c r="G3117" i="2"/>
  <c r="H3116" i="2"/>
  <c r="G3116" i="2"/>
  <c r="H3115" i="2"/>
  <c r="G3115" i="2"/>
  <c r="H3114" i="2"/>
  <c r="G3114" i="2"/>
  <c r="H3113" i="2"/>
  <c r="G3113" i="2"/>
  <c r="H3112" i="2"/>
  <c r="G3112" i="2"/>
  <c r="H3111" i="2"/>
  <c r="G3111" i="2"/>
  <c r="H3110" i="2"/>
  <c r="G3110" i="2"/>
  <c r="H3109" i="2"/>
  <c r="G3109" i="2"/>
  <c r="H3108" i="2"/>
  <c r="G3108" i="2"/>
  <c r="H3107" i="2"/>
  <c r="G3107" i="2"/>
  <c r="H3106" i="2"/>
  <c r="G3106" i="2"/>
  <c r="H3105" i="2"/>
  <c r="G3105" i="2"/>
  <c r="H3104" i="2"/>
  <c r="G3104" i="2"/>
  <c r="H3103" i="2"/>
  <c r="G3103" i="2"/>
  <c r="H3102" i="2"/>
  <c r="G3102" i="2"/>
  <c r="H3101" i="2"/>
  <c r="G3101" i="2"/>
  <c r="H3100" i="2"/>
  <c r="G3100" i="2"/>
  <c r="H3099" i="2"/>
  <c r="G3099" i="2"/>
  <c r="H3098" i="2"/>
  <c r="G3098" i="2"/>
  <c r="H3097" i="2"/>
  <c r="G3097" i="2"/>
  <c r="H3096" i="2"/>
  <c r="G3096" i="2"/>
  <c r="H3095" i="2"/>
  <c r="G3095" i="2"/>
  <c r="H3094" i="2"/>
  <c r="G3094" i="2"/>
  <c r="H3093" i="2"/>
  <c r="G3093" i="2"/>
  <c r="H3092" i="2"/>
  <c r="G3092" i="2"/>
  <c r="H3091" i="2"/>
  <c r="G3091" i="2"/>
  <c r="H3090" i="2"/>
  <c r="G3090" i="2"/>
  <c r="H3089" i="2"/>
  <c r="G3089" i="2"/>
  <c r="H3088" i="2"/>
  <c r="G3088" i="2"/>
  <c r="H3087" i="2"/>
  <c r="G3087" i="2"/>
  <c r="H3086" i="2"/>
  <c r="G3086" i="2"/>
  <c r="H3085" i="2"/>
  <c r="G3085" i="2"/>
  <c r="H3084" i="2"/>
  <c r="G3084" i="2"/>
  <c r="H3083" i="2"/>
  <c r="G3083" i="2"/>
  <c r="H3082" i="2"/>
  <c r="G3082" i="2"/>
  <c r="H3081" i="2"/>
  <c r="G3081" i="2"/>
  <c r="H3080" i="2"/>
  <c r="G3080" i="2"/>
  <c r="H3079" i="2"/>
  <c r="G3079" i="2"/>
  <c r="H3078" i="2"/>
  <c r="G3078" i="2"/>
  <c r="H3077" i="2"/>
  <c r="G3077" i="2"/>
  <c r="H3076" i="2"/>
  <c r="G3076" i="2"/>
  <c r="H3075" i="2"/>
  <c r="G3075" i="2"/>
  <c r="H3074" i="2"/>
  <c r="G3074" i="2"/>
  <c r="H3073" i="2"/>
  <c r="G3073" i="2"/>
  <c r="H3072" i="2"/>
  <c r="G3072" i="2"/>
  <c r="H3071" i="2"/>
  <c r="G3071" i="2"/>
  <c r="H3070" i="2"/>
  <c r="G3070" i="2"/>
  <c r="H3069" i="2"/>
  <c r="G3069" i="2"/>
  <c r="H3068" i="2"/>
  <c r="G3068" i="2"/>
  <c r="H3067" i="2"/>
  <c r="G3067" i="2"/>
  <c r="H3066" i="2"/>
  <c r="G3066" i="2"/>
  <c r="H3065" i="2"/>
  <c r="G3065" i="2"/>
  <c r="H3064" i="2"/>
  <c r="G3064" i="2"/>
  <c r="H3063" i="2"/>
  <c r="G3063" i="2"/>
  <c r="H3062" i="2"/>
  <c r="G3062" i="2"/>
  <c r="H3061" i="2"/>
  <c r="G3061" i="2"/>
  <c r="H3060" i="2"/>
  <c r="G3060" i="2"/>
  <c r="H3059" i="2"/>
  <c r="G3059" i="2"/>
  <c r="H3058" i="2"/>
  <c r="G3058" i="2"/>
  <c r="H3057" i="2"/>
  <c r="G3057" i="2"/>
  <c r="H3056" i="2"/>
  <c r="G3056" i="2"/>
  <c r="H3055" i="2"/>
  <c r="G3055" i="2"/>
  <c r="H3054" i="2"/>
  <c r="G3054" i="2"/>
  <c r="H3053" i="2"/>
  <c r="G3053" i="2"/>
  <c r="H3052" i="2"/>
  <c r="G3052" i="2"/>
  <c r="H3051" i="2"/>
  <c r="G3051" i="2"/>
  <c r="H3050" i="2"/>
  <c r="G3050" i="2"/>
  <c r="H3049" i="2"/>
  <c r="G3049" i="2"/>
  <c r="H3048" i="2"/>
  <c r="G3048" i="2"/>
  <c r="H3047" i="2"/>
  <c r="G3047" i="2"/>
  <c r="H3046" i="2"/>
  <c r="G3046" i="2"/>
  <c r="H3045" i="2"/>
  <c r="G3045" i="2"/>
  <c r="H3044" i="2"/>
  <c r="G3044" i="2"/>
  <c r="H3043" i="2"/>
  <c r="G3043" i="2"/>
  <c r="H3042" i="2"/>
  <c r="G3042" i="2"/>
  <c r="H3041" i="2"/>
  <c r="G3041" i="2"/>
  <c r="H3040" i="2"/>
  <c r="G3040" i="2"/>
  <c r="H3039" i="2"/>
  <c r="G3039" i="2"/>
  <c r="H3038" i="2"/>
  <c r="G3038" i="2"/>
  <c r="H3037" i="2"/>
  <c r="G3037" i="2"/>
  <c r="H3036" i="2"/>
  <c r="G3036" i="2"/>
  <c r="H3035" i="2"/>
  <c r="G3035" i="2"/>
  <c r="H3034" i="2"/>
  <c r="G3034" i="2"/>
  <c r="H3033" i="2"/>
  <c r="G3033" i="2"/>
  <c r="H3032" i="2"/>
  <c r="G3032" i="2"/>
  <c r="H3031" i="2"/>
  <c r="G3031" i="2"/>
  <c r="H3030" i="2"/>
  <c r="G3030" i="2"/>
  <c r="H3029" i="2"/>
  <c r="G3029" i="2"/>
  <c r="H3028" i="2"/>
  <c r="G3028" i="2"/>
  <c r="H3027" i="2"/>
  <c r="G3027" i="2"/>
  <c r="H3026" i="2"/>
  <c r="G3026" i="2"/>
  <c r="H3025" i="2"/>
  <c r="G3025" i="2"/>
  <c r="H3024" i="2"/>
  <c r="G3024" i="2"/>
  <c r="H3023" i="2"/>
  <c r="G3023" i="2"/>
  <c r="H3022" i="2"/>
  <c r="G3022" i="2"/>
  <c r="H3021" i="2"/>
  <c r="G3021" i="2"/>
  <c r="H3020" i="2"/>
  <c r="G3020" i="2"/>
  <c r="H3019" i="2"/>
  <c r="G3019" i="2"/>
  <c r="H3018" i="2"/>
  <c r="G3018" i="2"/>
  <c r="H3017" i="2"/>
  <c r="G3017" i="2"/>
  <c r="H3016" i="2"/>
  <c r="G3016" i="2"/>
  <c r="H3015" i="2"/>
  <c r="G3015" i="2"/>
  <c r="H3014" i="2"/>
  <c r="G3014" i="2"/>
  <c r="H3013" i="2"/>
  <c r="G3013" i="2"/>
  <c r="H3012" i="2"/>
  <c r="G3012" i="2"/>
  <c r="H3011" i="2"/>
  <c r="G3011" i="2"/>
  <c r="H3010" i="2"/>
  <c r="G3010" i="2"/>
  <c r="H3009" i="2"/>
  <c r="G3009" i="2"/>
  <c r="H3008" i="2"/>
  <c r="G3008" i="2"/>
  <c r="H3007" i="2"/>
  <c r="G3007" i="2"/>
  <c r="H3006" i="2"/>
  <c r="G3006" i="2"/>
  <c r="H3005" i="2"/>
  <c r="G3005" i="2"/>
  <c r="H3004" i="2"/>
  <c r="G3004" i="2"/>
  <c r="H3003" i="2"/>
  <c r="G3003" i="2"/>
  <c r="H3002" i="2"/>
  <c r="G3002" i="2"/>
  <c r="H3001" i="2"/>
  <c r="G3001" i="2"/>
  <c r="H3000" i="2"/>
  <c r="G3000" i="2"/>
  <c r="H2999" i="2"/>
  <c r="G2999" i="2"/>
  <c r="H2998" i="2"/>
  <c r="G2998" i="2"/>
  <c r="H2997" i="2"/>
  <c r="G2997" i="2"/>
  <c r="H2996" i="2"/>
  <c r="G2996" i="2"/>
  <c r="H2995" i="2"/>
  <c r="G2995" i="2"/>
  <c r="H2994" i="2"/>
  <c r="G2994" i="2"/>
  <c r="H2993" i="2"/>
  <c r="G2993" i="2"/>
  <c r="H2992" i="2"/>
  <c r="G2992" i="2"/>
  <c r="H2991" i="2"/>
  <c r="G2991" i="2"/>
  <c r="H2990" i="2"/>
  <c r="G2990" i="2"/>
  <c r="H2989" i="2"/>
  <c r="G2989" i="2"/>
  <c r="H2988" i="2"/>
  <c r="G2988" i="2"/>
  <c r="H2987" i="2"/>
  <c r="G2987" i="2"/>
  <c r="H2986" i="2"/>
  <c r="G2986" i="2"/>
  <c r="H2985" i="2"/>
  <c r="G2985" i="2"/>
  <c r="H2984" i="2"/>
  <c r="G2984" i="2"/>
  <c r="H2983" i="2"/>
  <c r="G2983" i="2"/>
  <c r="H2982" i="2"/>
  <c r="G2982" i="2"/>
  <c r="H2981" i="2"/>
  <c r="G2981" i="2"/>
  <c r="H2980" i="2"/>
  <c r="G2980" i="2"/>
  <c r="H2979" i="2"/>
  <c r="G2979" i="2"/>
  <c r="H2978" i="2"/>
  <c r="G2978" i="2"/>
  <c r="H2977" i="2"/>
  <c r="G2977" i="2"/>
  <c r="H2976" i="2"/>
  <c r="G2976" i="2"/>
  <c r="H2975" i="2"/>
  <c r="G2975" i="2"/>
  <c r="H2974" i="2"/>
  <c r="G2974" i="2"/>
  <c r="H2973" i="2"/>
  <c r="G2973" i="2"/>
  <c r="H2972" i="2"/>
  <c r="G2972" i="2"/>
  <c r="H2971" i="2"/>
  <c r="G2971" i="2"/>
  <c r="H2970" i="2"/>
  <c r="G2970" i="2"/>
  <c r="H2969" i="2"/>
  <c r="G2969" i="2"/>
  <c r="H2968" i="2"/>
  <c r="G2968" i="2"/>
  <c r="H2967" i="2"/>
  <c r="G2967" i="2"/>
  <c r="H2966" i="2"/>
  <c r="G2966" i="2"/>
  <c r="H2965" i="2"/>
  <c r="G2965" i="2"/>
  <c r="H2964" i="2"/>
  <c r="G2964" i="2"/>
  <c r="H2963" i="2"/>
  <c r="G2963" i="2"/>
  <c r="H2962" i="2"/>
  <c r="G2962" i="2"/>
  <c r="H2961" i="2"/>
  <c r="G2961" i="2"/>
  <c r="H2960" i="2"/>
  <c r="G2960" i="2"/>
  <c r="H2959" i="2"/>
  <c r="G2959" i="2"/>
  <c r="H2958" i="2"/>
  <c r="G2958" i="2"/>
  <c r="H2957" i="2"/>
  <c r="G2957" i="2"/>
  <c r="H2956" i="2"/>
  <c r="G2956" i="2"/>
  <c r="H2955" i="2"/>
  <c r="G2955" i="2"/>
  <c r="H2954" i="2"/>
  <c r="G2954" i="2"/>
  <c r="H2953" i="2"/>
  <c r="G2953" i="2"/>
  <c r="H2952" i="2"/>
  <c r="G2952" i="2"/>
  <c r="H2951" i="2"/>
  <c r="G2951" i="2"/>
  <c r="H2950" i="2"/>
  <c r="G2950" i="2"/>
  <c r="H2949" i="2"/>
  <c r="G2949" i="2"/>
  <c r="H2948" i="2"/>
  <c r="G2948" i="2"/>
  <c r="H2947" i="2"/>
  <c r="G2947" i="2"/>
  <c r="H2946" i="2"/>
  <c r="G2946" i="2"/>
  <c r="H2945" i="2"/>
  <c r="G2945" i="2"/>
  <c r="H2944" i="2"/>
  <c r="G2944" i="2"/>
  <c r="H2943" i="2"/>
  <c r="G2943" i="2"/>
  <c r="H2942" i="2"/>
  <c r="G2942" i="2"/>
  <c r="H2941" i="2"/>
  <c r="G2941" i="2"/>
  <c r="H2940" i="2"/>
  <c r="G2940" i="2"/>
  <c r="H2939" i="2"/>
  <c r="G2939" i="2"/>
  <c r="H2938" i="2"/>
  <c r="G2938" i="2"/>
  <c r="H2937" i="2"/>
  <c r="G2937" i="2"/>
  <c r="H2936" i="2"/>
  <c r="G2936" i="2"/>
  <c r="H2935" i="2"/>
  <c r="G2935" i="2"/>
  <c r="H2934" i="2"/>
  <c r="G2934" i="2"/>
  <c r="H2933" i="2"/>
  <c r="G2933" i="2"/>
  <c r="H2932" i="2"/>
  <c r="G2932" i="2"/>
  <c r="H2931" i="2"/>
  <c r="G2931" i="2"/>
  <c r="H2930" i="2"/>
  <c r="G2930" i="2"/>
  <c r="H2929" i="2"/>
  <c r="G2929" i="2"/>
  <c r="H2928" i="2"/>
  <c r="G2928" i="2"/>
  <c r="H2927" i="2"/>
  <c r="G2927" i="2"/>
  <c r="H2926" i="2"/>
  <c r="G2926" i="2"/>
  <c r="H2925" i="2"/>
  <c r="G2925" i="2"/>
  <c r="H2924" i="2"/>
  <c r="G2924" i="2"/>
  <c r="H2923" i="2"/>
  <c r="G2923" i="2"/>
  <c r="H2922" i="2"/>
  <c r="G2922" i="2"/>
  <c r="H2921" i="2"/>
  <c r="G2921" i="2"/>
  <c r="H2920" i="2"/>
  <c r="G2920" i="2"/>
  <c r="H2919" i="2"/>
  <c r="G2919" i="2"/>
  <c r="H2918" i="2"/>
  <c r="G2918" i="2"/>
  <c r="H2917" i="2"/>
  <c r="G2917" i="2"/>
  <c r="H2916" i="2"/>
  <c r="G2916" i="2"/>
  <c r="H2915" i="2"/>
  <c r="G2915" i="2"/>
  <c r="H2914" i="2"/>
  <c r="G2914" i="2"/>
  <c r="H2913" i="2"/>
  <c r="G2913" i="2"/>
  <c r="H2912" i="2"/>
  <c r="G2912" i="2"/>
  <c r="H2911" i="2"/>
  <c r="G2911" i="2"/>
  <c r="H2910" i="2"/>
  <c r="G2910" i="2"/>
  <c r="H2909" i="2"/>
  <c r="G2909" i="2"/>
  <c r="H2908" i="2"/>
  <c r="G2908" i="2"/>
  <c r="H2907" i="2"/>
  <c r="G2907" i="2"/>
  <c r="H2906" i="2"/>
  <c r="G2906" i="2"/>
  <c r="H2905" i="2"/>
  <c r="G2905" i="2"/>
  <c r="H2904" i="2"/>
  <c r="G2904" i="2"/>
  <c r="H2903" i="2"/>
  <c r="G2903" i="2"/>
  <c r="H2902" i="2"/>
  <c r="G2902" i="2"/>
  <c r="H2901" i="2"/>
  <c r="G2901" i="2"/>
  <c r="H2900" i="2"/>
  <c r="G2900" i="2"/>
  <c r="H2899" i="2"/>
  <c r="G2899" i="2"/>
  <c r="H2898" i="2"/>
  <c r="G2898" i="2"/>
  <c r="H2897" i="2"/>
  <c r="G2897" i="2"/>
  <c r="H2896" i="2"/>
  <c r="G2896" i="2"/>
  <c r="H2895" i="2"/>
  <c r="G2895" i="2"/>
  <c r="H2894" i="2"/>
  <c r="G2894" i="2"/>
  <c r="H2893" i="2"/>
  <c r="G2893" i="2"/>
  <c r="H2892" i="2"/>
  <c r="G2892" i="2"/>
  <c r="H2891" i="2"/>
  <c r="G2891" i="2"/>
  <c r="H2890" i="2"/>
  <c r="G2890" i="2"/>
  <c r="H2889" i="2"/>
  <c r="G2889" i="2"/>
  <c r="H2888" i="2"/>
  <c r="G2888" i="2"/>
  <c r="H2887" i="2"/>
  <c r="G2887" i="2"/>
  <c r="H2886" i="2"/>
  <c r="G2886" i="2"/>
  <c r="H2885" i="2"/>
  <c r="G2885" i="2"/>
  <c r="H2884" i="2"/>
  <c r="G2884" i="2"/>
  <c r="H2883" i="2"/>
  <c r="G2883" i="2"/>
  <c r="H2882" i="2"/>
  <c r="G2882" i="2"/>
  <c r="H2881" i="2"/>
  <c r="G2881" i="2"/>
  <c r="H2880" i="2"/>
  <c r="G2880" i="2"/>
  <c r="H2879" i="2"/>
  <c r="G2879" i="2"/>
  <c r="H2878" i="2"/>
  <c r="G2878" i="2"/>
  <c r="H2877" i="2"/>
  <c r="G2877" i="2"/>
  <c r="H2876" i="2"/>
  <c r="G2876" i="2"/>
  <c r="H2875" i="2"/>
  <c r="G2875" i="2"/>
  <c r="H2874" i="2"/>
  <c r="G2874" i="2"/>
  <c r="H2873" i="2"/>
  <c r="G2873" i="2"/>
  <c r="H2872" i="2"/>
  <c r="G2872" i="2"/>
  <c r="H2871" i="2"/>
  <c r="G2871" i="2"/>
  <c r="H2870" i="2"/>
  <c r="G2870" i="2"/>
  <c r="H2869" i="2"/>
  <c r="G2869" i="2"/>
  <c r="H2868" i="2"/>
  <c r="G2868" i="2"/>
  <c r="H2867" i="2"/>
  <c r="G2867" i="2"/>
  <c r="H2866" i="2"/>
  <c r="G2866" i="2"/>
  <c r="H2865" i="2"/>
  <c r="G2865" i="2"/>
  <c r="H2864" i="2"/>
  <c r="G2864" i="2"/>
  <c r="H2863" i="2"/>
  <c r="G2863" i="2"/>
  <c r="H2862" i="2"/>
  <c r="G2862" i="2"/>
  <c r="H2861" i="2"/>
  <c r="G2861" i="2"/>
  <c r="H2860" i="2"/>
  <c r="G2860" i="2"/>
  <c r="H2859" i="2"/>
  <c r="G2859" i="2"/>
  <c r="H2858" i="2"/>
  <c r="G2858" i="2"/>
  <c r="H2857" i="2"/>
  <c r="G2857" i="2"/>
  <c r="H2856" i="2"/>
  <c r="G2856" i="2"/>
  <c r="H2855" i="2"/>
  <c r="G2855" i="2"/>
  <c r="H2854" i="2"/>
  <c r="G2854" i="2"/>
  <c r="H2853" i="2"/>
  <c r="G2853" i="2"/>
  <c r="H2852" i="2"/>
  <c r="G2852" i="2"/>
  <c r="H2851" i="2"/>
  <c r="G2851" i="2"/>
  <c r="H2850" i="2"/>
  <c r="G2850" i="2"/>
  <c r="H2849" i="2"/>
  <c r="G2849" i="2"/>
  <c r="H2848" i="2"/>
  <c r="G2848" i="2"/>
  <c r="H2847" i="2"/>
  <c r="G2847" i="2"/>
  <c r="H2846" i="2"/>
  <c r="G2846" i="2"/>
  <c r="H2845" i="2"/>
  <c r="G2845" i="2"/>
  <c r="H2844" i="2"/>
  <c r="G2844" i="2"/>
  <c r="H2843" i="2"/>
  <c r="G2843" i="2"/>
  <c r="H2842" i="2"/>
  <c r="G2842" i="2"/>
  <c r="H2841" i="2"/>
  <c r="G2841" i="2"/>
  <c r="H2840" i="2"/>
  <c r="G2840" i="2"/>
  <c r="H2839" i="2"/>
  <c r="G2839" i="2"/>
  <c r="H2838" i="2"/>
  <c r="G2838" i="2"/>
  <c r="H2837" i="2"/>
  <c r="G2837" i="2"/>
  <c r="H2836" i="2"/>
  <c r="G2836" i="2"/>
  <c r="H2835" i="2"/>
  <c r="G2835" i="2"/>
  <c r="H2834" i="2"/>
  <c r="G2834" i="2"/>
  <c r="H2833" i="2"/>
  <c r="G2833" i="2"/>
  <c r="H2832" i="2"/>
  <c r="G2832" i="2"/>
  <c r="H2831" i="2"/>
  <c r="G2831" i="2"/>
  <c r="H2830" i="2"/>
  <c r="G2830" i="2"/>
  <c r="H2829" i="2"/>
  <c r="G2829" i="2"/>
  <c r="H2828" i="2"/>
  <c r="G2828" i="2"/>
  <c r="H2827" i="2"/>
  <c r="G2827" i="2"/>
  <c r="H2826" i="2"/>
  <c r="G2826" i="2"/>
  <c r="H2825" i="2"/>
  <c r="G2825" i="2"/>
  <c r="H2824" i="2"/>
  <c r="G2824" i="2"/>
  <c r="H2823" i="2"/>
  <c r="G2823" i="2"/>
  <c r="H2822" i="2"/>
  <c r="G2822" i="2"/>
  <c r="H2821" i="2"/>
  <c r="G2821" i="2"/>
  <c r="H2820" i="2"/>
  <c r="G2820" i="2"/>
  <c r="H2819" i="2"/>
  <c r="G2819" i="2"/>
  <c r="H2818" i="2"/>
  <c r="G2818" i="2"/>
  <c r="H2817" i="2"/>
  <c r="G2817" i="2"/>
  <c r="H2816" i="2"/>
  <c r="G2816" i="2"/>
  <c r="H2815" i="2"/>
  <c r="G2815" i="2"/>
  <c r="H2814" i="2"/>
  <c r="G2814" i="2"/>
  <c r="H2813" i="2"/>
  <c r="G2813" i="2"/>
  <c r="H2812" i="2"/>
  <c r="G2812" i="2"/>
  <c r="H2811" i="2"/>
  <c r="G2811" i="2"/>
  <c r="H2810" i="2"/>
  <c r="G2810" i="2"/>
  <c r="H2809" i="2"/>
  <c r="G2809" i="2"/>
  <c r="H2808" i="2"/>
  <c r="G2808" i="2"/>
  <c r="H2807" i="2"/>
  <c r="G2807" i="2"/>
  <c r="H2806" i="2"/>
  <c r="G2806" i="2"/>
  <c r="H2805" i="2"/>
  <c r="G2805" i="2"/>
  <c r="H2804" i="2"/>
  <c r="G2804" i="2"/>
  <c r="H2803" i="2"/>
  <c r="G2803" i="2"/>
  <c r="H2802" i="2"/>
  <c r="G2802" i="2"/>
  <c r="H2801" i="2"/>
  <c r="G2801" i="2"/>
  <c r="H2800" i="2"/>
  <c r="G2800" i="2"/>
  <c r="H2799" i="2"/>
  <c r="G2799" i="2"/>
  <c r="H2798" i="2"/>
  <c r="G2798" i="2"/>
  <c r="H2797" i="2"/>
  <c r="G2797" i="2"/>
  <c r="H2796" i="2"/>
  <c r="G2796" i="2"/>
  <c r="H2795" i="2"/>
  <c r="G2795" i="2"/>
  <c r="H2794" i="2"/>
  <c r="G2794" i="2"/>
  <c r="H2793" i="2"/>
  <c r="G2793" i="2"/>
  <c r="H2792" i="2"/>
  <c r="G2792" i="2"/>
  <c r="H2791" i="2"/>
  <c r="G2791" i="2"/>
  <c r="H2790" i="2"/>
  <c r="G2790" i="2"/>
  <c r="H2789" i="2"/>
  <c r="G2789" i="2"/>
  <c r="H2788" i="2"/>
  <c r="G2788" i="2"/>
  <c r="H2787" i="2"/>
  <c r="G2787" i="2"/>
  <c r="H2786" i="2"/>
  <c r="G2786" i="2"/>
  <c r="H2785" i="2"/>
  <c r="G2785" i="2"/>
  <c r="H2784" i="2"/>
  <c r="G2784" i="2"/>
  <c r="H2783" i="2"/>
  <c r="G2783" i="2"/>
  <c r="H2782" i="2"/>
  <c r="G2782" i="2"/>
  <c r="H2781" i="2"/>
  <c r="G2781" i="2"/>
  <c r="H2780" i="2"/>
  <c r="G2780" i="2"/>
  <c r="H2779" i="2"/>
  <c r="G2779" i="2"/>
  <c r="H2778" i="2"/>
  <c r="G2778" i="2"/>
  <c r="H2777" i="2"/>
  <c r="G2777" i="2"/>
  <c r="H2776" i="2"/>
  <c r="G2776" i="2"/>
  <c r="H2775" i="2"/>
  <c r="G2775" i="2"/>
  <c r="H2774" i="2"/>
  <c r="G2774" i="2"/>
  <c r="H2773" i="2"/>
  <c r="G2773" i="2"/>
  <c r="H2772" i="2"/>
  <c r="G2772" i="2"/>
  <c r="H2771" i="2"/>
  <c r="G2771" i="2"/>
  <c r="H2770" i="2"/>
  <c r="G2770" i="2"/>
  <c r="H2769" i="2"/>
  <c r="G2769" i="2"/>
  <c r="H2768" i="2"/>
  <c r="G2768" i="2"/>
  <c r="H2767" i="2"/>
  <c r="G2767" i="2"/>
  <c r="H2766" i="2"/>
  <c r="G2766" i="2"/>
  <c r="H2765" i="2"/>
  <c r="G2765" i="2"/>
  <c r="H2764" i="2"/>
  <c r="G2764" i="2"/>
  <c r="H2763" i="2"/>
  <c r="G2763" i="2"/>
  <c r="H2762" i="2"/>
  <c r="G2762" i="2"/>
  <c r="H2761" i="2"/>
  <c r="G2761" i="2"/>
  <c r="H2760" i="2"/>
  <c r="G2760" i="2"/>
  <c r="H2759" i="2"/>
  <c r="G2759" i="2"/>
  <c r="H2758" i="2"/>
  <c r="G2758" i="2"/>
  <c r="H2757" i="2"/>
  <c r="G2757" i="2"/>
  <c r="H2756" i="2"/>
  <c r="G2756" i="2"/>
  <c r="H2755" i="2"/>
  <c r="G2755" i="2"/>
  <c r="H2754" i="2"/>
  <c r="G2754" i="2"/>
  <c r="H2753" i="2"/>
  <c r="G2753" i="2"/>
  <c r="H2752" i="2"/>
  <c r="G2752" i="2"/>
  <c r="H2751" i="2"/>
  <c r="G2751" i="2"/>
  <c r="H2750" i="2"/>
  <c r="G2750" i="2"/>
  <c r="H2749" i="2"/>
  <c r="G2749" i="2"/>
  <c r="H2748" i="2"/>
  <c r="G2748" i="2"/>
  <c r="H2747" i="2"/>
  <c r="G2747" i="2"/>
  <c r="H2746" i="2"/>
  <c r="G2746" i="2"/>
  <c r="H2745" i="2"/>
  <c r="G2745" i="2"/>
  <c r="H2744" i="2"/>
  <c r="G2744" i="2"/>
  <c r="H2743" i="2"/>
  <c r="G2743" i="2"/>
  <c r="H2742" i="2"/>
  <c r="G2742" i="2"/>
  <c r="H2741" i="2"/>
  <c r="G2741" i="2"/>
  <c r="H2740" i="2"/>
  <c r="G2740" i="2"/>
  <c r="H2739" i="2"/>
  <c r="G2739" i="2"/>
  <c r="H2738" i="2"/>
  <c r="G2738" i="2"/>
  <c r="H2737" i="2"/>
  <c r="G2737" i="2"/>
  <c r="H2736" i="2"/>
  <c r="G2736" i="2"/>
  <c r="H2735" i="2"/>
  <c r="G2735" i="2"/>
  <c r="H2734" i="2"/>
  <c r="G2734" i="2"/>
  <c r="H2733" i="2"/>
  <c r="G2733" i="2"/>
  <c r="H2732" i="2"/>
  <c r="G2732" i="2"/>
  <c r="H2731" i="2"/>
  <c r="G2731" i="2"/>
  <c r="H2730" i="2"/>
  <c r="G2730" i="2"/>
  <c r="H2729" i="2"/>
  <c r="G2729" i="2"/>
  <c r="H2728" i="2"/>
  <c r="G2728" i="2"/>
  <c r="H2727" i="2"/>
  <c r="G2727" i="2"/>
  <c r="H2726" i="2"/>
  <c r="G2726" i="2"/>
  <c r="H2725" i="2"/>
  <c r="G2725" i="2"/>
  <c r="H2724" i="2"/>
  <c r="G2724" i="2"/>
  <c r="H2723" i="2"/>
  <c r="G2723" i="2"/>
  <c r="H2722" i="2"/>
  <c r="G2722" i="2"/>
  <c r="H2721" i="2"/>
  <c r="G2721" i="2"/>
  <c r="H2720" i="2"/>
  <c r="G2720" i="2"/>
  <c r="H2719" i="2"/>
  <c r="G2719" i="2"/>
  <c r="H2718" i="2"/>
  <c r="G2718" i="2"/>
  <c r="H2717" i="2"/>
  <c r="G2717" i="2"/>
  <c r="H2716" i="2"/>
  <c r="G2716" i="2"/>
  <c r="H2715" i="2"/>
  <c r="G2715" i="2"/>
  <c r="H2714" i="2"/>
  <c r="G2714" i="2"/>
  <c r="H2713" i="2"/>
  <c r="G2713" i="2"/>
  <c r="H2712" i="2"/>
  <c r="G2712" i="2"/>
  <c r="H2711" i="2"/>
  <c r="G2711" i="2"/>
  <c r="H2710" i="2"/>
  <c r="G2710" i="2"/>
  <c r="H2709" i="2"/>
  <c r="G2709" i="2"/>
  <c r="H2708" i="2"/>
  <c r="G2708" i="2"/>
  <c r="H2707" i="2"/>
  <c r="G2707" i="2"/>
  <c r="H2706" i="2"/>
  <c r="G2706" i="2"/>
  <c r="H2705" i="2"/>
  <c r="G2705" i="2"/>
  <c r="H2704" i="2"/>
  <c r="G2704" i="2"/>
  <c r="H2703" i="2"/>
  <c r="G2703" i="2"/>
  <c r="H2702" i="2"/>
  <c r="G2702" i="2"/>
  <c r="H2701" i="2"/>
  <c r="G2701" i="2"/>
  <c r="H2700" i="2"/>
  <c r="G2700" i="2"/>
  <c r="H2699" i="2"/>
  <c r="G2699" i="2"/>
  <c r="H2698" i="2"/>
  <c r="G2698" i="2"/>
  <c r="H2697" i="2"/>
  <c r="G2697" i="2"/>
  <c r="H2696" i="2"/>
  <c r="G2696" i="2"/>
  <c r="H2695" i="2"/>
  <c r="G2695" i="2"/>
  <c r="H2694" i="2"/>
  <c r="G2694" i="2"/>
  <c r="G2693" i="2"/>
  <c r="H2692" i="2"/>
  <c r="G2692" i="2"/>
  <c r="H2691" i="2"/>
  <c r="G2691" i="2"/>
  <c r="H2690" i="2"/>
  <c r="G2690" i="2"/>
  <c r="H2689" i="2"/>
  <c r="G2689" i="2"/>
  <c r="H2688" i="2"/>
  <c r="G2688" i="2"/>
  <c r="H2687" i="2"/>
  <c r="G2687" i="2"/>
  <c r="H2686" i="2"/>
  <c r="G2686" i="2"/>
  <c r="H2685" i="2"/>
  <c r="G2685" i="2"/>
  <c r="H2684" i="2"/>
  <c r="G2684" i="2"/>
  <c r="H2683" i="2"/>
  <c r="G2683" i="2"/>
  <c r="H2682" i="2"/>
  <c r="G2682" i="2"/>
  <c r="H2681" i="2"/>
  <c r="G2681" i="2"/>
  <c r="H2680" i="2"/>
  <c r="G2680" i="2"/>
  <c r="H2679" i="2"/>
  <c r="G2679" i="2"/>
  <c r="H2678" i="2"/>
  <c r="G2678" i="2"/>
  <c r="H2677" i="2"/>
  <c r="G2677" i="2"/>
  <c r="H2676" i="2"/>
  <c r="G2676" i="2"/>
  <c r="H2675" i="2"/>
  <c r="G2675" i="2"/>
  <c r="H2674" i="2"/>
  <c r="G2674" i="2"/>
  <c r="H2673" i="2"/>
  <c r="G2673" i="2"/>
  <c r="H2672" i="2"/>
  <c r="G2672" i="2"/>
  <c r="H2671" i="2"/>
  <c r="G2671" i="2"/>
  <c r="H2670" i="2"/>
  <c r="G2670" i="2"/>
  <c r="H2669" i="2"/>
  <c r="G2669" i="2"/>
  <c r="H2668" i="2"/>
  <c r="G2668" i="2"/>
  <c r="H2667" i="2"/>
  <c r="G2667" i="2"/>
  <c r="H2666" i="2"/>
  <c r="G2666" i="2"/>
  <c r="H2665" i="2"/>
  <c r="G2665" i="2"/>
  <c r="H2664" i="2"/>
  <c r="G2664" i="2"/>
  <c r="H2663" i="2"/>
  <c r="G2663" i="2"/>
  <c r="H2662" i="2"/>
  <c r="G2662" i="2"/>
  <c r="H2661" i="2"/>
  <c r="G2661" i="2"/>
  <c r="H2660" i="2"/>
  <c r="G2660" i="2"/>
  <c r="H2659" i="2"/>
  <c r="G2659" i="2"/>
  <c r="H2658" i="2"/>
  <c r="G2658" i="2"/>
  <c r="H2657" i="2"/>
  <c r="G2657" i="2"/>
  <c r="H2656" i="2"/>
  <c r="G2656" i="2"/>
  <c r="H2655" i="2"/>
  <c r="G2655" i="2"/>
  <c r="H2654" i="2"/>
  <c r="G2654" i="2"/>
  <c r="H2653" i="2"/>
  <c r="G2653" i="2"/>
  <c r="H2652" i="2"/>
  <c r="G2652" i="2"/>
  <c r="H2651" i="2"/>
  <c r="G2651" i="2"/>
  <c r="H2650" i="2"/>
  <c r="G2650" i="2"/>
  <c r="H2649" i="2"/>
  <c r="G2649" i="2"/>
  <c r="H2648" i="2"/>
  <c r="G2648" i="2"/>
  <c r="H2647" i="2"/>
  <c r="G2647" i="2"/>
  <c r="H2646" i="2"/>
  <c r="G2646" i="2"/>
  <c r="H2645" i="2"/>
  <c r="G2645" i="2"/>
  <c r="H2644" i="2"/>
  <c r="G2644" i="2"/>
  <c r="H2643" i="2"/>
  <c r="G2643" i="2"/>
  <c r="H2642" i="2"/>
  <c r="G2642" i="2"/>
  <c r="H2641" i="2"/>
  <c r="G2641" i="2"/>
  <c r="H2640" i="2"/>
  <c r="G2640" i="2"/>
  <c r="H2639" i="2"/>
  <c r="G2639" i="2"/>
  <c r="H2638" i="2"/>
  <c r="G2638" i="2"/>
  <c r="H2637" i="2"/>
  <c r="G2637" i="2"/>
  <c r="H2636" i="2"/>
  <c r="G2636" i="2"/>
  <c r="H2635" i="2"/>
  <c r="G2635" i="2"/>
  <c r="H2634" i="2"/>
  <c r="G2634" i="2"/>
  <c r="H2633" i="2"/>
  <c r="G2633" i="2"/>
  <c r="H2632" i="2"/>
  <c r="G2632" i="2"/>
  <c r="H2631" i="2"/>
  <c r="G2631" i="2"/>
  <c r="H2630" i="2"/>
  <c r="G2630" i="2"/>
  <c r="H2629" i="2"/>
  <c r="G2629" i="2"/>
  <c r="H2628" i="2"/>
  <c r="G2628" i="2"/>
  <c r="H2627" i="2"/>
  <c r="G2627" i="2"/>
  <c r="H2626" i="2"/>
  <c r="G2626" i="2"/>
  <c r="H2625" i="2"/>
  <c r="G2625" i="2"/>
  <c r="H2624" i="2"/>
  <c r="G2624" i="2"/>
  <c r="H2623" i="2"/>
  <c r="G2623" i="2"/>
  <c r="H2622" i="2"/>
  <c r="G2622" i="2"/>
  <c r="H2621" i="2"/>
  <c r="G2621" i="2"/>
  <c r="H2620" i="2"/>
  <c r="G2620" i="2"/>
  <c r="H2619" i="2"/>
  <c r="G2619" i="2"/>
  <c r="H2618" i="2"/>
  <c r="G2618" i="2"/>
  <c r="H2617" i="2"/>
  <c r="G2617" i="2"/>
  <c r="H2616" i="2"/>
  <c r="G2616" i="2"/>
  <c r="H2615" i="2"/>
  <c r="G2615" i="2"/>
  <c r="H2614" i="2"/>
  <c r="G2614" i="2"/>
  <c r="H2613" i="2"/>
  <c r="G2613" i="2"/>
  <c r="H2612" i="2"/>
  <c r="G2612" i="2"/>
  <c r="H2611" i="2"/>
  <c r="G2611" i="2"/>
  <c r="H2610" i="2"/>
  <c r="G2610" i="2"/>
  <c r="H2609" i="2"/>
  <c r="G2609" i="2"/>
  <c r="H2608" i="2"/>
  <c r="G2608" i="2"/>
  <c r="H2607" i="2"/>
  <c r="G2607" i="2"/>
  <c r="H2606" i="2"/>
  <c r="G2606" i="2"/>
  <c r="H2605" i="2"/>
  <c r="G2605" i="2"/>
  <c r="H2604" i="2"/>
  <c r="G2604" i="2"/>
  <c r="H2603" i="2"/>
  <c r="G2603" i="2"/>
  <c r="H2602" i="2"/>
  <c r="G2602" i="2"/>
  <c r="H2601" i="2"/>
  <c r="G2601" i="2"/>
  <c r="H2600" i="2"/>
  <c r="G2600" i="2"/>
  <c r="H2599" i="2"/>
  <c r="G2599" i="2"/>
  <c r="H2598" i="2"/>
  <c r="G2598" i="2"/>
  <c r="H2597" i="2"/>
  <c r="G2597" i="2"/>
  <c r="H2596" i="2"/>
  <c r="G2596" i="2"/>
  <c r="H2595" i="2"/>
  <c r="G2595" i="2"/>
  <c r="H2594" i="2"/>
  <c r="G2594" i="2"/>
  <c r="H2593" i="2"/>
  <c r="G2593" i="2"/>
  <c r="H2592" i="2"/>
  <c r="G2592" i="2"/>
  <c r="H2591" i="2"/>
  <c r="G2591" i="2"/>
  <c r="H2590" i="2"/>
  <c r="G2590" i="2"/>
  <c r="H2589" i="2"/>
  <c r="G2589" i="2"/>
  <c r="H2588" i="2"/>
  <c r="G2588" i="2"/>
  <c r="H2587" i="2"/>
  <c r="G2587" i="2"/>
  <c r="H2586" i="2"/>
  <c r="G2586" i="2"/>
  <c r="H2585" i="2"/>
  <c r="G2585" i="2"/>
  <c r="H2584" i="2"/>
  <c r="G2584" i="2"/>
  <c r="H2583" i="2"/>
  <c r="G2583" i="2"/>
  <c r="H2582" i="2"/>
  <c r="G2582" i="2"/>
  <c r="H2581" i="2"/>
  <c r="G2581" i="2"/>
  <c r="H2580" i="2"/>
  <c r="G2580" i="2"/>
  <c r="H2579" i="2"/>
  <c r="G2579" i="2"/>
  <c r="H2578" i="2"/>
  <c r="G2578" i="2"/>
  <c r="H2577" i="2"/>
  <c r="G2577" i="2"/>
  <c r="H2576" i="2"/>
  <c r="G2576" i="2"/>
  <c r="H2575" i="2"/>
  <c r="G2575" i="2"/>
  <c r="H2574" i="2"/>
  <c r="G2574" i="2"/>
  <c r="H2573" i="2"/>
  <c r="G2573" i="2"/>
  <c r="H2572" i="2"/>
  <c r="G2572" i="2"/>
  <c r="H2571" i="2"/>
  <c r="G2571" i="2"/>
  <c r="H2570" i="2"/>
  <c r="G2570" i="2"/>
  <c r="H2569" i="2"/>
  <c r="G2569" i="2"/>
  <c r="H2568" i="2"/>
  <c r="G2568" i="2"/>
  <c r="H2567" i="2"/>
  <c r="G2567" i="2"/>
  <c r="H2566" i="2"/>
  <c r="G2566" i="2"/>
  <c r="H2565" i="2"/>
  <c r="G2565" i="2"/>
  <c r="H2564" i="2"/>
  <c r="G2564" i="2"/>
  <c r="H2563" i="2"/>
  <c r="G2563" i="2"/>
  <c r="H2562" i="2"/>
  <c r="G2562" i="2"/>
  <c r="H2561" i="2"/>
  <c r="G2561" i="2"/>
  <c r="H2560" i="2"/>
  <c r="G2560" i="2"/>
  <c r="H2559" i="2"/>
  <c r="G2559" i="2"/>
  <c r="H2558" i="2"/>
  <c r="G2558" i="2"/>
  <c r="H2557" i="2"/>
  <c r="G2557" i="2"/>
  <c r="H2556" i="2"/>
  <c r="G2556" i="2"/>
  <c r="H2555" i="2"/>
  <c r="G2555" i="2"/>
  <c r="H2554" i="2"/>
  <c r="G2554" i="2"/>
  <c r="H2553" i="2"/>
  <c r="G2553" i="2"/>
  <c r="H2552" i="2"/>
  <c r="G2552" i="2"/>
  <c r="H2551" i="2"/>
  <c r="G2551" i="2"/>
  <c r="H2550" i="2"/>
  <c r="G2550" i="2"/>
  <c r="H2549" i="2"/>
  <c r="G2549" i="2"/>
  <c r="H2548" i="2"/>
  <c r="G2548" i="2"/>
  <c r="H2547" i="2"/>
  <c r="G2547" i="2"/>
  <c r="H2546" i="2"/>
  <c r="G2546" i="2"/>
  <c r="H2545" i="2"/>
  <c r="G2545" i="2"/>
  <c r="H2544" i="2"/>
  <c r="G2544" i="2"/>
  <c r="H2543" i="2"/>
  <c r="G2543" i="2"/>
  <c r="H2542" i="2"/>
  <c r="G2542" i="2"/>
  <c r="H2541" i="2"/>
  <c r="G2541" i="2"/>
  <c r="H2540" i="2"/>
  <c r="G2540" i="2"/>
  <c r="H2539" i="2"/>
  <c r="G2539" i="2"/>
  <c r="H2538" i="2"/>
  <c r="G2538" i="2"/>
  <c r="H2537" i="2"/>
  <c r="G2537" i="2"/>
  <c r="H2536" i="2"/>
  <c r="G2536" i="2"/>
  <c r="H2535" i="2"/>
  <c r="G2535" i="2"/>
  <c r="H2534" i="2"/>
  <c r="G2534" i="2"/>
  <c r="H2533" i="2"/>
  <c r="G2533" i="2"/>
  <c r="H2532" i="2"/>
  <c r="G2532" i="2"/>
  <c r="H2531" i="2"/>
  <c r="G2531" i="2"/>
  <c r="H2530" i="2"/>
  <c r="G2530" i="2"/>
  <c r="H2529" i="2"/>
  <c r="G2529" i="2"/>
  <c r="H2528" i="2"/>
  <c r="G2528" i="2"/>
  <c r="H2527" i="2"/>
  <c r="G2527" i="2"/>
  <c r="H2526" i="2"/>
  <c r="G2526" i="2"/>
  <c r="H2525" i="2"/>
  <c r="G2525" i="2"/>
  <c r="H2524" i="2"/>
  <c r="G2524" i="2"/>
  <c r="H2523" i="2"/>
  <c r="G2523" i="2"/>
  <c r="H2522" i="2"/>
  <c r="G2522" i="2"/>
  <c r="H2521" i="2"/>
  <c r="G2521" i="2"/>
  <c r="H2520" i="2"/>
  <c r="G2520" i="2"/>
  <c r="H2519" i="2"/>
  <c r="G2519" i="2"/>
  <c r="H2518" i="2"/>
  <c r="G2518" i="2"/>
  <c r="H2517" i="2"/>
  <c r="G2517" i="2"/>
  <c r="H2516" i="2"/>
  <c r="G2516" i="2"/>
  <c r="H2515" i="2"/>
  <c r="G2515" i="2"/>
  <c r="H2514" i="2"/>
  <c r="G2514" i="2"/>
  <c r="H2513" i="2"/>
  <c r="G2513" i="2"/>
  <c r="H2512" i="2"/>
  <c r="G2512" i="2"/>
  <c r="H2511" i="2"/>
  <c r="G2511" i="2"/>
  <c r="H2510" i="2"/>
  <c r="G2510" i="2"/>
  <c r="H2509" i="2"/>
  <c r="G2509" i="2"/>
  <c r="H2508" i="2"/>
  <c r="G2508" i="2"/>
  <c r="H2507" i="2"/>
  <c r="G2507" i="2"/>
  <c r="H2506" i="2"/>
  <c r="G2506" i="2"/>
  <c r="H2505" i="2"/>
  <c r="G2505" i="2"/>
  <c r="H2504" i="2"/>
  <c r="G2504" i="2"/>
  <c r="H2503" i="2"/>
  <c r="G2503" i="2"/>
  <c r="H2502" i="2"/>
  <c r="G2502" i="2"/>
  <c r="H2501" i="2"/>
  <c r="G2501" i="2"/>
  <c r="H2500" i="2"/>
  <c r="G2500" i="2"/>
  <c r="H2499" i="2"/>
  <c r="G2499" i="2"/>
  <c r="H2498" i="2"/>
  <c r="G2498" i="2"/>
  <c r="H2497" i="2"/>
  <c r="G2497" i="2"/>
  <c r="H2496" i="2"/>
  <c r="G2496" i="2"/>
  <c r="H2495" i="2"/>
  <c r="G2495" i="2"/>
  <c r="H2494" i="2"/>
  <c r="G2494" i="2"/>
  <c r="H2493" i="2"/>
  <c r="G2493" i="2"/>
  <c r="H2492" i="2"/>
  <c r="G2492" i="2"/>
  <c r="H2491" i="2"/>
  <c r="G2491" i="2"/>
  <c r="H2490" i="2"/>
  <c r="G2490" i="2"/>
  <c r="H2489" i="2"/>
  <c r="G2489" i="2"/>
  <c r="H2488" i="2"/>
  <c r="G2488" i="2"/>
  <c r="H2487" i="2"/>
  <c r="G2487" i="2"/>
  <c r="H2486" i="2"/>
  <c r="G2486" i="2"/>
  <c r="H2485" i="2"/>
  <c r="G2485" i="2"/>
  <c r="H2484" i="2"/>
  <c r="G2484" i="2"/>
  <c r="H2483" i="2"/>
  <c r="G2483" i="2"/>
  <c r="H2482" i="2"/>
  <c r="G2482" i="2"/>
  <c r="H2481" i="2"/>
  <c r="G2481" i="2"/>
  <c r="H2480" i="2"/>
  <c r="G2480" i="2"/>
  <c r="H2479" i="2"/>
  <c r="G2479" i="2"/>
  <c r="H2478" i="2"/>
  <c r="G2478" i="2"/>
  <c r="H2477" i="2"/>
  <c r="G2477" i="2"/>
  <c r="H2476" i="2"/>
  <c r="G2476" i="2"/>
  <c r="H2475" i="2"/>
  <c r="G2475" i="2"/>
  <c r="H2474" i="2"/>
  <c r="G2474" i="2"/>
  <c r="H2473" i="2"/>
  <c r="G2473" i="2"/>
  <c r="H2472" i="2"/>
  <c r="G2472" i="2"/>
  <c r="H2471" i="2"/>
  <c r="G2471" i="2"/>
  <c r="H2470" i="2"/>
  <c r="G2470" i="2"/>
  <c r="H2469" i="2"/>
  <c r="G2469" i="2"/>
  <c r="H2468" i="2"/>
  <c r="G2468" i="2"/>
  <c r="H2467" i="2"/>
  <c r="G2467" i="2"/>
  <c r="H2466" i="2"/>
  <c r="G2466" i="2"/>
  <c r="H2465" i="2"/>
  <c r="G2465" i="2"/>
  <c r="H2464" i="2"/>
  <c r="G2464" i="2"/>
  <c r="H2463" i="2"/>
  <c r="G2463" i="2"/>
  <c r="H2462" i="2"/>
  <c r="G2462" i="2"/>
  <c r="H2461" i="2"/>
  <c r="G2461" i="2"/>
  <c r="H2460" i="2"/>
  <c r="G2460" i="2"/>
  <c r="H2459" i="2"/>
  <c r="G2459" i="2"/>
  <c r="H2458" i="2"/>
  <c r="G2458" i="2"/>
  <c r="H2457" i="2"/>
  <c r="G2457" i="2"/>
  <c r="H2456" i="2"/>
  <c r="G2456" i="2"/>
  <c r="H2455" i="2"/>
  <c r="G2455" i="2"/>
  <c r="H2454" i="2"/>
  <c r="G2454" i="2"/>
  <c r="H2453" i="2"/>
  <c r="G2453" i="2"/>
  <c r="H2452" i="2"/>
  <c r="G2452" i="2"/>
  <c r="H2451" i="2"/>
  <c r="G2451" i="2"/>
  <c r="H2450" i="2"/>
  <c r="G2450" i="2"/>
  <c r="H2449" i="2"/>
  <c r="G2449" i="2"/>
  <c r="H2448" i="2"/>
  <c r="G2448" i="2"/>
  <c r="H2447" i="2"/>
  <c r="G2447" i="2"/>
  <c r="H2446" i="2"/>
  <c r="G2446" i="2"/>
  <c r="H2445" i="2"/>
  <c r="G2445" i="2"/>
  <c r="H2444" i="2"/>
  <c r="G2444" i="2"/>
  <c r="H2443" i="2"/>
  <c r="G2443" i="2"/>
  <c r="H2442" i="2"/>
  <c r="G2442" i="2"/>
  <c r="H2441" i="2"/>
  <c r="G2441" i="2"/>
  <c r="H2440" i="2"/>
  <c r="G2440" i="2"/>
  <c r="H2439" i="2"/>
  <c r="G2439" i="2"/>
  <c r="H2438" i="2"/>
  <c r="G2438" i="2"/>
  <c r="H2437" i="2"/>
  <c r="G2437" i="2"/>
  <c r="H2436" i="2"/>
  <c r="G2436" i="2"/>
  <c r="H2435" i="2"/>
  <c r="G2435" i="2"/>
  <c r="H2434" i="2"/>
  <c r="G2434" i="2"/>
  <c r="H2433" i="2"/>
  <c r="G2433" i="2"/>
  <c r="H2432" i="2"/>
  <c r="G2432" i="2"/>
  <c r="H2431" i="2"/>
  <c r="G2431" i="2"/>
  <c r="H2430" i="2"/>
  <c r="G2430" i="2"/>
  <c r="H2429" i="2"/>
  <c r="G2429" i="2"/>
  <c r="H2428" i="2"/>
  <c r="G2428" i="2"/>
  <c r="H2427" i="2"/>
  <c r="G2427" i="2"/>
  <c r="H2426" i="2"/>
  <c r="G2426" i="2"/>
  <c r="H2425" i="2"/>
  <c r="G2425" i="2"/>
  <c r="H2424" i="2"/>
  <c r="G2424" i="2"/>
  <c r="H2423" i="2"/>
  <c r="G2423" i="2"/>
  <c r="H2422" i="2"/>
  <c r="G2422" i="2"/>
  <c r="H2421" i="2"/>
  <c r="G2421" i="2"/>
  <c r="H2420" i="2"/>
  <c r="G2420" i="2"/>
  <c r="H2419" i="2"/>
  <c r="G2419" i="2"/>
  <c r="H2418" i="2"/>
  <c r="G2418" i="2"/>
  <c r="H2417" i="2"/>
  <c r="G2417" i="2"/>
  <c r="H2416" i="2"/>
  <c r="G2416" i="2"/>
  <c r="H2415" i="2"/>
  <c r="G2415" i="2"/>
  <c r="H2414" i="2"/>
  <c r="G2414" i="2"/>
  <c r="H2413" i="2"/>
  <c r="G2413" i="2"/>
  <c r="H2412" i="2"/>
  <c r="G2412" i="2"/>
  <c r="H2411" i="2"/>
  <c r="G2411" i="2"/>
  <c r="H2410" i="2"/>
  <c r="G2410" i="2"/>
  <c r="H2409" i="2"/>
  <c r="G2409" i="2"/>
  <c r="H2408" i="2"/>
  <c r="G2408" i="2"/>
  <c r="H2407" i="2"/>
  <c r="G2407" i="2"/>
  <c r="H2406" i="2"/>
  <c r="G2406" i="2"/>
  <c r="H2405" i="2"/>
  <c r="G2405" i="2"/>
  <c r="H2404" i="2"/>
  <c r="G2404" i="2"/>
  <c r="H2403" i="2"/>
  <c r="G2403" i="2"/>
  <c r="H2402" i="2"/>
  <c r="G2402" i="2"/>
  <c r="H2401" i="2"/>
  <c r="G2401" i="2"/>
  <c r="H2400" i="2"/>
  <c r="G2400" i="2"/>
  <c r="H2399" i="2"/>
  <c r="G2399" i="2"/>
  <c r="H2398" i="2"/>
  <c r="G2398" i="2"/>
  <c r="H2397" i="2"/>
  <c r="G2397" i="2"/>
  <c r="H2396" i="2"/>
  <c r="G2396" i="2"/>
  <c r="H2395" i="2"/>
  <c r="G2395" i="2"/>
  <c r="H2394" i="2"/>
  <c r="G2394" i="2"/>
  <c r="H2393" i="2"/>
  <c r="G2393" i="2"/>
  <c r="H2392" i="2"/>
  <c r="G2392" i="2"/>
  <c r="H2391" i="2"/>
  <c r="G2391" i="2"/>
  <c r="H2390" i="2"/>
  <c r="G2390" i="2"/>
  <c r="H2389" i="2"/>
  <c r="G2389" i="2"/>
  <c r="H2388" i="2"/>
  <c r="G2388" i="2"/>
  <c r="H2387" i="2"/>
  <c r="G2387" i="2"/>
  <c r="H2386" i="2"/>
  <c r="G2386" i="2"/>
  <c r="H2385" i="2"/>
  <c r="G2385" i="2"/>
  <c r="H2384" i="2"/>
  <c r="G2384" i="2"/>
  <c r="H2383" i="2"/>
  <c r="G2383" i="2"/>
  <c r="H2382" i="2"/>
  <c r="G2382" i="2"/>
  <c r="H2381" i="2"/>
  <c r="G2381" i="2"/>
  <c r="H2380" i="2"/>
  <c r="G2380" i="2"/>
  <c r="H2379" i="2"/>
  <c r="G2379" i="2"/>
  <c r="H2378" i="2"/>
  <c r="G2378" i="2"/>
  <c r="H2377" i="2"/>
  <c r="G2377" i="2"/>
  <c r="H2376" i="2"/>
  <c r="G2376" i="2"/>
  <c r="H2375" i="2"/>
  <c r="G2375" i="2"/>
  <c r="H2374" i="2"/>
  <c r="G2374" i="2"/>
  <c r="H2373" i="2"/>
  <c r="G2373" i="2"/>
  <c r="H2372" i="2"/>
  <c r="G2372" i="2"/>
  <c r="H2371" i="2"/>
  <c r="G2371" i="2"/>
  <c r="H2370" i="2"/>
  <c r="G2370" i="2"/>
  <c r="H2369" i="2"/>
  <c r="G2369" i="2"/>
  <c r="H2368" i="2"/>
  <c r="G2368" i="2"/>
  <c r="H2367" i="2"/>
  <c r="G2367" i="2"/>
  <c r="H2366" i="2"/>
  <c r="G2366" i="2"/>
  <c r="H2365" i="2"/>
  <c r="G2365" i="2"/>
  <c r="H2364" i="2"/>
  <c r="G2364" i="2"/>
  <c r="H2363" i="2"/>
  <c r="G2363" i="2"/>
  <c r="H2362" i="2"/>
  <c r="G2362" i="2"/>
  <c r="H2361" i="2"/>
  <c r="G2361" i="2"/>
  <c r="H2360" i="2"/>
  <c r="G2360" i="2"/>
  <c r="H2359" i="2"/>
  <c r="G2359" i="2"/>
  <c r="H2358" i="2"/>
  <c r="G2358" i="2"/>
  <c r="H2357" i="2"/>
  <c r="G2357" i="2"/>
  <c r="H2356" i="2"/>
  <c r="G2356" i="2"/>
  <c r="H2355" i="2"/>
  <c r="G2355" i="2"/>
  <c r="H2354" i="2"/>
  <c r="G2354" i="2"/>
  <c r="H2353" i="2"/>
  <c r="G2353" i="2"/>
  <c r="H2352" i="2"/>
  <c r="G2352" i="2"/>
  <c r="H2351" i="2"/>
  <c r="G2351" i="2"/>
  <c r="H2350" i="2"/>
  <c r="G2350" i="2"/>
  <c r="H2349" i="2"/>
  <c r="G2349" i="2"/>
  <c r="H2348" i="2"/>
  <c r="G2348" i="2"/>
  <c r="H2347" i="2"/>
  <c r="G2347" i="2"/>
  <c r="H2346" i="2"/>
  <c r="G2346" i="2"/>
  <c r="H2345" i="2"/>
  <c r="G2345" i="2"/>
  <c r="H2344" i="2"/>
  <c r="G2344" i="2"/>
  <c r="H2343" i="2"/>
  <c r="G2343" i="2"/>
  <c r="H2342" i="2"/>
  <c r="G2342" i="2"/>
  <c r="H2341" i="2"/>
  <c r="G2341" i="2"/>
  <c r="H2340" i="2"/>
  <c r="G2340" i="2"/>
  <c r="H2339" i="2"/>
  <c r="G2339" i="2"/>
  <c r="H2338" i="2"/>
  <c r="G2338" i="2"/>
  <c r="H2337" i="2"/>
  <c r="G2337" i="2"/>
  <c r="H2336" i="2"/>
  <c r="G2336" i="2"/>
  <c r="H2335" i="2"/>
  <c r="G2335" i="2"/>
  <c r="H2334" i="2"/>
  <c r="G2334" i="2"/>
  <c r="H2333" i="2"/>
  <c r="G2333" i="2"/>
  <c r="H2332" i="2"/>
  <c r="G2332" i="2"/>
  <c r="H2331" i="2"/>
  <c r="G2331" i="2"/>
  <c r="H2330" i="2"/>
  <c r="G2330" i="2"/>
  <c r="H2329" i="2"/>
  <c r="G2329" i="2"/>
  <c r="H2328" i="2"/>
  <c r="G2328" i="2"/>
  <c r="H2327" i="2"/>
  <c r="G2327" i="2"/>
  <c r="H2326" i="2"/>
  <c r="G2326" i="2"/>
  <c r="H2325" i="2"/>
  <c r="G2325" i="2"/>
  <c r="H2324" i="2"/>
  <c r="G2324" i="2"/>
  <c r="H2323" i="2"/>
  <c r="G2323" i="2"/>
  <c r="H2322" i="2"/>
  <c r="G2322" i="2"/>
  <c r="H2321" i="2"/>
  <c r="G2321" i="2"/>
  <c r="H2320" i="2"/>
  <c r="G2320" i="2"/>
  <c r="H2319" i="2"/>
  <c r="G2319" i="2"/>
  <c r="H2318" i="2"/>
  <c r="G2318" i="2"/>
  <c r="H2317" i="2"/>
  <c r="G2317" i="2"/>
  <c r="H2316" i="2"/>
  <c r="G2316" i="2"/>
  <c r="H2315" i="2"/>
  <c r="G2315" i="2"/>
  <c r="H2314" i="2"/>
  <c r="G2314" i="2"/>
  <c r="H2313" i="2"/>
  <c r="G2313" i="2"/>
  <c r="H2312" i="2"/>
  <c r="G2312" i="2"/>
  <c r="H2311" i="2"/>
  <c r="G2311" i="2"/>
  <c r="H2310" i="2"/>
  <c r="G2310" i="2"/>
  <c r="H2309" i="2"/>
  <c r="G2309" i="2"/>
  <c r="H2308" i="2"/>
  <c r="G2308" i="2"/>
  <c r="H2307" i="2"/>
  <c r="G2307" i="2"/>
  <c r="H2306" i="2"/>
  <c r="G2306" i="2"/>
  <c r="H2304" i="2"/>
  <c r="G2304" i="2"/>
  <c r="H2302" i="2"/>
  <c r="G2302" i="2"/>
  <c r="H2300" i="2"/>
  <c r="G2300" i="2"/>
  <c r="H2298" i="2"/>
  <c r="G2298" i="2"/>
  <c r="H2296" i="2"/>
  <c r="G2296" i="2"/>
  <c r="H2294" i="2"/>
  <c r="G2294" i="2"/>
  <c r="H2292" i="2"/>
  <c r="G2292" i="2"/>
  <c r="H2290" i="2"/>
  <c r="G2290" i="2"/>
  <c r="H2288" i="2"/>
  <c r="G2288" i="2"/>
  <c r="H2286" i="2"/>
  <c r="G2286" i="2"/>
  <c r="H2284" i="2"/>
  <c r="G2284" i="2"/>
  <c r="H2282" i="2"/>
  <c r="G2282" i="2"/>
  <c r="H2280" i="2"/>
  <c r="G2280" i="2"/>
  <c r="H2278" i="2"/>
  <c r="G2278" i="2"/>
  <c r="H2276" i="2"/>
  <c r="G2276" i="2"/>
  <c r="H2274" i="2"/>
  <c r="G2274" i="2"/>
  <c r="H2272" i="2"/>
  <c r="G2272" i="2"/>
  <c r="H2270" i="2"/>
  <c r="G2270" i="2"/>
  <c r="H2268" i="2"/>
  <c r="G2268" i="2"/>
  <c r="H2266" i="2"/>
  <c r="G2266" i="2"/>
  <c r="H2264" i="2"/>
  <c r="G2264" i="2"/>
  <c r="H2262" i="2"/>
  <c r="G2262" i="2"/>
  <c r="H2260" i="2"/>
  <c r="G2260" i="2"/>
  <c r="H2258" i="2"/>
  <c r="G2258" i="2"/>
  <c r="H2256" i="2"/>
  <c r="G2256" i="2"/>
  <c r="H2254" i="2"/>
  <c r="G2254" i="2"/>
  <c r="H2253" i="2"/>
  <c r="G2253" i="2"/>
  <c r="H2252" i="2"/>
  <c r="G2252" i="2"/>
  <c r="H2251" i="2"/>
  <c r="G2251" i="2"/>
  <c r="H2250" i="2"/>
  <c r="G2250" i="2"/>
  <c r="H2249" i="2"/>
  <c r="G2249" i="2"/>
  <c r="H2248" i="2"/>
  <c r="G2248" i="2"/>
  <c r="H2247" i="2"/>
  <c r="G2247" i="2"/>
  <c r="H2246" i="2"/>
  <c r="G2246" i="2"/>
  <c r="H2245" i="2"/>
  <c r="G2245" i="2"/>
  <c r="H2244" i="2"/>
  <c r="G2244" i="2"/>
  <c r="H2243" i="2"/>
  <c r="G2243" i="2"/>
  <c r="H2242" i="2"/>
  <c r="G2242" i="2"/>
  <c r="H2241" i="2"/>
  <c r="G2241" i="2"/>
  <c r="H2240" i="2"/>
  <c r="G2240" i="2"/>
  <c r="H2239" i="2"/>
  <c r="G2239" i="2"/>
  <c r="H2238" i="2"/>
  <c r="G2238" i="2"/>
  <c r="H2237" i="2"/>
  <c r="G2237" i="2"/>
  <c r="H2236" i="2"/>
  <c r="G2236" i="2"/>
  <c r="H2235" i="2"/>
  <c r="G2235" i="2"/>
  <c r="H2234" i="2"/>
  <c r="G2234" i="2"/>
  <c r="H2233" i="2"/>
  <c r="G2233" i="2"/>
  <c r="H2232" i="2"/>
  <c r="G2232" i="2"/>
  <c r="H2231" i="2"/>
  <c r="G2231" i="2"/>
  <c r="H2230" i="2"/>
  <c r="G2230" i="2"/>
  <c r="H2229" i="2"/>
  <c r="G2229" i="2"/>
  <c r="H2228" i="2"/>
  <c r="G2228" i="2"/>
  <c r="H2227" i="2"/>
  <c r="G2227" i="2"/>
  <c r="H2226" i="2"/>
  <c r="G2226" i="2"/>
  <c r="H2225" i="2"/>
  <c r="G2225" i="2"/>
  <c r="H2224" i="2"/>
  <c r="G2224" i="2"/>
  <c r="H2223" i="2"/>
  <c r="G2223" i="2"/>
  <c r="H2222" i="2"/>
  <c r="G2222" i="2"/>
  <c r="H2221" i="2"/>
  <c r="G2221" i="2"/>
  <c r="H2220" i="2"/>
  <c r="G2220" i="2"/>
  <c r="H2219" i="2"/>
  <c r="G2219" i="2"/>
  <c r="H2218" i="2"/>
  <c r="G2218" i="2"/>
  <c r="H2217" i="2"/>
  <c r="G2217" i="2"/>
  <c r="H2216" i="2"/>
  <c r="G2216" i="2"/>
  <c r="H2215" i="2"/>
  <c r="G2215" i="2"/>
  <c r="H2214" i="2"/>
  <c r="G2214" i="2"/>
  <c r="H2213" i="2"/>
  <c r="G2213" i="2"/>
  <c r="H2212" i="2"/>
  <c r="G2212" i="2"/>
  <c r="H2211" i="2"/>
  <c r="G2211" i="2"/>
  <c r="H2210" i="2"/>
  <c r="G2210" i="2"/>
  <c r="H2209" i="2"/>
  <c r="G2209" i="2"/>
  <c r="H2208" i="2"/>
  <c r="G2208" i="2"/>
  <c r="H2207" i="2"/>
  <c r="G2207" i="2"/>
  <c r="H2206" i="2"/>
  <c r="G2206" i="2"/>
  <c r="H2205" i="2"/>
  <c r="G2205" i="2"/>
  <c r="H2204" i="2"/>
  <c r="G2204" i="2"/>
  <c r="H2203" i="2"/>
  <c r="G2203" i="2"/>
  <c r="H2202" i="2"/>
  <c r="G2202" i="2"/>
  <c r="H2201" i="2"/>
  <c r="G2201" i="2"/>
  <c r="H2200" i="2"/>
  <c r="G2200" i="2"/>
  <c r="H2199" i="2"/>
  <c r="G2199" i="2"/>
  <c r="H2198" i="2"/>
  <c r="G2198" i="2"/>
  <c r="H2197" i="2"/>
  <c r="G2197" i="2"/>
  <c r="H2196" i="2"/>
  <c r="G2196" i="2"/>
  <c r="H2195" i="2"/>
  <c r="G2195" i="2"/>
  <c r="H2194" i="2"/>
  <c r="G2194" i="2"/>
  <c r="H2193" i="2"/>
  <c r="G2193" i="2"/>
  <c r="H2192" i="2"/>
  <c r="G2192" i="2"/>
  <c r="H2191" i="2"/>
  <c r="G2191" i="2"/>
  <c r="H2190" i="2"/>
  <c r="G2190" i="2"/>
  <c r="H2189" i="2"/>
  <c r="G2189" i="2"/>
  <c r="H2188" i="2"/>
  <c r="G2188" i="2"/>
  <c r="H2187" i="2"/>
  <c r="G2187" i="2"/>
  <c r="H2186" i="2"/>
  <c r="G2186" i="2"/>
  <c r="H2185" i="2"/>
  <c r="G2185" i="2"/>
  <c r="H2184" i="2"/>
  <c r="G2184" i="2"/>
  <c r="H2183" i="2"/>
  <c r="G2183" i="2"/>
  <c r="H2182" i="2"/>
  <c r="G2182" i="2"/>
  <c r="H2181" i="2"/>
  <c r="G2181" i="2"/>
  <c r="H2180" i="2"/>
  <c r="G2180" i="2"/>
  <c r="H2179" i="2"/>
  <c r="G2179" i="2"/>
  <c r="H2178" i="2"/>
  <c r="G2178" i="2"/>
  <c r="H2177" i="2"/>
  <c r="G2177" i="2"/>
  <c r="H2176" i="2"/>
  <c r="G2176" i="2"/>
  <c r="H2175" i="2"/>
  <c r="G2175" i="2"/>
  <c r="H2174" i="2"/>
  <c r="G2174" i="2"/>
  <c r="H2173" i="2"/>
  <c r="G2173" i="2"/>
  <c r="H2172" i="2"/>
  <c r="G2172" i="2"/>
  <c r="H2171" i="2"/>
  <c r="G2171" i="2"/>
  <c r="H2170" i="2"/>
  <c r="G2170" i="2"/>
  <c r="H2169" i="2"/>
  <c r="G2169" i="2"/>
  <c r="H2168" i="2"/>
  <c r="G2168" i="2"/>
  <c r="H2167" i="2"/>
  <c r="G2167" i="2"/>
  <c r="H2166" i="2"/>
  <c r="G2166" i="2"/>
  <c r="H2165" i="2"/>
  <c r="G2165" i="2"/>
  <c r="H2164" i="2"/>
  <c r="G2164" i="2"/>
  <c r="H2163" i="2"/>
  <c r="G2163" i="2"/>
  <c r="H2162" i="2"/>
  <c r="G2162" i="2"/>
  <c r="H2161" i="2"/>
  <c r="G2161" i="2"/>
  <c r="H2160" i="2"/>
  <c r="G2160" i="2"/>
  <c r="H2159" i="2"/>
  <c r="G2159" i="2"/>
  <c r="H2158" i="2"/>
  <c r="G2158" i="2"/>
  <c r="H2157" i="2"/>
  <c r="G2157" i="2"/>
  <c r="H2156" i="2"/>
  <c r="G2156" i="2"/>
  <c r="H2155" i="2"/>
  <c r="G2155" i="2"/>
  <c r="H2154" i="2"/>
  <c r="G2154" i="2"/>
  <c r="H2153" i="2"/>
  <c r="G2153" i="2"/>
  <c r="H2152" i="2"/>
  <c r="G2152" i="2"/>
  <c r="H2151" i="2"/>
  <c r="G2151" i="2"/>
  <c r="H2150" i="2"/>
  <c r="G2150" i="2"/>
  <c r="H2149" i="2"/>
  <c r="G2149" i="2"/>
  <c r="H2148" i="2"/>
  <c r="G2148" i="2"/>
  <c r="H2147" i="2"/>
  <c r="G2147" i="2"/>
  <c r="H2146" i="2"/>
  <c r="G2146" i="2"/>
  <c r="H2145" i="2"/>
  <c r="G2145" i="2"/>
  <c r="H2144" i="2"/>
  <c r="G2144" i="2"/>
  <c r="H2143" i="2"/>
  <c r="G2143" i="2"/>
  <c r="H2142" i="2"/>
  <c r="G2142" i="2"/>
  <c r="H2141" i="2"/>
  <c r="G2141" i="2"/>
  <c r="H2140" i="2"/>
  <c r="G2140" i="2"/>
  <c r="H2139" i="2"/>
  <c r="G2139" i="2"/>
  <c r="H2138" i="2"/>
  <c r="G2138" i="2"/>
  <c r="H2137" i="2"/>
  <c r="G2137" i="2"/>
  <c r="H2136" i="2"/>
  <c r="G2136" i="2"/>
  <c r="H2135" i="2"/>
  <c r="G2135" i="2"/>
  <c r="H2134" i="2"/>
  <c r="G2134" i="2"/>
  <c r="H2133" i="2"/>
  <c r="G2133" i="2"/>
  <c r="H2132" i="2"/>
  <c r="G2132" i="2"/>
  <c r="H2131" i="2"/>
  <c r="G2131" i="2"/>
  <c r="H2130" i="2"/>
  <c r="G2130" i="2"/>
  <c r="H2129" i="2"/>
  <c r="G2129" i="2"/>
  <c r="H2128" i="2"/>
  <c r="G2128" i="2"/>
  <c r="H2127" i="2"/>
  <c r="G2127" i="2"/>
  <c r="H2126" i="2"/>
  <c r="G2126" i="2"/>
  <c r="H2125" i="2"/>
  <c r="G2125" i="2"/>
  <c r="H2124" i="2"/>
  <c r="G2124" i="2"/>
  <c r="H2123" i="2"/>
  <c r="G2123" i="2"/>
  <c r="H2122" i="2"/>
  <c r="G2122" i="2"/>
  <c r="H2121" i="2"/>
  <c r="G2121" i="2"/>
  <c r="H2120" i="2"/>
  <c r="G2120" i="2"/>
  <c r="H2119" i="2"/>
  <c r="G2119" i="2"/>
  <c r="H2118" i="2"/>
  <c r="G2118" i="2"/>
  <c r="H2117" i="2"/>
  <c r="G2117" i="2"/>
  <c r="H2116" i="2"/>
  <c r="G2116" i="2"/>
  <c r="H2115" i="2"/>
  <c r="G2115" i="2"/>
  <c r="H2114" i="2"/>
  <c r="G2114" i="2"/>
  <c r="H2113" i="2"/>
  <c r="G2113" i="2"/>
  <c r="H2112" i="2"/>
  <c r="G2112" i="2"/>
  <c r="H2111" i="2"/>
  <c r="G2111" i="2"/>
  <c r="H2110" i="2"/>
  <c r="G2110" i="2"/>
  <c r="H2109" i="2"/>
  <c r="G2109" i="2"/>
  <c r="H2108" i="2"/>
  <c r="G2108" i="2"/>
  <c r="H2107" i="2"/>
  <c r="G2107" i="2"/>
  <c r="H2106" i="2"/>
  <c r="G2106" i="2"/>
  <c r="H2105" i="2"/>
  <c r="G2105" i="2"/>
  <c r="H2104" i="2"/>
  <c r="G2104" i="2"/>
  <c r="H2103" i="2"/>
  <c r="G2103" i="2"/>
  <c r="H2102" i="2"/>
  <c r="G2102" i="2"/>
  <c r="H2101" i="2"/>
  <c r="G2101" i="2"/>
  <c r="H2100" i="2"/>
  <c r="G2100" i="2"/>
  <c r="H2099" i="2"/>
  <c r="G2099" i="2"/>
  <c r="H2098" i="2"/>
  <c r="G2098" i="2"/>
  <c r="H2097" i="2"/>
  <c r="G2097" i="2"/>
  <c r="H2096" i="2"/>
  <c r="G2096" i="2"/>
  <c r="H2095" i="2"/>
  <c r="G2095" i="2"/>
  <c r="H2094" i="2"/>
  <c r="G2094" i="2"/>
  <c r="H2093" i="2"/>
  <c r="G2093" i="2"/>
  <c r="H2092" i="2"/>
  <c r="G2092" i="2"/>
  <c r="H2091" i="2"/>
  <c r="G2091" i="2"/>
  <c r="H2090" i="2"/>
  <c r="G2090" i="2"/>
  <c r="H2089" i="2"/>
  <c r="G2089" i="2"/>
  <c r="H2088" i="2"/>
  <c r="G2088" i="2"/>
  <c r="H2087" i="2"/>
  <c r="G2087" i="2"/>
  <c r="H2086" i="2"/>
  <c r="G2086" i="2"/>
  <c r="H2085" i="2"/>
  <c r="G2085" i="2"/>
  <c r="H2084" i="2"/>
  <c r="G2084" i="2"/>
  <c r="H2083" i="2"/>
  <c r="G2083" i="2"/>
  <c r="H2082" i="2"/>
  <c r="G2082" i="2"/>
  <c r="H2081" i="2"/>
  <c r="G2081" i="2"/>
  <c r="H2080" i="2"/>
  <c r="G2080" i="2"/>
  <c r="H2079" i="2"/>
  <c r="G2079" i="2"/>
  <c r="H2078" i="2"/>
  <c r="G2078" i="2"/>
  <c r="H2077" i="2"/>
  <c r="G2077" i="2"/>
  <c r="H2076" i="2"/>
  <c r="G2076" i="2"/>
  <c r="H2075" i="2"/>
  <c r="G2075" i="2"/>
  <c r="H2074" i="2"/>
  <c r="G2074" i="2"/>
  <c r="H2073" i="2"/>
  <c r="G2073" i="2"/>
  <c r="H2072" i="2"/>
  <c r="G2072" i="2"/>
  <c r="H2071" i="2"/>
  <c r="G2071" i="2"/>
  <c r="H2070" i="2"/>
  <c r="G2070" i="2"/>
  <c r="H2069" i="2"/>
  <c r="G2069" i="2"/>
  <c r="H2068" i="2"/>
  <c r="G2068" i="2"/>
  <c r="H2067" i="2"/>
  <c r="G2067" i="2"/>
  <c r="H2066" i="2"/>
  <c r="G2066" i="2"/>
  <c r="H2065" i="2"/>
  <c r="G2065" i="2"/>
  <c r="H2064" i="2"/>
  <c r="G2064" i="2"/>
  <c r="H2063" i="2"/>
  <c r="G2063" i="2"/>
  <c r="H2062" i="2"/>
  <c r="G2062" i="2"/>
  <c r="H2061" i="2"/>
  <c r="G2061" i="2"/>
  <c r="H2060" i="2"/>
  <c r="G2060" i="2"/>
  <c r="H2059" i="2"/>
  <c r="G2059" i="2"/>
  <c r="H2058" i="2"/>
  <c r="G2058" i="2"/>
  <c r="H2057" i="2"/>
  <c r="G2057" i="2"/>
  <c r="H2056" i="2"/>
  <c r="G2056" i="2"/>
  <c r="H2055" i="2"/>
  <c r="G2055" i="2"/>
  <c r="H2054" i="2"/>
  <c r="G2054" i="2"/>
  <c r="H2053" i="2"/>
  <c r="G2053" i="2"/>
  <c r="H2052" i="2"/>
  <c r="G2052" i="2"/>
  <c r="H2051" i="2"/>
  <c r="G2051" i="2"/>
  <c r="H2050" i="2"/>
  <c r="G2050" i="2"/>
  <c r="H2049" i="2"/>
  <c r="G2049" i="2"/>
  <c r="H2048" i="2"/>
  <c r="G2048" i="2"/>
  <c r="H2047" i="2"/>
  <c r="G2047" i="2"/>
  <c r="H2046" i="2"/>
  <c r="G2046" i="2"/>
  <c r="H2045" i="2"/>
  <c r="G2045" i="2"/>
  <c r="H2044" i="2"/>
  <c r="G2044" i="2"/>
  <c r="H2043" i="2"/>
  <c r="G2043" i="2"/>
  <c r="H2042" i="2"/>
  <c r="G2042" i="2"/>
  <c r="H2041" i="2"/>
  <c r="G2041" i="2"/>
  <c r="H2040" i="2"/>
  <c r="G2040" i="2"/>
  <c r="H2039" i="2"/>
  <c r="G2039" i="2"/>
  <c r="H2038" i="2"/>
  <c r="G2038" i="2"/>
  <c r="H2037" i="2"/>
  <c r="G2037" i="2"/>
  <c r="H2036" i="2"/>
  <c r="G2036" i="2"/>
  <c r="H2035" i="2"/>
  <c r="G2035" i="2"/>
  <c r="H2034" i="2"/>
  <c r="G2034" i="2"/>
  <c r="H2033" i="2"/>
  <c r="G2033" i="2"/>
  <c r="H2032" i="2"/>
  <c r="G2032" i="2"/>
  <c r="H2031" i="2"/>
  <c r="G2031" i="2"/>
  <c r="H2030" i="2"/>
  <c r="G2030" i="2"/>
  <c r="H2029" i="2"/>
  <c r="G2029" i="2"/>
  <c r="H2028" i="2"/>
  <c r="G2028" i="2"/>
  <c r="H2027" i="2"/>
  <c r="G2027" i="2"/>
  <c r="H2026" i="2"/>
  <c r="G2026" i="2"/>
  <c r="H2025" i="2"/>
  <c r="G2025" i="2"/>
  <c r="H2024" i="2"/>
  <c r="G2024" i="2"/>
  <c r="H2023" i="2"/>
  <c r="G2023" i="2"/>
  <c r="H2022" i="2"/>
  <c r="G2022" i="2"/>
  <c r="H2021" i="2"/>
  <c r="G2021" i="2"/>
  <c r="H2020" i="2"/>
  <c r="G2020" i="2"/>
  <c r="H2019" i="2"/>
  <c r="G2019" i="2"/>
  <c r="H2018" i="2"/>
  <c r="G2018" i="2"/>
  <c r="H2017" i="2"/>
  <c r="G2017" i="2"/>
  <c r="H2016" i="2"/>
  <c r="G2016" i="2"/>
  <c r="H2015" i="2"/>
  <c r="G2015" i="2"/>
  <c r="H2014" i="2"/>
  <c r="G2014" i="2"/>
  <c r="H2013" i="2"/>
  <c r="G2013" i="2"/>
  <c r="H2012" i="2"/>
  <c r="G2012" i="2"/>
  <c r="H2011" i="2"/>
  <c r="G2011" i="2"/>
  <c r="H2010" i="2"/>
  <c r="G2010" i="2"/>
  <c r="H2009" i="2"/>
  <c r="G2009" i="2"/>
  <c r="H2008" i="2"/>
  <c r="G2008" i="2"/>
  <c r="H2007" i="2"/>
  <c r="G2007" i="2"/>
  <c r="H2006" i="2"/>
  <c r="G2006" i="2"/>
  <c r="H2005" i="2"/>
  <c r="G2005" i="2"/>
  <c r="H2004" i="2"/>
  <c r="G2004" i="2"/>
  <c r="H2003" i="2"/>
  <c r="G2003" i="2"/>
  <c r="H2002" i="2"/>
  <c r="G2002" i="2"/>
  <c r="H2001" i="2"/>
  <c r="G2001" i="2"/>
  <c r="H2000" i="2"/>
  <c r="G2000" i="2"/>
  <c r="H1999" i="2"/>
  <c r="G1999" i="2"/>
  <c r="H1998" i="2"/>
  <c r="G1998" i="2"/>
  <c r="H1997" i="2"/>
  <c r="G1997" i="2"/>
  <c r="H1996" i="2"/>
  <c r="G1996" i="2"/>
  <c r="H1995" i="2"/>
  <c r="G1995" i="2"/>
  <c r="H1994" i="2"/>
  <c r="G1994" i="2"/>
  <c r="H1993" i="2"/>
  <c r="G1993" i="2"/>
  <c r="H1992" i="2"/>
  <c r="G1992" i="2"/>
  <c r="H1991" i="2"/>
  <c r="G1991" i="2"/>
  <c r="H1990" i="2"/>
  <c r="G1990" i="2"/>
  <c r="H1989" i="2"/>
  <c r="G1989" i="2"/>
  <c r="H1988" i="2"/>
  <c r="G1988" i="2"/>
  <c r="H1987" i="2"/>
  <c r="G1987" i="2"/>
  <c r="H1986" i="2"/>
  <c r="G1986" i="2"/>
  <c r="H1985" i="2"/>
  <c r="G1985" i="2"/>
  <c r="H1984" i="2"/>
  <c r="G1984" i="2"/>
  <c r="H1983" i="2"/>
  <c r="G1983" i="2"/>
  <c r="H1982" i="2"/>
  <c r="G1982" i="2"/>
  <c r="H1981" i="2"/>
  <c r="G1981" i="2"/>
  <c r="H1980" i="2"/>
  <c r="G1980" i="2"/>
  <c r="H1979" i="2"/>
  <c r="G1979" i="2"/>
  <c r="H1978" i="2"/>
  <c r="G1978" i="2"/>
  <c r="H1977" i="2"/>
  <c r="G1977" i="2"/>
  <c r="H1976" i="2"/>
  <c r="G1976" i="2"/>
  <c r="H1975" i="2"/>
  <c r="G1975" i="2"/>
  <c r="H1974" i="2"/>
  <c r="G1974" i="2"/>
  <c r="H1973" i="2"/>
  <c r="G1973" i="2"/>
  <c r="H1972" i="2"/>
  <c r="G1972" i="2"/>
  <c r="H1971" i="2"/>
  <c r="G1971" i="2"/>
  <c r="H1970" i="2"/>
  <c r="G1970" i="2"/>
  <c r="H1969" i="2"/>
  <c r="G1969" i="2"/>
  <c r="H1968" i="2"/>
  <c r="G1968" i="2"/>
  <c r="H1967" i="2"/>
  <c r="G1967" i="2"/>
  <c r="H1966" i="2"/>
  <c r="G1966" i="2"/>
  <c r="H1965" i="2"/>
  <c r="G1965" i="2"/>
  <c r="H1964" i="2"/>
  <c r="G1964" i="2"/>
  <c r="H1963" i="2"/>
  <c r="G1963" i="2"/>
  <c r="H1962" i="2"/>
  <c r="G1962" i="2"/>
  <c r="H1961" i="2"/>
  <c r="G1961" i="2"/>
  <c r="H1960" i="2"/>
  <c r="G1960" i="2"/>
  <c r="H1959" i="2"/>
  <c r="G1959" i="2"/>
  <c r="H1958" i="2"/>
  <c r="G1958" i="2"/>
  <c r="H1957" i="2"/>
  <c r="G1957" i="2"/>
  <c r="H1956" i="2"/>
  <c r="G1956" i="2"/>
  <c r="H1955" i="2"/>
  <c r="G1955" i="2"/>
  <c r="H1954" i="2"/>
  <c r="G1954" i="2"/>
  <c r="H1953" i="2"/>
  <c r="G1953" i="2"/>
  <c r="H1952" i="2"/>
  <c r="G1952" i="2"/>
  <c r="H1951" i="2"/>
  <c r="G1951" i="2"/>
  <c r="H1950" i="2"/>
  <c r="G1950" i="2"/>
  <c r="H1949" i="2"/>
  <c r="G1949" i="2"/>
  <c r="H1948" i="2"/>
  <c r="G1948" i="2"/>
  <c r="H1947" i="2"/>
  <c r="G1947" i="2"/>
  <c r="H1946" i="2"/>
  <c r="G1946" i="2"/>
  <c r="H1945" i="2"/>
  <c r="G1945" i="2"/>
  <c r="H1944" i="2"/>
  <c r="G1944" i="2"/>
  <c r="H1943" i="2"/>
  <c r="G1943" i="2"/>
  <c r="H1942" i="2"/>
  <c r="G1942" i="2"/>
  <c r="H1941" i="2"/>
  <c r="G1941" i="2"/>
  <c r="H1940" i="2"/>
  <c r="G1940" i="2"/>
  <c r="H1939" i="2"/>
  <c r="G1939" i="2"/>
  <c r="H1938" i="2"/>
  <c r="G1938" i="2"/>
  <c r="H1937" i="2"/>
  <c r="G1937" i="2"/>
  <c r="H1936" i="2"/>
  <c r="G1936" i="2"/>
  <c r="H1935" i="2"/>
  <c r="G1935" i="2"/>
  <c r="H1934" i="2"/>
  <c r="G1934" i="2"/>
  <c r="H1933" i="2"/>
  <c r="G1933" i="2"/>
  <c r="H1932" i="2"/>
  <c r="G1932" i="2"/>
  <c r="H1931" i="2"/>
  <c r="G1931" i="2"/>
  <c r="H1930" i="2"/>
  <c r="G1930" i="2"/>
  <c r="H1929" i="2"/>
  <c r="G1929" i="2"/>
  <c r="H1928" i="2"/>
  <c r="G1928" i="2"/>
  <c r="H1927" i="2"/>
  <c r="G1927" i="2"/>
  <c r="H1926" i="2"/>
  <c r="G1926" i="2"/>
  <c r="H1925" i="2"/>
  <c r="G1925" i="2"/>
  <c r="H1924" i="2"/>
  <c r="G1924" i="2"/>
  <c r="H1923" i="2"/>
  <c r="G1923" i="2"/>
  <c r="H1922" i="2"/>
  <c r="G1922" i="2"/>
  <c r="H1921" i="2"/>
  <c r="G1921" i="2"/>
  <c r="H1920" i="2"/>
  <c r="G1920" i="2"/>
  <c r="H1919" i="2"/>
  <c r="G1919" i="2"/>
  <c r="H1918" i="2"/>
  <c r="G1918" i="2"/>
  <c r="H1917" i="2"/>
  <c r="G1917" i="2"/>
  <c r="H1916" i="2"/>
  <c r="G1916" i="2"/>
  <c r="H1915" i="2"/>
  <c r="G1915" i="2"/>
  <c r="H1914" i="2"/>
  <c r="G1914" i="2"/>
  <c r="H1913" i="2"/>
  <c r="G1913" i="2"/>
  <c r="H1912" i="2"/>
  <c r="G1912" i="2"/>
  <c r="H1911" i="2"/>
  <c r="G1911" i="2"/>
  <c r="G1891" i="2"/>
  <c r="H1891" i="2"/>
  <c r="G1892" i="2"/>
  <c r="H1892" i="2"/>
  <c r="G1893" i="2"/>
  <c r="H1893" i="2"/>
  <c r="G1894" i="2"/>
  <c r="H1894" i="2"/>
  <c r="G1895" i="2"/>
  <c r="H1895" i="2"/>
  <c r="G1896" i="2"/>
  <c r="H1896" i="2"/>
  <c r="G1897" i="2"/>
  <c r="H1897" i="2"/>
  <c r="G1898" i="2"/>
  <c r="H1898" i="2"/>
  <c r="G1899" i="2"/>
  <c r="H1899" i="2"/>
  <c r="G1900" i="2"/>
  <c r="H1900" i="2"/>
  <c r="G1901" i="2"/>
  <c r="H1901" i="2"/>
  <c r="G1902" i="2"/>
  <c r="H1902" i="2"/>
  <c r="G1903" i="2"/>
  <c r="H1903" i="2"/>
  <c r="G1904" i="2"/>
  <c r="H1904" i="2"/>
  <c r="G1905" i="2"/>
  <c r="H1905" i="2"/>
  <c r="G1906" i="2"/>
  <c r="H1906" i="2"/>
  <c r="G1907" i="2"/>
  <c r="H1907" i="2"/>
  <c r="G1908" i="2"/>
  <c r="H1908" i="2"/>
  <c r="G1909" i="2"/>
  <c r="H1909" i="2"/>
  <c r="G1910" i="2"/>
  <c r="H1910" i="2"/>
  <c r="H638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60" i="2"/>
  <c r="G761" i="2"/>
  <c r="G762" i="2"/>
  <c r="G763" i="2"/>
  <c r="G764" i="2"/>
  <c r="G765" i="2"/>
  <c r="G766" i="2"/>
  <c r="G767" i="2"/>
  <c r="G768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9" i="2"/>
  <c r="G1540" i="2"/>
  <c r="G1541" i="2"/>
  <c r="G1542" i="2"/>
  <c r="G1543" i="2"/>
  <c r="G1544" i="2"/>
  <c r="G1545" i="2"/>
  <c r="G1546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9" i="2"/>
  <c r="H1540" i="2"/>
  <c r="H1541" i="2"/>
  <c r="H1542" i="2"/>
  <c r="H1543" i="2"/>
  <c r="H1544" i="2"/>
  <c r="H1545" i="2"/>
  <c r="H1546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G551" i="2"/>
  <c r="F125" i="1" l="1"/>
  <c r="F140" i="1"/>
  <c r="F144" i="1"/>
  <c r="G193" i="1"/>
  <c r="F139" i="1"/>
  <c r="F132" i="1"/>
  <c r="G186" i="1"/>
  <c r="G198" i="1"/>
  <c r="F175" i="1"/>
  <c r="F189" i="1"/>
  <c r="G152" i="1"/>
  <c r="F171" i="1"/>
  <c r="F185" i="1"/>
  <c r="G171" i="1"/>
  <c r="G185" i="1"/>
  <c r="G139" i="1"/>
  <c r="F184" i="1"/>
  <c r="F198" i="1"/>
  <c r="F188" i="1"/>
  <c r="G175" i="1"/>
  <c r="G189" i="1"/>
  <c r="G188" i="1"/>
  <c r="F172" i="1"/>
  <c r="F186" i="1"/>
  <c r="F176" i="1"/>
  <c r="H176" i="1" s="1"/>
  <c r="I176" i="1" s="1"/>
  <c r="F190" i="1"/>
  <c r="H190" i="1" s="1"/>
  <c r="I190" i="1" s="1"/>
  <c r="G140" i="1"/>
  <c r="F162" i="1"/>
  <c r="G159" i="1"/>
  <c r="G137" i="1"/>
  <c r="G125" i="1"/>
  <c r="G162" i="1"/>
  <c r="G138" i="1"/>
  <c r="G134" i="1"/>
  <c r="G179" i="1"/>
  <c r="F153" i="1"/>
  <c r="F134" i="1"/>
  <c r="G153" i="1"/>
  <c r="G144" i="1"/>
  <c r="G172" i="1"/>
  <c r="G170" i="1"/>
  <c r="G184" i="1"/>
  <c r="G143" i="1"/>
  <c r="G161" i="1"/>
  <c r="G132" i="1"/>
  <c r="G19" i="1"/>
  <c r="G67" i="1"/>
  <c r="G65" i="1"/>
  <c r="G83" i="1"/>
  <c r="G46" i="1"/>
  <c r="G3" i="2"/>
  <c r="H3" i="2"/>
  <c r="G4" i="2"/>
  <c r="H4" i="2"/>
  <c r="G5" i="2"/>
  <c r="H5" i="2"/>
  <c r="G6" i="2"/>
  <c r="F10" i="1" s="1"/>
  <c r="H6" i="2"/>
  <c r="G7" i="2"/>
  <c r="F11" i="1" s="1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F18" i="1" s="1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F30" i="1" s="1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F37" i="1" s="1"/>
  <c r="H33" i="2"/>
  <c r="G34" i="2"/>
  <c r="H34" i="2"/>
  <c r="G35" i="2"/>
  <c r="H35" i="2"/>
  <c r="G36" i="2"/>
  <c r="F40" i="1" s="1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F53" i="1" s="1"/>
  <c r="H49" i="2"/>
  <c r="G50" i="2"/>
  <c r="H50" i="2"/>
  <c r="G51" i="2"/>
  <c r="F55" i="1" s="1"/>
  <c r="H51" i="2"/>
  <c r="G52" i="2"/>
  <c r="H52" i="2"/>
  <c r="G53" i="2"/>
  <c r="F57" i="1" s="1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F65" i="1" s="1"/>
  <c r="H61" i="2"/>
  <c r="G62" i="2"/>
  <c r="H62" i="2"/>
  <c r="G63" i="2"/>
  <c r="F67" i="1" s="1"/>
  <c r="H63" i="2"/>
  <c r="G64" i="2"/>
  <c r="F169" i="1" s="1"/>
  <c r="H64" i="2"/>
  <c r="G65" i="2"/>
  <c r="F170" i="1" s="1"/>
  <c r="H65" i="2"/>
  <c r="G66" i="2"/>
  <c r="H66" i="2"/>
  <c r="G67" i="2"/>
  <c r="F174" i="1" s="1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F79" i="1" s="1"/>
  <c r="H75" i="2"/>
  <c r="G76" i="2"/>
  <c r="F80" i="1" s="1"/>
  <c r="H76" i="2"/>
  <c r="G77" i="2"/>
  <c r="H77" i="2"/>
  <c r="G78" i="2"/>
  <c r="H78" i="2"/>
  <c r="G79" i="2"/>
  <c r="H79" i="2"/>
  <c r="G80" i="2"/>
  <c r="H80" i="2"/>
  <c r="G81" i="2"/>
  <c r="F119" i="1" s="1"/>
  <c r="H81" i="2"/>
  <c r="G82" i="2"/>
  <c r="H82" i="2"/>
  <c r="G83" i="2"/>
  <c r="H83" i="2"/>
  <c r="G84" i="2"/>
  <c r="F122" i="1" s="1"/>
  <c r="H84" i="2"/>
  <c r="G85" i="2"/>
  <c r="F121" i="1" s="1"/>
  <c r="H85" i="2"/>
  <c r="G86" i="2"/>
  <c r="H86" i="2"/>
  <c r="G87" i="2"/>
  <c r="H87" i="2"/>
  <c r="G88" i="2"/>
  <c r="H88" i="2"/>
  <c r="G89" i="2"/>
  <c r="F133" i="1" s="1"/>
  <c r="H89" i="2"/>
  <c r="G90" i="2"/>
  <c r="H90" i="2"/>
  <c r="G91" i="2"/>
  <c r="F118" i="1" s="1"/>
  <c r="H91" i="2"/>
  <c r="G92" i="2"/>
  <c r="F127" i="1" s="1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F109" i="1" s="1"/>
  <c r="H105" i="2"/>
  <c r="G106" i="2"/>
  <c r="H106" i="2"/>
  <c r="G107" i="2"/>
  <c r="H107" i="2"/>
  <c r="G108" i="2"/>
  <c r="H108" i="2"/>
  <c r="G109" i="2"/>
  <c r="F193" i="1" s="1"/>
  <c r="H193" i="1" s="1"/>
  <c r="I193" i="1" s="1"/>
  <c r="H109" i="2"/>
  <c r="G110" i="2"/>
  <c r="H110" i="2"/>
  <c r="G111" i="2"/>
  <c r="H111" i="2"/>
  <c r="G112" i="2"/>
  <c r="H112" i="2"/>
  <c r="G113" i="2"/>
  <c r="F197" i="1" s="1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G163" i="1" s="1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G122" i="1" s="1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G197" i="1" s="1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G174" i="1" s="1"/>
  <c r="H272" i="2"/>
  <c r="G273" i="2"/>
  <c r="H273" i="2"/>
  <c r="G274" i="2"/>
  <c r="G34" i="1" s="1"/>
  <c r="H274" i="2"/>
  <c r="G275" i="2"/>
  <c r="H275" i="2"/>
  <c r="G276" i="2"/>
  <c r="H276" i="2"/>
  <c r="G277" i="2"/>
  <c r="H277" i="2"/>
  <c r="G278" i="2"/>
  <c r="H278" i="2"/>
  <c r="G279" i="2"/>
  <c r="G47" i="1" s="1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G55" i="1" s="1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G57" i="1" s="1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F14" i="1" s="1"/>
  <c r="H426" i="2"/>
  <c r="G427" i="2"/>
  <c r="F78" i="1" s="1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F76" i="1" s="1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G127" i="1" s="1"/>
  <c r="H464" i="2"/>
  <c r="G465" i="2"/>
  <c r="H465" i="2"/>
  <c r="G466" i="2"/>
  <c r="H466" i="2"/>
  <c r="G467" i="2"/>
  <c r="H467" i="2"/>
  <c r="G468" i="2"/>
  <c r="H468" i="2"/>
  <c r="G469" i="2"/>
  <c r="G11" i="1" s="1"/>
  <c r="H469" i="2"/>
  <c r="G470" i="2"/>
  <c r="H470" i="2"/>
  <c r="G472" i="2"/>
  <c r="H472" i="2"/>
  <c r="G473" i="2"/>
  <c r="H473" i="2"/>
  <c r="G474" i="2"/>
  <c r="H474" i="2"/>
  <c r="G475" i="2"/>
  <c r="H475" i="2"/>
  <c r="G476" i="2"/>
  <c r="H476" i="2"/>
  <c r="G477" i="2"/>
  <c r="H477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6" i="2"/>
  <c r="H486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H530" i="2"/>
  <c r="G531" i="2"/>
  <c r="H531" i="2"/>
  <c r="G532" i="2"/>
  <c r="H532" i="2"/>
  <c r="G533" i="2"/>
  <c r="H533" i="2"/>
  <c r="G534" i="2"/>
  <c r="H534" i="2"/>
  <c r="G535" i="2"/>
  <c r="H535" i="2"/>
  <c r="G536" i="2"/>
  <c r="H536" i="2"/>
  <c r="G537" i="2"/>
  <c r="H537" i="2"/>
  <c r="G538" i="2"/>
  <c r="H538" i="2"/>
  <c r="G539" i="2"/>
  <c r="H539" i="2"/>
  <c r="G540" i="2"/>
  <c r="H540" i="2"/>
  <c r="G541" i="2"/>
  <c r="H541" i="2"/>
  <c r="G542" i="2"/>
  <c r="H542" i="2"/>
  <c r="G543" i="2"/>
  <c r="H543" i="2"/>
  <c r="G544" i="2"/>
  <c r="H544" i="2"/>
  <c r="G545" i="2"/>
  <c r="H545" i="2"/>
  <c r="G546" i="2"/>
  <c r="H546" i="2"/>
  <c r="G547" i="2"/>
  <c r="H547" i="2"/>
  <c r="G548" i="2"/>
  <c r="H548" i="2"/>
  <c r="G549" i="2"/>
  <c r="H549" i="2"/>
  <c r="G550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60" i="2"/>
  <c r="H761" i="2"/>
  <c r="H762" i="2"/>
  <c r="H763" i="2"/>
  <c r="H764" i="2"/>
  <c r="H765" i="2"/>
  <c r="H766" i="2"/>
  <c r="H767" i="2"/>
  <c r="H768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40" i="1" l="1"/>
  <c r="I140" i="1" s="1"/>
  <c r="H125" i="1"/>
  <c r="I125" i="1" s="1"/>
  <c r="H144" i="1"/>
  <c r="I144" i="1" s="1"/>
  <c r="H198" i="1"/>
  <c r="I198" i="1" s="1"/>
  <c r="F157" i="1"/>
  <c r="H197" i="1"/>
  <c r="I197" i="1" s="1"/>
  <c r="H139" i="1"/>
  <c r="I139" i="1" s="1"/>
  <c r="H172" i="1"/>
  <c r="I172" i="1" s="1"/>
  <c r="H186" i="1"/>
  <c r="I186" i="1" s="1"/>
  <c r="H132" i="1"/>
  <c r="I132" i="1" s="1"/>
  <c r="G119" i="1"/>
  <c r="H119" i="1" s="1"/>
  <c r="I119" i="1" s="1"/>
  <c r="F62" i="1"/>
  <c r="F130" i="1"/>
  <c r="G62" i="1"/>
  <c r="G118" i="1"/>
  <c r="H118" i="1" s="1"/>
  <c r="I118" i="1" s="1"/>
  <c r="F108" i="1"/>
  <c r="G192" i="1"/>
  <c r="F92" i="1"/>
  <c r="H122" i="1"/>
  <c r="I122" i="1" s="1"/>
  <c r="H127" i="1"/>
  <c r="I127" i="1" s="1"/>
  <c r="G131" i="1"/>
  <c r="H188" i="1"/>
  <c r="I188" i="1" s="1"/>
  <c r="G157" i="1"/>
  <c r="G133" i="1"/>
  <c r="H133" i="1" s="1"/>
  <c r="I133" i="1" s="1"/>
  <c r="F51" i="1"/>
  <c r="F152" i="1"/>
  <c r="H152" i="1" s="1"/>
  <c r="I152" i="1" s="1"/>
  <c r="H185" i="1"/>
  <c r="I185" i="1" s="1"/>
  <c r="H171" i="1"/>
  <c r="I171" i="1" s="1"/>
  <c r="G154" i="1"/>
  <c r="F64" i="1"/>
  <c r="G130" i="1"/>
  <c r="G191" i="1"/>
  <c r="G150" i="1"/>
  <c r="F154" i="1"/>
  <c r="F150" i="1"/>
  <c r="G196" i="1"/>
  <c r="F191" i="1"/>
  <c r="G151" i="1"/>
  <c r="G121" i="1"/>
  <c r="H121" i="1" s="1"/>
  <c r="I121" i="1" s="1"/>
  <c r="G169" i="1"/>
  <c r="H169" i="1" s="1"/>
  <c r="I169" i="1" s="1"/>
  <c r="F187" i="1"/>
  <c r="H175" i="1"/>
  <c r="I175" i="1" s="1"/>
  <c r="G91" i="1"/>
  <c r="F102" i="1"/>
  <c r="F45" i="1"/>
  <c r="H174" i="1"/>
  <c r="I174" i="1" s="1"/>
  <c r="H170" i="1"/>
  <c r="I170" i="1" s="1"/>
  <c r="F77" i="1"/>
  <c r="G77" i="1"/>
  <c r="F196" i="1"/>
  <c r="F91" i="1"/>
  <c r="F75" i="1"/>
  <c r="F138" i="1"/>
  <c r="H138" i="1" s="1"/>
  <c r="I138" i="1" s="1"/>
  <c r="F115" i="1"/>
  <c r="F195" i="1"/>
  <c r="F194" i="1"/>
  <c r="F66" i="1"/>
  <c r="G115" i="1"/>
  <c r="G195" i="1"/>
  <c r="G187" i="1"/>
  <c r="F110" i="1"/>
  <c r="G102" i="1"/>
  <c r="G194" i="1"/>
  <c r="H189" i="1"/>
  <c r="I189" i="1" s="1"/>
  <c r="F52" i="1"/>
  <c r="F192" i="1"/>
  <c r="F56" i="1"/>
  <c r="H184" i="1"/>
  <c r="I184" i="1" s="1"/>
  <c r="F151" i="1"/>
  <c r="H162" i="1"/>
  <c r="I162" i="1" s="1"/>
  <c r="F20" i="1"/>
  <c r="F88" i="1"/>
  <c r="F82" i="1"/>
  <c r="F116" i="1"/>
  <c r="F24" i="1"/>
  <c r="F15" i="1"/>
  <c r="F70" i="1"/>
  <c r="F22" i="1"/>
  <c r="H153" i="1"/>
  <c r="I153" i="1" s="1"/>
  <c r="F84" i="1"/>
  <c r="F28" i="1"/>
  <c r="F107" i="1"/>
  <c r="F114" i="1"/>
  <c r="F106" i="1"/>
  <c r="F74" i="1"/>
  <c r="F58" i="1"/>
  <c r="G22" i="1"/>
  <c r="G178" i="1"/>
  <c r="F95" i="1"/>
  <c r="G54" i="1"/>
  <c r="F117" i="1"/>
  <c r="F89" i="1"/>
  <c r="F97" i="1"/>
  <c r="F73" i="1"/>
  <c r="F69" i="1"/>
  <c r="G107" i="1"/>
  <c r="F25" i="1"/>
  <c r="G117" i="1"/>
  <c r="F81" i="1"/>
  <c r="F101" i="1"/>
  <c r="G166" i="1"/>
  <c r="F87" i="1"/>
  <c r="F83" i="1"/>
  <c r="H83" i="1" s="1"/>
  <c r="I83" i="1" s="1"/>
  <c r="G146" i="1"/>
  <c r="G145" i="1"/>
  <c r="G124" i="1"/>
  <c r="G156" i="1"/>
  <c r="G60" i="1"/>
  <c r="F155" i="1"/>
  <c r="G84" i="1"/>
  <c r="G182" i="1"/>
  <c r="G50" i="1"/>
  <c r="G141" i="1"/>
  <c r="F99" i="1"/>
  <c r="F141" i="1"/>
  <c r="F47" i="1"/>
  <c r="H47" i="1" s="1"/>
  <c r="I47" i="1" s="1"/>
  <c r="G123" i="1"/>
  <c r="G148" i="1"/>
  <c r="G165" i="1"/>
  <c r="G177" i="1"/>
  <c r="G69" i="1"/>
  <c r="F177" i="1"/>
  <c r="F145" i="1"/>
  <c r="G31" i="1"/>
  <c r="G158" i="1"/>
  <c r="G135" i="1"/>
  <c r="F180" i="1"/>
  <c r="F124" i="1"/>
  <c r="G142" i="1"/>
  <c r="G136" i="1"/>
  <c r="G173" i="1"/>
  <c r="F173" i="1"/>
  <c r="F33" i="1"/>
  <c r="F17" i="1"/>
  <c r="G147" i="1"/>
  <c r="G155" i="1"/>
  <c r="F156" i="1"/>
  <c r="F148" i="1"/>
  <c r="F135" i="1"/>
  <c r="G180" i="1"/>
  <c r="G113" i="1"/>
  <c r="G129" i="1"/>
  <c r="G168" i="1"/>
  <c r="F182" i="1"/>
  <c r="F147" i="1"/>
  <c r="F123" i="1"/>
  <c r="F16" i="1"/>
  <c r="G167" i="1"/>
  <c r="F71" i="1"/>
  <c r="F164" i="1"/>
  <c r="F43" i="1"/>
  <c r="F39" i="1"/>
  <c r="F35" i="1"/>
  <c r="F31" i="1"/>
  <c r="F27" i="1"/>
  <c r="F23" i="1"/>
  <c r="F19" i="1"/>
  <c r="H19" i="1" s="1"/>
  <c r="I19" i="1" s="1"/>
  <c r="F168" i="1"/>
  <c r="F146" i="1"/>
  <c r="F100" i="1"/>
  <c r="G126" i="1"/>
  <c r="G32" i="1"/>
  <c r="F59" i="1"/>
  <c r="F136" i="1"/>
  <c r="F166" i="1"/>
  <c r="G149" i="1"/>
  <c r="F161" i="1"/>
  <c r="H161" i="1" s="1"/>
  <c r="I161" i="1" s="1"/>
  <c r="G97" i="1"/>
  <c r="G160" i="1"/>
  <c r="G128" i="1"/>
  <c r="F128" i="1"/>
  <c r="F54" i="1"/>
  <c r="F50" i="1"/>
  <c r="F46" i="1"/>
  <c r="H46" i="1" s="1"/>
  <c r="I46" i="1" s="1"/>
  <c r="F42" i="1"/>
  <c r="F38" i="1"/>
  <c r="G49" i="1"/>
  <c r="G16" i="1"/>
  <c r="F165" i="1"/>
  <c r="F142" i="1"/>
  <c r="F131" i="1"/>
  <c r="G88" i="1"/>
  <c r="G70" i="1"/>
  <c r="F98" i="1"/>
  <c r="F86" i="1"/>
  <c r="G183" i="1"/>
  <c r="F129" i="1"/>
  <c r="F159" i="1"/>
  <c r="H159" i="1" s="1"/>
  <c r="I159" i="1" s="1"/>
  <c r="F149" i="1"/>
  <c r="G39" i="1"/>
  <c r="F49" i="1"/>
  <c r="F41" i="1"/>
  <c r="F21" i="1"/>
  <c r="F13" i="1"/>
  <c r="F183" i="1"/>
  <c r="F113" i="1"/>
  <c r="F179" i="1"/>
  <c r="H179" i="1" s="1"/>
  <c r="I179" i="1" s="1"/>
  <c r="F93" i="1"/>
  <c r="F126" i="1"/>
  <c r="F85" i="1"/>
  <c r="F163" i="1"/>
  <c r="H163" i="1" s="1"/>
  <c r="I163" i="1" s="1"/>
  <c r="G96" i="1"/>
  <c r="G120" i="1"/>
  <c r="F32" i="1"/>
  <c r="F12" i="1"/>
  <c r="F8" i="1"/>
  <c r="F158" i="1"/>
  <c r="H134" i="1"/>
  <c r="I134" i="1" s="1"/>
  <c r="G98" i="1"/>
  <c r="G71" i="1"/>
  <c r="F178" i="1"/>
  <c r="F96" i="1"/>
  <c r="F120" i="1"/>
  <c r="F167" i="1"/>
  <c r="F68" i="1"/>
  <c r="F160" i="1"/>
  <c r="F60" i="1"/>
  <c r="F137" i="1"/>
  <c r="H137" i="1" s="1"/>
  <c r="I137" i="1" s="1"/>
  <c r="G164" i="1"/>
  <c r="F143" i="1"/>
  <c r="H143" i="1" s="1"/>
  <c r="I143" i="1" s="1"/>
  <c r="F181" i="1"/>
  <c r="G181" i="1"/>
  <c r="G40" i="1"/>
  <c r="H40" i="1" s="1"/>
  <c r="I40" i="1" s="1"/>
  <c r="H67" i="1"/>
  <c r="I67" i="1" s="1"/>
  <c r="H65" i="1"/>
  <c r="I65" i="1" s="1"/>
  <c r="F90" i="1"/>
  <c r="F105" i="1"/>
  <c r="G80" i="1"/>
  <c r="H80" i="1" s="1"/>
  <c r="I80" i="1" s="1"/>
  <c r="H57" i="1"/>
  <c r="I57" i="1" s="1"/>
  <c r="G45" i="1"/>
  <c r="F94" i="1"/>
  <c r="F112" i="1"/>
  <c r="F104" i="1"/>
  <c r="F9" i="1"/>
  <c r="F103" i="1"/>
  <c r="F34" i="1"/>
  <c r="H34" i="1" s="1"/>
  <c r="I34" i="1" s="1"/>
  <c r="F111" i="1"/>
  <c r="H11" i="1"/>
  <c r="I11" i="1" s="1"/>
  <c r="G43" i="1"/>
  <c r="H55" i="1"/>
  <c r="I55" i="1" s="1"/>
  <c r="F44" i="1"/>
  <c r="F63" i="1"/>
  <c r="F72" i="1"/>
  <c r="G75" i="1"/>
  <c r="G15" i="1"/>
  <c r="G53" i="1"/>
  <c r="H53" i="1" s="1"/>
  <c r="I53" i="1" s="1"/>
  <c r="G109" i="1"/>
  <c r="H109" i="1" s="1"/>
  <c r="I109" i="1" s="1"/>
  <c r="G8" i="1"/>
  <c r="G85" i="1"/>
  <c r="G116" i="1"/>
  <c r="G59" i="1"/>
  <c r="G66" i="1"/>
  <c r="G23" i="1"/>
  <c r="G79" i="1"/>
  <c r="H79" i="1" s="1"/>
  <c r="I79" i="1" s="1"/>
  <c r="G68" i="1"/>
  <c r="G30" i="1"/>
  <c r="H30" i="1" s="1"/>
  <c r="I30" i="1" s="1"/>
  <c r="G104" i="1"/>
  <c r="G51" i="1"/>
  <c r="G28" i="1"/>
  <c r="G72" i="1"/>
  <c r="F61" i="1"/>
  <c r="F26" i="1"/>
  <c r="F36" i="1"/>
  <c r="F48" i="1"/>
  <c r="G64" i="1"/>
  <c r="G42" i="1"/>
  <c r="G38" i="1"/>
  <c r="G18" i="1"/>
  <c r="H18" i="1" s="1"/>
  <c r="I18" i="1" s="1"/>
  <c r="F29" i="1"/>
  <c r="G87" i="1"/>
  <c r="G56" i="1"/>
  <c r="G33" i="1"/>
  <c r="G106" i="1"/>
  <c r="G12" i="1"/>
  <c r="G73" i="1"/>
  <c r="G99" i="1"/>
  <c r="G103" i="1"/>
  <c r="G13" i="1"/>
  <c r="G82" i="1"/>
  <c r="G14" i="1"/>
  <c r="H14" i="1" s="1"/>
  <c r="I14" i="1" s="1"/>
  <c r="G44" i="1"/>
  <c r="G92" i="1"/>
  <c r="G112" i="1"/>
  <c r="G93" i="1"/>
  <c r="G58" i="1"/>
  <c r="G26" i="1"/>
  <c r="G86" i="1"/>
  <c r="G9" i="1"/>
  <c r="G29" i="1"/>
  <c r="G78" i="1"/>
  <c r="H78" i="1" s="1"/>
  <c r="I78" i="1" s="1"/>
  <c r="G37" i="1"/>
  <c r="H37" i="1" s="1"/>
  <c r="I37" i="1" s="1"/>
  <c r="G63" i="1"/>
  <c r="G25" i="1"/>
  <c r="G105" i="1"/>
  <c r="G52" i="1"/>
  <c r="G41" i="1"/>
  <c r="G36" i="1"/>
  <c r="G100" i="1"/>
  <c r="G95" i="1"/>
  <c r="G74" i="1"/>
  <c r="G10" i="1"/>
  <c r="H10" i="1" s="1"/>
  <c r="I10" i="1" s="1"/>
  <c r="G101" i="1"/>
  <c r="G24" i="1"/>
  <c r="G48" i="1"/>
  <c r="G17" i="1"/>
  <c r="G111" i="1"/>
  <c r="G27" i="1"/>
  <c r="G110" i="1"/>
  <c r="G108" i="1"/>
  <c r="G35" i="1"/>
  <c r="G89" i="1"/>
  <c r="G94" i="1"/>
  <c r="G21" i="1"/>
  <c r="G114" i="1"/>
  <c r="G76" i="1"/>
  <c r="H76" i="1" s="1"/>
  <c r="I76" i="1" s="1"/>
  <c r="G81" i="1"/>
  <c r="G61" i="1"/>
  <c r="G90" i="1"/>
  <c r="G20" i="1"/>
  <c r="F7" i="1"/>
  <c r="H64" i="1" l="1"/>
  <c r="I64" i="1" s="1"/>
  <c r="H62" i="1"/>
  <c r="I62" i="1" s="1"/>
  <c r="H45" i="1"/>
  <c r="I45" i="1" s="1"/>
  <c r="H110" i="1"/>
  <c r="I110" i="1" s="1"/>
  <c r="H157" i="1"/>
  <c r="I157" i="1" s="1"/>
  <c r="H108" i="1"/>
  <c r="I108" i="1" s="1"/>
  <c r="H192" i="1"/>
  <c r="I192" i="1" s="1"/>
  <c r="H115" i="1"/>
  <c r="I115" i="1" s="1"/>
  <c r="H191" i="1"/>
  <c r="I191" i="1" s="1"/>
  <c r="H150" i="1"/>
  <c r="I150" i="1" s="1"/>
  <c r="H66" i="1"/>
  <c r="I66" i="1" s="1"/>
  <c r="H51" i="1"/>
  <c r="I51" i="1" s="1"/>
  <c r="H56" i="1"/>
  <c r="I56" i="1" s="1"/>
  <c r="H92" i="1"/>
  <c r="I92" i="1" s="1"/>
  <c r="H75" i="1"/>
  <c r="I75" i="1" s="1"/>
  <c r="H131" i="1"/>
  <c r="I131" i="1" s="1"/>
  <c r="H130" i="1"/>
  <c r="I130" i="1" s="1"/>
  <c r="H151" i="1"/>
  <c r="I151" i="1" s="1"/>
  <c r="H154" i="1"/>
  <c r="I154" i="1" s="1"/>
  <c r="H77" i="1"/>
  <c r="I77" i="1" s="1"/>
  <c r="H89" i="1"/>
  <c r="I89" i="1" s="1"/>
  <c r="H52" i="1"/>
  <c r="I52" i="1" s="1"/>
  <c r="H102" i="1"/>
  <c r="I102" i="1" s="1"/>
  <c r="H187" i="1"/>
  <c r="I187" i="1" s="1"/>
  <c r="H91" i="1"/>
  <c r="I91" i="1" s="1"/>
  <c r="H196" i="1"/>
  <c r="I196" i="1" s="1"/>
  <c r="H194" i="1"/>
  <c r="I194" i="1" s="1"/>
  <c r="H195" i="1"/>
  <c r="I195" i="1" s="1"/>
  <c r="H20" i="1"/>
  <c r="I20" i="1" s="1"/>
  <c r="H24" i="1"/>
  <c r="I24" i="1" s="1"/>
  <c r="H100" i="1"/>
  <c r="I100" i="1" s="1"/>
  <c r="H95" i="1"/>
  <c r="I95" i="1" s="1"/>
  <c r="H114" i="1"/>
  <c r="I114" i="1" s="1"/>
  <c r="H84" i="1"/>
  <c r="I84" i="1" s="1"/>
  <c r="H27" i="1"/>
  <c r="I27" i="1" s="1"/>
  <c r="H88" i="1"/>
  <c r="I88" i="1" s="1"/>
  <c r="H116" i="1"/>
  <c r="I116" i="1" s="1"/>
  <c r="H113" i="1"/>
  <c r="I113" i="1" s="1"/>
  <c r="H42" i="1"/>
  <c r="I42" i="1" s="1"/>
  <c r="H142" i="1"/>
  <c r="I142" i="1" s="1"/>
  <c r="H15" i="1"/>
  <c r="I15" i="1" s="1"/>
  <c r="H69" i="1"/>
  <c r="I69" i="1" s="1"/>
  <c r="H41" i="1"/>
  <c r="I41" i="1" s="1"/>
  <c r="H93" i="1"/>
  <c r="I93" i="1" s="1"/>
  <c r="H50" i="1"/>
  <c r="I50" i="1" s="1"/>
  <c r="H87" i="1"/>
  <c r="I87" i="1" s="1"/>
  <c r="H82" i="1"/>
  <c r="I82" i="1" s="1"/>
  <c r="H17" i="1"/>
  <c r="I17" i="1" s="1"/>
  <c r="H38" i="1"/>
  <c r="I38" i="1" s="1"/>
  <c r="H39" i="1"/>
  <c r="I39" i="1" s="1"/>
  <c r="H107" i="1"/>
  <c r="I107" i="1" s="1"/>
  <c r="H25" i="1"/>
  <c r="I25" i="1" s="1"/>
  <c r="H101" i="1"/>
  <c r="I101" i="1" s="1"/>
  <c r="H28" i="1"/>
  <c r="I28" i="1" s="1"/>
  <c r="H58" i="1"/>
  <c r="I58" i="1" s="1"/>
  <c r="H70" i="1"/>
  <c r="I70" i="1" s="1"/>
  <c r="H168" i="1"/>
  <c r="I168" i="1" s="1"/>
  <c r="H73" i="1"/>
  <c r="I73" i="1" s="1"/>
  <c r="H141" i="1"/>
  <c r="I141" i="1" s="1"/>
  <c r="H117" i="1"/>
  <c r="I117" i="1" s="1"/>
  <c r="H129" i="1"/>
  <c r="I129" i="1" s="1"/>
  <c r="H33" i="1"/>
  <c r="I33" i="1" s="1"/>
  <c r="H22" i="1"/>
  <c r="I22" i="1" s="1"/>
  <c r="H49" i="1"/>
  <c r="I49" i="1" s="1"/>
  <c r="H126" i="1"/>
  <c r="I126" i="1" s="1"/>
  <c r="H74" i="1"/>
  <c r="I74" i="1" s="1"/>
  <c r="H21" i="1"/>
  <c r="I21" i="1" s="1"/>
  <c r="H85" i="1"/>
  <c r="I85" i="1" s="1"/>
  <c r="H136" i="1"/>
  <c r="I136" i="1" s="1"/>
  <c r="H16" i="1"/>
  <c r="I16" i="1" s="1"/>
  <c r="H99" i="1"/>
  <c r="I99" i="1" s="1"/>
  <c r="H106" i="1"/>
  <c r="I106" i="1" s="1"/>
  <c r="H81" i="1"/>
  <c r="I81" i="1" s="1"/>
  <c r="H86" i="1"/>
  <c r="I86" i="1" s="1"/>
  <c r="H68" i="1"/>
  <c r="I68" i="1" s="1"/>
  <c r="H54" i="1"/>
  <c r="I54" i="1" s="1"/>
  <c r="H43" i="1"/>
  <c r="I43" i="1" s="1"/>
  <c r="H135" i="1"/>
  <c r="I135" i="1" s="1"/>
  <c r="H160" i="1"/>
  <c r="I160" i="1" s="1"/>
  <c r="H178" i="1"/>
  <c r="I178" i="1" s="1"/>
  <c r="H71" i="1"/>
  <c r="I71" i="1" s="1"/>
  <c r="H35" i="1"/>
  <c r="I35" i="1" s="1"/>
  <c r="H98" i="1"/>
  <c r="I98" i="1" s="1"/>
  <c r="H12" i="1"/>
  <c r="I12" i="1" s="1"/>
  <c r="H146" i="1"/>
  <c r="I146" i="1" s="1"/>
  <c r="H173" i="1"/>
  <c r="I173" i="1" s="1"/>
  <c r="H155" i="1"/>
  <c r="I155" i="1" s="1"/>
  <c r="H97" i="1"/>
  <c r="I97" i="1" s="1"/>
  <c r="H31" i="1"/>
  <c r="I31" i="1" s="1"/>
  <c r="H23" i="1"/>
  <c r="I23" i="1" s="1"/>
  <c r="H59" i="1"/>
  <c r="I59" i="1" s="1"/>
  <c r="H158" i="1"/>
  <c r="I158" i="1" s="1"/>
  <c r="H167" i="1"/>
  <c r="I167" i="1" s="1"/>
  <c r="H166" i="1"/>
  <c r="I166" i="1" s="1"/>
  <c r="H13" i="1"/>
  <c r="I13" i="1" s="1"/>
  <c r="H149" i="1"/>
  <c r="I149" i="1" s="1"/>
  <c r="H96" i="1"/>
  <c r="I96" i="1" s="1"/>
  <c r="H164" i="1"/>
  <c r="I164" i="1" s="1"/>
  <c r="H165" i="1"/>
  <c r="I165" i="1" s="1"/>
  <c r="H180" i="1"/>
  <c r="I180" i="1" s="1"/>
  <c r="H32" i="1"/>
  <c r="I32" i="1" s="1"/>
  <c r="H147" i="1"/>
  <c r="I147" i="1" s="1"/>
  <c r="H8" i="1"/>
  <c r="I8" i="1" s="1"/>
  <c r="H60" i="1"/>
  <c r="I60" i="1" s="1"/>
  <c r="H128" i="1"/>
  <c r="I128" i="1" s="1"/>
  <c r="H182" i="1"/>
  <c r="I182" i="1" s="1"/>
  <c r="H148" i="1"/>
  <c r="I148" i="1" s="1"/>
  <c r="H123" i="1"/>
  <c r="I123" i="1" s="1"/>
  <c r="H156" i="1"/>
  <c r="I156" i="1" s="1"/>
  <c r="H181" i="1"/>
  <c r="I181" i="1" s="1"/>
  <c r="H120" i="1"/>
  <c r="I120" i="1" s="1"/>
  <c r="H124" i="1"/>
  <c r="I124" i="1" s="1"/>
  <c r="H145" i="1"/>
  <c r="I145" i="1" s="1"/>
  <c r="H177" i="1"/>
  <c r="I177" i="1" s="1"/>
  <c r="H183" i="1"/>
  <c r="I183" i="1" s="1"/>
  <c r="H105" i="1"/>
  <c r="I105" i="1" s="1"/>
  <c r="H90" i="1"/>
  <c r="I90" i="1" s="1"/>
  <c r="H112" i="1"/>
  <c r="I112" i="1" s="1"/>
  <c r="H94" i="1"/>
  <c r="I94" i="1" s="1"/>
  <c r="H111" i="1"/>
  <c r="I111" i="1" s="1"/>
  <c r="H104" i="1"/>
  <c r="I104" i="1" s="1"/>
  <c r="H103" i="1"/>
  <c r="I103" i="1" s="1"/>
  <c r="H9" i="1"/>
  <c r="I9" i="1" s="1"/>
  <c r="H26" i="1"/>
  <c r="I26" i="1" s="1"/>
  <c r="H48" i="1"/>
  <c r="I48" i="1" s="1"/>
  <c r="H44" i="1"/>
  <c r="I44" i="1" s="1"/>
  <c r="H72" i="1"/>
  <c r="I72" i="1" s="1"/>
  <c r="H29" i="1"/>
  <c r="I29" i="1" s="1"/>
  <c r="H61" i="1"/>
  <c r="I61" i="1" s="1"/>
  <c r="H36" i="1"/>
  <c r="I36" i="1" s="1"/>
  <c r="H63" i="1"/>
  <c r="I63" i="1" s="1"/>
  <c r="G7" i="1"/>
  <c r="H7" i="1" s="1"/>
  <c r="I7" i="1" s="1"/>
</calcChain>
</file>

<file path=xl/sharedStrings.xml><?xml version="1.0" encoding="utf-8"?>
<sst xmlns="http://schemas.openxmlformats.org/spreadsheetml/2006/main" count="8399" uniqueCount="1457">
  <si>
    <t>Data Inicial</t>
  </si>
  <si>
    <t>Data Final</t>
  </si>
  <si>
    <t>SKU</t>
  </si>
  <si>
    <t>Nome</t>
  </si>
  <si>
    <t>Estoque Inicial</t>
  </si>
  <si>
    <t>Entrada</t>
  </si>
  <si>
    <t>Saída</t>
  </si>
  <si>
    <t>Estoque Final</t>
  </si>
  <si>
    <t>Valor</t>
  </si>
  <si>
    <t>Insumo</t>
  </si>
  <si>
    <t>Nível</t>
  </si>
  <si>
    <t>Classificação</t>
  </si>
  <si>
    <t>10010088</t>
  </si>
  <si>
    <t>CAIXA</t>
  </si>
  <si>
    <t>ALTO</t>
  </si>
  <si>
    <t>Alto: acima de 600 unidades (aprox.)</t>
  </si>
  <si>
    <t>10020088</t>
  </si>
  <si>
    <t>CARD</t>
  </si>
  <si>
    <t>Médio: de 300 a 600 uni (aprox.)</t>
  </si>
  <si>
    <t>10030088</t>
  </si>
  <si>
    <t>ESSENCIA DE CAIXA</t>
  </si>
  <si>
    <t>Baixo: até 300 unidades (aprox.)</t>
  </si>
  <si>
    <t>20010088</t>
  </si>
  <si>
    <t>SAQUINHO</t>
  </si>
  <si>
    <t>20020088</t>
  </si>
  <si>
    <t>20030088</t>
  </si>
  <si>
    <t>20040088</t>
  </si>
  <si>
    <t>20050088</t>
  </si>
  <si>
    <t>20060088</t>
  </si>
  <si>
    <t>20070088</t>
  </si>
  <si>
    <t>20080088</t>
  </si>
  <si>
    <t>20090088</t>
  </si>
  <si>
    <t>20100088</t>
  </si>
  <si>
    <t>20110088</t>
  </si>
  <si>
    <t>20120088</t>
  </si>
  <si>
    <t>20130088</t>
  </si>
  <si>
    <t>20140099</t>
  </si>
  <si>
    <t>20150088</t>
  </si>
  <si>
    <t>20160088</t>
  </si>
  <si>
    <t>20170088</t>
  </si>
  <si>
    <t>20180088</t>
  </si>
  <si>
    <t>20190088</t>
  </si>
  <si>
    <t>20200088</t>
  </si>
  <si>
    <t>20210088</t>
  </si>
  <si>
    <t>20220088</t>
  </si>
  <si>
    <t>20230088</t>
  </si>
  <si>
    <t>20240088</t>
  </si>
  <si>
    <t>20250088</t>
  </si>
  <si>
    <t>20260088</t>
  </si>
  <si>
    <t>20270088</t>
  </si>
  <si>
    <t>20280088</t>
  </si>
  <si>
    <t>20290088</t>
  </si>
  <si>
    <t>20300088</t>
  </si>
  <si>
    <t>20310088</t>
  </si>
  <si>
    <t>20320088</t>
  </si>
  <si>
    <t>20330099</t>
  </si>
  <si>
    <t>20340088</t>
  </si>
  <si>
    <t>20350099</t>
  </si>
  <si>
    <t>20360099</t>
  </si>
  <si>
    <t>20370088</t>
  </si>
  <si>
    <t>20380099</t>
  </si>
  <si>
    <t>20390088</t>
  </si>
  <si>
    <t>20400088</t>
  </si>
  <si>
    <t>20410088</t>
  </si>
  <si>
    <t>20420099</t>
  </si>
  <si>
    <t>20430088</t>
  </si>
  <si>
    <t>20440088</t>
  </si>
  <si>
    <t>20450088</t>
  </si>
  <si>
    <t>20460088</t>
  </si>
  <si>
    <t>20470088</t>
  </si>
  <si>
    <t>20480088</t>
  </si>
  <si>
    <t>20490088</t>
  </si>
  <si>
    <t>20500088</t>
  </si>
  <si>
    <t>20510099</t>
  </si>
  <si>
    <t>20520088</t>
  </si>
  <si>
    <t>20530088</t>
  </si>
  <si>
    <t>20540088</t>
  </si>
  <si>
    <t>20550088</t>
  </si>
  <si>
    <t>20560099</t>
  </si>
  <si>
    <t>20570088</t>
  </si>
  <si>
    <t>20580088</t>
  </si>
  <si>
    <t>20590099</t>
  </si>
  <si>
    <t>20600088</t>
  </si>
  <si>
    <t>20610088</t>
  </si>
  <si>
    <t>20620099</t>
  </si>
  <si>
    <t>20630088</t>
  </si>
  <si>
    <t>20640088</t>
  </si>
  <si>
    <t>20650088</t>
  </si>
  <si>
    <t>20660099</t>
  </si>
  <si>
    <t>30010088</t>
  </si>
  <si>
    <t>30020099</t>
  </si>
  <si>
    <t>30030088</t>
  </si>
  <si>
    <t>30040088</t>
  </si>
  <si>
    <t>30050099</t>
  </si>
  <si>
    <t>30060088</t>
  </si>
  <si>
    <t>30070099</t>
  </si>
  <si>
    <t>30080088</t>
  </si>
  <si>
    <t>30090099</t>
  </si>
  <si>
    <t>30100088</t>
  </si>
  <si>
    <t>30110088</t>
  </si>
  <si>
    <t>30120088</t>
  </si>
  <si>
    <t>30130088</t>
  </si>
  <si>
    <t>30140088</t>
  </si>
  <si>
    <t>30160088</t>
  </si>
  <si>
    <t>30170099</t>
  </si>
  <si>
    <t>30180088</t>
  </si>
  <si>
    <t>30190088</t>
  </si>
  <si>
    <t>30200088</t>
  </si>
  <si>
    <t>30210088</t>
  </si>
  <si>
    <t>30220088</t>
  </si>
  <si>
    <t>30230088</t>
  </si>
  <si>
    <t>30240099</t>
  </si>
  <si>
    <t>30250088</t>
  </si>
  <si>
    <t>30260099</t>
  </si>
  <si>
    <t>30270088</t>
  </si>
  <si>
    <t>30280099</t>
  </si>
  <si>
    <t>30290088</t>
  </si>
  <si>
    <t>30300088</t>
  </si>
  <si>
    <t>30310099</t>
  </si>
  <si>
    <t>40010088</t>
  </si>
  <si>
    <t>40020088</t>
  </si>
  <si>
    <t>40030088</t>
  </si>
  <si>
    <t>40040088</t>
  </si>
  <si>
    <t>40050088</t>
  </si>
  <si>
    <t>40060088</t>
  </si>
  <si>
    <t>40070088</t>
  </si>
  <si>
    <t>40080099</t>
  </si>
  <si>
    <t>40090088</t>
  </si>
  <si>
    <t>40100099</t>
  </si>
  <si>
    <t>40110088</t>
  </si>
  <si>
    <t>40120099</t>
  </si>
  <si>
    <t>30320088</t>
  </si>
  <si>
    <t>30330088</t>
  </si>
  <si>
    <t>Cubagem</t>
  </si>
  <si>
    <t>Cliente</t>
  </si>
  <si>
    <t>Log</t>
  </si>
  <si>
    <t>Tipo</t>
  </si>
  <si>
    <t>Data</t>
  </si>
  <si>
    <t>Quantidade</t>
  </si>
  <si>
    <t>Ajuste</t>
  </si>
  <si>
    <t>Observação</t>
  </si>
  <si>
    <t>Andar</t>
  </si>
  <si>
    <t>Zona</t>
  </si>
  <si>
    <t>Bloco</t>
  </si>
  <si>
    <t>Pavimento</t>
  </si>
  <si>
    <t>Posição</t>
  </si>
  <si>
    <t>Largura</t>
  </si>
  <si>
    <t>Profundidade</t>
  </si>
  <si>
    <t>Altura</t>
  </si>
  <si>
    <t>Volume</t>
  </si>
  <si>
    <t>cod. caixa</t>
  </si>
  <si>
    <t>L</t>
  </si>
  <si>
    <t>P</t>
  </si>
  <si>
    <t>A</t>
  </si>
  <si>
    <t>preço</t>
  </si>
  <si>
    <t>#NF</t>
  </si>
  <si>
    <t>Recebemos 17 unidades e não 16 conforme NF</t>
  </si>
  <si>
    <t>Recebemos 30 unidades e não 29 conforme NF</t>
  </si>
  <si>
    <t>3051</t>
  </si>
  <si>
    <t>3054</t>
  </si>
  <si>
    <t>3052</t>
  </si>
  <si>
    <t>3053</t>
  </si>
  <si>
    <t>3056</t>
  </si>
  <si>
    <t>3055</t>
  </si>
  <si>
    <t>3057</t>
  </si>
  <si>
    <t>3058</t>
  </si>
  <si>
    <t>003061</t>
  </si>
  <si>
    <t>003060</t>
  </si>
  <si>
    <t>003069</t>
  </si>
  <si>
    <t>003067</t>
  </si>
  <si>
    <t>003070</t>
  </si>
  <si>
    <t>003068</t>
  </si>
  <si>
    <t>003066</t>
  </si>
  <si>
    <t>003071</t>
  </si>
  <si>
    <t>003072</t>
  </si>
  <si>
    <t>003073</t>
  </si>
  <si>
    <t>003087</t>
  </si>
  <si>
    <t>003079</t>
  </si>
  <si>
    <t>003077</t>
  </si>
  <si>
    <t>003081</t>
  </si>
  <si>
    <t>003086</t>
  </si>
  <si>
    <t>003085</t>
  </si>
  <si>
    <t>003084</t>
  </si>
  <si>
    <t>003083</t>
  </si>
  <si>
    <t>003080</t>
  </si>
  <si>
    <t>003076</t>
  </si>
  <si>
    <t>003082</t>
  </si>
  <si>
    <t>003078</t>
  </si>
  <si>
    <t>003075</t>
  </si>
  <si>
    <t>003091</t>
  </si>
  <si>
    <t>003089</t>
  </si>
  <si>
    <t>003088</t>
  </si>
  <si>
    <t>003092</t>
  </si>
  <si>
    <t>003090</t>
  </si>
  <si>
    <t>003093</t>
  </si>
  <si>
    <t>Devolução NF 3057</t>
  </si>
  <si>
    <t>003095</t>
  </si>
  <si>
    <t>003096</t>
  </si>
  <si>
    <t>003094</t>
  </si>
  <si>
    <t>003097</t>
  </si>
  <si>
    <t>003102</t>
  </si>
  <si>
    <t>003100</t>
  </si>
  <si>
    <t>003099</t>
  </si>
  <si>
    <t>003098</t>
  </si>
  <si>
    <t>003101</t>
  </si>
  <si>
    <t>003114</t>
  </si>
  <si>
    <t>003113</t>
  </si>
  <si>
    <t>003112</t>
  </si>
  <si>
    <t>003104</t>
  </si>
  <si>
    <t>003111</t>
  </si>
  <si>
    <t>003110</t>
  </si>
  <si>
    <t>003108</t>
  </si>
  <si>
    <t>003107</t>
  </si>
  <si>
    <t>003106</t>
  </si>
  <si>
    <t>003105</t>
  </si>
  <si>
    <t>003103</t>
  </si>
  <si>
    <t>003115</t>
  </si>
  <si>
    <t>003109</t>
  </si>
  <si>
    <t>003116</t>
  </si>
  <si>
    <t>003120</t>
  </si>
  <si>
    <t>003119</t>
  </si>
  <si>
    <t>003118</t>
  </si>
  <si>
    <t>003117</t>
  </si>
  <si>
    <t>003125</t>
  </si>
  <si>
    <t>003122</t>
  </si>
  <si>
    <t>003121</t>
  </si>
  <si>
    <t>003124</t>
  </si>
  <si>
    <t>003123</t>
  </si>
  <si>
    <t>003126</t>
  </si>
  <si>
    <t>003127</t>
  </si>
  <si>
    <t>003128</t>
  </si>
  <si>
    <t>003133</t>
  </si>
  <si>
    <t>003130</t>
  </si>
  <si>
    <t>003132</t>
  </si>
  <si>
    <t>003131</t>
  </si>
  <si>
    <t>003129</t>
  </si>
  <si>
    <t>003144</t>
  </si>
  <si>
    <t>003135</t>
  </si>
  <si>
    <t>003143</t>
  </si>
  <si>
    <t>003142</t>
  </si>
  <si>
    <t>003138</t>
  </si>
  <si>
    <t>003141</t>
  </si>
  <si>
    <t>003140</t>
  </si>
  <si>
    <t>003139</t>
  </si>
  <si>
    <t>003137</t>
  </si>
  <si>
    <t>003136</t>
  </si>
  <si>
    <t>003134</t>
  </si>
  <si>
    <t>003152</t>
  </si>
  <si>
    <t>003151</t>
  </si>
  <si>
    <t>003145</t>
  </si>
  <si>
    <t>003150</t>
  </si>
  <si>
    <t>003149</t>
  </si>
  <si>
    <t>003148</t>
  </si>
  <si>
    <t>003147</t>
  </si>
  <si>
    <t>003146</t>
  </si>
  <si>
    <t>003153</t>
  </si>
  <si>
    <t>003157</t>
  </si>
  <si>
    <t>003156</t>
  </si>
  <si>
    <t>003155</t>
  </si>
  <si>
    <t>003154</t>
  </si>
  <si>
    <t>Devolução NF 3094</t>
  </si>
  <si>
    <t>Devolução NF 3095</t>
  </si>
  <si>
    <t>Devolução NF 3101</t>
  </si>
  <si>
    <t>003160</t>
  </si>
  <si>
    <t>003159</t>
  </si>
  <si>
    <t>003158</t>
  </si>
  <si>
    <t>003170</t>
  </si>
  <si>
    <t>003161</t>
  </si>
  <si>
    <t>003174</t>
  </si>
  <si>
    <t>003172</t>
  </si>
  <si>
    <t>003169</t>
  </si>
  <si>
    <t>003165</t>
  </si>
  <si>
    <t>003162</t>
  </si>
  <si>
    <t>003173</t>
  </si>
  <si>
    <t>003166</t>
  </si>
  <si>
    <t>003164</t>
  </si>
  <si>
    <t>003163</t>
  </si>
  <si>
    <t>003171</t>
  </si>
  <si>
    <t>003168</t>
  </si>
  <si>
    <t>003167</t>
  </si>
  <si>
    <t xml:space="preserve">Devolução Maria Carolina Louzada </t>
  </si>
  <si>
    <t>Devolução NF 3124</t>
  </si>
  <si>
    <t>003185</t>
  </si>
  <si>
    <t>003184</t>
  </si>
  <si>
    <t>003183</t>
  </si>
  <si>
    <t>003182</t>
  </si>
  <si>
    <t>003181</t>
  </si>
  <si>
    <t>003189</t>
  </si>
  <si>
    <t>003188</t>
  </si>
  <si>
    <t>003186</t>
  </si>
  <si>
    <t>003187</t>
  </si>
  <si>
    <t>003190</t>
  </si>
  <si>
    <t>003195</t>
  </si>
  <si>
    <t>003196</t>
  </si>
  <si>
    <t>003194</t>
  </si>
  <si>
    <t>003193</t>
  </si>
  <si>
    <t>003192</t>
  </si>
  <si>
    <t>003191</t>
  </si>
  <si>
    <t>003203</t>
  </si>
  <si>
    <t>003202</t>
  </si>
  <si>
    <t>003201</t>
  </si>
  <si>
    <t>003200</t>
  </si>
  <si>
    <t>003199</t>
  </si>
  <si>
    <t>003198</t>
  </si>
  <si>
    <t>003197</t>
  </si>
  <si>
    <t>Devolução NF 3108</t>
  </si>
  <si>
    <t>003216</t>
  </si>
  <si>
    <t>003215</t>
  </si>
  <si>
    <t>003213</t>
  </si>
  <si>
    <t>003214</t>
  </si>
  <si>
    <t>003212</t>
  </si>
  <si>
    <t>003211</t>
  </si>
  <si>
    <t>003209</t>
  </si>
  <si>
    <t>003210</t>
  </si>
  <si>
    <t>003207</t>
  </si>
  <si>
    <t>003206</t>
  </si>
  <si>
    <t>003208</t>
  </si>
  <si>
    <t>003205</t>
  </si>
  <si>
    <t>003217</t>
  </si>
  <si>
    <t>003218</t>
  </si>
  <si>
    <t>003222</t>
  </si>
  <si>
    <t>003221</t>
  </si>
  <si>
    <t>Devolução NF 3159</t>
  </si>
  <si>
    <t>Devolução NF 3166</t>
  </si>
  <si>
    <t>003225</t>
  </si>
  <si>
    <t>003230</t>
  </si>
  <si>
    <t>003229</t>
  </si>
  <si>
    <t>003228</t>
  </si>
  <si>
    <t>003227</t>
  </si>
  <si>
    <t>003226</t>
  </si>
  <si>
    <t>003224</t>
  </si>
  <si>
    <t>003231</t>
  </si>
  <si>
    <t>003235</t>
  </si>
  <si>
    <t>003234</t>
  </si>
  <si>
    <t>003233</t>
  </si>
  <si>
    <t>003232</t>
  </si>
  <si>
    <t>003236</t>
  </si>
  <si>
    <t>003238</t>
  </si>
  <si>
    <t>003237</t>
  </si>
  <si>
    <t>003239</t>
  </si>
  <si>
    <t>003240</t>
  </si>
  <si>
    <t>003242</t>
  </si>
  <si>
    <t>003241</t>
  </si>
  <si>
    <t>003246</t>
  </si>
  <si>
    <t>003245</t>
  </si>
  <si>
    <t>003244</t>
  </si>
  <si>
    <t>003243</t>
  </si>
  <si>
    <t>003247</t>
  </si>
  <si>
    <t>003250</t>
  </si>
  <si>
    <t>003249</t>
  </si>
  <si>
    <t>003248</t>
  </si>
  <si>
    <t>003251</t>
  </si>
  <si>
    <t>003253</t>
  </si>
  <si>
    <t>003252</t>
  </si>
  <si>
    <t>003255</t>
  </si>
  <si>
    <t>003254</t>
  </si>
  <si>
    <t>Devolução Liege Paulo</t>
  </si>
  <si>
    <t>Devolução Gilda Fregona</t>
  </si>
  <si>
    <t>Devolução NF 3153</t>
  </si>
  <si>
    <t>003259</t>
  </si>
  <si>
    <t>003258</t>
  </si>
  <si>
    <t>003261</t>
  </si>
  <si>
    <t>003263</t>
  </si>
  <si>
    <t>003262</t>
  </si>
  <si>
    <t>003264</t>
  </si>
  <si>
    <t>003270</t>
  </si>
  <si>
    <t>003268</t>
  </si>
  <si>
    <t>003271</t>
  </si>
  <si>
    <t>003269</t>
  </si>
  <si>
    <t>003267</t>
  </si>
  <si>
    <t>003265</t>
  </si>
  <si>
    <t>003266</t>
  </si>
  <si>
    <t>003274</t>
  </si>
  <si>
    <t>003273</t>
  </si>
  <si>
    <t>003272</t>
  </si>
  <si>
    <t>003275</t>
  </si>
  <si>
    <t>003279</t>
  </si>
  <si>
    <t>003276</t>
  </si>
  <si>
    <t>003281</t>
  </si>
  <si>
    <t>003280</t>
  </si>
  <si>
    <t>003287</t>
  </si>
  <si>
    <t>003285</t>
  </si>
  <si>
    <t>003283</t>
  </si>
  <si>
    <t>003286</t>
  </si>
  <si>
    <t>003284</t>
  </si>
  <si>
    <t>003282</t>
  </si>
  <si>
    <t>003288</t>
  </si>
  <si>
    <t>003290</t>
  </si>
  <si>
    <t>003289</t>
  </si>
  <si>
    <t>003293</t>
  </si>
  <si>
    <t>003292</t>
  </si>
  <si>
    <t>003291</t>
  </si>
  <si>
    <t>003294</t>
  </si>
  <si>
    <t>003295</t>
  </si>
  <si>
    <t>003298</t>
  </si>
  <si>
    <t>003297</t>
  </si>
  <si>
    <t>003296</t>
  </si>
  <si>
    <t>003300</t>
  </si>
  <si>
    <t>003301</t>
  </si>
  <si>
    <t>003299</t>
  </si>
  <si>
    <t>003303</t>
  </si>
  <si>
    <t>003302</t>
  </si>
  <si>
    <t>003305</t>
  </si>
  <si>
    <t>003304</t>
  </si>
  <si>
    <t>003308</t>
  </si>
  <si>
    <t>003307</t>
  </si>
  <si>
    <t>003306</t>
  </si>
  <si>
    <t>003309</t>
  </si>
  <si>
    <t>003310</t>
  </si>
  <si>
    <t>003312</t>
  </si>
  <si>
    <t>003311</t>
  </si>
  <si>
    <t>003314</t>
  </si>
  <si>
    <t>003313</t>
  </si>
  <si>
    <t>003317</t>
  </si>
  <si>
    <t>003316</t>
  </si>
  <si>
    <t>003315</t>
  </si>
  <si>
    <t>003318</t>
  </si>
  <si>
    <t>003319</t>
  </si>
  <si>
    <t>003320</t>
  </si>
  <si>
    <t>003321</t>
  </si>
  <si>
    <t>003329</t>
  </si>
  <si>
    <t>003324</t>
  </si>
  <si>
    <t>003325</t>
  </si>
  <si>
    <t>003332</t>
  </si>
  <si>
    <t>003331</t>
  </si>
  <si>
    <t>003330</t>
  </si>
  <si>
    <t>003323</t>
  </si>
  <si>
    <t>003328</t>
  </si>
  <si>
    <t>003322</t>
  </si>
  <si>
    <t>003327</t>
  </si>
  <si>
    <t>003326</t>
  </si>
  <si>
    <t>003333</t>
  </si>
  <si>
    <t>003334</t>
  </si>
  <si>
    <t>003337</t>
  </si>
  <si>
    <t>003338</t>
  </si>
  <si>
    <t>003339</t>
  </si>
  <si>
    <t>003340</t>
  </si>
  <si>
    <t>003342</t>
  </si>
  <si>
    <t>003341</t>
  </si>
  <si>
    <t>003345</t>
  </si>
  <si>
    <t>003344</t>
  </si>
  <si>
    <t>003343</t>
  </si>
  <si>
    <t>003347</t>
  </si>
  <si>
    <t>003346</t>
  </si>
  <si>
    <t>003348</t>
  </si>
  <si>
    <t>003350</t>
  </si>
  <si>
    <t>003349</t>
  </si>
  <si>
    <t>003351</t>
  </si>
  <si>
    <t>003355</t>
  </si>
  <si>
    <t>003354</t>
  </si>
  <si>
    <t>003353</t>
  </si>
  <si>
    <t>003356</t>
  </si>
  <si>
    <t>003357</t>
  </si>
  <si>
    <t>003358</t>
  </si>
  <si>
    <t>003360</t>
  </si>
  <si>
    <t>003361</t>
  </si>
  <si>
    <t>003362</t>
  </si>
  <si>
    <t>003364</t>
  </si>
  <si>
    <t>003365</t>
  </si>
  <si>
    <t>003368</t>
  </si>
  <si>
    <t>003367</t>
  </si>
  <si>
    <t>003366</t>
  </si>
  <si>
    <t>003369</t>
  </si>
  <si>
    <t>003371</t>
  </si>
  <si>
    <t>003370</t>
  </si>
  <si>
    <t>003374</t>
  </si>
  <si>
    <t>003373</t>
  </si>
  <si>
    <t>003378</t>
  </si>
  <si>
    <t>003379</t>
  </si>
  <si>
    <t>003380</t>
  </si>
  <si>
    <t>003383</t>
  </si>
  <si>
    <t>003384</t>
  </si>
  <si>
    <t>Devolução CINTHIA ANDRADE</t>
  </si>
  <si>
    <t>003385</t>
  </si>
  <si>
    <t>003388</t>
  </si>
  <si>
    <t>003387</t>
  </si>
  <si>
    <t>003393</t>
  </si>
  <si>
    <t>003392</t>
  </si>
  <si>
    <t>Conciliação Inventário Março</t>
  </si>
  <si>
    <t>003395</t>
  </si>
  <si>
    <t>003394</t>
  </si>
  <si>
    <t>3391</t>
  </si>
  <si>
    <t>Conciliação para zerar item negativo</t>
  </si>
  <si>
    <t>003397</t>
  </si>
  <si>
    <t>003396</t>
  </si>
  <si>
    <t>003398</t>
  </si>
  <si>
    <t>003399</t>
  </si>
  <si>
    <t>003402</t>
  </si>
  <si>
    <t>003401</t>
  </si>
  <si>
    <t>003403</t>
  </si>
  <si>
    <t>003404</t>
  </si>
  <si>
    <t>003405</t>
  </si>
  <si>
    <t>003407</t>
  </si>
  <si>
    <t>003406</t>
  </si>
  <si>
    <t>003408</t>
  </si>
  <si>
    <t>003409</t>
  </si>
  <si>
    <t>Devolução PAULA SILVA ANDRADE</t>
  </si>
  <si>
    <t>003410</t>
  </si>
  <si>
    <t>003412</t>
  </si>
  <si>
    <t>003416</t>
  </si>
  <si>
    <t>003415</t>
  </si>
  <si>
    <t>003420</t>
  </si>
  <si>
    <t>003421</t>
  </si>
  <si>
    <t>003422</t>
  </si>
  <si>
    <t>003423</t>
  </si>
  <si>
    <t>003424</t>
  </si>
  <si>
    <t>003426</t>
  </si>
  <si>
    <t>003428</t>
  </si>
  <si>
    <t>003427</t>
  </si>
  <si>
    <t>003429</t>
  </si>
  <si>
    <t>003430</t>
  </si>
  <si>
    <t>003431</t>
  </si>
  <si>
    <t>003434</t>
  </si>
  <si>
    <t>003433</t>
  </si>
  <si>
    <t>003432</t>
  </si>
  <si>
    <t>003436</t>
  </si>
  <si>
    <t>003435</t>
  </si>
  <si>
    <t>003437</t>
  </si>
  <si>
    <t>003443</t>
  </si>
  <si>
    <t>003442</t>
  </si>
  <si>
    <t>003444</t>
  </si>
  <si>
    <t>003445</t>
  </si>
  <si>
    <t>KITs</t>
  </si>
  <si>
    <t>Cod. De barras</t>
  </si>
  <si>
    <t>Valor Unitário</t>
  </si>
  <si>
    <t>Caixa usada</t>
  </si>
  <si>
    <t>SKU 1</t>
  </si>
  <si>
    <t>SKU 2</t>
  </si>
  <si>
    <t>SKU 3</t>
  </si>
  <si>
    <t>quantidade</t>
  </si>
  <si>
    <t>Obs</t>
  </si>
  <si>
    <t>Hava Acessorios LTDA</t>
  </si>
  <si>
    <t>Anel Duplo Banho Ouro</t>
  </si>
  <si>
    <t>Anel Etta Banho Ouro</t>
  </si>
  <si>
    <t>Anel Zig Ajustavel Banho Ouro</t>
  </si>
  <si>
    <t>Argola Bold Grande Banho Ouro</t>
  </si>
  <si>
    <t>Argola Bold Pequena Banho Ouro</t>
  </si>
  <si>
    <t>Argola Amy Banho Ouro</t>
  </si>
  <si>
    <t>Argola Click Grande Banho Ouro</t>
  </si>
  <si>
    <t>Argola Click Media Banho Ouro</t>
  </si>
  <si>
    <t>Argola Click Pequena Banho Ouro</t>
  </si>
  <si>
    <t>Argola Click Diamond Banho Ouro</t>
  </si>
  <si>
    <t>Argola Organica Banho Ouro</t>
  </si>
  <si>
    <t>Argola Reta Basic Banho Ouro</t>
  </si>
  <si>
    <t>Argola Redonda Basic Banho Ouro</t>
  </si>
  <si>
    <t>Argola Torcida Banho Ouro</t>
  </si>
  <si>
    <t>Argola Tripla Banho Ouro</t>
  </si>
  <si>
    <t>Argola Classy Banho Ouro</t>
  </si>
  <si>
    <t>Argola Classy Prateada</t>
  </si>
  <si>
    <t>Argola Wave Banho Ouro</t>
  </si>
  <si>
    <t>Argolinha Click Dots Banho Ouro</t>
  </si>
  <si>
    <t>Argolinha Click Torcida Banho Ouro</t>
  </si>
  <si>
    <t>Argolinha Folha Banho Ouro</t>
  </si>
  <si>
    <t>Argolinha Sol Banho Ouro</t>
  </si>
  <si>
    <t>Brinco Arco Banho Ouro</t>
  </si>
  <si>
    <t>Brinco Mini Aviao Banho Ouro</t>
  </si>
  <si>
    <t>Brinco Bossa Banho Ouro</t>
  </si>
  <si>
    <t>Brinco Bubble Medio Banho Ouro</t>
  </si>
  <si>
    <t>Brinco Bubble Pequeno Banho Ouro</t>
  </si>
  <si>
    <t>Brinco Circle Banho Ouro</t>
  </si>
  <si>
    <t>Brinco Gota Click Banho Ouro</t>
  </si>
  <si>
    <t>Brinco Coracao Diamond Banho Ouro</t>
  </si>
  <si>
    <t>Brinco Elos Banho Ouro</t>
  </si>
  <si>
    <t>Brinco Mini Flecha Banho Ouro</t>
  </si>
  <si>
    <t>Brinco Leque Banho Ouro</t>
  </si>
  <si>
    <t>Brinco Infinito Banho Ouro</t>
  </si>
  <si>
    <t>Brinco Ivy Banho Ouro</t>
  </si>
  <si>
    <t>Brinco Ivy Prateado</t>
  </si>
  <si>
    <t>Brinco Mini Raio Banho Ouro</t>
  </si>
  <si>
    <t>Brinco Mini Raio Prateado</t>
  </si>
  <si>
    <t>Brinco Mini Triangulo Prateado</t>
  </si>
  <si>
    <t>Brinco Oncinha Banho Ouro</t>
  </si>
  <si>
    <t>Brinco Oncinha Prateado</t>
  </si>
  <si>
    <t>Brinco Setas Banho Ouro</t>
  </si>
  <si>
    <t>Brinco Sol Banho Ouro</t>
  </si>
  <si>
    <t>Brinco Spike Banho Ouro</t>
  </si>
  <si>
    <t>Brinco Spike Prateado</t>
  </si>
  <si>
    <t>Brinco Spring Banho Ouro</t>
  </si>
  <si>
    <t>Brinco Square Banho Ouro</t>
  </si>
  <si>
    <t>Brinco Tubinho Grande Banho Ouro</t>
  </si>
  <si>
    <t>Brinco Tubinho Medio Banho Ouro</t>
  </si>
  <si>
    <t>Brinco Tubinho Pequeno Banho Ouro</t>
  </si>
  <si>
    <t>Brinco Geometrico Banho Ouro</t>
  </si>
  <si>
    <t>Ear Cuff Minimal Banho Ouro</t>
  </si>
  <si>
    <t>Ear Hook Line Banho Ouro</t>
  </si>
  <si>
    <t>Ear Hook Line Prateado</t>
  </si>
  <si>
    <t>Ear Hook Hug Banho Ouro</t>
  </si>
  <si>
    <t>Ear Hook Diamond Banho Ouro</t>
  </si>
  <si>
    <t>EarHook Dots Banho Ouro</t>
  </si>
  <si>
    <t>EarHook Torcido Banho Ouro</t>
  </si>
  <si>
    <t>EarHook Torcido Prateado</t>
  </si>
  <si>
    <t>Kit Brincos Coracao e Triangulo Banho Ouro</t>
  </si>
  <si>
    <t>Meia Argola Croissant Banho Ouro</t>
  </si>
  <si>
    <t>Meia Argola Croissant Prateada</t>
  </si>
  <si>
    <t>Meia Argola Diamond Banho Ouro</t>
  </si>
  <si>
    <t>Mini Argola Classy Banho Ouro</t>
  </si>
  <si>
    <t>Mini Argola Classy Prateada</t>
  </si>
  <si>
    <t>Piercing Fake Dots Banho Ouro</t>
  </si>
  <si>
    <t>Piercing Fake Minimal Banho Ouro</t>
  </si>
  <si>
    <t>Piercing Fake Classy Banho Ouro</t>
  </si>
  <si>
    <t>Piercing Fake Classy Prateado</t>
  </si>
  <si>
    <t>Colar Dot Banho Ouro</t>
  </si>
  <si>
    <t>Colar Dot Prateado</t>
  </si>
  <si>
    <t>Colar Rosa dos Ventos Banho Ouro</t>
  </si>
  <si>
    <t>Colar Coracao Banho Ouro</t>
  </si>
  <si>
    <t>Colar Coracao Prateado</t>
  </si>
  <si>
    <t>Colar Duplo Dots Banho Ouro</t>
  </si>
  <si>
    <t>Colar Duplo Dots Prateado</t>
  </si>
  <si>
    <t>Colar Duplo Minimal Banho Ouro</t>
  </si>
  <si>
    <t>Colar Duplo Minimal Prateado</t>
  </si>
  <si>
    <t>Colar Longo Esfera Banho Ouro</t>
  </si>
  <si>
    <t>Colar Esfera Medio Banho Ouro</t>
  </si>
  <si>
    <t>Colar Esfera Pequeno Banho Ouro</t>
  </si>
  <si>
    <t>Colar Longo Medalha Coracao Banho Ouro</t>
  </si>
  <si>
    <t>Colar Longo Lua Banho Ouro</t>
  </si>
  <si>
    <t>Colar Ivy Banho Ouro</t>
  </si>
  <si>
    <t>Colar Ivy Prateado</t>
  </si>
  <si>
    <t>Colar Rosa Banho Ouro</t>
  </si>
  <si>
    <t>Colar Sao Jorge Banho Ouro</t>
  </si>
  <si>
    <t>Colar Tina Banho Ouro</t>
  </si>
  <si>
    <t>Colar Line Banho Ouro</t>
  </si>
  <si>
    <t>Colar Palito Banho Ouro</t>
  </si>
  <si>
    <t>Colar Corrente Groumet Banho Ouro</t>
  </si>
  <si>
    <t>Colar Corrente Groumet Prateada</t>
  </si>
  <si>
    <t>Gargantilha Escama Banho Ouro</t>
  </si>
  <si>
    <t>Gargantilha Escama Prateada</t>
  </si>
  <si>
    <t>Gargantilha Fita Banho Ouro</t>
  </si>
  <si>
    <t>Gargantilha Fita Prateada</t>
  </si>
  <si>
    <t>Gargantilha Dots Banho Ouro</t>
  </si>
  <si>
    <t>Gargantilha Minimal Banho Ouro</t>
  </si>
  <si>
    <t>Gargantilha Minimal Prateada</t>
  </si>
  <si>
    <t>Bracelete Line Banho Ouro</t>
  </si>
  <si>
    <t>Bracelete Ivy Banho Ouro</t>
  </si>
  <si>
    <t>Bracelete Wave Banho Ouro</t>
  </si>
  <si>
    <t>Bracelete Torcido Banho Ouro</t>
  </si>
  <si>
    <t>Pulseira Dots Banho Ouro</t>
  </si>
  <si>
    <t>Pulseira Fita Textura Banho Ouro</t>
  </si>
  <si>
    <t>Pulseira Groumet Banho Ouro</t>
  </si>
  <si>
    <t>Pulseira Groumet Prateada</t>
  </si>
  <si>
    <t>Pulseira Minimal Banho Ouro</t>
  </si>
  <si>
    <t>Pulseira Minimal Prateada</t>
  </si>
  <si>
    <t>Pulseira Snake Banho Ouro</t>
  </si>
  <si>
    <t>Pulseira Snake Prateada</t>
  </si>
  <si>
    <t>Colar Brave Perolado Banho Ouro</t>
  </si>
  <si>
    <t>Colar Brave Preto Banho Ouro</t>
  </si>
  <si>
    <t>003446</t>
  </si>
  <si>
    <t>003447</t>
  </si>
  <si>
    <t>003448</t>
  </si>
  <si>
    <t>003449</t>
  </si>
  <si>
    <t>003451</t>
  </si>
  <si>
    <t>003450</t>
  </si>
  <si>
    <t>003452</t>
  </si>
  <si>
    <t>003459</t>
  </si>
  <si>
    <t>003461</t>
  </si>
  <si>
    <t>003458</t>
  </si>
  <si>
    <t>003457</t>
  </si>
  <si>
    <t>003456</t>
  </si>
  <si>
    <t>003455</t>
  </si>
  <si>
    <t>003454</t>
  </si>
  <si>
    <t>003453</t>
  </si>
  <si>
    <t>003462</t>
  </si>
  <si>
    <t>003460</t>
  </si>
  <si>
    <t>003465</t>
  </si>
  <si>
    <t>003463</t>
  </si>
  <si>
    <t>003464</t>
  </si>
  <si>
    <t>003467</t>
  </si>
  <si>
    <t>003468</t>
  </si>
  <si>
    <t>003469</t>
  </si>
  <si>
    <t>003471</t>
  </si>
  <si>
    <t>003472</t>
  </si>
  <si>
    <t>003470</t>
  </si>
  <si>
    <t>003476</t>
  </si>
  <si>
    <t>003478</t>
  </si>
  <si>
    <t>003477</t>
  </si>
  <si>
    <t>003475</t>
  </si>
  <si>
    <t>003474</t>
  </si>
  <si>
    <t>003473</t>
  </si>
  <si>
    <t>003479</t>
  </si>
  <si>
    <t>003483</t>
  </si>
  <si>
    <t>003481</t>
  </si>
  <si>
    <t>003482</t>
  </si>
  <si>
    <t>003480</t>
  </si>
  <si>
    <t>003487</t>
  </si>
  <si>
    <t>003486</t>
  </si>
  <si>
    <t>003485</t>
  </si>
  <si>
    <t>003484</t>
  </si>
  <si>
    <t>003488</t>
  </si>
  <si>
    <t>003490</t>
  </si>
  <si>
    <t>003491</t>
  </si>
  <si>
    <t>003495</t>
  </si>
  <si>
    <t>003494</t>
  </si>
  <si>
    <t>003493</t>
  </si>
  <si>
    <t>003492</t>
  </si>
  <si>
    <t>003500</t>
  </si>
  <si>
    <t>003498</t>
  </si>
  <si>
    <t>003501</t>
  </si>
  <si>
    <t>003499</t>
  </si>
  <si>
    <t>003497</t>
  </si>
  <si>
    <t>003496</t>
  </si>
  <si>
    <t>003502</t>
  </si>
  <si>
    <t>003503</t>
  </si>
  <si>
    <t>003504</t>
  </si>
  <si>
    <t>003506</t>
  </si>
  <si>
    <t>003507</t>
  </si>
  <si>
    <t>003505</t>
  </si>
  <si>
    <t>003509</t>
  </si>
  <si>
    <t>003510</t>
  </si>
  <si>
    <t>003513</t>
  </si>
  <si>
    <t>003512</t>
  </si>
  <si>
    <t>003511</t>
  </si>
  <si>
    <t>003514</t>
  </si>
  <si>
    <t>003515</t>
  </si>
  <si>
    <t>003516</t>
  </si>
  <si>
    <t>003517</t>
  </si>
  <si>
    <t>003523</t>
  </si>
  <si>
    <t>003519</t>
  </si>
  <si>
    <t>003524</t>
  </si>
  <si>
    <t>003520</t>
  </si>
  <si>
    <t>003522</t>
  </si>
  <si>
    <t>003521</t>
  </si>
  <si>
    <t>003518</t>
  </si>
  <si>
    <t>003525</t>
  </si>
  <si>
    <t>003526</t>
  </si>
  <si>
    <t>003531</t>
  </si>
  <si>
    <t>003533</t>
  </si>
  <si>
    <t>003532</t>
  </si>
  <si>
    <t>003530</t>
  </si>
  <si>
    <t>003528</t>
  </si>
  <si>
    <t>003529</t>
  </si>
  <si>
    <t>003535</t>
  </si>
  <si>
    <t>003537</t>
  </si>
  <si>
    <t>003536</t>
  </si>
  <si>
    <t>003534</t>
  </si>
  <si>
    <t>003539</t>
  </si>
  <si>
    <t>003538</t>
  </si>
  <si>
    <t>003540</t>
  </si>
  <si>
    <t>003541</t>
  </si>
  <si>
    <t>003542</t>
  </si>
  <si>
    <t>003543</t>
  </si>
  <si>
    <t>003544</t>
  </si>
  <si>
    <t>003547</t>
  </si>
  <si>
    <t>003546</t>
  </si>
  <si>
    <t>003545</t>
  </si>
  <si>
    <t>003549</t>
  </si>
  <si>
    <t>003548</t>
  </si>
  <si>
    <t>003553</t>
  </si>
  <si>
    <t>003552</t>
  </si>
  <si>
    <t>003551</t>
  </si>
  <si>
    <t>003555</t>
  </si>
  <si>
    <t>003554</t>
  </si>
  <si>
    <t>003557</t>
  </si>
  <si>
    <t>003556</t>
  </si>
  <si>
    <t>003558</t>
  </si>
  <si>
    <t>003559</t>
  </si>
  <si>
    <t>003561</t>
  </si>
  <si>
    <t>003560</t>
  </si>
  <si>
    <t>003563</t>
  </si>
  <si>
    <t>003562</t>
  </si>
  <si>
    <t>003566</t>
  </si>
  <si>
    <t>003564</t>
  </si>
  <si>
    <t>003565</t>
  </si>
  <si>
    <t>003568</t>
  </si>
  <si>
    <t>003570</t>
  </si>
  <si>
    <t>003569</t>
  </si>
  <si>
    <t>003573</t>
  </si>
  <si>
    <t>003572</t>
  </si>
  <si>
    <t>003571</t>
  </si>
  <si>
    <t>003575</t>
  </si>
  <si>
    <t>003574</t>
  </si>
  <si>
    <t>003577</t>
  </si>
  <si>
    <t>30340088</t>
  </si>
  <si>
    <t>20800099</t>
  </si>
  <si>
    <t>20900099</t>
  </si>
  <si>
    <t>20840099</t>
  </si>
  <si>
    <t>20710099</t>
  </si>
  <si>
    <t>20780099</t>
  </si>
  <si>
    <t>30530099</t>
  </si>
  <si>
    <t>30510099</t>
  </si>
  <si>
    <t>20940099</t>
  </si>
  <si>
    <t>40190099</t>
  </si>
  <si>
    <t>30480088</t>
  </si>
  <si>
    <t>20820099</t>
  </si>
  <si>
    <t>40200088</t>
  </si>
  <si>
    <t>40150088</t>
  </si>
  <si>
    <t>20690088</t>
  </si>
  <si>
    <t>30410088</t>
  </si>
  <si>
    <t>30380088</t>
  </si>
  <si>
    <t>20920088</t>
  </si>
  <si>
    <t>20790088</t>
  </si>
  <si>
    <t>20750088</t>
  </si>
  <si>
    <t>20760088</t>
  </si>
  <si>
    <t>30420088</t>
  </si>
  <si>
    <t>30400088</t>
  </si>
  <si>
    <t>20890088</t>
  </si>
  <si>
    <t>20720088</t>
  </si>
  <si>
    <t>30360088</t>
  </si>
  <si>
    <t>30460088</t>
  </si>
  <si>
    <t>30450088</t>
  </si>
  <si>
    <t>20770088</t>
  </si>
  <si>
    <t>30540088</t>
  </si>
  <si>
    <t>30520088</t>
  </si>
  <si>
    <t>30500088</t>
  </si>
  <si>
    <t>20930088</t>
  </si>
  <si>
    <t>40180088</t>
  </si>
  <si>
    <t>10060088</t>
  </si>
  <si>
    <t>10050088</t>
  </si>
  <si>
    <t>10040088</t>
  </si>
  <si>
    <t>20860088</t>
  </si>
  <si>
    <t>40140088</t>
  </si>
  <si>
    <t>40130088</t>
  </si>
  <si>
    <t>20730088</t>
  </si>
  <si>
    <t>20680088</t>
  </si>
  <si>
    <t>20700088</t>
  </si>
  <si>
    <t>20850088</t>
  </si>
  <si>
    <t>20880088</t>
  </si>
  <si>
    <t>30390088</t>
  </si>
  <si>
    <t>30430088</t>
  </si>
  <si>
    <t>30370088</t>
  </si>
  <si>
    <t>30470088</t>
  </si>
  <si>
    <t>30440088</t>
  </si>
  <si>
    <t>30350088</t>
  </si>
  <si>
    <t>20980088</t>
  </si>
  <si>
    <t>30490088</t>
  </si>
  <si>
    <t>20870088</t>
  </si>
  <si>
    <t>40160088</t>
  </si>
  <si>
    <t>40170088</t>
  </si>
  <si>
    <t>40210088</t>
  </si>
  <si>
    <t>20910088</t>
  </si>
  <si>
    <t>20740088</t>
  </si>
  <si>
    <t>20970088</t>
  </si>
  <si>
    <t>20670088</t>
  </si>
  <si>
    <t>20810088</t>
  </si>
  <si>
    <t>20830088</t>
  </si>
  <si>
    <t>20960088</t>
  </si>
  <si>
    <t>20950088</t>
  </si>
  <si>
    <t>3576</t>
  </si>
  <si>
    <t>003578</t>
  </si>
  <si>
    <t>003579</t>
  </si>
  <si>
    <t>003580</t>
  </si>
  <si>
    <t>003581</t>
  </si>
  <si>
    <t>003582</t>
  </si>
  <si>
    <t>Colar Fita Maxi Medalha Banho Ouro</t>
  </si>
  <si>
    <t>Brinco Organico Prateado</t>
  </si>
  <si>
    <t>Argolinha Click Bambu Prateada</t>
  </si>
  <si>
    <t>Brinco Boho Prateado</t>
  </si>
  <si>
    <t>Brinco Leque Prateado</t>
  </si>
  <si>
    <t>Ear Hook Organico Prateado</t>
  </si>
  <si>
    <t>Gargantilha Groumet Prateada</t>
  </si>
  <si>
    <t>Gargantilha Line Prateada</t>
  </si>
  <si>
    <t>Piercing Fake No Prateado</t>
  </si>
  <si>
    <t>Pulseira Fita 3mm Prateada</t>
  </si>
  <si>
    <t>Gargantilha Crystal Banho Ouro</t>
  </si>
  <si>
    <t>Brinco Palito Prateado</t>
  </si>
  <si>
    <t>Pulseira Chain Banho Ouro</t>
  </si>
  <si>
    <t>Bracelete Dots Banho Ouro</t>
  </si>
  <si>
    <t>Brinco Drop G Banho Ouro</t>
  </si>
  <si>
    <t>Colar Gravatinha Banho Ouro</t>
  </si>
  <si>
    <t>Colar Sao Bento Banho Ouro</t>
  </si>
  <si>
    <t>Ear Hook Encaixe Triplo Banho Ouro</t>
  </si>
  <si>
    <t>Brinco Organico Banho Ouro</t>
  </si>
  <si>
    <t>Brinco Flor Gardenia Banho Ouro</t>
  </si>
  <si>
    <t>Brinco Pimentinha Banho Ouro</t>
  </si>
  <si>
    <t>Colar Duplo Ponto de Luz Banho Ouro</t>
  </si>
  <si>
    <t>Colar Gardenia Banho Ouro</t>
  </si>
  <si>
    <t>Argolinha Click Bambu Banho Ouro</t>
  </si>
  <si>
    <t>Brinco Maxi Disco 2 em 1 Banho Ouro</t>
  </si>
  <si>
    <t>Colar Boho Diamantado Banho Ouro</t>
  </si>
  <si>
    <t>Colar Longo Minimal Banho Ouro</t>
  </si>
  <si>
    <t>Colar Ponto de Luz Banho Ouro</t>
  </si>
  <si>
    <t>Ear Hook Organico Banho Ouro</t>
  </si>
  <si>
    <t>Gargantilha Fita Textura Banho Ouro</t>
  </si>
  <si>
    <t>Gargantilha Groumet Banho Ouro</t>
  </si>
  <si>
    <t>Gargantilha Line Banho Ouro</t>
  </si>
  <si>
    <t>Piercing Fake No Banho Ouro</t>
  </si>
  <si>
    <t>Pulseira Fita 3mm Banho Ouro</t>
  </si>
  <si>
    <t>Anel Drop Banho Ouro</t>
  </si>
  <si>
    <t>Anel No Banho Ouro</t>
  </si>
  <si>
    <t>Anel Roll Banho Ouro</t>
  </si>
  <si>
    <t>Argolinha Pepita Banho Ouro</t>
  </si>
  <si>
    <t>Bracelete Curves Banho Ouro</t>
  </si>
  <si>
    <t>Bracelete Roll Banho Ouro</t>
  </si>
  <si>
    <t>Brinco Disco Banho Ouro</t>
  </si>
  <si>
    <t>Brinco Drop P Banho Ouro</t>
  </si>
  <si>
    <t>Brinco Mini Arabesco Banho Ouro</t>
  </si>
  <si>
    <t>Brinco Ponto de Luz Banho Ouro</t>
  </si>
  <si>
    <t>Colar Boho Banho Ouro</t>
  </si>
  <si>
    <t>Colar Duplo Fita Banho Ouro</t>
  </si>
  <si>
    <t>Colar Longo Figa Banho Ouro</t>
  </si>
  <si>
    <t>Colar Longo Medalhinhas Banho Ouro</t>
  </si>
  <si>
    <t>Colar Pearl Fecho Frontal Banho Ouro</t>
  </si>
  <si>
    <t>Colar Sol Banho Ouro</t>
  </si>
  <si>
    <t>Ear Cuff Snake Banho Ouro</t>
  </si>
  <si>
    <t>Gargantilha Pearl Banho Ouro</t>
  </si>
  <si>
    <t>Meia Argola Wave Banho Ouro</t>
  </si>
  <si>
    <t>Pulseira Delicate Banho Ouro</t>
  </si>
  <si>
    <t>Pulseira Fita 2mm Banho Ouro</t>
  </si>
  <si>
    <t>Pulseira Torcida Banho Ouro</t>
  </si>
  <si>
    <t>Argola Click Croissant Banho Ouro</t>
  </si>
  <si>
    <t>Brinco Jout Banho Ouro</t>
  </si>
  <si>
    <t>Ear Hook Fio Banho Ouro</t>
  </si>
  <si>
    <t>Brinco Flor 2 em 1 Banho Ouro</t>
  </si>
  <si>
    <t>Brinco Palito Banho Ouro</t>
  </si>
  <si>
    <t>Brinco Boho Banho Ouro</t>
  </si>
  <si>
    <t>Ear Hook Encaixe Cruzado Banho Ouro</t>
  </si>
  <si>
    <t>Ear Hook Triplo Dot Banho Ouro</t>
  </si>
  <si>
    <t xml:space="preserve">Recebemos 17 unidades e não 18 conforme </t>
  </si>
  <si>
    <t>003583</t>
  </si>
  <si>
    <t>003585</t>
  </si>
  <si>
    <t>003584</t>
  </si>
  <si>
    <t>003586</t>
  </si>
  <si>
    <t>003588</t>
  </si>
  <si>
    <t>003589</t>
  </si>
  <si>
    <t>003587</t>
  </si>
  <si>
    <t>003592</t>
  </si>
  <si>
    <t>003593</t>
  </si>
  <si>
    <t>003591</t>
  </si>
  <si>
    <t>003595</t>
  </si>
  <si>
    <t>003594</t>
  </si>
  <si>
    <t>003597</t>
  </si>
  <si>
    <t>003598</t>
  </si>
  <si>
    <t>003600</t>
  </si>
  <si>
    <t>003599</t>
  </si>
  <si>
    <t>3596</t>
  </si>
  <si>
    <t>003602</t>
  </si>
  <si>
    <t>003605</t>
  </si>
  <si>
    <t>003606</t>
  </si>
  <si>
    <t>003604</t>
  </si>
  <si>
    <t>003603</t>
  </si>
  <si>
    <t>003601</t>
  </si>
  <si>
    <t>003607</t>
  </si>
  <si>
    <t>003608</t>
  </si>
  <si>
    <t>003610</t>
  </si>
  <si>
    <t>003609</t>
  </si>
  <si>
    <t>003612</t>
  </si>
  <si>
    <t>003611</t>
  </si>
  <si>
    <t>003614</t>
  </si>
  <si>
    <t>003613</t>
  </si>
  <si>
    <t>Devolução JOÃO VITOR</t>
  </si>
  <si>
    <t>003620</t>
  </si>
  <si>
    <t>003619</t>
  </si>
  <si>
    <t>003616</t>
  </si>
  <si>
    <t>003623</t>
  </si>
  <si>
    <t>003622</t>
  </si>
  <si>
    <t>003621</t>
  </si>
  <si>
    <t>003618</t>
  </si>
  <si>
    <t>003617</t>
  </si>
  <si>
    <t>003615</t>
  </si>
  <si>
    <t>003628</t>
  </si>
  <si>
    <t>003627</t>
  </si>
  <si>
    <t>003625</t>
  </si>
  <si>
    <t>003626</t>
  </si>
  <si>
    <t>003631</t>
  </si>
  <si>
    <t>003633</t>
  </si>
  <si>
    <t>003632</t>
  </si>
  <si>
    <t>003630</t>
  </si>
  <si>
    <t>003629</t>
  </si>
  <si>
    <t>003635</t>
  </si>
  <si>
    <t>3634</t>
  </si>
  <si>
    <t>003640</t>
  </si>
  <si>
    <t>003642</t>
  </si>
  <si>
    <t>003639</t>
  </si>
  <si>
    <t>003638</t>
  </si>
  <si>
    <t>003641</t>
  </si>
  <si>
    <t>003637</t>
  </si>
  <si>
    <t>003636</t>
  </si>
  <si>
    <t>003646</t>
  </si>
  <si>
    <t>003643</t>
  </si>
  <si>
    <t>003644</t>
  </si>
  <si>
    <t>003645</t>
  </si>
  <si>
    <t>003649</t>
  </si>
  <si>
    <t>003648</t>
  </si>
  <si>
    <t>003650</t>
  </si>
  <si>
    <t>003652</t>
  </si>
  <si>
    <t>003653</t>
  </si>
  <si>
    <t>003651</t>
  </si>
  <si>
    <t>003655</t>
  </si>
  <si>
    <t>003661</t>
  </si>
  <si>
    <t>003654</t>
  </si>
  <si>
    <t>003660</t>
  </si>
  <si>
    <t>003659</t>
  </si>
  <si>
    <t>003658</t>
  </si>
  <si>
    <t>003657</t>
  </si>
  <si>
    <t>003656</t>
  </si>
  <si>
    <t>003662</t>
  </si>
  <si>
    <t>003663</t>
  </si>
  <si>
    <t>003665</t>
  </si>
  <si>
    <t>003664</t>
  </si>
  <si>
    <t>003667</t>
  </si>
  <si>
    <t>003669</t>
  </si>
  <si>
    <t>003668</t>
  </si>
  <si>
    <t>003672</t>
  </si>
  <si>
    <t>003671</t>
  </si>
  <si>
    <t>003670</t>
  </si>
  <si>
    <t>003674</t>
  </si>
  <si>
    <t>003676</t>
  </si>
  <si>
    <t>003675</t>
  </si>
  <si>
    <t>003673</t>
  </si>
  <si>
    <t>003678</t>
  </si>
  <si>
    <t>003679</t>
  </si>
  <si>
    <t>003680</t>
  </si>
  <si>
    <t>Devolução KARINA DE AZEVEDO TEIXEIRA</t>
  </si>
  <si>
    <t>003684</t>
  </si>
  <si>
    <t>003685</t>
  </si>
  <si>
    <t>003686</t>
  </si>
  <si>
    <t>003682</t>
  </si>
  <si>
    <t>003687</t>
  </si>
  <si>
    <t>003683</t>
  </si>
  <si>
    <t>003681</t>
  </si>
  <si>
    <t>003688</t>
  </si>
  <si>
    <t>003690</t>
  </si>
  <si>
    <t>003689</t>
  </si>
  <si>
    <t>003693</t>
  </si>
  <si>
    <t>003692</t>
  </si>
  <si>
    <t>003691</t>
  </si>
  <si>
    <t>003694</t>
  </si>
  <si>
    <t>003696</t>
  </si>
  <si>
    <t>003695</t>
  </si>
  <si>
    <t>Devolução NF 3626</t>
  </si>
  <si>
    <t>003699</t>
  </si>
  <si>
    <t>003698</t>
  </si>
  <si>
    <t>003700</t>
  </si>
  <si>
    <t>003701</t>
  </si>
  <si>
    <t>003704</t>
  </si>
  <si>
    <t>003703</t>
  </si>
  <si>
    <t>003702</t>
  </si>
  <si>
    <t>003705</t>
  </si>
  <si>
    <t>003707</t>
  </si>
  <si>
    <t>003706</t>
  </si>
  <si>
    <t>003712</t>
  </si>
  <si>
    <t>003711</t>
  </si>
  <si>
    <t>003709</t>
  </si>
  <si>
    <t>003710</t>
  </si>
  <si>
    <t>003708</t>
  </si>
  <si>
    <t>003715</t>
  </si>
  <si>
    <t>003714</t>
  </si>
  <si>
    <t>003717</t>
  </si>
  <si>
    <t>003716</t>
  </si>
  <si>
    <t>003719</t>
  </si>
  <si>
    <t>003720</t>
  </si>
  <si>
    <t>003718</t>
  </si>
  <si>
    <t>003723</t>
  </si>
  <si>
    <t>003731</t>
  </si>
  <si>
    <t>003730</t>
  </si>
  <si>
    <t>003729</t>
  </si>
  <si>
    <t>003722</t>
  </si>
  <si>
    <t>003728</t>
  </si>
  <si>
    <t>003727</t>
  </si>
  <si>
    <t>003726</t>
  </si>
  <si>
    <t>003725</t>
  </si>
  <si>
    <t>003721</t>
  </si>
  <si>
    <t>003724</t>
  </si>
  <si>
    <t>003733</t>
  </si>
  <si>
    <t>003732</t>
  </si>
  <si>
    <t>003735</t>
  </si>
  <si>
    <t>003734</t>
  </si>
  <si>
    <t>003736</t>
  </si>
  <si>
    <t>003738</t>
  </si>
  <si>
    <t>003740</t>
  </si>
  <si>
    <t>003739</t>
  </si>
  <si>
    <t>003741</t>
  </si>
  <si>
    <t>003744</t>
  </si>
  <si>
    <t>003747</t>
  </si>
  <si>
    <t>003746</t>
  </si>
  <si>
    <t>003745</t>
  </si>
  <si>
    <t>003743</t>
  </si>
  <si>
    <t>003742</t>
  </si>
  <si>
    <t>003748</t>
  </si>
  <si>
    <t>003750</t>
  </si>
  <si>
    <t>003749</t>
  </si>
  <si>
    <t>003752</t>
  </si>
  <si>
    <t>003751</t>
  </si>
  <si>
    <t>003755</t>
  </si>
  <si>
    <t>003754</t>
  </si>
  <si>
    <t>003753</t>
  </si>
  <si>
    <t>003768</t>
  </si>
  <si>
    <t>003757</t>
  </si>
  <si>
    <t>003770</t>
  </si>
  <si>
    <t>003764</t>
  </si>
  <si>
    <t>003774</t>
  </si>
  <si>
    <t>003762</t>
  </si>
  <si>
    <t>003760</t>
  </si>
  <si>
    <t>003769</t>
  </si>
  <si>
    <t>003776</t>
  </si>
  <si>
    <t>003767</t>
  </si>
  <si>
    <t>003766</t>
  </si>
  <si>
    <t>003761</t>
  </si>
  <si>
    <t>003775</t>
  </si>
  <si>
    <t>003772</t>
  </si>
  <si>
    <t>003773</t>
  </si>
  <si>
    <t>003771</t>
  </si>
  <si>
    <t>003765</t>
  </si>
  <si>
    <t>003759</t>
  </si>
  <si>
    <t>003763</t>
  </si>
  <si>
    <t>003758</t>
  </si>
  <si>
    <t>003756</t>
  </si>
  <si>
    <t>Devolução CAMILA DANGELO</t>
  </si>
  <si>
    <t>003779</t>
  </si>
  <si>
    <t>003778</t>
  </si>
  <si>
    <t>003777</t>
  </si>
  <si>
    <t>003781</t>
  </si>
  <si>
    <t>003783</t>
  </si>
  <si>
    <t>003782</t>
  </si>
  <si>
    <t>003780</t>
  </si>
  <si>
    <t>003786</t>
  </si>
  <si>
    <t>003785</t>
  </si>
  <si>
    <t>3737</t>
  </si>
  <si>
    <t>003790</t>
  </si>
  <si>
    <t>003789</t>
  </si>
  <si>
    <t>003787</t>
  </si>
  <si>
    <t>003788</t>
  </si>
  <si>
    <t>003798</t>
  </si>
  <si>
    <t>003791</t>
  </si>
  <si>
    <t>003797</t>
  </si>
  <si>
    <t>003792</t>
  </si>
  <si>
    <t>003796</t>
  </si>
  <si>
    <t>003795</t>
  </si>
  <si>
    <t>003794</t>
  </si>
  <si>
    <t>003793</t>
  </si>
  <si>
    <t>003799</t>
  </si>
  <si>
    <t>003804</t>
  </si>
  <si>
    <t>003803</t>
  </si>
  <si>
    <t>003802</t>
  </si>
  <si>
    <t>003801</t>
  </si>
  <si>
    <t>003800</t>
  </si>
  <si>
    <t>003809</t>
  </si>
  <si>
    <t>003808</t>
  </si>
  <si>
    <t>003807</t>
  </si>
  <si>
    <t>003806</t>
  </si>
  <si>
    <t>003812</t>
  </si>
  <si>
    <t>003810</t>
  </si>
  <si>
    <t>003813</t>
  </si>
  <si>
    <t>003811</t>
  </si>
  <si>
    <t>003817</t>
  </si>
  <si>
    <t>003816</t>
  </si>
  <si>
    <t>003815</t>
  </si>
  <si>
    <t>003814</t>
  </si>
  <si>
    <t>003818</t>
  </si>
  <si>
    <t>003825</t>
  </si>
  <si>
    <t>003823</t>
  </si>
  <si>
    <t>003821</t>
  </si>
  <si>
    <t>003822</t>
  </si>
  <si>
    <t>003824</t>
  </si>
  <si>
    <t>003820</t>
  </si>
  <si>
    <t>003819</t>
  </si>
  <si>
    <t>003828</t>
  </si>
  <si>
    <t>003827</t>
  </si>
  <si>
    <t>003826</t>
  </si>
  <si>
    <t>003831</t>
  </si>
  <si>
    <t>003830</t>
  </si>
  <si>
    <t>003829</t>
  </si>
  <si>
    <t>003832</t>
  </si>
  <si>
    <t>003834</t>
  </si>
  <si>
    <t>003833</t>
  </si>
  <si>
    <t>003835</t>
  </si>
  <si>
    <t>003836</t>
  </si>
  <si>
    <t>003841</t>
  </si>
  <si>
    <t>003839</t>
  </si>
  <si>
    <t>003837</t>
  </si>
  <si>
    <t>003840</t>
  </si>
  <si>
    <t>003838</t>
  </si>
  <si>
    <t>003844</t>
  </si>
  <si>
    <t>003842</t>
  </si>
  <si>
    <t>003843</t>
  </si>
  <si>
    <t>003847</t>
  </si>
  <si>
    <t>003848</t>
  </si>
  <si>
    <t>003846</t>
  </si>
  <si>
    <t>003845</t>
  </si>
  <si>
    <t>003852</t>
  </si>
  <si>
    <t>003851</t>
  </si>
  <si>
    <t>003850</t>
  </si>
  <si>
    <t>003849</t>
  </si>
  <si>
    <t>003853</t>
  </si>
  <si>
    <t>003857</t>
  </si>
  <si>
    <t>003856</t>
  </si>
  <si>
    <t>003855</t>
  </si>
  <si>
    <t>003854</t>
  </si>
  <si>
    <t>003860</t>
  </si>
  <si>
    <t>003859</t>
  </si>
  <si>
    <t>003858</t>
  </si>
  <si>
    <t>003866</t>
  </si>
  <si>
    <t>003861</t>
  </si>
  <si>
    <t>003865</t>
  </si>
  <si>
    <t>003864</t>
  </si>
  <si>
    <t>003863</t>
  </si>
  <si>
    <t>003862</t>
  </si>
  <si>
    <t>003867</t>
  </si>
  <si>
    <t>003869</t>
  </si>
  <si>
    <t>003868</t>
  </si>
  <si>
    <t>003874</t>
  </si>
  <si>
    <t>003873</t>
  </si>
  <si>
    <t>003872</t>
  </si>
  <si>
    <t>003871</t>
  </si>
  <si>
    <t>003876</t>
  </si>
  <si>
    <t>003877</t>
  </si>
  <si>
    <t>003875</t>
  </si>
  <si>
    <t>Devolução BIANCA RAMOS</t>
  </si>
  <si>
    <t>003882</t>
  </si>
  <si>
    <t>003883</t>
  </si>
  <si>
    <t>003881</t>
  </si>
  <si>
    <t>003880</t>
  </si>
  <si>
    <t>003879</t>
  </si>
  <si>
    <t>003878</t>
  </si>
  <si>
    <t>003889</t>
  </si>
  <si>
    <t>003888</t>
  </si>
  <si>
    <t>003887</t>
  </si>
  <si>
    <t>003886</t>
  </si>
  <si>
    <t>003885</t>
  </si>
  <si>
    <t>003884</t>
  </si>
  <si>
    <t>003890</t>
  </si>
  <si>
    <t>003891</t>
  </si>
  <si>
    <t>003892</t>
  </si>
  <si>
    <t>003893</t>
  </si>
  <si>
    <t>003895</t>
  </si>
  <si>
    <t>003894</t>
  </si>
  <si>
    <t>003898</t>
  </si>
  <si>
    <t>003897</t>
  </si>
  <si>
    <t>003896</t>
  </si>
  <si>
    <t>003907</t>
  </si>
  <si>
    <t>003906</t>
  </si>
  <si>
    <t>003905</t>
  </si>
  <si>
    <t>003900</t>
  </si>
  <si>
    <t>003904</t>
  </si>
  <si>
    <t>003903</t>
  </si>
  <si>
    <t>003902</t>
  </si>
  <si>
    <t>003901</t>
  </si>
  <si>
    <t>003899</t>
  </si>
  <si>
    <t>003909</t>
  </si>
  <si>
    <t>003910</t>
  </si>
  <si>
    <t>003912</t>
  </si>
  <si>
    <t>003911</t>
  </si>
  <si>
    <t>003908</t>
  </si>
  <si>
    <t>003914</t>
  </si>
  <si>
    <t>003913</t>
  </si>
  <si>
    <t>003917</t>
  </si>
  <si>
    <t>003915</t>
  </si>
  <si>
    <t>003916</t>
  </si>
  <si>
    <t>003918</t>
  </si>
  <si>
    <t>003925</t>
  </si>
  <si>
    <t>003920</t>
  </si>
  <si>
    <t>003924</t>
  </si>
  <si>
    <t>003919</t>
  </si>
  <si>
    <t>003926</t>
  </si>
  <si>
    <t>003923</t>
  </si>
  <si>
    <t>003922</t>
  </si>
  <si>
    <t>003921</t>
  </si>
  <si>
    <t>003927</t>
  </si>
  <si>
    <t>003928</t>
  </si>
  <si>
    <t>003930</t>
  </si>
  <si>
    <t>003929</t>
  </si>
  <si>
    <t>003933</t>
  </si>
  <si>
    <t>003932</t>
  </si>
  <si>
    <t>003931</t>
  </si>
  <si>
    <t>003936</t>
  </si>
  <si>
    <t>003935</t>
  </si>
  <si>
    <t>003934</t>
  </si>
  <si>
    <t>003940</t>
  </si>
  <si>
    <t>003939</t>
  </si>
  <si>
    <t>003938</t>
  </si>
  <si>
    <t>003937</t>
  </si>
  <si>
    <t>Devolução TAMYRIS GIBIM</t>
  </si>
  <si>
    <t>003943</t>
  </si>
  <si>
    <t>003942</t>
  </si>
  <si>
    <t>003944</t>
  </si>
  <si>
    <t>003945</t>
  </si>
  <si>
    <t>003949</t>
  </si>
  <si>
    <t>003948</t>
  </si>
  <si>
    <t>003947</t>
  </si>
  <si>
    <t>003946</t>
  </si>
  <si>
    <t>003950</t>
  </si>
  <si>
    <t>003959</t>
  </si>
  <si>
    <t>003960</t>
  </si>
  <si>
    <t>003958</t>
  </si>
  <si>
    <t>003954</t>
  </si>
  <si>
    <t>003953</t>
  </si>
  <si>
    <t>003952</t>
  </si>
  <si>
    <t>003951</t>
  </si>
  <si>
    <t>003957</t>
  </si>
  <si>
    <t>003956</t>
  </si>
  <si>
    <t>003955</t>
  </si>
  <si>
    <t>003962</t>
  </si>
  <si>
    <t>003961</t>
  </si>
  <si>
    <t>003963</t>
  </si>
  <si>
    <t>NF retirada da expedição devido a duplicidade</t>
  </si>
  <si>
    <t>003966</t>
  </si>
  <si>
    <t>003965</t>
  </si>
  <si>
    <t>003964</t>
  </si>
  <si>
    <t>003967</t>
  </si>
  <si>
    <t>MÉDIO</t>
  </si>
  <si>
    <t>003975</t>
  </si>
  <si>
    <t>003974</t>
  </si>
  <si>
    <t>003968</t>
  </si>
  <si>
    <t>003973</t>
  </si>
  <si>
    <t>003972</t>
  </si>
  <si>
    <t>003969</t>
  </si>
  <si>
    <t>003971</t>
  </si>
  <si>
    <t>003970</t>
  </si>
  <si>
    <t>003978</t>
  </si>
  <si>
    <t>003977</t>
  </si>
  <si>
    <t>003976</t>
  </si>
  <si>
    <t>003980</t>
  </si>
  <si>
    <t>003979</t>
  </si>
  <si>
    <t>Devolução NF 3771</t>
  </si>
  <si>
    <t>003986</t>
  </si>
  <si>
    <t>003985</t>
  </si>
  <si>
    <t>003981</t>
  </si>
  <si>
    <t>003984</t>
  </si>
  <si>
    <t>003983</t>
  </si>
  <si>
    <t>003982</t>
  </si>
  <si>
    <t>003989</t>
  </si>
  <si>
    <t>003991</t>
  </si>
  <si>
    <t>003990</t>
  </si>
  <si>
    <t>003988</t>
  </si>
  <si>
    <t>003987</t>
  </si>
  <si>
    <t>003992</t>
  </si>
  <si>
    <t>003994</t>
  </si>
  <si>
    <t>003993</t>
  </si>
  <si>
    <t>003998</t>
  </si>
  <si>
    <t>003995</t>
  </si>
  <si>
    <t>004002</t>
  </si>
  <si>
    <t>004001</t>
  </si>
  <si>
    <t>003999</t>
  </si>
  <si>
    <t>004000</t>
  </si>
  <si>
    <t>003997</t>
  </si>
  <si>
    <t>003996</t>
  </si>
  <si>
    <t>004003</t>
  </si>
  <si>
    <t>004005</t>
  </si>
  <si>
    <t>004004</t>
  </si>
  <si>
    <t>004006</t>
  </si>
  <si>
    <t>004008</t>
  </si>
  <si>
    <t>004007</t>
  </si>
  <si>
    <t>004009</t>
  </si>
  <si>
    <t>004019</t>
  </si>
  <si>
    <t>004014</t>
  </si>
  <si>
    <t>004010</t>
  </si>
  <si>
    <t>004017</t>
  </si>
  <si>
    <t>004015</t>
  </si>
  <si>
    <t>004020</t>
  </si>
  <si>
    <t>004018</t>
  </si>
  <si>
    <t>004016</t>
  </si>
  <si>
    <t>004013</t>
  </si>
  <si>
    <t>004012</t>
  </si>
  <si>
    <t>004011</t>
  </si>
  <si>
    <t>Devolução JULIANAMANOROSSET</t>
  </si>
  <si>
    <t>Devolução VERA LUCIA</t>
  </si>
  <si>
    <t>Devolução KEVIN MENDES</t>
  </si>
  <si>
    <t>004026</t>
  </si>
  <si>
    <t>004025</t>
  </si>
  <si>
    <t>004024</t>
  </si>
  <si>
    <t>004023</t>
  </si>
  <si>
    <t>004022</t>
  </si>
  <si>
    <t>004021</t>
  </si>
  <si>
    <t>004031</t>
  </si>
  <si>
    <t>004029</t>
  </si>
  <si>
    <t>004033</t>
  </si>
  <si>
    <t>004032</t>
  </si>
  <si>
    <t>004030</t>
  </si>
  <si>
    <t>004034</t>
  </si>
  <si>
    <t>004050</t>
  </si>
  <si>
    <t>004040</t>
  </si>
  <si>
    <t>004048</t>
  </si>
  <si>
    <t>004045</t>
  </si>
  <si>
    <t>004039</t>
  </si>
  <si>
    <t>004047</t>
  </si>
  <si>
    <t>004051</t>
  </si>
  <si>
    <t>004049</t>
  </si>
  <si>
    <t>004038</t>
  </si>
  <si>
    <t>004046</t>
  </si>
  <si>
    <t>004044</t>
  </si>
  <si>
    <t>004043</t>
  </si>
  <si>
    <t>004042</t>
  </si>
  <si>
    <t>004041</t>
  </si>
  <si>
    <t>004054</t>
  </si>
  <si>
    <t>004053</t>
  </si>
  <si>
    <t>004052</t>
  </si>
  <si>
    <t>004056</t>
  </si>
  <si>
    <t>004058</t>
  </si>
  <si>
    <t>004057</t>
  </si>
  <si>
    <t>004055</t>
  </si>
  <si>
    <t>004059</t>
  </si>
  <si>
    <t>004061</t>
  </si>
  <si>
    <t>004060</t>
  </si>
  <si>
    <t>Devolução LAIS PITARELLO</t>
  </si>
  <si>
    <t>004068</t>
  </si>
  <si>
    <t>004067</t>
  </si>
  <si>
    <t>004065</t>
  </si>
  <si>
    <t>004066</t>
  </si>
  <si>
    <t>004064</t>
  </si>
  <si>
    <t>004063</t>
  </si>
  <si>
    <t>004071</t>
  </si>
  <si>
    <t>004070</t>
  </si>
  <si>
    <t>004069</t>
  </si>
  <si>
    <t xml:space="preserve">Devolução CLAUDINE VANESSA </t>
  </si>
  <si>
    <t>Conciliação Inventário realizado em 24/03</t>
  </si>
  <si>
    <t>004072</t>
  </si>
  <si>
    <t>004073</t>
  </si>
  <si>
    <t>Devolução GRAZIELA MARCON</t>
  </si>
  <si>
    <t>004074</t>
  </si>
  <si>
    <t>004078</t>
  </si>
  <si>
    <t>004077</t>
  </si>
  <si>
    <t>004076</t>
  </si>
  <si>
    <t>004075</t>
  </si>
  <si>
    <t>004081</t>
  </si>
  <si>
    <t>004080</t>
  </si>
  <si>
    <t>004079</t>
  </si>
  <si>
    <t>004086</t>
  </si>
  <si>
    <t>004087</t>
  </si>
  <si>
    <t>004085</t>
  </si>
  <si>
    <t>004084</t>
  </si>
  <si>
    <t>004083</t>
  </si>
  <si>
    <t>004090</t>
  </si>
  <si>
    <t>004089</t>
  </si>
  <si>
    <t>004088</t>
  </si>
  <si>
    <t>004095</t>
  </si>
  <si>
    <t>004091</t>
  </si>
  <si>
    <t>004094</t>
  </si>
  <si>
    <t>004093</t>
  </si>
  <si>
    <t>004092</t>
  </si>
  <si>
    <t>004100</t>
  </si>
  <si>
    <t>004099</t>
  </si>
  <si>
    <t>004101</t>
  </si>
  <si>
    <t>004103</t>
  </si>
  <si>
    <t>004102</t>
  </si>
  <si>
    <t>004105</t>
  </si>
  <si>
    <t>004104</t>
  </si>
  <si>
    <t>30560088</t>
  </si>
  <si>
    <t>Colar Ocean</t>
  </si>
  <si>
    <t>30550088</t>
  </si>
  <si>
    <t>Colar Madreperola</t>
  </si>
  <si>
    <t>30570088</t>
  </si>
  <si>
    <t>Colar Coral</t>
  </si>
  <si>
    <t>30580088</t>
  </si>
  <si>
    <t>Colar Jaspe</t>
  </si>
  <si>
    <t>21030088</t>
  </si>
  <si>
    <t>Piercing Fake Torcido Banho Ouro</t>
  </si>
  <si>
    <t>21060088</t>
  </si>
  <si>
    <t>Piercing Fake Croissant Banho Ouro</t>
  </si>
  <si>
    <t>21080099</t>
  </si>
  <si>
    <t>Piercing Fake Bold Prateado</t>
  </si>
  <si>
    <t>21070088</t>
  </si>
  <si>
    <t>Piercing Fake Bold Banho Ouro</t>
  </si>
  <si>
    <t>21020088</t>
  </si>
  <si>
    <t>Meia Argola Torcida Banho Ouro</t>
  </si>
  <si>
    <t>21050099</t>
  </si>
  <si>
    <t>Ear Hook Lilly Prateado</t>
  </si>
  <si>
    <t>21040088</t>
  </si>
  <si>
    <t>Ear Hook Lilly Banho Ouro</t>
  </si>
  <si>
    <t>21000099</t>
  </si>
  <si>
    <t>Brinco Agatha Prateado</t>
  </si>
  <si>
    <t>20990088</t>
  </si>
  <si>
    <t>Brinco Agatha Banho Ouro</t>
  </si>
  <si>
    <t>21010088</t>
  </si>
  <si>
    <t>Brinco Gota Banho Ouro</t>
  </si>
  <si>
    <t>4096</t>
  </si>
  <si>
    <t>004106</t>
  </si>
  <si>
    <t>004108</t>
  </si>
  <si>
    <t>004107</t>
  </si>
  <si>
    <t>Ultima atualização em 10/04/2026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</si>
</sst>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€&quot;* #,##0.00_);_(&quot;€&quot;* \(#,##0.00\);_(&quot;€&quot;* &quot;-&quot;??_);_(@_)"/>
    <numFmt numFmtId="165" formatCode="_(* #,##0.00_);_(* \(#,##0.00\);_(* &quot;-&quot;??_);_(@_)"/>
    <numFmt numFmtId="166" formatCode="_(&quot;R$&quot;* #,##0.00_);_(&quot;R$&quot;* \(#,##0.00\);_(&quot;R$&quot;* &quot;-&quot;??_);_(@_)"/>
  </numFmts>
  <fonts count="30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0"/>
      <name val="Calibri"/>
      <family val="2"/>
    </font>
    <font>
      <sz val="8"/>
      <name val="Calibri"/>
      <family val="2"/>
    </font>
    <font>
      <sz val="8"/>
      <name val="Lato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222222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Arial"/>
      <family val="2"/>
    </font>
    <font>
      <sz val="9"/>
      <color rgb="FF22222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ajor"/>
    </font>
    <font>
      <sz val="10"/>
      <name val="Calibri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7D5FFF"/>
        <bgColor rgb="FF7D5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4125"/>
      </patternFill>
    </fill>
    <fill>
      <patternFill patternType="solid">
        <fgColor theme="0"/>
        <bgColor rgb="FFE7E6E6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</borders>
  <cellStyleXfs count="12">
    <xf numFmtId="0" fontId="0" fillId="0" borderId="0"/>
    <xf numFmtId="0" fontId="1" fillId="0" borderId="1"/>
    <xf numFmtId="9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165" fontId="1" fillId="0" borderId="1" applyFont="0" applyFill="0" applyBorder="0" applyAlignment="0" applyProtection="0"/>
    <xf numFmtId="0" fontId="26" fillId="0" borderId="1"/>
    <xf numFmtId="0" fontId="25" fillId="0" borderId="1" applyFill="0" applyProtection="0"/>
    <xf numFmtId="166" fontId="1" fillId="0" borderId="1" applyFont="0" applyFill="0" applyBorder="0" applyAlignment="0" applyProtection="0"/>
    <xf numFmtId="165" fontId="1" fillId="0" borderId="1" applyFont="0" applyFill="0" applyBorder="0" applyAlignment="0" applyProtection="0"/>
    <xf numFmtId="165" fontId="1" fillId="0" borderId="1" applyFont="0" applyFill="0" applyBorder="0" applyAlignment="0" applyProtection="0"/>
    <xf numFmtId="0" fontId="25" fillId="0" borderId="1" applyFill="0" applyProtection="0"/>
    <xf numFmtId="165" fontId="27" fillId="0" borderId="1" applyFont="0" applyFill="0" applyBorder="0" applyAlignment="0" applyProtection="0"/>
  </cellStyleXfs>
  <cellXfs count="1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10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4" fillId="4" borderId="0" xfId="0" applyFont="1" applyFill="1"/>
    <xf numFmtId="0" fontId="16" fillId="4" borderId="0" xfId="0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3" fillId="6" borderId="5" xfId="0" applyFont="1" applyFill="1" applyBorder="1"/>
    <xf numFmtId="0" fontId="3" fillId="6" borderId="5" xfId="0" applyFont="1" applyFill="1" applyBorder="1" applyAlignment="1">
      <alignment horizontal="left"/>
    </xf>
    <xf numFmtId="14" fontId="3" fillId="6" borderId="5" xfId="0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vertical="center"/>
    </xf>
    <xf numFmtId="0" fontId="16" fillId="6" borderId="5" xfId="0" applyFont="1" applyFill="1" applyBorder="1"/>
    <xf numFmtId="0" fontId="3" fillId="4" borderId="5" xfId="0" applyFont="1" applyFill="1" applyBorder="1"/>
    <xf numFmtId="0" fontId="11" fillId="4" borderId="5" xfId="0" applyFont="1" applyFill="1" applyBorder="1"/>
    <xf numFmtId="0" fontId="16" fillId="4" borderId="5" xfId="0" applyFont="1" applyFill="1" applyBorder="1"/>
    <xf numFmtId="0" fontId="11" fillId="4" borderId="5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left"/>
    </xf>
    <xf numFmtId="14" fontId="11" fillId="4" borderId="5" xfId="0" applyNumberFormat="1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wrapText="1"/>
    </xf>
    <xf numFmtId="0" fontId="19" fillId="4" borderId="5" xfId="0" applyFont="1" applyFill="1" applyBorder="1" applyAlignment="1">
      <alignment horizontal="left"/>
    </xf>
    <xf numFmtId="0" fontId="10" fillId="0" borderId="5" xfId="0" applyFont="1" applyBorder="1"/>
    <xf numFmtId="0" fontId="11" fillId="4" borderId="5" xfId="0" applyFont="1" applyFill="1" applyBorder="1" applyAlignment="1">
      <alignment vertical="center"/>
    </xf>
    <xf numFmtId="0" fontId="21" fillId="4" borderId="5" xfId="0" applyFont="1" applyFill="1" applyBorder="1" applyAlignment="1">
      <alignment horizontal="left"/>
    </xf>
    <xf numFmtId="0" fontId="20" fillId="2" borderId="5" xfId="0" applyFont="1" applyFill="1" applyBorder="1" applyAlignment="1">
      <alignment horizontal="center" vertical="center"/>
    </xf>
    <xf numFmtId="22" fontId="21" fillId="4" borderId="5" xfId="0" applyNumberFormat="1" applyFont="1" applyFill="1" applyBorder="1" applyAlignment="1">
      <alignment horizontal="left"/>
    </xf>
    <xf numFmtId="14" fontId="21" fillId="4" borderId="5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16" fillId="0" borderId="0" xfId="0" applyFont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0" fontId="11" fillId="4" borderId="5" xfId="0" applyFont="1" applyFill="1" applyBorder="1" applyAlignment="1">
      <alignment horizontal="left" vertical="top"/>
    </xf>
    <xf numFmtId="49" fontId="11" fillId="4" borderId="5" xfId="0" applyNumberFormat="1" applyFont="1" applyFill="1" applyBorder="1" applyAlignment="1">
      <alignment horizontal="left" vertical="top"/>
    </xf>
    <xf numFmtId="0" fontId="14" fillId="4" borderId="5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4" fontId="11" fillId="0" borderId="0" xfId="0" applyNumberFormat="1" applyFont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2" fillId="2" borderId="2" xfId="0" applyFont="1" applyFill="1" applyBorder="1" applyAlignment="1" applyProtection="1">
      <alignment horizontal="center" vertical="center"/>
      <protection hidden="1"/>
    </xf>
    <xf numFmtId="0" fontId="11" fillId="0" borderId="3" xfId="0" applyFont="1" applyBorder="1" applyAlignment="1" applyProtection="1">
      <alignment horizontal="center" vertical="center"/>
      <protection hidden="1"/>
    </xf>
    <xf numFmtId="0" fontId="13" fillId="3" borderId="3" xfId="0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1" fillId="0" borderId="0" xfId="0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14" fontId="11" fillId="0" borderId="0" xfId="0" applyNumberFormat="1" applyFont="1" applyAlignment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1" fillId="4" borderId="0" xfId="0" applyFont="1" applyFill="1" applyAlignment="1">
      <alignment vertical="center"/>
    </xf>
    <xf numFmtId="0" fontId="14" fillId="4" borderId="3" xfId="0" applyFont="1" applyFill="1" applyBorder="1" applyAlignment="1">
      <alignment vertical="center" wrapText="1"/>
    </xf>
    <xf numFmtId="0" fontId="14" fillId="4" borderId="3" xfId="0" applyFont="1" applyFill="1" applyBorder="1" applyAlignment="1" applyProtection="1">
      <alignment vertical="center" wrapText="1"/>
      <protection hidden="1"/>
    </xf>
    <xf numFmtId="4" fontId="11" fillId="0" borderId="3" xfId="0" applyNumberFormat="1" applyFont="1" applyBorder="1" applyAlignment="1" applyProtection="1">
      <alignment vertical="center"/>
      <protection hidden="1"/>
    </xf>
    <xf numFmtId="0" fontId="11" fillId="0" borderId="1" xfId="0" applyFont="1" applyBorder="1" applyAlignment="1" applyProtection="1">
      <alignment horizontal="left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15" fillId="5" borderId="1" xfId="0" applyFont="1" applyFill="1" applyBorder="1" applyAlignment="1">
      <alignment horizontal="center" vertical="center"/>
    </xf>
    <xf numFmtId="0" fontId="11" fillId="4" borderId="0" xfId="0" applyFont="1" applyFill="1" applyAlignment="1" applyProtection="1">
      <alignment vertical="center"/>
      <protection locked="0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49" fontId="28" fillId="0" borderId="0" xfId="0" applyNumberFormat="1" applyFont="1" applyAlignment="1">
      <alignment horizontal="left"/>
    </xf>
    <xf numFmtId="49" fontId="28" fillId="0" borderId="3" xfId="0" applyNumberFormat="1" applyFont="1" applyBorder="1" applyAlignment="1">
      <alignment horizontal="left"/>
    </xf>
    <xf numFmtId="49" fontId="29" fillId="4" borderId="1" xfId="0" applyNumberFormat="1" applyFont="1" applyFill="1" applyBorder="1" applyAlignment="1">
      <alignment horizontal="left" wrapText="1"/>
    </xf>
    <xf numFmtId="0" fontId="16" fillId="0" borderId="3" xfId="0" applyFont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49" fontId="28" fillId="0" borderId="4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7" fillId="4" borderId="0" xfId="0" applyNumberFormat="1" applyFont="1" applyFill="1" applyAlignment="1">
      <alignment horizontal="left" wrapText="1"/>
    </xf>
    <xf numFmtId="49" fontId="0" fillId="0" borderId="1" xfId="0" applyNumberForma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0" fillId="0" borderId="1" xfId="0" applyNumberFormat="1" applyBorder="1"/>
    <xf numFmtId="0" fontId="7" fillId="4" borderId="0" xfId="0" applyFont="1" applyFill="1" applyAlignment="1">
      <alignment wrapText="1"/>
    </xf>
    <xf numFmtId="49" fontId="29" fillId="4" borderId="0" xfId="0" applyNumberFormat="1" applyFont="1" applyFill="1" applyAlignment="1">
      <alignment horizontal="left" wrapText="1"/>
    </xf>
    <xf numFmtId="49" fontId="28" fillId="0" borderId="1" xfId="0" applyNumberFormat="1" applyFont="1" applyBorder="1" applyAlignment="1">
      <alignment horizontal="left"/>
    </xf>
    <xf numFmtId="0" fontId="29" fillId="4" borderId="0" xfId="0" applyFont="1" applyFill="1" applyAlignment="1">
      <alignment wrapText="1"/>
    </xf>
    <xf numFmtId="0" fontId="28" fillId="0" borderId="0" xfId="0" applyFont="1" applyAlignment="1">
      <alignment horizontal="left"/>
    </xf>
    <xf numFmtId="49" fontId="28" fillId="4" borderId="0" xfId="0" applyNumberFormat="1" applyFont="1" applyFill="1" applyAlignment="1">
      <alignment horizontal="left" vertical="top"/>
    </xf>
    <xf numFmtId="49" fontId="29" fillId="4" borderId="5" xfId="0" applyNumberFormat="1" applyFont="1" applyFill="1" applyBorder="1" applyAlignment="1">
      <alignment horizontal="left" wrapText="1"/>
    </xf>
    <xf numFmtId="0" fontId="28" fillId="0" borderId="0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7" fillId="4" borderId="0" xfId="0" applyFont="1" applyFill="1" applyAlignment="1">
      <alignment horizontal="left" wrapText="1"/>
    </xf>
    <xf numFmtId="0" fontId="6" fillId="4" borderId="0" xfId="0" applyFont="1" applyFill="1" applyAlignment="1">
      <alignment horizontal="left"/>
    </xf>
    <xf numFmtId="0" fontId="24" fillId="0" borderId="0" xfId="1" applyFont="1" applyBorder="1" applyAlignment="1">
      <alignment vertical="center" wrapText="1"/>
    </xf>
    <xf numFmtId="0" fontId="6" fillId="4" borderId="0" xfId="0" applyFont="1" applyFill="1"/>
    <xf numFmtId="16" fontId="16" fillId="4" borderId="5" xfId="0" applyNumberFormat="1" applyFont="1" applyFill="1" applyBorder="1"/>
    <xf numFmtId="49" fontId="0" fillId="0" borderId="4" xfId="0" applyNumberFormat="1" applyBorder="1"/>
    <xf numFmtId="49" fontId="29" fillId="4" borderId="4" xfId="0" applyNumberFormat="1" applyFont="1" applyFill="1" applyBorder="1" applyAlignment="1">
      <alignment horizontal="left" wrapText="1"/>
    </xf>
    <xf numFmtId="0" fontId="28" fillId="0" borderId="4" xfId="0" applyFont="1" applyBorder="1" applyAlignment="1">
      <alignment horizontal="left"/>
    </xf>
    <xf numFmtId="0" fontId="7" fillId="4" borderId="4" xfId="0" applyFont="1" applyFill="1" applyBorder="1" applyAlignment="1">
      <alignment wrapText="1"/>
    </xf>
  </cellXfs>
  <cellStyles count="12">
    <cellStyle name="Comma 2" xfId="11" xr:uid="{0C6CAA65-3E85-4A14-AB34-FF42EA2860BB}"/>
    <cellStyle name="Moeda 2" xfId="7" xr:uid="{F1199C1B-0046-4DE8-B593-4770A3D8524C}"/>
    <cellStyle name="Moeda 3" xfId="3" xr:uid="{B294F570-0592-40BA-B476-98D4EDE5C932}"/>
    <cellStyle name="Normal" xfId="0" builtinId="0"/>
    <cellStyle name="Normal 2" xfId="5" xr:uid="{80D3A5F5-9CDA-4350-B8EF-2C92A9B35DE2}"/>
    <cellStyle name="Normal 2 2" xfId="6" xr:uid="{7AFC5B3B-8A58-4A2C-94CC-2704D10630A9}"/>
    <cellStyle name="Normal 3" xfId="10" xr:uid="{EE89CBA7-9A3A-4A58-BC0A-AB4940AFDB2B}"/>
    <cellStyle name="Normal 4" xfId="1" xr:uid="{7F0B7447-1CDC-40A9-806F-EF18EC6A717E}"/>
    <cellStyle name="Porcentagem 2" xfId="2" xr:uid="{D7B3E11A-20E4-49FA-9BC8-BE32F0F1CECB}"/>
    <cellStyle name="Vírgula 2" xfId="8" xr:uid="{B3B5295A-E8F2-458D-BA33-927F2CDE09A7}"/>
    <cellStyle name="Vírgula 3" xfId="9" xr:uid="{48D636C5-63C5-4189-96C5-8DF9BDC53AF2}"/>
    <cellStyle name="Vírgula 4" xfId="4" xr:uid="{97005AC4-7A83-4FC0-A811-EF87F6EE5255}"/>
  </cellStyles>
  <dxfs count="23">
    <dxf>
      <font>
        <color rgb="FFFF0000"/>
      </font>
    </dxf>
    <dxf>
      <font>
        <b/>
      </font>
      <fill>
        <patternFill patternType="solid">
          <fgColor rgb="FFE06666"/>
          <bgColor rgb="FFE06666"/>
        </patternFill>
      </fill>
    </dxf>
    <dxf>
      <font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  <protection locked="1" hidden="1"/>
    </dxf>
    <dxf>
      <font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indent="0" justifyLastLine="0" shrinkToFit="0" readingOrder="0"/>
      <protection locked="1" hidden="1"/>
    </dxf>
    <dxf>
      <font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indent="0" justifyLastLine="0" shrinkToFit="0" readingOrder="0"/>
      <protection locked="1" hidden="1"/>
    </dxf>
    <dxf>
      <font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indent="0" justifyLastLine="0" shrinkToFit="0" readingOrder="0"/>
      <protection locked="1" hidden="1"/>
    </dxf>
    <dxf>
      <font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  <protection locked="1" hidden="1"/>
    </dxf>
    <dxf>
      <font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indent="0" justifyLastLine="0" shrinkToFit="0" readingOrder="0"/>
      <protection locked="1" hidden="1"/>
    </dxf>
    <dxf>
      <font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indent="0" justifyLastLine="0" shrinkToFit="0" readingOrder="0"/>
      <protection locked="1" hidden="1"/>
    </dxf>
    <dxf>
      <font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indent="0" justifyLastLine="0" shrinkToFit="0" readingOrder="0"/>
      <protection locked="1" hidden="1"/>
    </dxf>
    <dxf>
      <fill>
        <patternFill>
          <bgColor theme="5" tint="0.79998168889431442"/>
        </patternFill>
      </fill>
      <border>
        <top style="mediumDashed">
          <color auto="1"/>
        </top>
        <bottom style="mediumDashed">
          <color auto="1"/>
        </bottom>
      </border>
    </dxf>
    <dxf>
      <fill>
        <patternFill>
          <bgColor theme="8" tint="0.79998168889431442"/>
        </patternFill>
      </fill>
      <border>
        <top style="double">
          <color auto="1"/>
        </top>
        <bottom style="double">
          <color auto="1"/>
        </bottom>
      </border>
    </dxf>
    <dxf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8" tint="0.79998168889431442"/>
        </patternFill>
      </fill>
      <border>
        <top style="mediumDashed">
          <color auto="1"/>
        </top>
        <bottom style="mediumDashed">
          <color auto="1"/>
        </bottom>
      </border>
    </dxf>
    <dxf>
      <fill>
        <patternFill>
          <bgColor theme="0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theme="0" tint="-4.9989318521683403E-2"/>
        </patternFill>
      </fill>
      <border>
        <top style="thick">
          <color auto="1"/>
        </top>
        <bottom style="thick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8">
    <tableStyle name="ESTOQUE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ESTOQUE-style 2" pivot="0" count="2" xr9:uid="{00000000-0011-0000-FFFF-FFFF01000000}">
      <tableStyleElement type="firstRowStripe" dxfId="19"/>
      <tableStyleElement type="secondRowStripe" dxfId="18"/>
    </tableStyle>
    <tableStyle name="Estilo de Tabela Dinâmica 1" table="0" count="0" xr9:uid="{F97EBA5B-CA1C-490B-AF0E-5119D607CE0A}"/>
    <tableStyle name="Estilo de Tabela Dinâmica 2" table="0" count="1" xr9:uid="{369D1E9C-786A-4DF7-8E55-2580254A16B7}">
      <tableStyleElement type="firstSubtotalRow" dxfId="17"/>
    </tableStyle>
    <tableStyle name="Estilo de Tabela Dinâmica 3" table="0" count="1" xr9:uid="{D34EF28C-ED33-469E-976E-6A3FE978D806}">
      <tableStyleElement type="secondSubtotalRow" dxfId="16"/>
    </tableStyle>
    <tableStyle name="Estilo de Tabela Dinâmica 4" table="0" count="1" xr9:uid="{68481D08-E0C8-4605-8849-357E39D8522F}">
      <tableStyleElement type="firstColumnStripe" size="3"/>
    </tableStyle>
    <tableStyle name="Estilo de Tabela Dinâmica 5" table="0" count="3" xr9:uid="{4B33B6FE-5CC6-4A84-BCE6-1148E9BC86E6}">
      <tableStyleElement type="firstSubtotalRow" dxfId="15"/>
      <tableStyleElement type="secondSubtotalRow" dxfId="14"/>
      <tableStyleElement type="thirdSubtotalRow" dxfId="13"/>
    </tableStyle>
    <tableStyle name="Estilo de Tabela Dinâmica 6" table="0" count="3" xr9:uid="{3A6462EC-CD79-4E4F-9A91-AA753E44427A}">
      <tableStyleElement type="firstSubtotalColumn" dxfId="12"/>
      <tableStyleElement type="secondSubtotalColumn" dxfId="11"/>
      <tableStyleElement type="thirdSubtotalColumn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90675" cy="1047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H7" headerRowCount="0" headerRowDxfId="9" dataDxfId="8" totalsRowDxfId="7">
  <tableColumns count="1">
    <tableColumn id="1" xr3:uid="{00000000-0010-0000-0000-000001000000}" name="Column1" dataDxfId="6"/>
  </tableColumns>
  <tableStyleInfo name="ESTOQU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3142D4-9634-44F0-94E0-69B2971E5687}" name="Table_13" displayName="Table_13" ref="H8" headerRowCount="0" headerRowDxfId="5" dataDxfId="4" totalsRowDxfId="3">
  <tableColumns count="1">
    <tableColumn id="1" xr3:uid="{F7BC4C83-2B6B-48E6-9E4A-CD5597BFB05A}" name="Column1" dataDxfId="2"/>
  </tableColumns>
  <tableStyleInfo name="ESTO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7D5FFF"/>
  </sheetPr>
  <dimension ref="C1:P661"/>
  <sheetViews>
    <sheetView showGridLines="0" zoomScale="98" zoomScaleNormal="98" workbookViewId="0">
      <selection activeCell="L10" sqref="L10"/>
    </sheetView>
  </sheetViews>
  <sheetFormatPr defaultColWidth="11.2109375" defaultRowHeight="15" customHeight="1" x14ac:dyDescent="0.45"/>
  <cols>
    <col min="1" max="2" width="10.5703125" style="63" customWidth="1"/>
    <col min="3" max="3" width="19.2109375" style="46" customWidth="1"/>
    <col min="4" max="4" width="51.42578125" style="61" bestFit="1" customWidth="1"/>
    <col min="5" max="5" width="13" style="61" customWidth="1"/>
    <col min="6" max="7" width="10.5703125" style="61" customWidth="1"/>
    <col min="8" max="8" width="12.0703125" style="61" customWidth="1"/>
    <col min="9" max="9" width="11" style="61" customWidth="1"/>
    <col min="10" max="10" width="11" style="63" customWidth="1"/>
    <col min="11" max="11" width="22.5" style="64" customWidth="1"/>
    <col min="12" max="12" width="10.5703125" style="64" customWidth="1"/>
    <col min="13" max="13" width="6.92578125" style="63" customWidth="1"/>
    <col min="14" max="26" width="10.5703125" style="63" customWidth="1"/>
    <col min="27" max="16384" width="11.2109375" style="63"/>
  </cols>
  <sheetData>
    <row r="1" spans="3:16" ht="15.75" customHeight="1" x14ac:dyDescent="0.45">
      <c r="H1" s="62"/>
    </row>
    <row r="2" spans="3:16" ht="15.75" customHeight="1" x14ac:dyDescent="0.45">
      <c r="H2" s="62"/>
      <c r="J2" s="55" t="s">
        <v>0</v>
      </c>
      <c r="K2" s="56">
        <v>44890</v>
      </c>
    </row>
    <row r="3" spans="3:16" ht="15.75" customHeight="1" x14ac:dyDescent="0.45">
      <c r="H3" s="62"/>
      <c r="J3" s="55" t="s">
        <v>1</v>
      </c>
      <c r="K3" s="56">
        <v>46752</v>
      </c>
    </row>
    <row r="4" spans="3:16" ht="15.75" customHeight="1" x14ac:dyDescent="0.45">
      <c r="H4" s="62"/>
    </row>
    <row r="5" spans="3:16" ht="15.75" customHeight="1" x14ac:dyDescent="0.45">
      <c r="H5" s="62"/>
      <c r="K5" s="65" t="s">
        <v>1456</v>
      </c>
      <c r="L5" s="66"/>
    </row>
    <row r="6" spans="3:16" ht="15.75" customHeight="1" x14ac:dyDescent="0.45">
      <c r="C6" s="47" t="s">
        <v>2</v>
      </c>
      <c r="D6" s="58" t="s">
        <v>3</v>
      </c>
      <c r="E6" s="58" t="s">
        <v>4</v>
      </c>
      <c r="F6" s="58" t="s">
        <v>5</v>
      </c>
      <c r="G6" s="58" t="s">
        <v>6</v>
      </c>
      <c r="H6" s="58" t="s">
        <v>7</v>
      </c>
      <c r="I6" s="58" t="s">
        <v>8</v>
      </c>
      <c r="K6" s="67" t="s">
        <v>9</v>
      </c>
      <c r="L6" s="67" t="s">
        <v>10</v>
      </c>
      <c r="N6" s="14" t="s">
        <v>11</v>
      </c>
      <c r="O6" s="68"/>
    </row>
    <row r="7" spans="3:16" ht="15.75" customHeight="1" x14ac:dyDescent="0.45">
      <c r="C7" s="69" t="s">
        <v>804</v>
      </c>
      <c r="D7" s="70" t="str">
        <f>VLOOKUP(C7,'Cadastro Produtos (kiwkiw)'!C:E,3,0)</f>
        <v>Anel Drop Banho Ouro</v>
      </c>
      <c r="E7" s="59">
        <f>SUMIFS(DETALHADO!G:G,DETALHADO!D:D,"&lt;"&amp;ESTOQUE!$K$2,DETALHADO!E:E,ESTOQUE!$C7)</f>
        <v>0</v>
      </c>
      <c r="F7" s="59">
        <f>SUMIFS(DETALHADO!G:G,DETALHADO!D:D,"&lt;="&amp;ESTOQUE!$K$3,DETALHADO!D:D,"&gt;="&amp;ESTOQUE!$K$2,DETALHADO!E:E,ESTOQUE!$C7,DETALHADO!C:C,ESTOQUE!F$6)</f>
        <v>19</v>
      </c>
      <c r="G7" s="59">
        <f>-SUMIFS(DETALHADO!G:G,DETALHADO!D:D,"&lt;="&amp;ESTOQUE!$K$3,DETALHADO!D:D,"&gt;="&amp;ESTOQUE!$K$2,DETALHADO!E:E,ESTOQUE!$C7,DETALHADO!C:C,ESTOQUE!G$6)</f>
        <v>12</v>
      </c>
      <c r="H7" s="60">
        <f t="shared" ref="H7" si="0">+E7+F7-G7</f>
        <v>7</v>
      </c>
      <c r="I7" s="71">
        <f>+H7*VLOOKUP(C7,'Cadastro Produtos (kiwkiw)'!C:F,4,0)</f>
        <v>0</v>
      </c>
      <c r="K7" s="80" t="s">
        <v>13</v>
      </c>
      <c r="L7" s="57" t="s">
        <v>14</v>
      </c>
      <c r="N7" s="14" t="s">
        <v>15</v>
      </c>
      <c r="O7" s="68"/>
    </row>
    <row r="8" spans="3:16" ht="15.75" customHeight="1" x14ac:dyDescent="0.45">
      <c r="C8" s="85" t="s">
        <v>12</v>
      </c>
      <c r="D8" s="70" t="str">
        <f>VLOOKUP(C8,'Cadastro Produtos (kiwkiw)'!C:E,3,0)</f>
        <v>Anel Duplo Banho Ouro</v>
      </c>
      <c r="E8" s="59">
        <f>SUMIFS(DETALHADO!G:G,DETALHADO!D:D,"&lt;"&amp;ESTOQUE!$K$2,DETALHADO!E:E,ESTOQUE!$C8)</f>
        <v>0</v>
      </c>
      <c r="F8" s="59">
        <f>SUMIFS(DETALHADO!G:G,DETALHADO!D:D,"&lt;="&amp;ESTOQUE!$K$3,DETALHADO!D:D,"&gt;="&amp;ESTOQUE!$K$2,DETALHADO!E:E,ESTOQUE!$C8,DETALHADO!C:C,ESTOQUE!F$6)</f>
        <v>18</v>
      </c>
      <c r="G8" s="59">
        <f>-SUMIFS(DETALHADO!G:G,DETALHADO!D:D,"&lt;="&amp;ESTOQUE!$K$3,DETALHADO!D:D,"&gt;="&amp;ESTOQUE!$K$2,DETALHADO!E:E,ESTOQUE!$C8,DETALHADO!C:C,ESTOQUE!G$6)</f>
        <v>18</v>
      </c>
      <c r="H8" s="60">
        <f t="shared" ref="H8:H71" si="1">+E8+F8-G8</f>
        <v>0</v>
      </c>
      <c r="I8" s="71">
        <f>+H8*VLOOKUP(C8,'Cadastro Produtos (kiwkiw)'!C:F,4,0)</f>
        <v>0</v>
      </c>
      <c r="K8" s="80" t="s">
        <v>17</v>
      </c>
      <c r="L8" s="57" t="s">
        <v>14</v>
      </c>
      <c r="N8" s="14" t="s">
        <v>18</v>
      </c>
      <c r="O8" s="68"/>
    </row>
    <row r="9" spans="3:16" ht="15.75" customHeight="1" x14ac:dyDescent="0.45">
      <c r="C9" s="85" t="s">
        <v>16</v>
      </c>
      <c r="D9" s="70" t="str">
        <f>VLOOKUP(C9,'Cadastro Produtos (kiwkiw)'!C:E,3,0)</f>
        <v>Anel Etta Banho Ouro</v>
      </c>
      <c r="E9" s="59">
        <f>SUMIFS(DETALHADO!G:G,DETALHADO!D:D,"&lt;"&amp;ESTOQUE!$K$2,DETALHADO!E:E,ESTOQUE!$C9)</f>
        <v>0</v>
      </c>
      <c r="F9" s="59">
        <f>SUMIFS(DETALHADO!G:G,DETALHADO!D:D,"&lt;="&amp;ESTOQUE!$K$3,DETALHADO!D:D,"&gt;="&amp;ESTOQUE!$K$2,DETALHADO!E:E,ESTOQUE!$C9,DETALHADO!C:C,ESTOQUE!F$6)</f>
        <v>22</v>
      </c>
      <c r="G9" s="59">
        <f>-SUMIFS(DETALHADO!G:G,DETALHADO!D:D,"&lt;="&amp;ESTOQUE!$K$3,DETALHADO!D:D,"&gt;="&amp;ESTOQUE!$K$2,DETALHADO!E:E,ESTOQUE!$C9,DETALHADO!C:C,ESTOQUE!G$6)</f>
        <v>22</v>
      </c>
      <c r="H9" s="60">
        <f t="shared" si="1"/>
        <v>0</v>
      </c>
      <c r="I9" s="71">
        <f>+H9*VLOOKUP(C9,'Cadastro Produtos (kiwkiw)'!C:F,4,0)</f>
        <v>0</v>
      </c>
      <c r="K9" s="80" t="s">
        <v>20</v>
      </c>
      <c r="L9" s="57" t="s">
        <v>1287</v>
      </c>
      <c r="N9" s="14" t="s">
        <v>21</v>
      </c>
    </row>
    <row r="10" spans="3:16" ht="15.75" customHeight="1" x14ac:dyDescent="0.45">
      <c r="C10" s="85" t="s">
        <v>805</v>
      </c>
      <c r="D10" s="70" t="str">
        <f>VLOOKUP(C10,'Cadastro Produtos (kiwkiw)'!C:E,3,0)</f>
        <v>Anel No Banho Ouro</v>
      </c>
      <c r="E10" s="59">
        <f>SUMIFS(DETALHADO!G:G,DETALHADO!D:D,"&lt;"&amp;ESTOQUE!$K$2,DETALHADO!E:E,ESTOQUE!$C10)</f>
        <v>0</v>
      </c>
      <c r="F10" s="59">
        <f>SUMIFS(DETALHADO!G:G,DETALHADO!D:D,"&lt;="&amp;ESTOQUE!$K$3,DETALHADO!D:D,"&gt;="&amp;ESTOQUE!$K$2,DETALHADO!E:E,ESTOQUE!$C10,DETALHADO!C:C,ESTOQUE!F$6)</f>
        <v>19</v>
      </c>
      <c r="G10" s="59">
        <f>-SUMIFS(DETALHADO!G:G,DETALHADO!D:D,"&lt;="&amp;ESTOQUE!$K$3,DETALHADO!D:D,"&gt;="&amp;ESTOQUE!$K$2,DETALHADO!E:E,ESTOQUE!$C10,DETALHADO!C:C,ESTOQUE!G$6)</f>
        <v>4</v>
      </c>
      <c r="H10" s="60">
        <f t="shared" si="1"/>
        <v>15</v>
      </c>
      <c r="I10" s="71">
        <f>+H10*VLOOKUP(C10,'Cadastro Produtos (kiwkiw)'!C:F,4,0)</f>
        <v>0</v>
      </c>
      <c r="K10" s="80" t="s">
        <v>23</v>
      </c>
      <c r="L10" s="57" t="s">
        <v>14</v>
      </c>
    </row>
    <row r="11" spans="3:16" ht="15.75" customHeight="1" x14ac:dyDescent="0.45">
      <c r="C11" s="85" t="s">
        <v>806</v>
      </c>
      <c r="D11" s="70" t="str">
        <f>VLOOKUP(C11,'Cadastro Produtos (kiwkiw)'!C:E,3,0)</f>
        <v>Anel Roll Banho Ouro</v>
      </c>
      <c r="E11" s="59">
        <f>SUMIFS(DETALHADO!G:G,DETALHADO!D:D,"&lt;"&amp;ESTOQUE!$K$2,DETALHADO!E:E,ESTOQUE!$C11)</f>
        <v>0</v>
      </c>
      <c r="F11" s="59">
        <f>SUMIFS(DETALHADO!G:G,DETALHADO!D:D,"&lt;="&amp;ESTOQUE!$K$3,DETALHADO!D:D,"&gt;="&amp;ESTOQUE!$K$2,DETALHADO!E:E,ESTOQUE!$C11,DETALHADO!C:C,ESTOQUE!F$6)</f>
        <v>19</v>
      </c>
      <c r="G11" s="59">
        <f>-SUMIFS(DETALHADO!G:G,DETALHADO!D:D,"&lt;="&amp;ESTOQUE!$K$3,DETALHADO!D:D,"&gt;="&amp;ESTOQUE!$K$2,DETALHADO!E:E,ESTOQUE!$C11,DETALHADO!C:C,ESTOQUE!G$6)</f>
        <v>6</v>
      </c>
      <c r="H11" s="60">
        <f t="shared" si="1"/>
        <v>13</v>
      </c>
      <c r="I11" s="71">
        <f>+H11*VLOOKUP(C11,'Cadastro Produtos (kiwkiw)'!C:F,4,0)</f>
        <v>0</v>
      </c>
      <c r="K11" s="72"/>
      <c r="L11" s="81"/>
    </row>
    <row r="12" spans="3:16" ht="15.75" customHeight="1" x14ac:dyDescent="0.45">
      <c r="C12" s="85" t="s">
        <v>19</v>
      </c>
      <c r="D12" s="70" t="str">
        <f>VLOOKUP(C12,'Cadastro Produtos (kiwkiw)'!C:E,3,0)</f>
        <v>Anel Zig Ajustavel Banho Ouro</v>
      </c>
      <c r="E12" s="59">
        <f>SUMIFS(DETALHADO!G:G,DETALHADO!D:D,"&lt;"&amp;ESTOQUE!$K$2,DETALHADO!E:E,ESTOQUE!$C12)</f>
        <v>0</v>
      </c>
      <c r="F12" s="59">
        <f>SUMIFS(DETALHADO!G:G,DETALHADO!D:D,"&lt;="&amp;ESTOQUE!$K$3,DETALHADO!D:D,"&gt;="&amp;ESTOQUE!$K$2,DETALHADO!E:E,ESTOQUE!$C12,DETALHADO!C:C,ESTOQUE!F$6)</f>
        <v>8</v>
      </c>
      <c r="G12" s="59">
        <f>-SUMIFS(DETALHADO!G:G,DETALHADO!D:D,"&lt;="&amp;ESTOQUE!$K$3,DETALHADO!D:D,"&gt;="&amp;ESTOQUE!$K$2,DETALHADO!E:E,ESTOQUE!$C12,DETALHADO!C:C,ESTOQUE!G$6)</f>
        <v>8</v>
      </c>
      <c r="H12" s="60">
        <f t="shared" si="1"/>
        <v>0</v>
      </c>
      <c r="I12" s="71">
        <f>+H12*VLOOKUP(C12,'Cadastro Produtos (kiwkiw)'!C:F,4,0)</f>
        <v>0</v>
      </c>
      <c r="K12" s="72"/>
      <c r="L12" s="81"/>
      <c r="P12" s="68"/>
    </row>
    <row r="13" spans="3:16" ht="15.75" customHeight="1" x14ac:dyDescent="0.45">
      <c r="C13" s="85" t="s">
        <v>25</v>
      </c>
      <c r="D13" s="70" t="str">
        <f>VLOOKUP(C13,'Cadastro Produtos (kiwkiw)'!C:E,3,0)</f>
        <v>Argola Amy Banho Ouro</v>
      </c>
      <c r="E13" s="59">
        <f>SUMIFS(DETALHADO!G:G,DETALHADO!D:D,"&lt;"&amp;ESTOQUE!$K$2,DETALHADO!E:E,ESTOQUE!$C13)</f>
        <v>0</v>
      </c>
      <c r="F13" s="59">
        <f>SUMIFS(DETALHADO!G:G,DETALHADO!D:D,"&lt;="&amp;ESTOQUE!$K$3,DETALHADO!D:D,"&gt;="&amp;ESTOQUE!$K$2,DETALHADO!E:E,ESTOQUE!$C13,DETALHADO!C:C,ESTOQUE!F$6)</f>
        <v>12</v>
      </c>
      <c r="G13" s="59">
        <f>-SUMIFS(DETALHADO!G:G,DETALHADO!D:D,"&lt;="&amp;ESTOQUE!$K$3,DETALHADO!D:D,"&gt;="&amp;ESTOQUE!$K$2,DETALHADO!E:E,ESTOQUE!$C13,DETALHADO!C:C,ESTOQUE!G$6)</f>
        <v>12</v>
      </c>
      <c r="H13" s="60">
        <f t="shared" si="1"/>
        <v>0</v>
      </c>
      <c r="I13" s="71">
        <f>+H13*VLOOKUP(C13,'Cadastro Produtos (kiwkiw)'!C:F,4,0)</f>
        <v>0</v>
      </c>
      <c r="K13" s="72"/>
      <c r="L13" s="81"/>
    </row>
    <row r="14" spans="3:16" ht="15.75" customHeight="1" x14ac:dyDescent="0.45">
      <c r="C14" s="85" t="s">
        <v>22</v>
      </c>
      <c r="D14" s="70" t="str">
        <f>VLOOKUP(C14,'Cadastro Produtos (kiwkiw)'!C:E,3,0)</f>
        <v>Argola Bold Grande Banho Ouro</v>
      </c>
      <c r="E14" s="59">
        <f>SUMIFS(DETALHADO!G:G,DETALHADO!D:D,"&lt;"&amp;ESTOQUE!$K$2,DETALHADO!E:E,ESTOQUE!$C14)</f>
        <v>0</v>
      </c>
      <c r="F14" s="59">
        <f>SUMIFS(DETALHADO!G:G,DETALHADO!D:D,"&lt;="&amp;ESTOQUE!$K$3,DETALHADO!D:D,"&gt;="&amp;ESTOQUE!$K$2,DETALHADO!E:E,ESTOQUE!$C14,DETALHADO!C:C,ESTOQUE!F$6)</f>
        <v>13</v>
      </c>
      <c r="G14" s="59">
        <f>-SUMIFS(DETALHADO!G:G,DETALHADO!D:D,"&lt;="&amp;ESTOQUE!$K$3,DETALHADO!D:D,"&gt;="&amp;ESTOQUE!$K$2,DETALHADO!E:E,ESTOQUE!$C14,DETALHADO!C:C,ESTOQUE!G$6)</f>
        <v>13</v>
      </c>
      <c r="H14" s="60">
        <f t="shared" si="1"/>
        <v>0</v>
      </c>
      <c r="I14" s="71">
        <f>+H14*VLOOKUP(C14,'Cadastro Produtos (kiwkiw)'!C:F,4,0)</f>
        <v>0</v>
      </c>
      <c r="K14" s="72"/>
      <c r="L14" s="74"/>
      <c r="P14" s="68"/>
    </row>
    <row r="15" spans="3:16" ht="15.75" customHeight="1" x14ac:dyDescent="0.45">
      <c r="C15" s="85" t="s">
        <v>24</v>
      </c>
      <c r="D15" s="70" t="str">
        <f>VLOOKUP(C15,'Cadastro Produtos (kiwkiw)'!C:E,3,0)</f>
        <v>Argola Bold Pequena Banho Ouro</v>
      </c>
      <c r="E15" s="59">
        <f>SUMIFS(DETALHADO!G:G,DETALHADO!D:D,"&lt;"&amp;ESTOQUE!$K$2,DETALHADO!E:E,ESTOQUE!$C15)</f>
        <v>0</v>
      </c>
      <c r="F15" s="59">
        <f>SUMIFS(DETALHADO!G:G,DETALHADO!D:D,"&lt;="&amp;ESTOQUE!$K$3,DETALHADO!D:D,"&gt;="&amp;ESTOQUE!$K$2,DETALHADO!E:E,ESTOQUE!$C15,DETALHADO!C:C,ESTOQUE!F$6)</f>
        <v>17</v>
      </c>
      <c r="G15" s="59">
        <f>-SUMIFS(DETALHADO!G:G,DETALHADO!D:D,"&lt;="&amp;ESTOQUE!$K$3,DETALHADO!D:D,"&gt;="&amp;ESTOQUE!$K$2,DETALHADO!E:E,ESTOQUE!$C15,DETALHADO!C:C,ESTOQUE!G$6)</f>
        <v>17</v>
      </c>
      <c r="H15" s="60">
        <f t="shared" si="1"/>
        <v>0</v>
      </c>
      <c r="I15" s="71">
        <f>+H15*VLOOKUP(C15,'Cadastro Produtos (kiwkiw)'!C:F,4,0)</f>
        <v>0</v>
      </c>
      <c r="K15" s="78"/>
      <c r="L15" s="74"/>
      <c r="P15" s="68"/>
    </row>
    <row r="16" spans="3:16" ht="15.75" customHeight="1" x14ac:dyDescent="0.45">
      <c r="C16" s="85" t="s">
        <v>35</v>
      </c>
      <c r="D16" s="70" t="str">
        <f>VLOOKUP(C16,'Cadastro Produtos (kiwkiw)'!C:E,3,0)</f>
        <v>Argola Classy Banho Ouro</v>
      </c>
      <c r="E16" s="59">
        <f>SUMIFS(DETALHADO!G:G,DETALHADO!D:D,"&lt;"&amp;ESTOQUE!$K$2,DETALHADO!E:E,ESTOQUE!$C16)</f>
        <v>0</v>
      </c>
      <c r="F16" s="59">
        <f>SUMIFS(DETALHADO!G:G,DETALHADO!D:D,"&lt;="&amp;ESTOQUE!$K$3,DETALHADO!D:D,"&gt;="&amp;ESTOQUE!$K$2,DETALHADO!E:E,ESTOQUE!$C16,DETALHADO!C:C,ESTOQUE!F$6)</f>
        <v>62</v>
      </c>
      <c r="G16" s="59">
        <f>-SUMIFS(DETALHADO!G:G,DETALHADO!D:D,"&lt;="&amp;ESTOQUE!$K$3,DETALHADO!D:D,"&gt;="&amp;ESTOQUE!$K$2,DETALHADO!E:E,ESTOQUE!$C16,DETALHADO!C:C,ESTOQUE!G$6)</f>
        <v>40</v>
      </c>
      <c r="H16" s="60">
        <f t="shared" si="1"/>
        <v>22</v>
      </c>
      <c r="I16" s="71">
        <f>+H16*VLOOKUP(C16,'Cadastro Produtos (kiwkiw)'!C:F,4,0)</f>
        <v>0</v>
      </c>
      <c r="K16" s="72"/>
      <c r="L16" s="81"/>
      <c r="O16" s="68"/>
      <c r="P16" s="68"/>
    </row>
    <row r="17" spans="3:16" ht="15.75" customHeight="1" x14ac:dyDescent="0.45">
      <c r="C17" s="85" t="s">
        <v>36</v>
      </c>
      <c r="D17" s="70" t="str">
        <f>VLOOKUP(C17,'Cadastro Produtos (kiwkiw)'!C:E,3,0)</f>
        <v>Argola Classy Prateada</v>
      </c>
      <c r="E17" s="59">
        <f>SUMIFS(DETALHADO!G:G,DETALHADO!D:D,"&lt;"&amp;ESTOQUE!$K$2,DETALHADO!E:E,ESTOQUE!$C17)</f>
        <v>0</v>
      </c>
      <c r="F17" s="59">
        <f>SUMIFS(DETALHADO!G:G,DETALHADO!D:D,"&lt;="&amp;ESTOQUE!$K$3,DETALHADO!D:D,"&gt;="&amp;ESTOQUE!$K$2,DETALHADO!E:E,ESTOQUE!$C17,DETALHADO!C:C,ESTOQUE!F$6)</f>
        <v>36</v>
      </c>
      <c r="G17" s="59">
        <f>-SUMIFS(DETALHADO!G:G,DETALHADO!D:D,"&lt;="&amp;ESTOQUE!$K$3,DETALHADO!D:D,"&gt;="&amp;ESTOQUE!$K$2,DETALHADO!E:E,ESTOQUE!$C17,DETALHADO!C:C,ESTOQUE!G$6)</f>
        <v>25</v>
      </c>
      <c r="H17" s="60">
        <f t="shared" si="1"/>
        <v>11</v>
      </c>
      <c r="I17" s="71">
        <f>+H17*VLOOKUP(C17,'Cadastro Produtos (kiwkiw)'!C:F,4,0)</f>
        <v>0</v>
      </c>
      <c r="K17" s="72"/>
      <c r="L17" s="81"/>
      <c r="P17" s="68"/>
    </row>
    <row r="18" spans="3:16" ht="15.75" customHeight="1" x14ac:dyDescent="0.45">
      <c r="C18" s="85" t="s">
        <v>827</v>
      </c>
      <c r="D18" s="70" t="str">
        <f>VLOOKUP(C18,'Cadastro Produtos (kiwkiw)'!C:E,3,0)</f>
        <v>Argola Click Croissant Banho Ouro</v>
      </c>
      <c r="E18" s="59">
        <f>SUMIFS(DETALHADO!G:G,DETALHADO!D:D,"&lt;"&amp;ESTOQUE!$K$2,DETALHADO!E:E,ESTOQUE!$C18)</f>
        <v>0</v>
      </c>
      <c r="F18" s="59">
        <f>SUMIFS(DETALHADO!G:G,DETALHADO!D:D,"&lt;="&amp;ESTOQUE!$K$3,DETALHADO!D:D,"&gt;="&amp;ESTOQUE!$K$2,DETALHADO!E:E,ESTOQUE!$C18,DETALHADO!C:C,ESTOQUE!F$6)</f>
        <v>20</v>
      </c>
      <c r="G18" s="59">
        <f>-SUMIFS(DETALHADO!G:G,DETALHADO!D:D,"&lt;="&amp;ESTOQUE!$K$3,DETALHADO!D:D,"&gt;="&amp;ESTOQUE!$K$2,DETALHADO!E:E,ESTOQUE!$C18,DETALHADO!C:C,ESTOQUE!G$6)</f>
        <v>5</v>
      </c>
      <c r="H18" s="60">
        <f t="shared" si="1"/>
        <v>15</v>
      </c>
      <c r="I18" s="71">
        <f>+H18*VLOOKUP(C18,'Cadastro Produtos (kiwkiw)'!C:F,4,0)</f>
        <v>0</v>
      </c>
    </row>
    <row r="19" spans="3:16" ht="15.75" customHeight="1" x14ac:dyDescent="0.45">
      <c r="C19" s="85" t="s">
        <v>29</v>
      </c>
      <c r="D19" s="70" t="str">
        <f>VLOOKUP(C19,'Cadastro Produtos (kiwkiw)'!C:E,3,0)</f>
        <v>Argola Click Diamond Banho Ouro</v>
      </c>
      <c r="E19" s="59">
        <f>SUMIFS(DETALHADO!G:G,DETALHADO!D:D,"&lt;"&amp;ESTOQUE!$K$2,DETALHADO!E:E,ESTOQUE!$C19)</f>
        <v>0</v>
      </c>
      <c r="F19" s="59">
        <f>SUMIFS(DETALHADO!G:G,DETALHADO!D:D,"&lt;="&amp;ESTOQUE!$K$3,DETALHADO!D:D,"&gt;="&amp;ESTOQUE!$K$2,DETALHADO!E:E,ESTOQUE!$C19,DETALHADO!C:C,ESTOQUE!F$6)</f>
        <v>50</v>
      </c>
      <c r="G19" s="59">
        <f>-SUMIFS(DETALHADO!G:G,DETALHADO!D:D,"&lt;="&amp;ESTOQUE!$K$3,DETALHADO!D:D,"&gt;="&amp;ESTOQUE!$K$2,DETALHADO!E:E,ESTOQUE!$C19,DETALHADO!C:C,ESTOQUE!G$6)</f>
        <v>25</v>
      </c>
      <c r="H19" s="60">
        <f t="shared" si="1"/>
        <v>25</v>
      </c>
      <c r="I19" s="71">
        <f>+H19*VLOOKUP(C19,'Cadastro Produtos (kiwkiw)'!C:F,4,0)</f>
        <v>0</v>
      </c>
    </row>
    <row r="20" spans="3:16" ht="15.75" customHeight="1" x14ac:dyDescent="0.45">
      <c r="C20" s="85" t="s">
        <v>26</v>
      </c>
      <c r="D20" s="70" t="str">
        <f>VLOOKUP(C20,'Cadastro Produtos (kiwkiw)'!C:E,3,0)</f>
        <v>Argola Click Grande Banho Ouro</v>
      </c>
      <c r="E20" s="59">
        <f>SUMIFS(DETALHADO!G:G,DETALHADO!D:D,"&lt;"&amp;ESTOQUE!$K$2,DETALHADO!E:E,ESTOQUE!$C20)</f>
        <v>0</v>
      </c>
      <c r="F20" s="59">
        <f>SUMIFS(DETALHADO!G:G,DETALHADO!D:D,"&lt;="&amp;ESTOQUE!$K$3,DETALHADO!D:D,"&gt;="&amp;ESTOQUE!$K$2,DETALHADO!E:E,ESTOQUE!$C20,DETALHADO!C:C,ESTOQUE!F$6)</f>
        <v>41</v>
      </c>
      <c r="G20" s="59">
        <f>-SUMIFS(DETALHADO!G:G,DETALHADO!D:D,"&lt;="&amp;ESTOQUE!$K$3,DETALHADO!D:D,"&gt;="&amp;ESTOQUE!$K$2,DETALHADO!E:E,ESTOQUE!$C20,DETALHADO!C:C,ESTOQUE!G$6)</f>
        <v>39</v>
      </c>
      <c r="H20" s="60">
        <f t="shared" si="1"/>
        <v>2</v>
      </c>
      <c r="I20" s="71">
        <f>+H20*VLOOKUP(C20,'Cadastro Produtos (kiwkiw)'!C:F,4,0)</f>
        <v>0</v>
      </c>
      <c r="K20" s="72"/>
      <c r="L20" s="73"/>
    </row>
    <row r="21" spans="3:16" ht="15.75" customHeight="1" x14ac:dyDescent="0.45">
      <c r="C21" s="85" t="s">
        <v>27</v>
      </c>
      <c r="D21" s="70" t="str">
        <f>VLOOKUP(C21,'Cadastro Produtos (kiwkiw)'!C:E,3,0)</f>
        <v>Argola Click Media Banho Ouro</v>
      </c>
      <c r="E21" s="59">
        <f>SUMIFS(DETALHADO!G:G,DETALHADO!D:D,"&lt;"&amp;ESTOQUE!$K$2,DETALHADO!E:E,ESTOQUE!$C21)</f>
        <v>0</v>
      </c>
      <c r="F21" s="59">
        <f>SUMIFS(DETALHADO!G:G,DETALHADO!D:D,"&lt;="&amp;ESTOQUE!$K$3,DETALHADO!D:D,"&gt;="&amp;ESTOQUE!$K$2,DETALHADO!E:E,ESTOQUE!$C21,DETALHADO!C:C,ESTOQUE!F$6)</f>
        <v>46</v>
      </c>
      <c r="G21" s="59">
        <f>-SUMIFS(DETALHADO!G:G,DETALHADO!D:D,"&lt;="&amp;ESTOQUE!$K$3,DETALHADO!D:D,"&gt;="&amp;ESTOQUE!$K$2,DETALHADO!E:E,ESTOQUE!$C21,DETALHADO!C:C,ESTOQUE!G$6)</f>
        <v>34</v>
      </c>
      <c r="H21" s="60">
        <f t="shared" si="1"/>
        <v>12</v>
      </c>
      <c r="I21" s="71">
        <f>+H21*VLOOKUP(C21,'Cadastro Produtos (kiwkiw)'!C:F,4,0)</f>
        <v>0</v>
      </c>
      <c r="K21" s="72"/>
      <c r="L21" s="74"/>
    </row>
    <row r="22" spans="3:16" ht="15" customHeight="1" x14ac:dyDescent="0.45">
      <c r="C22" s="85" t="s">
        <v>28</v>
      </c>
      <c r="D22" s="70" t="str">
        <f>VLOOKUP(C22,'Cadastro Produtos (kiwkiw)'!C:E,3,0)</f>
        <v>Argola Click Pequena Banho Ouro</v>
      </c>
      <c r="E22" s="59">
        <f>SUMIFS(DETALHADO!G:G,DETALHADO!D:D,"&lt;"&amp;ESTOQUE!$K$2,DETALHADO!E:E,ESTOQUE!$C22)</f>
        <v>0</v>
      </c>
      <c r="F22" s="59">
        <f>SUMIFS(DETALHADO!G:G,DETALHADO!D:D,"&lt;="&amp;ESTOQUE!$K$3,DETALHADO!D:D,"&gt;="&amp;ESTOQUE!$K$2,DETALHADO!E:E,ESTOQUE!$C22,DETALHADO!C:C,ESTOQUE!F$6)</f>
        <v>51</v>
      </c>
      <c r="G22" s="59">
        <f>-SUMIFS(DETALHADO!G:G,DETALHADO!D:D,"&lt;="&amp;ESTOQUE!$K$3,DETALHADO!D:D,"&gt;="&amp;ESTOQUE!$K$2,DETALHADO!E:E,ESTOQUE!$C22,DETALHADO!C:C,ESTOQUE!G$6)</f>
        <v>32</v>
      </c>
      <c r="H22" s="60">
        <f t="shared" si="1"/>
        <v>19</v>
      </c>
      <c r="I22" s="71">
        <f>+H22*VLOOKUP(C22,'Cadastro Produtos (kiwkiw)'!C:F,4,0)</f>
        <v>0</v>
      </c>
    </row>
    <row r="23" spans="3:16" s="68" customFormat="1" ht="15.75" customHeight="1" x14ac:dyDescent="0.45">
      <c r="C23" s="85" t="s">
        <v>30</v>
      </c>
      <c r="D23" s="70" t="str">
        <f>VLOOKUP(C23,'Cadastro Produtos (kiwkiw)'!C:E,3,0)</f>
        <v>Argola Organica Banho Ouro</v>
      </c>
      <c r="E23" s="59">
        <f>SUMIFS(DETALHADO!G:G,DETALHADO!D:D,"&lt;"&amp;ESTOQUE!$K$2,DETALHADO!E:E,ESTOQUE!$C23)</f>
        <v>0</v>
      </c>
      <c r="F23" s="59">
        <f>SUMIFS(DETALHADO!G:G,DETALHADO!D:D,"&lt;="&amp;ESTOQUE!$K$3,DETALHADO!D:D,"&gt;="&amp;ESTOQUE!$K$2,DETALHADO!E:E,ESTOQUE!$C23,DETALHADO!C:C,ESTOQUE!F$6)</f>
        <v>16</v>
      </c>
      <c r="G23" s="59">
        <f>-SUMIFS(DETALHADO!G:G,DETALHADO!D:D,"&lt;="&amp;ESTOQUE!$K$3,DETALHADO!D:D,"&gt;="&amp;ESTOQUE!$K$2,DETALHADO!E:E,ESTOQUE!$C23,DETALHADO!C:C,ESTOQUE!G$6)</f>
        <v>16</v>
      </c>
      <c r="H23" s="60">
        <f t="shared" si="1"/>
        <v>0</v>
      </c>
      <c r="I23" s="71">
        <f>+H23*VLOOKUP(C23,'Cadastro Produtos (kiwkiw)'!C:F,4,0)</f>
        <v>0</v>
      </c>
      <c r="J23" s="75"/>
      <c r="K23" s="76"/>
      <c r="L23" s="76"/>
    </row>
    <row r="24" spans="3:16" s="77" customFormat="1" ht="15.75" customHeight="1" x14ac:dyDescent="0.45">
      <c r="C24" s="85" t="s">
        <v>32</v>
      </c>
      <c r="D24" s="70" t="str">
        <f>VLOOKUP(C24,'Cadastro Produtos (kiwkiw)'!C:E,3,0)</f>
        <v>Argola Redonda Basic Banho Ouro</v>
      </c>
      <c r="E24" s="59">
        <f>SUMIFS(DETALHADO!G:G,DETALHADO!D:D,"&lt;"&amp;ESTOQUE!$K$2,DETALHADO!E:E,ESTOQUE!$C24)</f>
        <v>0</v>
      </c>
      <c r="F24" s="59">
        <f>SUMIFS(DETALHADO!G:G,DETALHADO!D:D,"&lt;="&amp;ESTOQUE!$K$3,DETALHADO!D:D,"&gt;="&amp;ESTOQUE!$K$2,DETALHADO!E:E,ESTOQUE!$C24,DETALHADO!C:C,ESTOQUE!F$6)</f>
        <v>58</v>
      </c>
      <c r="G24" s="59">
        <f>-SUMIFS(DETALHADO!G:G,DETALHADO!D:D,"&lt;="&amp;ESTOQUE!$K$3,DETALHADO!D:D,"&gt;="&amp;ESTOQUE!$K$2,DETALHADO!E:E,ESTOQUE!$C24,DETALHADO!C:C,ESTOQUE!G$6)</f>
        <v>44</v>
      </c>
      <c r="H24" s="60">
        <f t="shared" si="1"/>
        <v>14</v>
      </c>
      <c r="I24" s="71">
        <f>+H24*VLOOKUP(C24,'Cadastro Produtos (kiwkiw)'!C:F,4,0)</f>
        <v>0</v>
      </c>
      <c r="K24" s="78"/>
      <c r="L24" s="78"/>
      <c r="N24" s="79"/>
    </row>
    <row r="25" spans="3:16" s="77" customFormat="1" ht="15.75" customHeight="1" x14ac:dyDescent="0.45">
      <c r="C25" s="85" t="s">
        <v>31</v>
      </c>
      <c r="D25" s="70" t="str">
        <f>VLOOKUP(C25,'Cadastro Produtos (kiwkiw)'!C:E,3,0)</f>
        <v>Argola Reta Basic Banho Ouro</v>
      </c>
      <c r="E25" s="59">
        <f>SUMIFS(DETALHADO!G:G,DETALHADO!D:D,"&lt;"&amp;ESTOQUE!$K$2,DETALHADO!E:E,ESTOQUE!$C25)</f>
        <v>0</v>
      </c>
      <c r="F25" s="59">
        <f>SUMIFS(DETALHADO!G:G,DETALHADO!D:D,"&lt;="&amp;ESTOQUE!$K$3,DETALHADO!D:D,"&gt;="&amp;ESTOQUE!$K$2,DETALHADO!E:E,ESTOQUE!$C25,DETALHADO!C:C,ESTOQUE!F$6)</f>
        <v>55</v>
      </c>
      <c r="G25" s="59">
        <f>-SUMIFS(DETALHADO!G:G,DETALHADO!D:D,"&lt;="&amp;ESTOQUE!$K$3,DETALHADO!D:D,"&gt;="&amp;ESTOQUE!$K$2,DETALHADO!E:E,ESTOQUE!$C25,DETALHADO!C:C,ESTOQUE!G$6)</f>
        <v>32</v>
      </c>
      <c r="H25" s="60">
        <f t="shared" si="1"/>
        <v>23</v>
      </c>
      <c r="I25" s="71">
        <f>+H25*VLOOKUP(C25,'Cadastro Produtos (kiwkiw)'!C:F,4,0)</f>
        <v>0</v>
      </c>
      <c r="K25" s="78"/>
      <c r="L25" s="78"/>
      <c r="N25" s="79"/>
    </row>
    <row r="26" spans="3:16" s="77" customFormat="1" ht="15.75" customHeight="1" x14ac:dyDescent="0.45">
      <c r="C26" s="85" t="s">
        <v>33</v>
      </c>
      <c r="D26" s="70" t="str">
        <f>VLOOKUP(C26,'Cadastro Produtos (kiwkiw)'!C:E,3,0)</f>
        <v>Argola Torcida Banho Ouro</v>
      </c>
      <c r="E26" s="59">
        <f>SUMIFS(DETALHADO!G:G,DETALHADO!D:D,"&lt;"&amp;ESTOQUE!$K$2,DETALHADO!E:E,ESTOQUE!$C26)</f>
        <v>0</v>
      </c>
      <c r="F26" s="59">
        <f>SUMIFS(DETALHADO!G:G,DETALHADO!D:D,"&lt;="&amp;ESTOQUE!$K$3,DETALHADO!D:D,"&gt;="&amp;ESTOQUE!$K$2,DETALHADO!E:E,ESTOQUE!$C26,DETALHADO!C:C,ESTOQUE!F$6)</f>
        <v>33</v>
      </c>
      <c r="G26" s="59">
        <f>-SUMIFS(DETALHADO!G:G,DETALHADO!D:D,"&lt;="&amp;ESTOQUE!$K$3,DETALHADO!D:D,"&gt;="&amp;ESTOQUE!$K$2,DETALHADO!E:E,ESTOQUE!$C26,DETALHADO!C:C,ESTOQUE!G$6)</f>
        <v>28</v>
      </c>
      <c r="H26" s="60">
        <f t="shared" si="1"/>
        <v>5</v>
      </c>
      <c r="I26" s="71">
        <f>+H26*VLOOKUP(C26,'Cadastro Produtos (kiwkiw)'!C:F,4,0)</f>
        <v>0</v>
      </c>
      <c r="K26" s="78"/>
      <c r="L26" s="78"/>
      <c r="N26" s="79"/>
    </row>
    <row r="27" spans="3:16" s="77" customFormat="1" ht="15.75" customHeight="1" x14ac:dyDescent="0.45">
      <c r="C27" s="85" t="s">
        <v>34</v>
      </c>
      <c r="D27" s="70" t="str">
        <f>VLOOKUP(C27,'Cadastro Produtos (kiwkiw)'!C:E,3,0)</f>
        <v>Argola Tripla Banho Ouro</v>
      </c>
      <c r="E27" s="59">
        <f>SUMIFS(DETALHADO!G:G,DETALHADO!D:D,"&lt;"&amp;ESTOQUE!$K$2,DETALHADO!E:E,ESTOQUE!$C27)</f>
        <v>0</v>
      </c>
      <c r="F27" s="59">
        <f>SUMIFS(DETALHADO!G:G,DETALHADO!D:D,"&lt;="&amp;ESTOQUE!$K$3,DETALHADO!D:D,"&gt;="&amp;ESTOQUE!$K$2,DETALHADO!E:E,ESTOQUE!$C27,DETALHADO!C:C,ESTOQUE!F$6)</f>
        <v>11</v>
      </c>
      <c r="G27" s="59">
        <f>-SUMIFS(DETALHADO!G:G,DETALHADO!D:D,"&lt;="&amp;ESTOQUE!$K$3,DETALHADO!D:D,"&gt;="&amp;ESTOQUE!$K$2,DETALHADO!E:E,ESTOQUE!$C27,DETALHADO!C:C,ESTOQUE!G$6)</f>
        <v>11</v>
      </c>
      <c r="H27" s="60">
        <f t="shared" si="1"/>
        <v>0</v>
      </c>
      <c r="I27" s="71">
        <f>+H27*VLOOKUP(C27,'Cadastro Produtos (kiwkiw)'!C:F,4,0)</f>
        <v>0</v>
      </c>
      <c r="K27" s="78"/>
      <c r="L27" s="78"/>
      <c r="N27" s="79"/>
    </row>
    <row r="28" spans="3:16" s="77" customFormat="1" ht="15.75" customHeight="1" x14ac:dyDescent="0.45">
      <c r="C28" s="85" t="s">
        <v>37</v>
      </c>
      <c r="D28" s="70" t="str">
        <f>VLOOKUP(C28,'Cadastro Produtos (kiwkiw)'!C:E,3,0)</f>
        <v>Argola Wave Banho Ouro</v>
      </c>
      <c r="E28" s="59">
        <f>SUMIFS(DETALHADO!G:G,DETALHADO!D:D,"&lt;"&amp;ESTOQUE!$K$2,DETALHADO!E:E,ESTOQUE!$C28)</f>
        <v>0</v>
      </c>
      <c r="F28" s="59">
        <f>SUMIFS(DETALHADO!G:G,DETALHADO!D:D,"&lt;="&amp;ESTOQUE!$K$3,DETALHADO!D:D,"&gt;="&amp;ESTOQUE!$K$2,DETALHADO!E:E,ESTOQUE!$C28,DETALHADO!C:C,ESTOQUE!F$6)</f>
        <v>10</v>
      </c>
      <c r="G28" s="59">
        <f>-SUMIFS(DETALHADO!G:G,DETALHADO!D:D,"&lt;="&amp;ESTOQUE!$K$3,DETALHADO!D:D,"&gt;="&amp;ESTOQUE!$K$2,DETALHADO!E:E,ESTOQUE!$C28,DETALHADO!C:C,ESTOQUE!G$6)</f>
        <v>10</v>
      </c>
      <c r="H28" s="60">
        <f t="shared" si="1"/>
        <v>0</v>
      </c>
      <c r="I28" s="71">
        <f>+H28*VLOOKUP(C28,'Cadastro Produtos (kiwkiw)'!C:F,4,0)</f>
        <v>0</v>
      </c>
      <c r="K28" s="78"/>
      <c r="L28" s="78"/>
      <c r="N28" s="79"/>
    </row>
    <row r="29" spans="3:16" s="77" customFormat="1" ht="15.75" customHeight="1" x14ac:dyDescent="0.45">
      <c r="C29" s="85" t="s">
        <v>793</v>
      </c>
      <c r="D29" s="70" t="str">
        <f>VLOOKUP(C29,'Cadastro Produtos (kiwkiw)'!C:E,3,0)</f>
        <v>Argolinha Click Bambu Banho Ouro</v>
      </c>
      <c r="E29" s="59">
        <f>SUMIFS(DETALHADO!G:G,DETALHADO!D:D,"&lt;"&amp;ESTOQUE!$K$2,DETALHADO!E:E,ESTOQUE!$C29)</f>
        <v>0</v>
      </c>
      <c r="F29" s="59">
        <f>SUMIFS(DETALHADO!G:G,DETALHADO!D:D,"&lt;="&amp;ESTOQUE!$K$3,DETALHADO!D:D,"&gt;="&amp;ESTOQUE!$K$2,DETALHADO!E:E,ESTOQUE!$C29,DETALHADO!C:C,ESTOQUE!F$6)</f>
        <v>18</v>
      </c>
      <c r="G29" s="59">
        <f>-SUMIFS(DETALHADO!G:G,DETALHADO!D:D,"&lt;="&amp;ESTOQUE!$K$3,DETALHADO!D:D,"&gt;="&amp;ESTOQUE!$K$2,DETALHADO!E:E,ESTOQUE!$C29,DETALHADO!C:C,ESTOQUE!G$6)</f>
        <v>5</v>
      </c>
      <c r="H29" s="60">
        <f t="shared" si="1"/>
        <v>13</v>
      </c>
      <c r="I29" s="71">
        <f>+H29*VLOOKUP(C29,'Cadastro Produtos (kiwkiw)'!C:F,4,0)</f>
        <v>0</v>
      </c>
      <c r="K29" s="78"/>
      <c r="L29" s="78"/>
      <c r="N29" s="79"/>
    </row>
    <row r="30" spans="3:16" s="77" customFormat="1" ht="15.75" customHeight="1" x14ac:dyDescent="0.45">
      <c r="C30" s="85" t="s">
        <v>772</v>
      </c>
      <c r="D30" s="70" t="str">
        <f>VLOOKUP(C30,'Cadastro Produtos (kiwkiw)'!C:E,3,0)</f>
        <v>Argolinha Click Bambu Prateada</v>
      </c>
      <c r="E30" s="59">
        <f>SUMIFS(DETALHADO!G:G,DETALHADO!D:D,"&lt;"&amp;ESTOQUE!$K$2,DETALHADO!E:E,ESTOQUE!$C30)</f>
        <v>0</v>
      </c>
      <c r="F30" s="59">
        <f>SUMIFS(DETALHADO!G:G,DETALHADO!D:D,"&lt;="&amp;ESTOQUE!$K$3,DETALHADO!D:D,"&gt;="&amp;ESTOQUE!$K$2,DETALHADO!E:E,ESTOQUE!$C30,DETALHADO!C:C,ESTOQUE!F$6)</f>
        <v>10</v>
      </c>
      <c r="G30" s="59">
        <f>-SUMIFS(DETALHADO!G:G,DETALHADO!D:D,"&lt;="&amp;ESTOQUE!$K$3,DETALHADO!D:D,"&gt;="&amp;ESTOQUE!$K$2,DETALHADO!E:E,ESTOQUE!$C30,DETALHADO!C:C,ESTOQUE!G$6)</f>
        <v>3</v>
      </c>
      <c r="H30" s="60">
        <f t="shared" si="1"/>
        <v>7</v>
      </c>
      <c r="I30" s="71">
        <f>+H30*VLOOKUP(C30,'Cadastro Produtos (kiwkiw)'!C:F,4,0)</f>
        <v>0</v>
      </c>
      <c r="K30" s="78"/>
      <c r="L30" s="78"/>
      <c r="N30" s="79"/>
    </row>
    <row r="31" spans="3:16" ht="15.75" customHeight="1" x14ac:dyDescent="0.45">
      <c r="C31" s="85" t="s">
        <v>38</v>
      </c>
      <c r="D31" s="70" t="str">
        <f>VLOOKUP(C31,'Cadastro Produtos (kiwkiw)'!C:E,3,0)</f>
        <v>Argolinha Click Dots Banho Ouro</v>
      </c>
      <c r="E31" s="59">
        <f>SUMIFS(DETALHADO!G:G,DETALHADO!D:D,"&lt;"&amp;ESTOQUE!$K$2,DETALHADO!E:E,ESTOQUE!$C31)</f>
        <v>0</v>
      </c>
      <c r="F31" s="59">
        <f>SUMIFS(DETALHADO!G:G,DETALHADO!D:D,"&lt;="&amp;ESTOQUE!$K$3,DETALHADO!D:D,"&gt;="&amp;ESTOQUE!$K$2,DETALHADO!E:E,ESTOQUE!$C31,DETALHADO!C:C,ESTOQUE!F$6)</f>
        <v>55</v>
      </c>
      <c r="G31" s="59">
        <f>-SUMIFS(DETALHADO!G:G,DETALHADO!D:D,"&lt;="&amp;ESTOQUE!$K$3,DETALHADO!D:D,"&gt;="&amp;ESTOQUE!$K$2,DETALHADO!E:E,ESTOQUE!$C31,DETALHADO!C:C,ESTOQUE!G$6)</f>
        <v>53</v>
      </c>
      <c r="H31" s="60">
        <f t="shared" si="1"/>
        <v>2</v>
      </c>
      <c r="I31" s="71">
        <f>+H31*VLOOKUP(C31,'Cadastro Produtos (kiwkiw)'!C:F,4,0)</f>
        <v>0</v>
      </c>
      <c r="N31" s="79"/>
    </row>
    <row r="32" spans="3:16" ht="15.75" customHeight="1" x14ac:dyDescent="0.45">
      <c r="C32" s="85" t="s">
        <v>39</v>
      </c>
      <c r="D32" s="70" t="str">
        <f>VLOOKUP(C32,'Cadastro Produtos (kiwkiw)'!C:E,3,0)</f>
        <v>Argolinha Click Torcida Banho Ouro</v>
      </c>
      <c r="E32" s="59">
        <f>SUMIFS(DETALHADO!G:G,DETALHADO!D:D,"&lt;"&amp;ESTOQUE!$K$2,DETALHADO!E:E,ESTOQUE!$C32)</f>
        <v>0</v>
      </c>
      <c r="F32" s="59">
        <f>SUMIFS(DETALHADO!G:G,DETALHADO!D:D,"&lt;="&amp;ESTOQUE!$K$3,DETALHADO!D:D,"&gt;="&amp;ESTOQUE!$K$2,DETALHADO!E:E,ESTOQUE!$C32,DETALHADO!C:C,ESTOQUE!F$6)</f>
        <v>11</v>
      </c>
      <c r="G32" s="59">
        <f>-SUMIFS(DETALHADO!G:G,DETALHADO!D:D,"&lt;="&amp;ESTOQUE!$K$3,DETALHADO!D:D,"&gt;="&amp;ESTOQUE!$K$2,DETALHADO!E:E,ESTOQUE!$C32,DETALHADO!C:C,ESTOQUE!G$6)</f>
        <v>11</v>
      </c>
      <c r="H32" s="60">
        <f t="shared" si="1"/>
        <v>0</v>
      </c>
      <c r="I32" s="71">
        <f>+H32*VLOOKUP(C32,'Cadastro Produtos (kiwkiw)'!C:F,4,0)</f>
        <v>0</v>
      </c>
      <c r="N32" s="79"/>
    </row>
    <row r="33" spans="3:14" ht="15.75" customHeight="1" x14ac:dyDescent="0.45">
      <c r="C33" s="85" t="s">
        <v>40</v>
      </c>
      <c r="D33" s="70" t="str">
        <f>VLOOKUP(C33,'Cadastro Produtos (kiwkiw)'!C:E,3,0)</f>
        <v>Argolinha Folha Banho Ouro</v>
      </c>
      <c r="E33" s="59">
        <f>SUMIFS(DETALHADO!G:G,DETALHADO!D:D,"&lt;"&amp;ESTOQUE!$K$2,DETALHADO!E:E,ESTOQUE!$C33)</f>
        <v>0</v>
      </c>
      <c r="F33" s="59">
        <f>SUMIFS(DETALHADO!G:G,DETALHADO!D:D,"&lt;="&amp;ESTOQUE!$K$3,DETALHADO!D:D,"&gt;="&amp;ESTOQUE!$K$2,DETALHADO!E:E,ESTOQUE!$C33,DETALHADO!C:C,ESTOQUE!F$6)</f>
        <v>74</v>
      </c>
      <c r="G33" s="59">
        <f>-SUMIFS(DETALHADO!G:G,DETALHADO!D:D,"&lt;="&amp;ESTOQUE!$K$3,DETALHADO!D:D,"&gt;="&amp;ESTOQUE!$K$2,DETALHADO!E:E,ESTOQUE!$C33,DETALHADO!C:C,ESTOQUE!G$6)</f>
        <v>50</v>
      </c>
      <c r="H33" s="60">
        <f t="shared" si="1"/>
        <v>24</v>
      </c>
      <c r="I33" s="71">
        <f>+H33*VLOOKUP(C33,'Cadastro Produtos (kiwkiw)'!C:F,4,0)</f>
        <v>0</v>
      </c>
      <c r="N33" s="79"/>
    </row>
    <row r="34" spans="3:14" ht="15.75" customHeight="1" x14ac:dyDescent="0.45">
      <c r="C34" s="85" t="s">
        <v>807</v>
      </c>
      <c r="D34" s="70" t="str">
        <f>VLOOKUP(C34,'Cadastro Produtos (kiwkiw)'!C:E,3,0)</f>
        <v>Argolinha Pepita Banho Ouro</v>
      </c>
      <c r="E34" s="59">
        <f>SUMIFS(DETALHADO!G:G,DETALHADO!D:D,"&lt;"&amp;ESTOQUE!$K$2,DETALHADO!E:E,ESTOQUE!$C34)</f>
        <v>0</v>
      </c>
      <c r="F34" s="59">
        <f>SUMIFS(DETALHADO!G:G,DETALHADO!D:D,"&lt;="&amp;ESTOQUE!$K$3,DETALHADO!D:D,"&gt;="&amp;ESTOQUE!$K$2,DETALHADO!E:E,ESTOQUE!$C34,DETALHADO!C:C,ESTOQUE!F$6)</f>
        <v>19</v>
      </c>
      <c r="G34" s="59">
        <f>-SUMIFS(DETALHADO!G:G,DETALHADO!D:D,"&lt;="&amp;ESTOQUE!$K$3,DETALHADO!D:D,"&gt;="&amp;ESTOQUE!$K$2,DETALHADO!E:E,ESTOQUE!$C34,DETALHADO!C:C,ESTOQUE!G$6)</f>
        <v>2</v>
      </c>
      <c r="H34" s="60">
        <f t="shared" si="1"/>
        <v>17</v>
      </c>
      <c r="I34" s="71">
        <f>+H34*VLOOKUP(C34,'Cadastro Produtos (kiwkiw)'!C:F,4,0)</f>
        <v>0</v>
      </c>
      <c r="N34" s="79"/>
    </row>
    <row r="35" spans="3:14" ht="15.75" customHeight="1" x14ac:dyDescent="0.45">
      <c r="C35" s="85" t="s">
        <v>41</v>
      </c>
      <c r="D35" s="70" t="str">
        <f>VLOOKUP(C35,'Cadastro Produtos (kiwkiw)'!C:E,3,0)</f>
        <v>Argolinha Sol Banho Ouro</v>
      </c>
      <c r="E35" s="59">
        <f>SUMIFS(DETALHADO!G:G,DETALHADO!D:D,"&lt;"&amp;ESTOQUE!$K$2,DETALHADO!E:E,ESTOQUE!$C35)</f>
        <v>0</v>
      </c>
      <c r="F35" s="59">
        <f>SUMIFS(DETALHADO!G:G,DETALHADO!D:D,"&lt;="&amp;ESTOQUE!$K$3,DETALHADO!D:D,"&gt;="&amp;ESTOQUE!$K$2,DETALHADO!E:E,ESTOQUE!$C35,DETALHADO!C:C,ESTOQUE!F$6)</f>
        <v>20</v>
      </c>
      <c r="G35" s="59">
        <f>-SUMIFS(DETALHADO!G:G,DETALHADO!D:D,"&lt;="&amp;ESTOQUE!$K$3,DETALHADO!D:D,"&gt;="&amp;ESTOQUE!$K$2,DETALHADO!E:E,ESTOQUE!$C35,DETALHADO!C:C,ESTOQUE!G$6)</f>
        <v>20</v>
      </c>
      <c r="H35" s="60">
        <f t="shared" si="1"/>
        <v>0</v>
      </c>
      <c r="I35" s="71">
        <f>+H35*VLOOKUP(C35,'Cadastro Produtos (kiwkiw)'!C:F,4,0)</f>
        <v>0</v>
      </c>
      <c r="N35" s="79"/>
    </row>
    <row r="36" spans="3:14" ht="15.75" customHeight="1" x14ac:dyDescent="0.45">
      <c r="C36" s="85" t="s">
        <v>808</v>
      </c>
      <c r="D36" s="70" t="str">
        <f>VLOOKUP(C36,'Cadastro Produtos (kiwkiw)'!C:E,3,0)</f>
        <v>Bracelete Curves Banho Ouro</v>
      </c>
      <c r="E36" s="59">
        <f>SUMIFS(DETALHADO!G:G,DETALHADO!D:D,"&lt;"&amp;ESTOQUE!$K$2,DETALHADO!E:E,ESTOQUE!$C36)</f>
        <v>0</v>
      </c>
      <c r="F36" s="59">
        <f>SUMIFS(DETALHADO!G:G,DETALHADO!D:D,"&lt;="&amp;ESTOQUE!$K$3,DETALHADO!D:D,"&gt;="&amp;ESTOQUE!$K$2,DETALHADO!E:E,ESTOQUE!$C36,DETALHADO!C:C,ESTOQUE!F$6)</f>
        <v>24</v>
      </c>
      <c r="G36" s="59">
        <f>-SUMIFS(DETALHADO!G:G,DETALHADO!D:D,"&lt;="&amp;ESTOQUE!$K$3,DETALHADO!D:D,"&gt;="&amp;ESTOQUE!$K$2,DETALHADO!E:E,ESTOQUE!$C36,DETALHADO!C:C,ESTOQUE!G$6)</f>
        <v>12</v>
      </c>
      <c r="H36" s="60">
        <f t="shared" si="1"/>
        <v>12</v>
      </c>
      <c r="I36" s="71">
        <f>+H36*VLOOKUP(C36,'Cadastro Produtos (kiwkiw)'!C:F,4,0)</f>
        <v>0</v>
      </c>
      <c r="N36" s="79"/>
    </row>
    <row r="37" spans="3:14" ht="15.75" customHeight="1" x14ac:dyDescent="0.45">
      <c r="C37" s="85" t="s">
        <v>783</v>
      </c>
      <c r="D37" s="70" t="str">
        <f>VLOOKUP(C37,'Cadastro Produtos (kiwkiw)'!C:E,3,0)</f>
        <v>Bracelete Dots Banho Ouro</v>
      </c>
      <c r="E37" s="59">
        <f>SUMIFS(DETALHADO!G:G,DETALHADO!D:D,"&lt;"&amp;ESTOQUE!$K$2,DETALHADO!E:E,ESTOQUE!$C37)</f>
        <v>0</v>
      </c>
      <c r="F37" s="59">
        <f>SUMIFS(DETALHADO!G:G,DETALHADO!D:D,"&lt;="&amp;ESTOQUE!$K$3,DETALHADO!D:D,"&gt;="&amp;ESTOQUE!$K$2,DETALHADO!E:E,ESTOQUE!$C37,DETALHADO!C:C,ESTOQUE!F$6)</f>
        <v>14</v>
      </c>
      <c r="G37" s="59">
        <f>-SUMIFS(DETALHADO!G:G,DETALHADO!D:D,"&lt;="&amp;ESTOQUE!$K$3,DETALHADO!D:D,"&gt;="&amp;ESTOQUE!$K$2,DETALHADO!E:E,ESTOQUE!$C37,DETALHADO!C:C,ESTOQUE!G$6)</f>
        <v>4</v>
      </c>
      <c r="H37" s="60">
        <f t="shared" si="1"/>
        <v>10</v>
      </c>
      <c r="I37" s="71">
        <f>+H37*VLOOKUP(C37,'Cadastro Produtos (kiwkiw)'!C:F,4,0)</f>
        <v>0</v>
      </c>
      <c r="N37" s="79"/>
    </row>
    <row r="38" spans="3:14" ht="15.75" customHeight="1" x14ac:dyDescent="0.45">
      <c r="C38" s="85" t="s">
        <v>120</v>
      </c>
      <c r="D38" s="70" t="str">
        <f>VLOOKUP(C38,'Cadastro Produtos (kiwkiw)'!C:E,3,0)</f>
        <v>Bracelete Ivy Banho Ouro</v>
      </c>
      <c r="E38" s="59">
        <f>SUMIFS(DETALHADO!G:G,DETALHADO!D:D,"&lt;"&amp;ESTOQUE!$K$2,DETALHADO!E:E,ESTOQUE!$C38)</f>
        <v>0</v>
      </c>
      <c r="F38" s="59">
        <f>SUMIFS(DETALHADO!G:G,DETALHADO!D:D,"&lt;="&amp;ESTOQUE!$K$3,DETALHADO!D:D,"&gt;="&amp;ESTOQUE!$K$2,DETALHADO!E:E,ESTOQUE!$C38,DETALHADO!C:C,ESTOQUE!F$6)</f>
        <v>11</v>
      </c>
      <c r="G38" s="59">
        <f>-SUMIFS(DETALHADO!G:G,DETALHADO!D:D,"&lt;="&amp;ESTOQUE!$K$3,DETALHADO!D:D,"&gt;="&amp;ESTOQUE!$K$2,DETALHADO!E:E,ESTOQUE!$C38,DETALHADO!C:C,ESTOQUE!G$6)</f>
        <v>11</v>
      </c>
      <c r="H38" s="60">
        <f t="shared" si="1"/>
        <v>0</v>
      </c>
      <c r="I38" s="71">
        <f>+H38*VLOOKUP(C38,'Cadastro Produtos (kiwkiw)'!C:F,4,0)</f>
        <v>0</v>
      </c>
      <c r="N38" s="79"/>
    </row>
    <row r="39" spans="3:14" ht="15.75" customHeight="1" x14ac:dyDescent="0.45">
      <c r="C39" s="85" t="s">
        <v>119</v>
      </c>
      <c r="D39" s="70" t="str">
        <f>VLOOKUP(C39,'Cadastro Produtos (kiwkiw)'!C:E,3,0)</f>
        <v>Bracelete Line Banho Ouro</v>
      </c>
      <c r="E39" s="59">
        <f>SUMIFS(DETALHADO!G:G,DETALHADO!D:D,"&lt;"&amp;ESTOQUE!$K$2,DETALHADO!E:E,ESTOQUE!$C39)</f>
        <v>0</v>
      </c>
      <c r="F39" s="59">
        <f>SUMIFS(DETALHADO!G:G,DETALHADO!D:D,"&lt;="&amp;ESTOQUE!$K$3,DETALHADO!D:D,"&gt;="&amp;ESTOQUE!$K$2,DETALHADO!E:E,ESTOQUE!$C39,DETALHADO!C:C,ESTOQUE!F$6)</f>
        <v>14</v>
      </c>
      <c r="G39" s="59">
        <f>-SUMIFS(DETALHADO!G:G,DETALHADO!D:D,"&lt;="&amp;ESTOQUE!$K$3,DETALHADO!D:D,"&gt;="&amp;ESTOQUE!$K$2,DETALHADO!E:E,ESTOQUE!$C39,DETALHADO!C:C,ESTOQUE!G$6)</f>
        <v>14</v>
      </c>
      <c r="H39" s="60">
        <f t="shared" si="1"/>
        <v>0</v>
      </c>
      <c r="I39" s="71">
        <f>+H39*VLOOKUP(C39,'Cadastro Produtos (kiwkiw)'!C:F,4,0)</f>
        <v>0</v>
      </c>
      <c r="N39" s="79"/>
    </row>
    <row r="40" spans="3:14" ht="15.75" customHeight="1" x14ac:dyDescent="0.45">
      <c r="C40" s="85" t="s">
        <v>809</v>
      </c>
      <c r="D40" s="70" t="str">
        <f>VLOOKUP(C40,'Cadastro Produtos (kiwkiw)'!C:E,3,0)</f>
        <v>Bracelete Roll Banho Ouro</v>
      </c>
      <c r="E40" s="59">
        <f>SUMIFS(DETALHADO!G:G,DETALHADO!D:D,"&lt;"&amp;ESTOQUE!$K$2,DETALHADO!E:E,ESTOQUE!$C40)</f>
        <v>0</v>
      </c>
      <c r="F40" s="59">
        <f>SUMIFS(DETALHADO!G:G,DETALHADO!D:D,"&lt;="&amp;ESTOQUE!$K$3,DETALHADO!D:D,"&gt;="&amp;ESTOQUE!$K$2,DETALHADO!E:E,ESTOQUE!$C40,DETALHADO!C:C,ESTOQUE!F$6)</f>
        <v>19</v>
      </c>
      <c r="G40" s="59">
        <f>-SUMIFS(DETALHADO!G:G,DETALHADO!D:D,"&lt;="&amp;ESTOQUE!$K$3,DETALHADO!D:D,"&gt;="&amp;ESTOQUE!$K$2,DETALHADO!E:E,ESTOQUE!$C40,DETALHADO!C:C,ESTOQUE!G$6)</f>
        <v>2</v>
      </c>
      <c r="H40" s="60">
        <f t="shared" si="1"/>
        <v>17</v>
      </c>
      <c r="I40" s="71">
        <f>+H40*VLOOKUP(C40,'Cadastro Produtos (kiwkiw)'!C:F,4,0)</f>
        <v>0</v>
      </c>
      <c r="N40" s="79"/>
    </row>
    <row r="41" spans="3:14" ht="15.75" customHeight="1" x14ac:dyDescent="0.45">
      <c r="C41" s="85" t="s">
        <v>122</v>
      </c>
      <c r="D41" s="70" t="str">
        <f>VLOOKUP(C41,'Cadastro Produtos (kiwkiw)'!C:E,3,0)</f>
        <v>Bracelete Torcido Banho Ouro</v>
      </c>
      <c r="E41" s="59">
        <f>SUMIFS(DETALHADO!G:G,DETALHADO!D:D,"&lt;"&amp;ESTOQUE!$K$2,DETALHADO!E:E,ESTOQUE!$C41)</f>
        <v>0</v>
      </c>
      <c r="F41" s="59">
        <f>SUMIFS(DETALHADO!G:G,DETALHADO!D:D,"&lt;="&amp;ESTOQUE!$K$3,DETALHADO!D:D,"&gt;="&amp;ESTOQUE!$K$2,DETALHADO!E:E,ESTOQUE!$C41,DETALHADO!C:C,ESTOQUE!F$6)</f>
        <v>15</v>
      </c>
      <c r="G41" s="59">
        <f>-SUMIFS(DETALHADO!G:G,DETALHADO!D:D,"&lt;="&amp;ESTOQUE!$K$3,DETALHADO!D:D,"&gt;="&amp;ESTOQUE!$K$2,DETALHADO!E:E,ESTOQUE!$C41,DETALHADO!C:C,ESTOQUE!G$6)</f>
        <v>15</v>
      </c>
      <c r="H41" s="60">
        <f t="shared" si="1"/>
        <v>0</v>
      </c>
      <c r="I41" s="71">
        <f>+H41*VLOOKUP(C41,'Cadastro Produtos (kiwkiw)'!C:F,4,0)</f>
        <v>0</v>
      </c>
      <c r="N41" s="79"/>
    </row>
    <row r="42" spans="3:14" ht="15.75" customHeight="1" x14ac:dyDescent="0.45">
      <c r="C42" s="85" t="s">
        <v>121</v>
      </c>
      <c r="D42" s="70" t="str">
        <f>VLOOKUP(C42,'Cadastro Produtos (kiwkiw)'!C:E,3,0)</f>
        <v>Bracelete Wave Banho Ouro</v>
      </c>
      <c r="E42" s="59">
        <f>SUMIFS(DETALHADO!G:G,DETALHADO!D:D,"&lt;"&amp;ESTOQUE!$K$2,DETALHADO!E:E,ESTOQUE!$C42)</f>
        <v>0</v>
      </c>
      <c r="F42" s="59">
        <f>SUMIFS(DETALHADO!G:G,DETALHADO!D:D,"&lt;="&amp;ESTOQUE!$K$3,DETALHADO!D:D,"&gt;="&amp;ESTOQUE!$K$2,DETALHADO!E:E,ESTOQUE!$C42,DETALHADO!C:C,ESTOQUE!F$6)</f>
        <v>32</v>
      </c>
      <c r="G42" s="59">
        <f>-SUMIFS(DETALHADO!G:G,DETALHADO!D:D,"&lt;="&amp;ESTOQUE!$K$3,DETALHADO!D:D,"&gt;="&amp;ESTOQUE!$K$2,DETALHADO!E:E,ESTOQUE!$C42,DETALHADO!C:C,ESTOQUE!G$6)</f>
        <v>31</v>
      </c>
      <c r="H42" s="60">
        <f t="shared" si="1"/>
        <v>1</v>
      </c>
      <c r="I42" s="71">
        <f>+H42*VLOOKUP(C42,'Cadastro Produtos (kiwkiw)'!C:F,4,0)</f>
        <v>0</v>
      </c>
      <c r="N42" s="79"/>
    </row>
    <row r="43" spans="3:14" ht="15.75" customHeight="1" x14ac:dyDescent="0.45">
      <c r="C43" s="85" t="s">
        <v>1448</v>
      </c>
      <c r="D43" s="70" t="str">
        <f>VLOOKUP(C43,'Cadastro Produtos (kiwkiw)'!C:E,3,0)</f>
        <v>Brinco Agatha Banho Ouro</v>
      </c>
      <c r="E43" s="59">
        <f>SUMIFS(DETALHADO!G:G,DETALHADO!D:D,"&lt;"&amp;ESTOQUE!$K$2,DETALHADO!E:E,ESTOQUE!$C43)</f>
        <v>0</v>
      </c>
      <c r="F43" s="59">
        <f>SUMIFS(DETALHADO!G:G,DETALHADO!D:D,"&lt;="&amp;ESTOQUE!$K$3,DETALHADO!D:D,"&gt;="&amp;ESTOQUE!$K$2,DETALHADO!E:E,ESTOQUE!$C43,DETALHADO!C:C,ESTOQUE!F$6)</f>
        <v>14</v>
      </c>
      <c r="G43" s="59">
        <f>-SUMIFS(DETALHADO!G:G,DETALHADO!D:D,"&lt;="&amp;ESTOQUE!$K$3,DETALHADO!D:D,"&gt;="&amp;ESTOQUE!$K$2,DETALHADO!E:E,ESTOQUE!$C43,DETALHADO!C:C,ESTOQUE!G$6)</f>
        <v>0</v>
      </c>
      <c r="H43" s="60">
        <f t="shared" si="1"/>
        <v>14</v>
      </c>
      <c r="I43" s="71">
        <f>+H43*VLOOKUP(C43,'Cadastro Produtos (kiwkiw)'!C:F,4,0)</f>
        <v>0</v>
      </c>
      <c r="N43" s="79"/>
    </row>
    <row r="44" spans="3:14" ht="15.75" customHeight="1" x14ac:dyDescent="0.45">
      <c r="C44" s="85" t="s">
        <v>1446</v>
      </c>
      <c r="D44" s="70" t="str">
        <f>VLOOKUP(C44,'Cadastro Produtos (kiwkiw)'!C:E,3,0)</f>
        <v>Brinco Agatha Prateado</v>
      </c>
      <c r="E44" s="59">
        <f>SUMIFS(DETALHADO!G:G,DETALHADO!D:D,"&lt;"&amp;ESTOQUE!$K$2,DETALHADO!E:E,ESTOQUE!$C44)</f>
        <v>0</v>
      </c>
      <c r="F44" s="59">
        <f>SUMIFS(DETALHADO!G:G,DETALHADO!D:D,"&lt;="&amp;ESTOQUE!$K$3,DETALHADO!D:D,"&gt;="&amp;ESTOQUE!$K$2,DETALHADO!E:E,ESTOQUE!$C44,DETALHADO!C:C,ESTOQUE!F$6)</f>
        <v>9</v>
      </c>
      <c r="G44" s="59">
        <f>-SUMIFS(DETALHADO!G:G,DETALHADO!D:D,"&lt;="&amp;ESTOQUE!$K$3,DETALHADO!D:D,"&gt;="&amp;ESTOQUE!$K$2,DETALHADO!E:E,ESTOQUE!$C44,DETALHADO!C:C,ESTOQUE!G$6)</f>
        <v>0</v>
      </c>
      <c r="H44" s="60">
        <f t="shared" si="1"/>
        <v>9</v>
      </c>
      <c r="I44" s="71">
        <f>+H44*VLOOKUP(C44,'Cadastro Produtos (kiwkiw)'!C:F,4,0)</f>
        <v>0</v>
      </c>
      <c r="N44" s="79"/>
    </row>
    <row r="45" spans="3:14" ht="15.75" customHeight="1" x14ac:dyDescent="0.45">
      <c r="C45" s="85" t="s">
        <v>42</v>
      </c>
      <c r="D45" s="70" t="str">
        <f>VLOOKUP(C45,'Cadastro Produtos (kiwkiw)'!C:E,3,0)</f>
        <v>Brinco Arco Banho Ouro</v>
      </c>
      <c r="E45" s="59">
        <f>SUMIFS(DETALHADO!G:G,DETALHADO!D:D,"&lt;"&amp;ESTOQUE!$K$2,DETALHADO!E:E,ESTOQUE!$C45)</f>
        <v>0</v>
      </c>
      <c r="F45" s="59">
        <f>SUMIFS(DETALHADO!G:G,DETALHADO!D:D,"&lt;="&amp;ESTOQUE!$K$3,DETALHADO!D:D,"&gt;="&amp;ESTOQUE!$K$2,DETALHADO!E:E,ESTOQUE!$C45,DETALHADO!C:C,ESTOQUE!F$6)</f>
        <v>32</v>
      </c>
      <c r="G45" s="59">
        <f>-SUMIFS(DETALHADO!G:G,DETALHADO!D:D,"&lt;="&amp;ESTOQUE!$K$3,DETALHADO!D:D,"&gt;="&amp;ESTOQUE!$K$2,DETALHADO!E:E,ESTOQUE!$C45,DETALHADO!C:C,ESTOQUE!G$6)</f>
        <v>14</v>
      </c>
      <c r="H45" s="60">
        <f t="shared" si="1"/>
        <v>18</v>
      </c>
      <c r="I45" s="71">
        <f>+H45*VLOOKUP(C45,'Cadastro Produtos (kiwkiw)'!C:F,4,0)</f>
        <v>0</v>
      </c>
      <c r="N45" s="79"/>
    </row>
    <row r="46" spans="3:14" ht="15.75" customHeight="1" x14ac:dyDescent="0.45">
      <c r="C46" s="85" t="s">
        <v>832</v>
      </c>
      <c r="D46" s="70" t="str">
        <f>VLOOKUP(C46,'Cadastro Produtos (kiwkiw)'!C:E,3,0)</f>
        <v>Brinco Boho Banho Ouro</v>
      </c>
      <c r="E46" s="59">
        <f>SUMIFS(DETALHADO!G:G,DETALHADO!D:D,"&lt;"&amp;ESTOQUE!$K$2,DETALHADO!E:E,ESTOQUE!$C46)</f>
        <v>0</v>
      </c>
      <c r="F46" s="59">
        <f>SUMIFS(DETALHADO!G:G,DETALHADO!D:D,"&lt;="&amp;ESTOQUE!$K$3,DETALHADO!D:D,"&gt;="&amp;ESTOQUE!$K$2,DETALHADO!E:E,ESTOQUE!$C46,DETALHADO!C:C,ESTOQUE!F$6)</f>
        <v>28</v>
      </c>
      <c r="G46" s="59">
        <f>-SUMIFS(DETALHADO!G:G,DETALHADO!D:D,"&lt;="&amp;ESTOQUE!$K$3,DETALHADO!D:D,"&gt;="&amp;ESTOQUE!$K$2,DETALHADO!E:E,ESTOQUE!$C46,DETALHADO!C:C,ESTOQUE!G$6)</f>
        <v>1</v>
      </c>
      <c r="H46" s="60">
        <f t="shared" si="1"/>
        <v>27</v>
      </c>
      <c r="I46" s="71">
        <f>+H46*VLOOKUP(C46,'Cadastro Produtos (kiwkiw)'!C:F,4,0)</f>
        <v>0</v>
      </c>
      <c r="N46" s="79"/>
    </row>
    <row r="47" spans="3:14" ht="15.75" customHeight="1" x14ac:dyDescent="0.45">
      <c r="C47" s="85" t="s">
        <v>773</v>
      </c>
      <c r="D47" s="70" t="str">
        <f>VLOOKUP(C47,'Cadastro Produtos (kiwkiw)'!C:E,3,0)</f>
        <v>Brinco Boho Prateado</v>
      </c>
      <c r="E47" s="59">
        <f>SUMIFS(DETALHADO!G:G,DETALHADO!D:D,"&lt;"&amp;ESTOQUE!$K$2,DETALHADO!E:E,ESTOQUE!$C47)</f>
        <v>0</v>
      </c>
      <c r="F47" s="59">
        <f>SUMIFS(DETALHADO!G:G,DETALHADO!D:D,"&lt;="&amp;ESTOQUE!$K$3,DETALHADO!D:D,"&gt;="&amp;ESTOQUE!$K$2,DETALHADO!E:E,ESTOQUE!$C47,DETALHADO!C:C,ESTOQUE!F$6)</f>
        <v>10</v>
      </c>
      <c r="G47" s="59">
        <f>-SUMIFS(DETALHADO!G:G,DETALHADO!D:D,"&lt;="&amp;ESTOQUE!$K$3,DETALHADO!D:D,"&gt;="&amp;ESTOQUE!$K$2,DETALHADO!E:E,ESTOQUE!$C47,DETALHADO!C:C,ESTOQUE!G$6)</f>
        <v>4</v>
      </c>
      <c r="H47" s="60">
        <f t="shared" si="1"/>
        <v>6</v>
      </c>
      <c r="I47" s="71">
        <f>+H47*VLOOKUP(C47,'Cadastro Produtos (kiwkiw)'!C:F,4,0)</f>
        <v>0</v>
      </c>
      <c r="N47" s="79"/>
    </row>
    <row r="48" spans="3:14" ht="15.75" customHeight="1" x14ac:dyDescent="0.45">
      <c r="C48" s="85" t="s">
        <v>44</v>
      </c>
      <c r="D48" s="70" t="str">
        <f>VLOOKUP(C48,'Cadastro Produtos (kiwkiw)'!C:E,3,0)</f>
        <v>Brinco Bossa Banho Ouro</v>
      </c>
      <c r="E48" s="59">
        <f>SUMIFS(DETALHADO!G:G,DETALHADO!D:D,"&lt;"&amp;ESTOQUE!$K$2,DETALHADO!E:E,ESTOQUE!$C48)</f>
        <v>0</v>
      </c>
      <c r="F48" s="59">
        <f>SUMIFS(DETALHADO!G:G,DETALHADO!D:D,"&lt;="&amp;ESTOQUE!$K$3,DETALHADO!D:D,"&gt;="&amp;ESTOQUE!$K$2,DETALHADO!E:E,ESTOQUE!$C48,DETALHADO!C:C,ESTOQUE!F$6)</f>
        <v>15</v>
      </c>
      <c r="G48" s="59">
        <f>-SUMIFS(DETALHADO!G:G,DETALHADO!D:D,"&lt;="&amp;ESTOQUE!$K$3,DETALHADO!D:D,"&gt;="&amp;ESTOQUE!$K$2,DETALHADO!E:E,ESTOQUE!$C48,DETALHADO!C:C,ESTOQUE!G$6)</f>
        <v>9</v>
      </c>
      <c r="H48" s="60">
        <f t="shared" si="1"/>
        <v>6</v>
      </c>
      <c r="I48" s="71">
        <f>+H48*VLOOKUP(C48,'Cadastro Produtos (kiwkiw)'!C:F,4,0)</f>
        <v>0</v>
      </c>
      <c r="N48" s="79"/>
    </row>
    <row r="49" spans="3:14" ht="15.75" customHeight="1" x14ac:dyDescent="0.45">
      <c r="C49" s="85" t="s">
        <v>45</v>
      </c>
      <c r="D49" s="70" t="str">
        <f>VLOOKUP(C49,'Cadastro Produtos (kiwkiw)'!C:E,3,0)</f>
        <v>Brinco Bubble Medio Banho Ouro</v>
      </c>
      <c r="E49" s="59">
        <f>SUMIFS(DETALHADO!G:G,DETALHADO!D:D,"&lt;"&amp;ESTOQUE!$K$2,DETALHADO!E:E,ESTOQUE!$C49)</f>
        <v>0</v>
      </c>
      <c r="F49" s="59">
        <f>SUMIFS(DETALHADO!G:G,DETALHADO!D:D,"&lt;="&amp;ESTOQUE!$K$3,DETALHADO!D:D,"&gt;="&amp;ESTOQUE!$K$2,DETALHADO!E:E,ESTOQUE!$C49,DETALHADO!C:C,ESTOQUE!F$6)</f>
        <v>44</v>
      </c>
      <c r="G49" s="59">
        <f>-SUMIFS(DETALHADO!G:G,DETALHADO!D:D,"&lt;="&amp;ESTOQUE!$K$3,DETALHADO!D:D,"&gt;="&amp;ESTOQUE!$K$2,DETALHADO!E:E,ESTOQUE!$C49,DETALHADO!C:C,ESTOQUE!G$6)</f>
        <v>25</v>
      </c>
      <c r="H49" s="60">
        <f t="shared" si="1"/>
        <v>19</v>
      </c>
      <c r="I49" s="71">
        <f>+H49*VLOOKUP(C49,'Cadastro Produtos (kiwkiw)'!C:F,4,0)</f>
        <v>0</v>
      </c>
      <c r="N49" s="79"/>
    </row>
    <row r="50" spans="3:14" ht="15.75" customHeight="1" x14ac:dyDescent="0.45">
      <c r="C50" s="85" t="s">
        <v>46</v>
      </c>
      <c r="D50" s="70" t="str">
        <f>VLOOKUP(C50,'Cadastro Produtos (kiwkiw)'!C:E,3,0)</f>
        <v>Brinco Bubble Pequeno Banho Ouro</v>
      </c>
      <c r="E50" s="59">
        <f>SUMIFS(DETALHADO!G:G,DETALHADO!D:D,"&lt;"&amp;ESTOQUE!$K$2,DETALHADO!E:E,ESTOQUE!$C50)</f>
        <v>0</v>
      </c>
      <c r="F50" s="59">
        <f>SUMIFS(DETALHADO!G:G,DETALHADO!D:D,"&lt;="&amp;ESTOQUE!$K$3,DETALHADO!D:D,"&gt;="&amp;ESTOQUE!$K$2,DETALHADO!E:E,ESTOQUE!$C50,DETALHADO!C:C,ESTOQUE!F$6)</f>
        <v>53</v>
      </c>
      <c r="G50" s="59">
        <f>-SUMIFS(DETALHADO!G:G,DETALHADO!D:D,"&lt;="&amp;ESTOQUE!$K$3,DETALHADO!D:D,"&gt;="&amp;ESTOQUE!$K$2,DETALHADO!E:E,ESTOQUE!$C50,DETALHADO!C:C,ESTOQUE!G$6)</f>
        <v>32</v>
      </c>
      <c r="H50" s="60">
        <f t="shared" si="1"/>
        <v>21</v>
      </c>
      <c r="I50" s="71">
        <f>+H50*VLOOKUP(C50,'Cadastro Produtos (kiwkiw)'!C:F,4,0)</f>
        <v>0</v>
      </c>
      <c r="N50" s="79"/>
    </row>
    <row r="51" spans="3:14" ht="15.75" customHeight="1" x14ac:dyDescent="0.45">
      <c r="C51" s="85" t="s">
        <v>47</v>
      </c>
      <c r="D51" s="70" t="str">
        <f>VLOOKUP(C51,'Cadastro Produtos (kiwkiw)'!C:E,3,0)</f>
        <v>Brinco Circle Banho Ouro</v>
      </c>
      <c r="E51" s="59">
        <f>SUMIFS(DETALHADO!G:G,DETALHADO!D:D,"&lt;"&amp;ESTOQUE!$K$2,DETALHADO!E:E,ESTOQUE!$C51)</f>
        <v>0</v>
      </c>
      <c r="F51" s="59">
        <f>SUMIFS(DETALHADO!G:G,DETALHADO!D:D,"&lt;="&amp;ESTOQUE!$K$3,DETALHADO!D:D,"&gt;="&amp;ESTOQUE!$K$2,DETALHADO!E:E,ESTOQUE!$C51,DETALHADO!C:C,ESTOQUE!F$6)</f>
        <v>17</v>
      </c>
      <c r="G51" s="59">
        <f>-SUMIFS(DETALHADO!G:G,DETALHADO!D:D,"&lt;="&amp;ESTOQUE!$K$3,DETALHADO!D:D,"&gt;="&amp;ESTOQUE!$K$2,DETALHADO!E:E,ESTOQUE!$C51,DETALHADO!C:C,ESTOQUE!G$6)</f>
        <v>17</v>
      </c>
      <c r="H51" s="60">
        <f t="shared" si="1"/>
        <v>0</v>
      </c>
      <c r="I51" s="71">
        <f>+H51*VLOOKUP(C51,'Cadastro Produtos (kiwkiw)'!C:F,4,0)</f>
        <v>0</v>
      </c>
      <c r="N51" s="79"/>
    </row>
    <row r="52" spans="3:14" ht="15.75" customHeight="1" x14ac:dyDescent="0.45">
      <c r="C52" s="85" t="s">
        <v>49</v>
      </c>
      <c r="D52" s="70" t="str">
        <f>VLOOKUP(C52,'Cadastro Produtos (kiwkiw)'!C:E,3,0)</f>
        <v>Brinco Coracao Diamond Banho Ouro</v>
      </c>
      <c r="E52" s="59">
        <f>SUMIFS(DETALHADO!G:G,DETALHADO!D:D,"&lt;"&amp;ESTOQUE!$K$2,DETALHADO!E:E,ESTOQUE!$C52)</f>
        <v>0</v>
      </c>
      <c r="F52" s="59">
        <f>SUMIFS(DETALHADO!G:G,DETALHADO!D:D,"&lt;="&amp;ESTOQUE!$K$3,DETALHADO!D:D,"&gt;="&amp;ESTOQUE!$K$2,DETALHADO!E:E,ESTOQUE!$C52,DETALHADO!C:C,ESTOQUE!F$6)</f>
        <v>49</v>
      </c>
      <c r="G52" s="59">
        <f>-SUMIFS(DETALHADO!G:G,DETALHADO!D:D,"&lt;="&amp;ESTOQUE!$K$3,DETALHADO!D:D,"&gt;="&amp;ESTOQUE!$K$2,DETALHADO!E:E,ESTOQUE!$C52,DETALHADO!C:C,ESTOQUE!G$6)</f>
        <v>37</v>
      </c>
      <c r="H52" s="60">
        <f t="shared" si="1"/>
        <v>12</v>
      </c>
      <c r="I52" s="71">
        <f>+H52*VLOOKUP(C52,'Cadastro Produtos (kiwkiw)'!C:F,4,0)</f>
        <v>0</v>
      </c>
      <c r="N52" s="79"/>
    </row>
    <row r="53" spans="3:14" ht="15.75" customHeight="1" x14ac:dyDescent="0.45">
      <c r="C53" s="85" t="s">
        <v>810</v>
      </c>
      <c r="D53" s="70" t="str">
        <f>VLOOKUP(C53,'Cadastro Produtos (kiwkiw)'!C:E,3,0)</f>
        <v>Brinco Disco Banho Ouro</v>
      </c>
      <c r="E53" s="59">
        <f>SUMIFS(DETALHADO!G:G,DETALHADO!D:D,"&lt;"&amp;ESTOQUE!$K$2,DETALHADO!E:E,ESTOQUE!$C53)</f>
        <v>0</v>
      </c>
      <c r="F53" s="59">
        <f>SUMIFS(DETALHADO!G:G,DETALHADO!D:D,"&lt;="&amp;ESTOQUE!$K$3,DETALHADO!D:D,"&gt;="&amp;ESTOQUE!$K$2,DETALHADO!E:E,ESTOQUE!$C53,DETALHADO!C:C,ESTOQUE!F$6)</f>
        <v>19</v>
      </c>
      <c r="G53" s="59">
        <f>-SUMIFS(DETALHADO!G:G,DETALHADO!D:D,"&lt;="&amp;ESTOQUE!$K$3,DETALHADO!D:D,"&gt;="&amp;ESTOQUE!$K$2,DETALHADO!E:E,ESTOQUE!$C53,DETALHADO!C:C,ESTOQUE!G$6)</f>
        <v>3</v>
      </c>
      <c r="H53" s="60">
        <f t="shared" si="1"/>
        <v>16</v>
      </c>
      <c r="I53" s="71">
        <f>+H53*VLOOKUP(C53,'Cadastro Produtos (kiwkiw)'!C:F,4,0)</f>
        <v>0</v>
      </c>
      <c r="N53" s="79"/>
    </row>
    <row r="54" spans="3:14" ht="15.75" customHeight="1" x14ac:dyDescent="0.45">
      <c r="C54" s="85" t="s">
        <v>784</v>
      </c>
      <c r="D54" s="70" t="str">
        <f>VLOOKUP(C54,'Cadastro Produtos (kiwkiw)'!C:E,3,0)</f>
        <v>Brinco Drop G Banho Ouro</v>
      </c>
      <c r="E54" s="59">
        <f>SUMIFS(DETALHADO!G:G,DETALHADO!D:D,"&lt;"&amp;ESTOQUE!$K$2,DETALHADO!E:E,ESTOQUE!$C54)</f>
        <v>0</v>
      </c>
      <c r="F54" s="59">
        <f>SUMIFS(DETALHADO!G:G,DETALHADO!D:D,"&lt;="&amp;ESTOQUE!$K$3,DETALHADO!D:D,"&gt;="&amp;ESTOQUE!$K$2,DETALHADO!E:E,ESTOQUE!$C54,DETALHADO!C:C,ESTOQUE!F$6)</f>
        <v>15</v>
      </c>
      <c r="G54" s="59">
        <f>-SUMIFS(DETALHADO!G:G,DETALHADO!D:D,"&lt;="&amp;ESTOQUE!$K$3,DETALHADO!D:D,"&gt;="&amp;ESTOQUE!$K$2,DETALHADO!E:E,ESTOQUE!$C54,DETALHADO!C:C,ESTOQUE!G$6)</f>
        <v>4</v>
      </c>
      <c r="H54" s="60">
        <f t="shared" si="1"/>
        <v>11</v>
      </c>
      <c r="I54" s="71">
        <f>+H54*VLOOKUP(C54,'Cadastro Produtos (kiwkiw)'!C:F,4,0)</f>
        <v>0</v>
      </c>
      <c r="N54" s="79"/>
    </row>
    <row r="55" spans="3:14" ht="15.75" customHeight="1" x14ac:dyDescent="0.45">
      <c r="C55" s="85" t="s">
        <v>811</v>
      </c>
      <c r="D55" s="70" t="str">
        <f>VLOOKUP(C55,'Cadastro Produtos (kiwkiw)'!C:E,3,0)</f>
        <v>Brinco Drop P Banho Ouro</v>
      </c>
      <c r="E55" s="59">
        <f>SUMIFS(DETALHADO!G:G,DETALHADO!D:D,"&lt;"&amp;ESTOQUE!$K$2,DETALHADO!E:E,ESTOQUE!$C55)</f>
        <v>0</v>
      </c>
      <c r="F55" s="59">
        <f>SUMIFS(DETALHADO!G:G,DETALHADO!D:D,"&lt;="&amp;ESTOQUE!$K$3,DETALHADO!D:D,"&gt;="&amp;ESTOQUE!$K$2,DETALHADO!E:E,ESTOQUE!$C55,DETALHADO!C:C,ESTOQUE!F$6)</f>
        <v>19</v>
      </c>
      <c r="G55" s="59">
        <f>-SUMIFS(DETALHADO!G:G,DETALHADO!D:D,"&lt;="&amp;ESTOQUE!$K$3,DETALHADO!D:D,"&gt;="&amp;ESTOQUE!$K$2,DETALHADO!E:E,ESTOQUE!$C55,DETALHADO!C:C,ESTOQUE!G$6)</f>
        <v>11</v>
      </c>
      <c r="H55" s="60">
        <f t="shared" si="1"/>
        <v>8</v>
      </c>
      <c r="I55" s="71">
        <f>+H55*VLOOKUP(C55,'Cadastro Produtos (kiwkiw)'!C:F,4,0)</f>
        <v>0</v>
      </c>
      <c r="N55" s="79"/>
    </row>
    <row r="56" spans="3:14" ht="15.75" customHeight="1" x14ac:dyDescent="0.45">
      <c r="C56" s="85" t="s">
        <v>50</v>
      </c>
      <c r="D56" s="70" t="str">
        <f>VLOOKUP(C56,'Cadastro Produtos (kiwkiw)'!C:E,3,0)</f>
        <v>Brinco Elos Banho Ouro</v>
      </c>
      <c r="E56" s="59">
        <f>SUMIFS(DETALHADO!G:G,DETALHADO!D:D,"&lt;"&amp;ESTOQUE!$K$2,DETALHADO!E:E,ESTOQUE!$C56)</f>
        <v>0</v>
      </c>
      <c r="F56" s="59">
        <f>SUMIFS(DETALHADO!G:G,DETALHADO!D:D,"&lt;="&amp;ESTOQUE!$K$3,DETALHADO!D:D,"&gt;="&amp;ESTOQUE!$K$2,DETALHADO!E:E,ESTOQUE!$C56,DETALHADO!C:C,ESTOQUE!F$6)</f>
        <v>27</v>
      </c>
      <c r="G56" s="59">
        <f>-SUMIFS(DETALHADO!G:G,DETALHADO!D:D,"&lt;="&amp;ESTOQUE!$K$3,DETALHADO!D:D,"&gt;="&amp;ESTOQUE!$K$2,DETALHADO!E:E,ESTOQUE!$C56,DETALHADO!C:C,ESTOQUE!G$6)</f>
        <v>27</v>
      </c>
      <c r="H56" s="60">
        <f t="shared" si="1"/>
        <v>0</v>
      </c>
      <c r="I56" s="71">
        <f>+H56*VLOOKUP(C56,'Cadastro Produtos (kiwkiw)'!C:F,4,0)</f>
        <v>0</v>
      </c>
      <c r="N56" s="79"/>
    </row>
    <row r="57" spans="3:14" ht="15.75" customHeight="1" x14ac:dyDescent="0.45">
      <c r="C57" s="85" t="s">
        <v>830</v>
      </c>
      <c r="D57" s="70" t="str">
        <f>VLOOKUP(C57,'Cadastro Produtos (kiwkiw)'!C:E,3,0)</f>
        <v>Brinco Flor 2 em 1 Banho Ouro</v>
      </c>
      <c r="E57" s="59">
        <f>SUMIFS(DETALHADO!G:G,DETALHADO!D:D,"&lt;"&amp;ESTOQUE!$K$2,DETALHADO!E:E,ESTOQUE!$C57)</f>
        <v>0</v>
      </c>
      <c r="F57" s="59">
        <f>SUMIFS(DETALHADO!G:G,DETALHADO!D:D,"&lt;="&amp;ESTOQUE!$K$3,DETALHADO!D:D,"&gt;="&amp;ESTOQUE!$K$2,DETALHADO!E:E,ESTOQUE!$C57,DETALHADO!C:C,ESTOQUE!F$6)</f>
        <v>23</v>
      </c>
      <c r="G57" s="59">
        <f>-SUMIFS(DETALHADO!G:G,DETALHADO!D:D,"&lt;="&amp;ESTOQUE!$K$3,DETALHADO!D:D,"&gt;="&amp;ESTOQUE!$K$2,DETALHADO!E:E,ESTOQUE!$C57,DETALHADO!C:C,ESTOQUE!G$6)</f>
        <v>4</v>
      </c>
      <c r="H57" s="60">
        <f t="shared" si="1"/>
        <v>19</v>
      </c>
      <c r="I57" s="71">
        <f>+H57*VLOOKUP(C57,'Cadastro Produtos (kiwkiw)'!C:F,4,0)</f>
        <v>0</v>
      </c>
      <c r="N57" s="79"/>
    </row>
    <row r="58" spans="3:14" ht="15.75" customHeight="1" x14ac:dyDescent="0.45">
      <c r="C58" s="85" t="s">
        <v>789</v>
      </c>
      <c r="D58" s="70" t="str">
        <f>VLOOKUP(C58,'Cadastro Produtos (kiwkiw)'!C:E,3,0)</f>
        <v>Brinco Flor Gardenia Banho Ouro</v>
      </c>
      <c r="E58" s="59">
        <f>SUMIFS(DETALHADO!G:G,DETALHADO!D:D,"&lt;"&amp;ESTOQUE!$K$2,DETALHADO!E:E,ESTOQUE!$C58)</f>
        <v>0</v>
      </c>
      <c r="F58" s="59">
        <f>SUMIFS(DETALHADO!G:G,DETALHADO!D:D,"&lt;="&amp;ESTOQUE!$K$3,DETALHADO!D:D,"&gt;="&amp;ESTOQUE!$K$2,DETALHADO!E:E,ESTOQUE!$C58,DETALHADO!C:C,ESTOQUE!F$6)</f>
        <v>17</v>
      </c>
      <c r="G58" s="59">
        <f>-SUMIFS(DETALHADO!G:G,DETALHADO!D:D,"&lt;="&amp;ESTOQUE!$K$3,DETALHADO!D:D,"&gt;="&amp;ESTOQUE!$K$2,DETALHADO!E:E,ESTOQUE!$C58,DETALHADO!C:C,ESTOQUE!G$6)</f>
        <v>6</v>
      </c>
      <c r="H58" s="60">
        <f t="shared" si="1"/>
        <v>11</v>
      </c>
      <c r="I58" s="71">
        <f>+H58*VLOOKUP(C58,'Cadastro Produtos (kiwkiw)'!C:F,4,0)</f>
        <v>0</v>
      </c>
      <c r="N58" s="79"/>
    </row>
    <row r="59" spans="3:14" ht="15.75" customHeight="1" x14ac:dyDescent="0.45">
      <c r="C59" s="85" t="s">
        <v>70</v>
      </c>
      <c r="D59" s="70" t="str">
        <f>VLOOKUP(C59,'Cadastro Produtos (kiwkiw)'!C:E,3,0)</f>
        <v>Brinco Geometrico Banho Ouro</v>
      </c>
      <c r="E59" s="59">
        <f>SUMIFS(DETALHADO!G:G,DETALHADO!D:D,"&lt;"&amp;ESTOQUE!$K$2,DETALHADO!E:E,ESTOQUE!$C59)</f>
        <v>0</v>
      </c>
      <c r="F59" s="59">
        <f>SUMIFS(DETALHADO!G:G,DETALHADO!D:D,"&lt;="&amp;ESTOQUE!$K$3,DETALHADO!D:D,"&gt;="&amp;ESTOQUE!$K$2,DETALHADO!E:E,ESTOQUE!$C59,DETALHADO!C:C,ESTOQUE!F$6)</f>
        <v>40</v>
      </c>
      <c r="G59" s="59">
        <f>-SUMIFS(DETALHADO!G:G,DETALHADO!D:D,"&lt;="&amp;ESTOQUE!$K$3,DETALHADO!D:D,"&gt;="&amp;ESTOQUE!$K$2,DETALHADO!E:E,ESTOQUE!$C59,DETALHADO!C:C,ESTOQUE!G$6)</f>
        <v>37</v>
      </c>
      <c r="H59" s="60">
        <f t="shared" si="1"/>
        <v>3</v>
      </c>
      <c r="I59" s="71">
        <f>+H59*VLOOKUP(C59,'Cadastro Produtos (kiwkiw)'!C:F,4,0)</f>
        <v>0</v>
      </c>
      <c r="N59" s="79"/>
    </row>
    <row r="60" spans="3:14" ht="15.75" customHeight="1" x14ac:dyDescent="0.45">
      <c r="C60" s="85" t="s">
        <v>1450</v>
      </c>
      <c r="D60" s="70" t="str">
        <f>VLOOKUP(C60,'Cadastro Produtos (kiwkiw)'!C:E,3,0)</f>
        <v>Brinco Gota Banho Ouro</v>
      </c>
      <c r="E60" s="59">
        <f>SUMIFS(DETALHADO!G:G,DETALHADO!D:D,"&lt;"&amp;ESTOQUE!$K$2,DETALHADO!E:E,ESTOQUE!$C60)</f>
        <v>0</v>
      </c>
      <c r="F60" s="59">
        <f>SUMIFS(DETALHADO!G:G,DETALHADO!D:D,"&lt;="&amp;ESTOQUE!$K$3,DETALHADO!D:D,"&gt;="&amp;ESTOQUE!$K$2,DETALHADO!E:E,ESTOQUE!$C60,DETALHADO!C:C,ESTOQUE!F$6)</f>
        <v>14</v>
      </c>
      <c r="G60" s="59">
        <f>-SUMIFS(DETALHADO!G:G,DETALHADO!D:D,"&lt;="&amp;ESTOQUE!$K$3,DETALHADO!D:D,"&gt;="&amp;ESTOQUE!$K$2,DETALHADO!E:E,ESTOQUE!$C60,DETALHADO!C:C,ESTOQUE!G$6)</f>
        <v>0</v>
      </c>
      <c r="H60" s="60">
        <f t="shared" si="1"/>
        <v>14</v>
      </c>
      <c r="I60" s="71">
        <f>+H60*VLOOKUP(C60,'Cadastro Produtos (kiwkiw)'!C:F,4,0)</f>
        <v>0</v>
      </c>
      <c r="N60" s="79"/>
    </row>
    <row r="61" spans="3:14" ht="15.75" customHeight="1" x14ac:dyDescent="0.45">
      <c r="C61" s="85" t="s">
        <v>48</v>
      </c>
      <c r="D61" s="70" t="str">
        <f>VLOOKUP(C61,'Cadastro Produtos (kiwkiw)'!C:E,3,0)</f>
        <v>Brinco Gota Click Banho Ouro</v>
      </c>
      <c r="E61" s="59">
        <f>SUMIFS(DETALHADO!G:G,DETALHADO!D:D,"&lt;"&amp;ESTOQUE!$K$2,DETALHADO!E:E,ESTOQUE!$C61)</f>
        <v>0</v>
      </c>
      <c r="F61" s="59">
        <f>SUMIFS(DETALHADO!G:G,DETALHADO!D:D,"&lt;="&amp;ESTOQUE!$K$3,DETALHADO!D:D,"&gt;="&amp;ESTOQUE!$K$2,DETALHADO!E:E,ESTOQUE!$C61,DETALHADO!C:C,ESTOQUE!F$6)</f>
        <v>24</v>
      </c>
      <c r="G61" s="59">
        <f>-SUMIFS(DETALHADO!G:G,DETALHADO!D:D,"&lt;="&amp;ESTOQUE!$K$3,DETALHADO!D:D,"&gt;="&amp;ESTOQUE!$K$2,DETALHADO!E:E,ESTOQUE!$C61,DETALHADO!C:C,ESTOQUE!G$6)</f>
        <v>24</v>
      </c>
      <c r="H61" s="60">
        <f t="shared" si="1"/>
        <v>0</v>
      </c>
      <c r="I61" s="71">
        <f>+H61*VLOOKUP(C61,'Cadastro Produtos (kiwkiw)'!C:F,4,0)</f>
        <v>0</v>
      </c>
      <c r="N61" s="79"/>
    </row>
    <row r="62" spans="3:14" ht="15.75" customHeight="1" x14ac:dyDescent="0.45">
      <c r="C62" s="85" t="s">
        <v>53</v>
      </c>
      <c r="D62" s="70" t="str">
        <f>VLOOKUP(C62,'Cadastro Produtos (kiwkiw)'!C:E,3,0)</f>
        <v>Brinco Infinito Banho Ouro</v>
      </c>
      <c r="E62" s="59">
        <f>SUMIFS(DETALHADO!G:G,DETALHADO!D:D,"&lt;"&amp;ESTOQUE!$K$2,DETALHADO!E:E,ESTOQUE!$C62)</f>
        <v>0</v>
      </c>
      <c r="F62" s="59">
        <f>SUMIFS(DETALHADO!G:G,DETALHADO!D:D,"&lt;="&amp;ESTOQUE!$K$3,DETALHADO!D:D,"&gt;="&amp;ESTOQUE!$K$2,DETALHADO!E:E,ESTOQUE!$C62,DETALHADO!C:C,ESTOQUE!F$6)</f>
        <v>39</v>
      </c>
      <c r="G62" s="59">
        <f>-SUMIFS(DETALHADO!G:G,DETALHADO!D:D,"&lt;="&amp;ESTOQUE!$K$3,DETALHADO!D:D,"&gt;="&amp;ESTOQUE!$K$2,DETALHADO!E:E,ESTOQUE!$C62,DETALHADO!C:C,ESTOQUE!G$6)</f>
        <v>27</v>
      </c>
      <c r="H62" s="60">
        <f t="shared" si="1"/>
        <v>12</v>
      </c>
      <c r="I62" s="71">
        <f>+H62*VLOOKUP(C62,'Cadastro Produtos (kiwkiw)'!C:F,4,0)</f>
        <v>0</v>
      </c>
      <c r="N62" s="79"/>
    </row>
    <row r="63" spans="3:14" ht="15.75" customHeight="1" x14ac:dyDescent="0.45">
      <c r="C63" s="85" t="s">
        <v>54</v>
      </c>
      <c r="D63" s="70" t="str">
        <f>VLOOKUP(C63,'Cadastro Produtos (kiwkiw)'!C:E,3,0)</f>
        <v>Brinco Ivy Banho Ouro</v>
      </c>
      <c r="E63" s="59">
        <f>SUMIFS(DETALHADO!G:G,DETALHADO!D:D,"&lt;"&amp;ESTOQUE!$K$2,DETALHADO!E:E,ESTOQUE!$C63)</f>
        <v>0</v>
      </c>
      <c r="F63" s="59">
        <f>SUMIFS(DETALHADO!G:G,DETALHADO!D:D,"&lt;="&amp;ESTOQUE!$K$3,DETALHADO!D:D,"&gt;="&amp;ESTOQUE!$K$2,DETALHADO!E:E,ESTOQUE!$C63,DETALHADO!C:C,ESTOQUE!F$6)</f>
        <v>88</v>
      </c>
      <c r="G63" s="59">
        <f>-SUMIFS(DETALHADO!G:G,DETALHADO!D:D,"&lt;="&amp;ESTOQUE!$K$3,DETALHADO!D:D,"&gt;="&amp;ESTOQUE!$K$2,DETALHADO!E:E,ESTOQUE!$C63,DETALHADO!C:C,ESTOQUE!G$6)</f>
        <v>59</v>
      </c>
      <c r="H63" s="60">
        <f t="shared" si="1"/>
        <v>29</v>
      </c>
      <c r="I63" s="71">
        <f>+H63*VLOOKUP(C63,'Cadastro Produtos (kiwkiw)'!C:F,4,0)</f>
        <v>0</v>
      </c>
      <c r="N63" s="79"/>
    </row>
    <row r="64" spans="3:14" ht="15.75" customHeight="1" x14ac:dyDescent="0.45">
      <c r="C64" s="85" t="s">
        <v>55</v>
      </c>
      <c r="D64" s="70" t="str">
        <f>VLOOKUP(C64,'Cadastro Produtos (kiwkiw)'!C:E,3,0)</f>
        <v>Brinco Ivy Prateado</v>
      </c>
      <c r="E64" s="59">
        <f>SUMIFS(DETALHADO!G:G,DETALHADO!D:D,"&lt;"&amp;ESTOQUE!$K$2,DETALHADO!E:E,ESTOQUE!$C64)</f>
        <v>0</v>
      </c>
      <c r="F64" s="59">
        <f>SUMIFS(DETALHADO!G:G,DETALHADO!D:D,"&lt;="&amp;ESTOQUE!$K$3,DETALHADO!D:D,"&gt;="&amp;ESTOQUE!$K$2,DETALHADO!E:E,ESTOQUE!$C64,DETALHADO!C:C,ESTOQUE!F$6)</f>
        <v>30</v>
      </c>
      <c r="G64" s="59">
        <f>-SUMIFS(DETALHADO!G:G,DETALHADO!D:D,"&lt;="&amp;ESTOQUE!$K$3,DETALHADO!D:D,"&gt;="&amp;ESTOQUE!$K$2,DETALHADO!E:E,ESTOQUE!$C64,DETALHADO!C:C,ESTOQUE!G$6)</f>
        <v>30</v>
      </c>
      <c r="H64" s="60">
        <f t="shared" si="1"/>
        <v>0</v>
      </c>
      <c r="I64" s="71">
        <f>+H64*VLOOKUP(C64,'Cadastro Produtos (kiwkiw)'!C:F,4,0)</f>
        <v>0</v>
      </c>
      <c r="N64" s="79"/>
    </row>
    <row r="65" spans="3:14" ht="15.75" customHeight="1" x14ac:dyDescent="0.45">
      <c r="C65" s="85" t="s">
        <v>828</v>
      </c>
      <c r="D65" s="70" t="str">
        <f>VLOOKUP(C65,'Cadastro Produtos (kiwkiw)'!C:E,3,0)</f>
        <v>Brinco Jout Banho Ouro</v>
      </c>
      <c r="E65" s="59">
        <f>SUMIFS(DETALHADO!G:G,DETALHADO!D:D,"&lt;"&amp;ESTOQUE!$K$2,DETALHADO!E:E,ESTOQUE!$C65)</f>
        <v>0</v>
      </c>
      <c r="F65" s="59">
        <f>SUMIFS(DETALHADO!G:G,DETALHADO!D:D,"&lt;="&amp;ESTOQUE!$K$3,DETALHADO!D:D,"&gt;="&amp;ESTOQUE!$K$2,DETALHADO!E:E,ESTOQUE!$C65,DETALHADO!C:C,ESTOQUE!F$6)</f>
        <v>20</v>
      </c>
      <c r="G65" s="59">
        <f>-SUMIFS(DETALHADO!G:G,DETALHADO!D:D,"&lt;="&amp;ESTOQUE!$K$3,DETALHADO!D:D,"&gt;="&amp;ESTOQUE!$K$2,DETALHADO!E:E,ESTOQUE!$C65,DETALHADO!C:C,ESTOQUE!G$6)</f>
        <v>3</v>
      </c>
      <c r="H65" s="60">
        <f t="shared" si="1"/>
        <v>17</v>
      </c>
      <c r="I65" s="71">
        <f>+H65*VLOOKUP(C65,'Cadastro Produtos (kiwkiw)'!C:F,4,0)</f>
        <v>0</v>
      </c>
      <c r="N65" s="79"/>
    </row>
    <row r="66" spans="3:14" ht="15.75" customHeight="1" x14ac:dyDescent="0.45">
      <c r="C66" s="85" t="s">
        <v>52</v>
      </c>
      <c r="D66" s="70" t="str">
        <f>VLOOKUP(C66,'Cadastro Produtos (kiwkiw)'!C:E,3,0)</f>
        <v>Brinco Leque Banho Ouro</v>
      </c>
      <c r="E66" s="59">
        <f>SUMIFS(DETALHADO!G:G,DETALHADO!D:D,"&lt;"&amp;ESTOQUE!$K$2,DETALHADO!E:E,ESTOQUE!$C66)</f>
        <v>0</v>
      </c>
      <c r="F66" s="59">
        <f>SUMIFS(DETALHADO!G:G,DETALHADO!D:D,"&lt;="&amp;ESTOQUE!$K$3,DETALHADO!D:D,"&gt;="&amp;ESTOQUE!$K$2,DETALHADO!E:E,ESTOQUE!$C66,DETALHADO!C:C,ESTOQUE!F$6)</f>
        <v>9</v>
      </c>
      <c r="G66" s="59">
        <f>-SUMIFS(DETALHADO!G:G,DETALHADO!D:D,"&lt;="&amp;ESTOQUE!$K$3,DETALHADO!D:D,"&gt;="&amp;ESTOQUE!$K$2,DETALHADO!E:E,ESTOQUE!$C66,DETALHADO!C:C,ESTOQUE!G$6)</f>
        <v>9</v>
      </c>
      <c r="H66" s="60">
        <f t="shared" si="1"/>
        <v>0</v>
      </c>
      <c r="I66" s="71">
        <f>+H66*VLOOKUP(C66,'Cadastro Produtos (kiwkiw)'!C:F,4,0)</f>
        <v>0</v>
      </c>
      <c r="N66" s="79"/>
    </row>
    <row r="67" spans="3:14" ht="15.75" customHeight="1" x14ac:dyDescent="0.45">
      <c r="C67" s="85" t="s">
        <v>812</v>
      </c>
      <c r="D67" s="70" t="str">
        <f>VLOOKUP(C67,'Cadastro Produtos (kiwkiw)'!C:E,3,0)</f>
        <v>Brinco Leque Banho Ouro</v>
      </c>
      <c r="E67" s="59">
        <f>SUMIFS(DETALHADO!G:G,DETALHADO!D:D,"&lt;"&amp;ESTOQUE!$K$2,DETALHADO!E:E,ESTOQUE!$C67)</f>
        <v>0</v>
      </c>
      <c r="F67" s="59">
        <f>SUMIFS(DETALHADO!G:G,DETALHADO!D:D,"&lt;="&amp;ESTOQUE!$K$3,DETALHADO!D:D,"&gt;="&amp;ESTOQUE!$K$2,DETALHADO!E:E,ESTOQUE!$C67,DETALHADO!C:C,ESTOQUE!F$6)</f>
        <v>21</v>
      </c>
      <c r="G67" s="59">
        <f>-SUMIFS(DETALHADO!G:G,DETALHADO!D:D,"&lt;="&amp;ESTOQUE!$K$3,DETALHADO!D:D,"&gt;="&amp;ESTOQUE!$K$2,DETALHADO!E:E,ESTOQUE!$C67,DETALHADO!C:C,ESTOQUE!G$6)</f>
        <v>6</v>
      </c>
      <c r="H67" s="60">
        <f t="shared" si="1"/>
        <v>15</v>
      </c>
      <c r="I67" s="71">
        <f>+H67*VLOOKUP(C67,'Cadastro Produtos (kiwkiw)'!C:F,4,0)</f>
        <v>0</v>
      </c>
      <c r="N67" s="79"/>
    </row>
    <row r="68" spans="3:14" ht="15.75" customHeight="1" x14ac:dyDescent="0.45">
      <c r="C68" s="85" t="s">
        <v>774</v>
      </c>
      <c r="D68" s="70" t="str">
        <f>VLOOKUP(C68,'Cadastro Produtos (kiwkiw)'!C:E,3,0)</f>
        <v>Brinco Leque Prateado</v>
      </c>
      <c r="E68" s="59">
        <f>SUMIFS(DETALHADO!G:G,DETALHADO!D:D,"&lt;"&amp;ESTOQUE!$K$2,DETALHADO!E:E,ESTOQUE!$C68)</f>
        <v>0</v>
      </c>
      <c r="F68" s="59">
        <f>SUMIFS(DETALHADO!G:G,DETALHADO!D:D,"&lt;="&amp;ESTOQUE!$K$3,DETALHADO!D:D,"&gt;="&amp;ESTOQUE!$K$2,DETALHADO!E:E,ESTOQUE!$C68,DETALHADO!C:C,ESTOQUE!F$6)</f>
        <v>10</v>
      </c>
      <c r="G68" s="59">
        <f>-SUMIFS(DETALHADO!G:G,DETALHADO!D:D,"&lt;="&amp;ESTOQUE!$K$3,DETALHADO!D:D,"&gt;="&amp;ESTOQUE!$K$2,DETALHADO!E:E,ESTOQUE!$C68,DETALHADO!C:C,ESTOQUE!G$6)</f>
        <v>3</v>
      </c>
      <c r="H68" s="60">
        <f t="shared" si="1"/>
        <v>7</v>
      </c>
      <c r="I68" s="71">
        <f>+H68*VLOOKUP(C68,'Cadastro Produtos (kiwkiw)'!C:F,4,0)</f>
        <v>0</v>
      </c>
      <c r="N68" s="79"/>
    </row>
    <row r="69" spans="3:14" ht="15.75" customHeight="1" x14ac:dyDescent="0.45">
      <c r="C69" s="85" t="s">
        <v>794</v>
      </c>
      <c r="D69" s="70" t="str">
        <f>VLOOKUP(C69,'Cadastro Produtos (kiwkiw)'!C:E,3,0)</f>
        <v>Brinco Maxi Disco 2 em 1 Banho Ouro</v>
      </c>
      <c r="E69" s="59">
        <f>SUMIFS(DETALHADO!G:G,DETALHADO!D:D,"&lt;"&amp;ESTOQUE!$K$2,DETALHADO!E:E,ESTOQUE!$C69)</f>
        <v>0</v>
      </c>
      <c r="F69" s="59">
        <f>SUMIFS(DETALHADO!G:G,DETALHADO!D:D,"&lt;="&amp;ESTOQUE!$K$3,DETALHADO!D:D,"&gt;="&amp;ESTOQUE!$K$2,DETALHADO!E:E,ESTOQUE!$C69,DETALHADO!C:C,ESTOQUE!F$6)</f>
        <v>19</v>
      </c>
      <c r="G69" s="59">
        <f>-SUMIFS(DETALHADO!G:G,DETALHADO!D:D,"&lt;="&amp;ESTOQUE!$K$3,DETALHADO!D:D,"&gt;="&amp;ESTOQUE!$K$2,DETALHADO!E:E,ESTOQUE!$C69,DETALHADO!C:C,ESTOQUE!G$6)</f>
        <v>1</v>
      </c>
      <c r="H69" s="60">
        <f t="shared" si="1"/>
        <v>18</v>
      </c>
      <c r="I69" s="71">
        <f>+H69*VLOOKUP(C69,'Cadastro Produtos (kiwkiw)'!C:F,4,0)</f>
        <v>0</v>
      </c>
      <c r="N69" s="79"/>
    </row>
    <row r="70" spans="3:14" ht="15.75" customHeight="1" x14ac:dyDescent="0.45">
      <c r="C70" s="85" t="s">
        <v>813</v>
      </c>
      <c r="D70" s="70" t="str">
        <f>VLOOKUP(C70,'Cadastro Produtos (kiwkiw)'!C:E,3,0)</f>
        <v>Brinco Mini Arabesco Banho Ouro</v>
      </c>
      <c r="E70" s="59">
        <f>SUMIFS(DETALHADO!G:G,DETALHADO!D:D,"&lt;"&amp;ESTOQUE!$K$2,DETALHADO!E:E,ESTOQUE!$C70)</f>
        <v>0</v>
      </c>
      <c r="F70" s="59">
        <f>SUMIFS(DETALHADO!G:G,DETALHADO!D:D,"&lt;="&amp;ESTOQUE!$K$3,DETALHADO!D:D,"&gt;="&amp;ESTOQUE!$K$2,DETALHADO!E:E,ESTOQUE!$C70,DETALHADO!C:C,ESTOQUE!F$6)</f>
        <v>19</v>
      </c>
      <c r="G70" s="59">
        <f>-SUMIFS(DETALHADO!G:G,DETALHADO!D:D,"&lt;="&amp;ESTOQUE!$K$3,DETALHADO!D:D,"&gt;="&amp;ESTOQUE!$K$2,DETALHADO!E:E,ESTOQUE!$C70,DETALHADO!C:C,ESTOQUE!G$6)</f>
        <v>2</v>
      </c>
      <c r="H70" s="60">
        <f t="shared" si="1"/>
        <v>17</v>
      </c>
      <c r="I70" s="71">
        <f>+H70*VLOOKUP(C70,'Cadastro Produtos (kiwkiw)'!C:F,4,0)</f>
        <v>0</v>
      </c>
      <c r="N70" s="79"/>
    </row>
    <row r="71" spans="3:14" ht="15.75" customHeight="1" x14ac:dyDescent="0.45">
      <c r="C71" s="85" t="s">
        <v>43</v>
      </c>
      <c r="D71" s="70" t="str">
        <f>VLOOKUP(C71,'Cadastro Produtos (kiwkiw)'!C:E,3,0)</f>
        <v>Brinco Mini Aviao Banho Ouro</v>
      </c>
      <c r="E71" s="59">
        <f>SUMIFS(DETALHADO!G:G,DETALHADO!D:D,"&lt;"&amp;ESTOQUE!$K$2,DETALHADO!E:E,ESTOQUE!$C71)</f>
        <v>0</v>
      </c>
      <c r="F71" s="59">
        <f>SUMIFS(DETALHADO!G:G,DETALHADO!D:D,"&lt;="&amp;ESTOQUE!$K$3,DETALHADO!D:D,"&gt;="&amp;ESTOQUE!$K$2,DETALHADO!E:E,ESTOQUE!$C71,DETALHADO!C:C,ESTOQUE!F$6)</f>
        <v>23</v>
      </c>
      <c r="G71" s="59">
        <f>-SUMIFS(DETALHADO!G:G,DETALHADO!D:D,"&lt;="&amp;ESTOQUE!$K$3,DETALHADO!D:D,"&gt;="&amp;ESTOQUE!$K$2,DETALHADO!E:E,ESTOQUE!$C71,DETALHADO!C:C,ESTOQUE!G$6)</f>
        <v>23</v>
      </c>
      <c r="H71" s="60">
        <f t="shared" si="1"/>
        <v>0</v>
      </c>
      <c r="I71" s="71">
        <f>+H71*VLOOKUP(C71,'Cadastro Produtos (kiwkiw)'!C:F,4,0)</f>
        <v>0</v>
      </c>
      <c r="N71" s="79"/>
    </row>
    <row r="72" spans="3:14" ht="15.75" customHeight="1" x14ac:dyDescent="0.45">
      <c r="C72" s="85" t="s">
        <v>51</v>
      </c>
      <c r="D72" s="70" t="str">
        <f>VLOOKUP(C72,'Cadastro Produtos (kiwkiw)'!C:E,3,0)</f>
        <v>Brinco Mini Flecha Banho Ouro</v>
      </c>
      <c r="E72" s="59">
        <f>SUMIFS(DETALHADO!G:G,DETALHADO!D:D,"&lt;"&amp;ESTOQUE!$K$2,DETALHADO!E:E,ESTOQUE!$C72)</f>
        <v>0</v>
      </c>
      <c r="F72" s="59">
        <f>SUMIFS(DETALHADO!G:G,DETALHADO!D:D,"&lt;="&amp;ESTOQUE!$K$3,DETALHADO!D:D,"&gt;="&amp;ESTOQUE!$K$2,DETALHADO!E:E,ESTOQUE!$C72,DETALHADO!C:C,ESTOQUE!F$6)</f>
        <v>29</v>
      </c>
      <c r="G72" s="59">
        <f>-SUMIFS(DETALHADO!G:G,DETALHADO!D:D,"&lt;="&amp;ESTOQUE!$K$3,DETALHADO!D:D,"&gt;="&amp;ESTOQUE!$K$2,DETALHADO!E:E,ESTOQUE!$C72,DETALHADO!C:C,ESTOQUE!G$6)</f>
        <v>20</v>
      </c>
      <c r="H72" s="60">
        <f t="shared" ref="H72:H117" si="2">+E72+F72-G72</f>
        <v>9</v>
      </c>
      <c r="I72" s="71">
        <f>+H72*VLOOKUP(C72,'Cadastro Produtos (kiwkiw)'!C:F,4,0)</f>
        <v>0</v>
      </c>
      <c r="N72" s="79"/>
    </row>
    <row r="73" spans="3:14" ht="15.75" customHeight="1" x14ac:dyDescent="0.45">
      <c r="C73" s="85" t="s">
        <v>56</v>
      </c>
      <c r="D73" s="70" t="str">
        <f>VLOOKUP(C73,'Cadastro Produtos (kiwkiw)'!C:E,3,0)</f>
        <v>Brinco Mini Raio Banho Ouro</v>
      </c>
      <c r="E73" s="59">
        <f>SUMIFS(DETALHADO!G:G,DETALHADO!D:D,"&lt;"&amp;ESTOQUE!$K$2,DETALHADO!E:E,ESTOQUE!$C73)</f>
        <v>0</v>
      </c>
      <c r="F73" s="59">
        <f>SUMIFS(DETALHADO!G:G,DETALHADO!D:D,"&lt;="&amp;ESTOQUE!$K$3,DETALHADO!D:D,"&gt;="&amp;ESTOQUE!$K$2,DETALHADO!E:E,ESTOQUE!$C73,DETALHADO!C:C,ESTOQUE!F$6)</f>
        <v>26</v>
      </c>
      <c r="G73" s="59">
        <f>-SUMIFS(DETALHADO!G:G,DETALHADO!D:D,"&lt;="&amp;ESTOQUE!$K$3,DETALHADO!D:D,"&gt;="&amp;ESTOQUE!$K$2,DETALHADO!E:E,ESTOQUE!$C73,DETALHADO!C:C,ESTOQUE!G$6)</f>
        <v>26</v>
      </c>
      <c r="H73" s="60">
        <f t="shared" si="2"/>
        <v>0</v>
      </c>
      <c r="I73" s="71">
        <f>+H73*VLOOKUP(C73,'Cadastro Produtos (kiwkiw)'!C:F,4,0)</f>
        <v>0</v>
      </c>
      <c r="N73" s="79"/>
    </row>
    <row r="74" spans="3:14" ht="15.75" customHeight="1" x14ac:dyDescent="0.45">
      <c r="C74" s="85" t="s">
        <v>57</v>
      </c>
      <c r="D74" s="70" t="str">
        <f>VLOOKUP(C74,'Cadastro Produtos (kiwkiw)'!C:E,3,0)</f>
        <v>Brinco Mini Raio Prateado</v>
      </c>
      <c r="E74" s="59">
        <f>SUMIFS(DETALHADO!G:G,DETALHADO!D:D,"&lt;"&amp;ESTOQUE!$K$2,DETALHADO!E:E,ESTOQUE!$C74)</f>
        <v>0</v>
      </c>
      <c r="F74" s="59">
        <f>SUMIFS(DETALHADO!G:G,DETALHADO!D:D,"&lt;="&amp;ESTOQUE!$K$3,DETALHADO!D:D,"&gt;="&amp;ESTOQUE!$K$2,DETALHADO!E:E,ESTOQUE!$C74,DETALHADO!C:C,ESTOQUE!F$6)</f>
        <v>21</v>
      </c>
      <c r="G74" s="59">
        <f>-SUMIFS(DETALHADO!G:G,DETALHADO!D:D,"&lt;="&amp;ESTOQUE!$K$3,DETALHADO!D:D,"&gt;="&amp;ESTOQUE!$K$2,DETALHADO!E:E,ESTOQUE!$C74,DETALHADO!C:C,ESTOQUE!G$6)</f>
        <v>20</v>
      </c>
      <c r="H74" s="60">
        <f t="shared" si="2"/>
        <v>1</v>
      </c>
      <c r="I74" s="71">
        <f>+H74*VLOOKUP(C74,'Cadastro Produtos (kiwkiw)'!C:F,4,0)</f>
        <v>0</v>
      </c>
      <c r="N74" s="79"/>
    </row>
    <row r="75" spans="3:14" ht="15.75" customHeight="1" x14ac:dyDescent="0.45">
      <c r="C75" s="85" t="s">
        <v>58</v>
      </c>
      <c r="D75" s="70" t="str">
        <f>VLOOKUP(C75,'Cadastro Produtos (kiwkiw)'!C:E,3,0)</f>
        <v>Brinco Mini Triangulo Prateado</v>
      </c>
      <c r="E75" s="59">
        <f>SUMIFS(DETALHADO!G:G,DETALHADO!D:D,"&lt;"&amp;ESTOQUE!$K$2,DETALHADO!E:E,ESTOQUE!$C75)</f>
        <v>0</v>
      </c>
      <c r="F75" s="59">
        <f>SUMIFS(DETALHADO!G:G,DETALHADO!D:D,"&lt;="&amp;ESTOQUE!$K$3,DETALHADO!D:D,"&gt;="&amp;ESTOQUE!$K$2,DETALHADO!E:E,ESTOQUE!$C75,DETALHADO!C:C,ESTOQUE!F$6)</f>
        <v>29</v>
      </c>
      <c r="G75" s="59">
        <f>-SUMIFS(DETALHADO!G:G,DETALHADO!D:D,"&lt;="&amp;ESTOQUE!$K$3,DETALHADO!D:D,"&gt;="&amp;ESTOQUE!$K$2,DETALHADO!E:E,ESTOQUE!$C75,DETALHADO!C:C,ESTOQUE!G$6)</f>
        <v>16</v>
      </c>
      <c r="H75" s="60">
        <f t="shared" si="2"/>
        <v>13</v>
      </c>
      <c r="I75" s="71">
        <f>+H75*VLOOKUP(C75,'Cadastro Produtos (kiwkiw)'!C:F,4,0)</f>
        <v>0</v>
      </c>
      <c r="N75" s="79"/>
    </row>
    <row r="76" spans="3:14" ht="15.75" customHeight="1" x14ac:dyDescent="0.45">
      <c r="C76" s="85" t="s">
        <v>59</v>
      </c>
      <c r="D76" s="70" t="str">
        <f>VLOOKUP(C76,'Cadastro Produtos (kiwkiw)'!C:E,3,0)</f>
        <v>Brinco Oncinha Banho Ouro</v>
      </c>
      <c r="E76" s="59">
        <f>SUMIFS(DETALHADO!G:G,DETALHADO!D:D,"&lt;"&amp;ESTOQUE!$K$2,DETALHADO!E:E,ESTOQUE!$C76)</f>
        <v>0</v>
      </c>
      <c r="F76" s="59">
        <f>SUMIFS(DETALHADO!G:G,DETALHADO!D:D,"&lt;="&amp;ESTOQUE!$K$3,DETALHADO!D:D,"&gt;="&amp;ESTOQUE!$K$2,DETALHADO!E:E,ESTOQUE!$C76,DETALHADO!C:C,ESTOQUE!F$6)</f>
        <v>50</v>
      </c>
      <c r="G76" s="59">
        <f>-SUMIFS(DETALHADO!G:G,DETALHADO!D:D,"&lt;="&amp;ESTOQUE!$K$3,DETALHADO!D:D,"&gt;="&amp;ESTOQUE!$K$2,DETALHADO!E:E,ESTOQUE!$C76,DETALHADO!C:C,ESTOQUE!G$6)</f>
        <v>50</v>
      </c>
      <c r="H76" s="60">
        <f t="shared" si="2"/>
        <v>0</v>
      </c>
      <c r="I76" s="71">
        <f>+H76*VLOOKUP(C76,'Cadastro Produtos (kiwkiw)'!C:F,4,0)</f>
        <v>0</v>
      </c>
      <c r="N76" s="79"/>
    </row>
    <row r="77" spans="3:14" ht="15.75" customHeight="1" x14ac:dyDescent="0.45">
      <c r="C77" s="85" t="s">
        <v>60</v>
      </c>
      <c r="D77" s="70" t="str">
        <f>VLOOKUP(C77,'Cadastro Produtos (kiwkiw)'!C:E,3,0)</f>
        <v>Brinco Oncinha Prateado</v>
      </c>
      <c r="E77" s="59">
        <f>SUMIFS(DETALHADO!G:G,DETALHADO!D:D,"&lt;"&amp;ESTOQUE!$K$2,DETALHADO!E:E,ESTOQUE!$C77)</f>
        <v>0</v>
      </c>
      <c r="F77" s="59">
        <f>SUMIFS(DETALHADO!G:G,DETALHADO!D:D,"&lt;="&amp;ESTOQUE!$K$3,DETALHADO!D:D,"&gt;="&amp;ESTOQUE!$K$2,DETALHADO!E:E,ESTOQUE!$C77,DETALHADO!C:C,ESTOQUE!F$6)</f>
        <v>40</v>
      </c>
      <c r="G77" s="59">
        <f>-SUMIFS(DETALHADO!G:G,DETALHADO!D:D,"&lt;="&amp;ESTOQUE!$K$3,DETALHADO!D:D,"&gt;="&amp;ESTOQUE!$K$2,DETALHADO!E:E,ESTOQUE!$C77,DETALHADO!C:C,ESTOQUE!G$6)</f>
        <v>28</v>
      </c>
      <c r="H77" s="60">
        <f t="shared" si="2"/>
        <v>12</v>
      </c>
      <c r="I77" s="71">
        <f>+H77*VLOOKUP(C77,'Cadastro Produtos (kiwkiw)'!C:F,4,0)</f>
        <v>0</v>
      </c>
      <c r="N77" s="79"/>
    </row>
    <row r="78" spans="3:14" ht="15.75" customHeight="1" x14ac:dyDescent="0.45">
      <c r="C78" s="85" t="s">
        <v>788</v>
      </c>
      <c r="D78" s="70" t="str">
        <f>VLOOKUP(C78,'Cadastro Produtos (kiwkiw)'!C:E,3,0)</f>
        <v>Brinco Organico Banho Ouro</v>
      </c>
      <c r="E78" s="59">
        <f>SUMIFS(DETALHADO!G:G,DETALHADO!D:D,"&lt;"&amp;ESTOQUE!$K$2,DETALHADO!E:E,ESTOQUE!$C78)</f>
        <v>0</v>
      </c>
      <c r="F78" s="59">
        <f>SUMIFS(DETALHADO!G:G,DETALHADO!D:D,"&lt;="&amp;ESTOQUE!$K$3,DETALHADO!D:D,"&gt;="&amp;ESTOQUE!$K$2,DETALHADO!E:E,ESTOQUE!$C78,DETALHADO!C:C,ESTOQUE!F$6)</f>
        <v>16</v>
      </c>
      <c r="G78" s="59">
        <f>-SUMIFS(DETALHADO!G:G,DETALHADO!D:D,"&lt;="&amp;ESTOQUE!$K$3,DETALHADO!D:D,"&gt;="&amp;ESTOQUE!$K$2,DETALHADO!E:E,ESTOQUE!$C78,DETALHADO!C:C,ESTOQUE!G$6)</f>
        <v>4</v>
      </c>
      <c r="H78" s="60">
        <f t="shared" si="2"/>
        <v>12</v>
      </c>
      <c r="I78" s="71">
        <f>+H78*VLOOKUP(C78,'Cadastro Produtos (kiwkiw)'!C:F,4,0)</f>
        <v>0</v>
      </c>
      <c r="N78" s="79"/>
    </row>
    <row r="79" spans="3:14" ht="15.75" customHeight="1" x14ac:dyDescent="0.45">
      <c r="C79" s="85" t="s">
        <v>771</v>
      </c>
      <c r="D79" s="70" t="str">
        <f>VLOOKUP(C79,'Cadastro Produtos (kiwkiw)'!C:E,3,0)</f>
        <v>Brinco Organico Prateado</v>
      </c>
      <c r="E79" s="59">
        <f>SUMIFS(DETALHADO!G:G,DETALHADO!D:D,"&lt;"&amp;ESTOQUE!$K$2,DETALHADO!E:E,ESTOQUE!$C79)</f>
        <v>0</v>
      </c>
      <c r="F79" s="59">
        <f>SUMIFS(DETALHADO!G:G,DETALHADO!D:D,"&lt;="&amp;ESTOQUE!$K$3,DETALHADO!D:D,"&gt;="&amp;ESTOQUE!$K$2,DETALHADO!E:E,ESTOQUE!$C79,DETALHADO!C:C,ESTOQUE!F$6)</f>
        <v>9</v>
      </c>
      <c r="G79" s="59">
        <f>-SUMIFS(DETALHADO!G:G,DETALHADO!D:D,"&lt;="&amp;ESTOQUE!$K$3,DETALHADO!D:D,"&gt;="&amp;ESTOQUE!$K$2,DETALHADO!E:E,ESTOQUE!$C79,DETALHADO!C:C,ESTOQUE!G$6)</f>
        <v>1</v>
      </c>
      <c r="H79" s="60">
        <f t="shared" si="2"/>
        <v>8</v>
      </c>
      <c r="I79" s="71">
        <f>+H79*VLOOKUP(C79,'Cadastro Produtos (kiwkiw)'!C:F,4,0)</f>
        <v>0</v>
      </c>
      <c r="N79" s="79"/>
    </row>
    <row r="80" spans="3:14" ht="15.75" customHeight="1" x14ac:dyDescent="0.45">
      <c r="C80" s="85" t="s">
        <v>831</v>
      </c>
      <c r="D80" s="70" t="str">
        <f>VLOOKUP(C80,'Cadastro Produtos (kiwkiw)'!C:E,3,0)</f>
        <v>Brinco Palito Banho Ouro</v>
      </c>
      <c r="E80" s="59">
        <f>SUMIFS(DETALHADO!G:G,DETALHADO!D:D,"&lt;"&amp;ESTOQUE!$K$2,DETALHADO!E:E,ESTOQUE!$C80)</f>
        <v>0</v>
      </c>
      <c r="F80" s="59">
        <f>SUMIFS(DETALHADO!G:G,DETALHADO!D:D,"&lt;="&amp;ESTOQUE!$K$3,DETALHADO!D:D,"&gt;="&amp;ESTOQUE!$K$2,DETALHADO!E:E,ESTOQUE!$C80,DETALHADO!C:C,ESTOQUE!F$6)</f>
        <v>25</v>
      </c>
      <c r="G80" s="59">
        <f>-SUMIFS(DETALHADO!G:G,DETALHADO!D:D,"&lt;="&amp;ESTOQUE!$K$3,DETALHADO!D:D,"&gt;="&amp;ESTOQUE!$K$2,DETALHADO!E:E,ESTOQUE!$C80,DETALHADO!C:C,ESTOQUE!G$6)</f>
        <v>16</v>
      </c>
      <c r="H80" s="60">
        <f t="shared" si="2"/>
        <v>9</v>
      </c>
      <c r="I80" s="71">
        <f>+H80*VLOOKUP(C80,'Cadastro Produtos (kiwkiw)'!C:F,4,0)</f>
        <v>0</v>
      </c>
      <c r="N80" s="79"/>
    </row>
    <row r="81" spans="3:14" ht="15.75" customHeight="1" x14ac:dyDescent="0.45">
      <c r="C81" s="85" t="s">
        <v>781</v>
      </c>
      <c r="D81" s="70" t="str">
        <f>VLOOKUP(C81,'Cadastro Produtos (kiwkiw)'!C:E,3,0)</f>
        <v>Brinco Palito Prateado</v>
      </c>
      <c r="E81" s="59">
        <f>SUMIFS(DETALHADO!G:G,DETALHADO!D:D,"&lt;"&amp;ESTOQUE!$K$2,DETALHADO!E:E,ESTOQUE!$C81)</f>
        <v>0</v>
      </c>
      <c r="F81" s="59">
        <f>SUMIFS(DETALHADO!G:G,DETALHADO!D:D,"&lt;="&amp;ESTOQUE!$K$3,DETALHADO!D:D,"&gt;="&amp;ESTOQUE!$K$2,DETALHADO!E:E,ESTOQUE!$C81,DETALHADO!C:C,ESTOQUE!F$6)</f>
        <v>14</v>
      </c>
      <c r="G81" s="59">
        <f>-SUMIFS(DETALHADO!G:G,DETALHADO!D:D,"&lt;="&amp;ESTOQUE!$K$3,DETALHADO!D:D,"&gt;="&amp;ESTOQUE!$K$2,DETALHADO!E:E,ESTOQUE!$C81,DETALHADO!C:C,ESTOQUE!G$6)</f>
        <v>6</v>
      </c>
      <c r="H81" s="60">
        <f t="shared" si="2"/>
        <v>8</v>
      </c>
      <c r="I81" s="71">
        <f>+H81*VLOOKUP(C81,'Cadastro Produtos (kiwkiw)'!C:F,4,0)</f>
        <v>0</v>
      </c>
      <c r="N81" s="79"/>
    </row>
    <row r="82" spans="3:14" ht="15.75" customHeight="1" x14ac:dyDescent="0.45">
      <c r="C82" s="85" t="s">
        <v>790</v>
      </c>
      <c r="D82" s="70" t="str">
        <f>VLOOKUP(C82,'Cadastro Produtos (kiwkiw)'!C:E,3,0)</f>
        <v>Brinco Pimentinha Banho Ouro</v>
      </c>
      <c r="E82" s="59">
        <f>SUMIFS(DETALHADO!G:G,DETALHADO!D:D,"&lt;"&amp;ESTOQUE!$K$2,DETALHADO!E:E,ESTOQUE!$C82)</f>
        <v>0</v>
      </c>
      <c r="F82" s="59">
        <f>SUMIFS(DETALHADO!G:G,DETALHADO!D:D,"&lt;="&amp;ESTOQUE!$K$3,DETALHADO!D:D,"&gt;="&amp;ESTOQUE!$K$2,DETALHADO!E:E,ESTOQUE!$C82,DETALHADO!C:C,ESTOQUE!F$6)</f>
        <v>17</v>
      </c>
      <c r="G82" s="59">
        <f>-SUMIFS(DETALHADO!G:G,DETALHADO!D:D,"&lt;="&amp;ESTOQUE!$K$3,DETALHADO!D:D,"&gt;="&amp;ESTOQUE!$K$2,DETALHADO!E:E,ESTOQUE!$C82,DETALHADO!C:C,ESTOQUE!G$6)</f>
        <v>2</v>
      </c>
      <c r="H82" s="60">
        <f t="shared" si="2"/>
        <v>15</v>
      </c>
      <c r="I82" s="71">
        <f>+H82*VLOOKUP(C82,'Cadastro Produtos (kiwkiw)'!C:F,4,0)</f>
        <v>0</v>
      </c>
      <c r="N82" s="79"/>
    </row>
    <row r="83" spans="3:14" ht="15.75" customHeight="1" x14ac:dyDescent="0.45">
      <c r="C83" s="85" t="s">
        <v>814</v>
      </c>
      <c r="D83" s="70" t="str">
        <f>VLOOKUP(C83,'Cadastro Produtos (kiwkiw)'!C:E,3,0)</f>
        <v>Brinco Ponto de Luz Banho Ouro</v>
      </c>
      <c r="E83" s="59">
        <f>SUMIFS(DETALHADO!G:G,DETALHADO!D:D,"&lt;"&amp;ESTOQUE!$K$2,DETALHADO!E:E,ESTOQUE!$C83)</f>
        <v>0</v>
      </c>
      <c r="F83" s="59">
        <f>SUMIFS(DETALHADO!G:G,DETALHADO!D:D,"&lt;="&amp;ESTOQUE!$K$3,DETALHADO!D:D,"&gt;="&amp;ESTOQUE!$K$2,DETALHADO!E:E,ESTOQUE!$C83,DETALHADO!C:C,ESTOQUE!F$6)</f>
        <v>19</v>
      </c>
      <c r="G83" s="59">
        <f>-SUMIFS(DETALHADO!G:G,DETALHADO!D:D,"&lt;="&amp;ESTOQUE!$K$3,DETALHADO!D:D,"&gt;="&amp;ESTOQUE!$K$2,DETALHADO!E:E,ESTOQUE!$C83,DETALHADO!C:C,ESTOQUE!G$6)</f>
        <v>10</v>
      </c>
      <c r="H83" s="60">
        <f t="shared" si="2"/>
        <v>9</v>
      </c>
      <c r="I83" s="71">
        <f>+H83*VLOOKUP(C83,'Cadastro Produtos (kiwkiw)'!C:F,4,0)</f>
        <v>0</v>
      </c>
      <c r="N83" s="79"/>
    </row>
    <row r="84" spans="3:14" ht="15.75" customHeight="1" x14ac:dyDescent="0.45">
      <c r="C84" s="85" t="s">
        <v>61</v>
      </c>
      <c r="D84" s="70" t="str">
        <f>VLOOKUP(C84,'Cadastro Produtos (kiwkiw)'!C:E,3,0)</f>
        <v>Brinco Setas Banho Ouro</v>
      </c>
      <c r="E84" s="59">
        <f>SUMIFS(DETALHADO!G:G,DETALHADO!D:D,"&lt;"&amp;ESTOQUE!$K$2,DETALHADO!E:E,ESTOQUE!$C84)</f>
        <v>0</v>
      </c>
      <c r="F84" s="59">
        <f>SUMIFS(DETALHADO!G:G,DETALHADO!D:D,"&lt;="&amp;ESTOQUE!$K$3,DETALHADO!D:D,"&gt;="&amp;ESTOQUE!$K$2,DETALHADO!E:E,ESTOQUE!$C84,DETALHADO!C:C,ESTOQUE!F$6)</f>
        <v>44</v>
      </c>
      <c r="G84" s="59">
        <f>-SUMIFS(DETALHADO!G:G,DETALHADO!D:D,"&lt;="&amp;ESTOQUE!$K$3,DETALHADO!D:D,"&gt;="&amp;ESTOQUE!$K$2,DETALHADO!E:E,ESTOQUE!$C84,DETALHADO!C:C,ESTOQUE!G$6)</f>
        <v>39</v>
      </c>
      <c r="H84" s="60">
        <f t="shared" si="2"/>
        <v>5</v>
      </c>
      <c r="I84" s="71">
        <f>+H84*VLOOKUP(C84,'Cadastro Produtos (kiwkiw)'!C:F,4,0)</f>
        <v>0</v>
      </c>
      <c r="N84" s="79"/>
    </row>
    <row r="85" spans="3:14" ht="15.75" customHeight="1" x14ac:dyDescent="0.45">
      <c r="C85" s="85" t="s">
        <v>62</v>
      </c>
      <c r="D85" s="70" t="str">
        <f>VLOOKUP(C85,'Cadastro Produtos (kiwkiw)'!C:E,3,0)</f>
        <v>Brinco Sol Banho Ouro</v>
      </c>
      <c r="E85" s="59">
        <f>SUMIFS(DETALHADO!G:G,DETALHADO!D:D,"&lt;"&amp;ESTOQUE!$K$2,DETALHADO!E:E,ESTOQUE!$C85)</f>
        <v>0</v>
      </c>
      <c r="F85" s="59">
        <f>SUMIFS(DETALHADO!G:G,DETALHADO!D:D,"&lt;="&amp;ESTOQUE!$K$3,DETALHADO!D:D,"&gt;="&amp;ESTOQUE!$K$2,DETALHADO!E:E,ESTOQUE!$C85,DETALHADO!C:C,ESTOQUE!F$6)</f>
        <v>54</v>
      </c>
      <c r="G85" s="59">
        <f>-SUMIFS(DETALHADO!G:G,DETALHADO!D:D,"&lt;="&amp;ESTOQUE!$K$3,DETALHADO!D:D,"&gt;="&amp;ESTOQUE!$K$2,DETALHADO!E:E,ESTOQUE!$C85,DETALHADO!C:C,ESTOQUE!G$6)</f>
        <v>49</v>
      </c>
      <c r="H85" s="60">
        <f t="shared" si="2"/>
        <v>5</v>
      </c>
      <c r="I85" s="71">
        <f>+H85*VLOOKUP(C85,'Cadastro Produtos (kiwkiw)'!C:F,4,0)</f>
        <v>0</v>
      </c>
      <c r="N85" s="79"/>
    </row>
    <row r="86" spans="3:14" ht="15.75" customHeight="1" x14ac:dyDescent="0.45">
      <c r="C86" s="85" t="s">
        <v>63</v>
      </c>
      <c r="D86" s="70" t="str">
        <f>VLOOKUP(C86,'Cadastro Produtos (kiwkiw)'!C:E,3,0)</f>
        <v>Brinco Spike Banho Ouro</v>
      </c>
      <c r="E86" s="59">
        <f>SUMIFS(DETALHADO!G:G,DETALHADO!D:D,"&lt;"&amp;ESTOQUE!$K$2,DETALHADO!E:E,ESTOQUE!$C86)</f>
        <v>0</v>
      </c>
      <c r="F86" s="59">
        <f>SUMIFS(DETALHADO!G:G,DETALHADO!D:D,"&lt;="&amp;ESTOQUE!$K$3,DETALHADO!D:D,"&gt;="&amp;ESTOQUE!$K$2,DETALHADO!E:E,ESTOQUE!$C86,DETALHADO!C:C,ESTOQUE!F$6)</f>
        <v>4</v>
      </c>
      <c r="G86" s="59">
        <f>-SUMIFS(DETALHADO!G:G,DETALHADO!D:D,"&lt;="&amp;ESTOQUE!$K$3,DETALHADO!D:D,"&gt;="&amp;ESTOQUE!$K$2,DETALHADO!E:E,ESTOQUE!$C86,DETALHADO!C:C,ESTOQUE!G$6)</f>
        <v>4</v>
      </c>
      <c r="H86" s="60">
        <f t="shared" si="2"/>
        <v>0</v>
      </c>
      <c r="I86" s="71">
        <f>+H86*VLOOKUP(C86,'Cadastro Produtos (kiwkiw)'!C:F,4,0)</f>
        <v>0</v>
      </c>
      <c r="N86" s="79"/>
    </row>
    <row r="87" spans="3:14" ht="15.75" customHeight="1" x14ac:dyDescent="0.45">
      <c r="C87" s="85" t="s">
        <v>64</v>
      </c>
      <c r="D87" s="70" t="str">
        <f>VLOOKUP(C87,'Cadastro Produtos (kiwkiw)'!C:E,3,0)</f>
        <v>Brinco Spike Prateado</v>
      </c>
      <c r="E87" s="59">
        <f>SUMIFS(DETALHADO!G:G,DETALHADO!D:D,"&lt;"&amp;ESTOQUE!$K$2,DETALHADO!E:E,ESTOQUE!$C87)</f>
        <v>0</v>
      </c>
      <c r="F87" s="59">
        <f>SUMIFS(DETALHADO!G:G,DETALHADO!D:D,"&lt;="&amp;ESTOQUE!$K$3,DETALHADO!D:D,"&gt;="&amp;ESTOQUE!$K$2,DETALHADO!E:E,ESTOQUE!$C87,DETALHADO!C:C,ESTOQUE!F$6)</f>
        <v>29</v>
      </c>
      <c r="G87" s="59">
        <f>-SUMIFS(DETALHADO!G:G,DETALHADO!D:D,"&lt;="&amp;ESTOQUE!$K$3,DETALHADO!D:D,"&gt;="&amp;ESTOQUE!$K$2,DETALHADO!E:E,ESTOQUE!$C87,DETALHADO!C:C,ESTOQUE!G$6)</f>
        <v>29</v>
      </c>
      <c r="H87" s="60">
        <f t="shared" si="2"/>
        <v>0</v>
      </c>
      <c r="I87" s="71">
        <f>+H87*VLOOKUP(C87,'Cadastro Produtos (kiwkiw)'!C:F,4,0)</f>
        <v>0</v>
      </c>
      <c r="N87" s="79"/>
    </row>
    <row r="88" spans="3:14" ht="15.75" customHeight="1" x14ac:dyDescent="0.45">
      <c r="C88" s="85" t="s">
        <v>65</v>
      </c>
      <c r="D88" s="70" t="str">
        <f>VLOOKUP(C88,'Cadastro Produtos (kiwkiw)'!C:E,3,0)</f>
        <v>Brinco Spring Banho Ouro</v>
      </c>
      <c r="E88" s="59">
        <f>SUMIFS(DETALHADO!G:G,DETALHADO!D:D,"&lt;"&amp;ESTOQUE!$K$2,DETALHADO!E:E,ESTOQUE!$C88)</f>
        <v>0</v>
      </c>
      <c r="F88" s="59">
        <f>SUMIFS(DETALHADO!G:G,DETALHADO!D:D,"&lt;="&amp;ESTOQUE!$K$3,DETALHADO!D:D,"&gt;="&amp;ESTOQUE!$K$2,DETALHADO!E:E,ESTOQUE!$C88,DETALHADO!C:C,ESTOQUE!F$6)</f>
        <v>14</v>
      </c>
      <c r="G88" s="59">
        <f>-SUMIFS(DETALHADO!G:G,DETALHADO!D:D,"&lt;="&amp;ESTOQUE!$K$3,DETALHADO!D:D,"&gt;="&amp;ESTOQUE!$K$2,DETALHADO!E:E,ESTOQUE!$C88,DETALHADO!C:C,ESTOQUE!G$6)</f>
        <v>14</v>
      </c>
      <c r="H88" s="60">
        <f t="shared" si="2"/>
        <v>0</v>
      </c>
      <c r="I88" s="71">
        <f>+H88*VLOOKUP(C88,'Cadastro Produtos (kiwkiw)'!C:F,4,0)</f>
        <v>0</v>
      </c>
      <c r="N88" s="79"/>
    </row>
    <row r="89" spans="3:14" ht="15.75" customHeight="1" x14ac:dyDescent="0.45">
      <c r="C89" s="85" t="s">
        <v>66</v>
      </c>
      <c r="D89" s="70" t="str">
        <f>VLOOKUP(C89,'Cadastro Produtos (kiwkiw)'!C:E,3,0)</f>
        <v>Brinco Square Banho Ouro</v>
      </c>
      <c r="E89" s="59">
        <f>SUMIFS(DETALHADO!G:G,DETALHADO!D:D,"&lt;"&amp;ESTOQUE!$K$2,DETALHADO!E:E,ESTOQUE!$C89)</f>
        <v>0</v>
      </c>
      <c r="F89" s="59">
        <f>SUMIFS(DETALHADO!G:G,DETALHADO!D:D,"&lt;="&amp;ESTOQUE!$K$3,DETALHADO!D:D,"&gt;="&amp;ESTOQUE!$K$2,DETALHADO!E:E,ESTOQUE!$C89,DETALHADO!C:C,ESTOQUE!F$6)</f>
        <v>10</v>
      </c>
      <c r="G89" s="59">
        <f>-SUMIFS(DETALHADO!G:G,DETALHADO!D:D,"&lt;="&amp;ESTOQUE!$K$3,DETALHADO!D:D,"&gt;="&amp;ESTOQUE!$K$2,DETALHADO!E:E,ESTOQUE!$C89,DETALHADO!C:C,ESTOQUE!G$6)</f>
        <v>10</v>
      </c>
      <c r="H89" s="60">
        <f t="shared" si="2"/>
        <v>0</v>
      </c>
      <c r="I89" s="71">
        <f>+H89*VLOOKUP(C89,'Cadastro Produtos (kiwkiw)'!C:F,4,0)</f>
        <v>0</v>
      </c>
      <c r="N89" s="79"/>
    </row>
    <row r="90" spans="3:14" ht="15.75" customHeight="1" x14ac:dyDescent="0.45">
      <c r="C90" s="85" t="s">
        <v>67</v>
      </c>
      <c r="D90" s="70" t="str">
        <f>VLOOKUP(C90,'Cadastro Produtos (kiwkiw)'!C:E,3,0)</f>
        <v>Brinco Tubinho Grande Banho Ouro</v>
      </c>
      <c r="E90" s="59">
        <f>SUMIFS(DETALHADO!G:G,DETALHADO!D:D,"&lt;"&amp;ESTOQUE!$K$2,DETALHADO!E:E,ESTOQUE!$C90)</f>
        <v>0</v>
      </c>
      <c r="F90" s="59">
        <f>SUMIFS(DETALHADO!G:G,DETALHADO!D:D,"&lt;="&amp;ESTOQUE!$K$3,DETALHADO!D:D,"&gt;="&amp;ESTOQUE!$K$2,DETALHADO!E:E,ESTOQUE!$C90,DETALHADO!C:C,ESTOQUE!F$6)</f>
        <v>29</v>
      </c>
      <c r="G90" s="59">
        <f>-SUMIFS(DETALHADO!G:G,DETALHADO!D:D,"&lt;="&amp;ESTOQUE!$K$3,DETALHADO!D:D,"&gt;="&amp;ESTOQUE!$K$2,DETALHADO!E:E,ESTOQUE!$C90,DETALHADO!C:C,ESTOQUE!G$6)</f>
        <v>29</v>
      </c>
      <c r="H90" s="60">
        <f t="shared" si="2"/>
        <v>0</v>
      </c>
      <c r="I90" s="71">
        <f>+H90*VLOOKUP(C90,'Cadastro Produtos (kiwkiw)'!C:F,4,0)</f>
        <v>0</v>
      </c>
      <c r="N90" s="79"/>
    </row>
    <row r="91" spans="3:14" ht="15.75" customHeight="1" x14ac:dyDescent="0.45">
      <c r="C91" s="85" t="s">
        <v>68</v>
      </c>
      <c r="D91" s="70" t="str">
        <f>VLOOKUP(C91,'Cadastro Produtos (kiwkiw)'!C:E,3,0)</f>
        <v>Brinco Tubinho Medio Banho Ouro</v>
      </c>
      <c r="E91" s="59">
        <f>SUMIFS(DETALHADO!G:G,DETALHADO!D:D,"&lt;"&amp;ESTOQUE!$K$2,DETALHADO!E:E,ESTOQUE!$C91)</f>
        <v>0</v>
      </c>
      <c r="F91" s="59">
        <f>SUMIFS(DETALHADO!G:G,DETALHADO!D:D,"&lt;="&amp;ESTOQUE!$K$3,DETALHADO!D:D,"&gt;="&amp;ESTOQUE!$K$2,DETALHADO!E:E,ESTOQUE!$C91,DETALHADO!C:C,ESTOQUE!F$6)</f>
        <v>31</v>
      </c>
      <c r="G91" s="59">
        <f>-SUMIFS(DETALHADO!G:G,DETALHADO!D:D,"&lt;="&amp;ESTOQUE!$K$3,DETALHADO!D:D,"&gt;="&amp;ESTOQUE!$K$2,DETALHADO!E:E,ESTOQUE!$C91,DETALHADO!C:C,ESTOQUE!G$6)</f>
        <v>31</v>
      </c>
      <c r="H91" s="60">
        <f t="shared" si="2"/>
        <v>0</v>
      </c>
      <c r="I91" s="71">
        <f>+H91*VLOOKUP(C91,'Cadastro Produtos (kiwkiw)'!C:F,4,0)</f>
        <v>0</v>
      </c>
      <c r="N91" s="79"/>
    </row>
    <row r="92" spans="3:14" ht="15.75" customHeight="1" x14ac:dyDescent="0.45">
      <c r="C92" s="85" t="s">
        <v>69</v>
      </c>
      <c r="D92" s="70" t="str">
        <f>VLOOKUP(C92,'Cadastro Produtos (kiwkiw)'!C:E,3,0)</f>
        <v>Brinco Tubinho Pequeno Banho Ouro</v>
      </c>
      <c r="E92" s="59">
        <f>SUMIFS(DETALHADO!G:G,DETALHADO!D:D,"&lt;"&amp;ESTOQUE!$K$2,DETALHADO!E:E,ESTOQUE!$C92)</f>
        <v>0</v>
      </c>
      <c r="F92" s="59">
        <f>SUMIFS(DETALHADO!G:G,DETALHADO!D:D,"&lt;="&amp;ESTOQUE!$K$3,DETALHADO!D:D,"&gt;="&amp;ESTOQUE!$K$2,DETALHADO!E:E,ESTOQUE!$C92,DETALHADO!C:C,ESTOQUE!F$6)</f>
        <v>30</v>
      </c>
      <c r="G92" s="59">
        <f>-SUMIFS(DETALHADO!G:G,DETALHADO!D:D,"&lt;="&amp;ESTOQUE!$K$3,DETALHADO!D:D,"&gt;="&amp;ESTOQUE!$K$2,DETALHADO!E:E,ESTOQUE!$C92,DETALHADO!C:C,ESTOQUE!G$6)</f>
        <v>30</v>
      </c>
      <c r="H92" s="60">
        <f t="shared" si="2"/>
        <v>0</v>
      </c>
      <c r="I92" s="71">
        <f>+H92*VLOOKUP(C92,'Cadastro Produtos (kiwkiw)'!C:F,4,0)</f>
        <v>0</v>
      </c>
      <c r="N92" s="79"/>
    </row>
    <row r="93" spans="3:14" ht="15.75" customHeight="1" x14ac:dyDescent="0.45">
      <c r="C93" s="85" t="s">
        <v>815</v>
      </c>
      <c r="D93" s="70" t="str">
        <f>VLOOKUP(C93,'Cadastro Produtos (kiwkiw)'!C:E,3,0)</f>
        <v>Colar Boho Banho Ouro</v>
      </c>
      <c r="E93" s="59">
        <f>SUMIFS(DETALHADO!G:G,DETALHADO!D:D,"&lt;"&amp;ESTOQUE!$K$2,DETALHADO!E:E,ESTOQUE!$C93)</f>
        <v>0</v>
      </c>
      <c r="F93" s="59">
        <f>SUMIFS(DETALHADO!G:G,DETALHADO!D:D,"&lt;="&amp;ESTOQUE!$K$3,DETALHADO!D:D,"&gt;="&amp;ESTOQUE!$K$2,DETALHADO!E:E,ESTOQUE!$C93,DETALHADO!C:C,ESTOQUE!F$6)</f>
        <v>19</v>
      </c>
      <c r="G93" s="59">
        <f>-SUMIFS(DETALHADO!G:G,DETALHADO!D:D,"&lt;="&amp;ESTOQUE!$K$3,DETALHADO!D:D,"&gt;="&amp;ESTOQUE!$K$2,DETALHADO!E:E,ESTOQUE!$C93,DETALHADO!C:C,ESTOQUE!G$6)</f>
        <v>0</v>
      </c>
      <c r="H93" s="60">
        <f t="shared" si="2"/>
        <v>19</v>
      </c>
      <c r="I93" s="71">
        <f>+H93*VLOOKUP(C93,'Cadastro Produtos (kiwkiw)'!C:F,4,0)</f>
        <v>0</v>
      </c>
      <c r="N93" s="79"/>
    </row>
    <row r="94" spans="3:14" ht="15.75" customHeight="1" x14ac:dyDescent="0.45">
      <c r="C94" s="85" t="s">
        <v>795</v>
      </c>
      <c r="D94" s="70" t="str">
        <f>VLOOKUP(C94,'Cadastro Produtos (kiwkiw)'!C:E,3,0)</f>
        <v>Colar Boho Diamantado Banho Ouro</v>
      </c>
      <c r="E94" s="59">
        <f>SUMIFS(DETALHADO!G:G,DETALHADO!D:D,"&lt;"&amp;ESTOQUE!$K$2,DETALHADO!E:E,ESTOQUE!$C94)</f>
        <v>0</v>
      </c>
      <c r="F94" s="59">
        <f>SUMIFS(DETALHADO!G:G,DETALHADO!D:D,"&lt;="&amp;ESTOQUE!$K$3,DETALHADO!D:D,"&gt;="&amp;ESTOQUE!$K$2,DETALHADO!E:E,ESTOQUE!$C94,DETALHADO!C:C,ESTOQUE!F$6)</f>
        <v>18</v>
      </c>
      <c r="G94" s="59">
        <f>-SUMIFS(DETALHADO!G:G,DETALHADO!D:D,"&lt;="&amp;ESTOQUE!$K$3,DETALHADO!D:D,"&gt;="&amp;ESTOQUE!$K$2,DETALHADO!E:E,ESTOQUE!$C94,DETALHADO!C:C,ESTOQUE!G$6)</f>
        <v>1</v>
      </c>
      <c r="H94" s="60">
        <f t="shared" si="2"/>
        <v>17</v>
      </c>
      <c r="I94" s="71">
        <f>+H94*VLOOKUP(C94,'Cadastro Produtos (kiwkiw)'!C:F,4,0)</f>
        <v>0</v>
      </c>
      <c r="N94" s="79"/>
    </row>
    <row r="95" spans="3:14" ht="15.75" customHeight="1" x14ac:dyDescent="0.45">
      <c r="C95" s="85" t="s">
        <v>131</v>
      </c>
      <c r="D95" s="70" t="str">
        <f>VLOOKUP(C95,'Cadastro Produtos (kiwkiw)'!C:E,3,0)</f>
        <v>Colar Brave Perolado Banho Ouro</v>
      </c>
      <c r="E95" s="59">
        <f>SUMIFS(DETALHADO!G:G,DETALHADO!D:D,"&lt;"&amp;ESTOQUE!$K$2,DETALHADO!E:E,ESTOQUE!$C95)</f>
        <v>0</v>
      </c>
      <c r="F95" s="59">
        <f>SUMIFS(DETALHADO!G:G,DETALHADO!D:D,"&lt;="&amp;ESTOQUE!$K$3,DETALHADO!D:D,"&gt;="&amp;ESTOQUE!$K$2,DETALHADO!E:E,ESTOQUE!$C95,DETALHADO!C:C,ESTOQUE!F$6)</f>
        <v>17</v>
      </c>
      <c r="G95" s="59">
        <f>-SUMIFS(DETALHADO!G:G,DETALHADO!D:D,"&lt;="&amp;ESTOQUE!$K$3,DETALHADO!D:D,"&gt;="&amp;ESTOQUE!$K$2,DETALHADO!E:E,ESTOQUE!$C95,DETALHADO!C:C,ESTOQUE!G$6)</f>
        <v>5</v>
      </c>
      <c r="H95" s="60">
        <f t="shared" si="2"/>
        <v>12</v>
      </c>
      <c r="I95" s="71">
        <f>+H95*VLOOKUP(C95,'Cadastro Produtos (kiwkiw)'!C:F,4,0)</f>
        <v>0</v>
      </c>
      <c r="N95" s="79"/>
    </row>
    <row r="96" spans="3:14" ht="15.75" customHeight="1" x14ac:dyDescent="0.45">
      <c r="C96" s="85" t="s">
        <v>132</v>
      </c>
      <c r="D96" s="70" t="str">
        <f>VLOOKUP(C96,'Cadastro Produtos (kiwkiw)'!C:E,3,0)</f>
        <v>Colar Brave Preto Banho Ouro</v>
      </c>
      <c r="E96" s="59">
        <f>SUMIFS(DETALHADO!G:G,DETALHADO!D:D,"&lt;"&amp;ESTOQUE!$K$2,DETALHADO!E:E,ESTOQUE!$C96)</f>
        <v>0</v>
      </c>
      <c r="F96" s="59">
        <f>SUMIFS(DETALHADO!G:G,DETALHADO!D:D,"&lt;="&amp;ESTOQUE!$K$3,DETALHADO!D:D,"&gt;="&amp;ESTOQUE!$K$2,DETALHADO!E:E,ESTOQUE!$C96,DETALHADO!C:C,ESTOQUE!F$6)</f>
        <v>10</v>
      </c>
      <c r="G96" s="59">
        <f>-SUMIFS(DETALHADO!G:G,DETALHADO!D:D,"&lt;="&amp;ESTOQUE!$K$3,DETALHADO!D:D,"&gt;="&amp;ESTOQUE!$K$2,DETALHADO!E:E,ESTOQUE!$C96,DETALHADO!C:C,ESTOQUE!G$6)</f>
        <v>1</v>
      </c>
      <c r="H96" s="60">
        <f t="shared" si="2"/>
        <v>9</v>
      </c>
      <c r="I96" s="71">
        <f>+H96*VLOOKUP(C96,'Cadastro Produtos (kiwkiw)'!C:F,4,0)</f>
        <v>0</v>
      </c>
      <c r="N96" s="79"/>
    </row>
    <row r="97" spans="3:14" ht="15.75" customHeight="1" x14ac:dyDescent="0.45">
      <c r="C97" s="85" t="s">
        <v>92</v>
      </c>
      <c r="D97" s="70" t="str">
        <f>VLOOKUP(C97,'Cadastro Produtos (kiwkiw)'!C:E,3,0)</f>
        <v>Colar Coracao Banho Ouro</v>
      </c>
      <c r="E97" s="59">
        <f>SUMIFS(DETALHADO!G:G,DETALHADO!D:D,"&lt;"&amp;ESTOQUE!$K$2,DETALHADO!E:E,ESTOQUE!$C97)</f>
        <v>0</v>
      </c>
      <c r="F97" s="59">
        <f>SUMIFS(DETALHADO!G:G,DETALHADO!D:D,"&lt;="&amp;ESTOQUE!$K$3,DETALHADO!D:D,"&gt;="&amp;ESTOQUE!$K$2,DETALHADO!E:E,ESTOQUE!$C97,DETALHADO!C:C,ESTOQUE!F$6)</f>
        <v>78</v>
      </c>
      <c r="G97" s="59">
        <f>-SUMIFS(DETALHADO!G:G,DETALHADO!D:D,"&lt;="&amp;ESTOQUE!$K$3,DETALHADO!D:D,"&gt;="&amp;ESTOQUE!$K$2,DETALHADO!E:E,ESTOQUE!$C97,DETALHADO!C:C,ESTOQUE!G$6)</f>
        <v>78</v>
      </c>
      <c r="H97" s="60">
        <f t="shared" si="2"/>
        <v>0</v>
      </c>
      <c r="I97" s="71">
        <f>+H97*VLOOKUP(C97,'Cadastro Produtos (kiwkiw)'!C:F,4,0)</f>
        <v>0</v>
      </c>
      <c r="N97" s="79"/>
    </row>
    <row r="98" spans="3:14" ht="15.75" customHeight="1" x14ac:dyDescent="0.45">
      <c r="C98" s="85" t="s">
        <v>93</v>
      </c>
      <c r="D98" s="70" t="str">
        <f>VLOOKUP(C98,'Cadastro Produtos (kiwkiw)'!C:E,3,0)</f>
        <v>Colar Coracao Prateado</v>
      </c>
      <c r="E98" s="59">
        <f>SUMIFS(DETALHADO!G:G,DETALHADO!D:D,"&lt;"&amp;ESTOQUE!$K$2,DETALHADO!E:E,ESTOQUE!$C98)</f>
        <v>0</v>
      </c>
      <c r="F98" s="59">
        <f>SUMIFS(DETALHADO!G:G,DETALHADO!D:D,"&lt;="&amp;ESTOQUE!$K$3,DETALHADO!D:D,"&gt;="&amp;ESTOQUE!$K$2,DETALHADO!E:E,ESTOQUE!$C98,DETALHADO!C:C,ESTOQUE!F$6)</f>
        <v>41</v>
      </c>
      <c r="G98" s="59">
        <f>-SUMIFS(DETALHADO!G:G,DETALHADO!D:D,"&lt;="&amp;ESTOQUE!$K$3,DETALHADO!D:D,"&gt;="&amp;ESTOQUE!$K$2,DETALHADO!E:E,ESTOQUE!$C98,DETALHADO!C:C,ESTOQUE!G$6)</f>
        <v>40</v>
      </c>
      <c r="H98" s="60">
        <f t="shared" si="2"/>
        <v>1</v>
      </c>
      <c r="I98" s="71">
        <f>+H98*VLOOKUP(C98,'Cadastro Produtos (kiwkiw)'!C:F,4,0)</f>
        <v>0</v>
      </c>
      <c r="N98" s="79"/>
    </row>
    <row r="99" spans="3:14" ht="15.75" customHeight="1" x14ac:dyDescent="0.45">
      <c r="C99" s="85" t="s">
        <v>1428</v>
      </c>
      <c r="D99" s="70" t="str">
        <f>VLOOKUP(C99,'Cadastro Produtos (kiwkiw)'!C:E,3,0)</f>
        <v>Colar Coral</v>
      </c>
      <c r="E99" s="59">
        <f>SUMIFS(DETALHADO!G:G,DETALHADO!D:D,"&lt;"&amp;ESTOQUE!$K$2,DETALHADO!E:E,ESTOQUE!$C99)</f>
        <v>0</v>
      </c>
      <c r="F99" s="59">
        <f>SUMIFS(DETALHADO!G:G,DETALHADO!D:D,"&lt;="&amp;ESTOQUE!$K$3,DETALHADO!D:D,"&gt;="&amp;ESTOQUE!$K$2,DETALHADO!E:E,ESTOQUE!$C99,DETALHADO!C:C,ESTOQUE!F$6)</f>
        <v>4</v>
      </c>
      <c r="G99" s="59">
        <f>-SUMIFS(DETALHADO!G:G,DETALHADO!D:D,"&lt;="&amp;ESTOQUE!$K$3,DETALHADO!D:D,"&gt;="&amp;ESTOQUE!$K$2,DETALHADO!E:E,ESTOQUE!$C99,DETALHADO!C:C,ESTOQUE!G$6)</f>
        <v>0</v>
      </c>
      <c r="H99" s="60">
        <f t="shared" si="2"/>
        <v>4</v>
      </c>
      <c r="I99" s="71">
        <f>+H99*VLOOKUP(C99,'Cadastro Produtos (kiwkiw)'!C:F,4,0)</f>
        <v>0</v>
      </c>
      <c r="N99" s="79"/>
    </row>
    <row r="100" spans="3:14" ht="15.75" customHeight="1" x14ac:dyDescent="0.45">
      <c r="C100" s="85" t="s">
        <v>110</v>
      </c>
      <c r="D100" s="70" t="str">
        <f>VLOOKUP(C100,'Cadastro Produtos (kiwkiw)'!C:E,3,0)</f>
        <v>Colar Corrente Groumet Banho Ouro</v>
      </c>
      <c r="E100" s="59">
        <f>SUMIFS(DETALHADO!G:G,DETALHADO!D:D,"&lt;"&amp;ESTOQUE!$K$2,DETALHADO!E:E,ESTOQUE!$C100)</f>
        <v>0</v>
      </c>
      <c r="F100" s="59">
        <f>SUMIFS(DETALHADO!G:G,DETALHADO!D:D,"&lt;="&amp;ESTOQUE!$K$3,DETALHADO!D:D,"&gt;="&amp;ESTOQUE!$K$2,DETALHADO!E:E,ESTOQUE!$C100,DETALHADO!C:C,ESTOQUE!F$6)</f>
        <v>11</v>
      </c>
      <c r="G100" s="59">
        <f>-SUMIFS(DETALHADO!G:G,DETALHADO!D:D,"&lt;="&amp;ESTOQUE!$K$3,DETALHADO!D:D,"&gt;="&amp;ESTOQUE!$K$2,DETALHADO!E:E,ESTOQUE!$C100,DETALHADO!C:C,ESTOQUE!G$6)</f>
        <v>10</v>
      </c>
      <c r="H100" s="60">
        <f t="shared" si="2"/>
        <v>1</v>
      </c>
      <c r="I100" s="71">
        <f>+H100*VLOOKUP(C100,'Cadastro Produtos (kiwkiw)'!C:F,4,0)</f>
        <v>0</v>
      </c>
      <c r="N100" s="79"/>
    </row>
    <row r="101" spans="3:14" ht="15.75" customHeight="1" x14ac:dyDescent="0.45">
      <c r="C101" s="85" t="s">
        <v>111</v>
      </c>
      <c r="D101" s="70" t="str">
        <f>VLOOKUP(C101,'Cadastro Produtos (kiwkiw)'!C:E,3,0)</f>
        <v>Colar Corrente Groumet Prateada</v>
      </c>
      <c r="E101" s="59">
        <f>SUMIFS(DETALHADO!G:G,DETALHADO!D:D,"&lt;"&amp;ESTOQUE!$K$2,DETALHADO!E:E,ESTOQUE!$C101)</f>
        <v>0</v>
      </c>
      <c r="F101" s="59">
        <f>SUMIFS(DETALHADO!G:G,DETALHADO!D:D,"&lt;="&amp;ESTOQUE!$K$3,DETALHADO!D:D,"&gt;="&amp;ESTOQUE!$K$2,DETALHADO!E:E,ESTOQUE!$C101,DETALHADO!C:C,ESTOQUE!F$6)</f>
        <v>9</v>
      </c>
      <c r="G101" s="59">
        <f>-SUMIFS(DETALHADO!G:G,DETALHADO!D:D,"&lt;="&amp;ESTOQUE!$K$3,DETALHADO!D:D,"&gt;="&amp;ESTOQUE!$K$2,DETALHADO!E:E,ESTOQUE!$C101,DETALHADO!C:C,ESTOQUE!G$6)</f>
        <v>9</v>
      </c>
      <c r="H101" s="60">
        <f t="shared" si="2"/>
        <v>0</v>
      </c>
      <c r="I101" s="71">
        <f>+H101*VLOOKUP(C101,'Cadastro Produtos (kiwkiw)'!C:F,4,0)</f>
        <v>0</v>
      </c>
      <c r="N101" s="79"/>
    </row>
    <row r="102" spans="3:14" ht="15.75" customHeight="1" x14ac:dyDescent="0.45">
      <c r="C102" s="85" t="s">
        <v>89</v>
      </c>
      <c r="D102" s="70" t="str">
        <f>VLOOKUP(C102,'Cadastro Produtos (kiwkiw)'!C:E,3,0)</f>
        <v>Colar Dot Banho Ouro</v>
      </c>
      <c r="E102" s="59">
        <f>SUMIFS(DETALHADO!G:G,DETALHADO!D:D,"&lt;"&amp;ESTOQUE!$K$2,DETALHADO!E:E,ESTOQUE!$C102)</f>
        <v>0</v>
      </c>
      <c r="F102" s="59">
        <f>SUMIFS(DETALHADO!G:G,DETALHADO!D:D,"&lt;="&amp;ESTOQUE!$K$3,DETALHADO!D:D,"&gt;="&amp;ESTOQUE!$K$2,DETALHADO!E:E,ESTOQUE!$C102,DETALHADO!C:C,ESTOQUE!F$6)</f>
        <v>34</v>
      </c>
      <c r="G102" s="59">
        <f>-SUMIFS(DETALHADO!G:G,DETALHADO!D:D,"&lt;="&amp;ESTOQUE!$K$3,DETALHADO!D:D,"&gt;="&amp;ESTOQUE!$K$2,DETALHADO!E:E,ESTOQUE!$C102,DETALHADO!C:C,ESTOQUE!G$6)</f>
        <v>34</v>
      </c>
      <c r="H102" s="60">
        <f t="shared" si="2"/>
        <v>0</v>
      </c>
      <c r="I102" s="71">
        <f>+H102*VLOOKUP(C102,'Cadastro Produtos (kiwkiw)'!C:F,4,0)</f>
        <v>0</v>
      </c>
      <c r="N102" s="79"/>
    </row>
    <row r="103" spans="3:14" ht="15.75" customHeight="1" x14ac:dyDescent="0.45">
      <c r="C103" s="85" t="s">
        <v>90</v>
      </c>
      <c r="D103" s="70" t="str">
        <f>VLOOKUP(C103,'Cadastro Produtos (kiwkiw)'!C:E,3,0)</f>
        <v>Colar Dot Prateado</v>
      </c>
      <c r="E103" s="59">
        <f>SUMIFS(DETALHADO!G:G,DETALHADO!D:D,"&lt;"&amp;ESTOQUE!$K$2,DETALHADO!E:E,ESTOQUE!$C103)</f>
        <v>0</v>
      </c>
      <c r="F103" s="59">
        <f>SUMIFS(DETALHADO!G:G,DETALHADO!D:D,"&lt;="&amp;ESTOQUE!$K$3,DETALHADO!D:D,"&gt;="&amp;ESTOQUE!$K$2,DETALHADO!E:E,ESTOQUE!$C103,DETALHADO!C:C,ESTOQUE!F$6)</f>
        <v>32</v>
      </c>
      <c r="G103" s="59">
        <f>-SUMIFS(DETALHADO!G:G,DETALHADO!D:D,"&lt;="&amp;ESTOQUE!$K$3,DETALHADO!D:D,"&gt;="&amp;ESTOQUE!$K$2,DETALHADO!E:E,ESTOQUE!$C103,DETALHADO!C:C,ESTOQUE!G$6)</f>
        <v>32</v>
      </c>
      <c r="H103" s="60">
        <f t="shared" si="2"/>
        <v>0</v>
      </c>
      <c r="I103" s="71">
        <f>+H103*VLOOKUP(C103,'Cadastro Produtos (kiwkiw)'!C:F,4,0)</f>
        <v>0</v>
      </c>
      <c r="N103" s="79"/>
    </row>
    <row r="104" spans="3:14" ht="15.75" customHeight="1" x14ac:dyDescent="0.45">
      <c r="C104" s="85" t="s">
        <v>94</v>
      </c>
      <c r="D104" s="70" t="str">
        <f>VLOOKUP(C104,'Cadastro Produtos (kiwkiw)'!C:E,3,0)</f>
        <v>Colar Duplo Dots Banho Ouro</v>
      </c>
      <c r="E104" s="59">
        <f>SUMIFS(DETALHADO!G:G,DETALHADO!D:D,"&lt;"&amp;ESTOQUE!$K$2,DETALHADO!E:E,ESTOQUE!$C104)</f>
        <v>0</v>
      </c>
      <c r="F104" s="59">
        <f>SUMIFS(DETALHADO!G:G,DETALHADO!D:D,"&lt;="&amp;ESTOQUE!$K$3,DETALHADO!D:D,"&gt;="&amp;ESTOQUE!$K$2,DETALHADO!E:E,ESTOQUE!$C104,DETALHADO!C:C,ESTOQUE!F$6)</f>
        <v>75</v>
      </c>
      <c r="G104" s="59">
        <f>-SUMIFS(DETALHADO!G:G,DETALHADO!D:D,"&lt;="&amp;ESTOQUE!$K$3,DETALHADO!D:D,"&gt;="&amp;ESTOQUE!$K$2,DETALHADO!E:E,ESTOQUE!$C104,DETALHADO!C:C,ESTOQUE!G$6)</f>
        <v>75</v>
      </c>
      <c r="H104" s="60">
        <f t="shared" si="2"/>
        <v>0</v>
      </c>
      <c r="I104" s="71">
        <f>+H104*VLOOKUP(C104,'Cadastro Produtos (kiwkiw)'!C:F,4,0)</f>
        <v>0</v>
      </c>
      <c r="N104" s="79"/>
    </row>
    <row r="105" spans="3:14" ht="15.75" customHeight="1" x14ac:dyDescent="0.45">
      <c r="C105" s="85" t="s">
        <v>95</v>
      </c>
      <c r="D105" s="70" t="str">
        <f>VLOOKUP(C105,'Cadastro Produtos (kiwkiw)'!C:E,3,0)</f>
        <v>Colar Duplo Dots Prateado</v>
      </c>
      <c r="E105" s="59">
        <f>SUMIFS(DETALHADO!G:G,DETALHADO!D:D,"&lt;"&amp;ESTOQUE!$K$2,DETALHADO!E:E,ESTOQUE!$C105)</f>
        <v>0</v>
      </c>
      <c r="F105" s="59">
        <f>SUMIFS(DETALHADO!G:G,DETALHADO!D:D,"&lt;="&amp;ESTOQUE!$K$3,DETALHADO!D:D,"&gt;="&amp;ESTOQUE!$K$2,DETALHADO!E:E,ESTOQUE!$C105,DETALHADO!C:C,ESTOQUE!F$6)</f>
        <v>45</v>
      </c>
      <c r="G105" s="59">
        <f>-SUMIFS(DETALHADO!G:G,DETALHADO!D:D,"&lt;="&amp;ESTOQUE!$K$3,DETALHADO!D:D,"&gt;="&amp;ESTOQUE!$K$2,DETALHADO!E:E,ESTOQUE!$C105,DETALHADO!C:C,ESTOQUE!G$6)</f>
        <v>31</v>
      </c>
      <c r="H105" s="60">
        <f t="shared" si="2"/>
        <v>14</v>
      </c>
      <c r="I105" s="71">
        <f>+H105*VLOOKUP(C105,'Cadastro Produtos (kiwkiw)'!C:F,4,0)</f>
        <v>0</v>
      </c>
      <c r="N105" s="79"/>
    </row>
    <row r="106" spans="3:14" ht="15.75" customHeight="1" x14ac:dyDescent="0.45">
      <c r="C106" s="85" t="s">
        <v>816</v>
      </c>
      <c r="D106" s="70" t="str">
        <f>VLOOKUP(C106,'Cadastro Produtos (kiwkiw)'!C:E,3,0)</f>
        <v>Colar Duplo Fita Banho Ouro</v>
      </c>
      <c r="E106" s="59">
        <f>SUMIFS(DETALHADO!G:G,DETALHADO!D:D,"&lt;"&amp;ESTOQUE!$K$2,DETALHADO!E:E,ESTOQUE!$C106)</f>
        <v>0</v>
      </c>
      <c r="F106" s="59">
        <f>SUMIFS(DETALHADO!G:G,DETALHADO!D:D,"&lt;="&amp;ESTOQUE!$K$3,DETALHADO!D:D,"&gt;="&amp;ESTOQUE!$K$2,DETALHADO!E:E,ESTOQUE!$C106,DETALHADO!C:C,ESTOQUE!F$6)</f>
        <v>19</v>
      </c>
      <c r="G106" s="59">
        <f>-SUMIFS(DETALHADO!G:G,DETALHADO!D:D,"&lt;="&amp;ESTOQUE!$K$3,DETALHADO!D:D,"&gt;="&amp;ESTOQUE!$K$2,DETALHADO!E:E,ESTOQUE!$C106,DETALHADO!C:C,ESTOQUE!G$6)</f>
        <v>1</v>
      </c>
      <c r="H106" s="60">
        <f t="shared" si="2"/>
        <v>18</v>
      </c>
      <c r="I106" s="71">
        <f>+H106*VLOOKUP(C106,'Cadastro Produtos (kiwkiw)'!C:F,4,0)</f>
        <v>0</v>
      </c>
      <c r="N106" s="79"/>
    </row>
    <row r="107" spans="3:14" ht="15.75" customHeight="1" x14ac:dyDescent="0.45">
      <c r="C107" s="85" t="s">
        <v>96</v>
      </c>
      <c r="D107" s="70" t="str">
        <f>VLOOKUP(C107,'Cadastro Produtos (kiwkiw)'!C:E,3,0)</f>
        <v>Colar Duplo Minimal Banho Ouro</v>
      </c>
      <c r="E107" s="59">
        <f>SUMIFS(DETALHADO!G:G,DETALHADO!D:D,"&lt;"&amp;ESTOQUE!$K$2,DETALHADO!E:E,ESTOQUE!$C107)</f>
        <v>0</v>
      </c>
      <c r="F107" s="59">
        <f>SUMIFS(DETALHADO!G:G,DETALHADO!D:D,"&lt;="&amp;ESTOQUE!$K$3,DETALHADO!D:D,"&gt;="&amp;ESTOQUE!$K$2,DETALHADO!E:E,ESTOQUE!$C107,DETALHADO!C:C,ESTOQUE!F$6)</f>
        <v>22</v>
      </c>
      <c r="G107" s="59">
        <f>-SUMIFS(DETALHADO!G:G,DETALHADO!D:D,"&lt;="&amp;ESTOQUE!$K$3,DETALHADO!D:D,"&gt;="&amp;ESTOQUE!$K$2,DETALHADO!E:E,ESTOQUE!$C107,DETALHADO!C:C,ESTOQUE!G$6)</f>
        <v>22</v>
      </c>
      <c r="H107" s="60">
        <f t="shared" si="2"/>
        <v>0</v>
      </c>
      <c r="I107" s="71">
        <f>+H107*VLOOKUP(C107,'Cadastro Produtos (kiwkiw)'!C:F,4,0)</f>
        <v>0</v>
      </c>
      <c r="N107" s="79"/>
    </row>
    <row r="108" spans="3:14" ht="15.75" customHeight="1" x14ac:dyDescent="0.45">
      <c r="C108" s="85" t="s">
        <v>97</v>
      </c>
      <c r="D108" s="70" t="str">
        <f>VLOOKUP(C108,'Cadastro Produtos (kiwkiw)'!C:E,3,0)</f>
        <v>Colar Duplo Minimal Prateado</v>
      </c>
      <c r="E108" s="59">
        <f>SUMIFS(DETALHADO!G:G,DETALHADO!D:D,"&lt;"&amp;ESTOQUE!$K$2,DETALHADO!E:E,ESTOQUE!$C108)</f>
        <v>0</v>
      </c>
      <c r="F108" s="59">
        <f>SUMIFS(DETALHADO!G:G,DETALHADO!D:D,"&lt;="&amp;ESTOQUE!$K$3,DETALHADO!D:D,"&gt;="&amp;ESTOQUE!$K$2,DETALHADO!E:E,ESTOQUE!$C108,DETALHADO!C:C,ESTOQUE!F$6)</f>
        <v>28</v>
      </c>
      <c r="G108" s="59">
        <f>-SUMIFS(DETALHADO!G:G,DETALHADO!D:D,"&lt;="&amp;ESTOQUE!$K$3,DETALHADO!D:D,"&gt;="&amp;ESTOQUE!$K$2,DETALHADO!E:E,ESTOQUE!$C108,DETALHADO!C:C,ESTOQUE!G$6)</f>
        <v>12</v>
      </c>
      <c r="H108" s="60">
        <f t="shared" si="2"/>
        <v>16</v>
      </c>
      <c r="I108" s="71">
        <f>+H108*VLOOKUP(C108,'Cadastro Produtos (kiwkiw)'!C:F,4,0)</f>
        <v>0</v>
      </c>
      <c r="N108" s="79"/>
    </row>
    <row r="109" spans="3:14" ht="15.75" customHeight="1" x14ac:dyDescent="0.45">
      <c r="C109" s="85" t="s">
        <v>791</v>
      </c>
      <c r="D109" s="70" t="str">
        <f>VLOOKUP(C109,'Cadastro Produtos (kiwkiw)'!C:E,3,0)</f>
        <v>Colar Duplo Ponto de Luz Banho Ouro</v>
      </c>
      <c r="E109" s="59">
        <f>SUMIFS(DETALHADO!G:G,DETALHADO!D:D,"&lt;"&amp;ESTOQUE!$K$2,DETALHADO!E:E,ESTOQUE!$C109)</f>
        <v>0</v>
      </c>
      <c r="F109" s="59">
        <f>SUMIFS(DETALHADO!G:G,DETALHADO!D:D,"&lt;="&amp;ESTOQUE!$K$3,DETALHADO!D:D,"&gt;="&amp;ESTOQUE!$K$2,DETALHADO!E:E,ESTOQUE!$C109,DETALHADO!C:C,ESTOQUE!F$6)</f>
        <v>17</v>
      </c>
      <c r="G109" s="59">
        <f>-SUMIFS(DETALHADO!G:G,DETALHADO!D:D,"&lt;="&amp;ESTOQUE!$K$3,DETALHADO!D:D,"&gt;="&amp;ESTOQUE!$K$2,DETALHADO!E:E,ESTOQUE!$C109,DETALHADO!C:C,ESTOQUE!G$6)</f>
        <v>0</v>
      </c>
      <c r="H109" s="60">
        <f t="shared" si="2"/>
        <v>17</v>
      </c>
      <c r="I109" s="71">
        <f>+H109*VLOOKUP(C109,'Cadastro Produtos (kiwkiw)'!C:F,4,0)</f>
        <v>0</v>
      </c>
      <c r="N109" s="79"/>
    </row>
    <row r="110" spans="3:14" ht="15.75" customHeight="1" x14ac:dyDescent="0.45">
      <c r="C110" s="85" t="s">
        <v>99</v>
      </c>
      <c r="D110" s="70" t="str">
        <f>VLOOKUP(C110,'Cadastro Produtos (kiwkiw)'!C:E,3,0)</f>
        <v>Colar Esfera Medio Banho Ouro</v>
      </c>
      <c r="E110" s="59">
        <f>SUMIFS(DETALHADO!G:G,DETALHADO!D:D,"&lt;"&amp;ESTOQUE!$K$2,DETALHADO!E:E,ESTOQUE!$C110)</f>
        <v>0</v>
      </c>
      <c r="F110" s="59">
        <f>SUMIFS(DETALHADO!G:G,DETALHADO!D:D,"&lt;="&amp;ESTOQUE!$K$3,DETALHADO!D:D,"&gt;="&amp;ESTOQUE!$K$2,DETALHADO!E:E,ESTOQUE!$C110,DETALHADO!C:C,ESTOQUE!F$6)</f>
        <v>34</v>
      </c>
      <c r="G110" s="59">
        <f>-SUMIFS(DETALHADO!G:G,DETALHADO!D:D,"&lt;="&amp;ESTOQUE!$K$3,DETALHADO!D:D,"&gt;="&amp;ESTOQUE!$K$2,DETALHADO!E:E,ESTOQUE!$C110,DETALHADO!C:C,ESTOQUE!G$6)</f>
        <v>34</v>
      </c>
      <c r="H110" s="60">
        <f t="shared" si="2"/>
        <v>0</v>
      </c>
      <c r="I110" s="71">
        <f>+H110*VLOOKUP(C110,'Cadastro Produtos (kiwkiw)'!C:F,4,0)</f>
        <v>0</v>
      </c>
      <c r="N110" s="79"/>
    </row>
    <row r="111" spans="3:14" ht="15.75" customHeight="1" x14ac:dyDescent="0.45">
      <c r="C111" s="85" t="s">
        <v>100</v>
      </c>
      <c r="D111" s="70" t="str">
        <f>VLOOKUP(C111,'Cadastro Produtos (kiwkiw)'!C:E,3,0)</f>
        <v>Colar Esfera Pequeno Banho Ouro</v>
      </c>
      <c r="E111" s="59">
        <f>SUMIFS(DETALHADO!G:G,DETALHADO!D:D,"&lt;"&amp;ESTOQUE!$K$2,DETALHADO!E:E,ESTOQUE!$C111)</f>
        <v>0</v>
      </c>
      <c r="F111" s="59">
        <f>SUMIFS(DETALHADO!G:G,DETALHADO!D:D,"&lt;="&amp;ESTOQUE!$K$3,DETALHADO!D:D,"&gt;="&amp;ESTOQUE!$K$2,DETALHADO!E:E,ESTOQUE!$C111,DETALHADO!C:C,ESTOQUE!F$6)</f>
        <v>26</v>
      </c>
      <c r="G111" s="59">
        <f>-SUMIFS(DETALHADO!G:G,DETALHADO!D:D,"&lt;="&amp;ESTOQUE!$K$3,DETALHADO!D:D,"&gt;="&amp;ESTOQUE!$K$2,DETALHADO!E:E,ESTOQUE!$C111,DETALHADO!C:C,ESTOQUE!G$6)</f>
        <v>26</v>
      </c>
      <c r="H111" s="60">
        <f t="shared" si="2"/>
        <v>0</v>
      </c>
      <c r="I111" s="71">
        <f>+H111*VLOOKUP(C111,'Cadastro Produtos (kiwkiw)'!C:F,4,0)</f>
        <v>0</v>
      </c>
      <c r="N111" s="79"/>
    </row>
    <row r="112" spans="3:14" ht="15.75" customHeight="1" x14ac:dyDescent="0.45">
      <c r="C112" s="85" t="s">
        <v>770</v>
      </c>
      <c r="D112" s="70" t="str">
        <f>VLOOKUP(C112,'Cadastro Produtos (kiwkiw)'!C:E,3,0)</f>
        <v>Colar Fita Maxi Medalha Banho Ouro</v>
      </c>
      <c r="E112" s="59">
        <f>SUMIFS(DETALHADO!G:G,DETALHADO!D:D,"&lt;"&amp;ESTOQUE!$K$2,DETALHADO!E:E,ESTOQUE!$C112)</f>
        <v>0</v>
      </c>
      <c r="F112" s="59">
        <f>SUMIFS(DETALHADO!G:G,DETALHADO!D:D,"&lt;="&amp;ESTOQUE!$K$3,DETALHADO!D:D,"&gt;="&amp;ESTOQUE!$K$2,DETALHADO!E:E,ESTOQUE!$C112,DETALHADO!C:C,ESTOQUE!F$6)</f>
        <v>7</v>
      </c>
      <c r="G112" s="59">
        <f>-SUMIFS(DETALHADO!G:G,DETALHADO!D:D,"&lt;="&amp;ESTOQUE!$K$3,DETALHADO!D:D,"&gt;="&amp;ESTOQUE!$K$2,DETALHADO!E:E,ESTOQUE!$C112,DETALHADO!C:C,ESTOQUE!G$6)</f>
        <v>1</v>
      </c>
      <c r="H112" s="60">
        <f t="shared" si="2"/>
        <v>6</v>
      </c>
      <c r="I112" s="71">
        <f>+H112*VLOOKUP(C112,'Cadastro Produtos (kiwkiw)'!C:F,4,0)</f>
        <v>0</v>
      </c>
      <c r="N112" s="79"/>
    </row>
    <row r="113" spans="3:14" ht="15.75" customHeight="1" x14ac:dyDescent="0.45">
      <c r="C113" s="85" t="s">
        <v>792</v>
      </c>
      <c r="D113" s="70" t="str">
        <f>VLOOKUP(C113,'Cadastro Produtos (kiwkiw)'!C:E,3,0)</f>
        <v>Colar Gardenia Banho Ouro</v>
      </c>
      <c r="E113" s="59">
        <f>SUMIFS(DETALHADO!G:G,DETALHADO!D:D,"&lt;"&amp;ESTOQUE!$K$2,DETALHADO!E:E,ESTOQUE!$C113)</f>
        <v>0</v>
      </c>
      <c r="F113" s="59">
        <f>SUMIFS(DETALHADO!G:G,DETALHADO!D:D,"&lt;="&amp;ESTOQUE!$K$3,DETALHADO!D:D,"&gt;="&amp;ESTOQUE!$K$2,DETALHADO!E:E,ESTOQUE!$C113,DETALHADO!C:C,ESTOQUE!F$6)</f>
        <v>17</v>
      </c>
      <c r="G113" s="59">
        <f>-SUMIFS(DETALHADO!G:G,DETALHADO!D:D,"&lt;="&amp;ESTOQUE!$K$3,DETALHADO!D:D,"&gt;="&amp;ESTOQUE!$K$2,DETALHADO!E:E,ESTOQUE!$C113,DETALHADO!C:C,ESTOQUE!G$6)</f>
        <v>2</v>
      </c>
      <c r="H113" s="60">
        <f t="shared" si="2"/>
        <v>15</v>
      </c>
      <c r="I113" s="71">
        <f>+H113*VLOOKUP(C113,'Cadastro Produtos (kiwkiw)'!C:F,4,0)</f>
        <v>0</v>
      </c>
      <c r="N113" s="79"/>
    </row>
    <row r="114" spans="3:14" ht="15.75" customHeight="1" x14ac:dyDescent="0.45">
      <c r="C114" s="85" t="s">
        <v>785</v>
      </c>
      <c r="D114" s="70" t="str">
        <f>VLOOKUP(C114,'Cadastro Produtos (kiwkiw)'!C:E,3,0)</f>
        <v>Colar Gravatinha Banho Ouro</v>
      </c>
      <c r="E114" s="59">
        <f>SUMIFS(DETALHADO!G:G,DETALHADO!D:D,"&lt;"&amp;ESTOQUE!$K$2,DETALHADO!E:E,ESTOQUE!$C114)</f>
        <v>0</v>
      </c>
      <c r="F114" s="59">
        <f>SUMIFS(DETALHADO!G:G,DETALHADO!D:D,"&lt;="&amp;ESTOQUE!$K$3,DETALHADO!D:D,"&gt;="&amp;ESTOQUE!$K$2,DETALHADO!E:E,ESTOQUE!$C114,DETALHADO!C:C,ESTOQUE!F$6)</f>
        <v>14</v>
      </c>
      <c r="G114" s="59">
        <f>-SUMIFS(DETALHADO!G:G,DETALHADO!D:D,"&lt;="&amp;ESTOQUE!$K$3,DETALHADO!D:D,"&gt;="&amp;ESTOQUE!$K$2,DETALHADO!E:E,ESTOQUE!$C114,DETALHADO!C:C,ESTOQUE!G$6)</f>
        <v>5</v>
      </c>
      <c r="H114" s="60">
        <f t="shared" si="2"/>
        <v>9</v>
      </c>
      <c r="I114" s="71">
        <f>+H114*VLOOKUP(C114,'Cadastro Produtos (kiwkiw)'!C:F,4,0)</f>
        <v>0</v>
      </c>
      <c r="N114" s="79"/>
    </row>
    <row r="115" spans="3:14" ht="15.75" customHeight="1" x14ac:dyDescent="0.45">
      <c r="C115" s="85" t="s">
        <v>103</v>
      </c>
      <c r="D115" s="70" t="str">
        <f>VLOOKUP(C115,'Cadastro Produtos (kiwkiw)'!C:E,3,0)</f>
        <v>Colar Ivy Banho Ouro</v>
      </c>
      <c r="E115" s="59">
        <f>SUMIFS(DETALHADO!G:G,DETALHADO!D:D,"&lt;"&amp;ESTOQUE!$K$2,DETALHADO!E:E,ESTOQUE!$C115)</f>
        <v>0</v>
      </c>
      <c r="F115" s="59">
        <f>SUMIFS(DETALHADO!G:G,DETALHADO!D:D,"&lt;="&amp;ESTOQUE!$K$3,DETALHADO!D:D,"&gt;="&amp;ESTOQUE!$K$2,DETALHADO!E:E,ESTOQUE!$C115,DETALHADO!C:C,ESTOQUE!F$6)</f>
        <v>67</v>
      </c>
      <c r="G115" s="59">
        <f>-SUMIFS(DETALHADO!G:G,DETALHADO!D:D,"&lt;="&amp;ESTOQUE!$K$3,DETALHADO!D:D,"&gt;="&amp;ESTOQUE!$K$2,DETALHADO!E:E,ESTOQUE!$C115,DETALHADO!C:C,ESTOQUE!G$6)</f>
        <v>53</v>
      </c>
      <c r="H115" s="60">
        <f t="shared" si="2"/>
        <v>14</v>
      </c>
      <c r="I115" s="71">
        <f>+H115*VLOOKUP(C115,'Cadastro Produtos (kiwkiw)'!C:F,4,0)</f>
        <v>0</v>
      </c>
      <c r="N115" s="79"/>
    </row>
    <row r="116" spans="3:14" ht="15.75" customHeight="1" x14ac:dyDescent="0.45">
      <c r="C116" s="85" t="s">
        <v>104</v>
      </c>
      <c r="D116" s="70" t="str">
        <f>VLOOKUP(C116,'Cadastro Produtos (kiwkiw)'!C:E,3,0)</f>
        <v>Colar Ivy Prateado</v>
      </c>
      <c r="E116" s="59">
        <f>SUMIFS(DETALHADO!G:G,DETALHADO!D:D,"&lt;"&amp;ESTOQUE!$K$2,DETALHADO!E:E,ESTOQUE!$C116)</f>
        <v>0</v>
      </c>
      <c r="F116" s="59">
        <f>SUMIFS(DETALHADO!G:G,DETALHADO!D:D,"&lt;="&amp;ESTOQUE!$K$3,DETALHADO!D:D,"&gt;="&amp;ESTOQUE!$K$2,DETALHADO!E:E,ESTOQUE!$C116,DETALHADO!C:C,ESTOQUE!F$6)</f>
        <v>56</v>
      </c>
      <c r="G116" s="59">
        <f>-SUMIFS(DETALHADO!G:G,DETALHADO!D:D,"&lt;="&amp;ESTOQUE!$K$3,DETALHADO!D:D,"&gt;="&amp;ESTOQUE!$K$2,DETALHADO!E:E,ESTOQUE!$C116,DETALHADO!C:C,ESTOQUE!G$6)</f>
        <v>37</v>
      </c>
      <c r="H116" s="60">
        <f t="shared" si="2"/>
        <v>19</v>
      </c>
      <c r="I116" s="71">
        <f>+H116*VLOOKUP(C116,'Cadastro Produtos (kiwkiw)'!C:F,4,0)</f>
        <v>0</v>
      </c>
      <c r="N116" s="79"/>
    </row>
    <row r="117" spans="3:14" ht="15.75" customHeight="1" x14ac:dyDescent="0.45">
      <c r="C117" s="85" t="s">
        <v>1430</v>
      </c>
      <c r="D117" s="70" t="str">
        <f>VLOOKUP(C117,'Cadastro Produtos (kiwkiw)'!C:E,3,0)</f>
        <v>Colar Jaspe</v>
      </c>
      <c r="E117" s="59">
        <f>SUMIFS(DETALHADO!G:G,DETALHADO!D:D,"&lt;"&amp;ESTOQUE!$K$2,DETALHADO!E:E,ESTOQUE!$C117)</f>
        <v>0</v>
      </c>
      <c r="F117" s="59">
        <f>SUMIFS(DETALHADO!G:G,DETALHADO!D:D,"&lt;="&amp;ESTOQUE!$K$3,DETALHADO!D:D,"&gt;="&amp;ESTOQUE!$K$2,DETALHADO!E:E,ESTOQUE!$C117,DETALHADO!C:C,ESTOQUE!F$6)</f>
        <v>6</v>
      </c>
      <c r="G117" s="59">
        <f>-SUMIFS(DETALHADO!G:G,DETALHADO!D:D,"&lt;="&amp;ESTOQUE!$K$3,DETALHADO!D:D,"&gt;="&amp;ESTOQUE!$K$2,DETALHADO!E:E,ESTOQUE!$C117,DETALHADO!C:C,ESTOQUE!G$6)</f>
        <v>0</v>
      </c>
      <c r="H117" s="60">
        <f t="shared" si="2"/>
        <v>6</v>
      </c>
      <c r="I117" s="71">
        <f>+H117*VLOOKUP(C117,'Cadastro Produtos (kiwkiw)'!C:F,4,0)</f>
        <v>0</v>
      </c>
      <c r="N117" s="79"/>
    </row>
    <row r="118" spans="3:14" ht="15.75" customHeight="1" x14ac:dyDescent="0.45">
      <c r="C118" s="85" t="s">
        <v>108</v>
      </c>
      <c r="D118" s="70" t="str">
        <f>VLOOKUP(C118,'Cadastro Produtos (kiwkiw)'!C:E,3,0)</f>
        <v>Colar Line Banho Ouro</v>
      </c>
      <c r="E118" s="59">
        <f>SUMIFS(DETALHADO!G:G,DETALHADO!D:D,"&lt;"&amp;ESTOQUE!$K$2,DETALHADO!E:E,ESTOQUE!$C118)</f>
        <v>0</v>
      </c>
      <c r="F118" s="59">
        <f>SUMIFS(DETALHADO!G:G,DETALHADO!D:D,"&lt;="&amp;ESTOQUE!$K$3,DETALHADO!D:D,"&gt;="&amp;ESTOQUE!$K$2,DETALHADO!E:E,ESTOQUE!$C118,DETALHADO!C:C,ESTOQUE!F$6)</f>
        <v>35</v>
      </c>
      <c r="G118" s="59">
        <f>-SUMIFS(DETALHADO!G:G,DETALHADO!D:D,"&lt;="&amp;ESTOQUE!$K$3,DETALHADO!D:D,"&gt;="&amp;ESTOQUE!$K$2,DETALHADO!E:E,ESTOQUE!$C118,DETALHADO!C:C,ESTOQUE!G$6)</f>
        <v>35</v>
      </c>
      <c r="H118" s="60">
        <f t="shared" ref="H118:H119" si="3">+E118+F118-G118</f>
        <v>0</v>
      </c>
      <c r="I118" s="71">
        <f>+H118*VLOOKUP(C118,'Cadastro Produtos (kiwkiw)'!C:F,4,0)</f>
        <v>0</v>
      </c>
      <c r="N118" s="79"/>
    </row>
    <row r="119" spans="3:14" ht="15.75" customHeight="1" x14ac:dyDescent="0.45">
      <c r="C119" s="85" t="s">
        <v>98</v>
      </c>
      <c r="D119" s="70" t="str">
        <f>VLOOKUP(C119,'Cadastro Produtos (kiwkiw)'!C:E,3,0)</f>
        <v>Colar Longo Esfera Banho Ouro</v>
      </c>
      <c r="E119" s="59">
        <f>SUMIFS(DETALHADO!G:G,DETALHADO!D:D,"&lt;"&amp;ESTOQUE!$K$2,DETALHADO!E:E,ESTOQUE!$C119)</f>
        <v>0</v>
      </c>
      <c r="F119" s="59">
        <f>SUMIFS(DETALHADO!G:G,DETALHADO!D:D,"&lt;="&amp;ESTOQUE!$K$3,DETALHADO!D:D,"&gt;="&amp;ESTOQUE!$K$2,DETALHADO!E:E,ESTOQUE!$C119,DETALHADO!C:C,ESTOQUE!F$6)</f>
        <v>11</v>
      </c>
      <c r="G119" s="59">
        <f>-SUMIFS(DETALHADO!G:G,DETALHADO!D:D,"&lt;="&amp;ESTOQUE!$K$3,DETALHADO!D:D,"&gt;="&amp;ESTOQUE!$K$2,DETALHADO!E:E,ESTOQUE!$C119,DETALHADO!C:C,ESTOQUE!G$6)</f>
        <v>11</v>
      </c>
      <c r="H119" s="60">
        <f t="shared" si="3"/>
        <v>0</v>
      </c>
      <c r="I119" s="71">
        <f>+H119*VLOOKUP(C119,'Cadastro Produtos (kiwkiw)'!C:F,4,0)</f>
        <v>0</v>
      </c>
      <c r="N119" s="79"/>
    </row>
    <row r="120" spans="3:14" ht="15.75" customHeight="1" x14ac:dyDescent="0.45">
      <c r="C120" s="85" t="s">
        <v>817</v>
      </c>
      <c r="D120" s="70" t="str">
        <f>VLOOKUP(C120,'Cadastro Produtos (kiwkiw)'!C:E,3,0)</f>
        <v>Colar Longo Figa Banho Ouro</v>
      </c>
      <c r="E120" s="59">
        <f>SUMIFS(DETALHADO!G:G,DETALHADO!D:D,"&lt;"&amp;ESTOQUE!$K$2,DETALHADO!E:E,ESTOQUE!$C120)</f>
        <v>0</v>
      </c>
      <c r="F120" s="59">
        <f>SUMIFS(DETALHADO!G:G,DETALHADO!D:D,"&lt;="&amp;ESTOQUE!$K$3,DETALHADO!D:D,"&gt;="&amp;ESTOQUE!$K$2,DETALHADO!E:E,ESTOQUE!$C120,DETALHADO!C:C,ESTOQUE!F$6)</f>
        <v>19</v>
      </c>
      <c r="G120" s="59">
        <f>-SUMIFS(DETALHADO!G:G,DETALHADO!D:D,"&lt;="&amp;ESTOQUE!$K$3,DETALHADO!D:D,"&gt;="&amp;ESTOQUE!$K$2,DETALHADO!E:E,ESTOQUE!$C120,DETALHADO!C:C,ESTOQUE!G$6)</f>
        <v>1</v>
      </c>
      <c r="H120" s="60">
        <f t="shared" ref="H120:H171" si="4">+E120+F120-G120</f>
        <v>18</v>
      </c>
      <c r="I120" s="71">
        <f>+H120*VLOOKUP(C120,'Cadastro Produtos (kiwkiw)'!C:F,4,0)</f>
        <v>0</v>
      </c>
      <c r="N120" s="79"/>
    </row>
    <row r="121" spans="3:14" ht="15.75" customHeight="1" x14ac:dyDescent="0.45">
      <c r="C121" s="85" t="s">
        <v>102</v>
      </c>
      <c r="D121" s="70" t="str">
        <f>VLOOKUP(C121,'Cadastro Produtos (kiwkiw)'!C:E,3,0)</f>
        <v>Colar Longo Lua Banho Ouro</v>
      </c>
      <c r="E121" s="59">
        <f>SUMIFS(DETALHADO!G:G,DETALHADO!D:D,"&lt;"&amp;ESTOQUE!$K$2,DETALHADO!E:E,ESTOQUE!$C121)</f>
        <v>0</v>
      </c>
      <c r="F121" s="59">
        <f>SUMIFS(DETALHADO!G:G,DETALHADO!D:D,"&lt;="&amp;ESTOQUE!$K$3,DETALHADO!D:D,"&gt;="&amp;ESTOQUE!$K$2,DETALHADO!E:E,ESTOQUE!$C121,DETALHADO!C:C,ESTOQUE!F$6)</f>
        <v>29</v>
      </c>
      <c r="G121" s="59">
        <f>-SUMIFS(DETALHADO!G:G,DETALHADO!D:D,"&lt;="&amp;ESTOQUE!$K$3,DETALHADO!D:D,"&gt;="&amp;ESTOQUE!$K$2,DETALHADO!E:E,ESTOQUE!$C121,DETALHADO!C:C,ESTOQUE!G$6)</f>
        <v>29</v>
      </c>
      <c r="H121" s="60">
        <f t="shared" si="4"/>
        <v>0</v>
      </c>
      <c r="I121" s="71">
        <f>+H121*VLOOKUP(C121,'Cadastro Produtos (kiwkiw)'!C:F,4,0)</f>
        <v>0</v>
      </c>
      <c r="N121" s="79"/>
    </row>
    <row r="122" spans="3:14" ht="15.75" customHeight="1" x14ac:dyDescent="0.45">
      <c r="C122" s="85" t="s">
        <v>101</v>
      </c>
      <c r="D122" s="70" t="str">
        <f>VLOOKUP(C122,'Cadastro Produtos (kiwkiw)'!C:E,3,0)</f>
        <v>Colar Longo Medalha Coracao Banho Ouro</v>
      </c>
      <c r="E122" s="59">
        <f>SUMIFS(DETALHADO!G:G,DETALHADO!D:D,"&lt;"&amp;ESTOQUE!$K$2,DETALHADO!E:E,ESTOQUE!$C122)</f>
        <v>0</v>
      </c>
      <c r="F122" s="59">
        <f>SUMIFS(DETALHADO!G:G,DETALHADO!D:D,"&lt;="&amp;ESTOQUE!$K$3,DETALHADO!D:D,"&gt;="&amp;ESTOQUE!$K$2,DETALHADO!E:E,ESTOQUE!$C122,DETALHADO!C:C,ESTOQUE!F$6)</f>
        <v>16</v>
      </c>
      <c r="G122" s="59">
        <f>-SUMIFS(DETALHADO!G:G,DETALHADO!D:D,"&lt;="&amp;ESTOQUE!$K$3,DETALHADO!D:D,"&gt;="&amp;ESTOQUE!$K$2,DETALHADO!E:E,ESTOQUE!$C122,DETALHADO!C:C,ESTOQUE!G$6)</f>
        <v>13</v>
      </c>
      <c r="H122" s="60">
        <f t="shared" si="4"/>
        <v>3</v>
      </c>
      <c r="I122" s="71">
        <f>+H122*VLOOKUP(C122,'Cadastro Produtos (kiwkiw)'!C:F,4,0)</f>
        <v>0</v>
      </c>
      <c r="N122" s="79"/>
    </row>
    <row r="123" spans="3:14" ht="15.75" customHeight="1" x14ac:dyDescent="0.45">
      <c r="C123" s="85" t="s">
        <v>818</v>
      </c>
      <c r="D123" s="70" t="str">
        <f>VLOOKUP(C123,'Cadastro Produtos (kiwkiw)'!C:E,3,0)</f>
        <v>Colar Longo Medalhinhas Banho Ouro</v>
      </c>
      <c r="E123" s="59">
        <f>SUMIFS(DETALHADO!G:G,DETALHADO!D:D,"&lt;"&amp;ESTOQUE!$K$2,DETALHADO!E:E,ESTOQUE!$C123)</f>
        <v>0</v>
      </c>
      <c r="F123" s="59">
        <f>SUMIFS(DETALHADO!G:G,DETALHADO!D:D,"&lt;="&amp;ESTOQUE!$K$3,DETALHADO!D:D,"&gt;="&amp;ESTOQUE!$K$2,DETALHADO!E:E,ESTOQUE!$C123,DETALHADO!C:C,ESTOQUE!F$6)</f>
        <v>21</v>
      </c>
      <c r="G123" s="59">
        <f>-SUMIFS(DETALHADO!G:G,DETALHADO!D:D,"&lt;="&amp;ESTOQUE!$K$3,DETALHADO!D:D,"&gt;="&amp;ESTOQUE!$K$2,DETALHADO!E:E,ESTOQUE!$C123,DETALHADO!C:C,ESTOQUE!G$6)</f>
        <v>6</v>
      </c>
      <c r="H123" s="60">
        <f t="shared" si="4"/>
        <v>15</v>
      </c>
      <c r="I123" s="71">
        <f>+H123*VLOOKUP(C123,'Cadastro Produtos (kiwkiw)'!C:F,4,0)</f>
        <v>0</v>
      </c>
      <c r="N123" s="79"/>
    </row>
    <row r="124" spans="3:14" ht="15.75" customHeight="1" x14ac:dyDescent="0.45">
      <c r="C124" s="85" t="s">
        <v>796</v>
      </c>
      <c r="D124" s="70" t="str">
        <f>VLOOKUP(C124,'Cadastro Produtos (kiwkiw)'!C:E,3,0)</f>
        <v>Colar Longo Minimal Banho Ouro</v>
      </c>
      <c r="E124" s="59">
        <f>SUMIFS(DETALHADO!G:G,DETALHADO!D:D,"&lt;"&amp;ESTOQUE!$K$2,DETALHADO!E:E,ESTOQUE!$C124)</f>
        <v>0</v>
      </c>
      <c r="F124" s="59">
        <f>SUMIFS(DETALHADO!G:G,DETALHADO!D:D,"&lt;="&amp;ESTOQUE!$K$3,DETALHADO!D:D,"&gt;="&amp;ESTOQUE!$K$2,DETALHADO!E:E,ESTOQUE!$C124,DETALHADO!C:C,ESTOQUE!F$6)</f>
        <v>18</v>
      </c>
      <c r="G124" s="59">
        <f>-SUMIFS(DETALHADO!G:G,DETALHADO!D:D,"&lt;="&amp;ESTOQUE!$K$3,DETALHADO!D:D,"&gt;="&amp;ESTOQUE!$K$2,DETALHADO!E:E,ESTOQUE!$C124,DETALHADO!C:C,ESTOQUE!G$6)</f>
        <v>18</v>
      </c>
      <c r="H124" s="60">
        <f t="shared" si="4"/>
        <v>0</v>
      </c>
      <c r="I124" s="71">
        <f>+H124*VLOOKUP(C124,'Cadastro Produtos (kiwkiw)'!C:F,4,0)</f>
        <v>0</v>
      </c>
      <c r="N124" s="79"/>
    </row>
    <row r="125" spans="3:14" ht="15.75" customHeight="1" x14ac:dyDescent="0.45">
      <c r="C125" s="85" t="s">
        <v>1426</v>
      </c>
      <c r="D125" s="70" t="str">
        <f>VLOOKUP(C125,'Cadastro Produtos (kiwkiw)'!C:E,3,0)</f>
        <v>Colar Madreperola</v>
      </c>
      <c r="E125" s="59">
        <f>SUMIFS(DETALHADO!G:G,DETALHADO!D:D,"&lt;"&amp;ESTOQUE!$K$2,DETALHADO!E:E,ESTOQUE!$C125)</f>
        <v>0</v>
      </c>
      <c r="F125" s="59">
        <f>SUMIFS(DETALHADO!G:G,DETALHADO!D:D,"&lt;="&amp;ESTOQUE!$K$3,DETALHADO!D:D,"&gt;="&amp;ESTOQUE!$K$2,DETALHADO!E:E,ESTOQUE!$C125,DETALHADO!C:C,ESTOQUE!F$6)</f>
        <v>11</v>
      </c>
      <c r="G125" s="59">
        <f>-SUMIFS(DETALHADO!G:G,DETALHADO!D:D,"&lt;="&amp;ESTOQUE!$K$3,DETALHADO!D:D,"&gt;="&amp;ESTOQUE!$K$2,DETALHADO!E:E,ESTOQUE!$C125,DETALHADO!C:C,ESTOQUE!G$6)</f>
        <v>0</v>
      </c>
      <c r="H125" s="60">
        <f t="shared" si="4"/>
        <v>11</v>
      </c>
      <c r="I125" s="71">
        <f>+H125*VLOOKUP(C125,'Cadastro Produtos (kiwkiw)'!C:F,4,0)</f>
        <v>0</v>
      </c>
      <c r="N125" s="79"/>
    </row>
    <row r="126" spans="3:14" ht="15.75" customHeight="1" x14ac:dyDescent="0.45">
      <c r="C126" s="85" t="s">
        <v>1424</v>
      </c>
      <c r="D126" s="70" t="str">
        <f>VLOOKUP(C126,'Cadastro Produtos (kiwkiw)'!C:E,3,0)</f>
        <v>Colar Ocean</v>
      </c>
      <c r="E126" s="59">
        <f>SUMIFS(DETALHADO!G:G,DETALHADO!D:D,"&lt;"&amp;ESTOQUE!$K$2,DETALHADO!E:E,ESTOQUE!$C126)</f>
        <v>0</v>
      </c>
      <c r="F126" s="59">
        <f>SUMIFS(DETALHADO!G:G,DETALHADO!D:D,"&lt;="&amp;ESTOQUE!$K$3,DETALHADO!D:D,"&gt;="&amp;ESTOQUE!$K$2,DETALHADO!E:E,ESTOQUE!$C126,DETALHADO!C:C,ESTOQUE!F$6)</f>
        <v>7</v>
      </c>
      <c r="G126" s="59">
        <f>-SUMIFS(DETALHADO!G:G,DETALHADO!D:D,"&lt;="&amp;ESTOQUE!$K$3,DETALHADO!D:D,"&gt;="&amp;ESTOQUE!$K$2,DETALHADO!E:E,ESTOQUE!$C126,DETALHADO!C:C,ESTOQUE!G$6)</f>
        <v>0</v>
      </c>
      <c r="H126" s="60">
        <f t="shared" si="4"/>
        <v>7</v>
      </c>
      <c r="I126" s="71">
        <f>+H126*VLOOKUP(C126,'Cadastro Produtos (kiwkiw)'!C:F,4,0)</f>
        <v>0</v>
      </c>
      <c r="N126" s="79"/>
    </row>
    <row r="127" spans="3:14" ht="15.75" customHeight="1" x14ac:dyDescent="0.45">
      <c r="C127" s="85" t="s">
        <v>109</v>
      </c>
      <c r="D127" s="70" t="str">
        <f>VLOOKUP(C127,'Cadastro Produtos (kiwkiw)'!C:E,3,0)</f>
        <v>Colar Palito Banho Ouro</v>
      </c>
      <c r="E127" s="59">
        <f>SUMIFS(DETALHADO!G:G,DETALHADO!D:D,"&lt;"&amp;ESTOQUE!$K$2,DETALHADO!E:E,ESTOQUE!$C127)</f>
        <v>0</v>
      </c>
      <c r="F127" s="59">
        <f>SUMIFS(DETALHADO!G:G,DETALHADO!D:D,"&lt;="&amp;ESTOQUE!$K$3,DETALHADO!D:D,"&gt;="&amp;ESTOQUE!$K$2,DETALHADO!E:E,ESTOQUE!$C127,DETALHADO!C:C,ESTOQUE!F$6)</f>
        <v>20</v>
      </c>
      <c r="G127" s="59">
        <f>-SUMIFS(DETALHADO!G:G,DETALHADO!D:D,"&lt;="&amp;ESTOQUE!$K$3,DETALHADO!D:D,"&gt;="&amp;ESTOQUE!$K$2,DETALHADO!E:E,ESTOQUE!$C127,DETALHADO!C:C,ESTOQUE!G$6)</f>
        <v>20</v>
      </c>
      <c r="H127" s="60">
        <f t="shared" si="4"/>
        <v>0</v>
      </c>
      <c r="I127" s="71">
        <f>+H127*VLOOKUP(C127,'Cadastro Produtos (kiwkiw)'!C:F,4,0)</f>
        <v>0</v>
      </c>
      <c r="N127" s="79"/>
    </row>
    <row r="128" spans="3:14" ht="15.75" customHeight="1" x14ac:dyDescent="0.45">
      <c r="C128" s="85" t="s">
        <v>819</v>
      </c>
      <c r="D128" s="70" t="str">
        <f>VLOOKUP(C128,'Cadastro Produtos (kiwkiw)'!C:E,3,0)</f>
        <v>Colar Pearl Fecho Frontal Banho Ouro</v>
      </c>
      <c r="E128" s="59">
        <f>SUMIFS(DETALHADO!G:G,DETALHADO!D:D,"&lt;"&amp;ESTOQUE!$K$2,DETALHADO!E:E,ESTOQUE!$C128)</f>
        <v>0</v>
      </c>
      <c r="F128" s="59">
        <f>SUMIFS(DETALHADO!G:G,DETALHADO!D:D,"&lt;="&amp;ESTOQUE!$K$3,DETALHADO!D:D,"&gt;="&amp;ESTOQUE!$K$2,DETALHADO!E:E,ESTOQUE!$C128,DETALHADO!C:C,ESTOQUE!F$6)</f>
        <v>20</v>
      </c>
      <c r="G128" s="59">
        <f>-SUMIFS(DETALHADO!G:G,DETALHADO!D:D,"&lt;="&amp;ESTOQUE!$K$3,DETALHADO!D:D,"&gt;="&amp;ESTOQUE!$K$2,DETALHADO!E:E,ESTOQUE!$C128,DETALHADO!C:C,ESTOQUE!G$6)</f>
        <v>3</v>
      </c>
      <c r="H128" s="60">
        <f t="shared" si="4"/>
        <v>17</v>
      </c>
      <c r="I128" s="71">
        <f>+H128*VLOOKUP(C128,'Cadastro Produtos (kiwkiw)'!C:F,4,0)</f>
        <v>0</v>
      </c>
      <c r="N128" s="79"/>
    </row>
    <row r="129" spans="3:14" ht="15.75" customHeight="1" x14ac:dyDescent="0.45">
      <c r="C129" s="85" t="s">
        <v>797</v>
      </c>
      <c r="D129" s="70" t="str">
        <f>VLOOKUP(C129,'Cadastro Produtos (kiwkiw)'!C:E,3,0)</f>
        <v>Colar Ponto de Luz Banho Ouro</v>
      </c>
      <c r="E129" s="59">
        <f>SUMIFS(DETALHADO!G:G,DETALHADO!D:D,"&lt;"&amp;ESTOQUE!$K$2,DETALHADO!E:E,ESTOQUE!$C129)</f>
        <v>0</v>
      </c>
      <c r="F129" s="59">
        <f>SUMIFS(DETALHADO!G:G,DETALHADO!D:D,"&lt;="&amp;ESTOQUE!$K$3,DETALHADO!D:D,"&gt;="&amp;ESTOQUE!$K$2,DETALHADO!E:E,ESTOQUE!$C129,DETALHADO!C:C,ESTOQUE!F$6)</f>
        <v>19</v>
      </c>
      <c r="G129" s="59">
        <f>-SUMIFS(DETALHADO!G:G,DETALHADO!D:D,"&lt;="&amp;ESTOQUE!$K$3,DETALHADO!D:D,"&gt;="&amp;ESTOQUE!$K$2,DETALHADO!E:E,ESTOQUE!$C129,DETALHADO!C:C,ESTOQUE!G$6)</f>
        <v>8</v>
      </c>
      <c r="H129" s="60">
        <f t="shared" si="4"/>
        <v>11</v>
      </c>
      <c r="I129" s="71">
        <f>+H129*VLOOKUP(C129,'Cadastro Produtos (kiwkiw)'!C:F,4,0)</f>
        <v>0</v>
      </c>
      <c r="N129" s="79"/>
    </row>
    <row r="130" spans="3:14" ht="15.75" customHeight="1" x14ac:dyDescent="0.45">
      <c r="C130" s="85" t="s">
        <v>105</v>
      </c>
      <c r="D130" s="70" t="str">
        <f>VLOOKUP(C130,'Cadastro Produtos (kiwkiw)'!C:E,3,0)</f>
        <v>Colar Rosa Banho Ouro</v>
      </c>
      <c r="E130" s="59">
        <f>SUMIFS(DETALHADO!G:G,DETALHADO!D:D,"&lt;"&amp;ESTOQUE!$K$2,DETALHADO!E:E,ESTOQUE!$C130)</f>
        <v>0</v>
      </c>
      <c r="F130" s="59">
        <f>SUMIFS(DETALHADO!G:G,DETALHADO!D:D,"&lt;="&amp;ESTOQUE!$K$3,DETALHADO!D:D,"&gt;="&amp;ESTOQUE!$K$2,DETALHADO!E:E,ESTOQUE!$C130,DETALHADO!C:C,ESTOQUE!F$6)</f>
        <v>37</v>
      </c>
      <c r="G130" s="59">
        <f>-SUMIFS(DETALHADO!G:G,DETALHADO!D:D,"&lt;="&amp;ESTOQUE!$K$3,DETALHADO!D:D,"&gt;="&amp;ESTOQUE!$K$2,DETALHADO!E:E,ESTOQUE!$C130,DETALHADO!C:C,ESTOQUE!G$6)</f>
        <v>30</v>
      </c>
      <c r="H130" s="60">
        <f t="shared" si="4"/>
        <v>7</v>
      </c>
      <c r="I130" s="71">
        <f>+H130*VLOOKUP(C130,'Cadastro Produtos (kiwkiw)'!C:F,4,0)</f>
        <v>0</v>
      </c>
      <c r="N130" s="79"/>
    </row>
    <row r="131" spans="3:14" ht="15.75" customHeight="1" x14ac:dyDescent="0.45">
      <c r="C131" s="85" t="s">
        <v>91</v>
      </c>
      <c r="D131" s="70" t="str">
        <f>VLOOKUP(C131,'Cadastro Produtos (kiwkiw)'!C:E,3,0)</f>
        <v>Colar Rosa dos Ventos Banho Ouro</v>
      </c>
      <c r="E131" s="59">
        <f>SUMIFS(DETALHADO!G:G,DETALHADO!D:D,"&lt;"&amp;ESTOQUE!$K$2,DETALHADO!E:E,ESTOQUE!$C131)</f>
        <v>0</v>
      </c>
      <c r="F131" s="59">
        <f>SUMIFS(DETALHADO!G:G,DETALHADO!D:D,"&lt;="&amp;ESTOQUE!$K$3,DETALHADO!D:D,"&gt;="&amp;ESTOQUE!$K$2,DETALHADO!E:E,ESTOQUE!$C131,DETALHADO!C:C,ESTOQUE!F$6)</f>
        <v>46</v>
      </c>
      <c r="G131" s="59">
        <f>-SUMIFS(DETALHADO!G:G,DETALHADO!D:D,"&lt;="&amp;ESTOQUE!$K$3,DETALHADO!D:D,"&gt;="&amp;ESTOQUE!$K$2,DETALHADO!E:E,ESTOQUE!$C131,DETALHADO!C:C,ESTOQUE!G$6)</f>
        <v>33</v>
      </c>
      <c r="H131" s="60">
        <f t="shared" si="4"/>
        <v>13</v>
      </c>
      <c r="I131" s="71">
        <f>+H131*VLOOKUP(C131,'Cadastro Produtos (kiwkiw)'!C:F,4,0)</f>
        <v>0</v>
      </c>
      <c r="N131" s="79"/>
    </row>
    <row r="132" spans="3:14" ht="15.75" customHeight="1" x14ac:dyDescent="0.45">
      <c r="C132" s="85" t="s">
        <v>786</v>
      </c>
      <c r="D132" s="70" t="str">
        <f>VLOOKUP(C132,'Cadastro Produtos (kiwkiw)'!C:E,3,0)</f>
        <v>Colar Sao Bento Banho Ouro</v>
      </c>
      <c r="E132" s="59">
        <f>SUMIFS(DETALHADO!G:G,DETALHADO!D:D,"&lt;"&amp;ESTOQUE!$K$2,DETALHADO!E:E,ESTOQUE!$C132)</f>
        <v>0</v>
      </c>
      <c r="F132" s="59">
        <f>SUMIFS(DETALHADO!G:G,DETALHADO!D:D,"&lt;="&amp;ESTOQUE!$K$3,DETALHADO!D:D,"&gt;="&amp;ESTOQUE!$K$2,DETALHADO!E:E,ESTOQUE!$C132,DETALHADO!C:C,ESTOQUE!F$6)</f>
        <v>14</v>
      </c>
      <c r="G132" s="59">
        <f>-SUMIFS(DETALHADO!G:G,DETALHADO!D:D,"&lt;="&amp;ESTOQUE!$K$3,DETALHADO!D:D,"&gt;="&amp;ESTOQUE!$K$2,DETALHADO!E:E,ESTOQUE!$C132,DETALHADO!C:C,ESTOQUE!G$6)</f>
        <v>6</v>
      </c>
      <c r="H132" s="60">
        <f t="shared" si="4"/>
        <v>8</v>
      </c>
      <c r="I132" s="71">
        <f>+H132*VLOOKUP(C132,'Cadastro Produtos (kiwkiw)'!C:F,4,0)</f>
        <v>0</v>
      </c>
      <c r="N132" s="79"/>
    </row>
    <row r="133" spans="3:14" ht="15.75" customHeight="1" x14ac:dyDescent="0.45">
      <c r="C133" s="85" t="s">
        <v>106</v>
      </c>
      <c r="D133" s="70" t="str">
        <f>VLOOKUP(C133,'Cadastro Produtos (kiwkiw)'!C:E,3,0)</f>
        <v>Colar Sao Jorge Banho Ouro</v>
      </c>
      <c r="E133" s="59">
        <f>SUMIFS(DETALHADO!G:G,DETALHADO!D:D,"&lt;"&amp;ESTOQUE!$K$2,DETALHADO!E:E,ESTOQUE!$C133)</f>
        <v>0</v>
      </c>
      <c r="F133" s="59">
        <f>SUMIFS(DETALHADO!G:G,DETALHADO!D:D,"&lt;="&amp;ESTOQUE!$K$3,DETALHADO!D:D,"&gt;="&amp;ESTOQUE!$K$2,DETALHADO!E:E,ESTOQUE!$C133,DETALHADO!C:C,ESTOQUE!F$6)</f>
        <v>12</v>
      </c>
      <c r="G133" s="59">
        <f>-SUMIFS(DETALHADO!G:G,DETALHADO!D:D,"&lt;="&amp;ESTOQUE!$K$3,DETALHADO!D:D,"&gt;="&amp;ESTOQUE!$K$2,DETALHADO!E:E,ESTOQUE!$C133,DETALHADO!C:C,ESTOQUE!G$6)</f>
        <v>12</v>
      </c>
      <c r="H133" s="60">
        <f t="shared" si="4"/>
        <v>0</v>
      </c>
      <c r="I133" s="71">
        <f>+H133*VLOOKUP(C133,'Cadastro Produtos (kiwkiw)'!C:F,4,0)</f>
        <v>0</v>
      </c>
      <c r="N133" s="79"/>
    </row>
    <row r="134" spans="3:14" ht="15.75" customHeight="1" x14ac:dyDescent="0.45">
      <c r="C134" s="85" t="s">
        <v>820</v>
      </c>
      <c r="D134" s="70" t="str">
        <f>VLOOKUP(C134,'Cadastro Produtos (kiwkiw)'!C:E,3,0)</f>
        <v>Colar Sol Banho Ouro</v>
      </c>
      <c r="E134" s="59">
        <f>SUMIFS(DETALHADO!G:G,DETALHADO!D:D,"&lt;"&amp;ESTOQUE!$K$2,DETALHADO!E:E,ESTOQUE!$C134)</f>
        <v>0</v>
      </c>
      <c r="F134" s="59">
        <f>SUMIFS(DETALHADO!G:G,DETALHADO!D:D,"&lt;="&amp;ESTOQUE!$K$3,DETALHADO!D:D,"&gt;="&amp;ESTOQUE!$K$2,DETALHADO!E:E,ESTOQUE!$C134,DETALHADO!C:C,ESTOQUE!F$6)</f>
        <v>19</v>
      </c>
      <c r="G134" s="59">
        <f>-SUMIFS(DETALHADO!G:G,DETALHADO!D:D,"&lt;="&amp;ESTOQUE!$K$3,DETALHADO!D:D,"&gt;="&amp;ESTOQUE!$K$2,DETALHADO!E:E,ESTOQUE!$C134,DETALHADO!C:C,ESTOQUE!G$6)</f>
        <v>9</v>
      </c>
      <c r="H134" s="60">
        <f t="shared" si="4"/>
        <v>10</v>
      </c>
      <c r="I134" s="71">
        <f>+H134*VLOOKUP(C134,'Cadastro Produtos (kiwkiw)'!C:F,4,0)</f>
        <v>0</v>
      </c>
      <c r="N134" s="79"/>
    </row>
    <row r="135" spans="3:14" ht="15.75" customHeight="1" x14ac:dyDescent="0.45">
      <c r="C135" s="85" t="s">
        <v>107</v>
      </c>
      <c r="D135" s="70" t="str">
        <f>VLOOKUP(C135,'Cadastro Produtos (kiwkiw)'!C:E,3,0)</f>
        <v>Colar Tina Banho Ouro</v>
      </c>
      <c r="E135" s="59">
        <f>SUMIFS(DETALHADO!G:G,DETALHADO!D:D,"&lt;"&amp;ESTOQUE!$K$2,DETALHADO!E:E,ESTOQUE!$C135)</f>
        <v>0</v>
      </c>
      <c r="F135" s="59">
        <f>SUMIFS(DETALHADO!G:G,DETALHADO!D:D,"&lt;="&amp;ESTOQUE!$K$3,DETALHADO!D:D,"&gt;="&amp;ESTOQUE!$K$2,DETALHADO!E:E,ESTOQUE!$C135,DETALHADO!C:C,ESTOQUE!F$6)</f>
        <v>12</v>
      </c>
      <c r="G135" s="59">
        <f>-SUMIFS(DETALHADO!G:G,DETALHADO!D:D,"&lt;="&amp;ESTOQUE!$K$3,DETALHADO!D:D,"&gt;="&amp;ESTOQUE!$K$2,DETALHADO!E:E,ESTOQUE!$C135,DETALHADO!C:C,ESTOQUE!G$6)</f>
        <v>12</v>
      </c>
      <c r="H135" s="60">
        <f t="shared" si="4"/>
        <v>0</v>
      </c>
      <c r="I135" s="71">
        <f>+H135*VLOOKUP(C135,'Cadastro Produtos (kiwkiw)'!C:F,4,0)</f>
        <v>0</v>
      </c>
      <c r="N135" s="79"/>
    </row>
    <row r="136" spans="3:14" ht="15.75" customHeight="1" x14ac:dyDescent="0.45">
      <c r="C136" s="85" t="s">
        <v>71</v>
      </c>
      <c r="D136" s="70" t="str">
        <f>VLOOKUP(C136,'Cadastro Produtos (kiwkiw)'!C:E,3,0)</f>
        <v>Ear Cuff Minimal Banho Ouro</v>
      </c>
      <c r="E136" s="59">
        <f>SUMIFS(DETALHADO!G:G,DETALHADO!D:D,"&lt;"&amp;ESTOQUE!$K$2,DETALHADO!E:E,ESTOQUE!$C136)</f>
        <v>0</v>
      </c>
      <c r="F136" s="59">
        <f>SUMIFS(DETALHADO!G:G,DETALHADO!D:D,"&lt;="&amp;ESTOQUE!$K$3,DETALHADO!D:D,"&gt;="&amp;ESTOQUE!$K$2,DETALHADO!E:E,ESTOQUE!$C136,DETALHADO!C:C,ESTOQUE!F$6)</f>
        <v>31</v>
      </c>
      <c r="G136" s="59">
        <f>-SUMIFS(DETALHADO!G:G,DETALHADO!D:D,"&lt;="&amp;ESTOQUE!$K$3,DETALHADO!D:D,"&gt;="&amp;ESTOQUE!$K$2,DETALHADO!E:E,ESTOQUE!$C136,DETALHADO!C:C,ESTOQUE!G$6)</f>
        <v>31</v>
      </c>
      <c r="H136" s="60">
        <f t="shared" si="4"/>
        <v>0</v>
      </c>
      <c r="I136" s="71">
        <f>+H136*VLOOKUP(C136,'Cadastro Produtos (kiwkiw)'!C:F,4,0)</f>
        <v>0</v>
      </c>
      <c r="N136" s="79"/>
    </row>
    <row r="137" spans="3:14" ht="15.75" customHeight="1" x14ac:dyDescent="0.45">
      <c r="C137" s="85" t="s">
        <v>821</v>
      </c>
      <c r="D137" s="70" t="str">
        <f>VLOOKUP(C137,'Cadastro Produtos (kiwkiw)'!C:E,3,0)</f>
        <v>Ear Cuff Snake Banho Ouro</v>
      </c>
      <c r="E137" s="59">
        <f>SUMIFS(DETALHADO!G:G,DETALHADO!D:D,"&lt;"&amp;ESTOQUE!$K$2,DETALHADO!E:E,ESTOQUE!$C137)</f>
        <v>0</v>
      </c>
      <c r="F137" s="59">
        <f>SUMIFS(DETALHADO!G:G,DETALHADO!D:D,"&lt;="&amp;ESTOQUE!$K$3,DETALHADO!D:D,"&gt;="&amp;ESTOQUE!$K$2,DETALHADO!E:E,ESTOQUE!$C137,DETALHADO!C:C,ESTOQUE!F$6)</f>
        <v>19</v>
      </c>
      <c r="G137" s="59">
        <f>-SUMIFS(DETALHADO!G:G,DETALHADO!D:D,"&lt;="&amp;ESTOQUE!$K$3,DETALHADO!D:D,"&gt;="&amp;ESTOQUE!$K$2,DETALHADO!E:E,ESTOQUE!$C137,DETALHADO!C:C,ESTOQUE!G$6)</f>
        <v>6</v>
      </c>
      <c r="H137" s="60">
        <f t="shared" si="4"/>
        <v>13</v>
      </c>
      <c r="I137" s="71">
        <f>+H137*VLOOKUP(C137,'Cadastro Produtos (kiwkiw)'!C:F,4,0)</f>
        <v>0</v>
      </c>
      <c r="N137" s="79"/>
    </row>
    <row r="138" spans="3:14" ht="15.75" customHeight="1" x14ac:dyDescent="0.45">
      <c r="C138" s="85" t="s">
        <v>75</v>
      </c>
      <c r="D138" s="70" t="str">
        <f>VLOOKUP(C138,'Cadastro Produtos (kiwkiw)'!C:E,3,0)</f>
        <v>Ear Hook Diamond Banho Ouro</v>
      </c>
      <c r="E138" s="59">
        <f>SUMIFS(DETALHADO!G:G,DETALHADO!D:D,"&lt;"&amp;ESTOQUE!$K$2,DETALHADO!E:E,ESTOQUE!$C138)</f>
        <v>0</v>
      </c>
      <c r="F138" s="59">
        <f>SUMIFS(DETALHADO!G:G,DETALHADO!D:D,"&lt;="&amp;ESTOQUE!$K$3,DETALHADO!D:D,"&gt;="&amp;ESTOQUE!$K$2,DETALHADO!E:E,ESTOQUE!$C138,DETALHADO!C:C,ESTOQUE!F$6)</f>
        <v>12</v>
      </c>
      <c r="G138" s="59">
        <f>-SUMIFS(DETALHADO!G:G,DETALHADO!D:D,"&lt;="&amp;ESTOQUE!$K$3,DETALHADO!D:D,"&gt;="&amp;ESTOQUE!$K$2,DETALHADO!E:E,ESTOQUE!$C138,DETALHADO!C:C,ESTOQUE!G$6)</f>
        <v>11</v>
      </c>
      <c r="H138" s="60">
        <f t="shared" si="4"/>
        <v>1</v>
      </c>
      <c r="I138" s="71">
        <f>+H138*VLOOKUP(C138,'Cadastro Produtos (kiwkiw)'!C:F,4,0)</f>
        <v>0</v>
      </c>
      <c r="N138" s="79"/>
    </row>
    <row r="139" spans="3:14" ht="15.75" customHeight="1" x14ac:dyDescent="0.45">
      <c r="C139" s="85" t="s">
        <v>833</v>
      </c>
      <c r="D139" s="70" t="str">
        <f>VLOOKUP(C139,'Cadastro Produtos (kiwkiw)'!C:E,3,0)</f>
        <v>Ear Hook Encaixe Cruzado Banho Ouro</v>
      </c>
      <c r="E139" s="59">
        <f>SUMIFS(DETALHADO!G:G,DETALHADO!D:D,"&lt;"&amp;ESTOQUE!$K$2,DETALHADO!E:E,ESTOQUE!$C139)</f>
        <v>0</v>
      </c>
      <c r="F139" s="59">
        <f>SUMIFS(DETALHADO!G:G,DETALHADO!D:D,"&lt;="&amp;ESTOQUE!$K$3,DETALHADO!D:D,"&gt;="&amp;ESTOQUE!$K$2,DETALHADO!E:E,ESTOQUE!$C139,DETALHADO!C:C,ESTOQUE!F$6)</f>
        <v>30</v>
      </c>
      <c r="G139" s="59">
        <f>-SUMIFS(DETALHADO!G:G,DETALHADO!D:D,"&lt;="&amp;ESTOQUE!$K$3,DETALHADO!D:D,"&gt;="&amp;ESTOQUE!$K$2,DETALHADO!E:E,ESTOQUE!$C139,DETALHADO!C:C,ESTOQUE!G$6)</f>
        <v>5</v>
      </c>
      <c r="H139" s="60">
        <f t="shared" si="4"/>
        <v>25</v>
      </c>
      <c r="I139" s="71">
        <f>+H139*VLOOKUP(C139,'Cadastro Produtos (kiwkiw)'!C:F,4,0)</f>
        <v>0</v>
      </c>
      <c r="N139" s="79"/>
    </row>
    <row r="140" spans="3:14" ht="15.75" customHeight="1" x14ac:dyDescent="0.45">
      <c r="C140" s="85" t="s">
        <v>787</v>
      </c>
      <c r="D140" s="70" t="str">
        <f>VLOOKUP(C140,'Cadastro Produtos (kiwkiw)'!C:E,3,0)</f>
        <v>Ear Hook Encaixe Triplo Banho Ouro</v>
      </c>
      <c r="E140" s="59">
        <f>SUMIFS(DETALHADO!G:G,DETALHADO!D:D,"&lt;"&amp;ESTOQUE!$K$2,DETALHADO!E:E,ESTOQUE!$C140)</f>
        <v>0</v>
      </c>
      <c r="F140" s="59">
        <f>SUMIFS(DETALHADO!G:G,DETALHADO!D:D,"&lt;="&amp;ESTOQUE!$K$3,DETALHADO!D:D,"&gt;="&amp;ESTOQUE!$K$2,DETALHADO!E:E,ESTOQUE!$C140,DETALHADO!C:C,ESTOQUE!F$6)</f>
        <v>15</v>
      </c>
      <c r="G140" s="59">
        <f>-SUMIFS(DETALHADO!G:G,DETALHADO!D:D,"&lt;="&amp;ESTOQUE!$K$3,DETALHADO!D:D,"&gt;="&amp;ESTOQUE!$K$2,DETALHADO!E:E,ESTOQUE!$C140,DETALHADO!C:C,ESTOQUE!G$6)</f>
        <v>3</v>
      </c>
      <c r="H140" s="60">
        <f t="shared" si="4"/>
        <v>12</v>
      </c>
      <c r="I140" s="71">
        <f>+H140*VLOOKUP(C140,'Cadastro Produtos (kiwkiw)'!C:F,4,0)</f>
        <v>0</v>
      </c>
      <c r="N140" s="79"/>
    </row>
    <row r="141" spans="3:14" ht="15.75" customHeight="1" x14ac:dyDescent="0.45">
      <c r="C141" s="85" t="s">
        <v>829</v>
      </c>
      <c r="D141" s="70" t="str">
        <f>VLOOKUP(C141,'Cadastro Produtos (kiwkiw)'!C:E,3,0)</f>
        <v>Ear Hook Fio Banho Ouro</v>
      </c>
      <c r="E141" s="59">
        <f>SUMIFS(DETALHADO!G:G,DETALHADO!D:D,"&lt;"&amp;ESTOQUE!$K$2,DETALHADO!E:E,ESTOQUE!$C141)</f>
        <v>0</v>
      </c>
      <c r="F141" s="59">
        <f>SUMIFS(DETALHADO!G:G,DETALHADO!D:D,"&lt;="&amp;ESTOQUE!$K$3,DETALHADO!D:D,"&gt;="&amp;ESTOQUE!$K$2,DETALHADO!E:E,ESTOQUE!$C141,DETALHADO!C:C,ESTOQUE!F$6)</f>
        <v>21</v>
      </c>
      <c r="G141" s="59">
        <f>-SUMIFS(DETALHADO!G:G,DETALHADO!D:D,"&lt;="&amp;ESTOQUE!$K$3,DETALHADO!D:D,"&gt;="&amp;ESTOQUE!$K$2,DETALHADO!E:E,ESTOQUE!$C141,DETALHADO!C:C,ESTOQUE!G$6)</f>
        <v>10</v>
      </c>
      <c r="H141" s="60">
        <f t="shared" si="4"/>
        <v>11</v>
      </c>
      <c r="I141" s="71">
        <f>+H141*VLOOKUP(C141,'Cadastro Produtos (kiwkiw)'!C:F,4,0)</f>
        <v>0</v>
      </c>
      <c r="N141" s="79"/>
    </row>
    <row r="142" spans="3:14" ht="15.75" customHeight="1" x14ac:dyDescent="0.45">
      <c r="C142" s="85" t="s">
        <v>74</v>
      </c>
      <c r="D142" s="70" t="str">
        <f>VLOOKUP(C142,'Cadastro Produtos (kiwkiw)'!C:E,3,0)</f>
        <v>Ear Hook Hug Banho Ouro</v>
      </c>
      <c r="E142" s="59">
        <f>SUMIFS(DETALHADO!G:G,DETALHADO!D:D,"&lt;"&amp;ESTOQUE!$K$2,DETALHADO!E:E,ESTOQUE!$C142)</f>
        <v>0</v>
      </c>
      <c r="F142" s="59">
        <f>SUMIFS(DETALHADO!G:G,DETALHADO!D:D,"&lt;="&amp;ESTOQUE!$K$3,DETALHADO!D:D,"&gt;="&amp;ESTOQUE!$K$2,DETALHADO!E:E,ESTOQUE!$C142,DETALHADO!C:C,ESTOQUE!F$6)</f>
        <v>31</v>
      </c>
      <c r="G142" s="59">
        <f>-SUMIFS(DETALHADO!G:G,DETALHADO!D:D,"&lt;="&amp;ESTOQUE!$K$3,DETALHADO!D:D,"&gt;="&amp;ESTOQUE!$K$2,DETALHADO!E:E,ESTOQUE!$C142,DETALHADO!C:C,ESTOQUE!G$6)</f>
        <v>31</v>
      </c>
      <c r="H142" s="60">
        <f t="shared" si="4"/>
        <v>0</v>
      </c>
      <c r="I142" s="71">
        <f>+H142*VLOOKUP(C142,'Cadastro Produtos (kiwkiw)'!C:F,4,0)</f>
        <v>0</v>
      </c>
      <c r="N142" s="79"/>
    </row>
    <row r="143" spans="3:14" ht="15.75" customHeight="1" x14ac:dyDescent="0.45">
      <c r="C143" s="85" t="s">
        <v>1444</v>
      </c>
      <c r="D143" s="70" t="str">
        <f>VLOOKUP(C143,'Cadastro Produtos (kiwkiw)'!C:E,3,0)</f>
        <v>Ear Hook Lilly Banho Ouro</v>
      </c>
      <c r="E143" s="59">
        <f>SUMIFS(DETALHADO!G:G,DETALHADO!D:D,"&lt;"&amp;ESTOQUE!$K$2,DETALHADO!E:E,ESTOQUE!$C143)</f>
        <v>0</v>
      </c>
      <c r="F143" s="59">
        <f>SUMIFS(DETALHADO!G:G,DETALHADO!D:D,"&lt;="&amp;ESTOQUE!$K$3,DETALHADO!D:D,"&gt;="&amp;ESTOQUE!$K$2,DETALHADO!E:E,ESTOQUE!$C143,DETALHADO!C:C,ESTOQUE!F$6)</f>
        <v>13</v>
      </c>
      <c r="G143" s="59">
        <f>-SUMIFS(DETALHADO!G:G,DETALHADO!D:D,"&lt;="&amp;ESTOQUE!$K$3,DETALHADO!D:D,"&gt;="&amp;ESTOQUE!$K$2,DETALHADO!E:E,ESTOQUE!$C143,DETALHADO!C:C,ESTOQUE!G$6)</f>
        <v>0</v>
      </c>
      <c r="H143" s="60">
        <f t="shared" si="4"/>
        <v>13</v>
      </c>
      <c r="I143" s="71">
        <f>+H143*VLOOKUP(C143,'Cadastro Produtos (kiwkiw)'!C:F,4,0)</f>
        <v>0</v>
      </c>
      <c r="N143" s="79"/>
    </row>
    <row r="144" spans="3:14" ht="15.75" customHeight="1" x14ac:dyDescent="0.45">
      <c r="C144" s="85" t="s">
        <v>1442</v>
      </c>
      <c r="D144" s="70" t="str">
        <f>VLOOKUP(C144,'Cadastro Produtos (kiwkiw)'!C:E,3,0)</f>
        <v>Ear Hook Lilly Prateado</v>
      </c>
      <c r="E144" s="59">
        <f>SUMIFS(DETALHADO!G:G,DETALHADO!D:D,"&lt;"&amp;ESTOQUE!$K$2,DETALHADO!E:E,ESTOQUE!$C144)</f>
        <v>0</v>
      </c>
      <c r="F144" s="59">
        <f>SUMIFS(DETALHADO!G:G,DETALHADO!D:D,"&lt;="&amp;ESTOQUE!$K$3,DETALHADO!D:D,"&gt;="&amp;ESTOQUE!$K$2,DETALHADO!E:E,ESTOQUE!$C144,DETALHADO!C:C,ESTOQUE!F$6)</f>
        <v>7</v>
      </c>
      <c r="G144" s="59">
        <f>-SUMIFS(DETALHADO!G:G,DETALHADO!D:D,"&lt;="&amp;ESTOQUE!$K$3,DETALHADO!D:D,"&gt;="&amp;ESTOQUE!$K$2,DETALHADO!E:E,ESTOQUE!$C144,DETALHADO!C:C,ESTOQUE!G$6)</f>
        <v>0</v>
      </c>
      <c r="H144" s="60">
        <f t="shared" si="4"/>
        <v>7</v>
      </c>
      <c r="I144" s="71">
        <f>+H144*VLOOKUP(C144,'Cadastro Produtos (kiwkiw)'!C:F,4,0)</f>
        <v>0</v>
      </c>
      <c r="N144" s="79"/>
    </row>
    <row r="145" spans="3:14" ht="15.75" customHeight="1" x14ac:dyDescent="0.45">
      <c r="C145" s="85" t="s">
        <v>72</v>
      </c>
      <c r="D145" s="70" t="str">
        <f>VLOOKUP(C145,'Cadastro Produtos (kiwkiw)'!C:E,3,0)</f>
        <v>Ear Hook Line Banho Ouro</v>
      </c>
      <c r="E145" s="59">
        <f>SUMIFS(DETALHADO!G:G,DETALHADO!D:D,"&lt;"&amp;ESTOQUE!$K$2,DETALHADO!E:E,ESTOQUE!$C145)</f>
        <v>0</v>
      </c>
      <c r="F145" s="59">
        <f>SUMIFS(DETALHADO!G:G,DETALHADO!D:D,"&lt;="&amp;ESTOQUE!$K$3,DETALHADO!D:D,"&gt;="&amp;ESTOQUE!$K$2,DETALHADO!E:E,ESTOQUE!$C145,DETALHADO!C:C,ESTOQUE!F$6)</f>
        <v>40</v>
      </c>
      <c r="G145" s="59">
        <f>-SUMIFS(DETALHADO!G:G,DETALHADO!D:D,"&lt;="&amp;ESTOQUE!$K$3,DETALHADO!D:D,"&gt;="&amp;ESTOQUE!$K$2,DETALHADO!E:E,ESTOQUE!$C145,DETALHADO!C:C,ESTOQUE!G$6)</f>
        <v>38</v>
      </c>
      <c r="H145" s="60">
        <f t="shared" si="4"/>
        <v>2</v>
      </c>
      <c r="I145" s="71">
        <f>+H145*VLOOKUP(C145,'Cadastro Produtos (kiwkiw)'!C:F,4,0)</f>
        <v>0</v>
      </c>
      <c r="N145" s="79"/>
    </row>
    <row r="146" spans="3:14" ht="15.75" customHeight="1" x14ac:dyDescent="0.45">
      <c r="C146" s="85" t="s">
        <v>73</v>
      </c>
      <c r="D146" s="70" t="str">
        <f>VLOOKUP(C146,'Cadastro Produtos (kiwkiw)'!C:E,3,0)</f>
        <v>Ear Hook Line Prateado</v>
      </c>
      <c r="E146" s="59">
        <f>SUMIFS(DETALHADO!G:G,DETALHADO!D:D,"&lt;"&amp;ESTOQUE!$K$2,DETALHADO!E:E,ESTOQUE!$C146)</f>
        <v>0</v>
      </c>
      <c r="F146" s="59">
        <f>SUMIFS(DETALHADO!G:G,DETALHADO!D:D,"&lt;="&amp;ESTOQUE!$K$3,DETALHADO!D:D,"&gt;="&amp;ESTOQUE!$K$2,DETALHADO!E:E,ESTOQUE!$C146,DETALHADO!C:C,ESTOQUE!F$6)</f>
        <v>36</v>
      </c>
      <c r="G146" s="59">
        <f>-SUMIFS(DETALHADO!G:G,DETALHADO!D:D,"&lt;="&amp;ESTOQUE!$K$3,DETALHADO!D:D,"&gt;="&amp;ESTOQUE!$K$2,DETALHADO!E:E,ESTOQUE!$C146,DETALHADO!C:C,ESTOQUE!G$6)</f>
        <v>25</v>
      </c>
      <c r="H146" s="60">
        <f t="shared" si="4"/>
        <v>11</v>
      </c>
      <c r="I146" s="71">
        <f>+H146*VLOOKUP(C146,'Cadastro Produtos (kiwkiw)'!C:F,4,0)</f>
        <v>0</v>
      </c>
      <c r="N146" s="79"/>
    </row>
    <row r="147" spans="3:14" ht="15.75" customHeight="1" x14ac:dyDescent="0.45">
      <c r="C147" s="85" t="s">
        <v>798</v>
      </c>
      <c r="D147" s="70" t="str">
        <f>VLOOKUP(C147,'Cadastro Produtos (kiwkiw)'!C:E,3,0)</f>
        <v>Ear Hook Organico Banho Ouro</v>
      </c>
      <c r="E147" s="59">
        <f>SUMIFS(DETALHADO!G:G,DETALHADO!D:D,"&lt;"&amp;ESTOQUE!$K$2,DETALHADO!E:E,ESTOQUE!$C147)</f>
        <v>0</v>
      </c>
      <c r="F147" s="59">
        <f>SUMIFS(DETALHADO!G:G,DETALHADO!D:D,"&lt;="&amp;ESTOQUE!$K$3,DETALHADO!D:D,"&gt;="&amp;ESTOQUE!$K$2,DETALHADO!E:E,ESTOQUE!$C147,DETALHADO!C:C,ESTOQUE!F$6)</f>
        <v>18</v>
      </c>
      <c r="G147" s="59">
        <f>-SUMIFS(DETALHADO!G:G,DETALHADO!D:D,"&lt;="&amp;ESTOQUE!$K$3,DETALHADO!D:D,"&gt;="&amp;ESTOQUE!$K$2,DETALHADO!E:E,ESTOQUE!$C147,DETALHADO!C:C,ESTOQUE!G$6)</f>
        <v>3</v>
      </c>
      <c r="H147" s="60">
        <f t="shared" si="4"/>
        <v>15</v>
      </c>
      <c r="I147" s="71">
        <f>+H147*VLOOKUP(C147,'Cadastro Produtos (kiwkiw)'!C:F,4,0)</f>
        <v>0</v>
      </c>
      <c r="N147" s="79"/>
    </row>
    <row r="148" spans="3:14" ht="15.75" customHeight="1" x14ac:dyDescent="0.45">
      <c r="C148" s="85" t="s">
        <v>775</v>
      </c>
      <c r="D148" s="70" t="str">
        <f>VLOOKUP(C148,'Cadastro Produtos (kiwkiw)'!C:E,3,0)</f>
        <v>Ear Hook Organico Prateado</v>
      </c>
      <c r="E148" s="59">
        <f>SUMIFS(DETALHADO!G:G,DETALHADO!D:D,"&lt;"&amp;ESTOQUE!$K$2,DETALHADO!E:E,ESTOQUE!$C148)</f>
        <v>0</v>
      </c>
      <c r="F148" s="59">
        <f>SUMIFS(DETALHADO!G:G,DETALHADO!D:D,"&lt;="&amp;ESTOQUE!$K$3,DETALHADO!D:D,"&gt;="&amp;ESTOQUE!$K$2,DETALHADO!E:E,ESTOQUE!$C148,DETALHADO!C:C,ESTOQUE!F$6)</f>
        <v>10</v>
      </c>
      <c r="G148" s="59">
        <f>-SUMIFS(DETALHADO!G:G,DETALHADO!D:D,"&lt;="&amp;ESTOQUE!$K$3,DETALHADO!D:D,"&gt;="&amp;ESTOQUE!$K$2,DETALHADO!E:E,ESTOQUE!$C148,DETALHADO!C:C,ESTOQUE!G$6)</f>
        <v>1</v>
      </c>
      <c r="H148" s="60">
        <f t="shared" si="4"/>
        <v>9</v>
      </c>
      <c r="I148" s="71">
        <f>+H148*VLOOKUP(C148,'Cadastro Produtos (kiwkiw)'!C:F,4,0)</f>
        <v>0</v>
      </c>
      <c r="N148" s="79"/>
    </row>
    <row r="149" spans="3:14" ht="15.75" customHeight="1" x14ac:dyDescent="0.45">
      <c r="C149" s="85" t="s">
        <v>834</v>
      </c>
      <c r="D149" s="70" t="str">
        <f>VLOOKUP(C149,'Cadastro Produtos (kiwkiw)'!C:E,3,0)</f>
        <v>Ear Hook Triplo Dot Banho Ouro</v>
      </c>
      <c r="E149" s="59">
        <f>SUMIFS(DETALHADO!G:G,DETALHADO!D:D,"&lt;"&amp;ESTOQUE!$K$2,DETALHADO!E:E,ESTOQUE!$C149)</f>
        <v>0</v>
      </c>
      <c r="F149" s="59">
        <f>SUMIFS(DETALHADO!G:G,DETALHADO!D:D,"&lt;="&amp;ESTOQUE!$K$3,DETALHADO!D:D,"&gt;="&amp;ESTOQUE!$K$2,DETALHADO!E:E,ESTOQUE!$C149,DETALHADO!C:C,ESTOQUE!F$6)</f>
        <v>40</v>
      </c>
      <c r="G149" s="59">
        <f>-SUMIFS(DETALHADO!G:G,DETALHADO!D:D,"&lt;="&amp;ESTOQUE!$K$3,DETALHADO!D:D,"&gt;="&amp;ESTOQUE!$K$2,DETALHADO!E:E,ESTOQUE!$C149,DETALHADO!C:C,ESTOQUE!G$6)</f>
        <v>1</v>
      </c>
      <c r="H149" s="60">
        <f t="shared" si="4"/>
        <v>39</v>
      </c>
      <c r="I149" s="71">
        <f>+H149*VLOOKUP(C149,'Cadastro Produtos (kiwkiw)'!C:F,4,0)</f>
        <v>0</v>
      </c>
      <c r="N149" s="79"/>
    </row>
    <row r="150" spans="3:14" ht="15.75" customHeight="1" x14ac:dyDescent="0.45">
      <c r="C150" s="85" t="s">
        <v>76</v>
      </c>
      <c r="D150" s="70" t="str">
        <f>VLOOKUP(C150,'Cadastro Produtos (kiwkiw)'!C:E,3,0)</f>
        <v>EarHook Dots Banho Ouro</v>
      </c>
      <c r="E150" s="59">
        <f>SUMIFS(DETALHADO!G:G,DETALHADO!D:D,"&lt;"&amp;ESTOQUE!$K$2,DETALHADO!E:E,ESTOQUE!$C150)</f>
        <v>0</v>
      </c>
      <c r="F150" s="59">
        <f>SUMIFS(DETALHADO!G:G,DETALHADO!D:D,"&lt;="&amp;ESTOQUE!$K$3,DETALHADO!D:D,"&gt;="&amp;ESTOQUE!$K$2,DETALHADO!E:E,ESTOQUE!$C150,DETALHADO!C:C,ESTOQUE!F$6)</f>
        <v>55</v>
      </c>
      <c r="G150" s="59">
        <f>-SUMIFS(DETALHADO!G:G,DETALHADO!D:D,"&lt;="&amp;ESTOQUE!$K$3,DETALHADO!D:D,"&gt;="&amp;ESTOQUE!$K$2,DETALHADO!E:E,ESTOQUE!$C150,DETALHADO!C:C,ESTOQUE!G$6)</f>
        <v>39</v>
      </c>
      <c r="H150" s="60">
        <f t="shared" si="4"/>
        <v>16</v>
      </c>
      <c r="I150" s="71">
        <f>+H150*VLOOKUP(C150,'Cadastro Produtos (kiwkiw)'!C:F,4,0)</f>
        <v>0</v>
      </c>
      <c r="N150" s="79"/>
    </row>
    <row r="151" spans="3:14" ht="15.75" customHeight="1" x14ac:dyDescent="0.45">
      <c r="C151" s="85" t="s">
        <v>77</v>
      </c>
      <c r="D151" s="70" t="str">
        <f>VLOOKUP(C151,'Cadastro Produtos (kiwkiw)'!C:E,3,0)</f>
        <v>EarHook Torcido Banho Ouro</v>
      </c>
      <c r="E151" s="59">
        <f>SUMIFS(DETALHADO!G:G,DETALHADO!D:D,"&lt;"&amp;ESTOQUE!$K$2,DETALHADO!E:E,ESTOQUE!$C151)</f>
        <v>0</v>
      </c>
      <c r="F151" s="59">
        <f>SUMIFS(DETALHADO!G:G,DETALHADO!D:D,"&lt;="&amp;ESTOQUE!$K$3,DETALHADO!D:D,"&gt;="&amp;ESTOQUE!$K$2,DETALHADO!E:E,ESTOQUE!$C151,DETALHADO!C:C,ESTOQUE!F$6)</f>
        <v>57</v>
      </c>
      <c r="G151" s="59">
        <f>-SUMIFS(DETALHADO!G:G,DETALHADO!D:D,"&lt;="&amp;ESTOQUE!$K$3,DETALHADO!D:D,"&gt;="&amp;ESTOQUE!$K$2,DETALHADO!E:E,ESTOQUE!$C151,DETALHADO!C:C,ESTOQUE!G$6)</f>
        <v>57</v>
      </c>
      <c r="H151" s="60">
        <f t="shared" si="4"/>
        <v>0</v>
      </c>
      <c r="I151" s="71">
        <f>+H151*VLOOKUP(C151,'Cadastro Produtos (kiwkiw)'!C:F,4,0)</f>
        <v>0</v>
      </c>
      <c r="N151" s="79"/>
    </row>
    <row r="152" spans="3:14" ht="15.75" customHeight="1" x14ac:dyDescent="0.45">
      <c r="C152" s="85" t="s">
        <v>78</v>
      </c>
      <c r="D152" s="70" t="str">
        <f>VLOOKUP(C152,'Cadastro Produtos (kiwkiw)'!C:E,3,0)</f>
        <v>EarHook Torcido Prateado</v>
      </c>
      <c r="E152" s="59">
        <f>SUMIFS(DETALHADO!G:G,DETALHADO!D:D,"&lt;"&amp;ESTOQUE!$K$2,DETALHADO!E:E,ESTOQUE!$C152)</f>
        <v>0</v>
      </c>
      <c r="F152" s="59">
        <f>SUMIFS(DETALHADO!G:G,DETALHADO!D:D,"&lt;="&amp;ESTOQUE!$K$3,DETALHADO!D:D,"&gt;="&amp;ESTOQUE!$K$2,DETALHADO!E:E,ESTOQUE!$C152,DETALHADO!C:C,ESTOQUE!F$6)</f>
        <v>17</v>
      </c>
      <c r="G152" s="59">
        <f>-SUMIFS(DETALHADO!G:G,DETALHADO!D:D,"&lt;="&amp;ESTOQUE!$K$3,DETALHADO!D:D,"&gt;="&amp;ESTOQUE!$K$2,DETALHADO!E:E,ESTOQUE!$C152,DETALHADO!C:C,ESTOQUE!G$6)</f>
        <v>17</v>
      </c>
      <c r="H152" s="60">
        <f t="shared" si="4"/>
        <v>0</v>
      </c>
      <c r="I152" s="71">
        <f>+H152*VLOOKUP(C152,'Cadastro Produtos (kiwkiw)'!C:F,4,0)</f>
        <v>0</v>
      </c>
      <c r="N152" s="79"/>
    </row>
    <row r="153" spans="3:14" ht="15.75" customHeight="1" x14ac:dyDescent="0.45">
      <c r="C153" s="85" t="s">
        <v>780</v>
      </c>
      <c r="D153" s="70" t="str">
        <f>VLOOKUP(C153,'Cadastro Produtos (kiwkiw)'!C:E,3,0)</f>
        <v>Gargantilha Crystal Banho Ouro</v>
      </c>
      <c r="E153" s="59">
        <f>SUMIFS(DETALHADO!G:G,DETALHADO!D:D,"&lt;"&amp;ESTOQUE!$K$2,DETALHADO!E:E,ESTOQUE!$C153)</f>
        <v>0</v>
      </c>
      <c r="F153" s="59">
        <f>SUMIFS(DETALHADO!G:G,DETALHADO!D:D,"&lt;="&amp;ESTOQUE!$K$3,DETALHADO!D:D,"&gt;="&amp;ESTOQUE!$K$2,DETALHADO!E:E,ESTOQUE!$C153,DETALHADO!C:C,ESTOQUE!F$6)</f>
        <v>11</v>
      </c>
      <c r="G153" s="59">
        <f>-SUMIFS(DETALHADO!G:G,DETALHADO!D:D,"&lt;="&amp;ESTOQUE!$K$3,DETALHADO!D:D,"&gt;="&amp;ESTOQUE!$K$2,DETALHADO!E:E,ESTOQUE!$C153,DETALHADO!C:C,ESTOQUE!G$6)</f>
        <v>5</v>
      </c>
      <c r="H153" s="60">
        <f t="shared" si="4"/>
        <v>6</v>
      </c>
      <c r="I153" s="71">
        <f>+H153*VLOOKUP(C153,'Cadastro Produtos (kiwkiw)'!C:F,4,0)</f>
        <v>0</v>
      </c>
      <c r="N153" s="79"/>
    </row>
    <row r="154" spans="3:14" ht="15.75" customHeight="1" x14ac:dyDescent="0.45">
      <c r="C154" s="85" t="s">
        <v>116</v>
      </c>
      <c r="D154" s="70" t="str">
        <f>VLOOKUP(C154,'Cadastro Produtos (kiwkiw)'!C:E,3,0)</f>
        <v>Gargantilha Dots Banho Ouro</v>
      </c>
      <c r="E154" s="59">
        <f>SUMIFS(DETALHADO!G:G,DETALHADO!D:D,"&lt;"&amp;ESTOQUE!$K$2,DETALHADO!E:E,ESTOQUE!$C154)</f>
        <v>0</v>
      </c>
      <c r="F154" s="59">
        <f>SUMIFS(DETALHADO!G:G,DETALHADO!D:D,"&lt;="&amp;ESTOQUE!$K$3,DETALHADO!D:D,"&gt;="&amp;ESTOQUE!$K$2,DETALHADO!E:E,ESTOQUE!$C154,DETALHADO!C:C,ESTOQUE!F$6)</f>
        <v>61</v>
      </c>
      <c r="G154" s="59">
        <f>-SUMIFS(DETALHADO!G:G,DETALHADO!D:D,"&lt;="&amp;ESTOQUE!$K$3,DETALHADO!D:D,"&gt;="&amp;ESTOQUE!$K$2,DETALHADO!E:E,ESTOQUE!$C154,DETALHADO!C:C,ESTOQUE!G$6)</f>
        <v>60</v>
      </c>
      <c r="H154" s="60">
        <f t="shared" si="4"/>
        <v>1</v>
      </c>
      <c r="I154" s="71">
        <f>+H154*VLOOKUP(C154,'Cadastro Produtos (kiwkiw)'!C:F,4,0)</f>
        <v>0</v>
      </c>
      <c r="N154" s="79"/>
    </row>
    <row r="155" spans="3:14" ht="15.75" customHeight="1" x14ac:dyDescent="0.45">
      <c r="C155" s="85" t="s">
        <v>112</v>
      </c>
      <c r="D155" s="70" t="str">
        <f>VLOOKUP(C155,'Cadastro Produtos (kiwkiw)'!C:E,3,0)</f>
        <v>Gargantilha Escama Banho Ouro</v>
      </c>
      <c r="E155" s="59">
        <f>SUMIFS(DETALHADO!G:G,DETALHADO!D:D,"&lt;"&amp;ESTOQUE!$K$2,DETALHADO!E:E,ESTOQUE!$C155)</f>
        <v>0</v>
      </c>
      <c r="F155" s="59">
        <f>SUMIFS(DETALHADO!G:G,DETALHADO!D:D,"&lt;="&amp;ESTOQUE!$K$3,DETALHADO!D:D,"&gt;="&amp;ESTOQUE!$K$2,DETALHADO!E:E,ESTOQUE!$C155,DETALHADO!C:C,ESTOQUE!F$6)</f>
        <v>32</v>
      </c>
      <c r="G155" s="59">
        <f>-SUMIFS(DETALHADO!G:G,DETALHADO!D:D,"&lt;="&amp;ESTOQUE!$K$3,DETALHADO!D:D,"&gt;="&amp;ESTOQUE!$K$2,DETALHADO!E:E,ESTOQUE!$C155,DETALHADO!C:C,ESTOQUE!G$6)</f>
        <v>32</v>
      </c>
      <c r="H155" s="60">
        <f t="shared" si="4"/>
        <v>0</v>
      </c>
      <c r="I155" s="71">
        <f>+H155*VLOOKUP(C155,'Cadastro Produtos (kiwkiw)'!C:F,4,0)</f>
        <v>0</v>
      </c>
      <c r="N155" s="79"/>
    </row>
    <row r="156" spans="3:14" ht="15.75" customHeight="1" x14ac:dyDescent="0.45">
      <c r="C156" s="85" t="s">
        <v>113</v>
      </c>
      <c r="D156" s="70" t="str">
        <f>VLOOKUP(C156,'Cadastro Produtos (kiwkiw)'!C:E,3,0)</f>
        <v>Gargantilha Escama Prateada</v>
      </c>
      <c r="E156" s="59">
        <f>SUMIFS(DETALHADO!G:G,DETALHADO!D:D,"&lt;"&amp;ESTOQUE!$K$2,DETALHADO!E:E,ESTOQUE!$C156)</f>
        <v>0</v>
      </c>
      <c r="F156" s="59">
        <f>SUMIFS(DETALHADO!G:G,DETALHADO!D:D,"&lt;="&amp;ESTOQUE!$K$3,DETALHADO!D:D,"&gt;="&amp;ESTOQUE!$K$2,DETALHADO!E:E,ESTOQUE!$C156,DETALHADO!C:C,ESTOQUE!F$6)</f>
        <v>23</v>
      </c>
      <c r="G156" s="59">
        <f>-SUMIFS(DETALHADO!G:G,DETALHADO!D:D,"&lt;="&amp;ESTOQUE!$K$3,DETALHADO!D:D,"&gt;="&amp;ESTOQUE!$K$2,DETALHADO!E:E,ESTOQUE!$C156,DETALHADO!C:C,ESTOQUE!G$6)</f>
        <v>18</v>
      </c>
      <c r="H156" s="60">
        <f t="shared" si="4"/>
        <v>5</v>
      </c>
      <c r="I156" s="71">
        <f>+H156*VLOOKUP(C156,'Cadastro Produtos (kiwkiw)'!C:F,4,0)</f>
        <v>0</v>
      </c>
      <c r="N156" s="79"/>
    </row>
    <row r="157" spans="3:14" ht="15.75" customHeight="1" x14ac:dyDescent="0.45">
      <c r="C157" s="85" t="s">
        <v>114</v>
      </c>
      <c r="D157" s="70" t="str">
        <f>VLOOKUP(C157,'Cadastro Produtos (kiwkiw)'!C:E,3,0)</f>
        <v>Gargantilha Fita Banho Ouro</v>
      </c>
      <c r="E157" s="59">
        <f>SUMIFS(DETALHADO!G:G,DETALHADO!D:D,"&lt;"&amp;ESTOQUE!$K$2,DETALHADO!E:E,ESTOQUE!$C157)</f>
        <v>0</v>
      </c>
      <c r="F157" s="59">
        <f>SUMIFS(DETALHADO!G:G,DETALHADO!D:D,"&lt;="&amp;ESTOQUE!$K$3,DETALHADO!D:D,"&gt;="&amp;ESTOQUE!$K$2,DETALHADO!E:E,ESTOQUE!$C157,DETALHADO!C:C,ESTOQUE!F$6)</f>
        <v>118</v>
      </c>
      <c r="G157" s="59">
        <f>-SUMIFS(DETALHADO!G:G,DETALHADO!D:D,"&lt;="&amp;ESTOQUE!$K$3,DETALHADO!D:D,"&gt;="&amp;ESTOQUE!$K$2,DETALHADO!E:E,ESTOQUE!$C157,DETALHADO!C:C,ESTOQUE!G$6)</f>
        <v>77</v>
      </c>
      <c r="H157" s="60">
        <f t="shared" si="4"/>
        <v>41</v>
      </c>
      <c r="I157" s="71">
        <f>+H157*VLOOKUP(C157,'Cadastro Produtos (kiwkiw)'!C:F,4,0)</f>
        <v>0</v>
      </c>
      <c r="N157" s="79"/>
    </row>
    <row r="158" spans="3:14" ht="15.75" customHeight="1" x14ac:dyDescent="0.45">
      <c r="C158" s="85" t="s">
        <v>115</v>
      </c>
      <c r="D158" s="70" t="str">
        <f>VLOOKUP(C158,'Cadastro Produtos (kiwkiw)'!C:E,3,0)</f>
        <v>Gargantilha Fita Prateada</v>
      </c>
      <c r="E158" s="59">
        <f>SUMIFS(DETALHADO!G:G,DETALHADO!D:D,"&lt;"&amp;ESTOQUE!$K$2,DETALHADO!E:E,ESTOQUE!$C158)</f>
        <v>0</v>
      </c>
      <c r="F158" s="59">
        <f>SUMIFS(DETALHADO!G:G,DETALHADO!D:D,"&lt;="&amp;ESTOQUE!$K$3,DETALHADO!D:D,"&gt;="&amp;ESTOQUE!$K$2,DETALHADO!E:E,ESTOQUE!$C158,DETALHADO!C:C,ESTOQUE!F$6)</f>
        <v>28</v>
      </c>
      <c r="G158" s="59">
        <f>-SUMIFS(DETALHADO!G:G,DETALHADO!D:D,"&lt;="&amp;ESTOQUE!$K$3,DETALHADO!D:D,"&gt;="&amp;ESTOQUE!$K$2,DETALHADO!E:E,ESTOQUE!$C158,DETALHADO!C:C,ESTOQUE!G$6)</f>
        <v>20</v>
      </c>
      <c r="H158" s="60">
        <f t="shared" si="4"/>
        <v>8</v>
      </c>
      <c r="I158" s="71">
        <f>+H158*VLOOKUP(C158,'Cadastro Produtos (kiwkiw)'!C:F,4,0)</f>
        <v>0</v>
      </c>
      <c r="N158" s="79"/>
    </row>
    <row r="159" spans="3:14" ht="15.75" customHeight="1" x14ac:dyDescent="0.45">
      <c r="C159" s="85" t="s">
        <v>799</v>
      </c>
      <c r="D159" s="70" t="str">
        <f>VLOOKUP(C159,'Cadastro Produtos (kiwkiw)'!C:E,3,0)</f>
        <v>Gargantilha Fita Textura Banho Ouro</v>
      </c>
      <c r="E159" s="59">
        <f>SUMIFS(DETALHADO!G:G,DETALHADO!D:D,"&lt;"&amp;ESTOQUE!$K$2,DETALHADO!E:E,ESTOQUE!$C159)</f>
        <v>0</v>
      </c>
      <c r="F159" s="59">
        <f>SUMIFS(DETALHADO!G:G,DETALHADO!D:D,"&lt;="&amp;ESTOQUE!$K$3,DETALHADO!D:D,"&gt;="&amp;ESTOQUE!$K$2,DETALHADO!E:E,ESTOQUE!$C159,DETALHADO!C:C,ESTOQUE!F$6)</f>
        <v>19</v>
      </c>
      <c r="G159" s="59">
        <f>-SUMIFS(DETALHADO!G:G,DETALHADO!D:D,"&lt;="&amp;ESTOQUE!$K$3,DETALHADO!D:D,"&gt;="&amp;ESTOQUE!$K$2,DETALHADO!E:E,ESTOQUE!$C159,DETALHADO!C:C,ESTOQUE!G$6)</f>
        <v>6</v>
      </c>
      <c r="H159" s="60">
        <f t="shared" si="4"/>
        <v>13</v>
      </c>
      <c r="I159" s="71">
        <f>+H159*VLOOKUP(C159,'Cadastro Produtos (kiwkiw)'!C:F,4,0)</f>
        <v>0</v>
      </c>
      <c r="N159" s="79"/>
    </row>
    <row r="160" spans="3:14" ht="15.75" customHeight="1" x14ac:dyDescent="0.45">
      <c r="C160" s="85" t="s">
        <v>800</v>
      </c>
      <c r="D160" s="70" t="str">
        <f>VLOOKUP(C160,'Cadastro Produtos (kiwkiw)'!C:E,3,0)</f>
        <v>Gargantilha Groumet Banho Ouro</v>
      </c>
      <c r="E160" s="59">
        <f>SUMIFS(DETALHADO!G:G,DETALHADO!D:D,"&lt;"&amp;ESTOQUE!$K$2,DETALHADO!E:E,ESTOQUE!$C160)</f>
        <v>0</v>
      </c>
      <c r="F160" s="59">
        <f>SUMIFS(DETALHADO!G:G,DETALHADO!D:D,"&lt;="&amp;ESTOQUE!$K$3,DETALHADO!D:D,"&gt;="&amp;ESTOQUE!$K$2,DETALHADO!E:E,ESTOQUE!$C160,DETALHADO!C:C,ESTOQUE!F$6)</f>
        <v>18</v>
      </c>
      <c r="G160" s="59">
        <f>-SUMIFS(DETALHADO!G:G,DETALHADO!D:D,"&lt;="&amp;ESTOQUE!$K$3,DETALHADO!D:D,"&gt;="&amp;ESTOQUE!$K$2,DETALHADO!E:E,ESTOQUE!$C160,DETALHADO!C:C,ESTOQUE!G$6)</f>
        <v>5</v>
      </c>
      <c r="H160" s="60">
        <f t="shared" si="4"/>
        <v>13</v>
      </c>
      <c r="I160" s="71">
        <f>+H160*VLOOKUP(C160,'Cadastro Produtos (kiwkiw)'!C:F,4,0)</f>
        <v>0</v>
      </c>
      <c r="N160" s="79"/>
    </row>
    <row r="161" spans="3:14" ht="15.75" customHeight="1" x14ac:dyDescent="0.45">
      <c r="C161" s="85" t="s">
        <v>776</v>
      </c>
      <c r="D161" s="70" t="str">
        <f>VLOOKUP(C161,'Cadastro Produtos (kiwkiw)'!C:E,3,0)</f>
        <v>Gargantilha Groumet Prateada</v>
      </c>
      <c r="E161" s="59">
        <f>SUMIFS(DETALHADO!G:G,DETALHADO!D:D,"&lt;"&amp;ESTOQUE!$K$2,DETALHADO!E:E,ESTOQUE!$C161)</f>
        <v>0</v>
      </c>
      <c r="F161" s="59">
        <f>SUMIFS(DETALHADO!G:G,DETALHADO!D:D,"&lt;="&amp;ESTOQUE!$K$3,DETALHADO!D:D,"&gt;="&amp;ESTOQUE!$K$2,DETALHADO!E:E,ESTOQUE!$C161,DETALHADO!C:C,ESTOQUE!F$6)</f>
        <v>10</v>
      </c>
      <c r="G161" s="59">
        <f>-SUMIFS(DETALHADO!G:G,DETALHADO!D:D,"&lt;="&amp;ESTOQUE!$K$3,DETALHADO!D:D,"&gt;="&amp;ESTOQUE!$K$2,DETALHADO!E:E,ESTOQUE!$C161,DETALHADO!C:C,ESTOQUE!G$6)</f>
        <v>0</v>
      </c>
      <c r="H161" s="60">
        <f t="shared" si="4"/>
        <v>10</v>
      </c>
      <c r="I161" s="71">
        <f>+H161*VLOOKUP(C161,'Cadastro Produtos (kiwkiw)'!C:F,4,0)</f>
        <v>0</v>
      </c>
      <c r="N161" s="79"/>
    </row>
    <row r="162" spans="3:14" ht="15.75" customHeight="1" x14ac:dyDescent="0.45">
      <c r="C162" s="85" t="s">
        <v>801</v>
      </c>
      <c r="D162" s="70" t="str">
        <f>VLOOKUP(C162,'Cadastro Produtos (kiwkiw)'!C:E,3,0)</f>
        <v>Gargantilha Line Banho Ouro</v>
      </c>
      <c r="E162" s="59">
        <f>SUMIFS(DETALHADO!G:G,DETALHADO!D:D,"&lt;"&amp;ESTOQUE!$K$2,DETALHADO!E:E,ESTOQUE!$C162)</f>
        <v>0</v>
      </c>
      <c r="F162" s="59">
        <f>SUMIFS(DETALHADO!G:G,DETALHADO!D:D,"&lt;="&amp;ESTOQUE!$K$3,DETALHADO!D:D,"&gt;="&amp;ESTOQUE!$K$2,DETALHADO!E:E,ESTOQUE!$C162,DETALHADO!C:C,ESTOQUE!F$6)</f>
        <v>19</v>
      </c>
      <c r="G162" s="59">
        <f>-SUMIFS(DETALHADO!G:G,DETALHADO!D:D,"&lt;="&amp;ESTOQUE!$K$3,DETALHADO!D:D,"&gt;="&amp;ESTOQUE!$K$2,DETALHADO!E:E,ESTOQUE!$C162,DETALHADO!C:C,ESTOQUE!G$6)</f>
        <v>12</v>
      </c>
      <c r="H162" s="60">
        <f t="shared" si="4"/>
        <v>7</v>
      </c>
      <c r="I162" s="71">
        <f>+H162*VLOOKUP(C162,'Cadastro Produtos (kiwkiw)'!C:F,4,0)</f>
        <v>0</v>
      </c>
      <c r="N162" s="79"/>
    </row>
    <row r="163" spans="3:14" ht="15.75" customHeight="1" x14ac:dyDescent="0.45">
      <c r="C163" s="85" t="s">
        <v>777</v>
      </c>
      <c r="D163" s="70" t="str">
        <f>VLOOKUP(C163,'Cadastro Produtos (kiwkiw)'!C:E,3,0)</f>
        <v>Gargantilha Line Prateada</v>
      </c>
      <c r="E163" s="59">
        <f>SUMIFS(DETALHADO!G:G,DETALHADO!D:D,"&lt;"&amp;ESTOQUE!$K$2,DETALHADO!E:E,ESTOQUE!$C163)</f>
        <v>0</v>
      </c>
      <c r="F163" s="59">
        <f>SUMIFS(DETALHADO!G:G,DETALHADO!D:D,"&lt;="&amp;ESTOQUE!$K$3,DETALHADO!D:D,"&gt;="&amp;ESTOQUE!$K$2,DETALHADO!E:E,ESTOQUE!$C163,DETALHADO!C:C,ESTOQUE!F$6)</f>
        <v>10</v>
      </c>
      <c r="G163" s="59">
        <f>-SUMIFS(DETALHADO!G:G,DETALHADO!D:D,"&lt;="&amp;ESTOQUE!$K$3,DETALHADO!D:D,"&gt;="&amp;ESTOQUE!$K$2,DETALHADO!E:E,ESTOQUE!$C163,DETALHADO!C:C,ESTOQUE!G$6)</f>
        <v>1</v>
      </c>
      <c r="H163" s="60">
        <f t="shared" si="4"/>
        <v>9</v>
      </c>
      <c r="I163" s="71">
        <f>+H163*VLOOKUP(C163,'Cadastro Produtos (kiwkiw)'!C:F,4,0)</f>
        <v>0</v>
      </c>
      <c r="N163" s="79"/>
    </row>
    <row r="164" spans="3:14" ht="15.75" customHeight="1" x14ac:dyDescent="0.45">
      <c r="C164" s="85" t="s">
        <v>117</v>
      </c>
      <c r="D164" s="70" t="str">
        <f>VLOOKUP(C164,'Cadastro Produtos (kiwkiw)'!C:E,3,0)</f>
        <v>Gargantilha Minimal Banho Ouro</v>
      </c>
      <c r="E164" s="59">
        <f>SUMIFS(DETALHADO!G:G,DETALHADO!D:D,"&lt;"&amp;ESTOQUE!$K$2,DETALHADO!E:E,ESTOQUE!$C164)</f>
        <v>0</v>
      </c>
      <c r="F164" s="59">
        <f>SUMIFS(DETALHADO!G:G,DETALHADO!D:D,"&lt;="&amp;ESTOQUE!$K$3,DETALHADO!D:D,"&gt;="&amp;ESTOQUE!$K$2,DETALHADO!E:E,ESTOQUE!$C164,DETALHADO!C:C,ESTOQUE!F$6)</f>
        <v>258</v>
      </c>
      <c r="G164" s="59">
        <f>-SUMIFS(DETALHADO!G:G,DETALHADO!D:D,"&lt;="&amp;ESTOQUE!$K$3,DETALHADO!D:D,"&gt;="&amp;ESTOQUE!$K$2,DETALHADO!E:E,ESTOQUE!$C164,DETALHADO!C:C,ESTOQUE!G$6)</f>
        <v>223</v>
      </c>
      <c r="H164" s="60">
        <f t="shared" si="4"/>
        <v>35</v>
      </c>
      <c r="I164" s="71">
        <f>+H164*VLOOKUP(C164,'Cadastro Produtos (kiwkiw)'!C:F,4,0)</f>
        <v>0</v>
      </c>
      <c r="N164" s="79"/>
    </row>
    <row r="165" spans="3:14" ht="15.75" customHeight="1" x14ac:dyDescent="0.45">
      <c r="C165" s="85" t="s">
        <v>118</v>
      </c>
      <c r="D165" s="70" t="str">
        <f>VLOOKUP(C165,'Cadastro Produtos (kiwkiw)'!C:E,3,0)</f>
        <v>Gargantilha Minimal Prateada</v>
      </c>
      <c r="E165" s="59">
        <f>SUMIFS(DETALHADO!G:G,DETALHADO!D:D,"&lt;"&amp;ESTOQUE!$K$2,DETALHADO!E:E,ESTOQUE!$C165)</f>
        <v>0</v>
      </c>
      <c r="F165" s="59">
        <f>SUMIFS(DETALHADO!G:G,DETALHADO!D:D,"&lt;="&amp;ESTOQUE!$K$3,DETALHADO!D:D,"&gt;="&amp;ESTOQUE!$K$2,DETALHADO!E:E,ESTOQUE!$C165,DETALHADO!C:C,ESTOQUE!F$6)</f>
        <v>72</v>
      </c>
      <c r="G165" s="59">
        <f>-SUMIFS(DETALHADO!G:G,DETALHADO!D:D,"&lt;="&amp;ESTOQUE!$K$3,DETALHADO!D:D,"&gt;="&amp;ESTOQUE!$K$2,DETALHADO!E:E,ESTOQUE!$C165,DETALHADO!C:C,ESTOQUE!G$6)</f>
        <v>63</v>
      </c>
      <c r="H165" s="60">
        <f t="shared" si="4"/>
        <v>9</v>
      </c>
      <c r="I165" s="71">
        <f>+H165*VLOOKUP(C165,'Cadastro Produtos (kiwkiw)'!C:F,4,0)</f>
        <v>0</v>
      </c>
      <c r="N165" s="79"/>
    </row>
    <row r="166" spans="3:14" ht="15.75" customHeight="1" x14ac:dyDescent="0.45">
      <c r="C166" s="85" t="s">
        <v>822</v>
      </c>
      <c r="D166" s="70" t="str">
        <f>VLOOKUP(C166,'Cadastro Produtos (kiwkiw)'!C:E,3,0)</f>
        <v>Gargantilha Pearl Banho Ouro</v>
      </c>
      <c r="E166" s="59">
        <f>SUMIFS(DETALHADO!G:G,DETALHADO!D:D,"&lt;"&amp;ESTOQUE!$K$2,DETALHADO!E:E,ESTOQUE!$C166)</f>
        <v>0</v>
      </c>
      <c r="F166" s="59">
        <f>SUMIFS(DETALHADO!G:G,DETALHADO!D:D,"&lt;="&amp;ESTOQUE!$K$3,DETALHADO!D:D,"&gt;="&amp;ESTOQUE!$K$2,DETALHADO!E:E,ESTOQUE!$C166,DETALHADO!C:C,ESTOQUE!F$6)</f>
        <v>20</v>
      </c>
      <c r="G166" s="59">
        <f>-SUMIFS(DETALHADO!G:G,DETALHADO!D:D,"&lt;="&amp;ESTOQUE!$K$3,DETALHADO!D:D,"&gt;="&amp;ESTOQUE!$K$2,DETALHADO!E:E,ESTOQUE!$C166,DETALHADO!C:C,ESTOQUE!G$6)</f>
        <v>11</v>
      </c>
      <c r="H166" s="60">
        <f t="shared" si="4"/>
        <v>9</v>
      </c>
      <c r="I166" s="71">
        <f>+H166*VLOOKUP(C166,'Cadastro Produtos (kiwkiw)'!C:F,4,0)</f>
        <v>0</v>
      </c>
      <c r="N166" s="79"/>
    </row>
    <row r="167" spans="3:14" ht="15.75" customHeight="1" x14ac:dyDescent="0.45">
      <c r="C167" s="85" t="s">
        <v>79</v>
      </c>
      <c r="D167" s="70" t="str">
        <f>VLOOKUP(C167,'Cadastro Produtos (kiwkiw)'!C:E,3,0)</f>
        <v>Kit Brincos Coracao e Triangulo Banho Ouro</v>
      </c>
      <c r="E167" s="59">
        <f>SUMIFS(DETALHADO!G:G,DETALHADO!D:D,"&lt;"&amp;ESTOQUE!$K$2,DETALHADO!E:E,ESTOQUE!$C167)</f>
        <v>0</v>
      </c>
      <c r="F167" s="59">
        <f>SUMIFS(DETALHADO!G:G,DETALHADO!D:D,"&lt;="&amp;ESTOQUE!$K$3,DETALHADO!D:D,"&gt;="&amp;ESTOQUE!$K$2,DETALHADO!E:E,ESTOQUE!$C167,DETALHADO!C:C,ESTOQUE!F$6)</f>
        <v>28</v>
      </c>
      <c r="G167" s="59">
        <f>-SUMIFS(DETALHADO!G:G,DETALHADO!D:D,"&lt;="&amp;ESTOQUE!$K$3,DETALHADO!D:D,"&gt;="&amp;ESTOQUE!$K$2,DETALHADO!E:E,ESTOQUE!$C167,DETALHADO!C:C,ESTOQUE!G$6)</f>
        <v>28</v>
      </c>
      <c r="H167" s="60">
        <f t="shared" si="4"/>
        <v>0</v>
      </c>
      <c r="I167" s="71">
        <f>+H167*VLOOKUP(C167,'Cadastro Produtos (kiwkiw)'!C:F,4,0)</f>
        <v>0</v>
      </c>
      <c r="N167" s="79"/>
    </row>
    <row r="168" spans="3:14" ht="15.75" customHeight="1" x14ac:dyDescent="0.45">
      <c r="C168" s="85" t="s">
        <v>80</v>
      </c>
      <c r="D168" s="70" t="str">
        <f>VLOOKUP(C168,'Cadastro Produtos (kiwkiw)'!C:E,3,0)</f>
        <v>Meia Argola Croissant Banho Ouro</v>
      </c>
      <c r="E168" s="59">
        <f>SUMIFS(DETALHADO!G:G,DETALHADO!D:D,"&lt;"&amp;ESTOQUE!$K$2,DETALHADO!E:E,ESTOQUE!$C168)</f>
        <v>0</v>
      </c>
      <c r="F168" s="59">
        <f>SUMIFS(DETALHADO!G:G,DETALHADO!D:D,"&lt;="&amp;ESTOQUE!$K$3,DETALHADO!D:D,"&gt;="&amp;ESTOQUE!$K$2,DETALHADO!E:E,ESTOQUE!$C168,DETALHADO!C:C,ESTOQUE!F$6)</f>
        <v>16</v>
      </c>
      <c r="G168" s="59">
        <f>-SUMIFS(DETALHADO!G:G,DETALHADO!D:D,"&lt;="&amp;ESTOQUE!$K$3,DETALHADO!D:D,"&gt;="&amp;ESTOQUE!$K$2,DETALHADO!E:E,ESTOQUE!$C168,DETALHADO!C:C,ESTOQUE!G$6)</f>
        <v>14</v>
      </c>
      <c r="H168" s="60">
        <f t="shared" si="4"/>
        <v>2</v>
      </c>
      <c r="I168" s="71">
        <f>+H168*VLOOKUP(C168,'Cadastro Produtos (kiwkiw)'!C:F,4,0)</f>
        <v>0</v>
      </c>
      <c r="N168" s="79"/>
    </row>
    <row r="169" spans="3:14" ht="15.75" customHeight="1" x14ac:dyDescent="0.45">
      <c r="C169" s="85" t="s">
        <v>81</v>
      </c>
      <c r="D169" s="70" t="str">
        <f>VLOOKUP(C169,'Cadastro Produtos (kiwkiw)'!C:E,3,0)</f>
        <v>Meia Argola Croissant Prateada</v>
      </c>
      <c r="E169" s="59">
        <f>SUMIFS(DETALHADO!G:G,DETALHADO!D:D,"&lt;"&amp;ESTOQUE!$K$2,DETALHADO!E:E,ESTOQUE!$C169)</f>
        <v>0</v>
      </c>
      <c r="F169" s="59">
        <f>SUMIFS(DETALHADO!G:G,DETALHADO!D:D,"&lt;="&amp;ESTOQUE!$K$3,DETALHADO!D:D,"&gt;="&amp;ESTOQUE!$K$2,DETALHADO!E:E,ESTOQUE!$C169,DETALHADO!C:C,ESTOQUE!F$6)</f>
        <v>8</v>
      </c>
      <c r="G169" s="59">
        <f>-SUMIFS(DETALHADO!G:G,DETALHADO!D:D,"&lt;="&amp;ESTOQUE!$K$3,DETALHADO!D:D,"&gt;="&amp;ESTOQUE!$K$2,DETALHADO!E:E,ESTOQUE!$C169,DETALHADO!C:C,ESTOQUE!G$6)</f>
        <v>8</v>
      </c>
      <c r="H169" s="60">
        <f t="shared" si="4"/>
        <v>0</v>
      </c>
      <c r="I169" s="71">
        <f>+H169*VLOOKUP(C169,'Cadastro Produtos (kiwkiw)'!C:F,4,0)</f>
        <v>0</v>
      </c>
      <c r="N169" s="79"/>
    </row>
    <row r="170" spans="3:14" ht="15.75" customHeight="1" x14ac:dyDescent="0.45">
      <c r="C170" s="85" t="s">
        <v>82</v>
      </c>
      <c r="D170" s="70" t="str">
        <f>VLOOKUP(C170,'Cadastro Produtos (kiwkiw)'!C:E,3,0)</f>
        <v>Meia Argola Diamond Banho Ouro</v>
      </c>
      <c r="E170" s="59">
        <f>SUMIFS(DETALHADO!G:G,DETALHADO!D:D,"&lt;"&amp;ESTOQUE!$K$2,DETALHADO!E:E,ESTOQUE!$C170)</f>
        <v>0</v>
      </c>
      <c r="F170" s="59">
        <f>SUMIFS(DETALHADO!G:G,DETALHADO!D:D,"&lt;="&amp;ESTOQUE!$K$3,DETALHADO!D:D,"&gt;="&amp;ESTOQUE!$K$2,DETALHADO!E:E,ESTOQUE!$C170,DETALHADO!C:C,ESTOQUE!F$6)</f>
        <v>30</v>
      </c>
      <c r="G170" s="59">
        <f>-SUMIFS(DETALHADO!G:G,DETALHADO!D:D,"&lt;="&amp;ESTOQUE!$K$3,DETALHADO!D:D,"&gt;="&amp;ESTOQUE!$K$2,DETALHADO!E:E,ESTOQUE!$C170,DETALHADO!C:C,ESTOQUE!G$6)</f>
        <v>30</v>
      </c>
      <c r="H170" s="60">
        <f t="shared" si="4"/>
        <v>0</v>
      </c>
      <c r="I170" s="71">
        <f>+H170*VLOOKUP(C170,'Cadastro Produtos (kiwkiw)'!C:F,4,0)</f>
        <v>0</v>
      </c>
      <c r="N170" s="79"/>
    </row>
    <row r="171" spans="3:14" ht="15.75" customHeight="1" x14ac:dyDescent="0.45">
      <c r="C171" s="85" t="s">
        <v>1440</v>
      </c>
      <c r="D171" s="70" t="str">
        <f>VLOOKUP(C171,'Cadastro Produtos (kiwkiw)'!C:E,3,0)</f>
        <v>Meia Argola Torcida Banho Ouro</v>
      </c>
      <c r="E171" s="59">
        <f>SUMIFS(DETALHADO!G:G,DETALHADO!D:D,"&lt;"&amp;ESTOQUE!$K$2,DETALHADO!E:E,ESTOQUE!$C171)</f>
        <v>0</v>
      </c>
      <c r="F171" s="59">
        <f>SUMIFS(DETALHADO!G:G,DETALHADO!D:D,"&lt;="&amp;ESTOQUE!$K$3,DETALHADO!D:D,"&gt;="&amp;ESTOQUE!$K$2,DETALHADO!E:E,ESTOQUE!$C171,DETALHADO!C:C,ESTOQUE!F$6)</f>
        <v>14</v>
      </c>
      <c r="G171" s="59">
        <f>-SUMIFS(DETALHADO!G:G,DETALHADO!D:D,"&lt;="&amp;ESTOQUE!$K$3,DETALHADO!D:D,"&gt;="&amp;ESTOQUE!$K$2,DETALHADO!E:E,ESTOQUE!$C171,DETALHADO!C:C,ESTOQUE!G$6)</f>
        <v>0</v>
      </c>
      <c r="H171" s="60">
        <f t="shared" si="4"/>
        <v>14</v>
      </c>
      <c r="I171" s="71">
        <f>+H171*VLOOKUP(C171,'Cadastro Produtos (kiwkiw)'!C:F,4,0)</f>
        <v>0</v>
      </c>
      <c r="N171" s="79"/>
    </row>
    <row r="172" spans="3:14" ht="15.75" customHeight="1" x14ac:dyDescent="0.45">
      <c r="C172" s="85" t="s">
        <v>823</v>
      </c>
      <c r="D172" s="70" t="str">
        <f>VLOOKUP(C172,'Cadastro Produtos (kiwkiw)'!C:E,3,0)</f>
        <v>Meia Argola Wave Banho Ouro</v>
      </c>
      <c r="E172" s="59">
        <f>SUMIFS(DETALHADO!G:G,DETALHADO!D:D,"&lt;"&amp;ESTOQUE!$K$2,DETALHADO!E:E,ESTOQUE!$C172)</f>
        <v>0</v>
      </c>
      <c r="F172" s="59">
        <f>SUMIFS(DETALHADO!G:G,DETALHADO!D:D,"&lt;="&amp;ESTOQUE!$K$3,DETALHADO!D:D,"&gt;="&amp;ESTOQUE!$K$2,DETALHADO!E:E,ESTOQUE!$C172,DETALHADO!C:C,ESTOQUE!F$6)</f>
        <v>20</v>
      </c>
      <c r="G172" s="59">
        <f>-SUMIFS(DETALHADO!G:G,DETALHADO!D:D,"&lt;="&amp;ESTOQUE!$K$3,DETALHADO!D:D,"&gt;="&amp;ESTOQUE!$K$2,DETALHADO!E:E,ESTOQUE!$C172,DETALHADO!C:C,ESTOQUE!G$6)</f>
        <v>6</v>
      </c>
      <c r="H172" s="60">
        <f t="shared" ref="H172:H184" si="5">+E172+F172-G172</f>
        <v>14</v>
      </c>
      <c r="I172" s="71">
        <f>+H172*VLOOKUP(C172,'Cadastro Produtos (kiwkiw)'!C:F,4,0)</f>
        <v>0</v>
      </c>
      <c r="N172" s="79"/>
    </row>
    <row r="173" spans="3:14" ht="15.75" customHeight="1" x14ac:dyDescent="0.45">
      <c r="C173" s="85" t="s">
        <v>83</v>
      </c>
      <c r="D173" s="70" t="str">
        <f>VLOOKUP(C173,'Cadastro Produtos (kiwkiw)'!C:E,3,0)</f>
        <v>Mini Argola Classy Banho Ouro</v>
      </c>
      <c r="E173" s="59">
        <f>SUMIFS(DETALHADO!G:G,DETALHADO!D:D,"&lt;"&amp;ESTOQUE!$K$2,DETALHADO!E:E,ESTOQUE!$C173)</f>
        <v>0</v>
      </c>
      <c r="F173" s="59">
        <f>SUMIFS(DETALHADO!G:G,DETALHADO!D:D,"&lt;="&amp;ESTOQUE!$K$3,DETALHADO!D:D,"&gt;="&amp;ESTOQUE!$K$2,DETALHADO!E:E,ESTOQUE!$C173,DETALHADO!C:C,ESTOQUE!F$6)</f>
        <v>46</v>
      </c>
      <c r="G173" s="59">
        <f>-SUMIFS(DETALHADO!G:G,DETALHADO!D:D,"&lt;="&amp;ESTOQUE!$K$3,DETALHADO!D:D,"&gt;="&amp;ESTOQUE!$K$2,DETALHADO!E:E,ESTOQUE!$C173,DETALHADO!C:C,ESTOQUE!G$6)</f>
        <v>30</v>
      </c>
      <c r="H173" s="60">
        <f t="shared" si="5"/>
        <v>16</v>
      </c>
      <c r="I173" s="71">
        <f>+H173*VLOOKUP(C173,'Cadastro Produtos (kiwkiw)'!C:F,4,0)</f>
        <v>0</v>
      </c>
      <c r="N173" s="79"/>
    </row>
    <row r="174" spans="3:14" ht="15.75" customHeight="1" x14ac:dyDescent="0.45">
      <c r="C174" s="85" t="s">
        <v>84</v>
      </c>
      <c r="D174" s="70" t="str">
        <f>VLOOKUP(C174,'Cadastro Produtos (kiwkiw)'!C:E,3,0)</f>
        <v>Mini Argola Classy Prateada</v>
      </c>
      <c r="E174" s="59">
        <f>SUMIFS(DETALHADO!G:G,DETALHADO!D:D,"&lt;"&amp;ESTOQUE!$K$2,DETALHADO!E:E,ESTOQUE!$C174)</f>
        <v>0</v>
      </c>
      <c r="F174" s="59">
        <f>SUMIFS(DETALHADO!G:G,DETALHADO!D:D,"&lt;="&amp;ESTOQUE!$K$3,DETALHADO!D:D,"&gt;="&amp;ESTOQUE!$K$2,DETALHADO!E:E,ESTOQUE!$C174,DETALHADO!C:C,ESTOQUE!F$6)</f>
        <v>29</v>
      </c>
      <c r="G174" s="59">
        <f>-SUMIFS(DETALHADO!G:G,DETALHADO!D:D,"&lt;="&amp;ESTOQUE!$K$3,DETALHADO!D:D,"&gt;="&amp;ESTOQUE!$K$2,DETALHADO!E:E,ESTOQUE!$C174,DETALHADO!C:C,ESTOQUE!G$6)</f>
        <v>23</v>
      </c>
      <c r="H174" s="60">
        <f t="shared" si="5"/>
        <v>6</v>
      </c>
      <c r="I174" s="71">
        <f>+H174*VLOOKUP(C174,'Cadastro Produtos (kiwkiw)'!C:F,4,0)</f>
        <v>0</v>
      </c>
      <c r="N174" s="79"/>
    </row>
    <row r="175" spans="3:14" ht="15.75" customHeight="1" x14ac:dyDescent="0.45">
      <c r="C175" s="85" t="s">
        <v>1438</v>
      </c>
      <c r="D175" s="70" t="str">
        <f>VLOOKUP(C175,'Cadastro Produtos (kiwkiw)'!C:E,3,0)</f>
        <v>Piercing Fake Bold Banho Ouro</v>
      </c>
      <c r="E175" s="59">
        <f>SUMIFS(DETALHADO!G:G,DETALHADO!D:D,"&lt;"&amp;ESTOQUE!$K$2,DETALHADO!E:E,ESTOQUE!$C175)</f>
        <v>0</v>
      </c>
      <c r="F175" s="59">
        <f>SUMIFS(DETALHADO!G:G,DETALHADO!D:D,"&lt;="&amp;ESTOQUE!$K$3,DETALHADO!D:D,"&gt;="&amp;ESTOQUE!$K$2,DETALHADO!E:E,ESTOQUE!$C175,DETALHADO!C:C,ESTOQUE!F$6)</f>
        <v>14</v>
      </c>
      <c r="G175" s="59">
        <f>-SUMIFS(DETALHADO!G:G,DETALHADO!D:D,"&lt;="&amp;ESTOQUE!$K$3,DETALHADO!D:D,"&gt;="&amp;ESTOQUE!$K$2,DETALHADO!E:E,ESTOQUE!$C175,DETALHADO!C:C,ESTOQUE!G$6)</f>
        <v>0</v>
      </c>
      <c r="H175" s="60">
        <f t="shared" si="5"/>
        <v>14</v>
      </c>
      <c r="I175" s="71">
        <f>+H175*VLOOKUP(C175,'Cadastro Produtos (kiwkiw)'!C:F,4,0)</f>
        <v>0</v>
      </c>
      <c r="N175" s="79"/>
    </row>
    <row r="176" spans="3:14" ht="15.75" customHeight="1" x14ac:dyDescent="0.45">
      <c r="C176" s="85" t="s">
        <v>1436</v>
      </c>
      <c r="D176" s="70" t="str">
        <f>VLOOKUP(C176,'Cadastro Produtos (kiwkiw)'!C:E,3,0)</f>
        <v>Piercing Fake Bold Prateado</v>
      </c>
      <c r="E176" s="59">
        <f>SUMIFS(DETALHADO!G:G,DETALHADO!D:D,"&lt;"&amp;ESTOQUE!$K$2,DETALHADO!E:E,ESTOQUE!$C176)</f>
        <v>0</v>
      </c>
      <c r="F176" s="59">
        <f>SUMIFS(DETALHADO!G:G,DETALHADO!D:D,"&lt;="&amp;ESTOQUE!$K$3,DETALHADO!D:D,"&gt;="&amp;ESTOQUE!$K$2,DETALHADO!E:E,ESTOQUE!$C176,DETALHADO!C:C,ESTOQUE!F$6)</f>
        <v>9</v>
      </c>
      <c r="G176" s="59">
        <f>-SUMIFS(DETALHADO!G:G,DETALHADO!D:D,"&lt;="&amp;ESTOQUE!$K$3,DETALHADO!D:D,"&gt;="&amp;ESTOQUE!$K$2,DETALHADO!E:E,ESTOQUE!$C176,DETALHADO!C:C,ESTOQUE!G$6)</f>
        <v>0</v>
      </c>
      <c r="H176" s="60">
        <f t="shared" si="5"/>
        <v>9</v>
      </c>
      <c r="I176" s="71">
        <f>+H176*VLOOKUP(C176,'Cadastro Produtos (kiwkiw)'!C:F,4,0)</f>
        <v>0</v>
      </c>
      <c r="N176" s="79"/>
    </row>
    <row r="177" spans="3:14" ht="15.75" customHeight="1" x14ac:dyDescent="0.45">
      <c r="C177" s="85" t="s">
        <v>87</v>
      </c>
      <c r="D177" s="70" t="str">
        <f>VLOOKUP(C177,'Cadastro Produtos (kiwkiw)'!C:E,3,0)</f>
        <v>Piercing Fake Classy Banho Ouro</v>
      </c>
      <c r="E177" s="59">
        <f>SUMIFS(DETALHADO!G:G,DETALHADO!D:D,"&lt;"&amp;ESTOQUE!$K$2,DETALHADO!E:E,ESTOQUE!$C177)</f>
        <v>0</v>
      </c>
      <c r="F177" s="59">
        <f>SUMIFS(DETALHADO!G:G,DETALHADO!D:D,"&lt;="&amp;ESTOQUE!$K$3,DETALHADO!D:D,"&gt;="&amp;ESTOQUE!$K$2,DETALHADO!E:E,ESTOQUE!$C177,DETALHADO!C:C,ESTOQUE!F$6)</f>
        <v>26</v>
      </c>
      <c r="G177" s="59">
        <f>-SUMIFS(DETALHADO!G:G,DETALHADO!D:D,"&lt;="&amp;ESTOQUE!$K$3,DETALHADO!D:D,"&gt;="&amp;ESTOQUE!$K$2,DETALHADO!E:E,ESTOQUE!$C177,DETALHADO!C:C,ESTOQUE!G$6)</f>
        <v>26</v>
      </c>
      <c r="H177" s="60">
        <f t="shared" si="5"/>
        <v>0</v>
      </c>
      <c r="I177" s="71">
        <f>+H177*VLOOKUP(C177,'Cadastro Produtos (kiwkiw)'!C:F,4,0)</f>
        <v>0</v>
      </c>
      <c r="N177" s="79"/>
    </row>
    <row r="178" spans="3:14" ht="15.75" customHeight="1" x14ac:dyDescent="0.45">
      <c r="C178" s="85" t="s">
        <v>88</v>
      </c>
      <c r="D178" s="70" t="str">
        <f>VLOOKUP(C178,'Cadastro Produtos (kiwkiw)'!C:E,3,0)</f>
        <v>Piercing Fake Classy Prateado</v>
      </c>
      <c r="E178" s="59">
        <f>SUMIFS(DETALHADO!G:G,DETALHADO!D:D,"&lt;"&amp;ESTOQUE!$K$2,DETALHADO!E:E,ESTOQUE!$C178)</f>
        <v>0</v>
      </c>
      <c r="F178" s="59">
        <f>SUMIFS(DETALHADO!G:G,DETALHADO!D:D,"&lt;="&amp;ESTOQUE!$K$3,DETALHADO!D:D,"&gt;="&amp;ESTOQUE!$K$2,DETALHADO!E:E,ESTOQUE!$C178,DETALHADO!C:C,ESTOQUE!F$6)</f>
        <v>10</v>
      </c>
      <c r="G178" s="59">
        <f>-SUMIFS(DETALHADO!G:G,DETALHADO!D:D,"&lt;="&amp;ESTOQUE!$K$3,DETALHADO!D:D,"&gt;="&amp;ESTOQUE!$K$2,DETALHADO!E:E,ESTOQUE!$C178,DETALHADO!C:C,ESTOQUE!G$6)</f>
        <v>10</v>
      </c>
      <c r="H178" s="60">
        <f t="shared" si="5"/>
        <v>0</v>
      </c>
      <c r="I178" s="71">
        <f>+H178*VLOOKUP(C178,'Cadastro Produtos (kiwkiw)'!C:F,4,0)</f>
        <v>0</v>
      </c>
      <c r="N178" s="79"/>
    </row>
    <row r="179" spans="3:14" ht="15.75" customHeight="1" x14ac:dyDescent="0.45">
      <c r="C179" s="85" t="s">
        <v>1434</v>
      </c>
      <c r="D179" s="70" t="str">
        <f>VLOOKUP(C179,'Cadastro Produtos (kiwkiw)'!C:E,3,0)</f>
        <v>Piercing Fake Croissant Banho Ouro</v>
      </c>
      <c r="E179" s="59">
        <f>SUMIFS(DETALHADO!G:G,DETALHADO!D:D,"&lt;"&amp;ESTOQUE!$K$2,DETALHADO!E:E,ESTOQUE!$C179)</f>
        <v>0</v>
      </c>
      <c r="F179" s="59">
        <f>SUMIFS(DETALHADO!G:G,DETALHADO!D:D,"&lt;="&amp;ESTOQUE!$K$3,DETALHADO!D:D,"&gt;="&amp;ESTOQUE!$K$2,DETALHADO!E:E,ESTOQUE!$C179,DETALHADO!C:C,ESTOQUE!F$6)</f>
        <v>13</v>
      </c>
      <c r="G179" s="59">
        <f>-SUMIFS(DETALHADO!G:G,DETALHADO!D:D,"&lt;="&amp;ESTOQUE!$K$3,DETALHADO!D:D,"&gt;="&amp;ESTOQUE!$K$2,DETALHADO!E:E,ESTOQUE!$C179,DETALHADO!C:C,ESTOQUE!G$6)</f>
        <v>0</v>
      </c>
      <c r="H179" s="60">
        <f t="shared" si="5"/>
        <v>13</v>
      </c>
      <c r="I179" s="71">
        <f>+H179*VLOOKUP(C179,'Cadastro Produtos (kiwkiw)'!C:F,4,0)</f>
        <v>0</v>
      </c>
      <c r="N179" s="79"/>
    </row>
    <row r="180" spans="3:14" ht="15.75" customHeight="1" x14ac:dyDescent="0.45">
      <c r="C180" s="85" t="s">
        <v>85</v>
      </c>
      <c r="D180" s="70" t="str">
        <f>VLOOKUP(C180,'Cadastro Produtos (kiwkiw)'!C:E,3,0)</f>
        <v>Piercing Fake Dots Banho Ouro</v>
      </c>
      <c r="E180" s="59">
        <f>SUMIFS(DETALHADO!G:G,DETALHADO!D:D,"&lt;"&amp;ESTOQUE!$K$2,DETALHADO!E:E,ESTOQUE!$C180)</f>
        <v>0</v>
      </c>
      <c r="F180" s="59">
        <f>SUMIFS(DETALHADO!G:G,DETALHADO!D:D,"&lt;="&amp;ESTOQUE!$K$3,DETALHADO!D:D,"&gt;="&amp;ESTOQUE!$K$2,DETALHADO!E:E,ESTOQUE!$C180,DETALHADO!C:C,ESTOQUE!F$6)</f>
        <v>32</v>
      </c>
      <c r="G180" s="59">
        <f>-SUMIFS(DETALHADO!G:G,DETALHADO!D:D,"&lt;="&amp;ESTOQUE!$K$3,DETALHADO!D:D,"&gt;="&amp;ESTOQUE!$K$2,DETALHADO!E:E,ESTOQUE!$C180,DETALHADO!C:C,ESTOQUE!G$6)</f>
        <v>32</v>
      </c>
      <c r="H180" s="60">
        <f t="shared" si="5"/>
        <v>0</v>
      </c>
      <c r="I180" s="71">
        <f>+H180*VLOOKUP(C180,'Cadastro Produtos (kiwkiw)'!C:F,4,0)</f>
        <v>0</v>
      </c>
      <c r="N180" s="79"/>
    </row>
    <row r="181" spans="3:14" ht="15.75" customHeight="1" x14ac:dyDescent="0.45">
      <c r="C181" s="85" t="s">
        <v>86</v>
      </c>
      <c r="D181" s="70" t="str">
        <f>VLOOKUP(C181,'Cadastro Produtos (kiwkiw)'!C:E,3,0)</f>
        <v>Piercing Fake Minimal Banho Ouro</v>
      </c>
      <c r="E181" s="59">
        <f>SUMIFS(DETALHADO!G:G,DETALHADO!D:D,"&lt;"&amp;ESTOQUE!$K$2,DETALHADO!E:E,ESTOQUE!$C181)</f>
        <v>0</v>
      </c>
      <c r="F181" s="59">
        <f>SUMIFS(DETALHADO!G:G,DETALHADO!D:D,"&lt;="&amp;ESTOQUE!$K$3,DETALHADO!D:D,"&gt;="&amp;ESTOQUE!$K$2,DETALHADO!E:E,ESTOQUE!$C181,DETALHADO!C:C,ESTOQUE!F$6)</f>
        <v>44</v>
      </c>
      <c r="G181" s="59">
        <f>-SUMIFS(DETALHADO!G:G,DETALHADO!D:D,"&lt;="&amp;ESTOQUE!$K$3,DETALHADO!D:D,"&gt;="&amp;ESTOQUE!$K$2,DETALHADO!E:E,ESTOQUE!$C181,DETALHADO!C:C,ESTOQUE!G$6)</f>
        <v>44</v>
      </c>
      <c r="H181" s="60">
        <f t="shared" si="5"/>
        <v>0</v>
      </c>
      <c r="I181" s="71">
        <f>+H181*VLOOKUP(C181,'Cadastro Produtos (kiwkiw)'!C:F,4,0)</f>
        <v>0</v>
      </c>
      <c r="N181" s="79"/>
    </row>
    <row r="182" spans="3:14" ht="15.75" customHeight="1" x14ac:dyDescent="0.45">
      <c r="C182" s="85" t="s">
        <v>802</v>
      </c>
      <c r="D182" s="70" t="str">
        <f>VLOOKUP(C182,'Cadastro Produtos (kiwkiw)'!C:E,3,0)</f>
        <v>Piercing Fake No Banho Ouro</v>
      </c>
      <c r="E182" s="59">
        <f>SUMIFS(DETALHADO!G:G,DETALHADO!D:D,"&lt;"&amp;ESTOQUE!$K$2,DETALHADO!E:E,ESTOQUE!$C182)</f>
        <v>0</v>
      </c>
      <c r="F182" s="59">
        <f>SUMIFS(DETALHADO!G:G,DETALHADO!D:D,"&lt;="&amp;ESTOQUE!$K$3,DETALHADO!D:D,"&gt;="&amp;ESTOQUE!$K$2,DETALHADO!E:E,ESTOQUE!$C182,DETALHADO!C:C,ESTOQUE!F$6)</f>
        <v>18</v>
      </c>
      <c r="G182" s="59">
        <f>-SUMIFS(DETALHADO!G:G,DETALHADO!D:D,"&lt;="&amp;ESTOQUE!$K$3,DETALHADO!D:D,"&gt;="&amp;ESTOQUE!$K$2,DETALHADO!E:E,ESTOQUE!$C182,DETALHADO!C:C,ESTOQUE!G$6)</f>
        <v>8</v>
      </c>
      <c r="H182" s="60">
        <f t="shared" si="5"/>
        <v>10</v>
      </c>
      <c r="I182" s="71">
        <f>+H182*VLOOKUP(C182,'Cadastro Produtos (kiwkiw)'!C:F,4,0)</f>
        <v>0</v>
      </c>
      <c r="N182" s="79"/>
    </row>
    <row r="183" spans="3:14" ht="15.75" customHeight="1" x14ac:dyDescent="0.45">
      <c r="C183" s="85" t="s">
        <v>778</v>
      </c>
      <c r="D183" s="70" t="str">
        <f>VLOOKUP(C183,'Cadastro Produtos (kiwkiw)'!C:E,3,0)</f>
        <v>Piercing Fake No Prateado</v>
      </c>
      <c r="E183" s="59">
        <f>SUMIFS(DETALHADO!G:G,DETALHADO!D:D,"&lt;"&amp;ESTOQUE!$K$2,DETALHADO!E:E,ESTOQUE!$C183)</f>
        <v>0</v>
      </c>
      <c r="F183" s="59">
        <f>SUMIFS(DETALHADO!G:G,DETALHADO!D:D,"&lt;="&amp;ESTOQUE!$K$3,DETALHADO!D:D,"&gt;="&amp;ESTOQUE!$K$2,DETALHADO!E:E,ESTOQUE!$C183,DETALHADO!C:C,ESTOQUE!F$6)</f>
        <v>10</v>
      </c>
      <c r="G183" s="59">
        <f>-SUMIFS(DETALHADO!G:G,DETALHADO!D:D,"&lt;="&amp;ESTOQUE!$K$3,DETALHADO!D:D,"&gt;="&amp;ESTOQUE!$K$2,DETALHADO!E:E,ESTOQUE!$C183,DETALHADO!C:C,ESTOQUE!G$6)</f>
        <v>6</v>
      </c>
      <c r="H183" s="60">
        <f t="shared" si="5"/>
        <v>4</v>
      </c>
      <c r="I183" s="71">
        <f>+H183*VLOOKUP(C183,'Cadastro Produtos (kiwkiw)'!C:F,4,0)</f>
        <v>0</v>
      </c>
      <c r="N183" s="79"/>
    </row>
    <row r="184" spans="3:14" ht="15.75" customHeight="1" x14ac:dyDescent="0.45">
      <c r="C184" s="85" t="s">
        <v>1432</v>
      </c>
      <c r="D184" s="70" t="str">
        <f>VLOOKUP(C184,'Cadastro Produtos (kiwkiw)'!C:E,3,0)</f>
        <v>Piercing Fake Torcido Banho Ouro</v>
      </c>
      <c r="E184" s="59">
        <f>SUMIFS(DETALHADO!G:G,DETALHADO!D:D,"&lt;"&amp;ESTOQUE!$K$2,DETALHADO!E:E,ESTOQUE!$C184)</f>
        <v>0</v>
      </c>
      <c r="F184" s="59">
        <f>SUMIFS(DETALHADO!G:G,DETALHADO!D:D,"&lt;="&amp;ESTOQUE!$K$3,DETALHADO!D:D,"&gt;="&amp;ESTOQUE!$K$2,DETALHADO!E:E,ESTOQUE!$C184,DETALHADO!C:C,ESTOQUE!F$6)</f>
        <v>14</v>
      </c>
      <c r="G184" s="59">
        <f>-SUMIFS(DETALHADO!G:G,DETALHADO!D:D,"&lt;="&amp;ESTOQUE!$K$3,DETALHADO!D:D,"&gt;="&amp;ESTOQUE!$K$2,DETALHADO!E:E,ESTOQUE!$C184,DETALHADO!C:C,ESTOQUE!G$6)</f>
        <v>0</v>
      </c>
      <c r="H184" s="60">
        <f t="shared" si="5"/>
        <v>14</v>
      </c>
      <c r="I184" s="71">
        <f>+H184*VLOOKUP(C184,'Cadastro Produtos (kiwkiw)'!C:F,4,0)</f>
        <v>0</v>
      </c>
      <c r="N184" s="79"/>
    </row>
    <row r="185" spans="3:14" ht="15.75" customHeight="1" x14ac:dyDescent="0.45">
      <c r="C185" s="85" t="s">
        <v>782</v>
      </c>
      <c r="D185" s="70" t="str">
        <f>VLOOKUP(C185,'Cadastro Produtos (kiwkiw)'!C:E,3,0)</f>
        <v>Pulseira Chain Banho Ouro</v>
      </c>
      <c r="E185" s="59">
        <f>SUMIFS(DETALHADO!G:G,DETALHADO!D:D,"&lt;"&amp;ESTOQUE!$K$2,DETALHADO!E:E,ESTOQUE!$C185)</f>
        <v>0</v>
      </c>
      <c r="F185" s="59">
        <f>SUMIFS(DETALHADO!G:G,DETALHADO!D:D,"&lt;="&amp;ESTOQUE!$K$3,DETALHADO!D:D,"&gt;="&amp;ESTOQUE!$K$2,DETALHADO!E:E,ESTOQUE!$C185,DETALHADO!C:C,ESTOQUE!F$6)</f>
        <v>13</v>
      </c>
      <c r="G185" s="59">
        <f>-SUMIFS(DETALHADO!G:G,DETALHADO!D:D,"&lt;="&amp;ESTOQUE!$K$3,DETALHADO!D:D,"&gt;="&amp;ESTOQUE!$K$2,DETALHADO!E:E,ESTOQUE!$C185,DETALHADO!C:C,ESTOQUE!G$6)</f>
        <v>1</v>
      </c>
      <c r="H185" s="60">
        <f t="shared" ref="H185:H198" si="6">+E185+F185-G185</f>
        <v>12</v>
      </c>
      <c r="I185" s="71">
        <f>+H185*VLOOKUP(C185,'Cadastro Produtos (kiwkiw)'!C:F,4,0)</f>
        <v>0</v>
      </c>
      <c r="N185" s="79"/>
    </row>
    <row r="186" spans="3:14" ht="15.75" customHeight="1" x14ac:dyDescent="0.45">
      <c r="C186" s="85" t="s">
        <v>824</v>
      </c>
      <c r="D186" s="70" t="str">
        <f>VLOOKUP(C186,'Cadastro Produtos (kiwkiw)'!C:E,3,0)</f>
        <v>Pulseira Delicate Banho Ouro</v>
      </c>
      <c r="E186" s="59">
        <f>SUMIFS(DETALHADO!G:G,DETALHADO!D:D,"&lt;"&amp;ESTOQUE!$K$2,DETALHADO!E:E,ESTOQUE!$C186)</f>
        <v>0</v>
      </c>
      <c r="F186" s="59">
        <f>SUMIFS(DETALHADO!G:G,DETALHADO!D:D,"&lt;="&amp;ESTOQUE!$K$3,DETALHADO!D:D,"&gt;="&amp;ESTOQUE!$K$2,DETALHADO!E:E,ESTOQUE!$C186,DETALHADO!C:C,ESTOQUE!F$6)</f>
        <v>19</v>
      </c>
      <c r="G186" s="59">
        <f>-SUMIFS(DETALHADO!G:G,DETALHADO!D:D,"&lt;="&amp;ESTOQUE!$K$3,DETALHADO!D:D,"&gt;="&amp;ESTOQUE!$K$2,DETALHADO!E:E,ESTOQUE!$C186,DETALHADO!C:C,ESTOQUE!G$6)</f>
        <v>12</v>
      </c>
      <c r="H186" s="60">
        <f t="shared" si="6"/>
        <v>7</v>
      </c>
      <c r="I186" s="71">
        <f>+H186*VLOOKUP(C186,'Cadastro Produtos (kiwkiw)'!C:F,4,0)</f>
        <v>0</v>
      </c>
      <c r="N186" s="79"/>
    </row>
    <row r="187" spans="3:14" ht="15.75" customHeight="1" x14ac:dyDescent="0.45">
      <c r="C187" s="85" t="s">
        <v>123</v>
      </c>
      <c r="D187" s="70" t="str">
        <f>VLOOKUP(C187,'Cadastro Produtos (kiwkiw)'!C:E,3,0)</f>
        <v>Pulseira Dots Banho Ouro</v>
      </c>
      <c r="E187" s="59">
        <f>SUMIFS(DETALHADO!G:G,DETALHADO!D:D,"&lt;"&amp;ESTOQUE!$K$2,DETALHADO!E:E,ESTOQUE!$C187)</f>
        <v>0</v>
      </c>
      <c r="F187" s="59">
        <f>SUMIFS(DETALHADO!G:G,DETALHADO!D:D,"&lt;="&amp;ESTOQUE!$K$3,DETALHADO!D:D,"&gt;="&amp;ESTOQUE!$K$2,DETALHADO!E:E,ESTOQUE!$C187,DETALHADO!C:C,ESTOQUE!F$6)</f>
        <v>43</v>
      </c>
      <c r="G187" s="59">
        <f>-SUMIFS(DETALHADO!G:G,DETALHADO!D:D,"&lt;="&amp;ESTOQUE!$K$3,DETALHADO!D:D,"&gt;="&amp;ESTOQUE!$K$2,DETALHADO!E:E,ESTOQUE!$C187,DETALHADO!C:C,ESTOQUE!G$6)</f>
        <v>25</v>
      </c>
      <c r="H187" s="60">
        <f t="shared" si="6"/>
        <v>18</v>
      </c>
      <c r="I187" s="71">
        <f>+H187*VLOOKUP(C187,'Cadastro Produtos (kiwkiw)'!C:F,4,0)</f>
        <v>0</v>
      </c>
      <c r="N187" s="79"/>
    </row>
    <row r="188" spans="3:14" ht="15.75" customHeight="1" x14ac:dyDescent="0.45">
      <c r="C188" s="85" t="s">
        <v>825</v>
      </c>
      <c r="D188" s="70" t="str">
        <f>VLOOKUP(C188,'Cadastro Produtos (kiwkiw)'!C:E,3,0)</f>
        <v>Pulseira Fita 2mm Banho Ouro</v>
      </c>
      <c r="E188" s="59">
        <f>SUMIFS(DETALHADO!G:G,DETALHADO!D:D,"&lt;"&amp;ESTOQUE!$K$2,DETALHADO!E:E,ESTOQUE!$C188)</f>
        <v>0</v>
      </c>
      <c r="F188" s="59">
        <f>SUMIFS(DETALHADO!G:G,DETALHADO!D:D,"&lt;="&amp;ESTOQUE!$K$3,DETALHADO!D:D,"&gt;="&amp;ESTOQUE!$K$2,DETALHADO!E:E,ESTOQUE!$C188,DETALHADO!C:C,ESTOQUE!F$6)</f>
        <v>19</v>
      </c>
      <c r="G188" s="59">
        <f>-SUMIFS(DETALHADO!G:G,DETALHADO!D:D,"&lt;="&amp;ESTOQUE!$K$3,DETALHADO!D:D,"&gt;="&amp;ESTOQUE!$K$2,DETALHADO!E:E,ESTOQUE!$C188,DETALHADO!C:C,ESTOQUE!G$6)</f>
        <v>5</v>
      </c>
      <c r="H188" s="60">
        <f t="shared" si="6"/>
        <v>14</v>
      </c>
      <c r="I188" s="71">
        <f>+H188*VLOOKUP(C188,'Cadastro Produtos (kiwkiw)'!C:F,4,0)</f>
        <v>0</v>
      </c>
      <c r="N188" s="79"/>
    </row>
    <row r="189" spans="3:14" ht="15.75" customHeight="1" x14ac:dyDescent="0.45">
      <c r="C189" s="85" t="s">
        <v>803</v>
      </c>
      <c r="D189" s="70" t="str">
        <f>VLOOKUP(C189,'Cadastro Produtos (kiwkiw)'!C:E,3,0)</f>
        <v>Pulseira Fita 3mm Banho Ouro</v>
      </c>
      <c r="E189" s="59">
        <f>SUMIFS(DETALHADO!G:G,DETALHADO!D:D,"&lt;"&amp;ESTOQUE!$K$2,DETALHADO!E:E,ESTOQUE!$C189)</f>
        <v>0</v>
      </c>
      <c r="F189" s="59">
        <f>SUMIFS(DETALHADO!G:G,DETALHADO!D:D,"&lt;="&amp;ESTOQUE!$K$3,DETALHADO!D:D,"&gt;="&amp;ESTOQUE!$K$2,DETALHADO!E:E,ESTOQUE!$C189,DETALHADO!C:C,ESTOQUE!F$6)</f>
        <v>18</v>
      </c>
      <c r="G189" s="59">
        <f>-SUMIFS(DETALHADO!G:G,DETALHADO!D:D,"&lt;="&amp;ESTOQUE!$K$3,DETALHADO!D:D,"&gt;="&amp;ESTOQUE!$K$2,DETALHADO!E:E,ESTOQUE!$C189,DETALHADO!C:C,ESTOQUE!G$6)</f>
        <v>1</v>
      </c>
      <c r="H189" s="60">
        <f t="shared" si="6"/>
        <v>17</v>
      </c>
      <c r="I189" s="71">
        <f>+H189*VLOOKUP(C189,'Cadastro Produtos (kiwkiw)'!C:F,4,0)</f>
        <v>0</v>
      </c>
      <c r="N189" s="79"/>
    </row>
    <row r="190" spans="3:14" ht="15.75" customHeight="1" x14ac:dyDescent="0.45">
      <c r="C190" s="85" t="s">
        <v>779</v>
      </c>
      <c r="D190" s="70" t="str">
        <f>VLOOKUP(C190,'Cadastro Produtos (kiwkiw)'!C:E,3,0)</f>
        <v>Pulseira Fita 3mm Prateada</v>
      </c>
      <c r="E190" s="59">
        <f>SUMIFS(DETALHADO!G:G,DETALHADO!D:D,"&lt;"&amp;ESTOQUE!$K$2,DETALHADO!E:E,ESTOQUE!$C190)</f>
        <v>0</v>
      </c>
      <c r="F190" s="59">
        <f>SUMIFS(DETALHADO!G:G,DETALHADO!D:D,"&lt;="&amp;ESTOQUE!$K$3,DETALHADO!D:D,"&gt;="&amp;ESTOQUE!$K$2,DETALHADO!E:E,ESTOQUE!$C190,DETALHADO!C:C,ESTOQUE!F$6)</f>
        <v>10</v>
      </c>
      <c r="G190" s="59">
        <f>-SUMIFS(DETALHADO!G:G,DETALHADO!D:D,"&lt;="&amp;ESTOQUE!$K$3,DETALHADO!D:D,"&gt;="&amp;ESTOQUE!$K$2,DETALHADO!E:E,ESTOQUE!$C190,DETALHADO!C:C,ESTOQUE!G$6)</f>
        <v>0</v>
      </c>
      <c r="H190" s="60">
        <f t="shared" si="6"/>
        <v>10</v>
      </c>
      <c r="I190" s="71">
        <f>+H190*VLOOKUP(C190,'Cadastro Produtos (kiwkiw)'!C:F,4,0)</f>
        <v>0</v>
      </c>
      <c r="N190" s="79"/>
    </row>
    <row r="191" spans="3:14" ht="15.75" customHeight="1" x14ac:dyDescent="0.45">
      <c r="C191" s="85" t="s">
        <v>124</v>
      </c>
      <c r="D191" s="70" t="str">
        <f>VLOOKUP(C191,'Cadastro Produtos (kiwkiw)'!C:E,3,0)</f>
        <v>Pulseira Fita Textura Banho Ouro</v>
      </c>
      <c r="E191" s="59">
        <f>SUMIFS(DETALHADO!G:G,DETALHADO!D:D,"&lt;"&amp;ESTOQUE!$K$2,DETALHADO!E:E,ESTOQUE!$C191)</f>
        <v>0</v>
      </c>
      <c r="F191" s="59">
        <f>SUMIFS(DETALHADO!G:G,DETALHADO!D:D,"&lt;="&amp;ESTOQUE!$K$3,DETALHADO!D:D,"&gt;="&amp;ESTOQUE!$K$2,DETALHADO!E:E,ESTOQUE!$C191,DETALHADO!C:C,ESTOQUE!F$6)</f>
        <v>32</v>
      </c>
      <c r="G191" s="59">
        <f>-SUMIFS(DETALHADO!G:G,DETALHADO!D:D,"&lt;="&amp;ESTOQUE!$K$3,DETALHADO!D:D,"&gt;="&amp;ESTOQUE!$K$2,DETALHADO!E:E,ESTOQUE!$C191,DETALHADO!C:C,ESTOQUE!G$6)</f>
        <v>32</v>
      </c>
      <c r="H191" s="60">
        <f t="shared" si="6"/>
        <v>0</v>
      </c>
      <c r="I191" s="71">
        <f>+H191*VLOOKUP(C191,'Cadastro Produtos (kiwkiw)'!C:F,4,0)</f>
        <v>0</v>
      </c>
      <c r="N191" s="79"/>
    </row>
    <row r="192" spans="3:14" ht="15.75" customHeight="1" x14ac:dyDescent="0.45">
      <c r="C192" s="85" t="s">
        <v>125</v>
      </c>
      <c r="D192" s="70" t="str">
        <f>VLOOKUP(C192,'Cadastro Produtos (kiwkiw)'!C:E,3,0)</f>
        <v>Pulseira Groumet Banho Ouro</v>
      </c>
      <c r="E192" s="59">
        <f>SUMIFS(DETALHADO!G:G,DETALHADO!D:D,"&lt;"&amp;ESTOQUE!$K$2,DETALHADO!E:E,ESTOQUE!$C192)</f>
        <v>0</v>
      </c>
      <c r="F192" s="59">
        <f>SUMIFS(DETALHADO!G:G,DETALHADO!D:D,"&lt;="&amp;ESTOQUE!$K$3,DETALHADO!D:D,"&gt;="&amp;ESTOQUE!$K$2,DETALHADO!E:E,ESTOQUE!$C192,DETALHADO!C:C,ESTOQUE!F$6)</f>
        <v>9</v>
      </c>
      <c r="G192" s="59">
        <f>-SUMIFS(DETALHADO!G:G,DETALHADO!D:D,"&lt;="&amp;ESTOQUE!$K$3,DETALHADO!D:D,"&gt;="&amp;ESTOQUE!$K$2,DETALHADO!E:E,ESTOQUE!$C192,DETALHADO!C:C,ESTOQUE!G$6)</f>
        <v>9</v>
      </c>
      <c r="H192" s="60">
        <f t="shared" si="6"/>
        <v>0</v>
      </c>
      <c r="I192" s="71">
        <f>+H192*VLOOKUP(C192,'Cadastro Produtos (kiwkiw)'!C:F,4,0)</f>
        <v>0</v>
      </c>
      <c r="N192" s="79"/>
    </row>
    <row r="193" spans="3:14" ht="15.75" customHeight="1" x14ac:dyDescent="0.45">
      <c r="C193" s="85" t="s">
        <v>126</v>
      </c>
      <c r="D193" s="70" t="str">
        <f>VLOOKUP(C193,'Cadastro Produtos (kiwkiw)'!C:E,3,0)</f>
        <v>Pulseira Groumet Prateada</v>
      </c>
      <c r="E193" s="59">
        <f>SUMIFS(DETALHADO!G:G,DETALHADO!D:D,"&lt;"&amp;ESTOQUE!$K$2,DETALHADO!E:E,ESTOQUE!$C193)</f>
        <v>0</v>
      </c>
      <c r="F193" s="59">
        <f>SUMIFS(DETALHADO!G:G,DETALHADO!D:D,"&lt;="&amp;ESTOQUE!$K$3,DETALHADO!D:D,"&gt;="&amp;ESTOQUE!$K$2,DETALHADO!E:E,ESTOQUE!$C193,DETALHADO!C:C,ESTOQUE!F$6)</f>
        <v>8</v>
      </c>
      <c r="G193" s="59">
        <f>-SUMIFS(DETALHADO!G:G,DETALHADO!D:D,"&lt;="&amp;ESTOQUE!$K$3,DETALHADO!D:D,"&gt;="&amp;ESTOQUE!$K$2,DETALHADO!E:E,ESTOQUE!$C193,DETALHADO!C:C,ESTOQUE!G$6)</f>
        <v>8</v>
      </c>
      <c r="H193" s="60">
        <f t="shared" si="6"/>
        <v>0</v>
      </c>
      <c r="I193" s="71">
        <f>+H193*VLOOKUP(C193,'Cadastro Produtos (kiwkiw)'!C:F,4,0)</f>
        <v>0</v>
      </c>
      <c r="N193" s="79"/>
    </row>
    <row r="194" spans="3:14" ht="15.75" customHeight="1" x14ac:dyDescent="0.45">
      <c r="C194" s="85" t="s">
        <v>127</v>
      </c>
      <c r="D194" s="70" t="str">
        <f>VLOOKUP(C194,'Cadastro Produtos (kiwkiw)'!C:E,3,0)</f>
        <v>Pulseira Minimal Banho Ouro</v>
      </c>
      <c r="E194" s="59">
        <f>SUMIFS(DETALHADO!G:G,DETALHADO!D:D,"&lt;"&amp;ESTOQUE!$K$2,DETALHADO!E:E,ESTOQUE!$C194)</f>
        <v>0</v>
      </c>
      <c r="F194" s="59">
        <f>SUMIFS(DETALHADO!G:G,DETALHADO!D:D,"&lt;="&amp;ESTOQUE!$K$3,DETALHADO!D:D,"&gt;="&amp;ESTOQUE!$K$2,DETALHADO!E:E,ESTOQUE!$C194,DETALHADO!C:C,ESTOQUE!F$6)</f>
        <v>44</v>
      </c>
      <c r="G194" s="59">
        <f>-SUMIFS(DETALHADO!G:G,DETALHADO!D:D,"&lt;="&amp;ESTOQUE!$K$3,DETALHADO!D:D,"&gt;="&amp;ESTOQUE!$K$2,DETALHADO!E:E,ESTOQUE!$C194,DETALHADO!C:C,ESTOQUE!G$6)</f>
        <v>44</v>
      </c>
      <c r="H194" s="60">
        <f t="shared" si="6"/>
        <v>0</v>
      </c>
      <c r="I194" s="71">
        <f>+H194*VLOOKUP(C194,'Cadastro Produtos (kiwkiw)'!C:F,4,0)</f>
        <v>0</v>
      </c>
      <c r="N194" s="79"/>
    </row>
    <row r="195" spans="3:14" ht="15.75" customHeight="1" x14ac:dyDescent="0.45">
      <c r="C195" s="85" t="s">
        <v>128</v>
      </c>
      <c r="D195" s="70" t="str">
        <f>VLOOKUP(C195,'Cadastro Produtos (kiwkiw)'!C:E,3,0)</f>
        <v>Pulseira Minimal Prateada</v>
      </c>
      <c r="E195" s="59">
        <f>SUMIFS(DETALHADO!G:G,DETALHADO!D:D,"&lt;"&amp;ESTOQUE!$K$2,DETALHADO!E:E,ESTOQUE!$C195)</f>
        <v>0</v>
      </c>
      <c r="F195" s="59">
        <f>SUMIFS(DETALHADO!G:G,DETALHADO!D:D,"&lt;="&amp;ESTOQUE!$K$3,DETALHADO!D:D,"&gt;="&amp;ESTOQUE!$K$2,DETALHADO!E:E,ESTOQUE!$C195,DETALHADO!C:C,ESTOQUE!F$6)</f>
        <v>22</v>
      </c>
      <c r="G195" s="59">
        <f>-SUMIFS(DETALHADO!G:G,DETALHADO!D:D,"&lt;="&amp;ESTOQUE!$K$3,DETALHADO!D:D,"&gt;="&amp;ESTOQUE!$K$2,DETALHADO!E:E,ESTOQUE!$C195,DETALHADO!C:C,ESTOQUE!G$6)</f>
        <v>22</v>
      </c>
      <c r="H195" s="60">
        <f t="shared" si="6"/>
        <v>0</v>
      </c>
      <c r="I195" s="71">
        <f>+H195*VLOOKUP(C195,'Cadastro Produtos (kiwkiw)'!C:F,4,0)</f>
        <v>0</v>
      </c>
      <c r="N195" s="79"/>
    </row>
    <row r="196" spans="3:14" ht="15.75" customHeight="1" x14ac:dyDescent="0.45">
      <c r="C196" s="85" t="s">
        <v>129</v>
      </c>
      <c r="D196" s="70" t="str">
        <f>VLOOKUP(C196,'Cadastro Produtos (kiwkiw)'!C:E,3,0)</f>
        <v>Pulseira Snake Banho Ouro</v>
      </c>
      <c r="E196" s="59">
        <f>SUMIFS(DETALHADO!G:G,DETALHADO!D:D,"&lt;"&amp;ESTOQUE!$K$2,DETALHADO!E:E,ESTOQUE!$C196)</f>
        <v>0</v>
      </c>
      <c r="F196" s="59">
        <f>SUMIFS(DETALHADO!G:G,DETALHADO!D:D,"&lt;="&amp;ESTOQUE!$K$3,DETALHADO!D:D,"&gt;="&amp;ESTOQUE!$K$2,DETALHADO!E:E,ESTOQUE!$C196,DETALHADO!C:C,ESTOQUE!F$6)</f>
        <v>56</v>
      </c>
      <c r="G196" s="59">
        <f>-SUMIFS(DETALHADO!G:G,DETALHADO!D:D,"&lt;="&amp;ESTOQUE!$K$3,DETALHADO!D:D,"&gt;="&amp;ESTOQUE!$K$2,DETALHADO!E:E,ESTOQUE!$C196,DETALHADO!C:C,ESTOQUE!G$6)</f>
        <v>38</v>
      </c>
      <c r="H196" s="60">
        <f t="shared" si="6"/>
        <v>18</v>
      </c>
      <c r="I196" s="71">
        <f>+H196*VLOOKUP(C196,'Cadastro Produtos (kiwkiw)'!C:F,4,0)</f>
        <v>0</v>
      </c>
      <c r="N196" s="79"/>
    </row>
    <row r="197" spans="3:14" ht="15.75" customHeight="1" x14ac:dyDescent="0.45">
      <c r="C197" s="85" t="s">
        <v>130</v>
      </c>
      <c r="D197" s="70" t="str">
        <f>VLOOKUP(C197,'Cadastro Produtos (kiwkiw)'!C:E,3,0)</f>
        <v>Pulseira Snake Prateada</v>
      </c>
      <c r="E197" s="59">
        <f>SUMIFS(DETALHADO!G:G,DETALHADO!D:D,"&lt;"&amp;ESTOQUE!$K$2,DETALHADO!E:E,ESTOQUE!$C197)</f>
        <v>0</v>
      </c>
      <c r="F197" s="59">
        <f>SUMIFS(DETALHADO!G:G,DETALHADO!D:D,"&lt;="&amp;ESTOQUE!$K$3,DETALHADO!D:D,"&gt;="&amp;ESTOQUE!$K$2,DETALHADO!E:E,ESTOQUE!$C197,DETALHADO!C:C,ESTOQUE!F$6)</f>
        <v>51</v>
      </c>
      <c r="G197" s="59">
        <f>-SUMIFS(DETALHADO!G:G,DETALHADO!D:D,"&lt;="&amp;ESTOQUE!$K$3,DETALHADO!D:D,"&gt;="&amp;ESTOQUE!$K$2,DETALHADO!E:E,ESTOQUE!$C197,DETALHADO!C:C,ESTOQUE!G$6)</f>
        <v>34</v>
      </c>
      <c r="H197" s="60">
        <f t="shared" si="6"/>
        <v>17</v>
      </c>
      <c r="I197" s="71">
        <f>+H197*VLOOKUP(C197,'Cadastro Produtos (kiwkiw)'!C:F,4,0)</f>
        <v>0</v>
      </c>
      <c r="N197" s="79"/>
    </row>
    <row r="198" spans="3:14" ht="15.75" customHeight="1" x14ac:dyDescent="0.45">
      <c r="C198" s="85" t="s">
        <v>826</v>
      </c>
      <c r="D198" s="70" t="str">
        <f>VLOOKUP(C198,'Cadastro Produtos (kiwkiw)'!C:E,3,0)</f>
        <v>Pulseira Torcida Banho Ouro</v>
      </c>
      <c r="E198" s="59">
        <f>SUMIFS(DETALHADO!G:G,DETALHADO!D:D,"&lt;"&amp;ESTOQUE!$K$2,DETALHADO!E:E,ESTOQUE!$C198)</f>
        <v>0</v>
      </c>
      <c r="F198" s="59">
        <f>SUMIFS(DETALHADO!G:G,DETALHADO!D:D,"&lt;="&amp;ESTOQUE!$K$3,DETALHADO!D:D,"&gt;="&amp;ESTOQUE!$K$2,DETALHADO!E:E,ESTOQUE!$C198,DETALHADO!C:C,ESTOQUE!F$6)</f>
        <v>19</v>
      </c>
      <c r="G198" s="59">
        <f>-SUMIFS(DETALHADO!G:G,DETALHADO!D:D,"&lt;="&amp;ESTOQUE!$K$3,DETALHADO!D:D,"&gt;="&amp;ESTOQUE!$K$2,DETALHADO!E:E,ESTOQUE!$C198,DETALHADO!C:C,ESTOQUE!G$6)</f>
        <v>9</v>
      </c>
      <c r="H198" s="60">
        <f t="shared" si="6"/>
        <v>10</v>
      </c>
      <c r="I198" s="71">
        <f>+H198*VLOOKUP(C198,'Cadastro Produtos (kiwkiw)'!C:F,4,0)</f>
        <v>0</v>
      </c>
      <c r="N198" s="79"/>
    </row>
    <row r="199" spans="3:14" ht="15.75" customHeight="1" x14ac:dyDescent="0.45">
      <c r="H199" s="62"/>
      <c r="N199" s="79"/>
    </row>
    <row r="200" spans="3:14" ht="15.75" customHeight="1" x14ac:dyDescent="0.45">
      <c r="H200" s="62"/>
      <c r="N200" s="79"/>
    </row>
    <row r="201" spans="3:14" ht="15.75" customHeight="1" x14ac:dyDescent="0.45">
      <c r="H201" s="62"/>
      <c r="N201" s="79"/>
    </row>
    <row r="202" spans="3:14" ht="15.75" customHeight="1" x14ac:dyDescent="0.45">
      <c r="H202" s="62"/>
      <c r="N202" s="79"/>
    </row>
    <row r="203" spans="3:14" ht="15.75" customHeight="1" x14ac:dyDescent="0.45">
      <c r="H203" s="62"/>
      <c r="N203" s="79"/>
    </row>
    <row r="204" spans="3:14" ht="15.75" customHeight="1" x14ac:dyDescent="0.45">
      <c r="H204" s="62"/>
      <c r="N204" s="79"/>
    </row>
    <row r="205" spans="3:14" ht="15.75" customHeight="1" x14ac:dyDescent="0.45">
      <c r="H205" s="62"/>
      <c r="N205" s="79"/>
    </row>
    <row r="206" spans="3:14" ht="15.75" customHeight="1" x14ac:dyDescent="0.45">
      <c r="H206" s="62"/>
      <c r="N206" s="79"/>
    </row>
    <row r="207" spans="3:14" ht="15.75" customHeight="1" x14ac:dyDescent="0.45">
      <c r="H207" s="62"/>
      <c r="N207" s="79"/>
    </row>
    <row r="208" spans="3:14" ht="15.75" customHeight="1" x14ac:dyDescent="0.45">
      <c r="H208" s="62"/>
      <c r="N208" s="79"/>
    </row>
    <row r="209" spans="8:14" ht="15.75" customHeight="1" x14ac:dyDescent="0.45">
      <c r="H209" s="62"/>
      <c r="N209" s="79"/>
    </row>
    <row r="210" spans="8:14" ht="15.75" customHeight="1" x14ac:dyDescent="0.45">
      <c r="H210" s="62"/>
      <c r="N210" s="79"/>
    </row>
    <row r="211" spans="8:14" ht="15.75" customHeight="1" x14ac:dyDescent="0.45">
      <c r="H211" s="62"/>
      <c r="N211" s="79"/>
    </row>
    <row r="212" spans="8:14" ht="15.75" customHeight="1" x14ac:dyDescent="0.45">
      <c r="H212" s="62"/>
      <c r="N212" s="79"/>
    </row>
    <row r="213" spans="8:14" ht="15.75" customHeight="1" x14ac:dyDescent="0.45">
      <c r="H213" s="62"/>
      <c r="N213" s="79"/>
    </row>
    <row r="214" spans="8:14" ht="15.75" customHeight="1" x14ac:dyDescent="0.45">
      <c r="H214" s="62"/>
      <c r="N214" s="79"/>
    </row>
    <row r="215" spans="8:14" ht="15.75" customHeight="1" x14ac:dyDescent="0.45">
      <c r="H215" s="62"/>
      <c r="N215" s="79"/>
    </row>
    <row r="216" spans="8:14" ht="15.75" customHeight="1" x14ac:dyDescent="0.45">
      <c r="H216" s="62"/>
      <c r="N216" s="79"/>
    </row>
    <row r="217" spans="8:14" ht="15.75" customHeight="1" x14ac:dyDescent="0.45">
      <c r="H217" s="62"/>
      <c r="N217" s="79"/>
    </row>
    <row r="218" spans="8:14" ht="15.75" customHeight="1" x14ac:dyDescent="0.45">
      <c r="H218" s="62"/>
      <c r="N218" s="79"/>
    </row>
    <row r="219" spans="8:14" ht="15.75" customHeight="1" x14ac:dyDescent="0.45">
      <c r="H219" s="62"/>
      <c r="N219" s="79"/>
    </row>
    <row r="220" spans="8:14" ht="15.75" customHeight="1" x14ac:dyDescent="0.45">
      <c r="H220" s="62"/>
      <c r="N220" s="79"/>
    </row>
    <row r="221" spans="8:14" ht="15.75" customHeight="1" x14ac:dyDescent="0.45">
      <c r="H221" s="62"/>
      <c r="N221" s="79"/>
    </row>
    <row r="222" spans="8:14" ht="15.75" customHeight="1" x14ac:dyDescent="0.45">
      <c r="H222" s="62"/>
      <c r="N222" s="79"/>
    </row>
    <row r="223" spans="8:14" ht="15.75" customHeight="1" x14ac:dyDescent="0.45">
      <c r="H223" s="62"/>
      <c r="N223" s="79"/>
    </row>
    <row r="224" spans="8:14" ht="15.75" customHeight="1" x14ac:dyDescent="0.45">
      <c r="H224" s="62"/>
      <c r="N224" s="79"/>
    </row>
    <row r="225" spans="8:14" ht="15.75" customHeight="1" x14ac:dyDescent="0.45">
      <c r="H225" s="62"/>
      <c r="N225" s="79"/>
    </row>
    <row r="226" spans="8:14" ht="15.75" customHeight="1" x14ac:dyDescent="0.45">
      <c r="H226" s="62"/>
      <c r="N226" s="79"/>
    </row>
    <row r="227" spans="8:14" ht="15.75" customHeight="1" x14ac:dyDescent="0.45">
      <c r="H227" s="62"/>
      <c r="N227" s="79"/>
    </row>
    <row r="228" spans="8:14" ht="15.75" customHeight="1" x14ac:dyDescent="0.45">
      <c r="H228" s="62"/>
      <c r="N228" s="79"/>
    </row>
    <row r="229" spans="8:14" ht="15.75" customHeight="1" x14ac:dyDescent="0.45">
      <c r="H229" s="62"/>
      <c r="N229" s="79"/>
    </row>
    <row r="230" spans="8:14" ht="15.75" customHeight="1" x14ac:dyDescent="0.45">
      <c r="H230" s="62"/>
      <c r="N230" s="79"/>
    </row>
    <row r="231" spans="8:14" ht="15.75" customHeight="1" x14ac:dyDescent="0.45">
      <c r="H231" s="62"/>
      <c r="N231" s="79"/>
    </row>
    <row r="232" spans="8:14" ht="15.75" customHeight="1" x14ac:dyDescent="0.45">
      <c r="H232" s="62"/>
      <c r="N232" s="79"/>
    </row>
    <row r="233" spans="8:14" ht="15.75" customHeight="1" x14ac:dyDescent="0.45">
      <c r="H233" s="62"/>
      <c r="N233" s="79"/>
    </row>
    <row r="234" spans="8:14" ht="15.75" customHeight="1" x14ac:dyDescent="0.45">
      <c r="H234" s="62"/>
      <c r="N234" s="79"/>
    </row>
    <row r="235" spans="8:14" ht="15.75" customHeight="1" x14ac:dyDescent="0.45">
      <c r="H235" s="62"/>
      <c r="N235" s="79"/>
    </row>
    <row r="236" spans="8:14" ht="15.75" customHeight="1" x14ac:dyDescent="0.45">
      <c r="H236" s="62"/>
      <c r="N236" s="79"/>
    </row>
    <row r="237" spans="8:14" ht="15.75" customHeight="1" x14ac:dyDescent="0.45">
      <c r="H237" s="62"/>
      <c r="N237" s="79"/>
    </row>
    <row r="238" spans="8:14" ht="15.75" customHeight="1" x14ac:dyDescent="0.45">
      <c r="H238" s="62"/>
      <c r="N238" s="79"/>
    </row>
    <row r="239" spans="8:14" ht="15.75" customHeight="1" x14ac:dyDescent="0.45">
      <c r="H239" s="62"/>
      <c r="N239" s="79"/>
    </row>
    <row r="240" spans="8:14" ht="15.75" customHeight="1" x14ac:dyDescent="0.45">
      <c r="H240" s="62"/>
      <c r="N240" s="79"/>
    </row>
    <row r="241" spans="8:14" ht="15.75" customHeight="1" x14ac:dyDescent="0.45">
      <c r="H241" s="62"/>
      <c r="N241" s="79"/>
    </row>
    <row r="242" spans="8:14" ht="15.75" customHeight="1" x14ac:dyDescent="0.45">
      <c r="H242" s="62"/>
      <c r="N242" s="79"/>
    </row>
    <row r="243" spans="8:14" ht="15.75" customHeight="1" x14ac:dyDescent="0.45">
      <c r="H243" s="62"/>
      <c r="N243" s="79"/>
    </row>
    <row r="244" spans="8:14" ht="15.75" customHeight="1" x14ac:dyDescent="0.45">
      <c r="H244" s="62"/>
      <c r="N244" s="79"/>
    </row>
    <row r="245" spans="8:14" ht="15.75" customHeight="1" x14ac:dyDescent="0.45">
      <c r="H245" s="62"/>
      <c r="N245" s="79"/>
    </row>
    <row r="246" spans="8:14" ht="15.75" customHeight="1" x14ac:dyDescent="0.45">
      <c r="H246" s="62"/>
      <c r="N246" s="79"/>
    </row>
    <row r="247" spans="8:14" ht="15.75" customHeight="1" x14ac:dyDescent="0.45">
      <c r="H247" s="62"/>
      <c r="N247" s="79"/>
    </row>
    <row r="248" spans="8:14" ht="15.75" customHeight="1" x14ac:dyDescent="0.45">
      <c r="H248" s="62"/>
      <c r="N248" s="79"/>
    </row>
    <row r="249" spans="8:14" ht="15.75" customHeight="1" x14ac:dyDescent="0.45">
      <c r="H249" s="62"/>
      <c r="N249" s="79"/>
    </row>
    <row r="250" spans="8:14" ht="15.75" customHeight="1" x14ac:dyDescent="0.45">
      <c r="H250" s="62"/>
      <c r="N250" s="79"/>
    </row>
    <row r="251" spans="8:14" ht="15.75" customHeight="1" x14ac:dyDescent="0.45">
      <c r="H251" s="62"/>
      <c r="N251" s="79"/>
    </row>
    <row r="252" spans="8:14" ht="15.75" customHeight="1" x14ac:dyDescent="0.45">
      <c r="H252" s="62"/>
      <c r="N252" s="79"/>
    </row>
    <row r="253" spans="8:14" ht="15.75" customHeight="1" x14ac:dyDescent="0.45">
      <c r="H253" s="62"/>
      <c r="N253" s="79"/>
    </row>
    <row r="254" spans="8:14" ht="15.75" customHeight="1" x14ac:dyDescent="0.45">
      <c r="H254" s="62"/>
      <c r="N254" s="79"/>
    </row>
    <row r="255" spans="8:14" ht="15.75" customHeight="1" x14ac:dyDescent="0.45">
      <c r="H255" s="62"/>
      <c r="N255" s="79"/>
    </row>
    <row r="256" spans="8:14" ht="15.75" customHeight="1" x14ac:dyDescent="0.45">
      <c r="H256" s="62"/>
      <c r="N256" s="79"/>
    </row>
    <row r="257" spans="8:14" ht="15.75" customHeight="1" x14ac:dyDescent="0.45">
      <c r="H257" s="62"/>
      <c r="N257" s="79"/>
    </row>
    <row r="258" spans="8:14" ht="15.75" customHeight="1" x14ac:dyDescent="0.45">
      <c r="H258" s="62"/>
      <c r="N258" s="79"/>
    </row>
    <row r="259" spans="8:14" ht="15.75" customHeight="1" x14ac:dyDescent="0.45">
      <c r="H259" s="62"/>
      <c r="N259" s="79"/>
    </row>
    <row r="260" spans="8:14" ht="15.75" customHeight="1" x14ac:dyDescent="0.45">
      <c r="H260" s="62"/>
      <c r="N260" s="79"/>
    </row>
    <row r="261" spans="8:14" ht="15.75" customHeight="1" x14ac:dyDescent="0.45">
      <c r="H261" s="62"/>
      <c r="N261" s="79"/>
    </row>
    <row r="262" spans="8:14" ht="15.75" customHeight="1" x14ac:dyDescent="0.45">
      <c r="H262" s="62"/>
      <c r="N262" s="79"/>
    </row>
    <row r="263" spans="8:14" ht="15.75" customHeight="1" x14ac:dyDescent="0.45">
      <c r="H263" s="62"/>
      <c r="N263" s="79"/>
    </row>
    <row r="264" spans="8:14" ht="15.75" customHeight="1" x14ac:dyDescent="0.45">
      <c r="H264" s="62"/>
      <c r="N264" s="79"/>
    </row>
    <row r="265" spans="8:14" ht="15.75" customHeight="1" x14ac:dyDescent="0.45">
      <c r="H265" s="62"/>
      <c r="N265" s="79"/>
    </row>
    <row r="266" spans="8:14" ht="15.75" customHeight="1" x14ac:dyDescent="0.45">
      <c r="H266" s="62"/>
      <c r="N266" s="79"/>
    </row>
    <row r="267" spans="8:14" ht="15.75" customHeight="1" x14ac:dyDescent="0.45">
      <c r="H267" s="62"/>
      <c r="N267" s="79"/>
    </row>
    <row r="268" spans="8:14" ht="15.75" customHeight="1" x14ac:dyDescent="0.45">
      <c r="H268" s="62"/>
      <c r="N268" s="79"/>
    </row>
    <row r="269" spans="8:14" ht="15.75" customHeight="1" x14ac:dyDescent="0.45">
      <c r="H269" s="62"/>
      <c r="N269" s="79"/>
    </row>
    <row r="270" spans="8:14" ht="15.75" customHeight="1" x14ac:dyDescent="0.45">
      <c r="H270" s="62"/>
      <c r="N270" s="79"/>
    </row>
    <row r="271" spans="8:14" ht="15.75" customHeight="1" x14ac:dyDescent="0.45">
      <c r="H271" s="62"/>
      <c r="N271" s="79"/>
    </row>
    <row r="272" spans="8:14" ht="15.75" customHeight="1" x14ac:dyDescent="0.45">
      <c r="H272" s="62"/>
      <c r="N272" s="79"/>
    </row>
    <row r="273" spans="8:14" ht="15.75" customHeight="1" x14ac:dyDescent="0.45">
      <c r="H273" s="62"/>
      <c r="N273" s="79"/>
    </row>
    <row r="274" spans="8:14" ht="15.75" customHeight="1" x14ac:dyDescent="0.45">
      <c r="H274" s="62"/>
      <c r="N274" s="79"/>
    </row>
    <row r="275" spans="8:14" ht="15.75" customHeight="1" x14ac:dyDescent="0.45">
      <c r="H275" s="62"/>
      <c r="N275" s="79"/>
    </row>
    <row r="276" spans="8:14" ht="15.75" customHeight="1" x14ac:dyDescent="0.45">
      <c r="H276" s="62"/>
      <c r="N276" s="79"/>
    </row>
    <row r="277" spans="8:14" ht="15.75" customHeight="1" x14ac:dyDescent="0.45">
      <c r="H277" s="62"/>
      <c r="N277" s="79"/>
    </row>
    <row r="278" spans="8:14" ht="15.75" customHeight="1" x14ac:dyDescent="0.45">
      <c r="H278" s="62"/>
      <c r="N278" s="79"/>
    </row>
    <row r="279" spans="8:14" ht="15.75" customHeight="1" x14ac:dyDescent="0.45">
      <c r="H279" s="62"/>
      <c r="N279" s="79"/>
    </row>
    <row r="280" spans="8:14" ht="15.75" customHeight="1" x14ac:dyDescent="0.45">
      <c r="H280" s="62"/>
      <c r="N280" s="79"/>
    </row>
    <row r="281" spans="8:14" ht="15.75" customHeight="1" x14ac:dyDescent="0.45">
      <c r="H281" s="62"/>
      <c r="N281" s="79"/>
    </row>
    <row r="282" spans="8:14" ht="15.75" customHeight="1" x14ac:dyDescent="0.45">
      <c r="H282" s="62"/>
      <c r="N282" s="79"/>
    </row>
    <row r="283" spans="8:14" ht="15.75" customHeight="1" x14ac:dyDescent="0.45">
      <c r="H283" s="62"/>
      <c r="N283" s="79"/>
    </row>
    <row r="284" spans="8:14" ht="15.75" customHeight="1" x14ac:dyDescent="0.45">
      <c r="H284" s="62"/>
      <c r="N284" s="79"/>
    </row>
    <row r="285" spans="8:14" ht="15.75" customHeight="1" x14ac:dyDescent="0.45">
      <c r="H285" s="62"/>
      <c r="N285" s="79"/>
    </row>
    <row r="286" spans="8:14" ht="15.75" customHeight="1" x14ac:dyDescent="0.45">
      <c r="H286" s="62"/>
      <c r="N286" s="79"/>
    </row>
    <row r="287" spans="8:14" ht="15.75" customHeight="1" x14ac:dyDescent="0.45">
      <c r="H287" s="62"/>
      <c r="N287" s="79"/>
    </row>
    <row r="288" spans="8:14" ht="15.75" customHeight="1" x14ac:dyDescent="0.45">
      <c r="H288" s="62"/>
      <c r="N288" s="79"/>
    </row>
    <row r="289" spans="8:14" ht="15.75" customHeight="1" x14ac:dyDescent="0.45">
      <c r="H289" s="62"/>
      <c r="N289" s="79"/>
    </row>
    <row r="290" spans="8:14" ht="15.75" customHeight="1" x14ac:dyDescent="0.45">
      <c r="H290" s="62"/>
      <c r="N290" s="79"/>
    </row>
    <row r="291" spans="8:14" ht="15.75" customHeight="1" x14ac:dyDescent="0.45">
      <c r="H291" s="62"/>
      <c r="N291" s="79"/>
    </row>
    <row r="292" spans="8:14" ht="15.75" customHeight="1" x14ac:dyDescent="0.45">
      <c r="H292" s="62"/>
      <c r="N292" s="79"/>
    </row>
    <row r="293" spans="8:14" ht="15.75" customHeight="1" x14ac:dyDescent="0.45">
      <c r="H293" s="62"/>
      <c r="N293" s="79"/>
    </row>
    <row r="294" spans="8:14" ht="15.75" customHeight="1" x14ac:dyDescent="0.45">
      <c r="H294" s="62"/>
      <c r="N294" s="79"/>
    </row>
    <row r="295" spans="8:14" ht="15.75" customHeight="1" x14ac:dyDescent="0.45">
      <c r="H295" s="62"/>
      <c r="N295" s="79"/>
    </row>
    <row r="296" spans="8:14" ht="15.75" customHeight="1" x14ac:dyDescent="0.45">
      <c r="H296" s="62"/>
      <c r="N296" s="79"/>
    </row>
    <row r="297" spans="8:14" ht="15.75" customHeight="1" x14ac:dyDescent="0.45">
      <c r="H297" s="62"/>
      <c r="N297" s="79"/>
    </row>
    <row r="298" spans="8:14" ht="15.75" customHeight="1" x14ac:dyDescent="0.45">
      <c r="H298" s="62"/>
      <c r="N298" s="79"/>
    </row>
    <row r="299" spans="8:14" ht="15.75" customHeight="1" x14ac:dyDescent="0.45">
      <c r="H299" s="62"/>
      <c r="N299" s="79"/>
    </row>
    <row r="300" spans="8:14" ht="15.75" customHeight="1" x14ac:dyDescent="0.45">
      <c r="H300" s="62"/>
      <c r="N300" s="79"/>
    </row>
    <row r="301" spans="8:14" ht="15.75" customHeight="1" x14ac:dyDescent="0.45">
      <c r="H301" s="62"/>
      <c r="N301" s="79"/>
    </row>
    <row r="302" spans="8:14" ht="15.75" customHeight="1" x14ac:dyDescent="0.45">
      <c r="H302" s="62"/>
      <c r="N302" s="79"/>
    </row>
    <row r="303" spans="8:14" ht="15.75" customHeight="1" x14ac:dyDescent="0.45">
      <c r="H303" s="62"/>
      <c r="N303" s="79"/>
    </row>
    <row r="304" spans="8:14" ht="15.75" customHeight="1" x14ac:dyDescent="0.45">
      <c r="H304" s="62"/>
      <c r="N304" s="79"/>
    </row>
    <row r="305" spans="8:14" ht="15.75" customHeight="1" x14ac:dyDescent="0.45">
      <c r="H305" s="62"/>
      <c r="N305" s="79"/>
    </row>
    <row r="306" spans="8:14" ht="15.75" customHeight="1" x14ac:dyDescent="0.45">
      <c r="H306" s="62"/>
      <c r="N306" s="79"/>
    </row>
    <row r="307" spans="8:14" ht="15.75" customHeight="1" x14ac:dyDescent="0.45">
      <c r="H307" s="62"/>
      <c r="N307" s="79"/>
    </row>
    <row r="308" spans="8:14" ht="15.75" customHeight="1" x14ac:dyDescent="0.45">
      <c r="H308" s="62"/>
      <c r="N308" s="79"/>
    </row>
    <row r="309" spans="8:14" ht="15.75" customHeight="1" x14ac:dyDescent="0.45">
      <c r="H309" s="62"/>
      <c r="N309" s="79"/>
    </row>
    <row r="310" spans="8:14" ht="15.75" customHeight="1" x14ac:dyDescent="0.45">
      <c r="H310" s="62"/>
      <c r="N310" s="79"/>
    </row>
    <row r="311" spans="8:14" ht="15.75" customHeight="1" x14ac:dyDescent="0.45">
      <c r="H311" s="62"/>
      <c r="N311" s="79"/>
    </row>
    <row r="312" spans="8:14" ht="15.75" customHeight="1" x14ac:dyDescent="0.45">
      <c r="H312" s="62"/>
      <c r="N312" s="79"/>
    </row>
    <row r="313" spans="8:14" ht="15.75" customHeight="1" x14ac:dyDescent="0.45">
      <c r="H313" s="62"/>
      <c r="N313" s="79"/>
    </row>
    <row r="314" spans="8:14" ht="15.75" customHeight="1" x14ac:dyDescent="0.45">
      <c r="H314" s="62"/>
      <c r="N314" s="79"/>
    </row>
    <row r="315" spans="8:14" ht="15.75" customHeight="1" x14ac:dyDescent="0.45">
      <c r="H315" s="62"/>
      <c r="N315" s="79"/>
    </row>
    <row r="316" spans="8:14" ht="15.75" customHeight="1" x14ac:dyDescent="0.45">
      <c r="H316" s="62"/>
      <c r="N316" s="79"/>
    </row>
    <row r="317" spans="8:14" ht="15.75" customHeight="1" x14ac:dyDescent="0.45">
      <c r="H317" s="62"/>
      <c r="N317" s="79"/>
    </row>
    <row r="318" spans="8:14" ht="15.75" customHeight="1" x14ac:dyDescent="0.45">
      <c r="H318" s="62"/>
      <c r="N318" s="79"/>
    </row>
    <row r="319" spans="8:14" ht="15.75" customHeight="1" x14ac:dyDescent="0.45">
      <c r="H319" s="62"/>
      <c r="N319" s="79"/>
    </row>
    <row r="320" spans="8:14" ht="15.75" customHeight="1" x14ac:dyDescent="0.45">
      <c r="H320" s="62"/>
      <c r="N320" s="79"/>
    </row>
    <row r="321" spans="8:14" ht="15.75" customHeight="1" x14ac:dyDescent="0.45">
      <c r="H321" s="62"/>
      <c r="N321" s="79"/>
    </row>
    <row r="322" spans="8:14" ht="15.75" customHeight="1" x14ac:dyDescent="0.45">
      <c r="H322" s="62"/>
      <c r="N322" s="79"/>
    </row>
    <row r="323" spans="8:14" ht="15.75" customHeight="1" x14ac:dyDescent="0.45">
      <c r="H323" s="62"/>
      <c r="N323" s="79"/>
    </row>
    <row r="324" spans="8:14" ht="15.75" customHeight="1" x14ac:dyDescent="0.45">
      <c r="H324" s="62"/>
      <c r="N324" s="79"/>
    </row>
    <row r="325" spans="8:14" ht="15.75" customHeight="1" x14ac:dyDescent="0.45">
      <c r="H325" s="62"/>
      <c r="N325" s="79"/>
    </row>
    <row r="326" spans="8:14" ht="15.75" customHeight="1" x14ac:dyDescent="0.45">
      <c r="H326" s="62"/>
      <c r="N326" s="79"/>
    </row>
    <row r="327" spans="8:14" ht="15.75" customHeight="1" x14ac:dyDescent="0.45">
      <c r="H327" s="62"/>
      <c r="N327" s="79"/>
    </row>
    <row r="328" spans="8:14" ht="15.75" customHeight="1" x14ac:dyDescent="0.45">
      <c r="H328" s="62"/>
      <c r="N328" s="79"/>
    </row>
    <row r="329" spans="8:14" ht="15.75" customHeight="1" x14ac:dyDescent="0.45">
      <c r="H329" s="62"/>
      <c r="N329" s="79"/>
    </row>
    <row r="330" spans="8:14" ht="15.75" customHeight="1" x14ac:dyDescent="0.45">
      <c r="H330" s="62"/>
      <c r="N330" s="79"/>
    </row>
    <row r="331" spans="8:14" ht="15.75" customHeight="1" x14ac:dyDescent="0.45">
      <c r="H331" s="62"/>
      <c r="N331" s="79"/>
    </row>
    <row r="332" spans="8:14" ht="15.75" customHeight="1" x14ac:dyDescent="0.45">
      <c r="H332" s="62"/>
      <c r="N332" s="79"/>
    </row>
    <row r="333" spans="8:14" ht="15.75" customHeight="1" x14ac:dyDescent="0.45">
      <c r="H333" s="62"/>
      <c r="N333" s="79"/>
    </row>
    <row r="334" spans="8:14" ht="15.75" customHeight="1" x14ac:dyDescent="0.45">
      <c r="H334" s="62"/>
      <c r="N334" s="79"/>
    </row>
    <row r="335" spans="8:14" ht="15.75" customHeight="1" x14ac:dyDescent="0.45">
      <c r="H335" s="62"/>
      <c r="N335" s="79"/>
    </row>
    <row r="336" spans="8:14" ht="15.75" customHeight="1" x14ac:dyDescent="0.45">
      <c r="H336" s="62"/>
      <c r="N336" s="79"/>
    </row>
    <row r="337" spans="8:14" ht="15.75" customHeight="1" x14ac:dyDescent="0.45">
      <c r="H337" s="62"/>
      <c r="N337" s="79"/>
    </row>
    <row r="338" spans="8:14" ht="15.75" customHeight="1" x14ac:dyDescent="0.45">
      <c r="H338" s="62"/>
      <c r="N338" s="79"/>
    </row>
    <row r="339" spans="8:14" ht="15.75" customHeight="1" x14ac:dyDescent="0.45">
      <c r="H339" s="62"/>
      <c r="N339" s="79"/>
    </row>
    <row r="340" spans="8:14" ht="15.75" customHeight="1" x14ac:dyDescent="0.45">
      <c r="H340" s="62"/>
      <c r="N340" s="79"/>
    </row>
    <row r="341" spans="8:14" ht="15.75" customHeight="1" x14ac:dyDescent="0.45">
      <c r="H341" s="62"/>
      <c r="N341" s="79"/>
    </row>
    <row r="342" spans="8:14" ht="15.75" customHeight="1" x14ac:dyDescent="0.45">
      <c r="H342" s="62"/>
      <c r="N342" s="79"/>
    </row>
    <row r="343" spans="8:14" ht="15.75" customHeight="1" x14ac:dyDescent="0.45">
      <c r="H343" s="62"/>
      <c r="N343" s="79"/>
    </row>
    <row r="344" spans="8:14" ht="15.75" customHeight="1" x14ac:dyDescent="0.45">
      <c r="H344" s="62"/>
      <c r="N344" s="79"/>
    </row>
    <row r="345" spans="8:14" ht="15.75" customHeight="1" x14ac:dyDescent="0.45">
      <c r="H345" s="62"/>
      <c r="N345" s="79"/>
    </row>
    <row r="346" spans="8:14" ht="15.75" customHeight="1" x14ac:dyDescent="0.45">
      <c r="H346" s="62"/>
      <c r="N346" s="79"/>
    </row>
    <row r="347" spans="8:14" ht="15.75" customHeight="1" x14ac:dyDescent="0.45">
      <c r="H347" s="62"/>
      <c r="N347" s="79"/>
    </row>
    <row r="348" spans="8:14" ht="15.75" customHeight="1" x14ac:dyDescent="0.45">
      <c r="H348" s="62"/>
      <c r="N348" s="79"/>
    </row>
    <row r="349" spans="8:14" ht="15.75" customHeight="1" x14ac:dyDescent="0.45">
      <c r="H349" s="62"/>
      <c r="N349" s="79"/>
    </row>
    <row r="350" spans="8:14" ht="15.75" customHeight="1" x14ac:dyDescent="0.45">
      <c r="H350" s="62"/>
      <c r="N350" s="79"/>
    </row>
    <row r="351" spans="8:14" ht="15.75" customHeight="1" x14ac:dyDescent="0.45">
      <c r="H351" s="62"/>
      <c r="N351" s="79"/>
    </row>
    <row r="352" spans="8:14" ht="15.75" customHeight="1" x14ac:dyDescent="0.45">
      <c r="H352" s="62"/>
      <c r="N352" s="79"/>
    </row>
    <row r="353" spans="8:14" ht="15.75" customHeight="1" x14ac:dyDescent="0.45">
      <c r="H353" s="62"/>
      <c r="N353" s="79"/>
    </row>
    <row r="354" spans="8:14" ht="15.75" customHeight="1" x14ac:dyDescent="0.45">
      <c r="H354" s="62"/>
      <c r="N354" s="79"/>
    </row>
    <row r="355" spans="8:14" ht="15.75" customHeight="1" x14ac:dyDescent="0.45">
      <c r="H355" s="62"/>
      <c r="N355" s="79"/>
    </row>
    <row r="356" spans="8:14" ht="15.75" customHeight="1" x14ac:dyDescent="0.45">
      <c r="H356" s="62"/>
      <c r="N356" s="79"/>
    </row>
    <row r="357" spans="8:14" ht="15.75" customHeight="1" x14ac:dyDescent="0.45">
      <c r="H357" s="62"/>
      <c r="N357" s="79"/>
    </row>
    <row r="358" spans="8:14" ht="15.75" customHeight="1" x14ac:dyDescent="0.45">
      <c r="H358" s="62"/>
      <c r="N358" s="79"/>
    </row>
    <row r="359" spans="8:14" ht="15.75" customHeight="1" x14ac:dyDescent="0.45">
      <c r="H359" s="62"/>
      <c r="N359" s="79"/>
    </row>
    <row r="360" spans="8:14" ht="15.75" customHeight="1" x14ac:dyDescent="0.45">
      <c r="H360" s="62"/>
      <c r="N360" s="79"/>
    </row>
    <row r="361" spans="8:14" ht="15.75" customHeight="1" x14ac:dyDescent="0.45">
      <c r="H361" s="62"/>
      <c r="N361" s="79"/>
    </row>
    <row r="362" spans="8:14" ht="15.75" customHeight="1" x14ac:dyDescent="0.45">
      <c r="H362" s="62"/>
      <c r="N362" s="79"/>
    </row>
    <row r="363" spans="8:14" ht="15.75" customHeight="1" x14ac:dyDescent="0.45">
      <c r="H363" s="62"/>
      <c r="N363" s="79"/>
    </row>
    <row r="364" spans="8:14" ht="15.75" customHeight="1" x14ac:dyDescent="0.45">
      <c r="H364" s="62"/>
      <c r="N364" s="79"/>
    </row>
    <row r="365" spans="8:14" ht="15.75" customHeight="1" x14ac:dyDescent="0.45">
      <c r="H365" s="62"/>
      <c r="N365" s="79"/>
    </row>
    <row r="366" spans="8:14" ht="15.75" customHeight="1" x14ac:dyDescent="0.45">
      <c r="H366" s="62"/>
      <c r="N366" s="79"/>
    </row>
    <row r="367" spans="8:14" ht="15.75" customHeight="1" x14ac:dyDescent="0.45">
      <c r="H367" s="62"/>
      <c r="N367" s="79"/>
    </row>
    <row r="368" spans="8:14" ht="15.75" customHeight="1" x14ac:dyDescent="0.45">
      <c r="H368" s="62"/>
      <c r="N368" s="79"/>
    </row>
    <row r="369" spans="8:14" ht="15.75" customHeight="1" x14ac:dyDescent="0.45">
      <c r="H369" s="62"/>
      <c r="N369" s="79"/>
    </row>
    <row r="370" spans="8:14" ht="15.75" customHeight="1" x14ac:dyDescent="0.45">
      <c r="H370" s="62"/>
      <c r="N370" s="79"/>
    </row>
    <row r="371" spans="8:14" ht="15.75" customHeight="1" x14ac:dyDescent="0.45">
      <c r="H371" s="62"/>
      <c r="N371" s="79"/>
    </row>
    <row r="372" spans="8:14" ht="15.75" customHeight="1" x14ac:dyDescent="0.45">
      <c r="H372" s="62"/>
      <c r="N372" s="79"/>
    </row>
    <row r="373" spans="8:14" ht="15.75" customHeight="1" x14ac:dyDescent="0.45">
      <c r="H373" s="62"/>
      <c r="N373" s="79"/>
    </row>
    <row r="374" spans="8:14" ht="15.75" customHeight="1" x14ac:dyDescent="0.45">
      <c r="H374" s="62"/>
      <c r="N374" s="79"/>
    </row>
    <row r="375" spans="8:14" ht="15.75" customHeight="1" x14ac:dyDescent="0.45">
      <c r="H375" s="62"/>
      <c r="N375" s="79"/>
    </row>
    <row r="376" spans="8:14" ht="15.75" customHeight="1" x14ac:dyDescent="0.45">
      <c r="H376" s="62"/>
      <c r="N376" s="79"/>
    </row>
    <row r="377" spans="8:14" ht="15.75" customHeight="1" x14ac:dyDescent="0.45">
      <c r="H377" s="62"/>
      <c r="N377" s="79"/>
    </row>
    <row r="378" spans="8:14" ht="15.75" customHeight="1" x14ac:dyDescent="0.45">
      <c r="H378" s="62"/>
      <c r="N378" s="79"/>
    </row>
    <row r="379" spans="8:14" ht="15" customHeight="1" x14ac:dyDescent="0.45">
      <c r="N379" s="79"/>
    </row>
    <row r="380" spans="8:14" ht="15" customHeight="1" x14ac:dyDescent="0.45">
      <c r="N380" s="79"/>
    </row>
    <row r="381" spans="8:14" ht="15" customHeight="1" x14ac:dyDescent="0.45">
      <c r="N381" s="79"/>
    </row>
    <row r="382" spans="8:14" ht="15" customHeight="1" x14ac:dyDescent="0.45">
      <c r="N382" s="79"/>
    </row>
    <row r="383" spans="8:14" ht="15" customHeight="1" x14ac:dyDescent="0.45">
      <c r="N383" s="79"/>
    </row>
    <row r="384" spans="8:14" ht="15" customHeight="1" x14ac:dyDescent="0.45">
      <c r="N384" s="79"/>
    </row>
    <row r="385" spans="14:14" ht="15" customHeight="1" x14ac:dyDescent="0.45">
      <c r="N385" s="79"/>
    </row>
    <row r="386" spans="14:14" ht="15" customHeight="1" x14ac:dyDescent="0.45">
      <c r="N386" s="79"/>
    </row>
    <row r="387" spans="14:14" ht="15" customHeight="1" x14ac:dyDescent="0.45">
      <c r="N387" s="79"/>
    </row>
    <row r="388" spans="14:14" ht="15" customHeight="1" x14ac:dyDescent="0.45">
      <c r="N388" s="79"/>
    </row>
    <row r="389" spans="14:14" ht="15" customHeight="1" x14ac:dyDescent="0.45">
      <c r="N389" s="79"/>
    </row>
    <row r="390" spans="14:14" ht="15" customHeight="1" x14ac:dyDescent="0.45">
      <c r="N390" s="79"/>
    </row>
    <row r="391" spans="14:14" ht="15" customHeight="1" x14ac:dyDescent="0.45">
      <c r="N391" s="79"/>
    </row>
    <row r="392" spans="14:14" ht="15" customHeight="1" x14ac:dyDescent="0.45">
      <c r="N392" s="79"/>
    </row>
    <row r="393" spans="14:14" ht="15" customHeight="1" x14ac:dyDescent="0.45">
      <c r="N393" s="79"/>
    </row>
    <row r="394" spans="14:14" ht="15" customHeight="1" x14ac:dyDescent="0.45">
      <c r="N394" s="79"/>
    </row>
    <row r="395" spans="14:14" ht="15" customHeight="1" x14ac:dyDescent="0.45">
      <c r="N395" s="79"/>
    </row>
    <row r="396" spans="14:14" ht="15" customHeight="1" x14ac:dyDescent="0.45">
      <c r="N396" s="79"/>
    </row>
    <row r="397" spans="14:14" ht="15" customHeight="1" x14ac:dyDescent="0.45">
      <c r="N397" s="79"/>
    </row>
    <row r="398" spans="14:14" ht="15" customHeight="1" x14ac:dyDescent="0.45">
      <c r="N398" s="79"/>
    </row>
    <row r="399" spans="14:14" ht="15" customHeight="1" x14ac:dyDescent="0.45">
      <c r="N399" s="79"/>
    </row>
    <row r="400" spans="14:14" ht="15" customHeight="1" x14ac:dyDescent="0.45">
      <c r="N400" s="79"/>
    </row>
    <row r="401" spans="14:14" ht="15" customHeight="1" x14ac:dyDescent="0.45">
      <c r="N401" s="79"/>
    </row>
    <row r="402" spans="14:14" ht="15" customHeight="1" x14ac:dyDescent="0.45">
      <c r="N402" s="79"/>
    </row>
    <row r="403" spans="14:14" ht="15" customHeight="1" x14ac:dyDescent="0.45">
      <c r="N403" s="79"/>
    </row>
    <row r="404" spans="14:14" ht="15" customHeight="1" x14ac:dyDescent="0.45">
      <c r="N404" s="79"/>
    </row>
    <row r="405" spans="14:14" ht="15" customHeight="1" x14ac:dyDescent="0.45">
      <c r="N405" s="79"/>
    </row>
    <row r="406" spans="14:14" ht="15" customHeight="1" x14ac:dyDescent="0.45">
      <c r="N406" s="79"/>
    </row>
    <row r="407" spans="14:14" ht="15" customHeight="1" x14ac:dyDescent="0.45">
      <c r="N407" s="79"/>
    </row>
    <row r="408" spans="14:14" ht="15" customHeight="1" x14ac:dyDescent="0.45">
      <c r="N408" s="79"/>
    </row>
    <row r="409" spans="14:14" ht="15" customHeight="1" x14ac:dyDescent="0.45">
      <c r="N409" s="79"/>
    </row>
    <row r="410" spans="14:14" ht="15" customHeight="1" x14ac:dyDescent="0.45">
      <c r="N410" s="79"/>
    </row>
    <row r="411" spans="14:14" ht="15" customHeight="1" x14ac:dyDescent="0.45">
      <c r="N411" s="79"/>
    </row>
    <row r="412" spans="14:14" ht="15" customHeight="1" x14ac:dyDescent="0.45">
      <c r="N412" s="79"/>
    </row>
    <row r="413" spans="14:14" ht="15" customHeight="1" x14ac:dyDescent="0.45">
      <c r="N413" s="79"/>
    </row>
    <row r="414" spans="14:14" ht="15" customHeight="1" x14ac:dyDescent="0.45">
      <c r="N414" s="79"/>
    </row>
    <row r="415" spans="14:14" ht="15" customHeight="1" x14ac:dyDescent="0.45">
      <c r="N415" s="79"/>
    </row>
    <row r="416" spans="14:14" ht="15" customHeight="1" x14ac:dyDescent="0.45">
      <c r="N416" s="79"/>
    </row>
    <row r="417" spans="14:14" ht="15" customHeight="1" x14ac:dyDescent="0.45">
      <c r="N417" s="79"/>
    </row>
    <row r="418" spans="14:14" ht="15" customHeight="1" x14ac:dyDescent="0.45">
      <c r="N418" s="79"/>
    </row>
    <row r="419" spans="14:14" ht="15" customHeight="1" x14ac:dyDescent="0.45">
      <c r="N419" s="79"/>
    </row>
    <row r="420" spans="14:14" ht="15" customHeight="1" x14ac:dyDescent="0.45">
      <c r="N420" s="79"/>
    </row>
    <row r="421" spans="14:14" ht="15" customHeight="1" x14ac:dyDescent="0.45">
      <c r="N421" s="79"/>
    </row>
    <row r="422" spans="14:14" ht="15" customHeight="1" x14ac:dyDescent="0.45">
      <c r="N422" s="79"/>
    </row>
    <row r="423" spans="14:14" ht="15" customHeight="1" x14ac:dyDescent="0.45">
      <c r="N423" s="79"/>
    </row>
    <row r="424" spans="14:14" ht="15" customHeight="1" x14ac:dyDescent="0.45">
      <c r="N424" s="79"/>
    </row>
    <row r="425" spans="14:14" ht="15" customHeight="1" x14ac:dyDescent="0.45">
      <c r="N425" s="79"/>
    </row>
    <row r="426" spans="14:14" ht="15" customHeight="1" x14ac:dyDescent="0.45">
      <c r="N426" s="79"/>
    </row>
    <row r="427" spans="14:14" ht="15" customHeight="1" x14ac:dyDescent="0.45">
      <c r="N427" s="79"/>
    </row>
    <row r="428" spans="14:14" ht="15" customHeight="1" x14ac:dyDescent="0.45">
      <c r="N428" s="79"/>
    </row>
    <row r="429" spans="14:14" ht="15" customHeight="1" x14ac:dyDescent="0.45">
      <c r="N429" s="79"/>
    </row>
    <row r="430" spans="14:14" ht="15" customHeight="1" x14ac:dyDescent="0.45">
      <c r="N430" s="79"/>
    </row>
    <row r="431" spans="14:14" ht="15" customHeight="1" x14ac:dyDescent="0.45">
      <c r="N431" s="79"/>
    </row>
    <row r="432" spans="14:14" ht="15" customHeight="1" x14ac:dyDescent="0.45">
      <c r="N432" s="79"/>
    </row>
    <row r="433" spans="14:14" ht="15" customHeight="1" x14ac:dyDescent="0.45">
      <c r="N433" s="79"/>
    </row>
    <row r="434" spans="14:14" ht="15" customHeight="1" x14ac:dyDescent="0.45">
      <c r="N434" s="79"/>
    </row>
    <row r="435" spans="14:14" ht="15" customHeight="1" x14ac:dyDescent="0.45">
      <c r="N435" s="79"/>
    </row>
    <row r="436" spans="14:14" ht="15" customHeight="1" x14ac:dyDescent="0.45">
      <c r="N436" s="79"/>
    </row>
    <row r="437" spans="14:14" ht="15" customHeight="1" x14ac:dyDescent="0.45">
      <c r="N437" s="79"/>
    </row>
    <row r="438" spans="14:14" ht="15" customHeight="1" x14ac:dyDescent="0.45">
      <c r="N438" s="79"/>
    </row>
    <row r="439" spans="14:14" ht="15" customHeight="1" x14ac:dyDescent="0.45">
      <c r="N439" s="79"/>
    </row>
    <row r="440" spans="14:14" ht="15" customHeight="1" x14ac:dyDescent="0.45">
      <c r="N440" s="79"/>
    </row>
    <row r="441" spans="14:14" ht="15" customHeight="1" x14ac:dyDescent="0.45">
      <c r="N441" s="79"/>
    </row>
    <row r="442" spans="14:14" ht="15" customHeight="1" x14ac:dyDescent="0.45">
      <c r="N442" s="79"/>
    </row>
    <row r="443" spans="14:14" ht="15" customHeight="1" x14ac:dyDescent="0.45">
      <c r="N443" s="79"/>
    </row>
    <row r="444" spans="14:14" ht="15" customHeight="1" x14ac:dyDescent="0.45">
      <c r="N444" s="79"/>
    </row>
    <row r="445" spans="14:14" ht="15" customHeight="1" x14ac:dyDescent="0.45">
      <c r="N445" s="79"/>
    </row>
    <row r="446" spans="14:14" ht="15" customHeight="1" x14ac:dyDescent="0.45">
      <c r="N446" s="79"/>
    </row>
    <row r="447" spans="14:14" ht="15" customHeight="1" x14ac:dyDescent="0.45">
      <c r="N447" s="79"/>
    </row>
    <row r="448" spans="14:14" ht="15" customHeight="1" x14ac:dyDescent="0.45">
      <c r="N448" s="79"/>
    </row>
    <row r="449" spans="14:14" ht="15" customHeight="1" x14ac:dyDescent="0.45">
      <c r="N449" s="79"/>
    </row>
    <row r="450" spans="14:14" ht="15" customHeight="1" x14ac:dyDescent="0.45">
      <c r="N450" s="79"/>
    </row>
    <row r="451" spans="14:14" ht="15" customHeight="1" x14ac:dyDescent="0.45">
      <c r="N451" s="79"/>
    </row>
    <row r="452" spans="14:14" ht="15" customHeight="1" x14ac:dyDescent="0.45">
      <c r="N452" s="79"/>
    </row>
    <row r="453" spans="14:14" ht="15" customHeight="1" x14ac:dyDescent="0.45">
      <c r="N453" s="79"/>
    </row>
    <row r="454" spans="14:14" ht="15" customHeight="1" x14ac:dyDescent="0.45">
      <c r="N454" s="79"/>
    </row>
    <row r="455" spans="14:14" ht="15" customHeight="1" x14ac:dyDescent="0.45">
      <c r="N455" s="79"/>
    </row>
    <row r="456" spans="14:14" ht="15" customHeight="1" x14ac:dyDescent="0.45">
      <c r="N456" s="79"/>
    </row>
    <row r="457" spans="14:14" ht="15" customHeight="1" x14ac:dyDescent="0.45">
      <c r="N457" s="79"/>
    </row>
    <row r="458" spans="14:14" ht="15" customHeight="1" x14ac:dyDescent="0.45">
      <c r="N458" s="79"/>
    </row>
    <row r="459" spans="14:14" ht="15" customHeight="1" x14ac:dyDescent="0.45">
      <c r="N459" s="79"/>
    </row>
    <row r="460" spans="14:14" ht="15" customHeight="1" x14ac:dyDescent="0.45">
      <c r="N460" s="79"/>
    </row>
    <row r="461" spans="14:14" ht="15" customHeight="1" x14ac:dyDescent="0.45">
      <c r="N461" s="79"/>
    </row>
    <row r="462" spans="14:14" ht="15" customHeight="1" x14ac:dyDescent="0.45">
      <c r="N462" s="79"/>
    </row>
    <row r="463" spans="14:14" ht="15" customHeight="1" x14ac:dyDescent="0.45">
      <c r="N463" s="79"/>
    </row>
    <row r="464" spans="14:14" ht="15" customHeight="1" x14ac:dyDescent="0.45">
      <c r="N464" s="79"/>
    </row>
    <row r="465" spans="14:14" ht="15" customHeight="1" x14ac:dyDescent="0.45">
      <c r="N465" s="79"/>
    </row>
    <row r="466" spans="14:14" ht="15" customHeight="1" x14ac:dyDescent="0.45">
      <c r="N466" s="79"/>
    </row>
    <row r="467" spans="14:14" ht="15" customHeight="1" x14ac:dyDescent="0.45">
      <c r="N467" s="79"/>
    </row>
    <row r="468" spans="14:14" ht="15" customHeight="1" x14ac:dyDescent="0.45">
      <c r="N468" s="79"/>
    </row>
    <row r="469" spans="14:14" ht="15" customHeight="1" x14ac:dyDescent="0.45">
      <c r="N469" s="79"/>
    </row>
    <row r="470" spans="14:14" ht="15" customHeight="1" x14ac:dyDescent="0.45">
      <c r="N470" s="79"/>
    </row>
    <row r="471" spans="14:14" ht="15" customHeight="1" x14ac:dyDescent="0.45">
      <c r="N471" s="79"/>
    </row>
    <row r="472" spans="14:14" ht="15" customHeight="1" x14ac:dyDescent="0.45">
      <c r="N472" s="79"/>
    </row>
    <row r="473" spans="14:14" ht="15" customHeight="1" x14ac:dyDescent="0.45">
      <c r="N473" s="79"/>
    </row>
    <row r="474" spans="14:14" ht="15" customHeight="1" x14ac:dyDescent="0.45">
      <c r="N474" s="79"/>
    </row>
    <row r="475" spans="14:14" ht="15" customHeight="1" x14ac:dyDescent="0.45">
      <c r="N475" s="79"/>
    </row>
    <row r="476" spans="14:14" ht="15" customHeight="1" x14ac:dyDescent="0.45">
      <c r="N476" s="79"/>
    </row>
    <row r="477" spans="14:14" ht="15" customHeight="1" x14ac:dyDescent="0.45">
      <c r="N477" s="79"/>
    </row>
    <row r="478" spans="14:14" ht="15" customHeight="1" x14ac:dyDescent="0.45">
      <c r="N478" s="79"/>
    </row>
    <row r="479" spans="14:14" ht="15" customHeight="1" x14ac:dyDescent="0.45">
      <c r="N479" s="79"/>
    </row>
    <row r="480" spans="14:14" ht="15" customHeight="1" x14ac:dyDescent="0.45">
      <c r="N480" s="79"/>
    </row>
    <row r="481" spans="14:14" ht="15" customHeight="1" x14ac:dyDescent="0.45">
      <c r="N481" s="79"/>
    </row>
    <row r="482" spans="14:14" ht="15" customHeight="1" x14ac:dyDescent="0.45">
      <c r="N482" s="79"/>
    </row>
    <row r="483" spans="14:14" ht="15" customHeight="1" x14ac:dyDescent="0.45">
      <c r="N483" s="79"/>
    </row>
    <row r="484" spans="14:14" ht="15" customHeight="1" x14ac:dyDescent="0.45">
      <c r="N484" s="79"/>
    </row>
    <row r="485" spans="14:14" ht="15" customHeight="1" x14ac:dyDescent="0.45">
      <c r="N485" s="79"/>
    </row>
    <row r="486" spans="14:14" ht="15" customHeight="1" x14ac:dyDescent="0.45">
      <c r="N486" s="79"/>
    </row>
    <row r="487" spans="14:14" ht="15" customHeight="1" x14ac:dyDescent="0.45">
      <c r="N487" s="79"/>
    </row>
    <row r="488" spans="14:14" ht="15" customHeight="1" x14ac:dyDescent="0.45">
      <c r="N488" s="79"/>
    </row>
    <row r="489" spans="14:14" ht="15" customHeight="1" x14ac:dyDescent="0.45">
      <c r="N489" s="79"/>
    </row>
    <row r="490" spans="14:14" ht="15" customHeight="1" x14ac:dyDescent="0.45">
      <c r="N490" s="79"/>
    </row>
    <row r="491" spans="14:14" ht="15" customHeight="1" x14ac:dyDescent="0.45">
      <c r="N491" s="79"/>
    </row>
    <row r="492" spans="14:14" ht="15" customHeight="1" x14ac:dyDescent="0.45">
      <c r="N492" s="79"/>
    </row>
    <row r="493" spans="14:14" ht="15" customHeight="1" x14ac:dyDescent="0.45">
      <c r="N493" s="79"/>
    </row>
    <row r="494" spans="14:14" ht="15" customHeight="1" x14ac:dyDescent="0.45">
      <c r="N494" s="79"/>
    </row>
    <row r="495" spans="14:14" ht="15" customHeight="1" x14ac:dyDescent="0.45">
      <c r="N495" s="79"/>
    </row>
    <row r="496" spans="14:14" ht="15" customHeight="1" x14ac:dyDescent="0.45">
      <c r="N496" s="79"/>
    </row>
    <row r="497" spans="14:14" ht="15" customHeight="1" x14ac:dyDescent="0.45">
      <c r="N497" s="79"/>
    </row>
    <row r="498" spans="14:14" ht="15" customHeight="1" x14ac:dyDescent="0.45">
      <c r="N498" s="79"/>
    </row>
    <row r="499" spans="14:14" ht="15" customHeight="1" x14ac:dyDescent="0.45">
      <c r="N499" s="79"/>
    </row>
    <row r="500" spans="14:14" ht="15" customHeight="1" x14ac:dyDescent="0.45">
      <c r="N500" s="79"/>
    </row>
    <row r="501" spans="14:14" ht="15" customHeight="1" x14ac:dyDescent="0.45">
      <c r="N501" s="79"/>
    </row>
    <row r="502" spans="14:14" ht="15" customHeight="1" x14ac:dyDescent="0.45">
      <c r="N502" s="79"/>
    </row>
    <row r="503" spans="14:14" ht="15" customHeight="1" x14ac:dyDescent="0.45">
      <c r="N503" s="79"/>
    </row>
    <row r="504" spans="14:14" ht="15" customHeight="1" x14ac:dyDescent="0.45">
      <c r="N504" s="79"/>
    </row>
    <row r="505" spans="14:14" ht="15" customHeight="1" x14ac:dyDescent="0.45">
      <c r="N505" s="79"/>
    </row>
    <row r="506" spans="14:14" ht="15" customHeight="1" x14ac:dyDescent="0.45">
      <c r="N506" s="79"/>
    </row>
    <row r="507" spans="14:14" ht="15" customHeight="1" x14ac:dyDescent="0.45">
      <c r="N507" s="79"/>
    </row>
    <row r="508" spans="14:14" ht="15" customHeight="1" x14ac:dyDescent="0.45">
      <c r="N508" s="79"/>
    </row>
    <row r="509" spans="14:14" ht="15" customHeight="1" x14ac:dyDescent="0.45">
      <c r="N509" s="79"/>
    </row>
    <row r="510" spans="14:14" ht="15" customHeight="1" x14ac:dyDescent="0.45">
      <c r="N510" s="79"/>
    </row>
    <row r="511" spans="14:14" ht="15" customHeight="1" x14ac:dyDescent="0.45">
      <c r="N511" s="79"/>
    </row>
    <row r="512" spans="14:14" ht="15" customHeight="1" x14ac:dyDescent="0.45">
      <c r="N512" s="79"/>
    </row>
    <row r="513" spans="14:14" ht="15" customHeight="1" x14ac:dyDescent="0.45">
      <c r="N513" s="79"/>
    </row>
    <row r="514" spans="14:14" ht="15" customHeight="1" x14ac:dyDescent="0.45">
      <c r="N514" s="79"/>
    </row>
    <row r="515" spans="14:14" ht="15" customHeight="1" x14ac:dyDescent="0.45">
      <c r="N515" s="79"/>
    </row>
    <row r="516" spans="14:14" ht="15" customHeight="1" x14ac:dyDescent="0.45">
      <c r="N516" s="79"/>
    </row>
    <row r="517" spans="14:14" ht="15" customHeight="1" x14ac:dyDescent="0.45">
      <c r="N517" s="79"/>
    </row>
    <row r="518" spans="14:14" ht="15" customHeight="1" x14ac:dyDescent="0.45">
      <c r="N518" s="79"/>
    </row>
    <row r="519" spans="14:14" ht="15" customHeight="1" x14ac:dyDescent="0.45">
      <c r="N519" s="79"/>
    </row>
    <row r="520" spans="14:14" ht="15" customHeight="1" x14ac:dyDescent="0.45">
      <c r="N520" s="79"/>
    </row>
    <row r="521" spans="14:14" ht="15" customHeight="1" x14ac:dyDescent="0.45">
      <c r="N521" s="79"/>
    </row>
    <row r="522" spans="14:14" ht="15" customHeight="1" x14ac:dyDescent="0.45">
      <c r="N522" s="79"/>
    </row>
    <row r="523" spans="14:14" ht="15" customHeight="1" x14ac:dyDescent="0.45">
      <c r="N523" s="79"/>
    </row>
    <row r="524" spans="14:14" ht="15" customHeight="1" x14ac:dyDescent="0.45">
      <c r="N524" s="79"/>
    </row>
    <row r="525" spans="14:14" ht="15" customHeight="1" x14ac:dyDescent="0.45">
      <c r="N525" s="79"/>
    </row>
    <row r="526" spans="14:14" ht="15" customHeight="1" x14ac:dyDescent="0.45">
      <c r="N526" s="79"/>
    </row>
    <row r="527" spans="14:14" ht="15" customHeight="1" x14ac:dyDescent="0.45">
      <c r="N527" s="79"/>
    </row>
    <row r="528" spans="14:14" ht="15" customHeight="1" x14ac:dyDescent="0.45">
      <c r="N528" s="79"/>
    </row>
    <row r="529" spans="14:14" ht="15" customHeight="1" x14ac:dyDescent="0.45">
      <c r="N529" s="79"/>
    </row>
    <row r="530" spans="14:14" ht="15" customHeight="1" x14ac:dyDescent="0.45">
      <c r="N530" s="79"/>
    </row>
    <row r="531" spans="14:14" ht="15" customHeight="1" x14ac:dyDescent="0.45">
      <c r="N531" s="79"/>
    </row>
    <row r="532" spans="14:14" ht="15" customHeight="1" x14ac:dyDescent="0.45">
      <c r="N532" s="79"/>
    </row>
    <row r="533" spans="14:14" ht="15" customHeight="1" x14ac:dyDescent="0.45">
      <c r="N533" s="79"/>
    </row>
    <row r="534" spans="14:14" ht="15" customHeight="1" x14ac:dyDescent="0.45">
      <c r="N534" s="79"/>
    </row>
    <row r="535" spans="14:14" ht="15" customHeight="1" x14ac:dyDescent="0.45">
      <c r="N535" s="79"/>
    </row>
    <row r="536" spans="14:14" ht="15" customHeight="1" x14ac:dyDescent="0.45">
      <c r="N536" s="79"/>
    </row>
    <row r="537" spans="14:14" ht="15" customHeight="1" x14ac:dyDescent="0.45">
      <c r="N537" s="79"/>
    </row>
    <row r="538" spans="14:14" ht="15" customHeight="1" x14ac:dyDescent="0.45">
      <c r="N538" s="79"/>
    </row>
    <row r="539" spans="14:14" ht="15" customHeight="1" x14ac:dyDescent="0.45">
      <c r="N539" s="79"/>
    </row>
    <row r="540" spans="14:14" ht="15" customHeight="1" x14ac:dyDescent="0.45">
      <c r="N540" s="79"/>
    </row>
    <row r="541" spans="14:14" ht="15" customHeight="1" x14ac:dyDescent="0.45">
      <c r="N541" s="79"/>
    </row>
    <row r="542" spans="14:14" ht="15" customHeight="1" x14ac:dyDescent="0.45">
      <c r="N542" s="79"/>
    </row>
    <row r="543" spans="14:14" ht="15" customHeight="1" x14ac:dyDescent="0.45">
      <c r="N543" s="79"/>
    </row>
    <row r="544" spans="14:14" ht="15" customHeight="1" x14ac:dyDescent="0.45">
      <c r="N544" s="79"/>
    </row>
    <row r="545" spans="14:14" ht="15" customHeight="1" x14ac:dyDescent="0.45">
      <c r="N545" s="79"/>
    </row>
    <row r="546" spans="14:14" ht="15" customHeight="1" x14ac:dyDescent="0.45">
      <c r="N546" s="79"/>
    </row>
    <row r="547" spans="14:14" ht="15" customHeight="1" x14ac:dyDescent="0.45">
      <c r="N547" s="79"/>
    </row>
    <row r="548" spans="14:14" ht="15" customHeight="1" x14ac:dyDescent="0.45">
      <c r="N548" s="79"/>
    </row>
    <row r="549" spans="14:14" ht="15" customHeight="1" x14ac:dyDescent="0.45">
      <c r="N549" s="79"/>
    </row>
    <row r="550" spans="14:14" ht="15" customHeight="1" x14ac:dyDescent="0.45">
      <c r="N550" s="79"/>
    </row>
    <row r="551" spans="14:14" ht="15" customHeight="1" x14ac:dyDescent="0.45">
      <c r="N551" s="79"/>
    </row>
    <row r="552" spans="14:14" ht="15" customHeight="1" x14ac:dyDescent="0.45">
      <c r="N552" s="79"/>
    </row>
    <row r="553" spans="14:14" ht="15" customHeight="1" x14ac:dyDescent="0.45">
      <c r="N553" s="79"/>
    </row>
    <row r="554" spans="14:14" ht="15" customHeight="1" x14ac:dyDescent="0.45">
      <c r="N554" s="79"/>
    </row>
    <row r="555" spans="14:14" ht="15" customHeight="1" x14ac:dyDescent="0.45">
      <c r="N555" s="79"/>
    </row>
    <row r="556" spans="14:14" ht="15" customHeight="1" x14ac:dyDescent="0.45">
      <c r="N556" s="79"/>
    </row>
    <row r="557" spans="14:14" ht="15" customHeight="1" x14ac:dyDescent="0.45">
      <c r="N557" s="79"/>
    </row>
    <row r="558" spans="14:14" ht="15" customHeight="1" x14ac:dyDescent="0.45">
      <c r="N558" s="79"/>
    </row>
    <row r="559" spans="14:14" ht="15" customHeight="1" x14ac:dyDescent="0.45">
      <c r="N559" s="79"/>
    </row>
    <row r="560" spans="14:14" ht="15" customHeight="1" x14ac:dyDescent="0.45">
      <c r="N560" s="79"/>
    </row>
    <row r="561" spans="14:14" ht="15" customHeight="1" x14ac:dyDescent="0.45">
      <c r="N561" s="79"/>
    </row>
    <row r="562" spans="14:14" ht="15" customHeight="1" x14ac:dyDescent="0.45">
      <c r="N562" s="79"/>
    </row>
    <row r="563" spans="14:14" ht="15" customHeight="1" x14ac:dyDescent="0.45">
      <c r="N563" s="79"/>
    </row>
    <row r="564" spans="14:14" ht="15" customHeight="1" x14ac:dyDescent="0.45">
      <c r="N564" s="79"/>
    </row>
    <row r="565" spans="14:14" ht="15" customHeight="1" x14ac:dyDescent="0.45">
      <c r="N565" s="79"/>
    </row>
    <row r="566" spans="14:14" ht="15" customHeight="1" x14ac:dyDescent="0.45">
      <c r="N566" s="79"/>
    </row>
    <row r="567" spans="14:14" ht="15" customHeight="1" x14ac:dyDescent="0.45">
      <c r="N567" s="79"/>
    </row>
    <row r="568" spans="14:14" ht="15" customHeight="1" x14ac:dyDescent="0.45">
      <c r="N568" s="79"/>
    </row>
    <row r="569" spans="14:14" ht="15" customHeight="1" x14ac:dyDescent="0.45">
      <c r="N569" s="79"/>
    </row>
    <row r="570" spans="14:14" ht="15" customHeight="1" x14ac:dyDescent="0.45">
      <c r="N570" s="79"/>
    </row>
    <row r="571" spans="14:14" ht="15" customHeight="1" x14ac:dyDescent="0.45">
      <c r="N571" s="79"/>
    </row>
    <row r="572" spans="14:14" ht="15" customHeight="1" x14ac:dyDescent="0.45">
      <c r="N572" s="79"/>
    </row>
    <row r="573" spans="14:14" ht="15" customHeight="1" x14ac:dyDescent="0.45">
      <c r="N573" s="79"/>
    </row>
    <row r="574" spans="14:14" ht="15" customHeight="1" x14ac:dyDescent="0.45">
      <c r="N574" s="79"/>
    </row>
    <row r="575" spans="14:14" ht="15" customHeight="1" x14ac:dyDescent="0.45">
      <c r="N575" s="79"/>
    </row>
    <row r="576" spans="14:14" ht="15" customHeight="1" x14ac:dyDescent="0.45">
      <c r="N576" s="79"/>
    </row>
    <row r="577" spans="14:14" ht="15" customHeight="1" x14ac:dyDescent="0.45">
      <c r="N577" s="79"/>
    </row>
    <row r="578" spans="14:14" ht="15" customHeight="1" x14ac:dyDescent="0.45">
      <c r="N578" s="79"/>
    </row>
    <row r="579" spans="14:14" ht="15" customHeight="1" x14ac:dyDescent="0.45">
      <c r="N579" s="79"/>
    </row>
    <row r="580" spans="14:14" ht="15" customHeight="1" x14ac:dyDescent="0.45">
      <c r="N580" s="79"/>
    </row>
    <row r="581" spans="14:14" ht="15" customHeight="1" x14ac:dyDescent="0.45">
      <c r="N581" s="79"/>
    </row>
    <row r="582" spans="14:14" ht="15" customHeight="1" x14ac:dyDescent="0.45">
      <c r="N582" s="79"/>
    </row>
    <row r="583" spans="14:14" ht="15" customHeight="1" x14ac:dyDescent="0.45">
      <c r="N583" s="79"/>
    </row>
    <row r="584" spans="14:14" ht="15" customHeight="1" x14ac:dyDescent="0.45">
      <c r="N584" s="79"/>
    </row>
    <row r="585" spans="14:14" ht="15" customHeight="1" x14ac:dyDescent="0.45">
      <c r="N585" s="79"/>
    </row>
    <row r="586" spans="14:14" ht="15" customHeight="1" x14ac:dyDescent="0.45">
      <c r="N586" s="79"/>
    </row>
    <row r="587" spans="14:14" ht="15" customHeight="1" x14ac:dyDescent="0.45">
      <c r="N587" s="79"/>
    </row>
    <row r="588" spans="14:14" ht="15" customHeight="1" x14ac:dyDescent="0.45">
      <c r="N588" s="79"/>
    </row>
    <row r="589" spans="14:14" ht="15" customHeight="1" x14ac:dyDescent="0.45">
      <c r="N589" s="79"/>
    </row>
    <row r="590" spans="14:14" ht="15" customHeight="1" x14ac:dyDescent="0.45">
      <c r="N590" s="79"/>
    </row>
    <row r="591" spans="14:14" ht="15" customHeight="1" x14ac:dyDescent="0.45">
      <c r="N591" s="79"/>
    </row>
    <row r="592" spans="14:14" ht="15" customHeight="1" x14ac:dyDescent="0.45">
      <c r="N592" s="79"/>
    </row>
    <row r="593" spans="14:14" ht="15" customHeight="1" x14ac:dyDescent="0.45">
      <c r="N593" s="79"/>
    </row>
    <row r="594" spans="14:14" ht="15" customHeight="1" x14ac:dyDescent="0.45">
      <c r="N594" s="79"/>
    </row>
    <row r="595" spans="14:14" ht="15" customHeight="1" x14ac:dyDescent="0.45">
      <c r="N595" s="79"/>
    </row>
    <row r="596" spans="14:14" ht="15" customHeight="1" x14ac:dyDescent="0.45">
      <c r="N596" s="79"/>
    </row>
    <row r="597" spans="14:14" ht="15" customHeight="1" x14ac:dyDescent="0.45">
      <c r="N597" s="79"/>
    </row>
    <row r="598" spans="14:14" ht="15" customHeight="1" x14ac:dyDescent="0.45">
      <c r="N598" s="79"/>
    </row>
    <row r="599" spans="14:14" ht="15" customHeight="1" x14ac:dyDescent="0.45">
      <c r="N599" s="79"/>
    </row>
    <row r="600" spans="14:14" ht="15" customHeight="1" x14ac:dyDescent="0.45">
      <c r="N600" s="79"/>
    </row>
    <row r="601" spans="14:14" ht="15" customHeight="1" x14ac:dyDescent="0.45">
      <c r="N601" s="79"/>
    </row>
    <row r="602" spans="14:14" ht="15" customHeight="1" x14ac:dyDescent="0.45">
      <c r="N602" s="79"/>
    </row>
    <row r="603" spans="14:14" ht="15" customHeight="1" x14ac:dyDescent="0.45">
      <c r="N603" s="79"/>
    </row>
    <row r="604" spans="14:14" ht="15" customHeight="1" x14ac:dyDescent="0.45">
      <c r="N604" s="79"/>
    </row>
    <row r="605" spans="14:14" ht="15" customHeight="1" x14ac:dyDescent="0.45">
      <c r="N605" s="79"/>
    </row>
    <row r="606" spans="14:14" ht="15" customHeight="1" x14ac:dyDescent="0.45">
      <c r="N606" s="79"/>
    </row>
    <row r="607" spans="14:14" ht="15" customHeight="1" x14ac:dyDescent="0.45">
      <c r="N607" s="79"/>
    </row>
    <row r="608" spans="14:14" ht="15" customHeight="1" x14ac:dyDescent="0.45">
      <c r="N608" s="79"/>
    </row>
    <row r="609" spans="14:14" ht="15" customHeight="1" x14ac:dyDescent="0.45">
      <c r="N609" s="79"/>
    </row>
    <row r="610" spans="14:14" ht="15" customHeight="1" x14ac:dyDescent="0.45">
      <c r="N610" s="79"/>
    </row>
    <row r="611" spans="14:14" ht="15" customHeight="1" x14ac:dyDescent="0.45">
      <c r="N611" s="79"/>
    </row>
    <row r="612" spans="14:14" ht="15" customHeight="1" x14ac:dyDescent="0.45">
      <c r="N612" s="79"/>
    </row>
    <row r="613" spans="14:14" ht="15" customHeight="1" x14ac:dyDescent="0.45">
      <c r="N613" s="79"/>
    </row>
    <row r="614" spans="14:14" ht="15" customHeight="1" x14ac:dyDescent="0.45">
      <c r="N614" s="79"/>
    </row>
    <row r="615" spans="14:14" ht="15" customHeight="1" x14ac:dyDescent="0.45">
      <c r="N615" s="79"/>
    </row>
    <row r="616" spans="14:14" ht="15" customHeight="1" x14ac:dyDescent="0.45">
      <c r="N616" s="79"/>
    </row>
    <row r="617" spans="14:14" ht="15" customHeight="1" x14ac:dyDescent="0.45">
      <c r="N617" s="79"/>
    </row>
    <row r="618" spans="14:14" ht="15" customHeight="1" x14ac:dyDescent="0.45">
      <c r="N618" s="79"/>
    </row>
    <row r="619" spans="14:14" ht="15" customHeight="1" x14ac:dyDescent="0.45">
      <c r="N619" s="79"/>
    </row>
    <row r="620" spans="14:14" ht="15" customHeight="1" x14ac:dyDescent="0.45">
      <c r="N620" s="79"/>
    </row>
    <row r="621" spans="14:14" ht="15" customHeight="1" x14ac:dyDescent="0.45">
      <c r="N621" s="79"/>
    </row>
    <row r="622" spans="14:14" ht="15" customHeight="1" x14ac:dyDescent="0.45">
      <c r="N622" s="79"/>
    </row>
    <row r="623" spans="14:14" ht="15" customHeight="1" x14ac:dyDescent="0.45">
      <c r="N623" s="79"/>
    </row>
    <row r="624" spans="14:14" ht="15" customHeight="1" x14ac:dyDescent="0.45">
      <c r="N624" s="79"/>
    </row>
    <row r="625" spans="14:14" ht="15" customHeight="1" x14ac:dyDescent="0.45">
      <c r="N625" s="79"/>
    </row>
    <row r="626" spans="14:14" ht="15" customHeight="1" x14ac:dyDescent="0.45">
      <c r="N626" s="79"/>
    </row>
    <row r="627" spans="14:14" ht="15" customHeight="1" x14ac:dyDescent="0.45">
      <c r="N627" s="79"/>
    </row>
    <row r="628" spans="14:14" ht="15" customHeight="1" x14ac:dyDescent="0.45">
      <c r="N628" s="79"/>
    </row>
    <row r="629" spans="14:14" ht="15" customHeight="1" x14ac:dyDescent="0.45">
      <c r="N629" s="79"/>
    </row>
    <row r="630" spans="14:14" ht="15" customHeight="1" x14ac:dyDescent="0.45">
      <c r="N630" s="79"/>
    </row>
    <row r="631" spans="14:14" ht="15" customHeight="1" x14ac:dyDescent="0.45">
      <c r="N631" s="79"/>
    </row>
    <row r="632" spans="14:14" ht="15" customHeight="1" x14ac:dyDescent="0.45">
      <c r="N632" s="79"/>
    </row>
    <row r="633" spans="14:14" ht="15" customHeight="1" x14ac:dyDescent="0.45">
      <c r="N633" s="79"/>
    </row>
    <row r="634" spans="14:14" ht="15" customHeight="1" x14ac:dyDescent="0.45">
      <c r="N634" s="79"/>
    </row>
    <row r="635" spans="14:14" ht="15" customHeight="1" x14ac:dyDescent="0.45">
      <c r="N635" s="79"/>
    </row>
    <row r="636" spans="14:14" ht="15" customHeight="1" x14ac:dyDescent="0.45">
      <c r="N636" s="79"/>
    </row>
    <row r="637" spans="14:14" ht="15" customHeight="1" x14ac:dyDescent="0.45">
      <c r="N637" s="79"/>
    </row>
    <row r="638" spans="14:14" ht="15" customHeight="1" x14ac:dyDescent="0.45">
      <c r="N638" s="79"/>
    </row>
    <row r="639" spans="14:14" ht="15" customHeight="1" x14ac:dyDescent="0.45">
      <c r="N639" s="79"/>
    </row>
    <row r="640" spans="14:14" ht="15" customHeight="1" x14ac:dyDescent="0.45">
      <c r="N640" s="79"/>
    </row>
    <row r="641" spans="14:14" ht="15" customHeight="1" x14ac:dyDescent="0.45">
      <c r="N641" s="79"/>
    </row>
    <row r="642" spans="14:14" ht="15" customHeight="1" x14ac:dyDescent="0.45">
      <c r="N642" s="79"/>
    </row>
    <row r="643" spans="14:14" ht="15" customHeight="1" x14ac:dyDescent="0.45">
      <c r="N643" s="79"/>
    </row>
    <row r="644" spans="14:14" ht="15" customHeight="1" x14ac:dyDescent="0.45">
      <c r="N644" s="79"/>
    </row>
    <row r="645" spans="14:14" ht="15" customHeight="1" x14ac:dyDescent="0.45">
      <c r="N645" s="79"/>
    </row>
    <row r="646" spans="14:14" ht="15" customHeight="1" x14ac:dyDescent="0.45">
      <c r="N646" s="79"/>
    </row>
    <row r="647" spans="14:14" ht="15" customHeight="1" x14ac:dyDescent="0.45">
      <c r="N647" s="79"/>
    </row>
    <row r="648" spans="14:14" ht="15" customHeight="1" x14ac:dyDescent="0.45">
      <c r="N648" s="79"/>
    </row>
    <row r="649" spans="14:14" ht="15" customHeight="1" x14ac:dyDescent="0.45">
      <c r="N649" s="79"/>
    </row>
    <row r="650" spans="14:14" ht="15" customHeight="1" x14ac:dyDescent="0.45">
      <c r="N650" s="79"/>
    </row>
    <row r="651" spans="14:14" ht="15" customHeight="1" x14ac:dyDescent="0.45">
      <c r="N651" s="79"/>
    </row>
    <row r="652" spans="14:14" ht="15" customHeight="1" x14ac:dyDescent="0.45">
      <c r="N652" s="79"/>
    </row>
    <row r="653" spans="14:14" ht="15" customHeight="1" x14ac:dyDescent="0.45">
      <c r="N653" s="79"/>
    </row>
    <row r="654" spans="14:14" ht="15" customHeight="1" x14ac:dyDescent="0.45">
      <c r="N654" s="79"/>
    </row>
    <row r="655" spans="14:14" ht="15" customHeight="1" x14ac:dyDescent="0.45">
      <c r="N655" s="79"/>
    </row>
    <row r="656" spans="14:14" ht="15" customHeight="1" x14ac:dyDescent="0.45">
      <c r="N656" s="79"/>
    </row>
    <row r="657" spans="14:14" ht="15" customHeight="1" x14ac:dyDescent="0.45">
      <c r="N657" s="79"/>
    </row>
    <row r="658" spans="14:14" ht="15" customHeight="1" x14ac:dyDescent="0.45">
      <c r="N658" s="79"/>
    </row>
    <row r="659" spans="14:14" ht="15" customHeight="1" x14ac:dyDescent="0.45">
      <c r="N659" s="79"/>
    </row>
    <row r="660" spans="14:14" ht="15" customHeight="1" x14ac:dyDescent="0.45">
      <c r="N660" s="79"/>
    </row>
    <row r="661" spans="14:14" ht="15" customHeight="1" x14ac:dyDescent="0.45">
      <c r="N661" s="79"/>
    </row>
  </sheetData>
  <sheetProtection algorithmName="SHA-512" hashValue="6SRh0/5XgQkoENnvuKFDUV2rlMop9jEJC9wWUXlPuJ+Ji48I7jBjM6J8EbnN/3ZzbvCU6JwCjug/7Lv9bPA5XA==" saltValue="A0eyfxEspl1iIIb+wVwlJQ==" spinCount="100000" sheet="1" objects="1" scenarios="1"/>
  <customSheetViews>
    <customSheetView guid="{44154B6F-B3CD-48F7-9F3B-46DA1E5548AD}" filter="1" showAutoFilter="1">
      <pageMargins left="0" right="0" top="0" bottom="0" header="0" footer="0"/>
      <autoFilter ref="A6:Z22" xr:uid="{D30F9F0B-84FA-405A-B645-7BF264DB8925}">
        <sortState xmlns:xlrd2="http://schemas.microsoft.com/office/spreadsheetml/2017/richdata2" ref="A6:Z22">
          <sortCondition ref="H6:H22"/>
          <sortCondition ref="D6:D22"/>
        </sortState>
      </autoFilter>
      <extLst>
        <ext uri="GoogleSheetsCustomDataVersion1">
          <go:sheetsCustomData xmlns:go="http://customooxmlschemas.google.com/" filterViewId="820014218"/>
        </ext>
      </extLst>
    </customSheetView>
  </customSheetViews>
  <phoneticPr fontId="23" type="noConversion"/>
  <conditionalFormatting sqref="H7:H198">
    <cfRule type="cellIs" dxfId="1" priority="3" operator="lessThan">
      <formula>15</formula>
    </cfRule>
  </conditionalFormatting>
  <conditionalFormatting sqref="L1:L17 L20:L21 L24:L1048576">
    <cfRule type="containsText" dxfId="0" priority="1" operator="containsText" text="baixo">
      <formula>NOT(ISERROR(SEARCH("baixo",L1)))</formula>
    </cfRule>
    <cfRule type="containsText" priority="2" operator="containsText" text="baixo">
      <formula>NOT(ISERROR(SEARCH("baixo",L1)))</formula>
    </cfRule>
  </conditionalFormatting>
  <pageMargins left="0" right="0" top="0.78740157499999996" bottom="0.78740157499999996" header="0" footer="0"/>
  <pageSetup orientation="landscape" r:id="rId1"/>
  <rowBreaks count="1" manualBreakCount="1">
    <brk id="20" man="1"/>
  </rowBreaks>
  <colBreaks count="1" manualBreakCount="1">
    <brk id="11" man="1"/>
  </colBreaks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theme="9" tint="0.79998168889431442"/>
  </sheetPr>
  <dimension ref="A1:IA9985"/>
  <sheetViews>
    <sheetView tabSelected="1" zoomScale="82" zoomScaleNormal="82" workbookViewId="0">
      <pane ySplit="2" topLeftCell="A2470" activePane="bottomLeft" state="frozen"/>
      <selection pane="bottomLeft" activeCell="M2482" sqref="M2482"/>
    </sheetView>
  </sheetViews>
  <sheetFormatPr defaultColWidth="11.2109375" defaultRowHeight="15" customHeight="1" x14ac:dyDescent="0.4"/>
  <cols>
    <col min="1" max="1" width="6.42578125" style="31" customWidth="1"/>
    <col min="2" max="2" width="14.92578125" style="41" customWidth="1"/>
    <col min="3" max="3" width="10.5703125" style="34" customWidth="1"/>
    <col min="4" max="4" width="10.7109375" style="35" bestFit="1" customWidth="1"/>
    <col min="5" max="5" width="16.0703125" style="51" bestFit="1" customWidth="1"/>
    <col min="6" max="7" width="10.5703125" style="33" customWidth="1"/>
    <col min="8" max="8" width="48.0703125" style="40" customWidth="1"/>
    <col min="9" max="9" width="39" style="32" customWidth="1"/>
    <col min="10" max="10" width="3.42578125" style="31" customWidth="1"/>
    <col min="11" max="11" width="7.42578125" style="31" customWidth="1"/>
    <col min="12" max="12" width="4.0703125" style="31" customWidth="1"/>
    <col min="13" max="13" width="6.92578125" style="31" customWidth="1"/>
    <col min="14" max="14" width="7.92578125" style="31" customWidth="1"/>
    <col min="15" max="15" width="7.5" style="31" customWidth="1"/>
    <col min="16" max="16" width="7.42578125" style="31" customWidth="1"/>
    <col min="17" max="17" width="11.42578125" style="31" customWidth="1"/>
    <col min="18" max="18" width="7.0703125" style="31" customWidth="1"/>
    <col min="19" max="19" width="5.42578125" style="31" customWidth="1"/>
    <col min="20" max="20" width="0.42578125" style="31" customWidth="1"/>
    <col min="21" max="21" width="1.2109375" style="31" hidden="1" customWidth="1"/>
    <col min="22" max="22" width="5.5" style="31" customWidth="1"/>
    <col min="23" max="23" width="4.5703125" style="31" customWidth="1"/>
    <col min="24" max="24" width="3.5703125" style="31" customWidth="1"/>
    <col min="25" max="25" width="4.5703125" style="31" customWidth="1"/>
    <col min="26" max="26" width="5.92578125" style="31" customWidth="1"/>
    <col min="27" max="27" width="2.42578125" style="31" hidden="1" customWidth="1"/>
    <col min="28" max="28" width="10.42578125" style="33" customWidth="1"/>
    <col min="29" max="16384" width="11.2109375" style="31"/>
  </cols>
  <sheetData>
    <row r="1" spans="1:235" ht="15.75" customHeight="1" x14ac:dyDescent="0.4">
      <c r="A1" s="23"/>
      <c r="C1" s="24"/>
      <c r="D1" s="25"/>
      <c r="E1" s="48"/>
      <c r="F1" s="26"/>
      <c r="G1" s="27"/>
      <c r="H1" s="28"/>
      <c r="I1" s="29"/>
      <c r="J1" s="23"/>
      <c r="K1" s="23"/>
      <c r="L1" s="23"/>
      <c r="M1" s="23"/>
      <c r="N1" s="23"/>
      <c r="O1" s="23"/>
      <c r="P1" s="23" t="s">
        <v>133</v>
      </c>
      <c r="Q1" s="23"/>
      <c r="R1" s="23"/>
      <c r="S1" s="30"/>
      <c r="T1" s="30"/>
      <c r="U1" s="30"/>
      <c r="V1" s="30"/>
      <c r="W1" s="30"/>
      <c r="X1" s="30"/>
      <c r="Y1" s="30"/>
      <c r="Z1" s="30"/>
      <c r="AA1" s="30"/>
      <c r="AB1" s="27"/>
    </row>
    <row r="2" spans="1:235" s="54" customFormat="1" ht="21.75" customHeight="1" x14ac:dyDescent="0.45">
      <c r="A2" s="42" t="s">
        <v>134</v>
      </c>
      <c r="B2" s="42" t="s">
        <v>135</v>
      </c>
      <c r="C2" s="42" t="s">
        <v>136</v>
      </c>
      <c r="D2" s="42" t="s">
        <v>137</v>
      </c>
      <c r="E2" s="53" t="s">
        <v>2</v>
      </c>
      <c r="F2" s="42" t="s">
        <v>138</v>
      </c>
      <c r="G2" s="42" t="s">
        <v>139</v>
      </c>
      <c r="H2" s="42" t="s">
        <v>3</v>
      </c>
      <c r="I2" s="42" t="s">
        <v>140</v>
      </c>
      <c r="J2" s="42"/>
      <c r="K2" s="42" t="s">
        <v>141</v>
      </c>
      <c r="L2" s="42" t="s">
        <v>142</v>
      </c>
      <c r="M2" s="42" t="s">
        <v>143</v>
      </c>
      <c r="N2" s="42" t="s">
        <v>144</v>
      </c>
      <c r="O2" s="42" t="s">
        <v>145</v>
      </c>
      <c r="P2" s="42" t="s">
        <v>146</v>
      </c>
      <c r="Q2" s="42" t="s">
        <v>147</v>
      </c>
      <c r="R2" s="42" t="s">
        <v>148</v>
      </c>
      <c r="S2" s="42" t="s">
        <v>149</v>
      </c>
      <c r="T2" s="42"/>
      <c r="U2" s="42"/>
      <c r="V2" s="42" t="s">
        <v>150</v>
      </c>
      <c r="W2" s="42" t="s">
        <v>151</v>
      </c>
      <c r="X2" s="42" t="s">
        <v>152</v>
      </c>
      <c r="Y2" s="42" t="s">
        <v>153</v>
      </c>
      <c r="Z2" s="42" t="s">
        <v>154</v>
      </c>
      <c r="AA2" s="42"/>
      <c r="AB2" s="42" t="s">
        <v>155</v>
      </c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</row>
    <row r="3" spans="1:235" ht="15" customHeight="1" x14ac:dyDescent="0.4">
      <c r="B3" s="43">
        <v>45476.681377314817</v>
      </c>
      <c r="C3" s="34" t="s">
        <v>5</v>
      </c>
      <c r="D3" s="35">
        <v>45476</v>
      </c>
      <c r="E3" s="51" t="s">
        <v>12</v>
      </c>
      <c r="F3" s="33">
        <v>17</v>
      </c>
      <c r="G3" s="27">
        <f t="shared" ref="G3:G15" si="0">IF(C3="Entrada",F3,-F3)</f>
        <v>17</v>
      </c>
      <c r="H3" s="28" t="str">
        <f>VLOOKUP(E3,'Cadastro Produtos (kiwkiw)'!C:E,3,0)</f>
        <v>Anel Duplo Banho Ouro</v>
      </c>
      <c r="AB3" s="33">
        <v>3047</v>
      </c>
    </row>
    <row r="4" spans="1:235" ht="15" customHeight="1" x14ac:dyDescent="0.4">
      <c r="B4" s="43"/>
      <c r="C4" s="34" t="s">
        <v>5</v>
      </c>
      <c r="D4" s="35">
        <v>45476</v>
      </c>
      <c r="E4" s="51" t="s">
        <v>16</v>
      </c>
      <c r="F4" s="33">
        <v>22</v>
      </c>
      <c r="G4" s="27">
        <f t="shared" si="0"/>
        <v>22</v>
      </c>
      <c r="H4" s="28" t="str">
        <f>VLOOKUP(E4,'Cadastro Produtos (kiwkiw)'!C:E,3,0)</f>
        <v>Anel Etta Banho Ouro</v>
      </c>
      <c r="AB4" s="33">
        <v>3047</v>
      </c>
    </row>
    <row r="5" spans="1:235" ht="15" customHeight="1" x14ac:dyDescent="0.4">
      <c r="C5" s="34" t="s">
        <v>5</v>
      </c>
      <c r="D5" s="35">
        <v>45476</v>
      </c>
      <c r="E5" s="51" t="s">
        <v>19</v>
      </c>
      <c r="F5" s="33">
        <v>7</v>
      </c>
      <c r="G5" s="27">
        <f t="shared" si="0"/>
        <v>7</v>
      </c>
      <c r="H5" s="28" t="str">
        <f>VLOOKUP(E5,'Cadastro Produtos (kiwkiw)'!C:E,3,0)</f>
        <v>Anel Zig Ajustavel Banho Ouro</v>
      </c>
      <c r="AB5" s="33">
        <v>3047</v>
      </c>
    </row>
    <row r="6" spans="1:235" ht="15" customHeight="1" x14ac:dyDescent="0.4">
      <c r="C6" s="34" t="s">
        <v>5</v>
      </c>
      <c r="D6" s="35">
        <v>45476</v>
      </c>
      <c r="E6" s="51" t="s">
        <v>22</v>
      </c>
      <c r="F6" s="33">
        <v>12</v>
      </c>
      <c r="G6" s="27">
        <f t="shared" si="0"/>
        <v>12</v>
      </c>
      <c r="H6" s="28" t="str">
        <f>VLOOKUP(E6,'Cadastro Produtos (kiwkiw)'!C:E,3,0)</f>
        <v>Argola Bold Grande Banho Ouro</v>
      </c>
      <c r="AB6" s="33">
        <v>3047</v>
      </c>
    </row>
    <row r="7" spans="1:235" ht="15" customHeight="1" x14ac:dyDescent="0.4">
      <c r="C7" s="34" t="s">
        <v>5</v>
      </c>
      <c r="D7" s="35">
        <v>45476</v>
      </c>
      <c r="E7" s="51" t="s">
        <v>24</v>
      </c>
      <c r="F7" s="33">
        <v>17</v>
      </c>
      <c r="G7" s="27">
        <f t="shared" si="0"/>
        <v>17</v>
      </c>
      <c r="H7" s="28" t="str">
        <f>VLOOKUP(E7,'Cadastro Produtos (kiwkiw)'!C:E,3,0)</f>
        <v>Argola Bold Pequena Banho Ouro</v>
      </c>
      <c r="I7" s="32" t="s">
        <v>156</v>
      </c>
      <c r="AB7" s="33">
        <v>3047</v>
      </c>
    </row>
    <row r="8" spans="1:235" ht="15" customHeight="1" x14ac:dyDescent="0.4">
      <c r="C8" s="34" t="s">
        <v>5</v>
      </c>
      <c r="D8" s="35">
        <v>45476</v>
      </c>
      <c r="E8" s="51" t="s">
        <v>25</v>
      </c>
      <c r="F8" s="33">
        <v>11</v>
      </c>
      <c r="G8" s="27">
        <f t="shared" si="0"/>
        <v>11</v>
      </c>
      <c r="H8" s="28" t="str">
        <f>VLOOKUP(E8,'Cadastro Produtos (kiwkiw)'!C:E,3,0)</f>
        <v>Argola Amy Banho Ouro</v>
      </c>
      <c r="AB8" s="33">
        <v>3047</v>
      </c>
    </row>
    <row r="9" spans="1:235" ht="15" customHeight="1" x14ac:dyDescent="0.4">
      <c r="C9" s="34" t="s">
        <v>5</v>
      </c>
      <c r="D9" s="35">
        <v>45476</v>
      </c>
      <c r="E9" s="51" t="s">
        <v>26</v>
      </c>
      <c r="F9" s="33">
        <v>12</v>
      </c>
      <c r="G9" s="27">
        <f t="shared" si="0"/>
        <v>12</v>
      </c>
      <c r="H9" s="28" t="str">
        <f>VLOOKUP(E9,'Cadastro Produtos (kiwkiw)'!C:E,3,0)</f>
        <v>Argola Click Grande Banho Ouro</v>
      </c>
      <c r="AB9" s="33">
        <v>3047</v>
      </c>
    </row>
    <row r="10" spans="1:235" ht="15" customHeight="1" x14ac:dyDescent="0.4">
      <c r="C10" s="34" t="s">
        <v>5</v>
      </c>
      <c r="D10" s="35">
        <v>45476</v>
      </c>
      <c r="E10" s="51" t="s">
        <v>27</v>
      </c>
      <c r="F10" s="33">
        <v>12</v>
      </c>
      <c r="G10" s="27">
        <f t="shared" si="0"/>
        <v>12</v>
      </c>
      <c r="H10" s="28" t="str">
        <f>VLOOKUP(E10,'Cadastro Produtos (kiwkiw)'!C:E,3,0)</f>
        <v>Argola Click Media Banho Ouro</v>
      </c>
      <c r="AB10" s="33">
        <v>3047</v>
      </c>
    </row>
    <row r="11" spans="1:235" ht="15" customHeight="1" x14ac:dyDescent="0.4">
      <c r="C11" s="34" t="s">
        <v>5</v>
      </c>
      <c r="D11" s="35">
        <v>45476</v>
      </c>
      <c r="E11" s="51" t="s">
        <v>28</v>
      </c>
      <c r="F11" s="33">
        <v>19</v>
      </c>
      <c r="G11" s="27">
        <f t="shared" si="0"/>
        <v>19</v>
      </c>
      <c r="H11" s="28" t="str">
        <f>VLOOKUP(E11,'Cadastro Produtos (kiwkiw)'!C:E,3,0)</f>
        <v>Argola Click Pequena Banho Ouro</v>
      </c>
      <c r="AB11" s="33">
        <v>3047</v>
      </c>
    </row>
    <row r="12" spans="1:235" ht="15" customHeight="1" x14ac:dyDescent="0.4">
      <c r="C12" s="34" t="s">
        <v>5</v>
      </c>
      <c r="D12" s="35">
        <v>45476</v>
      </c>
      <c r="E12" s="51" t="s">
        <v>29</v>
      </c>
      <c r="F12" s="33">
        <v>19</v>
      </c>
      <c r="G12" s="27">
        <f t="shared" si="0"/>
        <v>19</v>
      </c>
      <c r="H12" s="28" t="str">
        <f>VLOOKUP(E12,'Cadastro Produtos (kiwkiw)'!C:E,3,0)</f>
        <v>Argola Click Diamond Banho Ouro</v>
      </c>
      <c r="AB12" s="33">
        <v>3047</v>
      </c>
    </row>
    <row r="13" spans="1:235" ht="15" customHeight="1" x14ac:dyDescent="0.4">
      <c r="C13" s="34" t="s">
        <v>5</v>
      </c>
      <c r="D13" s="35">
        <v>45476</v>
      </c>
      <c r="E13" s="51" t="s">
        <v>30</v>
      </c>
      <c r="F13" s="33">
        <v>14</v>
      </c>
      <c r="G13" s="27">
        <f t="shared" si="0"/>
        <v>14</v>
      </c>
      <c r="H13" s="28" t="str">
        <f>VLOOKUP(E13,'Cadastro Produtos (kiwkiw)'!C:E,3,0)</f>
        <v>Argola Organica Banho Ouro</v>
      </c>
      <c r="AB13" s="33">
        <v>3047</v>
      </c>
    </row>
    <row r="14" spans="1:235" ht="15" customHeight="1" x14ac:dyDescent="0.4">
      <c r="C14" s="34" t="s">
        <v>5</v>
      </c>
      <c r="D14" s="35">
        <v>45476</v>
      </c>
      <c r="E14" s="51" t="s">
        <v>31</v>
      </c>
      <c r="F14" s="33">
        <v>25</v>
      </c>
      <c r="G14" s="27">
        <f t="shared" si="0"/>
        <v>25</v>
      </c>
      <c r="H14" s="28" t="str">
        <f>VLOOKUP(E14,'Cadastro Produtos (kiwkiw)'!C:E,3,0)</f>
        <v>Argola Reta Basic Banho Ouro</v>
      </c>
      <c r="AB14" s="33">
        <v>3047</v>
      </c>
    </row>
    <row r="15" spans="1:235" ht="15" customHeight="1" x14ac:dyDescent="0.4">
      <c r="C15" s="34" t="s">
        <v>5</v>
      </c>
      <c r="D15" s="35">
        <v>45476</v>
      </c>
      <c r="E15" s="51" t="s">
        <v>32</v>
      </c>
      <c r="F15" s="33">
        <v>29</v>
      </c>
      <c r="G15" s="27">
        <f t="shared" si="0"/>
        <v>29</v>
      </c>
      <c r="H15" s="28" t="str">
        <f>VLOOKUP(E15,'Cadastro Produtos (kiwkiw)'!C:E,3,0)</f>
        <v>Argola Redonda Basic Banho Ouro</v>
      </c>
      <c r="AB15" s="33">
        <v>3047</v>
      </c>
    </row>
    <row r="16" spans="1:235" ht="15" customHeight="1" x14ac:dyDescent="0.4">
      <c r="C16" s="34" t="s">
        <v>5</v>
      </c>
      <c r="D16" s="35">
        <v>45476</v>
      </c>
      <c r="E16" s="51" t="s">
        <v>33</v>
      </c>
      <c r="F16" s="33">
        <v>30</v>
      </c>
      <c r="G16" s="27">
        <f t="shared" ref="G16:G79" si="1">IF(C16="Entrada",F16,-F16)</f>
        <v>30</v>
      </c>
      <c r="H16" s="28" t="str">
        <f>VLOOKUP(E16,'Cadastro Produtos (kiwkiw)'!C:E,3,0)</f>
        <v>Argola Torcida Banho Ouro</v>
      </c>
      <c r="AB16" s="33">
        <v>3047</v>
      </c>
    </row>
    <row r="17" spans="3:28" ht="15" customHeight="1" x14ac:dyDescent="0.4">
      <c r="C17" s="34" t="s">
        <v>5</v>
      </c>
      <c r="D17" s="35">
        <v>45476</v>
      </c>
      <c r="E17" s="51" t="s">
        <v>34</v>
      </c>
      <c r="F17" s="33">
        <v>11</v>
      </c>
      <c r="G17" s="27">
        <f t="shared" si="1"/>
        <v>11</v>
      </c>
      <c r="H17" s="28" t="str">
        <f>VLOOKUP(E17,'Cadastro Produtos (kiwkiw)'!C:E,3,0)</f>
        <v>Argola Tripla Banho Ouro</v>
      </c>
      <c r="AB17" s="33">
        <v>3047</v>
      </c>
    </row>
    <row r="18" spans="3:28" ht="15" customHeight="1" x14ac:dyDescent="0.4">
      <c r="C18" s="34" t="s">
        <v>5</v>
      </c>
      <c r="D18" s="35">
        <v>45476</v>
      </c>
      <c r="E18" s="51" t="s">
        <v>35</v>
      </c>
      <c r="F18" s="33">
        <v>39</v>
      </c>
      <c r="G18" s="27">
        <f t="shared" si="1"/>
        <v>39</v>
      </c>
      <c r="H18" s="28" t="str">
        <f>VLOOKUP(E18,'Cadastro Produtos (kiwkiw)'!C:E,3,0)</f>
        <v>Argola Classy Banho Ouro</v>
      </c>
      <c r="AB18" s="33">
        <v>3047</v>
      </c>
    </row>
    <row r="19" spans="3:28" ht="15" customHeight="1" x14ac:dyDescent="0.4">
      <c r="C19" s="34" t="s">
        <v>5</v>
      </c>
      <c r="D19" s="35">
        <v>45476</v>
      </c>
      <c r="E19" s="51" t="s">
        <v>36</v>
      </c>
      <c r="F19" s="33">
        <v>20</v>
      </c>
      <c r="G19" s="27">
        <f t="shared" si="1"/>
        <v>20</v>
      </c>
      <c r="H19" s="28" t="str">
        <f>VLOOKUP(E19,'Cadastro Produtos (kiwkiw)'!C:E,3,0)</f>
        <v>Argola Classy Prateada</v>
      </c>
      <c r="AB19" s="33">
        <v>3047</v>
      </c>
    </row>
    <row r="20" spans="3:28" ht="15" customHeight="1" x14ac:dyDescent="0.4">
      <c r="C20" s="34" t="s">
        <v>5</v>
      </c>
      <c r="D20" s="35">
        <v>45476</v>
      </c>
      <c r="E20" s="51" t="s">
        <v>37</v>
      </c>
      <c r="F20" s="33">
        <v>10</v>
      </c>
      <c r="G20" s="27">
        <f t="shared" si="1"/>
        <v>10</v>
      </c>
      <c r="H20" s="28" t="str">
        <f>VLOOKUP(E20,'Cadastro Produtos (kiwkiw)'!C:E,3,0)</f>
        <v>Argola Wave Banho Ouro</v>
      </c>
      <c r="AB20" s="33">
        <v>3047</v>
      </c>
    </row>
    <row r="21" spans="3:28" ht="15" customHeight="1" x14ac:dyDescent="0.4">
      <c r="C21" s="34" t="s">
        <v>5</v>
      </c>
      <c r="D21" s="35">
        <v>45476</v>
      </c>
      <c r="E21" s="51" t="s">
        <v>38</v>
      </c>
      <c r="F21" s="33">
        <v>29</v>
      </c>
      <c r="G21" s="27">
        <f t="shared" si="1"/>
        <v>29</v>
      </c>
      <c r="H21" s="28" t="str">
        <f>VLOOKUP(E21,'Cadastro Produtos (kiwkiw)'!C:E,3,0)</f>
        <v>Argolinha Click Dots Banho Ouro</v>
      </c>
      <c r="AB21" s="33">
        <v>3047</v>
      </c>
    </row>
    <row r="22" spans="3:28" ht="15" customHeight="1" x14ac:dyDescent="0.4">
      <c r="C22" s="34" t="s">
        <v>5</v>
      </c>
      <c r="D22" s="35">
        <v>45476</v>
      </c>
      <c r="E22" s="51" t="s">
        <v>39</v>
      </c>
      <c r="F22" s="33">
        <v>9</v>
      </c>
      <c r="G22" s="27">
        <f t="shared" si="1"/>
        <v>9</v>
      </c>
      <c r="H22" s="28" t="str">
        <f>VLOOKUP(E22,'Cadastro Produtos (kiwkiw)'!C:E,3,0)</f>
        <v>Argolinha Click Torcida Banho Ouro</v>
      </c>
      <c r="AB22" s="33">
        <v>3047</v>
      </c>
    </row>
    <row r="23" spans="3:28" ht="15" customHeight="1" x14ac:dyDescent="0.4">
      <c r="C23" s="34" t="s">
        <v>5</v>
      </c>
      <c r="D23" s="35">
        <v>45476</v>
      </c>
      <c r="E23" s="51" t="s">
        <v>40</v>
      </c>
      <c r="F23" s="33">
        <v>28</v>
      </c>
      <c r="G23" s="27">
        <f t="shared" si="1"/>
        <v>28</v>
      </c>
      <c r="H23" s="28" t="str">
        <f>VLOOKUP(E23,'Cadastro Produtos (kiwkiw)'!C:E,3,0)</f>
        <v>Argolinha Folha Banho Ouro</v>
      </c>
      <c r="AB23" s="33">
        <v>3047</v>
      </c>
    </row>
    <row r="24" spans="3:28" ht="15" customHeight="1" x14ac:dyDescent="0.4">
      <c r="C24" s="34" t="s">
        <v>5</v>
      </c>
      <c r="D24" s="35">
        <v>45476</v>
      </c>
      <c r="E24" s="51" t="s">
        <v>41</v>
      </c>
      <c r="F24" s="33">
        <v>14</v>
      </c>
      <c r="G24" s="27">
        <f t="shared" si="1"/>
        <v>14</v>
      </c>
      <c r="H24" s="28" t="str">
        <f>VLOOKUP(E24,'Cadastro Produtos (kiwkiw)'!C:E,3,0)</f>
        <v>Argolinha Sol Banho Ouro</v>
      </c>
      <c r="AB24" s="33">
        <v>3047</v>
      </c>
    </row>
    <row r="25" spans="3:28" ht="15" customHeight="1" x14ac:dyDescent="0.4">
      <c r="C25" s="34" t="s">
        <v>5</v>
      </c>
      <c r="D25" s="35">
        <v>45476</v>
      </c>
      <c r="E25" s="51" t="s">
        <v>42</v>
      </c>
      <c r="F25" s="33">
        <v>14</v>
      </c>
      <c r="G25" s="27">
        <f t="shared" si="1"/>
        <v>14</v>
      </c>
      <c r="H25" s="28" t="str">
        <f>VLOOKUP(E25,'Cadastro Produtos (kiwkiw)'!C:E,3,0)</f>
        <v>Brinco Arco Banho Ouro</v>
      </c>
      <c r="AB25" s="33">
        <v>3047</v>
      </c>
    </row>
    <row r="26" spans="3:28" ht="15" customHeight="1" x14ac:dyDescent="0.4">
      <c r="C26" s="34" t="s">
        <v>5</v>
      </c>
      <c r="D26" s="35">
        <v>45476</v>
      </c>
      <c r="E26" s="51" t="s">
        <v>43</v>
      </c>
      <c r="F26" s="33">
        <v>23</v>
      </c>
      <c r="G26" s="27">
        <f t="shared" si="1"/>
        <v>23</v>
      </c>
      <c r="H26" s="28" t="str">
        <f>VLOOKUP(E26,'Cadastro Produtos (kiwkiw)'!C:E,3,0)</f>
        <v>Brinco Mini Aviao Banho Ouro</v>
      </c>
      <c r="AB26" s="33">
        <v>3047</v>
      </c>
    </row>
    <row r="27" spans="3:28" ht="15" customHeight="1" x14ac:dyDescent="0.4">
      <c r="C27" s="34" t="s">
        <v>5</v>
      </c>
      <c r="D27" s="35">
        <v>45476</v>
      </c>
      <c r="E27" s="51" t="s">
        <v>44</v>
      </c>
      <c r="F27" s="33">
        <v>15</v>
      </c>
      <c r="G27" s="27">
        <f t="shared" si="1"/>
        <v>15</v>
      </c>
      <c r="H27" s="28" t="str">
        <f>VLOOKUP(E27,'Cadastro Produtos (kiwkiw)'!C:E,3,0)</f>
        <v>Brinco Bossa Banho Ouro</v>
      </c>
      <c r="AB27" s="33">
        <v>3047</v>
      </c>
    </row>
    <row r="28" spans="3:28" ht="15" customHeight="1" x14ac:dyDescent="0.4">
      <c r="C28" s="34" t="s">
        <v>5</v>
      </c>
      <c r="D28" s="35">
        <v>45476</v>
      </c>
      <c r="E28" s="51" t="s">
        <v>45</v>
      </c>
      <c r="F28" s="33">
        <v>18</v>
      </c>
      <c r="G28" s="27">
        <f t="shared" si="1"/>
        <v>18</v>
      </c>
      <c r="H28" s="28" t="str">
        <f>VLOOKUP(E28,'Cadastro Produtos (kiwkiw)'!C:E,3,0)</f>
        <v>Brinco Bubble Medio Banho Ouro</v>
      </c>
      <c r="AB28" s="33">
        <v>3047</v>
      </c>
    </row>
    <row r="29" spans="3:28" ht="15" customHeight="1" x14ac:dyDescent="0.4">
      <c r="C29" s="34" t="s">
        <v>5</v>
      </c>
      <c r="D29" s="35">
        <v>45476</v>
      </c>
      <c r="E29" s="51" t="s">
        <v>46</v>
      </c>
      <c r="F29" s="33">
        <v>17</v>
      </c>
      <c r="G29" s="27">
        <f t="shared" si="1"/>
        <v>17</v>
      </c>
      <c r="H29" s="28" t="str">
        <f>VLOOKUP(E29,'Cadastro Produtos (kiwkiw)'!C:E,3,0)</f>
        <v>Brinco Bubble Pequeno Banho Ouro</v>
      </c>
      <c r="AB29" s="33">
        <v>3047</v>
      </c>
    </row>
    <row r="30" spans="3:28" ht="15" customHeight="1" x14ac:dyDescent="0.4">
      <c r="C30" s="34" t="s">
        <v>5</v>
      </c>
      <c r="D30" s="35">
        <v>45476</v>
      </c>
      <c r="E30" s="51" t="s">
        <v>47</v>
      </c>
      <c r="F30" s="33">
        <v>15</v>
      </c>
      <c r="G30" s="27">
        <f t="shared" si="1"/>
        <v>15</v>
      </c>
      <c r="H30" s="28" t="str">
        <f>VLOOKUP(E30,'Cadastro Produtos (kiwkiw)'!C:E,3,0)</f>
        <v>Brinco Circle Banho Ouro</v>
      </c>
      <c r="AB30" s="33">
        <v>3047</v>
      </c>
    </row>
    <row r="31" spans="3:28" ht="15" customHeight="1" x14ac:dyDescent="0.4">
      <c r="C31" s="34" t="s">
        <v>5</v>
      </c>
      <c r="D31" s="35">
        <v>45476</v>
      </c>
      <c r="E31" s="51" t="s">
        <v>48</v>
      </c>
      <c r="F31" s="33">
        <v>24</v>
      </c>
      <c r="G31" s="27">
        <f t="shared" si="1"/>
        <v>24</v>
      </c>
      <c r="H31" s="28" t="str">
        <f>VLOOKUP(E31,'Cadastro Produtos (kiwkiw)'!C:E,3,0)</f>
        <v>Brinco Gota Click Banho Ouro</v>
      </c>
      <c r="AB31" s="33">
        <v>3047</v>
      </c>
    </row>
    <row r="32" spans="3:28" ht="15" customHeight="1" x14ac:dyDescent="0.4">
      <c r="C32" s="34" t="s">
        <v>5</v>
      </c>
      <c r="D32" s="35">
        <v>45476</v>
      </c>
      <c r="E32" s="51" t="s">
        <v>49</v>
      </c>
      <c r="F32" s="33">
        <v>24</v>
      </c>
      <c r="G32" s="27">
        <f t="shared" si="1"/>
        <v>24</v>
      </c>
      <c r="H32" s="28" t="str">
        <f>VLOOKUP(E32,'Cadastro Produtos (kiwkiw)'!C:E,3,0)</f>
        <v>Brinco Coracao Diamond Banho Ouro</v>
      </c>
      <c r="AB32" s="33">
        <v>3047</v>
      </c>
    </row>
    <row r="33" spans="2:28" ht="15" customHeight="1" x14ac:dyDescent="0.4">
      <c r="C33" s="34" t="s">
        <v>5</v>
      </c>
      <c r="D33" s="35">
        <v>45476</v>
      </c>
      <c r="E33" s="51" t="s">
        <v>50</v>
      </c>
      <c r="F33" s="33">
        <v>25</v>
      </c>
      <c r="G33" s="27">
        <f t="shared" si="1"/>
        <v>25</v>
      </c>
      <c r="H33" s="28" t="str">
        <f>VLOOKUP(E33,'Cadastro Produtos (kiwkiw)'!C:E,3,0)</f>
        <v>Brinco Elos Banho Ouro</v>
      </c>
      <c r="AB33" s="33">
        <v>3047</v>
      </c>
    </row>
    <row r="34" spans="2:28" ht="15" customHeight="1" x14ac:dyDescent="0.4">
      <c r="B34" s="43"/>
      <c r="C34" s="34" t="s">
        <v>5</v>
      </c>
      <c r="D34" s="35">
        <v>45476</v>
      </c>
      <c r="E34" s="51" t="s">
        <v>51</v>
      </c>
      <c r="F34" s="33">
        <v>28</v>
      </c>
      <c r="G34" s="27">
        <f t="shared" si="1"/>
        <v>28</v>
      </c>
      <c r="H34" s="28" t="str">
        <f>VLOOKUP(E34,'Cadastro Produtos (kiwkiw)'!C:E,3,0)</f>
        <v>Brinco Mini Flecha Banho Ouro</v>
      </c>
      <c r="AB34" s="33">
        <v>3047</v>
      </c>
    </row>
    <row r="35" spans="2:28" ht="15" customHeight="1" x14ac:dyDescent="0.4">
      <c r="B35" s="43"/>
      <c r="C35" s="34" t="s">
        <v>5</v>
      </c>
      <c r="D35" s="35">
        <v>45476</v>
      </c>
      <c r="E35" s="51" t="s">
        <v>52</v>
      </c>
      <c r="F35" s="33">
        <v>9</v>
      </c>
      <c r="G35" s="27">
        <f t="shared" si="1"/>
        <v>9</v>
      </c>
      <c r="H35" s="28" t="str">
        <f>VLOOKUP(E35,'Cadastro Produtos (kiwkiw)'!C:E,3,0)</f>
        <v>Brinco Leque Banho Ouro</v>
      </c>
      <c r="AB35" s="33">
        <v>3047</v>
      </c>
    </row>
    <row r="36" spans="2:28" ht="15" customHeight="1" x14ac:dyDescent="0.4">
      <c r="B36" s="43"/>
      <c r="C36" s="34" t="s">
        <v>5</v>
      </c>
      <c r="D36" s="35">
        <v>45476</v>
      </c>
      <c r="E36" s="51" t="s">
        <v>53</v>
      </c>
      <c r="F36" s="33">
        <v>28</v>
      </c>
      <c r="G36" s="27">
        <f t="shared" si="1"/>
        <v>28</v>
      </c>
      <c r="H36" s="28" t="str">
        <f>VLOOKUP(E36,'Cadastro Produtos (kiwkiw)'!C:E,3,0)</f>
        <v>Brinco Infinito Banho Ouro</v>
      </c>
      <c r="AB36" s="33">
        <v>3047</v>
      </c>
    </row>
    <row r="37" spans="2:28" ht="15" customHeight="1" x14ac:dyDescent="0.4">
      <c r="B37" s="43"/>
      <c r="C37" s="34" t="s">
        <v>5</v>
      </c>
      <c r="D37" s="35">
        <v>45476</v>
      </c>
      <c r="E37" s="51" t="s">
        <v>54</v>
      </c>
      <c r="F37" s="33">
        <v>30</v>
      </c>
      <c r="G37" s="27">
        <f t="shared" si="1"/>
        <v>30</v>
      </c>
      <c r="H37" s="28" t="str">
        <f>VLOOKUP(E37,'Cadastro Produtos (kiwkiw)'!C:E,3,0)</f>
        <v>Brinco Ivy Banho Ouro</v>
      </c>
      <c r="AB37" s="33">
        <v>3047</v>
      </c>
    </row>
    <row r="38" spans="2:28" ht="15" customHeight="1" x14ac:dyDescent="0.4">
      <c r="C38" s="34" t="s">
        <v>5</v>
      </c>
      <c r="D38" s="35">
        <v>45476</v>
      </c>
      <c r="E38" s="51" t="s">
        <v>55</v>
      </c>
      <c r="F38" s="33">
        <v>16</v>
      </c>
      <c r="G38" s="27">
        <f t="shared" si="1"/>
        <v>16</v>
      </c>
      <c r="H38" s="28" t="str">
        <f>VLOOKUP(E38,'Cadastro Produtos (kiwkiw)'!C:E,3,0)</f>
        <v>Brinco Ivy Prateado</v>
      </c>
      <c r="AB38" s="33">
        <v>3047</v>
      </c>
    </row>
    <row r="39" spans="2:28" ht="15" customHeight="1" x14ac:dyDescent="0.4">
      <c r="C39" s="34" t="s">
        <v>5</v>
      </c>
      <c r="D39" s="35">
        <v>45476</v>
      </c>
      <c r="E39" s="51" t="s">
        <v>56</v>
      </c>
      <c r="F39" s="33">
        <v>21</v>
      </c>
      <c r="G39" s="27">
        <f t="shared" si="1"/>
        <v>21</v>
      </c>
      <c r="H39" s="28" t="str">
        <f>VLOOKUP(E39,'Cadastro Produtos (kiwkiw)'!C:E,3,0)</f>
        <v>Brinco Mini Raio Banho Ouro</v>
      </c>
      <c r="AB39" s="33">
        <v>3047</v>
      </c>
    </row>
    <row r="40" spans="2:28" ht="15" customHeight="1" x14ac:dyDescent="0.4">
      <c r="C40" s="34" t="s">
        <v>5</v>
      </c>
      <c r="D40" s="35">
        <v>45476</v>
      </c>
      <c r="E40" s="51" t="s">
        <v>57</v>
      </c>
      <c r="F40" s="33">
        <v>15</v>
      </c>
      <c r="G40" s="27">
        <f t="shared" si="1"/>
        <v>15</v>
      </c>
      <c r="H40" s="28" t="str">
        <f>VLOOKUP(E40,'Cadastro Produtos (kiwkiw)'!C:E,3,0)</f>
        <v>Brinco Mini Raio Prateado</v>
      </c>
      <c r="AB40" s="33">
        <v>3047</v>
      </c>
    </row>
    <row r="41" spans="2:28" ht="15" customHeight="1" x14ac:dyDescent="0.4">
      <c r="C41" s="34" t="s">
        <v>5</v>
      </c>
      <c r="D41" s="35">
        <v>45476</v>
      </c>
      <c r="E41" s="51" t="s">
        <v>58</v>
      </c>
      <c r="F41" s="33">
        <v>8</v>
      </c>
      <c r="G41" s="27">
        <f t="shared" si="1"/>
        <v>8</v>
      </c>
      <c r="H41" s="28" t="str">
        <f>VLOOKUP(E41,'Cadastro Produtos (kiwkiw)'!C:E,3,0)</f>
        <v>Brinco Mini Triangulo Prateado</v>
      </c>
      <c r="AB41" s="33">
        <v>3047</v>
      </c>
    </row>
    <row r="42" spans="2:28" ht="15" customHeight="1" x14ac:dyDescent="0.4">
      <c r="C42" s="34" t="s">
        <v>5</v>
      </c>
      <c r="D42" s="35">
        <v>45476</v>
      </c>
      <c r="E42" s="51" t="s">
        <v>59</v>
      </c>
      <c r="F42" s="33">
        <v>29</v>
      </c>
      <c r="G42" s="27">
        <f t="shared" si="1"/>
        <v>29</v>
      </c>
      <c r="H42" s="28" t="str">
        <f>VLOOKUP(E42,'Cadastro Produtos (kiwkiw)'!C:E,3,0)</f>
        <v>Brinco Oncinha Banho Ouro</v>
      </c>
      <c r="AB42" s="33">
        <v>3047</v>
      </c>
    </row>
    <row r="43" spans="2:28" ht="15" customHeight="1" x14ac:dyDescent="0.4">
      <c r="C43" s="34" t="s">
        <v>5</v>
      </c>
      <c r="D43" s="35">
        <v>45476</v>
      </c>
      <c r="E43" s="51" t="s">
        <v>60</v>
      </c>
      <c r="F43" s="33">
        <v>19</v>
      </c>
      <c r="G43" s="27">
        <f t="shared" si="1"/>
        <v>19</v>
      </c>
      <c r="H43" s="28" t="str">
        <f>VLOOKUP(E43,'Cadastro Produtos (kiwkiw)'!C:E,3,0)</f>
        <v>Brinco Oncinha Prateado</v>
      </c>
      <c r="AB43" s="33">
        <v>3047</v>
      </c>
    </row>
    <row r="44" spans="2:28" ht="15" customHeight="1" x14ac:dyDescent="0.4">
      <c r="C44" s="34" t="s">
        <v>5</v>
      </c>
      <c r="D44" s="35">
        <v>45476</v>
      </c>
      <c r="E44" s="51" t="s">
        <v>61</v>
      </c>
      <c r="F44" s="33">
        <v>28</v>
      </c>
      <c r="G44" s="27">
        <f t="shared" si="1"/>
        <v>28</v>
      </c>
      <c r="H44" s="28" t="str">
        <f>VLOOKUP(E44,'Cadastro Produtos (kiwkiw)'!C:E,3,0)</f>
        <v>Brinco Setas Banho Ouro</v>
      </c>
      <c r="AB44" s="33">
        <v>3047</v>
      </c>
    </row>
    <row r="45" spans="2:28" ht="15" customHeight="1" x14ac:dyDescent="0.4">
      <c r="C45" s="34" t="s">
        <v>5</v>
      </c>
      <c r="D45" s="35">
        <v>45476</v>
      </c>
      <c r="E45" s="51" t="s">
        <v>62</v>
      </c>
      <c r="F45" s="33">
        <v>16</v>
      </c>
      <c r="G45" s="27">
        <f t="shared" si="1"/>
        <v>16</v>
      </c>
      <c r="H45" s="28" t="str">
        <f>VLOOKUP(E45,'Cadastro Produtos (kiwkiw)'!C:E,3,0)</f>
        <v>Brinco Sol Banho Ouro</v>
      </c>
      <c r="AB45" s="33">
        <v>3047</v>
      </c>
    </row>
    <row r="46" spans="2:28" ht="15" customHeight="1" x14ac:dyDescent="0.4">
      <c r="C46" s="34" t="s">
        <v>5</v>
      </c>
      <c r="D46" s="35">
        <v>45476</v>
      </c>
      <c r="E46" s="51" t="s">
        <v>63</v>
      </c>
      <c r="F46" s="33">
        <v>4</v>
      </c>
      <c r="G46" s="27">
        <f t="shared" si="1"/>
        <v>4</v>
      </c>
      <c r="H46" s="28" t="str">
        <f>VLOOKUP(E46,'Cadastro Produtos (kiwkiw)'!C:E,3,0)</f>
        <v>Brinco Spike Banho Ouro</v>
      </c>
      <c r="AB46" s="33">
        <v>3047</v>
      </c>
    </row>
    <row r="47" spans="2:28" ht="15" customHeight="1" x14ac:dyDescent="0.4">
      <c r="C47" s="34" t="s">
        <v>5</v>
      </c>
      <c r="D47" s="35">
        <v>45476</v>
      </c>
      <c r="E47" s="51" t="s">
        <v>64</v>
      </c>
      <c r="F47" s="33">
        <v>26</v>
      </c>
      <c r="G47" s="27">
        <f t="shared" si="1"/>
        <v>26</v>
      </c>
      <c r="H47" s="28" t="str">
        <f>VLOOKUP(E47,'Cadastro Produtos (kiwkiw)'!C:E,3,0)</f>
        <v>Brinco Spike Prateado</v>
      </c>
      <c r="AB47" s="33">
        <v>3047</v>
      </c>
    </row>
    <row r="48" spans="2:28" ht="15" customHeight="1" x14ac:dyDescent="0.4">
      <c r="C48" s="34" t="s">
        <v>5</v>
      </c>
      <c r="D48" s="35">
        <v>45476</v>
      </c>
      <c r="E48" s="51" t="s">
        <v>65</v>
      </c>
      <c r="F48" s="33">
        <v>13</v>
      </c>
      <c r="G48" s="27">
        <f t="shared" si="1"/>
        <v>13</v>
      </c>
      <c r="H48" s="28" t="str">
        <f>VLOOKUP(E48,'Cadastro Produtos (kiwkiw)'!C:E,3,0)</f>
        <v>Brinco Spring Banho Ouro</v>
      </c>
      <c r="AB48" s="33">
        <v>3047</v>
      </c>
    </row>
    <row r="49" spans="3:28" ht="15" customHeight="1" x14ac:dyDescent="0.4">
      <c r="C49" s="34" t="s">
        <v>5</v>
      </c>
      <c r="D49" s="35">
        <v>45476</v>
      </c>
      <c r="E49" s="51" t="s">
        <v>66</v>
      </c>
      <c r="F49" s="33">
        <v>10</v>
      </c>
      <c r="G49" s="27">
        <f t="shared" si="1"/>
        <v>10</v>
      </c>
      <c r="H49" s="28" t="str">
        <f>VLOOKUP(E49,'Cadastro Produtos (kiwkiw)'!C:E,3,0)</f>
        <v>Brinco Square Banho Ouro</v>
      </c>
      <c r="AB49" s="33">
        <v>3047</v>
      </c>
    </row>
    <row r="50" spans="3:28" ht="15" customHeight="1" x14ac:dyDescent="0.4">
      <c r="C50" s="34" t="s">
        <v>5</v>
      </c>
      <c r="D50" s="35">
        <v>45476</v>
      </c>
      <c r="E50" s="51" t="s">
        <v>67</v>
      </c>
      <c r="F50" s="33">
        <v>29</v>
      </c>
      <c r="G50" s="27">
        <f t="shared" si="1"/>
        <v>29</v>
      </c>
      <c r="H50" s="28" t="str">
        <f>VLOOKUP(E50,'Cadastro Produtos (kiwkiw)'!C:E,3,0)</f>
        <v>Brinco Tubinho Grande Banho Ouro</v>
      </c>
      <c r="AB50" s="33">
        <v>3047</v>
      </c>
    </row>
    <row r="51" spans="3:28" ht="15" customHeight="1" x14ac:dyDescent="0.4">
      <c r="C51" s="34" t="s">
        <v>5</v>
      </c>
      <c r="D51" s="35">
        <v>45476</v>
      </c>
      <c r="E51" s="51" t="s">
        <v>68</v>
      </c>
      <c r="F51" s="33">
        <v>29</v>
      </c>
      <c r="G51" s="27">
        <f t="shared" si="1"/>
        <v>29</v>
      </c>
      <c r="H51" s="28" t="str">
        <f>VLOOKUP(E51,'Cadastro Produtos (kiwkiw)'!C:E,3,0)</f>
        <v>Brinco Tubinho Medio Banho Ouro</v>
      </c>
      <c r="AB51" s="33">
        <v>3047</v>
      </c>
    </row>
    <row r="52" spans="3:28" ht="15" customHeight="1" x14ac:dyDescent="0.4">
      <c r="C52" s="34" t="s">
        <v>5</v>
      </c>
      <c r="D52" s="35">
        <v>45476</v>
      </c>
      <c r="E52" s="51" t="s">
        <v>69</v>
      </c>
      <c r="F52" s="33">
        <v>30</v>
      </c>
      <c r="G52" s="27">
        <f t="shared" si="1"/>
        <v>30</v>
      </c>
      <c r="H52" s="28" t="str">
        <f>VLOOKUP(E52,'Cadastro Produtos (kiwkiw)'!C:E,3,0)</f>
        <v>Brinco Tubinho Pequeno Banho Ouro</v>
      </c>
      <c r="AB52" s="33">
        <v>3047</v>
      </c>
    </row>
    <row r="53" spans="3:28" ht="15" customHeight="1" x14ac:dyDescent="0.4">
      <c r="C53" s="34" t="s">
        <v>5</v>
      </c>
      <c r="D53" s="35">
        <v>45476</v>
      </c>
      <c r="E53" s="51" t="s">
        <v>70</v>
      </c>
      <c r="F53" s="33">
        <v>29</v>
      </c>
      <c r="G53" s="27">
        <f t="shared" si="1"/>
        <v>29</v>
      </c>
      <c r="H53" s="28" t="str">
        <f>VLOOKUP(E53,'Cadastro Produtos (kiwkiw)'!C:E,3,0)</f>
        <v>Brinco Geometrico Banho Ouro</v>
      </c>
      <c r="AB53" s="33">
        <v>3047</v>
      </c>
    </row>
    <row r="54" spans="3:28" ht="15" customHeight="1" x14ac:dyDescent="0.4">
      <c r="C54" s="34" t="s">
        <v>5</v>
      </c>
      <c r="D54" s="35">
        <v>45476</v>
      </c>
      <c r="E54" s="51" t="s">
        <v>71</v>
      </c>
      <c r="F54" s="33">
        <v>20</v>
      </c>
      <c r="G54" s="27">
        <f t="shared" si="1"/>
        <v>20</v>
      </c>
      <c r="H54" s="28" t="str">
        <f>VLOOKUP(E54,'Cadastro Produtos (kiwkiw)'!C:E,3,0)</f>
        <v>Ear Cuff Minimal Banho Ouro</v>
      </c>
      <c r="AB54" s="33">
        <v>3047</v>
      </c>
    </row>
    <row r="55" spans="3:28" ht="15" customHeight="1" x14ac:dyDescent="0.4">
      <c r="C55" s="34" t="s">
        <v>5</v>
      </c>
      <c r="D55" s="35">
        <v>45476</v>
      </c>
      <c r="E55" s="51" t="s">
        <v>72</v>
      </c>
      <c r="F55" s="33">
        <v>23</v>
      </c>
      <c r="G55" s="27">
        <f t="shared" si="1"/>
        <v>23</v>
      </c>
      <c r="H55" s="28" t="str">
        <f>VLOOKUP(E55,'Cadastro Produtos (kiwkiw)'!C:E,3,0)</f>
        <v>Ear Hook Line Banho Ouro</v>
      </c>
      <c r="AB55" s="33">
        <v>3047</v>
      </c>
    </row>
    <row r="56" spans="3:28" ht="15" customHeight="1" x14ac:dyDescent="0.4">
      <c r="C56" s="34" t="s">
        <v>5</v>
      </c>
      <c r="D56" s="35">
        <v>45476</v>
      </c>
      <c r="E56" s="51" t="s">
        <v>73</v>
      </c>
      <c r="F56" s="33">
        <v>16</v>
      </c>
      <c r="G56" s="27">
        <f t="shared" si="1"/>
        <v>16</v>
      </c>
      <c r="H56" s="28" t="str">
        <f>VLOOKUP(E56,'Cadastro Produtos (kiwkiw)'!C:E,3,0)</f>
        <v>Ear Hook Line Prateado</v>
      </c>
      <c r="AB56" s="33">
        <v>3047</v>
      </c>
    </row>
    <row r="57" spans="3:28" ht="15" customHeight="1" x14ac:dyDescent="0.4">
      <c r="C57" s="34" t="s">
        <v>5</v>
      </c>
      <c r="D57" s="35">
        <v>45476</v>
      </c>
      <c r="E57" s="51" t="s">
        <v>74</v>
      </c>
      <c r="F57" s="33">
        <v>24</v>
      </c>
      <c r="G57" s="27">
        <f t="shared" si="1"/>
        <v>24</v>
      </c>
      <c r="H57" s="28" t="str">
        <f>VLOOKUP(E57,'Cadastro Produtos (kiwkiw)'!C:E,3,0)</f>
        <v>Ear Hook Hug Banho Ouro</v>
      </c>
      <c r="AB57" s="33">
        <v>3047</v>
      </c>
    </row>
    <row r="58" spans="3:28" ht="15" customHeight="1" x14ac:dyDescent="0.4">
      <c r="C58" s="34" t="s">
        <v>5</v>
      </c>
      <c r="D58" s="35">
        <v>45476</v>
      </c>
      <c r="E58" s="51" t="s">
        <v>75</v>
      </c>
      <c r="F58" s="33">
        <v>11</v>
      </c>
      <c r="G58" s="27">
        <f t="shared" si="1"/>
        <v>11</v>
      </c>
      <c r="H58" s="28" t="str">
        <f>VLOOKUP(E58,'Cadastro Produtos (kiwkiw)'!C:E,3,0)</f>
        <v>Ear Hook Diamond Banho Ouro</v>
      </c>
      <c r="AB58" s="33">
        <v>3047</v>
      </c>
    </row>
    <row r="59" spans="3:28" ht="15" customHeight="1" x14ac:dyDescent="0.4">
      <c r="C59" s="34" t="s">
        <v>5</v>
      </c>
      <c r="D59" s="35">
        <v>45476</v>
      </c>
      <c r="E59" s="51" t="s">
        <v>76</v>
      </c>
      <c r="F59" s="33">
        <v>29</v>
      </c>
      <c r="G59" s="27">
        <f t="shared" si="1"/>
        <v>29</v>
      </c>
      <c r="H59" s="28" t="str">
        <f>VLOOKUP(E59,'Cadastro Produtos (kiwkiw)'!C:E,3,0)</f>
        <v>EarHook Dots Banho Ouro</v>
      </c>
      <c r="AB59" s="33">
        <v>3047</v>
      </c>
    </row>
    <row r="60" spans="3:28" ht="15" customHeight="1" x14ac:dyDescent="0.4">
      <c r="C60" s="34" t="s">
        <v>5</v>
      </c>
      <c r="D60" s="35">
        <v>45476</v>
      </c>
      <c r="E60" s="51" t="s">
        <v>77</v>
      </c>
      <c r="F60" s="33">
        <v>49</v>
      </c>
      <c r="G60" s="27">
        <f t="shared" si="1"/>
        <v>49</v>
      </c>
      <c r="H60" s="28" t="str">
        <f>VLOOKUP(E60,'Cadastro Produtos (kiwkiw)'!C:E,3,0)</f>
        <v>EarHook Torcido Banho Ouro</v>
      </c>
      <c r="AB60" s="33">
        <v>3047</v>
      </c>
    </row>
    <row r="61" spans="3:28" ht="15" customHeight="1" x14ac:dyDescent="0.4">
      <c r="C61" s="34" t="s">
        <v>5</v>
      </c>
      <c r="D61" s="35">
        <v>45476</v>
      </c>
      <c r="E61" s="51" t="s">
        <v>78</v>
      </c>
      <c r="F61" s="33">
        <v>15</v>
      </c>
      <c r="G61" s="27">
        <f t="shared" si="1"/>
        <v>15</v>
      </c>
      <c r="H61" s="28" t="str">
        <f>VLOOKUP(E61,'Cadastro Produtos (kiwkiw)'!C:E,3,0)</f>
        <v>EarHook Torcido Prateado</v>
      </c>
      <c r="AB61" s="33">
        <v>3047</v>
      </c>
    </row>
    <row r="62" spans="3:28" ht="15" customHeight="1" x14ac:dyDescent="0.4">
      <c r="C62" s="34" t="s">
        <v>5</v>
      </c>
      <c r="D62" s="35">
        <v>45476</v>
      </c>
      <c r="E62" s="51" t="s">
        <v>79</v>
      </c>
      <c r="F62" s="33">
        <v>27</v>
      </c>
      <c r="G62" s="27">
        <f t="shared" si="1"/>
        <v>27</v>
      </c>
      <c r="H62" s="28" t="str">
        <f>VLOOKUP(E62,'Cadastro Produtos (kiwkiw)'!C:E,3,0)</f>
        <v>Kit Brincos Coracao e Triangulo Banho Ouro</v>
      </c>
      <c r="AB62" s="33">
        <v>3047</v>
      </c>
    </row>
    <row r="63" spans="3:28" ht="15" customHeight="1" x14ac:dyDescent="0.4">
      <c r="C63" s="34" t="s">
        <v>5</v>
      </c>
      <c r="D63" s="35">
        <v>45476</v>
      </c>
      <c r="E63" s="51" t="s">
        <v>80</v>
      </c>
      <c r="F63" s="33">
        <v>13</v>
      </c>
      <c r="G63" s="27">
        <f t="shared" si="1"/>
        <v>13</v>
      </c>
      <c r="H63" s="28" t="str">
        <f>VLOOKUP(E63,'Cadastro Produtos (kiwkiw)'!C:E,3,0)</f>
        <v>Meia Argola Croissant Banho Ouro</v>
      </c>
      <c r="AB63" s="33">
        <v>3047</v>
      </c>
    </row>
    <row r="64" spans="3:28" ht="15" customHeight="1" x14ac:dyDescent="0.4">
      <c r="C64" s="34" t="s">
        <v>5</v>
      </c>
      <c r="D64" s="35">
        <v>45476</v>
      </c>
      <c r="E64" s="51" t="s">
        <v>81</v>
      </c>
      <c r="F64" s="33">
        <v>8</v>
      </c>
      <c r="G64" s="27">
        <f t="shared" si="1"/>
        <v>8</v>
      </c>
      <c r="H64" s="28" t="str">
        <f>VLOOKUP(E64,'Cadastro Produtos (kiwkiw)'!C:E,3,0)</f>
        <v>Meia Argola Croissant Prateada</v>
      </c>
      <c r="AB64" s="33">
        <v>3047</v>
      </c>
    </row>
    <row r="65" spans="2:28" ht="15" customHeight="1" x14ac:dyDescent="0.4">
      <c r="B65" s="43"/>
      <c r="C65" s="34" t="s">
        <v>5</v>
      </c>
      <c r="D65" s="35">
        <v>45476</v>
      </c>
      <c r="E65" s="51" t="s">
        <v>82</v>
      </c>
      <c r="F65" s="33">
        <v>29</v>
      </c>
      <c r="G65" s="27">
        <f t="shared" si="1"/>
        <v>29</v>
      </c>
      <c r="H65" s="28" t="str">
        <f>VLOOKUP(E65,'Cadastro Produtos (kiwkiw)'!C:E,3,0)</f>
        <v>Meia Argola Diamond Banho Ouro</v>
      </c>
      <c r="AB65" s="33">
        <v>3047</v>
      </c>
    </row>
    <row r="66" spans="2:28" ht="15" customHeight="1" x14ac:dyDescent="0.4">
      <c r="C66" s="34" t="s">
        <v>5</v>
      </c>
      <c r="D66" s="35">
        <v>45476</v>
      </c>
      <c r="E66" s="51" t="s">
        <v>83</v>
      </c>
      <c r="F66" s="33">
        <v>25</v>
      </c>
      <c r="G66" s="27">
        <f t="shared" si="1"/>
        <v>25</v>
      </c>
      <c r="H66" s="28" t="str">
        <f>VLOOKUP(E66,'Cadastro Produtos (kiwkiw)'!C:E,3,0)</f>
        <v>Mini Argola Classy Banho Ouro</v>
      </c>
      <c r="AB66" s="33">
        <v>3047</v>
      </c>
    </row>
    <row r="67" spans="2:28" ht="15" customHeight="1" x14ac:dyDescent="0.4">
      <c r="C67" s="34" t="s">
        <v>5</v>
      </c>
      <c r="D67" s="35">
        <v>45476</v>
      </c>
      <c r="E67" s="51" t="s">
        <v>84</v>
      </c>
      <c r="F67" s="33">
        <v>18</v>
      </c>
      <c r="G67" s="27">
        <f t="shared" si="1"/>
        <v>18</v>
      </c>
      <c r="H67" s="28" t="str">
        <f>VLOOKUP(E67,'Cadastro Produtos (kiwkiw)'!C:E,3,0)</f>
        <v>Mini Argola Classy Prateada</v>
      </c>
      <c r="AB67" s="33">
        <v>3047</v>
      </c>
    </row>
    <row r="68" spans="2:28" ht="15" customHeight="1" x14ac:dyDescent="0.4">
      <c r="C68" s="34" t="s">
        <v>5</v>
      </c>
      <c r="D68" s="35">
        <v>45476</v>
      </c>
      <c r="E68" s="51" t="s">
        <v>85</v>
      </c>
      <c r="F68" s="33">
        <v>29</v>
      </c>
      <c r="G68" s="27">
        <f t="shared" si="1"/>
        <v>29</v>
      </c>
      <c r="H68" s="28" t="str">
        <f>VLOOKUP(E68,'Cadastro Produtos (kiwkiw)'!C:E,3,0)</f>
        <v>Piercing Fake Dots Banho Ouro</v>
      </c>
      <c r="AB68" s="33">
        <v>3047</v>
      </c>
    </row>
    <row r="69" spans="2:28" ht="15" customHeight="1" x14ac:dyDescent="0.4">
      <c r="C69" s="34" t="s">
        <v>5</v>
      </c>
      <c r="D69" s="35">
        <v>45476</v>
      </c>
      <c r="E69" s="51" t="s">
        <v>86</v>
      </c>
      <c r="F69" s="33">
        <v>30</v>
      </c>
      <c r="G69" s="27">
        <f t="shared" si="1"/>
        <v>30</v>
      </c>
      <c r="H69" s="28" t="str">
        <f>VLOOKUP(E69,'Cadastro Produtos (kiwkiw)'!C:E,3,0)</f>
        <v>Piercing Fake Minimal Banho Ouro</v>
      </c>
      <c r="I69" s="32" t="s">
        <v>157</v>
      </c>
      <c r="AB69" s="33">
        <v>3047</v>
      </c>
    </row>
    <row r="70" spans="2:28" ht="15" customHeight="1" x14ac:dyDescent="0.4">
      <c r="B70" s="43"/>
      <c r="C70" s="34" t="s">
        <v>5</v>
      </c>
      <c r="D70" s="35">
        <v>45476</v>
      </c>
      <c r="E70" s="51" t="s">
        <v>87</v>
      </c>
      <c r="F70" s="33">
        <v>19</v>
      </c>
      <c r="G70" s="27">
        <f t="shared" si="1"/>
        <v>19</v>
      </c>
      <c r="H70" s="28" t="str">
        <f>VLOOKUP(E70,'Cadastro Produtos (kiwkiw)'!C:E,3,0)</f>
        <v>Piercing Fake Classy Banho Ouro</v>
      </c>
      <c r="AB70" s="33">
        <v>3047</v>
      </c>
    </row>
    <row r="71" spans="2:28" ht="15" customHeight="1" x14ac:dyDescent="0.4">
      <c r="C71" s="34" t="s">
        <v>5</v>
      </c>
      <c r="D71" s="35">
        <v>45476</v>
      </c>
      <c r="E71" s="51" t="s">
        <v>88</v>
      </c>
      <c r="F71" s="33">
        <v>9</v>
      </c>
      <c r="G71" s="27">
        <f t="shared" si="1"/>
        <v>9</v>
      </c>
      <c r="H71" s="28" t="str">
        <f>VLOOKUP(E71,'Cadastro Produtos (kiwkiw)'!C:E,3,0)</f>
        <v>Piercing Fake Classy Prateado</v>
      </c>
      <c r="AB71" s="33">
        <v>3047</v>
      </c>
    </row>
    <row r="72" spans="2:28" ht="15" customHeight="1" x14ac:dyDescent="0.4">
      <c r="C72" s="34" t="s">
        <v>5</v>
      </c>
      <c r="D72" s="35">
        <v>45476</v>
      </c>
      <c r="E72" s="51" t="s">
        <v>89</v>
      </c>
      <c r="F72" s="33">
        <v>26</v>
      </c>
      <c r="G72" s="27">
        <f t="shared" si="1"/>
        <v>26</v>
      </c>
      <c r="H72" s="28" t="str">
        <f>VLOOKUP(E72,'Cadastro Produtos (kiwkiw)'!C:E,3,0)</f>
        <v>Colar Dot Banho Ouro</v>
      </c>
      <c r="AB72" s="33">
        <v>3047</v>
      </c>
    </row>
    <row r="73" spans="2:28" ht="15" customHeight="1" x14ac:dyDescent="0.4">
      <c r="C73" s="34" t="s">
        <v>5</v>
      </c>
      <c r="D73" s="35">
        <v>45476</v>
      </c>
      <c r="E73" s="51" t="s">
        <v>90</v>
      </c>
      <c r="F73" s="33">
        <v>19</v>
      </c>
      <c r="G73" s="27">
        <f t="shared" si="1"/>
        <v>19</v>
      </c>
      <c r="H73" s="28" t="str">
        <f>VLOOKUP(E73,'Cadastro Produtos (kiwkiw)'!C:E,3,0)</f>
        <v>Colar Dot Prateado</v>
      </c>
      <c r="AB73" s="33">
        <v>3047</v>
      </c>
    </row>
    <row r="74" spans="2:28" ht="15" customHeight="1" x14ac:dyDescent="0.4">
      <c r="C74" s="34" t="s">
        <v>5</v>
      </c>
      <c r="D74" s="35">
        <v>45476</v>
      </c>
      <c r="E74" s="51" t="s">
        <v>91</v>
      </c>
      <c r="F74" s="33">
        <v>20</v>
      </c>
      <c r="G74" s="27">
        <f t="shared" si="1"/>
        <v>20</v>
      </c>
      <c r="H74" s="28" t="str">
        <f>VLOOKUP(E74,'Cadastro Produtos (kiwkiw)'!C:E,3,0)</f>
        <v>Colar Rosa dos Ventos Banho Ouro</v>
      </c>
      <c r="AB74" s="33">
        <v>3047</v>
      </c>
    </row>
    <row r="75" spans="2:28" ht="15" customHeight="1" x14ac:dyDescent="0.4">
      <c r="C75" s="34" t="s">
        <v>5</v>
      </c>
      <c r="D75" s="35">
        <v>45476</v>
      </c>
      <c r="E75" s="51" t="s">
        <v>92</v>
      </c>
      <c r="F75" s="33">
        <v>45</v>
      </c>
      <c r="G75" s="27">
        <f t="shared" si="1"/>
        <v>45</v>
      </c>
      <c r="H75" s="28" t="str">
        <f>VLOOKUP(E75,'Cadastro Produtos (kiwkiw)'!C:E,3,0)</f>
        <v>Colar Coracao Banho Ouro</v>
      </c>
      <c r="AB75" s="33">
        <v>3047</v>
      </c>
    </row>
    <row r="76" spans="2:28" ht="15" customHeight="1" x14ac:dyDescent="0.4">
      <c r="C76" s="34" t="s">
        <v>5</v>
      </c>
      <c r="D76" s="35">
        <v>45476</v>
      </c>
      <c r="E76" s="51" t="s">
        <v>93</v>
      </c>
      <c r="F76" s="33">
        <v>27</v>
      </c>
      <c r="G76" s="27">
        <f t="shared" si="1"/>
        <v>27</v>
      </c>
      <c r="H76" s="28" t="str">
        <f>VLOOKUP(E76,'Cadastro Produtos (kiwkiw)'!C:E,3,0)</f>
        <v>Colar Coracao Prateado</v>
      </c>
      <c r="AB76" s="33">
        <v>3047</v>
      </c>
    </row>
    <row r="77" spans="2:28" ht="15" customHeight="1" x14ac:dyDescent="0.4">
      <c r="B77" s="43"/>
      <c r="C77" s="34" t="s">
        <v>5</v>
      </c>
      <c r="D77" s="35">
        <v>45476</v>
      </c>
      <c r="E77" s="51" t="s">
        <v>94</v>
      </c>
      <c r="F77" s="33">
        <v>25</v>
      </c>
      <c r="G77" s="27">
        <f t="shared" si="1"/>
        <v>25</v>
      </c>
      <c r="H77" s="28" t="str">
        <f>VLOOKUP(E77,'Cadastro Produtos (kiwkiw)'!C:E,3,0)</f>
        <v>Colar Duplo Dots Banho Ouro</v>
      </c>
      <c r="AB77" s="33">
        <v>3047</v>
      </c>
    </row>
    <row r="78" spans="2:28" ht="15" customHeight="1" x14ac:dyDescent="0.4">
      <c r="C78" s="34" t="s">
        <v>5</v>
      </c>
      <c r="D78" s="35">
        <v>45476</v>
      </c>
      <c r="E78" s="51" t="s">
        <v>95</v>
      </c>
      <c r="F78" s="33">
        <v>19</v>
      </c>
      <c r="G78" s="27">
        <f t="shared" si="1"/>
        <v>19</v>
      </c>
      <c r="H78" s="28" t="str">
        <f>VLOOKUP(E78,'Cadastro Produtos (kiwkiw)'!C:E,3,0)</f>
        <v>Colar Duplo Dots Prateado</v>
      </c>
      <c r="AB78" s="33">
        <v>3047</v>
      </c>
    </row>
    <row r="79" spans="2:28" ht="15" customHeight="1" x14ac:dyDescent="0.4">
      <c r="C79" s="34" t="s">
        <v>5</v>
      </c>
      <c r="D79" s="35">
        <v>45476</v>
      </c>
      <c r="E79" s="51" t="s">
        <v>96</v>
      </c>
      <c r="F79" s="33">
        <v>13</v>
      </c>
      <c r="G79" s="27">
        <f t="shared" si="1"/>
        <v>13</v>
      </c>
      <c r="H79" s="28" t="str">
        <f>VLOOKUP(E79,'Cadastro Produtos (kiwkiw)'!C:E,3,0)</f>
        <v>Colar Duplo Minimal Banho Ouro</v>
      </c>
      <c r="AB79" s="33">
        <v>3047</v>
      </c>
    </row>
    <row r="80" spans="2:28" ht="15" customHeight="1" x14ac:dyDescent="0.4">
      <c r="C80" s="34" t="s">
        <v>5</v>
      </c>
      <c r="D80" s="35">
        <v>45476</v>
      </c>
      <c r="E80" s="51" t="s">
        <v>97</v>
      </c>
      <c r="F80" s="33">
        <v>8</v>
      </c>
      <c r="G80" s="27">
        <f t="shared" ref="G80:G143" si="2">IF(C80="Entrada",F80,-F80)</f>
        <v>8</v>
      </c>
      <c r="H80" s="28" t="str">
        <f>VLOOKUP(E80,'Cadastro Produtos (kiwkiw)'!C:E,3,0)</f>
        <v>Colar Duplo Minimal Prateado</v>
      </c>
      <c r="AB80" s="33">
        <v>3047</v>
      </c>
    </row>
    <row r="81" spans="2:28" ht="15" customHeight="1" x14ac:dyDescent="0.4">
      <c r="C81" s="34" t="s">
        <v>5</v>
      </c>
      <c r="D81" s="35">
        <v>45476</v>
      </c>
      <c r="E81" s="51" t="s">
        <v>98</v>
      </c>
      <c r="F81" s="33">
        <v>11</v>
      </c>
      <c r="G81" s="27">
        <f t="shared" si="2"/>
        <v>11</v>
      </c>
      <c r="H81" s="28" t="str">
        <f>VLOOKUP(E81,'Cadastro Produtos (kiwkiw)'!C:E,3,0)</f>
        <v>Colar Longo Esfera Banho Ouro</v>
      </c>
      <c r="AB81" s="33">
        <v>3047</v>
      </c>
    </row>
    <row r="82" spans="2:28" ht="15" customHeight="1" x14ac:dyDescent="0.4">
      <c r="C82" s="34" t="s">
        <v>5</v>
      </c>
      <c r="D82" s="35">
        <v>45476</v>
      </c>
      <c r="E82" s="51" t="s">
        <v>99</v>
      </c>
      <c r="F82" s="33">
        <v>20</v>
      </c>
      <c r="G82" s="27">
        <f t="shared" si="2"/>
        <v>20</v>
      </c>
      <c r="H82" s="28" t="str">
        <f>VLOOKUP(E82,'Cadastro Produtos (kiwkiw)'!C:E,3,0)</f>
        <v>Colar Esfera Medio Banho Ouro</v>
      </c>
      <c r="AB82" s="33">
        <v>3047</v>
      </c>
    </row>
    <row r="83" spans="2:28" ht="15" customHeight="1" x14ac:dyDescent="0.4">
      <c r="C83" s="34" t="s">
        <v>5</v>
      </c>
      <c r="D83" s="35">
        <v>45476</v>
      </c>
      <c r="E83" s="51" t="s">
        <v>100</v>
      </c>
      <c r="F83" s="33">
        <v>22</v>
      </c>
      <c r="G83" s="27">
        <f t="shared" si="2"/>
        <v>22</v>
      </c>
      <c r="H83" s="28" t="str">
        <f>VLOOKUP(E83,'Cadastro Produtos (kiwkiw)'!C:E,3,0)</f>
        <v>Colar Esfera Pequeno Banho Ouro</v>
      </c>
      <c r="AB83" s="33">
        <v>3047</v>
      </c>
    </row>
    <row r="84" spans="2:28" ht="15" customHeight="1" x14ac:dyDescent="0.4">
      <c r="C84" s="34" t="s">
        <v>5</v>
      </c>
      <c r="D84" s="35">
        <v>45476</v>
      </c>
      <c r="E84" s="51" t="s">
        <v>101</v>
      </c>
      <c r="F84" s="33">
        <v>12</v>
      </c>
      <c r="G84" s="27">
        <f t="shared" si="2"/>
        <v>12</v>
      </c>
      <c r="H84" s="28" t="str">
        <f>VLOOKUP(E84,'Cadastro Produtos (kiwkiw)'!C:E,3,0)</f>
        <v>Colar Longo Medalha Coracao Banho Ouro</v>
      </c>
      <c r="AB84" s="33">
        <v>3047</v>
      </c>
    </row>
    <row r="85" spans="2:28" ht="15" customHeight="1" x14ac:dyDescent="0.4">
      <c r="C85" s="34" t="s">
        <v>5</v>
      </c>
      <c r="D85" s="35">
        <v>45476</v>
      </c>
      <c r="E85" s="51" t="s">
        <v>102</v>
      </c>
      <c r="F85" s="33">
        <v>26</v>
      </c>
      <c r="G85" s="27">
        <f t="shared" si="2"/>
        <v>26</v>
      </c>
      <c r="H85" s="28" t="str">
        <f>VLOOKUP(E85,'Cadastro Produtos (kiwkiw)'!C:E,3,0)</f>
        <v>Colar Longo Lua Banho Ouro</v>
      </c>
      <c r="AB85" s="33">
        <v>3047</v>
      </c>
    </row>
    <row r="86" spans="2:28" ht="15" customHeight="1" x14ac:dyDescent="0.4">
      <c r="C86" s="34" t="s">
        <v>5</v>
      </c>
      <c r="D86" s="35">
        <v>45476</v>
      </c>
      <c r="E86" s="51" t="s">
        <v>103</v>
      </c>
      <c r="F86" s="33">
        <v>26</v>
      </c>
      <c r="G86" s="27">
        <f t="shared" si="2"/>
        <v>26</v>
      </c>
      <c r="H86" s="28" t="str">
        <f>VLOOKUP(E86,'Cadastro Produtos (kiwkiw)'!C:E,3,0)</f>
        <v>Colar Ivy Banho Ouro</v>
      </c>
      <c r="AB86" s="33">
        <v>3047</v>
      </c>
    </row>
    <row r="87" spans="2:28" ht="15" customHeight="1" x14ac:dyDescent="0.4">
      <c r="C87" s="34" t="s">
        <v>5</v>
      </c>
      <c r="D87" s="35">
        <v>45476</v>
      </c>
      <c r="E87" s="51" t="s">
        <v>104</v>
      </c>
      <c r="F87" s="33">
        <v>19</v>
      </c>
      <c r="G87" s="27">
        <f t="shared" si="2"/>
        <v>19</v>
      </c>
      <c r="H87" s="28" t="str">
        <f>VLOOKUP(E87,'Cadastro Produtos (kiwkiw)'!C:E,3,0)</f>
        <v>Colar Ivy Prateado</v>
      </c>
      <c r="AB87" s="33">
        <v>3047</v>
      </c>
    </row>
    <row r="88" spans="2:28" ht="15" customHeight="1" x14ac:dyDescent="0.4">
      <c r="C88" s="34" t="s">
        <v>5</v>
      </c>
      <c r="D88" s="35">
        <v>45476</v>
      </c>
      <c r="E88" s="51" t="s">
        <v>105</v>
      </c>
      <c r="F88" s="33">
        <v>15</v>
      </c>
      <c r="G88" s="27">
        <f t="shared" si="2"/>
        <v>15</v>
      </c>
      <c r="H88" s="28" t="str">
        <f>VLOOKUP(E88,'Cadastro Produtos (kiwkiw)'!C:E,3,0)</f>
        <v>Colar Rosa Banho Ouro</v>
      </c>
      <c r="AB88" s="33">
        <v>3047</v>
      </c>
    </row>
    <row r="89" spans="2:28" ht="15" customHeight="1" x14ac:dyDescent="0.4">
      <c r="B89" s="43"/>
      <c r="C89" s="34" t="s">
        <v>5</v>
      </c>
      <c r="D89" s="35">
        <v>45476</v>
      </c>
      <c r="E89" s="51" t="s">
        <v>106</v>
      </c>
      <c r="F89" s="33">
        <v>12</v>
      </c>
      <c r="G89" s="27">
        <f t="shared" si="2"/>
        <v>12</v>
      </c>
      <c r="H89" s="28" t="str">
        <f>VLOOKUP(E89,'Cadastro Produtos (kiwkiw)'!C:E,3,0)</f>
        <v>Colar Sao Jorge Banho Ouro</v>
      </c>
      <c r="AB89" s="33">
        <v>3047</v>
      </c>
    </row>
    <row r="90" spans="2:28" ht="15" customHeight="1" x14ac:dyDescent="0.4">
      <c r="C90" s="34" t="s">
        <v>5</v>
      </c>
      <c r="D90" s="35">
        <v>45476</v>
      </c>
      <c r="E90" s="51" t="s">
        <v>107</v>
      </c>
      <c r="F90" s="33">
        <v>11</v>
      </c>
      <c r="G90" s="27">
        <f t="shared" si="2"/>
        <v>11</v>
      </c>
      <c r="H90" s="28" t="str">
        <f>VLOOKUP(E90,'Cadastro Produtos (kiwkiw)'!C:E,3,0)</f>
        <v>Colar Tina Banho Ouro</v>
      </c>
      <c r="AB90" s="33">
        <v>3047</v>
      </c>
    </row>
    <row r="91" spans="2:28" ht="15" customHeight="1" x14ac:dyDescent="0.4">
      <c r="C91" s="34" t="s">
        <v>5</v>
      </c>
      <c r="D91" s="35">
        <v>45476</v>
      </c>
      <c r="E91" s="51" t="s">
        <v>108</v>
      </c>
      <c r="F91" s="33">
        <v>29</v>
      </c>
      <c r="G91" s="27">
        <f t="shared" si="2"/>
        <v>29</v>
      </c>
      <c r="H91" s="28" t="str">
        <f>VLOOKUP(E91,'Cadastro Produtos (kiwkiw)'!C:E,3,0)</f>
        <v>Colar Line Banho Ouro</v>
      </c>
      <c r="AB91" s="33">
        <v>3047</v>
      </c>
    </row>
    <row r="92" spans="2:28" ht="15" customHeight="1" x14ac:dyDescent="0.4">
      <c r="C92" s="34" t="s">
        <v>5</v>
      </c>
      <c r="D92" s="35">
        <v>45476</v>
      </c>
      <c r="E92" s="51" t="s">
        <v>109</v>
      </c>
      <c r="F92" s="33">
        <v>20</v>
      </c>
      <c r="G92" s="27">
        <f t="shared" si="2"/>
        <v>20</v>
      </c>
      <c r="H92" s="28" t="str">
        <f>VLOOKUP(E92,'Cadastro Produtos (kiwkiw)'!C:E,3,0)</f>
        <v>Colar Palito Banho Ouro</v>
      </c>
      <c r="AB92" s="33">
        <v>3047</v>
      </c>
    </row>
    <row r="93" spans="2:28" ht="15" customHeight="1" x14ac:dyDescent="0.4">
      <c r="C93" s="34" t="s">
        <v>5</v>
      </c>
      <c r="D93" s="35">
        <v>45476</v>
      </c>
      <c r="E93" s="51" t="s">
        <v>110</v>
      </c>
      <c r="F93" s="33">
        <v>9</v>
      </c>
      <c r="G93" s="27">
        <f t="shared" si="2"/>
        <v>9</v>
      </c>
      <c r="H93" s="28" t="str">
        <f>VLOOKUP(E93,'Cadastro Produtos (kiwkiw)'!C:E,3,0)</f>
        <v>Colar Corrente Groumet Banho Ouro</v>
      </c>
      <c r="AB93" s="33">
        <v>3047</v>
      </c>
    </row>
    <row r="94" spans="2:28" ht="15" customHeight="1" x14ac:dyDescent="0.4">
      <c r="C94" s="34" t="s">
        <v>5</v>
      </c>
      <c r="D94" s="35">
        <v>45476</v>
      </c>
      <c r="E94" s="51" t="s">
        <v>111</v>
      </c>
      <c r="F94" s="33">
        <v>9</v>
      </c>
      <c r="G94" s="27">
        <f t="shared" si="2"/>
        <v>9</v>
      </c>
      <c r="H94" s="28" t="str">
        <f>VLOOKUP(E94,'Cadastro Produtos (kiwkiw)'!C:E,3,0)</f>
        <v>Colar Corrente Groumet Prateada</v>
      </c>
      <c r="AB94" s="33">
        <v>3047</v>
      </c>
    </row>
    <row r="95" spans="2:28" ht="15" customHeight="1" x14ac:dyDescent="0.4">
      <c r="C95" s="34" t="s">
        <v>5</v>
      </c>
      <c r="D95" s="35">
        <v>45476</v>
      </c>
      <c r="E95" s="51" t="s">
        <v>112</v>
      </c>
      <c r="F95" s="33">
        <v>20</v>
      </c>
      <c r="G95" s="27">
        <f t="shared" si="2"/>
        <v>20</v>
      </c>
      <c r="H95" s="28" t="str">
        <f>VLOOKUP(E95,'Cadastro Produtos (kiwkiw)'!C:E,3,0)</f>
        <v>Gargantilha Escama Banho Ouro</v>
      </c>
      <c r="AB95" s="33">
        <v>3047</v>
      </c>
    </row>
    <row r="96" spans="2:28" ht="15" customHeight="1" x14ac:dyDescent="0.4">
      <c r="C96" s="34" t="s">
        <v>5</v>
      </c>
      <c r="D96" s="35">
        <v>45476</v>
      </c>
      <c r="E96" s="51" t="s">
        <v>113</v>
      </c>
      <c r="F96" s="33">
        <v>10</v>
      </c>
      <c r="G96" s="27">
        <f t="shared" si="2"/>
        <v>10</v>
      </c>
      <c r="H96" s="28" t="str">
        <f>VLOOKUP(E96,'Cadastro Produtos (kiwkiw)'!C:E,3,0)</f>
        <v>Gargantilha Escama Prateada</v>
      </c>
      <c r="AB96" s="33">
        <v>3047</v>
      </c>
    </row>
    <row r="97" spans="2:28" ht="15" customHeight="1" x14ac:dyDescent="0.4">
      <c r="C97" s="34" t="s">
        <v>5</v>
      </c>
      <c r="D97" s="35">
        <v>45476</v>
      </c>
      <c r="E97" s="51" t="s">
        <v>114</v>
      </c>
      <c r="F97" s="33">
        <v>48</v>
      </c>
      <c r="G97" s="27">
        <f t="shared" si="2"/>
        <v>48</v>
      </c>
      <c r="H97" s="28" t="str">
        <f>VLOOKUP(E97,'Cadastro Produtos (kiwkiw)'!C:E,3,0)</f>
        <v>Gargantilha Fita Banho Ouro</v>
      </c>
      <c r="AB97" s="33">
        <v>3047</v>
      </c>
    </row>
    <row r="98" spans="2:28" ht="15" customHeight="1" x14ac:dyDescent="0.4">
      <c r="C98" s="34" t="s">
        <v>5</v>
      </c>
      <c r="D98" s="35">
        <v>45476</v>
      </c>
      <c r="E98" s="51" t="s">
        <v>115</v>
      </c>
      <c r="F98" s="33">
        <v>16</v>
      </c>
      <c r="G98" s="27">
        <f t="shared" si="2"/>
        <v>16</v>
      </c>
      <c r="H98" s="28" t="str">
        <f>VLOOKUP(E98,'Cadastro Produtos (kiwkiw)'!C:E,3,0)</f>
        <v>Gargantilha Fita Prateada</v>
      </c>
      <c r="AB98" s="33">
        <v>3047</v>
      </c>
    </row>
    <row r="99" spans="2:28" ht="15" customHeight="1" x14ac:dyDescent="0.4">
      <c r="C99" s="34" t="s">
        <v>5</v>
      </c>
      <c r="D99" s="35">
        <v>45476</v>
      </c>
      <c r="E99" s="51" t="s">
        <v>116</v>
      </c>
      <c r="F99" s="33">
        <v>25</v>
      </c>
      <c r="G99" s="27">
        <f t="shared" si="2"/>
        <v>25</v>
      </c>
      <c r="H99" s="28" t="str">
        <f>VLOOKUP(E99,'Cadastro Produtos (kiwkiw)'!C:E,3,0)</f>
        <v>Gargantilha Dots Banho Ouro</v>
      </c>
      <c r="AB99" s="33">
        <v>3047</v>
      </c>
    </row>
    <row r="100" spans="2:28" ht="15" customHeight="1" x14ac:dyDescent="0.4">
      <c r="C100" s="34" t="s">
        <v>5</v>
      </c>
      <c r="D100" s="35">
        <v>45476</v>
      </c>
      <c r="E100" s="51" t="s">
        <v>117</v>
      </c>
      <c r="F100" s="33">
        <v>103</v>
      </c>
      <c r="G100" s="27">
        <f t="shared" si="2"/>
        <v>103</v>
      </c>
      <c r="H100" s="28" t="str">
        <f>VLOOKUP(E100,'Cadastro Produtos (kiwkiw)'!C:E,3,0)</f>
        <v>Gargantilha Minimal Banho Ouro</v>
      </c>
      <c r="AB100" s="33">
        <v>3047</v>
      </c>
    </row>
    <row r="101" spans="2:28" ht="15" customHeight="1" x14ac:dyDescent="0.4">
      <c r="C101" s="34" t="s">
        <v>5</v>
      </c>
      <c r="D101" s="35">
        <v>45476</v>
      </c>
      <c r="E101" s="51" t="s">
        <v>118</v>
      </c>
      <c r="F101" s="33">
        <v>43</v>
      </c>
      <c r="G101" s="27">
        <f t="shared" si="2"/>
        <v>43</v>
      </c>
      <c r="H101" s="28" t="str">
        <f>VLOOKUP(E101,'Cadastro Produtos (kiwkiw)'!C:E,3,0)</f>
        <v>Gargantilha Minimal Prateada</v>
      </c>
      <c r="AB101" s="33">
        <v>3047</v>
      </c>
    </row>
    <row r="102" spans="2:28" ht="15" customHeight="1" x14ac:dyDescent="0.4">
      <c r="C102" s="34" t="s">
        <v>5</v>
      </c>
      <c r="D102" s="35">
        <v>45476</v>
      </c>
      <c r="E102" s="51" t="s">
        <v>119</v>
      </c>
      <c r="F102" s="33">
        <v>13</v>
      </c>
      <c r="G102" s="27">
        <f t="shared" si="2"/>
        <v>13</v>
      </c>
      <c r="H102" s="28" t="str">
        <f>VLOOKUP(E102,'Cadastro Produtos (kiwkiw)'!C:E,3,0)</f>
        <v>Bracelete Line Banho Ouro</v>
      </c>
      <c r="AB102" s="33">
        <v>3047</v>
      </c>
    </row>
    <row r="103" spans="2:28" ht="15" customHeight="1" x14ac:dyDescent="0.4">
      <c r="B103" s="43"/>
      <c r="C103" s="34" t="s">
        <v>5</v>
      </c>
      <c r="D103" s="35">
        <v>45476</v>
      </c>
      <c r="E103" s="51" t="s">
        <v>120</v>
      </c>
      <c r="F103" s="33">
        <v>10</v>
      </c>
      <c r="G103" s="27">
        <f t="shared" si="2"/>
        <v>10</v>
      </c>
      <c r="H103" s="28" t="str">
        <f>VLOOKUP(E103,'Cadastro Produtos (kiwkiw)'!C:E,3,0)</f>
        <v>Bracelete Ivy Banho Ouro</v>
      </c>
      <c r="AB103" s="33">
        <v>3047</v>
      </c>
    </row>
    <row r="104" spans="2:28" ht="15" customHeight="1" x14ac:dyDescent="0.4">
      <c r="C104" s="34" t="s">
        <v>5</v>
      </c>
      <c r="D104" s="35">
        <v>45476</v>
      </c>
      <c r="E104" s="51" t="s">
        <v>121</v>
      </c>
      <c r="F104" s="33">
        <v>11</v>
      </c>
      <c r="G104" s="27">
        <f t="shared" si="2"/>
        <v>11</v>
      </c>
      <c r="H104" s="28" t="str">
        <f>VLOOKUP(E104,'Cadastro Produtos (kiwkiw)'!C:E,3,0)</f>
        <v>Bracelete Wave Banho Ouro</v>
      </c>
      <c r="AB104" s="33">
        <v>3047</v>
      </c>
    </row>
    <row r="105" spans="2:28" ht="15" customHeight="1" x14ac:dyDescent="0.4">
      <c r="C105" s="34" t="s">
        <v>5</v>
      </c>
      <c r="D105" s="35">
        <v>45476</v>
      </c>
      <c r="E105" s="51" t="s">
        <v>122</v>
      </c>
      <c r="F105" s="33">
        <v>14</v>
      </c>
      <c r="G105" s="27">
        <f t="shared" si="2"/>
        <v>14</v>
      </c>
      <c r="H105" s="28" t="str">
        <f>VLOOKUP(E105,'Cadastro Produtos (kiwkiw)'!C:E,3,0)</f>
        <v>Bracelete Torcido Banho Ouro</v>
      </c>
      <c r="AB105" s="33">
        <v>3047</v>
      </c>
    </row>
    <row r="106" spans="2:28" ht="15" customHeight="1" x14ac:dyDescent="0.4">
      <c r="C106" s="34" t="s">
        <v>5</v>
      </c>
      <c r="D106" s="35">
        <v>45476</v>
      </c>
      <c r="E106" s="51" t="s">
        <v>123</v>
      </c>
      <c r="F106" s="33">
        <v>17</v>
      </c>
      <c r="G106" s="27">
        <f t="shared" si="2"/>
        <v>17</v>
      </c>
      <c r="H106" s="28" t="str">
        <f>VLOOKUP(E106,'Cadastro Produtos (kiwkiw)'!C:E,3,0)</f>
        <v>Pulseira Dots Banho Ouro</v>
      </c>
      <c r="AB106" s="33">
        <v>3047</v>
      </c>
    </row>
    <row r="107" spans="2:28" ht="15" customHeight="1" x14ac:dyDescent="0.4">
      <c r="C107" s="34" t="s">
        <v>5</v>
      </c>
      <c r="D107" s="35">
        <v>45476</v>
      </c>
      <c r="E107" s="51" t="s">
        <v>124</v>
      </c>
      <c r="F107" s="33">
        <v>18</v>
      </c>
      <c r="G107" s="27">
        <f t="shared" si="2"/>
        <v>18</v>
      </c>
      <c r="H107" s="28" t="str">
        <f>VLOOKUP(E107,'Cadastro Produtos (kiwkiw)'!C:E,3,0)</f>
        <v>Pulseira Fita Textura Banho Ouro</v>
      </c>
      <c r="AB107" s="33">
        <v>3047</v>
      </c>
    </row>
    <row r="108" spans="2:28" ht="15" customHeight="1" x14ac:dyDescent="0.4">
      <c r="C108" s="34" t="s">
        <v>5</v>
      </c>
      <c r="D108" s="35">
        <v>45476</v>
      </c>
      <c r="E108" s="51" t="s">
        <v>125</v>
      </c>
      <c r="F108" s="33">
        <v>8</v>
      </c>
      <c r="G108" s="27">
        <f t="shared" si="2"/>
        <v>8</v>
      </c>
      <c r="H108" s="28" t="str">
        <f>VLOOKUP(E108,'Cadastro Produtos (kiwkiw)'!C:E,3,0)</f>
        <v>Pulseira Groumet Banho Ouro</v>
      </c>
      <c r="AB108" s="33">
        <v>3047</v>
      </c>
    </row>
    <row r="109" spans="2:28" ht="15" customHeight="1" x14ac:dyDescent="0.4">
      <c r="C109" s="34" t="s">
        <v>5</v>
      </c>
      <c r="D109" s="35">
        <v>45476</v>
      </c>
      <c r="E109" s="51" t="s">
        <v>126</v>
      </c>
      <c r="F109" s="33">
        <v>8</v>
      </c>
      <c r="G109" s="27">
        <f t="shared" si="2"/>
        <v>8</v>
      </c>
      <c r="H109" s="28" t="str">
        <f>VLOOKUP(E109,'Cadastro Produtos (kiwkiw)'!C:E,3,0)</f>
        <v>Pulseira Groumet Prateada</v>
      </c>
      <c r="AB109" s="33">
        <v>3047</v>
      </c>
    </row>
    <row r="110" spans="2:28" ht="15" customHeight="1" x14ac:dyDescent="0.4">
      <c r="B110" s="43"/>
      <c r="C110" s="34" t="s">
        <v>5</v>
      </c>
      <c r="D110" s="35">
        <v>45476</v>
      </c>
      <c r="E110" s="51" t="s">
        <v>127</v>
      </c>
      <c r="F110" s="33">
        <v>27</v>
      </c>
      <c r="G110" s="27">
        <f t="shared" si="2"/>
        <v>27</v>
      </c>
      <c r="H110" s="28" t="str">
        <f>VLOOKUP(E110,'Cadastro Produtos (kiwkiw)'!C:E,3,0)</f>
        <v>Pulseira Minimal Banho Ouro</v>
      </c>
      <c r="AB110" s="33">
        <v>3047</v>
      </c>
    </row>
    <row r="111" spans="2:28" ht="15" customHeight="1" x14ac:dyDescent="0.4">
      <c r="C111" s="34" t="s">
        <v>5</v>
      </c>
      <c r="D111" s="35">
        <v>45476</v>
      </c>
      <c r="E111" s="51" t="s">
        <v>128</v>
      </c>
      <c r="F111" s="33">
        <v>19</v>
      </c>
      <c r="G111" s="27">
        <f t="shared" si="2"/>
        <v>19</v>
      </c>
      <c r="H111" s="28" t="str">
        <f>VLOOKUP(E111,'Cadastro Produtos (kiwkiw)'!C:E,3,0)</f>
        <v>Pulseira Minimal Prateada</v>
      </c>
      <c r="AB111" s="33">
        <v>3047</v>
      </c>
    </row>
    <row r="112" spans="2:28" ht="15" customHeight="1" x14ac:dyDescent="0.4">
      <c r="C112" s="34" t="s">
        <v>5</v>
      </c>
      <c r="D112" s="35">
        <v>45476</v>
      </c>
      <c r="E112" s="51" t="s">
        <v>129</v>
      </c>
      <c r="F112" s="33">
        <v>34</v>
      </c>
      <c r="G112" s="27">
        <f t="shared" si="2"/>
        <v>34</v>
      </c>
      <c r="H112" s="28" t="str">
        <f>VLOOKUP(E112,'Cadastro Produtos (kiwkiw)'!C:E,3,0)</f>
        <v>Pulseira Snake Banho Ouro</v>
      </c>
      <c r="AB112" s="33">
        <v>3047</v>
      </c>
    </row>
    <row r="113" spans="2:28" ht="15" customHeight="1" x14ac:dyDescent="0.4">
      <c r="C113" s="34" t="s">
        <v>5</v>
      </c>
      <c r="D113" s="35">
        <v>45476</v>
      </c>
      <c r="E113" s="51" t="s">
        <v>130</v>
      </c>
      <c r="F113" s="33">
        <v>26</v>
      </c>
      <c r="G113" s="27">
        <f t="shared" si="2"/>
        <v>26</v>
      </c>
      <c r="H113" s="28" t="str">
        <f>VLOOKUP(E113,'Cadastro Produtos (kiwkiw)'!C:E,3,0)</f>
        <v>Pulseira Snake Prateada</v>
      </c>
      <c r="AB113" s="33">
        <v>3047</v>
      </c>
    </row>
    <row r="114" spans="2:28" ht="15" customHeight="1" x14ac:dyDescent="0.4">
      <c r="B114" s="43">
        <v>45496.787627314814</v>
      </c>
      <c r="C114" s="34" t="s">
        <v>6</v>
      </c>
      <c r="D114" s="35">
        <v>45495</v>
      </c>
      <c r="E114" s="51" t="s">
        <v>103</v>
      </c>
      <c r="F114" s="33">
        <v>1</v>
      </c>
      <c r="G114" s="27">
        <f t="shared" si="2"/>
        <v>-1</v>
      </c>
      <c r="H114" s="28" t="str">
        <f>VLOOKUP(E114,'Cadastro Produtos (kiwkiw)'!C:E,3,0)</f>
        <v>Colar Ivy Banho Ouro</v>
      </c>
      <c r="AB114" s="33" t="s">
        <v>158</v>
      </c>
    </row>
    <row r="115" spans="2:28" ht="15" customHeight="1" x14ac:dyDescent="0.4">
      <c r="C115" s="34" t="s">
        <v>6</v>
      </c>
      <c r="D115" s="35">
        <v>45495</v>
      </c>
      <c r="E115" s="51" t="s">
        <v>25</v>
      </c>
      <c r="F115" s="33">
        <v>1</v>
      </c>
      <c r="G115" s="27">
        <f t="shared" si="2"/>
        <v>-1</v>
      </c>
      <c r="H115" s="28" t="str">
        <f>VLOOKUP(E115,'Cadastro Produtos (kiwkiw)'!C:E,3,0)</f>
        <v>Argola Amy Banho Ouro</v>
      </c>
      <c r="AB115" s="33" t="s">
        <v>158</v>
      </c>
    </row>
    <row r="116" spans="2:28" ht="15" customHeight="1" x14ac:dyDescent="0.4">
      <c r="C116" s="34" t="s">
        <v>6</v>
      </c>
      <c r="D116" s="35">
        <v>45495</v>
      </c>
      <c r="E116" s="51" t="s">
        <v>54</v>
      </c>
      <c r="F116" s="33">
        <v>1</v>
      </c>
      <c r="G116" s="27">
        <f t="shared" si="2"/>
        <v>-1</v>
      </c>
      <c r="H116" s="28" t="str">
        <f>VLOOKUP(E116,'Cadastro Produtos (kiwkiw)'!C:E,3,0)</f>
        <v>Brinco Ivy Banho Ouro</v>
      </c>
      <c r="AB116" s="33" t="s">
        <v>158</v>
      </c>
    </row>
    <row r="117" spans="2:28" ht="15" customHeight="1" x14ac:dyDescent="0.4">
      <c r="B117" s="43"/>
      <c r="C117" s="34" t="s">
        <v>6</v>
      </c>
      <c r="D117" s="35">
        <v>45495</v>
      </c>
      <c r="E117" s="51" t="s">
        <v>22</v>
      </c>
      <c r="F117" s="33">
        <v>1</v>
      </c>
      <c r="G117" s="27">
        <f t="shared" si="2"/>
        <v>-1</v>
      </c>
      <c r="H117" s="28" t="str">
        <f>VLOOKUP(E117,'Cadastro Produtos (kiwkiw)'!C:E,3,0)</f>
        <v>Argola Bold Grande Banho Ouro</v>
      </c>
      <c r="AB117" s="33" t="s">
        <v>158</v>
      </c>
    </row>
    <row r="118" spans="2:28" ht="15" customHeight="1" x14ac:dyDescent="0.4">
      <c r="C118" s="34" t="s">
        <v>6</v>
      </c>
      <c r="D118" s="35">
        <v>45495</v>
      </c>
      <c r="E118" s="51" t="s">
        <v>50</v>
      </c>
      <c r="F118" s="33">
        <v>1</v>
      </c>
      <c r="G118" s="27">
        <f t="shared" si="2"/>
        <v>-1</v>
      </c>
      <c r="H118" s="28" t="str">
        <f>VLOOKUP(E118,'Cadastro Produtos (kiwkiw)'!C:E,3,0)</f>
        <v>Brinco Elos Banho Ouro</v>
      </c>
      <c r="AB118" s="33" t="s">
        <v>158</v>
      </c>
    </row>
    <row r="119" spans="2:28" ht="15" customHeight="1" x14ac:dyDescent="0.4">
      <c r="C119" s="34" t="s">
        <v>6</v>
      </c>
      <c r="D119" s="35">
        <v>45495</v>
      </c>
      <c r="E119" s="51" t="s">
        <v>12</v>
      </c>
      <c r="F119" s="33">
        <v>1</v>
      </c>
      <c r="G119" s="27">
        <f t="shared" si="2"/>
        <v>-1</v>
      </c>
      <c r="H119" s="28" t="str">
        <f>VLOOKUP(E119,'Cadastro Produtos (kiwkiw)'!C:E,3,0)</f>
        <v>Anel Duplo Banho Ouro</v>
      </c>
      <c r="AB119" s="33" t="s">
        <v>158</v>
      </c>
    </row>
    <row r="120" spans="2:28" ht="15" customHeight="1" x14ac:dyDescent="0.4">
      <c r="C120" s="34" t="s">
        <v>6</v>
      </c>
      <c r="D120" s="35">
        <v>45495</v>
      </c>
      <c r="E120" s="51" t="s">
        <v>12</v>
      </c>
      <c r="F120" s="33">
        <v>1</v>
      </c>
      <c r="G120" s="27">
        <f t="shared" si="2"/>
        <v>-1</v>
      </c>
      <c r="H120" s="28" t="str">
        <f>VLOOKUP(E120,'Cadastro Produtos (kiwkiw)'!C:E,3,0)</f>
        <v>Anel Duplo Banho Ouro</v>
      </c>
      <c r="AB120" s="33" t="s">
        <v>159</v>
      </c>
    </row>
    <row r="121" spans="2:28" ht="15" customHeight="1" x14ac:dyDescent="0.4">
      <c r="C121" s="34" t="s">
        <v>6</v>
      </c>
      <c r="D121" s="35">
        <v>45495</v>
      </c>
      <c r="E121" s="51" t="s">
        <v>117</v>
      </c>
      <c r="F121" s="33">
        <v>1</v>
      </c>
      <c r="G121" s="27">
        <f t="shared" si="2"/>
        <v>-1</v>
      </c>
      <c r="H121" s="28" t="str">
        <f>VLOOKUP(E121,'Cadastro Produtos (kiwkiw)'!C:E,3,0)</f>
        <v>Gargantilha Minimal Banho Ouro</v>
      </c>
      <c r="AB121" s="33" t="s">
        <v>160</v>
      </c>
    </row>
    <row r="122" spans="2:28" ht="15" customHeight="1" x14ac:dyDescent="0.4">
      <c r="C122" s="34" t="s">
        <v>6</v>
      </c>
      <c r="D122" s="35">
        <v>45495</v>
      </c>
      <c r="E122" s="51" t="s">
        <v>43</v>
      </c>
      <c r="F122" s="33">
        <v>1</v>
      </c>
      <c r="G122" s="27">
        <f t="shared" si="2"/>
        <v>-1</v>
      </c>
      <c r="H122" s="28" t="str">
        <f>VLOOKUP(E122,'Cadastro Produtos (kiwkiw)'!C:E,3,0)</f>
        <v>Brinco Mini Aviao Banho Ouro</v>
      </c>
      <c r="AB122" s="33" t="s">
        <v>160</v>
      </c>
    </row>
    <row r="123" spans="2:28" ht="15" customHeight="1" x14ac:dyDescent="0.4">
      <c r="C123" s="34" t="s">
        <v>6</v>
      </c>
      <c r="D123" s="35">
        <v>45495</v>
      </c>
      <c r="E123" s="51" t="s">
        <v>51</v>
      </c>
      <c r="F123" s="33">
        <v>1</v>
      </c>
      <c r="G123" s="27">
        <f t="shared" si="2"/>
        <v>-1</v>
      </c>
      <c r="H123" s="28" t="str">
        <f>VLOOKUP(E123,'Cadastro Produtos (kiwkiw)'!C:E,3,0)</f>
        <v>Brinco Mini Flecha Banho Ouro</v>
      </c>
      <c r="AB123" s="33" t="s">
        <v>160</v>
      </c>
    </row>
    <row r="124" spans="2:28" ht="15" customHeight="1" x14ac:dyDescent="0.4">
      <c r="C124" s="34" t="s">
        <v>6</v>
      </c>
      <c r="D124" s="35">
        <v>45495</v>
      </c>
      <c r="E124" s="51" t="s">
        <v>56</v>
      </c>
      <c r="F124" s="33">
        <v>1</v>
      </c>
      <c r="G124" s="27">
        <f t="shared" si="2"/>
        <v>-1</v>
      </c>
      <c r="H124" s="28" t="str">
        <f>VLOOKUP(E124,'Cadastro Produtos (kiwkiw)'!C:E,3,0)</f>
        <v>Brinco Mini Raio Banho Ouro</v>
      </c>
      <c r="AB124" s="33" t="s">
        <v>160</v>
      </c>
    </row>
    <row r="125" spans="2:28" ht="15" customHeight="1" x14ac:dyDescent="0.4">
      <c r="C125" s="34" t="s">
        <v>6</v>
      </c>
      <c r="D125" s="35">
        <v>45495</v>
      </c>
      <c r="E125" s="51" t="s">
        <v>61</v>
      </c>
      <c r="F125" s="33">
        <v>1</v>
      </c>
      <c r="G125" s="27">
        <f t="shared" si="2"/>
        <v>-1</v>
      </c>
      <c r="H125" s="28" t="str">
        <f>VLOOKUP(E125,'Cadastro Produtos (kiwkiw)'!C:E,3,0)</f>
        <v>Brinco Setas Banho Ouro</v>
      </c>
      <c r="AB125" s="33" t="s">
        <v>160</v>
      </c>
    </row>
    <row r="126" spans="2:28" ht="15" customHeight="1" x14ac:dyDescent="0.4">
      <c r="C126" s="34" t="s">
        <v>6</v>
      </c>
      <c r="D126" s="35">
        <v>45495</v>
      </c>
      <c r="E126" s="49" t="s">
        <v>107</v>
      </c>
      <c r="F126" s="33">
        <v>1</v>
      </c>
      <c r="G126" s="27">
        <f t="shared" si="2"/>
        <v>-1</v>
      </c>
      <c r="H126" s="28" t="str">
        <f>VLOOKUP(E126,'Cadastro Produtos (kiwkiw)'!C:E,3,0)</f>
        <v>Colar Tina Banho Ouro</v>
      </c>
      <c r="AB126" s="33" t="s">
        <v>161</v>
      </c>
    </row>
    <row r="127" spans="2:28" ht="15" customHeight="1" x14ac:dyDescent="0.4">
      <c r="C127" s="34" t="s">
        <v>6</v>
      </c>
      <c r="D127" s="35">
        <v>45495</v>
      </c>
      <c r="E127" s="50" t="s">
        <v>121</v>
      </c>
      <c r="F127" s="33">
        <v>1</v>
      </c>
      <c r="G127" s="27">
        <f t="shared" si="2"/>
        <v>-1</v>
      </c>
      <c r="H127" s="28" t="str">
        <f>VLOOKUP(E127,'Cadastro Produtos (kiwkiw)'!C:E,3,0)</f>
        <v>Bracelete Wave Banho Ouro</v>
      </c>
      <c r="AB127" s="33" t="s">
        <v>161</v>
      </c>
    </row>
    <row r="128" spans="2:28" ht="15" customHeight="1" x14ac:dyDescent="0.4">
      <c r="B128" s="43"/>
      <c r="C128" s="34" t="s">
        <v>6</v>
      </c>
      <c r="D128" s="35">
        <v>45495</v>
      </c>
      <c r="E128" s="51" t="s">
        <v>33</v>
      </c>
      <c r="F128" s="33">
        <v>1</v>
      </c>
      <c r="G128" s="27">
        <f t="shared" si="2"/>
        <v>-1</v>
      </c>
      <c r="H128" s="28" t="str">
        <f>VLOOKUP(E128,'Cadastro Produtos (kiwkiw)'!C:E,3,0)</f>
        <v>Argola Torcida Banho Ouro</v>
      </c>
      <c r="AB128" s="33" t="s">
        <v>161</v>
      </c>
    </row>
    <row r="129" spans="2:28" ht="15" customHeight="1" x14ac:dyDescent="0.4">
      <c r="C129" s="34" t="s">
        <v>6</v>
      </c>
      <c r="D129" s="35">
        <v>45495</v>
      </c>
      <c r="E129" s="51" t="s">
        <v>33</v>
      </c>
      <c r="F129" s="33">
        <v>1</v>
      </c>
      <c r="G129" s="27">
        <f t="shared" si="2"/>
        <v>-1</v>
      </c>
      <c r="H129" s="28" t="str">
        <f>VLOOKUP(E129,'Cadastro Produtos (kiwkiw)'!C:E,3,0)</f>
        <v>Argola Torcida Banho Ouro</v>
      </c>
      <c r="AB129" s="33" t="s">
        <v>162</v>
      </c>
    </row>
    <row r="130" spans="2:28" ht="15" customHeight="1" x14ac:dyDescent="0.4">
      <c r="C130" s="34" t="s">
        <v>6</v>
      </c>
      <c r="D130" s="35">
        <v>45495</v>
      </c>
      <c r="E130" s="51" t="s">
        <v>81</v>
      </c>
      <c r="F130" s="33">
        <v>1</v>
      </c>
      <c r="G130" s="27">
        <f t="shared" si="2"/>
        <v>-1</v>
      </c>
      <c r="H130" s="28" t="str">
        <f>VLOOKUP(E130,'Cadastro Produtos (kiwkiw)'!C:E,3,0)</f>
        <v>Meia Argola Croissant Prateada</v>
      </c>
      <c r="AB130" s="33" t="s">
        <v>161</v>
      </c>
    </row>
    <row r="131" spans="2:28" ht="15" customHeight="1" x14ac:dyDescent="0.4">
      <c r="C131" s="34" t="s">
        <v>6</v>
      </c>
      <c r="D131" s="35">
        <v>45495</v>
      </c>
      <c r="E131" s="51" t="s">
        <v>94</v>
      </c>
      <c r="F131" s="33">
        <v>1</v>
      </c>
      <c r="G131" s="27">
        <f t="shared" si="2"/>
        <v>-1</v>
      </c>
      <c r="H131" s="28" t="str">
        <f>VLOOKUP(E131,'Cadastro Produtos (kiwkiw)'!C:E,3,0)</f>
        <v>Colar Duplo Dots Banho Ouro</v>
      </c>
      <c r="AB131" s="33" t="s">
        <v>159</v>
      </c>
    </row>
    <row r="132" spans="2:28" ht="15" customHeight="1" x14ac:dyDescent="0.4">
      <c r="C132" s="34" t="s">
        <v>6</v>
      </c>
      <c r="D132" s="35">
        <v>45495</v>
      </c>
      <c r="E132" s="51" t="s">
        <v>86</v>
      </c>
      <c r="F132" s="33">
        <v>1</v>
      </c>
      <c r="G132" s="27">
        <f t="shared" si="2"/>
        <v>-1</v>
      </c>
      <c r="H132" s="28" t="str">
        <f>VLOOKUP(E132,'Cadastro Produtos (kiwkiw)'!C:E,3,0)</f>
        <v>Piercing Fake Minimal Banho Ouro</v>
      </c>
      <c r="AB132" s="33" t="s">
        <v>159</v>
      </c>
    </row>
    <row r="133" spans="2:28" ht="15" customHeight="1" x14ac:dyDescent="0.4">
      <c r="C133" s="34" t="s">
        <v>6</v>
      </c>
      <c r="D133" s="35">
        <v>45495</v>
      </c>
      <c r="E133" s="51" t="s">
        <v>127</v>
      </c>
      <c r="F133" s="33">
        <v>1</v>
      </c>
      <c r="G133" s="27">
        <f t="shared" si="2"/>
        <v>-1</v>
      </c>
      <c r="H133" s="28" t="str">
        <f>VLOOKUP(E133,'Cadastro Produtos (kiwkiw)'!C:E,3,0)</f>
        <v>Pulseira Minimal Banho Ouro</v>
      </c>
      <c r="AB133" s="33" t="s">
        <v>159</v>
      </c>
    </row>
    <row r="134" spans="2:28" ht="15" customHeight="1" x14ac:dyDescent="0.4">
      <c r="C134" s="34" t="s">
        <v>6</v>
      </c>
      <c r="D134" s="35">
        <v>45495</v>
      </c>
      <c r="E134" s="51" t="s">
        <v>123</v>
      </c>
      <c r="F134" s="33">
        <v>1</v>
      </c>
      <c r="G134" s="27">
        <f t="shared" si="2"/>
        <v>-1</v>
      </c>
      <c r="H134" s="28" t="str">
        <f>VLOOKUP(E134,'Cadastro Produtos (kiwkiw)'!C:E,3,0)</f>
        <v>Pulseira Dots Banho Ouro</v>
      </c>
      <c r="AB134" s="33" t="s">
        <v>159</v>
      </c>
    </row>
    <row r="135" spans="2:28" ht="15" customHeight="1" x14ac:dyDescent="0.4">
      <c r="C135" s="34" t="s">
        <v>6</v>
      </c>
      <c r="D135" s="35">
        <v>45495</v>
      </c>
      <c r="E135" s="51" t="s">
        <v>89</v>
      </c>
      <c r="F135" s="33">
        <v>1</v>
      </c>
      <c r="G135" s="27">
        <f t="shared" si="2"/>
        <v>-1</v>
      </c>
      <c r="H135" s="28" t="str">
        <f>VLOOKUP(E135,'Cadastro Produtos (kiwkiw)'!C:E,3,0)</f>
        <v>Colar Dot Banho Ouro</v>
      </c>
      <c r="AB135" s="33" t="s">
        <v>163</v>
      </c>
    </row>
    <row r="136" spans="2:28" ht="15" customHeight="1" x14ac:dyDescent="0.4">
      <c r="C136" s="34" t="s">
        <v>6</v>
      </c>
      <c r="D136" s="35">
        <v>45495</v>
      </c>
      <c r="E136" s="51" t="s">
        <v>118</v>
      </c>
      <c r="F136" s="33">
        <v>1</v>
      </c>
      <c r="G136" s="27">
        <f t="shared" si="2"/>
        <v>-1</v>
      </c>
      <c r="H136" s="28" t="str">
        <f>VLOOKUP(E136,'Cadastro Produtos (kiwkiw)'!C:E,3,0)</f>
        <v>Gargantilha Minimal Prateada</v>
      </c>
      <c r="AB136" s="33" t="s">
        <v>163</v>
      </c>
    </row>
    <row r="137" spans="2:28" ht="15" customHeight="1" x14ac:dyDescent="0.4">
      <c r="C137" s="34" t="s">
        <v>6</v>
      </c>
      <c r="D137" s="35">
        <v>45495</v>
      </c>
      <c r="E137" s="51" t="s">
        <v>37</v>
      </c>
      <c r="F137" s="33">
        <v>1</v>
      </c>
      <c r="G137" s="27">
        <f t="shared" si="2"/>
        <v>-1</v>
      </c>
      <c r="H137" s="28" t="str">
        <f>VLOOKUP(E137,'Cadastro Produtos (kiwkiw)'!C:E,3,0)</f>
        <v>Argola Wave Banho Ouro</v>
      </c>
      <c r="AB137" s="33" t="s">
        <v>163</v>
      </c>
    </row>
    <row r="138" spans="2:28" ht="15" customHeight="1" x14ac:dyDescent="0.4">
      <c r="C138" s="34" t="s">
        <v>6</v>
      </c>
      <c r="D138" s="35">
        <v>45495</v>
      </c>
      <c r="E138" s="51" t="s">
        <v>74</v>
      </c>
      <c r="F138" s="33">
        <v>1</v>
      </c>
      <c r="G138" s="27">
        <f t="shared" si="2"/>
        <v>-1</v>
      </c>
      <c r="H138" s="28" t="str">
        <f>VLOOKUP(E138,'Cadastro Produtos (kiwkiw)'!C:E,3,0)</f>
        <v>Ear Hook Hug Banho Ouro</v>
      </c>
      <c r="AB138" s="33" t="s">
        <v>162</v>
      </c>
    </row>
    <row r="139" spans="2:28" ht="15" customHeight="1" x14ac:dyDescent="0.4">
      <c r="C139" s="34" t="s">
        <v>6</v>
      </c>
      <c r="D139" s="35">
        <v>45495</v>
      </c>
      <c r="E139" s="51" t="s">
        <v>76</v>
      </c>
      <c r="F139" s="33">
        <v>1</v>
      </c>
      <c r="G139" s="27">
        <f t="shared" si="2"/>
        <v>-1</v>
      </c>
      <c r="H139" s="28" t="str">
        <f>VLOOKUP(E139,'Cadastro Produtos (kiwkiw)'!C:E,3,0)</f>
        <v>EarHook Dots Banho Ouro</v>
      </c>
      <c r="AB139" s="33" t="s">
        <v>162</v>
      </c>
    </row>
    <row r="140" spans="2:28" ht="15" customHeight="1" x14ac:dyDescent="0.4">
      <c r="B140" s="43">
        <v>45497.485208333332</v>
      </c>
      <c r="C140" s="34" t="s">
        <v>6</v>
      </c>
      <c r="D140" s="35">
        <v>45497</v>
      </c>
      <c r="E140" s="51" t="s">
        <v>103</v>
      </c>
      <c r="F140" s="33">
        <v>1</v>
      </c>
      <c r="G140" s="27">
        <f t="shared" si="2"/>
        <v>-1</v>
      </c>
      <c r="H140" s="28" t="str">
        <f>VLOOKUP(E140,'Cadastro Produtos (kiwkiw)'!C:E,3,0)</f>
        <v>Colar Ivy Banho Ouro</v>
      </c>
      <c r="AB140" s="33" t="s">
        <v>164</v>
      </c>
    </row>
    <row r="141" spans="2:28" ht="15" customHeight="1" x14ac:dyDescent="0.4">
      <c r="B141" s="43">
        <v>45498.422777777778</v>
      </c>
      <c r="C141" s="34" t="s">
        <v>6</v>
      </c>
      <c r="D141" s="35">
        <v>45498</v>
      </c>
      <c r="E141" s="51" t="s">
        <v>74</v>
      </c>
      <c r="F141" s="33">
        <v>1</v>
      </c>
      <c r="G141" s="27">
        <f t="shared" si="2"/>
        <v>-1</v>
      </c>
      <c r="H141" s="28" t="str">
        <f>VLOOKUP(E141,'Cadastro Produtos (kiwkiw)'!C:E,3,0)</f>
        <v>Ear Hook Hug Banho Ouro</v>
      </c>
      <c r="AB141" s="33" t="s">
        <v>165</v>
      </c>
    </row>
    <row r="142" spans="2:28" ht="15" customHeight="1" x14ac:dyDescent="0.4">
      <c r="B142" s="43">
        <v>45499.429236111115</v>
      </c>
      <c r="C142" s="34" t="s">
        <v>6</v>
      </c>
      <c r="D142" s="35">
        <v>45499</v>
      </c>
      <c r="E142" s="51" t="s">
        <v>94</v>
      </c>
      <c r="F142" s="33">
        <v>1</v>
      </c>
      <c r="G142" s="27">
        <f t="shared" si="2"/>
        <v>-1</v>
      </c>
      <c r="H142" s="28" t="str">
        <f>VLOOKUP(E142,'Cadastro Produtos (kiwkiw)'!C:E,3,0)</f>
        <v>Colar Duplo Dots Banho Ouro</v>
      </c>
      <c r="AB142" s="33" t="s">
        <v>166</v>
      </c>
    </row>
    <row r="143" spans="2:28" ht="15" customHeight="1" x14ac:dyDescent="0.4">
      <c r="C143" s="34" t="s">
        <v>6</v>
      </c>
      <c r="D143" s="35">
        <v>45499</v>
      </c>
      <c r="E143" s="51" t="s">
        <v>89</v>
      </c>
      <c r="F143" s="33">
        <v>1</v>
      </c>
      <c r="G143" s="27">
        <f t="shared" si="2"/>
        <v>-1</v>
      </c>
      <c r="H143" s="28" t="str">
        <f>VLOOKUP(E143,'Cadastro Produtos (kiwkiw)'!C:E,3,0)</f>
        <v>Colar Dot Banho Ouro</v>
      </c>
      <c r="AB143" s="33" t="s">
        <v>167</v>
      </c>
    </row>
    <row r="144" spans="2:28" ht="15" customHeight="1" x14ac:dyDescent="0.4">
      <c r="B144" s="43"/>
      <c r="C144" s="34" t="s">
        <v>6</v>
      </c>
      <c r="D144" s="35">
        <v>45499</v>
      </c>
      <c r="E144" s="51" t="s">
        <v>103</v>
      </c>
      <c r="F144" s="33">
        <v>1</v>
      </c>
      <c r="G144" s="27">
        <f t="shared" ref="G144:G207" si="3">IF(C144="Entrada",F144,-F144)</f>
        <v>-1</v>
      </c>
      <c r="H144" s="28" t="str">
        <f>VLOOKUP(E144,'Cadastro Produtos (kiwkiw)'!C:E,3,0)</f>
        <v>Colar Ivy Banho Ouro</v>
      </c>
      <c r="AB144" s="33" t="s">
        <v>167</v>
      </c>
    </row>
    <row r="145" spans="2:28" ht="15" customHeight="1" x14ac:dyDescent="0.4">
      <c r="C145" s="34" t="s">
        <v>6</v>
      </c>
      <c r="D145" s="35">
        <v>45499</v>
      </c>
      <c r="E145" s="51" t="s">
        <v>34</v>
      </c>
      <c r="F145" s="33">
        <v>1</v>
      </c>
      <c r="G145" s="27">
        <f t="shared" si="3"/>
        <v>-1</v>
      </c>
      <c r="H145" s="28" t="str">
        <f>VLOOKUP(E145,'Cadastro Produtos (kiwkiw)'!C:E,3,0)</f>
        <v>Argola Tripla Banho Ouro</v>
      </c>
      <c r="AB145" s="33" t="s">
        <v>167</v>
      </c>
    </row>
    <row r="146" spans="2:28" ht="15" customHeight="1" x14ac:dyDescent="0.4">
      <c r="B146" s="43">
        <v>45502.420972222222</v>
      </c>
      <c r="C146" s="34" t="s">
        <v>6</v>
      </c>
      <c r="D146" s="35">
        <v>45502</v>
      </c>
      <c r="E146" s="51" t="s">
        <v>107</v>
      </c>
      <c r="F146" s="33">
        <v>1</v>
      </c>
      <c r="G146" s="27">
        <f t="shared" si="3"/>
        <v>-1</v>
      </c>
      <c r="H146" s="28" t="str">
        <f>VLOOKUP(E146,'Cadastro Produtos (kiwkiw)'!C:E,3,0)</f>
        <v>Colar Tina Banho Ouro</v>
      </c>
      <c r="AB146" s="33" t="s">
        <v>168</v>
      </c>
    </row>
    <row r="147" spans="2:28" ht="15" customHeight="1" x14ac:dyDescent="0.4">
      <c r="C147" s="34" t="s">
        <v>6</v>
      </c>
      <c r="D147" s="35">
        <v>45502</v>
      </c>
      <c r="E147" s="51" t="s">
        <v>124</v>
      </c>
      <c r="F147" s="33">
        <v>1</v>
      </c>
      <c r="G147" s="27">
        <f t="shared" si="3"/>
        <v>-1</v>
      </c>
      <c r="H147" s="28" t="str">
        <f>VLOOKUP(E147,'Cadastro Produtos (kiwkiw)'!C:E,3,0)</f>
        <v>Pulseira Fita Textura Banho Ouro</v>
      </c>
      <c r="AB147" s="33" t="s">
        <v>168</v>
      </c>
    </row>
    <row r="148" spans="2:28" ht="15" customHeight="1" x14ac:dyDescent="0.4">
      <c r="C148" s="34" t="s">
        <v>6</v>
      </c>
      <c r="D148" s="35">
        <v>45502</v>
      </c>
      <c r="E148" s="51" t="s">
        <v>127</v>
      </c>
      <c r="F148" s="33">
        <v>1</v>
      </c>
      <c r="G148" s="27">
        <f t="shared" si="3"/>
        <v>-1</v>
      </c>
      <c r="H148" s="28" t="str">
        <f>VLOOKUP(E148,'Cadastro Produtos (kiwkiw)'!C:E,3,0)</f>
        <v>Pulseira Minimal Banho Ouro</v>
      </c>
      <c r="AB148" s="33" t="s">
        <v>169</v>
      </c>
    </row>
    <row r="149" spans="2:28" ht="15" customHeight="1" x14ac:dyDescent="0.4">
      <c r="C149" s="34" t="s">
        <v>6</v>
      </c>
      <c r="D149" s="35">
        <v>45502</v>
      </c>
      <c r="E149" s="51" t="s">
        <v>92</v>
      </c>
      <c r="F149" s="33">
        <v>1</v>
      </c>
      <c r="G149" s="27">
        <f t="shared" si="3"/>
        <v>-1</v>
      </c>
      <c r="H149" s="28" t="str">
        <f>VLOOKUP(E149,'Cadastro Produtos (kiwkiw)'!C:E,3,0)</f>
        <v>Colar Coracao Banho Ouro</v>
      </c>
      <c r="AB149" s="33" t="s">
        <v>169</v>
      </c>
    </row>
    <row r="150" spans="2:28" ht="15" customHeight="1" x14ac:dyDescent="0.4">
      <c r="C150" s="34" t="s">
        <v>6</v>
      </c>
      <c r="D150" s="35">
        <v>45502</v>
      </c>
      <c r="E150" s="51" t="s">
        <v>34</v>
      </c>
      <c r="F150" s="33">
        <v>1</v>
      </c>
      <c r="G150" s="27">
        <f t="shared" si="3"/>
        <v>-1</v>
      </c>
      <c r="H150" s="28" t="str">
        <f>VLOOKUP(E150,'Cadastro Produtos (kiwkiw)'!C:E,3,0)</f>
        <v>Argola Tripla Banho Ouro</v>
      </c>
      <c r="AB150" s="33" t="s">
        <v>170</v>
      </c>
    </row>
    <row r="151" spans="2:28" ht="15" customHeight="1" x14ac:dyDescent="0.4">
      <c r="C151" s="34" t="s">
        <v>6</v>
      </c>
      <c r="D151" s="35">
        <v>45502</v>
      </c>
      <c r="E151" s="51" t="s">
        <v>128</v>
      </c>
      <c r="F151" s="33">
        <v>1</v>
      </c>
      <c r="G151" s="27">
        <f t="shared" si="3"/>
        <v>-1</v>
      </c>
      <c r="H151" s="28" t="str">
        <f>VLOOKUP(E151,'Cadastro Produtos (kiwkiw)'!C:E,3,0)</f>
        <v>Pulseira Minimal Prateada</v>
      </c>
      <c r="AB151" s="33" t="s">
        <v>171</v>
      </c>
    </row>
    <row r="152" spans="2:28" ht="15" customHeight="1" x14ac:dyDescent="0.4">
      <c r="C152" s="34" t="s">
        <v>6</v>
      </c>
      <c r="D152" s="35">
        <v>45502</v>
      </c>
      <c r="E152" s="51" t="s">
        <v>36</v>
      </c>
      <c r="F152" s="33">
        <v>1</v>
      </c>
      <c r="G152" s="27">
        <f t="shared" si="3"/>
        <v>-1</v>
      </c>
      <c r="H152" s="28" t="str">
        <f>VLOOKUP(E152,'Cadastro Produtos (kiwkiw)'!C:E,3,0)</f>
        <v>Argola Classy Prateada</v>
      </c>
      <c r="AB152" s="33" t="s">
        <v>171</v>
      </c>
    </row>
    <row r="153" spans="2:28" ht="15" customHeight="1" x14ac:dyDescent="0.4">
      <c r="C153" s="34" t="s">
        <v>6</v>
      </c>
      <c r="D153" s="35">
        <v>45502</v>
      </c>
      <c r="E153" s="51" t="s">
        <v>113</v>
      </c>
      <c r="F153" s="33">
        <v>1</v>
      </c>
      <c r="G153" s="27">
        <f t="shared" si="3"/>
        <v>-1</v>
      </c>
      <c r="H153" s="28" t="str">
        <f>VLOOKUP(E153,'Cadastro Produtos (kiwkiw)'!C:E,3,0)</f>
        <v>Gargantilha Escama Prateada</v>
      </c>
      <c r="AB153" s="33" t="s">
        <v>172</v>
      </c>
    </row>
    <row r="154" spans="2:28" ht="15" customHeight="1" x14ac:dyDescent="0.4">
      <c r="B154" s="43">
        <v>45503.406331018516</v>
      </c>
      <c r="C154" s="34" t="s">
        <v>6</v>
      </c>
      <c r="D154" s="35">
        <v>45503</v>
      </c>
      <c r="E154" s="51" t="s">
        <v>102</v>
      </c>
      <c r="F154" s="33">
        <v>1</v>
      </c>
      <c r="G154" s="27">
        <f t="shared" si="3"/>
        <v>-1</v>
      </c>
      <c r="H154" s="28" t="str">
        <f>VLOOKUP(E154,'Cadastro Produtos (kiwkiw)'!C:E,3,0)</f>
        <v>Colar Longo Lua Banho Ouro</v>
      </c>
      <c r="AB154" s="33" t="s">
        <v>173</v>
      </c>
    </row>
    <row r="155" spans="2:28" ht="15" customHeight="1" x14ac:dyDescent="0.4">
      <c r="C155" s="34" t="s">
        <v>6</v>
      </c>
      <c r="D155" s="35">
        <v>45503</v>
      </c>
      <c r="E155" s="51" t="s">
        <v>117</v>
      </c>
      <c r="F155" s="33">
        <v>1</v>
      </c>
      <c r="G155" s="27">
        <f t="shared" si="3"/>
        <v>-1</v>
      </c>
      <c r="H155" s="28" t="str">
        <f>VLOOKUP(E155,'Cadastro Produtos (kiwkiw)'!C:E,3,0)</f>
        <v>Gargantilha Minimal Banho Ouro</v>
      </c>
      <c r="AB155" s="33" t="s">
        <v>173</v>
      </c>
    </row>
    <row r="156" spans="2:28" ht="15" customHeight="1" x14ac:dyDescent="0.4">
      <c r="C156" s="34" t="s">
        <v>6</v>
      </c>
      <c r="D156" s="35">
        <v>45503</v>
      </c>
      <c r="E156" s="51" t="s">
        <v>71</v>
      </c>
      <c r="F156" s="33">
        <v>1</v>
      </c>
      <c r="G156" s="27">
        <f t="shared" si="3"/>
        <v>-1</v>
      </c>
      <c r="H156" s="28" t="str">
        <f>VLOOKUP(E156,'Cadastro Produtos (kiwkiw)'!C:E,3,0)</f>
        <v>Ear Cuff Minimal Banho Ouro</v>
      </c>
      <c r="AB156" s="33" t="s">
        <v>173</v>
      </c>
    </row>
    <row r="157" spans="2:28" ht="15" customHeight="1" x14ac:dyDescent="0.4">
      <c r="B157" s="43"/>
      <c r="C157" s="34" t="s">
        <v>6</v>
      </c>
      <c r="D157" s="35">
        <v>45503</v>
      </c>
      <c r="E157" s="51" t="s">
        <v>74</v>
      </c>
      <c r="F157" s="33">
        <v>1</v>
      </c>
      <c r="G157" s="27">
        <f t="shared" si="3"/>
        <v>-1</v>
      </c>
      <c r="H157" s="28" t="str">
        <f>VLOOKUP(E157,'Cadastro Produtos (kiwkiw)'!C:E,3,0)</f>
        <v>Ear Hook Hug Banho Ouro</v>
      </c>
      <c r="AB157" s="33" t="s">
        <v>173</v>
      </c>
    </row>
    <row r="158" spans="2:28" ht="15" customHeight="1" x14ac:dyDescent="0.4">
      <c r="C158" s="34" t="s">
        <v>6</v>
      </c>
      <c r="D158" s="35">
        <v>45503</v>
      </c>
      <c r="E158" s="51" t="s">
        <v>12</v>
      </c>
      <c r="F158" s="33">
        <v>1</v>
      </c>
      <c r="G158" s="27">
        <f t="shared" si="3"/>
        <v>-1</v>
      </c>
      <c r="H158" s="28" t="str">
        <f>VLOOKUP(E158,'Cadastro Produtos (kiwkiw)'!C:E,3,0)</f>
        <v>Anel Duplo Banho Ouro</v>
      </c>
      <c r="AB158" s="33" t="s">
        <v>173</v>
      </c>
    </row>
    <row r="159" spans="2:28" ht="15" customHeight="1" x14ac:dyDescent="0.4">
      <c r="B159" s="43">
        <v>45504.419571759259</v>
      </c>
      <c r="C159" s="34" t="s">
        <v>6</v>
      </c>
      <c r="D159" s="35">
        <v>45504</v>
      </c>
      <c r="E159" s="51" t="s">
        <v>45</v>
      </c>
      <c r="F159" s="33">
        <v>1</v>
      </c>
      <c r="G159" s="27">
        <f t="shared" si="3"/>
        <v>-1</v>
      </c>
      <c r="H159" s="28" t="str">
        <f>VLOOKUP(E159,'Cadastro Produtos (kiwkiw)'!C:E,3,0)</f>
        <v>Brinco Bubble Medio Banho Ouro</v>
      </c>
      <c r="AB159" s="33" t="s">
        <v>174</v>
      </c>
    </row>
    <row r="160" spans="2:28" ht="15" customHeight="1" x14ac:dyDescent="0.4">
      <c r="B160" s="43">
        <v>45505.423113425924</v>
      </c>
      <c r="C160" s="34" t="s">
        <v>6</v>
      </c>
      <c r="D160" s="35">
        <v>45505</v>
      </c>
      <c r="E160" s="51" t="s">
        <v>91</v>
      </c>
      <c r="F160" s="33">
        <v>1</v>
      </c>
      <c r="G160" s="27">
        <f t="shared" si="3"/>
        <v>-1</v>
      </c>
      <c r="H160" s="28" t="str">
        <f>VLOOKUP(E160,'Cadastro Produtos (kiwkiw)'!C:E,3,0)</f>
        <v>Colar Rosa dos Ventos Banho Ouro</v>
      </c>
      <c r="AB160" s="33" t="s">
        <v>175</v>
      </c>
    </row>
    <row r="161" spans="2:28" ht="15" customHeight="1" x14ac:dyDescent="0.4">
      <c r="B161" s="43">
        <v>45509.429548611108</v>
      </c>
      <c r="C161" s="34" t="s">
        <v>6</v>
      </c>
      <c r="D161" s="35">
        <v>45509</v>
      </c>
      <c r="E161" s="51" t="s">
        <v>52</v>
      </c>
      <c r="F161" s="33">
        <v>1</v>
      </c>
      <c r="G161" s="27">
        <f t="shared" si="3"/>
        <v>-1</v>
      </c>
      <c r="H161" s="28" t="str">
        <f>VLOOKUP(E161,'Cadastro Produtos (kiwkiw)'!C:E,3,0)</f>
        <v>Brinco Leque Banho Ouro</v>
      </c>
      <c r="AB161" s="33" t="s">
        <v>176</v>
      </c>
    </row>
    <row r="162" spans="2:28" ht="15" customHeight="1" x14ac:dyDescent="0.4">
      <c r="B162" s="43"/>
      <c r="C162" s="34" t="s">
        <v>6</v>
      </c>
      <c r="D162" s="35">
        <v>45509</v>
      </c>
      <c r="E162" s="51" t="s">
        <v>83</v>
      </c>
      <c r="F162" s="33">
        <v>1</v>
      </c>
      <c r="G162" s="27">
        <f t="shared" si="3"/>
        <v>-1</v>
      </c>
      <c r="H162" s="28" t="str">
        <f>VLOOKUP(E162,'Cadastro Produtos (kiwkiw)'!C:E,3,0)</f>
        <v>Mini Argola Classy Banho Ouro</v>
      </c>
      <c r="AB162" s="33" t="s">
        <v>176</v>
      </c>
    </row>
    <row r="163" spans="2:28" ht="15" customHeight="1" x14ac:dyDescent="0.4">
      <c r="C163" s="34" t="s">
        <v>6</v>
      </c>
      <c r="D163" s="35">
        <v>45509</v>
      </c>
      <c r="E163" s="51" t="s">
        <v>87</v>
      </c>
      <c r="F163" s="33">
        <v>1</v>
      </c>
      <c r="G163" s="27">
        <f t="shared" si="3"/>
        <v>-1</v>
      </c>
      <c r="H163" s="28" t="str">
        <f>VLOOKUP(E163,'Cadastro Produtos (kiwkiw)'!C:E,3,0)</f>
        <v>Piercing Fake Classy Banho Ouro</v>
      </c>
      <c r="AB163" s="33" t="s">
        <v>176</v>
      </c>
    </row>
    <row r="164" spans="2:28" ht="15" customHeight="1" x14ac:dyDescent="0.4">
      <c r="B164" s="43"/>
      <c r="C164" s="34" t="s">
        <v>6</v>
      </c>
      <c r="D164" s="35">
        <v>45509</v>
      </c>
      <c r="E164" s="51" t="s">
        <v>87</v>
      </c>
      <c r="F164" s="33">
        <v>1</v>
      </c>
      <c r="G164" s="27">
        <f t="shared" si="3"/>
        <v>-1</v>
      </c>
      <c r="H164" s="28" t="str">
        <f>VLOOKUP(E164,'Cadastro Produtos (kiwkiw)'!C:E,3,0)</f>
        <v>Piercing Fake Classy Banho Ouro</v>
      </c>
      <c r="AB164" s="33" t="s">
        <v>177</v>
      </c>
    </row>
    <row r="165" spans="2:28" ht="15" customHeight="1" x14ac:dyDescent="0.4">
      <c r="C165" s="34" t="s">
        <v>6</v>
      </c>
      <c r="D165" s="35">
        <v>45509</v>
      </c>
      <c r="E165" s="51" t="s">
        <v>35</v>
      </c>
      <c r="F165" s="33">
        <v>1</v>
      </c>
      <c r="G165" s="27">
        <f t="shared" si="3"/>
        <v>-1</v>
      </c>
      <c r="H165" s="28" t="str">
        <f>VLOOKUP(E165,'Cadastro Produtos (kiwkiw)'!C:E,3,0)</f>
        <v>Argola Classy Banho Ouro</v>
      </c>
      <c r="AB165" s="33" t="s">
        <v>176</v>
      </c>
    </row>
    <row r="166" spans="2:28" ht="15" customHeight="1" x14ac:dyDescent="0.4">
      <c r="C166" s="34" t="s">
        <v>6</v>
      </c>
      <c r="D166" s="35">
        <v>45509</v>
      </c>
      <c r="E166" s="51" t="s">
        <v>110</v>
      </c>
      <c r="F166" s="33">
        <v>1</v>
      </c>
      <c r="G166" s="27">
        <f t="shared" si="3"/>
        <v>-1</v>
      </c>
      <c r="H166" s="28" t="str">
        <f>VLOOKUP(E166,'Cadastro Produtos (kiwkiw)'!C:E,3,0)</f>
        <v>Colar Corrente Groumet Banho Ouro</v>
      </c>
      <c r="AB166" s="33" t="s">
        <v>176</v>
      </c>
    </row>
    <row r="167" spans="2:28" ht="15" customHeight="1" x14ac:dyDescent="0.4">
      <c r="C167" s="34" t="s">
        <v>6</v>
      </c>
      <c r="D167" s="35">
        <v>45509</v>
      </c>
      <c r="E167" s="51" t="s">
        <v>106</v>
      </c>
      <c r="F167" s="33">
        <v>1</v>
      </c>
      <c r="G167" s="27">
        <f t="shared" si="3"/>
        <v>-1</v>
      </c>
      <c r="H167" s="28" t="str">
        <f>VLOOKUP(E167,'Cadastro Produtos (kiwkiw)'!C:E,3,0)</f>
        <v>Colar Sao Jorge Banho Ouro</v>
      </c>
      <c r="AB167" s="33" t="s">
        <v>176</v>
      </c>
    </row>
    <row r="168" spans="2:28" ht="15" customHeight="1" x14ac:dyDescent="0.4">
      <c r="C168" s="34" t="s">
        <v>6</v>
      </c>
      <c r="D168" s="35">
        <v>45509</v>
      </c>
      <c r="E168" s="51" t="s">
        <v>124</v>
      </c>
      <c r="F168" s="33">
        <v>1</v>
      </c>
      <c r="G168" s="27">
        <f t="shared" si="3"/>
        <v>-1</v>
      </c>
      <c r="H168" s="28" t="str">
        <f>VLOOKUP(E168,'Cadastro Produtos (kiwkiw)'!C:E,3,0)</f>
        <v>Pulseira Fita Textura Banho Ouro</v>
      </c>
      <c r="AB168" s="33" t="s">
        <v>176</v>
      </c>
    </row>
    <row r="169" spans="2:28" ht="15" customHeight="1" x14ac:dyDescent="0.4">
      <c r="B169" s="43"/>
      <c r="C169" s="34" t="s">
        <v>6</v>
      </c>
      <c r="D169" s="35">
        <v>45509</v>
      </c>
      <c r="E169" s="51" t="s">
        <v>123</v>
      </c>
      <c r="F169" s="33">
        <v>1</v>
      </c>
      <c r="G169" s="27">
        <f t="shared" si="3"/>
        <v>-1</v>
      </c>
      <c r="H169" s="28" t="str">
        <f>VLOOKUP(E169,'Cadastro Produtos (kiwkiw)'!C:E,3,0)</f>
        <v>Pulseira Dots Banho Ouro</v>
      </c>
      <c r="AB169" s="33" t="s">
        <v>176</v>
      </c>
    </row>
    <row r="170" spans="2:28" ht="15" customHeight="1" x14ac:dyDescent="0.4">
      <c r="B170" s="43"/>
      <c r="C170" s="34" t="s">
        <v>6</v>
      </c>
      <c r="D170" s="35">
        <v>45509</v>
      </c>
      <c r="E170" s="51" t="s">
        <v>123</v>
      </c>
      <c r="F170" s="33">
        <v>1</v>
      </c>
      <c r="G170" s="27">
        <f t="shared" si="3"/>
        <v>-1</v>
      </c>
      <c r="H170" s="28" t="str">
        <f>VLOOKUP(E170,'Cadastro Produtos (kiwkiw)'!C:E,3,0)</f>
        <v>Pulseira Dots Banho Ouro</v>
      </c>
      <c r="AB170" s="33" t="s">
        <v>178</v>
      </c>
    </row>
    <row r="171" spans="2:28" ht="15" customHeight="1" x14ac:dyDescent="0.4">
      <c r="C171" s="34" t="s">
        <v>6</v>
      </c>
      <c r="D171" s="35">
        <v>45509</v>
      </c>
      <c r="E171" s="51" t="s">
        <v>121</v>
      </c>
      <c r="F171" s="33">
        <v>1</v>
      </c>
      <c r="G171" s="27">
        <f t="shared" si="3"/>
        <v>-1</v>
      </c>
      <c r="H171" s="28" t="str">
        <f>VLOOKUP(E171,'Cadastro Produtos (kiwkiw)'!C:E,3,0)</f>
        <v>Bracelete Wave Banho Ouro</v>
      </c>
      <c r="AB171" s="33" t="s">
        <v>176</v>
      </c>
    </row>
    <row r="172" spans="2:28" ht="15" customHeight="1" x14ac:dyDescent="0.4">
      <c r="C172" s="34" t="s">
        <v>6</v>
      </c>
      <c r="D172" s="35">
        <v>45509</v>
      </c>
      <c r="E172" s="51" t="s">
        <v>121</v>
      </c>
      <c r="F172" s="33">
        <v>1</v>
      </c>
      <c r="G172" s="27">
        <f t="shared" si="3"/>
        <v>-1</v>
      </c>
      <c r="H172" s="28" t="str">
        <f>VLOOKUP(E172,'Cadastro Produtos (kiwkiw)'!C:E,3,0)</f>
        <v>Bracelete Wave Banho Ouro</v>
      </c>
      <c r="AB172" s="33" t="s">
        <v>179</v>
      </c>
    </row>
    <row r="173" spans="2:28" ht="15" customHeight="1" x14ac:dyDescent="0.4">
      <c r="C173" s="34" t="s">
        <v>6</v>
      </c>
      <c r="D173" s="35">
        <v>45509</v>
      </c>
      <c r="E173" s="51" t="s">
        <v>127</v>
      </c>
      <c r="F173" s="33">
        <v>1</v>
      </c>
      <c r="G173" s="27">
        <f t="shared" si="3"/>
        <v>-1</v>
      </c>
      <c r="H173" s="28" t="str">
        <f>VLOOKUP(E173,'Cadastro Produtos (kiwkiw)'!C:E,3,0)</f>
        <v>Pulseira Minimal Banho Ouro</v>
      </c>
      <c r="AB173" s="33" t="s">
        <v>176</v>
      </c>
    </row>
    <row r="174" spans="2:28" ht="15" customHeight="1" x14ac:dyDescent="0.4">
      <c r="C174" s="34" t="s">
        <v>6</v>
      </c>
      <c r="D174" s="35">
        <v>45509</v>
      </c>
      <c r="E174" s="51" t="s">
        <v>12</v>
      </c>
      <c r="F174" s="33">
        <v>1</v>
      </c>
      <c r="G174" s="27">
        <f t="shared" si="3"/>
        <v>-1</v>
      </c>
      <c r="H174" s="28" t="str">
        <f>VLOOKUP(E174,'Cadastro Produtos (kiwkiw)'!C:E,3,0)</f>
        <v>Anel Duplo Banho Ouro</v>
      </c>
      <c r="AB174" s="33" t="s">
        <v>176</v>
      </c>
    </row>
    <row r="175" spans="2:28" ht="15" customHeight="1" x14ac:dyDescent="0.4">
      <c r="C175" s="34" t="s">
        <v>6</v>
      </c>
      <c r="D175" s="35">
        <v>45509</v>
      </c>
      <c r="E175" s="51" t="s">
        <v>19</v>
      </c>
      <c r="F175" s="33">
        <v>1</v>
      </c>
      <c r="G175" s="27">
        <f t="shared" si="3"/>
        <v>-1</v>
      </c>
      <c r="H175" s="28" t="str">
        <f>VLOOKUP(E175,'Cadastro Produtos (kiwkiw)'!C:E,3,0)</f>
        <v>Anel Zig Ajustavel Banho Ouro</v>
      </c>
      <c r="AB175" s="33" t="s">
        <v>176</v>
      </c>
    </row>
    <row r="176" spans="2:28" ht="15" customHeight="1" x14ac:dyDescent="0.4">
      <c r="C176" s="34" t="s">
        <v>6</v>
      </c>
      <c r="D176" s="35">
        <v>45509</v>
      </c>
      <c r="E176" s="51" t="s">
        <v>19</v>
      </c>
      <c r="F176" s="33">
        <v>1</v>
      </c>
      <c r="G176" s="27">
        <f t="shared" si="3"/>
        <v>-1</v>
      </c>
      <c r="H176" s="28" t="str">
        <f>VLOOKUP(E176,'Cadastro Produtos (kiwkiw)'!C:E,3,0)</f>
        <v>Anel Zig Ajustavel Banho Ouro</v>
      </c>
      <c r="AB176" s="33" t="s">
        <v>178</v>
      </c>
    </row>
    <row r="177" spans="2:28" ht="15" customHeight="1" x14ac:dyDescent="0.4">
      <c r="C177" s="34" t="s">
        <v>6</v>
      </c>
      <c r="D177" s="35">
        <v>45509</v>
      </c>
      <c r="E177" s="51" t="s">
        <v>43</v>
      </c>
      <c r="F177" s="33">
        <v>1</v>
      </c>
      <c r="G177" s="27">
        <f t="shared" si="3"/>
        <v>-1</v>
      </c>
      <c r="H177" s="28" t="str">
        <f>VLOOKUP(E177,'Cadastro Produtos (kiwkiw)'!C:E,3,0)</f>
        <v>Brinco Mini Aviao Banho Ouro</v>
      </c>
      <c r="AB177" s="33" t="s">
        <v>180</v>
      </c>
    </row>
    <row r="178" spans="2:28" ht="15" customHeight="1" x14ac:dyDescent="0.4">
      <c r="C178" s="34" t="s">
        <v>6</v>
      </c>
      <c r="D178" s="35">
        <v>45509</v>
      </c>
      <c r="E178" s="51" t="s">
        <v>99</v>
      </c>
      <c r="F178" s="33">
        <v>1</v>
      </c>
      <c r="G178" s="27">
        <f t="shared" si="3"/>
        <v>-1</v>
      </c>
      <c r="H178" s="28" t="str">
        <f>VLOOKUP(E178,'Cadastro Produtos (kiwkiw)'!C:E,3,0)</f>
        <v>Colar Esfera Medio Banho Ouro</v>
      </c>
      <c r="AB178" s="33" t="s">
        <v>181</v>
      </c>
    </row>
    <row r="179" spans="2:28" ht="15" customHeight="1" x14ac:dyDescent="0.4">
      <c r="C179" s="34" t="s">
        <v>6</v>
      </c>
      <c r="D179" s="35">
        <v>45509</v>
      </c>
      <c r="E179" s="51" t="s">
        <v>22</v>
      </c>
      <c r="F179" s="33">
        <v>1</v>
      </c>
      <c r="G179" s="27">
        <f t="shared" si="3"/>
        <v>-1</v>
      </c>
      <c r="H179" s="28" t="str">
        <f>VLOOKUP(E179,'Cadastro Produtos (kiwkiw)'!C:E,3,0)</f>
        <v>Argola Bold Grande Banho Ouro</v>
      </c>
      <c r="AB179" s="33" t="s">
        <v>182</v>
      </c>
    </row>
    <row r="180" spans="2:28" ht="15" customHeight="1" x14ac:dyDescent="0.4">
      <c r="B180" s="43"/>
      <c r="C180" s="34" t="s">
        <v>6</v>
      </c>
      <c r="D180" s="35">
        <v>45509</v>
      </c>
      <c r="E180" s="51" t="s">
        <v>30</v>
      </c>
      <c r="F180" s="33">
        <v>1</v>
      </c>
      <c r="G180" s="27">
        <f t="shared" si="3"/>
        <v>-1</v>
      </c>
      <c r="H180" s="28" t="str">
        <f>VLOOKUP(E180,'Cadastro Produtos (kiwkiw)'!C:E,3,0)</f>
        <v>Argola Organica Banho Ouro</v>
      </c>
      <c r="AB180" s="33" t="s">
        <v>182</v>
      </c>
    </row>
    <row r="181" spans="2:28" ht="15" customHeight="1" x14ac:dyDescent="0.4">
      <c r="C181" s="34" t="s">
        <v>6</v>
      </c>
      <c r="D181" s="35">
        <v>45509</v>
      </c>
      <c r="E181" s="51" t="s">
        <v>30</v>
      </c>
      <c r="F181" s="33">
        <v>1</v>
      </c>
      <c r="G181" s="27">
        <f t="shared" si="3"/>
        <v>-1</v>
      </c>
      <c r="H181" s="28" t="str">
        <f>VLOOKUP(E181,'Cadastro Produtos (kiwkiw)'!C:E,3,0)</f>
        <v>Argola Organica Banho Ouro</v>
      </c>
      <c r="AB181" s="33" t="s">
        <v>178</v>
      </c>
    </row>
    <row r="182" spans="2:28" ht="15" customHeight="1" x14ac:dyDescent="0.4">
      <c r="C182" s="34" t="s">
        <v>6</v>
      </c>
      <c r="D182" s="35">
        <v>45509</v>
      </c>
      <c r="E182" s="51" t="s">
        <v>79</v>
      </c>
      <c r="F182" s="33">
        <v>1</v>
      </c>
      <c r="G182" s="27">
        <f t="shared" si="3"/>
        <v>-1</v>
      </c>
      <c r="H182" s="28" t="str">
        <f>VLOOKUP(E182,'Cadastro Produtos (kiwkiw)'!C:E,3,0)</f>
        <v>Kit Brincos Coracao e Triangulo Banho Ouro</v>
      </c>
      <c r="AB182" s="33" t="s">
        <v>183</v>
      </c>
    </row>
    <row r="183" spans="2:28" ht="15" customHeight="1" x14ac:dyDescent="0.4">
      <c r="C183" s="34" t="s">
        <v>6</v>
      </c>
      <c r="D183" s="35">
        <v>45509</v>
      </c>
      <c r="E183" s="51" t="s">
        <v>49</v>
      </c>
      <c r="F183" s="33">
        <v>1</v>
      </c>
      <c r="G183" s="27">
        <f t="shared" si="3"/>
        <v>-1</v>
      </c>
      <c r="H183" s="28" t="str">
        <f>VLOOKUP(E183,'Cadastro Produtos (kiwkiw)'!C:E,3,0)</f>
        <v>Brinco Coracao Diamond Banho Ouro</v>
      </c>
      <c r="AB183" s="33" t="s">
        <v>183</v>
      </c>
    </row>
    <row r="184" spans="2:28" ht="15" customHeight="1" x14ac:dyDescent="0.4">
      <c r="C184" s="34" t="s">
        <v>6</v>
      </c>
      <c r="D184" s="35">
        <v>45509</v>
      </c>
      <c r="E184" s="51" t="s">
        <v>40</v>
      </c>
      <c r="F184" s="33">
        <v>1</v>
      </c>
      <c r="G184" s="27">
        <f t="shared" si="3"/>
        <v>-1</v>
      </c>
      <c r="H184" s="28" t="str">
        <f>VLOOKUP(E184,'Cadastro Produtos (kiwkiw)'!C:E,3,0)</f>
        <v>Argolinha Folha Banho Ouro</v>
      </c>
      <c r="AB184" s="33" t="s">
        <v>183</v>
      </c>
    </row>
    <row r="185" spans="2:28" ht="15" customHeight="1" x14ac:dyDescent="0.4">
      <c r="C185" s="34" t="s">
        <v>6</v>
      </c>
      <c r="D185" s="35">
        <v>45509</v>
      </c>
      <c r="E185" s="51" t="s">
        <v>40</v>
      </c>
      <c r="F185" s="33">
        <v>1</v>
      </c>
      <c r="G185" s="27">
        <f t="shared" si="3"/>
        <v>-1</v>
      </c>
      <c r="H185" s="28" t="str">
        <f>VLOOKUP(E185,'Cadastro Produtos (kiwkiw)'!C:E,3,0)</f>
        <v>Argolinha Folha Banho Ouro</v>
      </c>
      <c r="AB185" s="33" t="s">
        <v>184</v>
      </c>
    </row>
    <row r="186" spans="2:28" ht="15" customHeight="1" x14ac:dyDescent="0.4">
      <c r="C186" s="34" t="s">
        <v>6</v>
      </c>
      <c r="D186" s="35">
        <v>45509</v>
      </c>
      <c r="E186" s="51" t="s">
        <v>61</v>
      </c>
      <c r="F186" s="33">
        <v>1</v>
      </c>
      <c r="G186" s="27">
        <f t="shared" si="3"/>
        <v>-1</v>
      </c>
      <c r="H186" s="28" t="str">
        <f>VLOOKUP(E186,'Cadastro Produtos (kiwkiw)'!C:E,3,0)</f>
        <v>Brinco Setas Banho Ouro</v>
      </c>
      <c r="AB186" s="33" t="s">
        <v>183</v>
      </c>
    </row>
    <row r="187" spans="2:28" ht="15" customHeight="1" x14ac:dyDescent="0.4">
      <c r="C187" s="34" t="s">
        <v>6</v>
      </c>
      <c r="D187" s="35">
        <v>45509</v>
      </c>
      <c r="E187" s="51" t="s">
        <v>61</v>
      </c>
      <c r="F187" s="33">
        <v>1</v>
      </c>
      <c r="G187" s="27">
        <f t="shared" si="3"/>
        <v>-1</v>
      </c>
      <c r="H187" s="28" t="str">
        <f>VLOOKUP(E187,'Cadastro Produtos (kiwkiw)'!C:E,3,0)</f>
        <v>Brinco Setas Banho Ouro</v>
      </c>
      <c r="AB187" s="33" t="s">
        <v>185</v>
      </c>
    </row>
    <row r="188" spans="2:28" ht="15" customHeight="1" x14ac:dyDescent="0.4">
      <c r="C188" s="34" t="s">
        <v>6</v>
      </c>
      <c r="D188" s="35">
        <v>45509</v>
      </c>
      <c r="E188" s="51" t="s">
        <v>103</v>
      </c>
      <c r="F188" s="33">
        <v>1</v>
      </c>
      <c r="G188" s="27">
        <f t="shared" si="3"/>
        <v>-1</v>
      </c>
      <c r="H188" s="28" t="str">
        <f>VLOOKUP(E188,'Cadastro Produtos (kiwkiw)'!C:E,3,0)</f>
        <v>Colar Ivy Banho Ouro</v>
      </c>
      <c r="AB188" s="33" t="s">
        <v>186</v>
      </c>
    </row>
    <row r="189" spans="2:28" ht="15" customHeight="1" x14ac:dyDescent="0.4">
      <c r="C189" s="34" t="s">
        <v>6</v>
      </c>
      <c r="D189" s="35">
        <v>45509</v>
      </c>
      <c r="E189" s="51" t="s">
        <v>103</v>
      </c>
      <c r="F189" s="33">
        <v>1</v>
      </c>
      <c r="G189" s="27">
        <f t="shared" si="3"/>
        <v>-1</v>
      </c>
      <c r="H189" s="28" t="str">
        <f>VLOOKUP(E189,'Cadastro Produtos (kiwkiw)'!C:E,3,0)</f>
        <v>Colar Ivy Banho Ouro</v>
      </c>
      <c r="AB189" s="33" t="s">
        <v>178</v>
      </c>
    </row>
    <row r="190" spans="2:28" ht="15" customHeight="1" x14ac:dyDescent="0.4">
      <c r="C190" s="34" t="s">
        <v>6</v>
      </c>
      <c r="D190" s="35">
        <v>45509</v>
      </c>
      <c r="E190" s="51" t="s">
        <v>72</v>
      </c>
      <c r="F190" s="33">
        <v>1</v>
      </c>
      <c r="G190" s="27">
        <f t="shared" si="3"/>
        <v>-1</v>
      </c>
      <c r="H190" s="28" t="str">
        <f>VLOOKUP(E190,'Cadastro Produtos (kiwkiw)'!C:E,3,0)</f>
        <v>Ear Hook Line Banho Ouro</v>
      </c>
      <c r="AB190" s="33" t="s">
        <v>177</v>
      </c>
    </row>
    <row r="191" spans="2:28" ht="15" customHeight="1" x14ac:dyDescent="0.4">
      <c r="C191" s="34" t="s">
        <v>6</v>
      </c>
      <c r="D191" s="35">
        <v>45509</v>
      </c>
      <c r="E191" s="51" t="s">
        <v>114</v>
      </c>
      <c r="F191" s="33">
        <v>1</v>
      </c>
      <c r="G191" s="27">
        <f t="shared" si="3"/>
        <v>-1</v>
      </c>
      <c r="H191" s="28" t="str">
        <f>VLOOKUP(E191,'Cadastro Produtos (kiwkiw)'!C:E,3,0)</f>
        <v>Gargantilha Fita Banho Ouro</v>
      </c>
      <c r="AB191" s="33" t="s">
        <v>177</v>
      </c>
    </row>
    <row r="192" spans="2:28" ht="15" customHeight="1" x14ac:dyDescent="0.4">
      <c r="C192" s="34" t="s">
        <v>6</v>
      </c>
      <c r="D192" s="35">
        <v>45509</v>
      </c>
      <c r="E192" s="51" t="s">
        <v>114</v>
      </c>
      <c r="F192" s="33">
        <v>1</v>
      </c>
      <c r="G192" s="27">
        <f t="shared" si="3"/>
        <v>-1</v>
      </c>
      <c r="H192" s="28" t="str">
        <f>VLOOKUP(E192,'Cadastro Produtos (kiwkiw)'!C:E,3,0)</f>
        <v>Gargantilha Fita Banho Ouro</v>
      </c>
      <c r="AB192" s="33" t="s">
        <v>178</v>
      </c>
    </row>
    <row r="193" spans="2:28" ht="15" customHeight="1" x14ac:dyDescent="0.4">
      <c r="B193" s="43"/>
      <c r="C193" s="34" t="s">
        <v>6</v>
      </c>
      <c r="D193" s="35">
        <v>45509</v>
      </c>
      <c r="E193" s="51" t="s">
        <v>25</v>
      </c>
      <c r="F193" s="33">
        <v>1</v>
      </c>
      <c r="G193" s="27">
        <f t="shared" si="3"/>
        <v>-1</v>
      </c>
      <c r="H193" s="28" t="str">
        <f>VLOOKUP(E193,'Cadastro Produtos (kiwkiw)'!C:E,3,0)</f>
        <v>Argola Amy Banho Ouro</v>
      </c>
      <c r="AB193" s="33" t="s">
        <v>187</v>
      </c>
    </row>
    <row r="194" spans="2:28" ht="15" customHeight="1" x14ac:dyDescent="0.4">
      <c r="C194" s="34" t="s">
        <v>6</v>
      </c>
      <c r="D194" s="35">
        <v>45509</v>
      </c>
      <c r="E194" s="51" t="s">
        <v>25</v>
      </c>
      <c r="F194" s="33">
        <v>1</v>
      </c>
      <c r="G194" s="27">
        <f t="shared" si="3"/>
        <v>-1</v>
      </c>
      <c r="H194" s="28" t="str">
        <f>VLOOKUP(E194,'Cadastro Produtos (kiwkiw)'!C:E,3,0)</f>
        <v>Argola Amy Banho Ouro</v>
      </c>
      <c r="AB194" s="33" t="s">
        <v>178</v>
      </c>
    </row>
    <row r="195" spans="2:28" ht="15" customHeight="1" x14ac:dyDescent="0.4">
      <c r="C195" s="34" t="s">
        <v>6</v>
      </c>
      <c r="D195" s="35">
        <v>45509</v>
      </c>
      <c r="E195" s="51" t="s">
        <v>129</v>
      </c>
      <c r="F195" s="33">
        <v>1</v>
      </c>
      <c r="G195" s="27">
        <f t="shared" si="3"/>
        <v>-1</v>
      </c>
      <c r="H195" s="28" t="str">
        <f>VLOOKUP(E195,'Cadastro Produtos (kiwkiw)'!C:E,3,0)</f>
        <v>Pulseira Snake Banho Ouro</v>
      </c>
      <c r="AB195" s="33" t="s">
        <v>178</v>
      </c>
    </row>
    <row r="196" spans="2:28" ht="15" customHeight="1" x14ac:dyDescent="0.4">
      <c r="C196" s="34" t="s">
        <v>6</v>
      </c>
      <c r="D196" s="35">
        <v>45509</v>
      </c>
      <c r="E196" s="51" t="s">
        <v>108</v>
      </c>
      <c r="F196" s="33">
        <v>1</v>
      </c>
      <c r="G196" s="27">
        <f t="shared" si="3"/>
        <v>-1</v>
      </c>
      <c r="H196" s="28" t="str">
        <f>VLOOKUP(E196,'Cadastro Produtos (kiwkiw)'!C:E,3,0)</f>
        <v>Colar Line Banho Ouro</v>
      </c>
      <c r="AB196" s="33" t="s">
        <v>178</v>
      </c>
    </row>
    <row r="197" spans="2:28" ht="15" customHeight="1" x14ac:dyDescent="0.4">
      <c r="B197" s="43"/>
      <c r="C197" s="34" t="s">
        <v>6</v>
      </c>
      <c r="D197" s="35">
        <v>45509</v>
      </c>
      <c r="E197" s="51" t="s">
        <v>98</v>
      </c>
      <c r="F197" s="33">
        <v>1</v>
      </c>
      <c r="G197" s="27">
        <f t="shared" si="3"/>
        <v>-1</v>
      </c>
      <c r="H197" s="28" t="str">
        <f>VLOOKUP(E197,'Cadastro Produtos (kiwkiw)'!C:E,3,0)</f>
        <v>Colar Longo Esfera Banho Ouro</v>
      </c>
      <c r="AB197" s="33" t="s">
        <v>178</v>
      </c>
    </row>
    <row r="198" spans="2:28" ht="15" customHeight="1" x14ac:dyDescent="0.4">
      <c r="C198" s="34" t="s">
        <v>6</v>
      </c>
      <c r="D198" s="35">
        <v>45509</v>
      </c>
      <c r="E198" s="51" t="s">
        <v>98</v>
      </c>
      <c r="F198" s="33">
        <v>1</v>
      </c>
      <c r="G198" s="27">
        <f t="shared" si="3"/>
        <v>-1</v>
      </c>
      <c r="H198" s="28" t="str">
        <f>VLOOKUP(E198,'Cadastro Produtos (kiwkiw)'!C:E,3,0)</f>
        <v>Colar Longo Esfera Banho Ouro</v>
      </c>
      <c r="AB198" s="33" t="s">
        <v>188</v>
      </c>
    </row>
    <row r="199" spans="2:28" ht="15" customHeight="1" x14ac:dyDescent="0.4">
      <c r="C199" s="34" t="s">
        <v>6</v>
      </c>
      <c r="D199" s="35">
        <v>45509</v>
      </c>
      <c r="E199" s="51" t="s">
        <v>89</v>
      </c>
      <c r="F199" s="33">
        <v>1</v>
      </c>
      <c r="G199" s="27">
        <f t="shared" si="3"/>
        <v>-1</v>
      </c>
      <c r="H199" s="28" t="str">
        <f>VLOOKUP(E199,'Cadastro Produtos (kiwkiw)'!C:E,3,0)</f>
        <v>Colar Dot Banho Ouro</v>
      </c>
      <c r="AB199" s="33" t="s">
        <v>178</v>
      </c>
    </row>
    <row r="200" spans="2:28" ht="15" customHeight="1" x14ac:dyDescent="0.4">
      <c r="C200" s="34" t="s">
        <v>6</v>
      </c>
      <c r="D200" s="35">
        <v>45509</v>
      </c>
      <c r="E200" s="51" t="s">
        <v>69</v>
      </c>
      <c r="F200" s="33">
        <v>1</v>
      </c>
      <c r="G200" s="27">
        <f t="shared" si="3"/>
        <v>-1</v>
      </c>
      <c r="H200" s="28" t="str">
        <f>VLOOKUP(E200,'Cadastro Produtos (kiwkiw)'!C:E,3,0)</f>
        <v>Brinco Tubinho Pequeno Banho Ouro</v>
      </c>
      <c r="AB200" s="33" t="s">
        <v>178</v>
      </c>
    </row>
    <row r="201" spans="2:28" ht="15" customHeight="1" x14ac:dyDescent="0.4">
      <c r="C201" s="34" t="s">
        <v>6</v>
      </c>
      <c r="D201" s="35">
        <v>45509</v>
      </c>
      <c r="E201" s="51" t="s">
        <v>37</v>
      </c>
      <c r="F201" s="33">
        <v>1</v>
      </c>
      <c r="G201" s="27">
        <f t="shared" si="3"/>
        <v>-1</v>
      </c>
      <c r="H201" s="28" t="str">
        <f>VLOOKUP(E201,'Cadastro Produtos (kiwkiw)'!C:E,3,0)</f>
        <v>Argola Wave Banho Ouro</v>
      </c>
      <c r="AB201" s="33" t="s">
        <v>178</v>
      </c>
    </row>
    <row r="202" spans="2:28" ht="15" customHeight="1" x14ac:dyDescent="0.4">
      <c r="C202" s="34" t="s">
        <v>6</v>
      </c>
      <c r="D202" s="35">
        <v>45509</v>
      </c>
      <c r="E202" s="51" t="s">
        <v>16</v>
      </c>
      <c r="F202" s="33">
        <v>1</v>
      </c>
      <c r="G202" s="27">
        <f t="shared" si="3"/>
        <v>-1</v>
      </c>
      <c r="H202" s="28" t="str">
        <f>VLOOKUP(E202,'Cadastro Produtos (kiwkiw)'!C:E,3,0)</f>
        <v>Anel Etta Banho Ouro</v>
      </c>
      <c r="AB202" s="33" t="s">
        <v>178</v>
      </c>
    </row>
    <row r="203" spans="2:28" ht="15" customHeight="1" x14ac:dyDescent="0.4">
      <c r="C203" s="34" t="s">
        <v>6</v>
      </c>
      <c r="D203" s="35">
        <v>45509</v>
      </c>
      <c r="E203" s="51" t="s">
        <v>119</v>
      </c>
      <c r="F203" s="33">
        <v>1</v>
      </c>
      <c r="G203" s="27">
        <f t="shared" si="3"/>
        <v>-1</v>
      </c>
      <c r="H203" s="28" t="str">
        <f>VLOOKUP(E203,'Cadastro Produtos (kiwkiw)'!C:E,3,0)</f>
        <v>Bracelete Line Banho Ouro</v>
      </c>
      <c r="AB203" s="33" t="s">
        <v>178</v>
      </c>
    </row>
    <row r="204" spans="2:28" ht="15" customHeight="1" x14ac:dyDescent="0.4">
      <c r="C204" s="34" t="s">
        <v>6</v>
      </c>
      <c r="D204" s="35">
        <v>45509</v>
      </c>
      <c r="E204" s="51" t="s">
        <v>48</v>
      </c>
      <c r="F204" s="33">
        <v>1</v>
      </c>
      <c r="G204" s="27">
        <f t="shared" si="3"/>
        <v>-1</v>
      </c>
      <c r="H204" s="28" t="str">
        <f>VLOOKUP(E204,'Cadastro Produtos (kiwkiw)'!C:E,3,0)</f>
        <v>Brinco Gota Click Banho Ouro</v>
      </c>
      <c r="AB204" s="33" t="s">
        <v>178</v>
      </c>
    </row>
    <row r="205" spans="2:28" ht="15" customHeight="1" x14ac:dyDescent="0.4">
      <c r="B205" s="43"/>
      <c r="C205" s="34" t="s">
        <v>6</v>
      </c>
      <c r="D205" s="35">
        <v>45509</v>
      </c>
      <c r="E205" s="51" t="s">
        <v>48</v>
      </c>
      <c r="F205" s="33">
        <v>1</v>
      </c>
      <c r="G205" s="27">
        <f t="shared" si="3"/>
        <v>-1</v>
      </c>
      <c r="H205" s="28" t="str">
        <f>VLOOKUP(E205,'Cadastro Produtos (kiwkiw)'!C:E,3,0)</f>
        <v>Brinco Gota Click Banho Ouro</v>
      </c>
      <c r="AB205" s="33" t="s">
        <v>185</v>
      </c>
    </row>
    <row r="206" spans="2:28" ht="15" customHeight="1" x14ac:dyDescent="0.4">
      <c r="C206" s="34" t="s">
        <v>6</v>
      </c>
      <c r="D206" s="35">
        <v>45509</v>
      </c>
      <c r="E206" s="51" t="s">
        <v>34</v>
      </c>
      <c r="F206" s="33">
        <v>1</v>
      </c>
      <c r="G206" s="27">
        <f t="shared" si="3"/>
        <v>-1</v>
      </c>
      <c r="H206" s="28" t="str">
        <f>VLOOKUP(E206,'Cadastro Produtos (kiwkiw)'!C:E,3,0)</f>
        <v>Argola Tripla Banho Ouro</v>
      </c>
      <c r="AB206" s="33" t="s">
        <v>185</v>
      </c>
    </row>
    <row r="207" spans="2:28" ht="15" customHeight="1" x14ac:dyDescent="0.4">
      <c r="C207" s="34" t="s">
        <v>6</v>
      </c>
      <c r="D207" s="35">
        <v>45509</v>
      </c>
      <c r="E207" s="51" t="s">
        <v>102</v>
      </c>
      <c r="F207" s="33">
        <v>1</v>
      </c>
      <c r="G207" s="27">
        <f t="shared" si="3"/>
        <v>-1</v>
      </c>
      <c r="H207" s="28" t="str">
        <f>VLOOKUP(E207,'Cadastro Produtos (kiwkiw)'!C:E,3,0)</f>
        <v>Colar Longo Lua Banho Ouro</v>
      </c>
      <c r="AB207" s="33" t="s">
        <v>185</v>
      </c>
    </row>
    <row r="208" spans="2:28" ht="15" customHeight="1" x14ac:dyDescent="0.4">
      <c r="C208" s="34" t="s">
        <v>6</v>
      </c>
      <c r="D208" s="35">
        <v>45509</v>
      </c>
      <c r="E208" s="51" t="s">
        <v>26</v>
      </c>
      <c r="F208" s="33">
        <v>1</v>
      </c>
      <c r="G208" s="27">
        <f t="shared" ref="G208:G271" si="4">IF(C208="Entrada",F208,-F208)</f>
        <v>-1</v>
      </c>
      <c r="H208" s="28" t="str">
        <f>VLOOKUP(E208,'Cadastro Produtos (kiwkiw)'!C:E,3,0)</f>
        <v>Argola Click Grande Banho Ouro</v>
      </c>
      <c r="AB208" s="33" t="s">
        <v>188</v>
      </c>
    </row>
    <row r="209" spans="2:28" ht="15" customHeight="1" x14ac:dyDescent="0.4">
      <c r="C209" s="34" t="s">
        <v>6</v>
      </c>
      <c r="D209" s="35">
        <v>45509</v>
      </c>
      <c r="E209" s="51" t="s">
        <v>74</v>
      </c>
      <c r="F209" s="33">
        <v>1</v>
      </c>
      <c r="G209" s="27">
        <f t="shared" si="4"/>
        <v>-1</v>
      </c>
      <c r="H209" s="28" t="str">
        <f>VLOOKUP(E209,'Cadastro Produtos (kiwkiw)'!C:E,3,0)</f>
        <v>Ear Hook Hug Banho Ouro</v>
      </c>
      <c r="AB209" s="33" t="s">
        <v>188</v>
      </c>
    </row>
    <row r="210" spans="2:28" ht="15" customHeight="1" x14ac:dyDescent="0.4">
      <c r="B210" s="43">
        <v>45510.423877314817</v>
      </c>
      <c r="C210" s="34" t="s">
        <v>6</v>
      </c>
      <c r="D210" s="35">
        <v>45510</v>
      </c>
      <c r="E210" s="51" t="s">
        <v>101</v>
      </c>
      <c r="F210" s="33">
        <v>1</v>
      </c>
      <c r="G210" s="27">
        <f t="shared" si="4"/>
        <v>-1</v>
      </c>
      <c r="H210" s="28" t="str">
        <f>VLOOKUP(E210,'Cadastro Produtos (kiwkiw)'!C:E,3,0)</f>
        <v>Colar Longo Medalha Coracao Banho Ouro</v>
      </c>
      <c r="AB210" s="33" t="s">
        <v>189</v>
      </c>
    </row>
    <row r="211" spans="2:28" ht="15" customHeight="1" x14ac:dyDescent="0.4">
      <c r="C211" s="34" t="s">
        <v>6</v>
      </c>
      <c r="D211" s="35">
        <v>45510</v>
      </c>
      <c r="E211" s="51" t="s">
        <v>103</v>
      </c>
      <c r="F211" s="33">
        <v>1</v>
      </c>
      <c r="G211" s="27">
        <f t="shared" si="4"/>
        <v>-1</v>
      </c>
      <c r="H211" s="28" t="str">
        <f>VLOOKUP(E211,'Cadastro Produtos (kiwkiw)'!C:E,3,0)</f>
        <v>Colar Ivy Banho Ouro</v>
      </c>
      <c r="AB211" s="33" t="s">
        <v>189</v>
      </c>
    </row>
    <row r="212" spans="2:28" ht="15" customHeight="1" x14ac:dyDescent="0.4">
      <c r="C212" s="34" t="s">
        <v>6</v>
      </c>
      <c r="D212" s="35">
        <v>45510</v>
      </c>
      <c r="E212" s="51" t="s">
        <v>108</v>
      </c>
      <c r="F212" s="33">
        <v>1</v>
      </c>
      <c r="G212" s="27">
        <f t="shared" si="4"/>
        <v>-1</v>
      </c>
      <c r="H212" s="28" t="str">
        <f>VLOOKUP(E212,'Cadastro Produtos (kiwkiw)'!C:E,3,0)</f>
        <v>Colar Line Banho Ouro</v>
      </c>
      <c r="AB212" s="33" t="s">
        <v>190</v>
      </c>
    </row>
    <row r="213" spans="2:28" ht="15" customHeight="1" x14ac:dyDescent="0.4">
      <c r="C213" s="34" t="s">
        <v>6</v>
      </c>
      <c r="D213" s="35">
        <v>45510</v>
      </c>
      <c r="E213" s="51" t="s">
        <v>122</v>
      </c>
      <c r="F213" s="33">
        <v>2</v>
      </c>
      <c r="G213" s="27">
        <f t="shared" si="4"/>
        <v>-2</v>
      </c>
      <c r="H213" s="28" t="str">
        <f>VLOOKUP(E213,'Cadastro Produtos (kiwkiw)'!C:E,3,0)</f>
        <v>Bracelete Torcido Banho Ouro</v>
      </c>
      <c r="AB213" s="33" t="s">
        <v>191</v>
      </c>
    </row>
    <row r="214" spans="2:28" ht="15" customHeight="1" x14ac:dyDescent="0.4">
      <c r="C214" s="34" t="s">
        <v>6</v>
      </c>
      <c r="D214" s="35">
        <v>45510</v>
      </c>
      <c r="E214" s="51" t="s">
        <v>38</v>
      </c>
      <c r="F214" s="33">
        <v>1</v>
      </c>
      <c r="G214" s="27">
        <f t="shared" si="4"/>
        <v>-1</v>
      </c>
      <c r="H214" s="28" t="str">
        <f>VLOOKUP(E214,'Cadastro Produtos (kiwkiw)'!C:E,3,0)</f>
        <v>Argolinha Click Dots Banho Ouro</v>
      </c>
      <c r="AB214" s="33" t="s">
        <v>192</v>
      </c>
    </row>
    <row r="215" spans="2:28" ht="15" customHeight="1" x14ac:dyDescent="0.4">
      <c r="C215" s="34" t="s">
        <v>6</v>
      </c>
      <c r="D215" s="35">
        <v>45510</v>
      </c>
      <c r="E215" s="51" t="s">
        <v>40</v>
      </c>
      <c r="F215" s="33">
        <v>1</v>
      </c>
      <c r="G215" s="27">
        <f t="shared" si="4"/>
        <v>-1</v>
      </c>
      <c r="H215" s="28" t="str">
        <f>VLOOKUP(E215,'Cadastro Produtos (kiwkiw)'!C:E,3,0)</f>
        <v>Argolinha Folha Banho Ouro</v>
      </c>
      <c r="AB215" s="33" t="s">
        <v>192</v>
      </c>
    </row>
    <row r="216" spans="2:28" ht="15" customHeight="1" x14ac:dyDescent="0.4">
      <c r="C216" s="34" t="s">
        <v>6</v>
      </c>
      <c r="D216" s="35">
        <v>45510</v>
      </c>
      <c r="E216" s="51" t="s">
        <v>87</v>
      </c>
      <c r="F216" s="33">
        <v>1</v>
      </c>
      <c r="G216" s="27">
        <f t="shared" si="4"/>
        <v>-1</v>
      </c>
      <c r="H216" s="28" t="str">
        <f>VLOOKUP(E216,'Cadastro Produtos (kiwkiw)'!C:E,3,0)</f>
        <v>Piercing Fake Classy Banho Ouro</v>
      </c>
      <c r="AB216" s="33" t="s">
        <v>192</v>
      </c>
    </row>
    <row r="217" spans="2:28" ht="15" customHeight="1" x14ac:dyDescent="0.4">
      <c r="C217" s="34" t="s">
        <v>6</v>
      </c>
      <c r="D217" s="35">
        <v>45510</v>
      </c>
      <c r="E217" s="51" t="s">
        <v>117</v>
      </c>
      <c r="F217" s="33">
        <v>1</v>
      </c>
      <c r="G217" s="27">
        <f t="shared" si="4"/>
        <v>-1</v>
      </c>
      <c r="H217" s="28" t="str">
        <f>VLOOKUP(E217,'Cadastro Produtos (kiwkiw)'!C:E,3,0)</f>
        <v>Gargantilha Minimal Banho Ouro</v>
      </c>
      <c r="AB217" s="33" t="s">
        <v>193</v>
      </c>
    </row>
    <row r="218" spans="2:28" ht="15" customHeight="1" x14ac:dyDescent="0.4">
      <c r="C218" s="34" t="s">
        <v>6</v>
      </c>
      <c r="D218" s="35">
        <v>45510</v>
      </c>
      <c r="E218" s="51" t="s">
        <v>77</v>
      </c>
      <c r="F218" s="33">
        <v>1</v>
      </c>
      <c r="G218" s="27">
        <f t="shared" si="4"/>
        <v>-1</v>
      </c>
      <c r="H218" s="28" t="str">
        <f>VLOOKUP(E218,'Cadastro Produtos (kiwkiw)'!C:E,3,0)</f>
        <v>EarHook Torcido Banho Ouro</v>
      </c>
      <c r="AB218" s="33" t="s">
        <v>193</v>
      </c>
    </row>
    <row r="219" spans="2:28" ht="15" customHeight="1" x14ac:dyDescent="0.4">
      <c r="C219" s="34" t="s">
        <v>6</v>
      </c>
      <c r="D219" s="35">
        <v>45510</v>
      </c>
      <c r="E219" s="51" t="s">
        <v>86</v>
      </c>
      <c r="F219" s="33">
        <v>1</v>
      </c>
      <c r="G219" s="27">
        <f t="shared" si="4"/>
        <v>-1</v>
      </c>
      <c r="H219" s="28" t="str">
        <f>VLOOKUP(E219,'Cadastro Produtos (kiwkiw)'!C:E,3,0)</f>
        <v>Piercing Fake Minimal Banho Ouro</v>
      </c>
      <c r="AB219" s="33" t="s">
        <v>193</v>
      </c>
    </row>
    <row r="220" spans="2:28" ht="15" customHeight="1" x14ac:dyDescent="0.4">
      <c r="B220" s="43">
        <v>45511.425208333334</v>
      </c>
      <c r="C220" s="34" t="s">
        <v>6</v>
      </c>
      <c r="D220" s="35">
        <v>45511</v>
      </c>
      <c r="E220" s="51" t="s">
        <v>65</v>
      </c>
      <c r="F220" s="33">
        <v>1</v>
      </c>
      <c r="G220" s="27">
        <f t="shared" si="4"/>
        <v>-1</v>
      </c>
      <c r="H220" s="28" t="str">
        <f>VLOOKUP(E220,'Cadastro Produtos (kiwkiw)'!C:E,3,0)</f>
        <v>Brinco Spring Banho Ouro</v>
      </c>
      <c r="AB220" s="33" t="s">
        <v>194</v>
      </c>
    </row>
    <row r="221" spans="2:28" ht="15" customHeight="1" x14ac:dyDescent="0.4">
      <c r="C221" s="34" t="s">
        <v>5</v>
      </c>
      <c r="D221" s="35">
        <v>45511</v>
      </c>
      <c r="E221" s="51" t="s">
        <v>103</v>
      </c>
      <c r="F221" s="33">
        <v>1</v>
      </c>
      <c r="G221" s="27">
        <f t="shared" si="4"/>
        <v>1</v>
      </c>
      <c r="H221" s="28" t="str">
        <f>VLOOKUP(E221,'Cadastro Produtos (kiwkiw)'!C:E,3,0)</f>
        <v>Colar Ivy Banho Ouro</v>
      </c>
      <c r="I221" s="32" t="s">
        <v>195</v>
      </c>
    </row>
    <row r="222" spans="2:28" ht="15" customHeight="1" x14ac:dyDescent="0.4">
      <c r="B222" s="43">
        <v>45512.414803240739</v>
      </c>
      <c r="C222" s="34" t="s">
        <v>6</v>
      </c>
      <c r="D222" s="35">
        <v>45511</v>
      </c>
      <c r="E222" s="51" t="s">
        <v>103</v>
      </c>
      <c r="F222" s="33">
        <v>1</v>
      </c>
      <c r="G222" s="27">
        <f t="shared" si="4"/>
        <v>-1</v>
      </c>
      <c r="H222" s="28" t="str">
        <f>VLOOKUP(E222,'Cadastro Produtos (kiwkiw)'!C:E,3,0)</f>
        <v>Colar Ivy Banho Ouro</v>
      </c>
      <c r="AB222" s="33" t="s">
        <v>196</v>
      </c>
    </row>
    <row r="223" spans="2:28" ht="15" customHeight="1" x14ac:dyDescent="0.4">
      <c r="C223" s="34" t="s">
        <v>6</v>
      </c>
      <c r="D223" s="35">
        <v>45511</v>
      </c>
      <c r="E223" s="51" t="s">
        <v>103</v>
      </c>
      <c r="F223" s="33">
        <v>1</v>
      </c>
      <c r="G223" s="27">
        <f t="shared" si="4"/>
        <v>-1</v>
      </c>
      <c r="H223" s="28" t="str">
        <f>VLOOKUP(E223,'Cadastro Produtos (kiwkiw)'!C:E,3,0)</f>
        <v>Colar Ivy Banho Ouro</v>
      </c>
      <c r="AB223" s="33" t="s">
        <v>197</v>
      </c>
    </row>
    <row r="224" spans="2:28" ht="15" customHeight="1" x14ac:dyDescent="0.4">
      <c r="C224" s="34" t="s">
        <v>6</v>
      </c>
      <c r="D224" s="35">
        <v>45511</v>
      </c>
      <c r="E224" s="51" t="s">
        <v>89</v>
      </c>
      <c r="F224" s="33">
        <v>1</v>
      </c>
      <c r="G224" s="27">
        <f t="shared" si="4"/>
        <v>-1</v>
      </c>
      <c r="H224" s="28" t="str">
        <f>VLOOKUP(E224,'Cadastro Produtos (kiwkiw)'!C:E,3,0)</f>
        <v>Colar Dot Banho Ouro</v>
      </c>
      <c r="AB224" s="33" t="s">
        <v>196</v>
      </c>
    </row>
    <row r="225" spans="2:28" ht="15" customHeight="1" x14ac:dyDescent="0.4">
      <c r="C225" s="34" t="s">
        <v>6</v>
      </c>
      <c r="D225" s="35">
        <v>45511</v>
      </c>
      <c r="E225" s="51" t="s">
        <v>74</v>
      </c>
      <c r="F225" s="33">
        <v>1</v>
      </c>
      <c r="G225" s="27">
        <f t="shared" si="4"/>
        <v>-1</v>
      </c>
      <c r="H225" s="28" t="str">
        <f>VLOOKUP(E225,'Cadastro Produtos (kiwkiw)'!C:E,3,0)</f>
        <v>Ear Hook Hug Banho Ouro</v>
      </c>
      <c r="AB225" s="33" t="s">
        <v>198</v>
      </c>
    </row>
    <row r="226" spans="2:28" ht="15" customHeight="1" x14ac:dyDescent="0.4">
      <c r="C226" s="34" t="s">
        <v>6</v>
      </c>
      <c r="D226" s="35">
        <v>45511</v>
      </c>
      <c r="E226" s="51" t="s">
        <v>95</v>
      </c>
      <c r="F226" s="33">
        <v>1</v>
      </c>
      <c r="G226" s="27">
        <f t="shared" si="4"/>
        <v>-1</v>
      </c>
      <c r="H226" s="28" t="str">
        <f>VLOOKUP(E226,'Cadastro Produtos (kiwkiw)'!C:E,3,0)</f>
        <v>Colar Duplo Dots Prateado</v>
      </c>
      <c r="AB226" s="33" t="s">
        <v>198</v>
      </c>
    </row>
    <row r="227" spans="2:28" ht="15" customHeight="1" x14ac:dyDescent="0.4">
      <c r="C227" s="34" t="s">
        <v>6</v>
      </c>
      <c r="D227" s="35">
        <v>45511</v>
      </c>
      <c r="E227" s="51" t="s">
        <v>105</v>
      </c>
      <c r="F227" s="33">
        <v>1</v>
      </c>
      <c r="G227" s="27">
        <f t="shared" si="4"/>
        <v>-1</v>
      </c>
      <c r="H227" s="28" t="str">
        <f>VLOOKUP(E227,'Cadastro Produtos (kiwkiw)'!C:E,3,0)</f>
        <v>Colar Rosa Banho Ouro</v>
      </c>
      <c r="AB227" s="33" t="s">
        <v>198</v>
      </c>
    </row>
    <row r="228" spans="2:28" ht="15" customHeight="1" x14ac:dyDescent="0.4">
      <c r="C228" s="34" t="s">
        <v>6</v>
      </c>
      <c r="D228" s="35">
        <v>45511</v>
      </c>
      <c r="E228" s="51" t="s">
        <v>116</v>
      </c>
      <c r="F228" s="33">
        <v>1</v>
      </c>
      <c r="G228" s="27">
        <f t="shared" si="4"/>
        <v>-1</v>
      </c>
      <c r="H228" s="28" t="str">
        <f>VLOOKUP(E228,'Cadastro Produtos (kiwkiw)'!C:E,3,0)</f>
        <v>Gargantilha Dots Banho Ouro</v>
      </c>
      <c r="AB228" s="33" t="s">
        <v>198</v>
      </c>
    </row>
    <row r="229" spans="2:28" ht="15" customHeight="1" x14ac:dyDescent="0.4">
      <c r="C229" s="34" t="s">
        <v>6</v>
      </c>
      <c r="D229" s="35">
        <v>45511</v>
      </c>
      <c r="E229" s="51" t="s">
        <v>113</v>
      </c>
      <c r="F229" s="33">
        <v>1</v>
      </c>
      <c r="G229" s="27">
        <f t="shared" si="4"/>
        <v>-1</v>
      </c>
      <c r="H229" s="28" t="str">
        <f>VLOOKUP(E229,'Cadastro Produtos (kiwkiw)'!C:E,3,0)</f>
        <v>Gargantilha Escama Prateada</v>
      </c>
      <c r="AB229" s="33" t="s">
        <v>198</v>
      </c>
    </row>
    <row r="230" spans="2:28" ht="15" customHeight="1" x14ac:dyDescent="0.4">
      <c r="C230" s="34" t="s">
        <v>6</v>
      </c>
      <c r="D230" s="35">
        <v>45511</v>
      </c>
      <c r="E230" s="51" t="s">
        <v>117</v>
      </c>
      <c r="F230" s="33">
        <v>1</v>
      </c>
      <c r="G230" s="27">
        <f t="shared" si="4"/>
        <v>-1</v>
      </c>
      <c r="H230" s="28" t="str">
        <f>VLOOKUP(E230,'Cadastro Produtos (kiwkiw)'!C:E,3,0)</f>
        <v>Gargantilha Minimal Banho Ouro</v>
      </c>
      <c r="AB230" s="33" t="s">
        <v>198</v>
      </c>
    </row>
    <row r="231" spans="2:28" ht="15" customHeight="1" x14ac:dyDescent="0.4">
      <c r="C231" s="34" t="s">
        <v>6</v>
      </c>
      <c r="D231" s="35">
        <v>45511</v>
      </c>
      <c r="E231" s="51" t="s">
        <v>85</v>
      </c>
      <c r="F231" s="33">
        <v>1</v>
      </c>
      <c r="G231" s="27">
        <f t="shared" si="4"/>
        <v>-1</v>
      </c>
      <c r="H231" s="28" t="str">
        <f>VLOOKUP(E231,'Cadastro Produtos (kiwkiw)'!C:E,3,0)</f>
        <v>Piercing Fake Dots Banho Ouro</v>
      </c>
      <c r="AB231" s="33" t="s">
        <v>198</v>
      </c>
    </row>
    <row r="232" spans="2:28" ht="15" customHeight="1" x14ac:dyDescent="0.4">
      <c r="C232" s="34" t="s">
        <v>6</v>
      </c>
      <c r="D232" s="35">
        <v>45511</v>
      </c>
      <c r="E232" s="51" t="s">
        <v>76</v>
      </c>
      <c r="F232" s="33">
        <v>1</v>
      </c>
      <c r="G232" s="27">
        <f t="shared" si="4"/>
        <v>-1</v>
      </c>
      <c r="H232" s="28" t="str">
        <f>VLOOKUP(E232,'Cadastro Produtos (kiwkiw)'!C:E,3,0)</f>
        <v>EarHook Dots Banho Ouro</v>
      </c>
      <c r="AB232" s="33" t="s">
        <v>198</v>
      </c>
    </row>
    <row r="233" spans="2:28" ht="15" customHeight="1" x14ac:dyDescent="0.4">
      <c r="B233" s="43"/>
      <c r="C233" s="34" t="s">
        <v>6</v>
      </c>
      <c r="D233" s="35">
        <v>45511</v>
      </c>
      <c r="E233" s="51" t="s">
        <v>129</v>
      </c>
      <c r="F233" s="33">
        <v>1</v>
      </c>
      <c r="G233" s="27">
        <f t="shared" si="4"/>
        <v>-1</v>
      </c>
      <c r="H233" s="28" t="str">
        <f>VLOOKUP(E233,'Cadastro Produtos (kiwkiw)'!C:E,3,0)</f>
        <v>Pulseira Snake Banho Ouro</v>
      </c>
      <c r="AB233" s="33" t="s">
        <v>198</v>
      </c>
    </row>
    <row r="234" spans="2:28" ht="15" customHeight="1" x14ac:dyDescent="0.4">
      <c r="C234" s="34" t="s">
        <v>6</v>
      </c>
      <c r="D234" s="35">
        <v>45511</v>
      </c>
      <c r="E234" s="51" t="s">
        <v>42</v>
      </c>
      <c r="F234" s="33">
        <v>1</v>
      </c>
      <c r="G234" s="27">
        <f t="shared" si="4"/>
        <v>-1</v>
      </c>
      <c r="H234" s="28" t="str">
        <f>VLOOKUP(E234,'Cadastro Produtos (kiwkiw)'!C:E,3,0)</f>
        <v>Brinco Arco Banho Ouro</v>
      </c>
      <c r="AB234" s="33" t="s">
        <v>198</v>
      </c>
    </row>
    <row r="235" spans="2:28" ht="15" customHeight="1" x14ac:dyDescent="0.4">
      <c r="C235" s="34" t="s">
        <v>6</v>
      </c>
      <c r="D235" s="35">
        <v>45511</v>
      </c>
      <c r="E235" s="51" t="s">
        <v>61</v>
      </c>
      <c r="F235" s="33">
        <v>1</v>
      </c>
      <c r="G235" s="27">
        <f t="shared" si="4"/>
        <v>-1</v>
      </c>
      <c r="H235" s="28" t="str">
        <f>VLOOKUP(E235,'Cadastro Produtos (kiwkiw)'!C:E,3,0)</f>
        <v>Brinco Setas Banho Ouro</v>
      </c>
      <c r="AB235" s="33" t="s">
        <v>198</v>
      </c>
    </row>
    <row r="236" spans="2:28" ht="15" customHeight="1" x14ac:dyDescent="0.4">
      <c r="C236" s="34" t="s">
        <v>6</v>
      </c>
      <c r="D236" s="35">
        <v>45511</v>
      </c>
      <c r="E236" s="51" t="s">
        <v>124</v>
      </c>
      <c r="F236" s="33">
        <v>1</v>
      </c>
      <c r="G236" s="27">
        <f t="shared" si="4"/>
        <v>-1</v>
      </c>
      <c r="H236" s="28" t="str">
        <f>VLOOKUP(E236,'Cadastro Produtos (kiwkiw)'!C:E,3,0)</f>
        <v>Pulseira Fita Textura Banho Ouro</v>
      </c>
      <c r="AB236" s="33" t="s">
        <v>198</v>
      </c>
    </row>
    <row r="237" spans="2:28" ht="15" customHeight="1" x14ac:dyDescent="0.4">
      <c r="C237" s="34" t="s">
        <v>6</v>
      </c>
      <c r="D237" s="35">
        <v>45511</v>
      </c>
      <c r="E237" s="51" t="s">
        <v>121</v>
      </c>
      <c r="F237" s="33">
        <v>1</v>
      </c>
      <c r="G237" s="27">
        <f t="shared" si="4"/>
        <v>-1</v>
      </c>
      <c r="H237" s="28" t="str">
        <f>VLOOKUP(E237,'Cadastro Produtos (kiwkiw)'!C:E,3,0)</f>
        <v>Bracelete Wave Banho Ouro</v>
      </c>
      <c r="AB237" s="33" t="s">
        <v>198</v>
      </c>
    </row>
    <row r="238" spans="2:28" ht="15" customHeight="1" x14ac:dyDescent="0.4">
      <c r="C238" s="34" t="s">
        <v>6</v>
      </c>
      <c r="D238" s="35">
        <v>45511</v>
      </c>
      <c r="E238" s="51" t="s">
        <v>107</v>
      </c>
      <c r="F238" s="33">
        <v>1</v>
      </c>
      <c r="G238" s="27">
        <f t="shared" si="4"/>
        <v>-1</v>
      </c>
      <c r="H238" s="28" t="str">
        <f>VLOOKUP(E238,'Cadastro Produtos (kiwkiw)'!C:E,3,0)</f>
        <v>Colar Tina Banho Ouro</v>
      </c>
      <c r="AB238" s="33" t="s">
        <v>198</v>
      </c>
    </row>
    <row r="239" spans="2:28" ht="15" customHeight="1" x14ac:dyDescent="0.4">
      <c r="C239" s="34" t="s">
        <v>6</v>
      </c>
      <c r="D239" s="35">
        <v>45511</v>
      </c>
      <c r="E239" s="51" t="s">
        <v>118</v>
      </c>
      <c r="F239" s="33">
        <v>1</v>
      </c>
      <c r="G239" s="27">
        <f t="shared" si="4"/>
        <v>-1</v>
      </c>
      <c r="H239" s="28" t="str">
        <f>VLOOKUP(E239,'Cadastro Produtos (kiwkiw)'!C:E,3,0)</f>
        <v>Gargantilha Minimal Prateada</v>
      </c>
      <c r="AB239" s="33" t="s">
        <v>198</v>
      </c>
    </row>
    <row r="240" spans="2:28" ht="15" customHeight="1" x14ac:dyDescent="0.4">
      <c r="B240" s="43"/>
      <c r="C240" s="34" t="s">
        <v>6</v>
      </c>
      <c r="D240" s="35">
        <v>45511</v>
      </c>
      <c r="E240" s="51" t="s">
        <v>27</v>
      </c>
      <c r="F240" s="33">
        <v>1</v>
      </c>
      <c r="G240" s="27">
        <f t="shared" si="4"/>
        <v>-1</v>
      </c>
      <c r="H240" s="28" t="str">
        <f>VLOOKUP(E240,'Cadastro Produtos (kiwkiw)'!C:E,3,0)</f>
        <v>Argola Click Media Banho Ouro</v>
      </c>
      <c r="AB240" s="33" t="s">
        <v>198</v>
      </c>
    </row>
    <row r="241" spans="2:28" ht="15" customHeight="1" x14ac:dyDescent="0.4">
      <c r="C241" s="34" t="s">
        <v>6</v>
      </c>
      <c r="D241" s="35">
        <v>45511</v>
      </c>
      <c r="E241" s="51" t="s">
        <v>91</v>
      </c>
      <c r="F241" s="33">
        <v>1</v>
      </c>
      <c r="G241" s="27">
        <f t="shared" si="4"/>
        <v>-1</v>
      </c>
      <c r="H241" s="28" t="str">
        <f>VLOOKUP(E241,'Cadastro Produtos (kiwkiw)'!C:E,3,0)</f>
        <v>Colar Rosa dos Ventos Banho Ouro</v>
      </c>
      <c r="AB241" s="33" t="s">
        <v>198</v>
      </c>
    </row>
    <row r="242" spans="2:28" ht="15" customHeight="1" x14ac:dyDescent="0.4">
      <c r="C242" s="34" t="s">
        <v>6</v>
      </c>
      <c r="D242" s="35">
        <v>45511</v>
      </c>
      <c r="E242" s="51" t="s">
        <v>65</v>
      </c>
      <c r="F242" s="33">
        <v>1</v>
      </c>
      <c r="G242" s="27">
        <f t="shared" si="4"/>
        <v>-1</v>
      </c>
      <c r="H242" s="28" t="str">
        <f>VLOOKUP(E242,'Cadastro Produtos (kiwkiw)'!C:E,3,0)</f>
        <v>Brinco Spring Banho Ouro</v>
      </c>
      <c r="AB242" s="33" t="s">
        <v>198</v>
      </c>
    </row>
    <row r="243" spans="2:28" ht="15" customHeight="1" x14ac:dyDescent="0.4">
      <c r="C243" s="34" t="s">
        <v>6</v>
      </c>
      <c r="D243" s="35">
        <v>45511</v>
      </c>
      <c r="E243" s="51" t="s">
        <v>65</v>
      </c>
      <c r="F243" s="33">
        <v>1</v>
      </c>
      <c r="G243" s="27">
        <f t="shared" si="4"/>
        <v>-1</v>
      </c>
      <c r="H243" s="28" t="str">
        <f>VLOOKUP(E243,'Cadastro Produtos (kiwkiw)'!C:E,3,0)</f>
        <v>Brinco Spring Banho Ouro</v>
      </c>
      <c r="AB243" s="33" t="s">
        <v>194</v>
      </c>
    </row>
    <row r="244" spans="2:28" ht="15" customHeight="1" x14ac:dyDescent="0.4">
      <c r="C244" s="34" t="s">
        <v>6</v>
      </c>
      <c r="D244" s="35">
        <v>45511</v>
      </c>
      <c r="E244" s="51" t="s">
        <v>123</v>
      </c>
      <c r="F244" s="33">
        <v>1</v>
      </c>
      <c r="G244" s="27">
        <f t="shared" si="4"/>
        <v>-1</v>
      </c>
      <c r="H244" s="28" t="str">
        <f>VLOOKUP(E244,'Cadastro Produtos (kiwkiw)'!C:E,3,0)</f>
        <v>Pulseira Dots Banho Ouro</v>
      </c>
      <c r="AB244" s="33" t="s">
        <v>198</v>
      </c>
    </row>
    <row r="245" spans="2:28" ht="15" customHeight="1" x14ac:dyDescent="0.4">
      <c r="C245" s="34" t="s">
        <v>6</v>
      </c>
      <c r="D245" s="35">
        <v>45511</v>
      </c>
      <c r="E245" s="51" t="s">
        <v>127</v>
      </c>
      <c r="F245" s="33">
        <v>1</v>
      </c>
      <c r="G245" s="27">
        <f t="shared" si="4"/>
        <v>-1</v>
      </c>
      <c r="H245" s="28" t="str">
        <f>VLOOKUP(E245,'Cadastro Produtos (kiwkiw)'!C:E,3,0)</f>
        <v>Pulseira Minimal Banho Ouro</v>
      </c>
      <c r="AB245" s="33" t="s">
        <v>198</v>
      </c>
    </row>
    <row r="246" spans="2:28" ht="15" customHeight="1" x14ac:dyDescent="0.4">
      <c r="C246" s="34" t="s">
        <v>6</v>
      </c>
      <c r="D246" s="35">
        <v>45511</v>
      </c>
      <c r="E246" s="51" t="s">
        <v>49</v>
      </c>
      <c r="F246" s="33">
        <v>1</v>
      </c>
      <c r="G246" s="27">
        <f t="shared" si="4"/>
        <v>-1</v>
      </c>
      <c r="H246" s="28" t="str">
        <f>VLOOKUP(E246,'Cadastro Produtos (kiwkiw)'!C:E,3,0)</f>
        <v>Brinco Coracao Diamond Banho Ouro</v>
      </c>
      <c r="AB246" s="33" t="s">
        <v>198</v>
      </c>
    </row>
    <row r="247" spans="2:28" ht="15" customHeight="1" x14ac:dyDescent="0.4">
      <c r="C247" s="34" t="s">
        <v>6</v>
      </c>
      <c r="D247" s="35">
        <v>45511</v>
      </c>
      <c r="E247" s="51" t="s">
        <v>57</v>
      </c>
      <c r="F247" s="33">
        <v>1</v>
      </c>
      <c r="G247" s="27">
        <f t="shared" si="4"/>
        <v>-1</v>
      </c>
      <c r="H247" s="28" t="str">
        <f>VLOOKUP(E247,'Cadastro Produtos (kiwkiw)'!C:E,3,0)</f>
        <v>Brinco Mini Raio Prateado</v>
      </c>
      <c r="AB247" s="33" t="s">
        <v>198</v>
      </c>
    </row>
    <row r="248" spans="2:28" ht="15" customHeight="1" x14ac:dyDescent="0.4">
      <c r="C248" s="34" t="s">
        <v>6</v>
      </c>
      <c r="D248" s="35">
        <v>45511</v>
      </c>
      <c r="E248" s="51" t="s">
        <v>39</v>
      </c>
      <c r="F248" s="33">
        <v>1</v>
      </c>
      <c r="G248" s="27">
        <f t="shared" si="4"/>
        <v>-1</v>
      </c>
      <c r="H248" s="28" t="str">
        <f>VLOOKUP(E248,'Cadastro Produtos (kiwkiw)'!C:E,3,0)</f>
        <v>Argolinha Click Torcida Banho Ouro</v>
      </c>
      <c r="AB248" s="33" t="s">
        <v>198</v>
      </c>
    </row>
    <row r="249" spans="2:28" ht="15" customHeight="1" x14ac:dyDescent="0.4">
      <c r="C249" s="34" t="s">
        <v>6</v>
      </c>
      <c r="D249" s="35">
        <v>45511</v>
      </c>
      <c r="E249" s="51" t="s">
        <v>38</v>
      </c>
      <c r="F249" s="33">
        <v>1</v>
      </c>
      <c r="G249" s="27">
        <f t="shared" si="4"/>
        <v>-1</v>
      </c>
      <c r="H249" s="28" t="str">
        <f>VLOOKUP(E249,'Cadastro Produtos (kiwkiw)'!C:E,3,0)</f>
        <v>Argolinha Click Dots Banho Ouro</v>
      </c>
      <c r="AB249" s="33" t="s">
        <v>198</v>
      </c>
    </row>
    <row r="250" spans="2:28" ht="15" customHeight="1" x14ac:dyDescent="0.4">
      <c r="C250" s="34" t="s">
        <v>6</v>
      </c>
      <c r="D250" s="35">
        <v>45511</v>
      </c>
      <c r="E250" s="51" t="s">
        <v>108</v>
      </c>
      <c r="F250" s="33">
        <v>1</v>
      </c>
      <c r="G250" s="27">
        <f t="shared" si="4"/>
        <v>-1</v>
      </c>
      <c r="H250" s="28" t="str">
        <f>VLOOKUP(E250,'Cadastro Produtos (kiwkiw)'!C:E,3,0)</f>
        <v>Colar Line Banho Ouro</v>
      </c>
      <c r="AB250" s="33" t="s">
        <v>197</v>
      </c>
    </row>
    <row r="251" spans="2:28" ht="15" customHeight="1" x14ac:dyDescent="0.4">
      <c r="C251" s="34" t="s">
        <v>6</v>
      </c>
      <c r="D251" s="35">
        <v>45511</v>
      </c>
      <c r="E251" s="51" t="s">
        <v>54</v>
      </c>
      <c r="F251" s="33">
        <v>1</v>
      </c>
      <c r="G251" s="27">
        <f t="shared" si="4"/>
        <v>-1</v>
      </c>
      <c r="H251" s="28" t="str">
        <f>VLOOKUP(E251,'Cadastro Produtos (kiwkiw)'!C:E,3,0)</f>
        <v>Brinco Ivy Banho Ouro</v>
      </c>
      <c r="AB251" s="33" t="s">
        <v>197</v>
      </c>
    </row>
    <row r="252" spans="2:28" ht="15" customHeight="1" x14ac:dyDescent="0.4">
      <c r="C252" s="34" t="s">
        <v>6</v>
      </c>
      <c r="D252" s="35">
        <v>45512</v>
      </c>
      <c r="E252" s="51" t="s">
        <v>50</v>
      </c>
      <c r="F252" s="33">
        <v>1</v>
      </c>
      <c r="G252" s="27">
        <f t="shared" si="4"/>
        <v>-1</v>
      </c>
      <c r="H252" s="28" t="str">
        <f>VLOOKUP(E252,'Cadastro Produtos (kiwkiw)'!C:E,3,0)</f>
        <v>Brinco Elos Banho Ouro</v>
      </c>
      <c r="AB252" s="33" t="s">
        <v>199</v>
      </c>
    </row>
    <row r="253" spans="2:28" ht="15" customHeight="1" x14ac:dyDescent="0.4">
      <c r="B253" s="43">
        <v>45513.420428240737</v>
      </c>
      <c r="C253" s="34" t="s">
        <v>6</v>
      </c>
      <c r="D253" s="35">
        <v>45513</v>
      </c>
      <c r="E253" s="51" t="s">
        <v>100</v>
      </c>
      <c r="F253" s="33">
        <v>1</v>
      </c>
      <c r="G253" s="27">
        <f t="shared" si="4"/>
        <v>-1</v>
      </c>
      <c r="H253" s="28" t="str">
        <f>VLOOKUP(E253,'Cadastro Produtos (kiwkiw)'!C:E,3,0)</f>
        <v>Colar Esfera Pequeno Banho Ouro</v>
      </c>
      <c r="AB253" s="33" t="s">
        <v>200</v>
      </c>
    </row>
    <row r="254" spans="2:28" ht="15" customHeight="1" x14ac:dyDescent="0.4">
      <c r="B254" s="43"/>
      <c r="C254" s="34" t="s">
        <v>6</v>
      </c>
      <c r="D254" s="35">
        <v>45513</v>
      </c>
      <c r="E254" s="51" t="s">
        <v>30</v>
      </c>
      <c r="F254" s="33">
        <v>1</v>
      </c>
      <c r="G254" s="27">
        <f t="shared" si="4"/>
        <v>-1</v>
      </c>
      <c r="H254" s="28" t="str">
        <f>VLOOKUP(E254,'Cadastro Produtos (kiwkiw)'!C:E,3,0)</f>
        <v>Argola Organica Banho Ouro</v>
      </c>
      <c r="AB254" s="33" t="s">
        <v>201</v>
      </c>
    </row>
    <row r="255" spans="2:28" ht="15" customHeight="1" x14ac:dyDescent="0.4">
      <c r="C255" s="34" t="s">
        <v>6</v>
      </c>
      <c r="D255" s="35">
        <v>45513</v>
      </c>
      <c r="E255" s="51" t="s">
        <v>30</v>
      </c>
      <c r="F255" s="33">
        <v>1</v>
      </c>
      <c r="G255" s="27">
        <f t="shared" si="4"/>
        <v>-1</v>
      </c>
      <c r="H255" s="28" t="str">
        <f>VLOOKUP(E255,'Cadastro Produtos (kiwkiw)'!C:E,3,0)</f>
        <v>Argola Organica Banho Ouro</v>
      </c>
      <c r="AB255" s="33" t="s">
        <v>202</v>
      </c>
    </row>
    <row r="256" spans="2:28" ht="15" customHeight="1" x14ac:dyDescent="0.4">
      <c r="C256" s="34" t="s">
        <v>6</v>
      </c>
      <c r="D256" s="35">
        <v>45513</v>
      </c>
      <c r="E256" s="51" t="s">
        <v>99</v>
      </c>
      <c r="F256" s="33">
        <v>1</v>
      </c>
      <c r="G256" s="27">
        <f t="shared" si="4"/>
        <v>-1</v>
      </c>
      <c r="H256" s="28" t="str">
        <f>VLOOKUP(E256,'Cadastro Produtos (kiwkiw)'!C:E,3,0)</f>
        <v>Colar Esfera Medio Banho Ouro</v>
      </c>
      <c r="AB256" s="33" t="s">
        <v>203</v>
      </c>
    </row>
    <row r="257" spans="2:28" ht="15" customHeight="1" x14ac:dyDescent="0.4">
      <c r="C257" s="34" t="s">
        <v>6</v>
      </c>
      <c r="D257" s="35">
        <v>45513</v>
      </c>
      <c r="E257" s="51" t="s">
        <v>33</v>
      </c>
      <c r="F257" s="33">
        <v>1</v>
      </c>
      <c r="G257" s="27">
        <f t="shared" si="4"/>
        <v>-1</v>
      </c>
      <c r="H257" s="28" t="str">
        <f>VLOOKUP(E257,'Cadastro Produtos (kiwkiw)'!C:E,3,0)</f>
        <v>Argola Torcida Banho Ouro</v>
      </c>
      <c r="AB257" s="33" t="s">
        <v>204</v>
      </c>
    </row>
    <row r="258" spans="2:28" ht="15" customHeight="1" x14ac:dyDescent="0.4">
      <c r="C258" s="34" t="s">
        <v>6</v>
      </c>
      <c r="D258" s="35">
        <v>45513</v>
      </c>
      <c r="E258" s="51" t="s">
        <v>94</v>
      </c>
      <c r="F258" s="33">
        <v>1</v>
      </c>
      <c r="G258" s="27">
        <f t="shared" si="4"/>
        <v>-1</v>
      </c>
      <c r="H258" s="28" t="str">
        <f>VLOOKUP(E258,'Cadastro Produtos (kiwkiw)'!C:E,3,0)</f>
        <v>Colar Duplo Dots Banho Ouro</v>
      </c>
      <c r="AB258" s="33" t="s">
        <v>204</v>
      </c>
    </row>
    <row r="259" spans="2:28" ht="15" customHeight="1" x14ac:dyDescent="0.4">
      <c r="C259" s="34" t="s">
        <v>6</v>
      </c>
      <c r="D259" s="35">
        <v>45513</v>
      </c>
      <c r="E259" s="51" t="s">
        <v>42</v>
      </c>
      <c r="F259" s="33">
        <v>1</v>
      </c>
      <c r="G259" s="27">
        <f t="shared" si="4"/>
        <v>-1</v>
      </c>
      <c r="H259" s="28" t="str">
        <f>VLOOKUP(E259,'Cadastro Produtos (kiwkiw)'!C:E,3,0)</f>
        <v>Brinco Arco Banho Ouro</v>
      </c>
      <c r="AB259" s="33" t="s">
        <v>204</v>
      </c>
    </row>
    <row r="260" spans="2:28" ht="15" customHeight="1" x14ac:dyDescent="0.4">
      <c r="C260" s="34" t="s">
        <v>6</v>
      </c>
      <c r="D260" s="35">
        <v>45513</v>
      </c>
      <c r="E260" s="51" t="s">
        <v>114</v>
      </c>
      <c r="F260" s="33">
        <v>1</v>
      </c>
      <c r="G260" s="27">
        <f t="shared" si="4"/>
        <v>-1</v>
      </c>
      <c r="H260" s="28" t="str">
        <f>VLOOKUP(E260,'Cadastro Produtos (kiwkiw)'!C:E,3,0)</f>
        <v>Gargantilha Fita Banho Ouro</v>
      </c>
      <c r="AB260" s="33" t="s">
        <v>204</v>
      </c>
    </row>
    <row r="261" spans="2:28" ht="15" customHeight="1" x14ac:dyDescent="0.4">
      <c r="C261" s="34" t="s">
        <v>6</v>
      </c>
      <c r="D261" s="35">
        <v>45513</v>
      </c>
      <c r="E261" s="51" t="s">
        <v>19</v>
      </c>
      <c r="F261" s="33">
        <v>1</v>
      </c>
      <c r="G261" s="27">
        <f t="shared" si="4"/>
        <v>-1</v>
      </c>
      <c r="H261" s="28" t="str">
        <f>VLOOKUP(E261,'Cadastro Produtos (kiwkiw)'!C:E,3,0)</f>
        <v>Anel Zig Ajustavel Banho Ouro</v>
      </c>
      <c r="AB261" s="33" t="s">
        <v>204</v>
      </c>
    </row>
    <row r="262" spans="2:28" ht="15" customHeight="1" x14ac:dyDescent="0.4">
      <c r="C262" s="34" t="s">
        <v>6</v>
      </c>
      <c r="D262" s="35">
        <v>45513</v>
      </c>
      <c r="E262" s="51" t="s">
        <v>12</v>
      </c>
      <c r="F262" s="33">
        <v>1</v>
      </c>
      <c r="G262" s="27">
        <f t="shared" si="4"/>
        <v>-1</v>
      </c>
      <c r="H262" s="28" t="str">
        <f>VLOOKUP(E262,'Cadastro Produtos (kiwkiw)'!C:E,3,0)</f>
        <v>Anel Duplo Banho Ouro</v>
      </c>
      <c r="AB262" s="33" t="s">
        <v>204</v>
      </c>
    </row>
    <row r="263" spans="2:28" ht="15" customHeight="1" x14ac:dyDescent="0.4">
      <c r="C263" s="34" t="s">
        <v>6</v>
      </c>
      <c r="D263" s="35">
        <v>45513</v>
      </c>
      <c r="E263" s="51" t="s">
        <v>125</v>
      </c>
      <c r="F263" s="33">
        <v>1</v>
      </c>
      <c r="G263" s="27">
        <f t="shared" si="4"/>
        <v>-1</v>
      </c>
      <c r="H263" s="28" t="str">
        <f>VLOOKUP(E263,'Cadastro Produtos (kiwkiw)'!C:E,3,0)</f>
        <v>Pulseira Groumet Banho Ouro</v>
      </c>
      <c r="AB263" s="33" t="s">
        <v>204</v>
      </c>
    </row>
    <row r="264" spans="2:28" ht="15" customHeight="1" x14ac:dyDescent="0.4">
      <c r="B264" s="43">
        <v>45516.439039351855</v>
      </c>
      <c r="C264" s="34" t="s">
        <v>6</v>
      </c>
      <c r="D264" s="35">
        <v>45516</v>
      </c>
      <c r="E264" s="51" t="s">
        <v>130</v>
      </c>
      <c r="F264" s="33">
        <v>1</v>
      </c>
      <c r="G264" s="27">
        <f t="shared" si="4"/>
        <v>-1</v>
      </c>
      <c r="H264" s="28" t="str">
        <f>VLOOKUP(E264,'Cadastro Produtos (kiwkiw)'!C:E,3,0)</f>
        <v>Pulseira Snake Prateada</v>
      </c>
      <c r="AB264" s="33" t="s">
        <v>205</v>
      </c>
    </row>
    <row r="265" spans="2:28" ht="15" customHeight="1" x14ac:dyDescent="0.4">
      <c r="C265" s="34" t="s">
        <v>6</v>
      </c>
      <c r="D265" s="35">
        <v>45516</v>
      </c>
      <c r="E265" s="51" t="s">
        <v>89</v>
      </c>
      <c r="F265" s="33">
        <v>1</v>
      </c>
      <c r="G265" s="27">
        <f t="shared" si="4"/>
        <v>-1</v>
      </c>
      <c r="H265" s="28" t="str">
        <f>VLOOKUP(E265,'Cadastro Produtos (kiwkiw)'!C:E,3,0)</f>
        <v>Colar Dot Banho Ouro</v>
      </c>
      <c r="AB265" s="33" t="s">
        <v>206</v>
      </c>
    </row>
    <row r="266" spans="2:28" ht="15" customHeight="1" x14ac:dyDescent="0.4">
      <c r="C266" s="34" t="s">
        <v>6</v>
      </c>
      <c r="D266" s="35">
        <v>45516</v>
      </c>
      <c r="E266" s="51" t="s">
        <v>30</v>
      </c>
      <c r="F266" s="33">
        <v>1</v>
      </c>
      <c r="G266" s="27">
        <f t="shared" si="4"/>
        <v>-1</v>
      </c>
      <c r="H266" s="28" t="str">
        <f>VLOOKUP(E266,'Cadastro Produtos (kiwkiw)'!C:E,3,0)</f>
        <v>Argola Organica Banho Ouro</v>
      </c>
      <c r="AB266" s="33" t="s">
        <v>207</v>
      </c>
    </row>
    <row r="267" spans="2:28" ht="15" customHeight="1" x14ac:dyDescent="0.4">
      <c r="C267" s="34" t="s">
        <v>6</v>
      </c>
      <c r="D267" s="35">
        <v>45516</v>
      </c>
      <c r="E267" s="51" t="s">
        <v>30</v>
      </c>
      <c r="F267" s="33">
        <v>1</v>
      </c>
      <c r="G267" s="27">
        <f t="shared" si="4"/>
        <v>-1</v>
      </c>
      <c r="H267" s="28" t="str">
        <f>VLOOKUP(E267,'Cadastro Produtos (kiwkiw)'!C:E,3,0)</f>
        <v>Argola Organica Banho Ouro</v>
      </c>
      <c r="AB267" s="33" t="s">
        <v>208</v>
      </c>
    </row>
    <row r="268" spans="2:28" ht="15" customHeight="1" x14ac:dyDescent="0.4">
      <c r="C268" s="34" t="s">
        <v>6</v>
      </c>
      <c r="D268" s="35">
        <v>45516</v>
      </c>
      <c r="E268" s="51" t="s">
        <v>91</v>
      </c>
      <c r="F268" s="33">
        <v>1</v>
      </c>
      <c r="G268" s="27">
        <f t="shared" si="4"/>
        <v>-1</v>
      </c>
      <c r="H268" s="28" t="str">
        <f>VLOOKUP(E268,'Cadastro Produtos (kiwkiw)'!C:E,3,0)</f>
        <v>Colar Rosa dos Ventos Banho Ouro</v>
      </c>
      <c r="AB268" s="33" t="s">
        <v>209</v>
      </c>
    </row>
    <row r="269" spans="2:28" ht="15" customHeight="1" x14ac:dyDescent="0.4">
      <c r="C269" s="34" t="s">
        <v>6</v>
      </c>
      <c r="D269" s="35">
        <v>45516</v>
      </c>
      <c r="E269" s="51" t="s">
        <v>33</v>
      </c>
      <c r="F269" s="33">
        <v>1</v>
      </c>
      <c r="G269" s="27">
        <f t="shared" si="4"/>
        <v>-1</v>
      </c>
      <c r="H269" s="28" t="str">
        <f>VLOOKUP(E269,'Cadastro Produtos (kiwkiw)'!C:E,3,0)</f>
        <v>Argola Torcida Banho Ouro</v>
      </c>
      <c r="AB269" s="33" t="s">
        <v>210</v>
      </c>
    </row>
    <row r="270" spans="2:28" ht="15" customHeight="1" x14ac:dyDescent="0.4">
      <c r="C270" s="34" t="s">
        <v>6</v>
      </c>
      <c r="D270" s="35">
        <v>45516</v>
      </c>
      <c r="E270" s="51" t="s">
        <v>39</v>
      </c>
      <c r="F270" s="33">
        <v>1</v>
      </c>
      <c r="G270" s="27">
        <f t="shared" si="4"/>
        <v>-1</v>
      </c>
      <c r="H270" s="28" t="str">
        <f>VLOOKUP(E270,'Cadastro Produtos (kiwkiw)'!C:E,3,0)</f>
        <v>Argolinha Click Torcida Banho Ouro</v>
      </c>
      <c r="AB270" s="33" t="s">
        <v>210</v>
      </c>
    </row>
    <row r="271" spans="2:28" ht="15" customHeight="1" x14ac:dyDescent="0.4">
      <c r="C271" s="34" t="s">
        <v>6</v>
      </c>
      <c r="D271" s="35">
        <v>45516</v>
      </c>
      <c r="E271" s="51" t="s">
        <v>19</v>
      </c>
      <c r="F271" s="33">
        <v>1</v>
      </c>
      <c r="G271" s="27">
        <f t="shared" si="4"/>
        <v>-1</v>
      </c>
      <c r="H271" s="28" t="str">
        <f>VLOOKUP(E271,'Cadastro Produtos (kiwkiw)'!C:E,3,0)</f>
        <v>Anel Zig Ajustavel Banho Ouro</v>
      </c>
      <c r="AB271" s="33" t="s">
        <v>210</v>
      </c>
    </row>
    <row r="272" spans="2:28" ht="15" customHeight="1" x14ac:dyDescent="0.4">
      <c r="C272" s="34" t="s">
        <v>6</v>
      </c>
      <c r="D272" s="35">
        <v>45516</v>
      </c>
      <c r="E272" s="51" t="s">
        <v>84</v>
      </c>
      <c r="F272" s="33">
        <v>1</v>
      </c>
      <c r="G272" s="27">
        <f t="shared" ref="G272:G335" si="5">IF(C272="Entrada",F272,-F272)</f>
        <v>-1</v>
      </c>
      <c r="H272" s="28" t="str">
        <f>VLOOKUP(E272,'Cadastro Produtos (kiwkiw)'!C:E,3,0)</f>
        <v>Mini Argola Classy Prateada</v>
      </c>
      <c r="AB272" s="33" t="s">
        <v>210</v>
      </c>
    </row>
    <row r="273" spans="2:28" ht="15" customHeight="1" x14ac:dyDescent="0.4">
      <c r="C273" s="34" t="s">
        <v>6</v>
      </c>
      <c r="D273" s="35">
        <v>45516</v>
      </c>
      <c r="E273" s="51" t="s">
        <v>36</v>
      </c>
      <c r="F273" s="33">
        <v>1</v>
      </c>
      <c r="G273" s="27">
        <f t="shared" si="5"/>
        <v>-1</v>
      </c>
      <c r="H273" s="28" t="str">
        <f>VLOOKUP(E273,'Cadastro Produtos (kiwkiw)'!C:E,3,0)</f>
        <v>Argola Classy Prateada</v>
      </c>
      <c r="AB273" s="33" t="s">
        <v>210</v>
      </c>
    </row>
    <row r="274" spans="2:28" ht="15" customHeight="1" x14ac:dyDescent="0.4">
      <c r="C274" s="34" t="s">
        <v>6</v>
      </c>
      <c r="D274" s="35">
        <v>45516</v>
      </c>
      <c r="E274" s="51" t="s">
        <v>47</v>
      </c>
      <c r="F274" s="33">
        <v>1</v>
      </c>
      <c r="G274" s="27">
        <f t="shared" si="5"/>
        <v>-1</v>
      </c>
      <c r="H274" s="28" t="str">
        <f>VLOOKUP(E274,'Cadastro Produtos (kiwkiw)'!C:E,3,0)</f>
        <v>Brinco Circle Banho Ouro</v>
      </c>
      <c r="AB274" s="33" t="s">
        <v>211</v>
      </c>
    </row>
    <row r="275" spans="2:28" ht="15" customHeight="1" x14ac:dyDescent="0.4">
      <c r="C275" s="34" t="s">
        <v>6</v>
      </c>
      <c r="D275" s="35">
        <v>45516</v>
      </c>
      <c r="E275" s="51" t="s">
        <v>72</v>
      </c>
      <c r="F275" s="33">
        <v>1</v>
      </c>
      <c r="G275" s="27">
        <f t="shared" si="5"/>
        <v>-1</v>
      </c>
      <c r="H275" s="28" t="str">
        <f>VLOOKUP(E275,'Cadastro Produtos (kiwkiw)'!C:E,3,0)</f>
        <v>Ear Hook Line Banho Ouro</v>
      </c>
      <c r="AB275" s="33" t="s">
        <v>212</v>
      </c>
    </row>
    <row r="276" spans="2:28" ht="15" customHeight="1" x14ac:dyDescent="0.4">
      <c r="C276" s="34" t="s">
        <v>6</v>
      </c>
      <c r="D276" s="35">
        <v>45516</v>
      </c>
      <c r="E276" s="51" t="s">
        <v>71</v>
      </c>
      <c r="F276" s="33">
        <v>1</v>
      </c>
      <c r="G276" s="27">
        <f t="shared" si="5"/>
        <v>-1</v>
      </c>
      <c r="H276" s="28" t="str">
        <f>VLOOKUP(E276,'Cadastro Produtos (kiwkiw)'!C:E,3,0)</f>
        <v>Ear Cuff Minimal Banho Ouro</v>
      </c>
      <c r="AB276" s="33" t="s">
        <v>213</v>
      </c>
    </row>
    <row r="277" spans="2:28" ht="15" customHeight="1" x14ac:dyDescent="0.4">
      <c r="C277" s="34" t="s">
        <v>6</v>
      </c>
      <c r="D277" s="35">
        <v>45516</v>
      </c>
      <c r="E277" s="51" t="s">
        <v>94</v>
      </c>
      <c r="F277" s="33">
        <v>1</v>
      </c>
      <c r="G277" s="27">
        <f t="shared" si="5"/>
        <v>-1</v>
      </c>
      <c r="H277" s="28" t="str">
        <f>VLOOKUP(E277,'Cadastro Produtos (kiwkiw)'!C:E,3,0)</f>
        <v>Colar Duplo Dots Banho Ouro</v>
      </c>
      <c r="AB277" s="33" t="s">
        <v>214</v>
      </c>
    </row>
    <row r="278" spans="2:28" ht="15" customHeight="1" x14ac:dyDescent="0.4">
      <c r="B278" s="43"/>
      <c r="C278" s="34" t="s">
        <v>6</v>
      </c>
      <c r="D278" s="35">
        <v>45516</v>
      </c>
      <c r="E278" s="51" t="s">
        <v>87</v>
      </c>
      <c r="F278" s="33">
        <v>1</v>
      </c>
      <c r="G278" s="27">
        <f t="shared" si="5"/>
        <v>-1</v>
      </c>
      <c r="H278" s="28" t="str">
        <f>VLOOKUP(E278,'Cadastro Produtos (kiwkiw)'!C:E,3,0)</f>
        <v>Piercing Fake Classy Banho Ouro</v>
      </c>
      <c r="AB278" s="33" t="s">
        <v>215</v>
      </c>
    </row>
    <row r="279" spans="2:28" ht="15" customHeight="1" x14ac:dyDescent="0.4">
      <c r="C279" s="34" t="s">
        <v>6</v>
      </c>
      <c r="D279" s="35">
        <v>45516</v>
      </c>
      <c r="E279" s="51" t="s">
        <v>60</v>
      </c>
      <c r="F279" s="33">
        <v>1</v>
      </c>
      <c r="G279" s="27">
        <f t="shared" si="5"/>
        <v>-1</v>
      </c>
      <c r="H279" s="28" t="str">
        <f>VLOOKUP(E279,'Cadastro Produtos (kiwkiw)'!C:E,3,0)</f>
        <v>Brinco Oncinha Prateado</v>
      </c>
      <c r="AB279" s="33" t="s">
        <v>216</v>
      </c>
    </row>
    <row r="280" spans="2:28" ht="15" customHeight="1" x14ac:dyDescent="0.4">
      <c r="C280" s="34" t="s">
        <v>6</v>
      </c>
      <c r="D280" s="35">
        <v>45516</v>
      </c>
      <c r="E280" s="51" t="s">
        <v>81</v>
      </c>
      <c r="F280" s="33">
        <v>1</v>
      </c>
      <c r="G280" s="27">
        <f t="shared" si="5"/>
        <v>-1</v>
      </c>
      <c r="H280" s="28" t="str">
        <f>VLOOKUP(E280,'Cadastro Produtos (kiwkiw)'!C:E,3,0)</f>
        <v>Meia Argola Croissant Prateada</v>
      </c>
      <c r="AB280" s="33" t="s">
        <v>216</v>
      </c>
    </row>
    <row r="281" spans="2:28" ht="15" customHeight="1" x14ac:dyDescent="0.4">
      <c r="C281" s="34" t="s">
        <v>6</v>
      </c>
      <c r="D281" s="35">
        <v>45516</v>
      </c>
      <c r="E281" s="51" t="s">
        <v>58</v>
      </c>
      <c r="F281" s="33">
        <v>1</v>
      </c>
      <c r="G281" s="27">
        <f t="shared" si="5"/>
        <v>-1</v>
      </c>
      <c r="H281" s="28" t="str">
        <f>VLOOKUP(E281,'Cadastro Produtos (kiwkiw)'!C:E,3,0)</f>
        <v>Brinco Mini Triangulo Prateado</v>
      </c>
      <c r="AB281" s="33" t="s">
        <v>217</v>
      </c>
    </row>
    <row r="282" spans="2:28" ht="15" customHeight="1" x14ac:dyDescent="0.4">
      <c r="C282" s="34" t="s">
        <v>6</v>
      </c>
      <c r="D282" s="35">
        <v>45516</v>
      </c>
      <c r="E282" s="51" t="s">
        <v>66</v>
      </c>
      <c r="F282" s="33">
        <v>1</v>
      </c>
      <c r="G282" s="27">
        <f t="shared" si="5"/>
        <v>-1</v>
      </c>
      <c r="H282" s="28" t="str">
        <f>VLOOKUP(E282,'Cadastro Produtos (kiwkiw)'!C:E,3,0)</f>
        <v>Brinco Square Banho Ouro</v>
      </c>
      <c r="AB282" s="33" t="s">
        <v>217</v>
      </c>
    </row>
    <row r="283" spans="2:28" ht="15" customHeight="1" x14ac:dyDescent="0.4">
      <c r="C283" s="34" t="s">
        <v>6</v>
      </c>
      <c r="D283" s="35">
        <v>45516</v>
      </c>
      <c r="E283" s="51" t="s">
        <v>114</v>
      </c>
      <c r="F283" s="33">
        <v>1</v>
      </c>
      <c r="G283" s="27">
        <f t="shared" si="5"/>
        <v>-1</v>
      </c>
      <c r="H283" s="28" t="str">
        <f>VLOOKUP(E283,'Cadastro Produtos (kiwkiw)'!C:E,3,0)</f>
        <v>Gargantilha Fita Banho Ouro</v>
      </c>
      <c r="AB283" s="33" t="s">
        <v>217</v>
      </c>
    </row>
    <row r="284" spans="2:28" ht="15" customHeight="1" x14ac:dyDescent="0.4">
      <c r="B284" s="43">
        <v>45517.426238425927</v>
      </c>
      <c r="C284" s="34" t="s">
        <v>6</v>
      </c>
      <c r="D284" s="35">
        <v>45517</v>
      </c>
      <c r="E284" s="51" t="s">
        <v>54</v>
      </c>
      <c r="F284" s="33">
        <v>1</v>
      </c>
      <c r="G284" s="27">
        <f t="shared" si="5"/>
        <v>-1</v>
      </c>
      <c r="H284" s="28" t="str">
        <f>VLOOKUP(E284,'Cadastro Produtos (kiwkiw)'!C:E,3,0)</f>
        <v>Brinco Ivy Banho Ouro</v>
      </c>
      <c r="AB284" s="33" t="s">
        <v>218</v>
      </c>
    </row>
    <row r="285" spans="2:28" ht="15" customHeight="1" x14ac:dyDescent="0.4">
      <c r="C285" s="34" t="s">
        <v>6</v>
      </c>
      <c r="D285" s="35">
        <v>45517</v>
      </c>
      <c r="E285" s="51" t="s">
        <v>54</v>
      </c>
      <c r="F285" s="33">
        <v>1</v>
      </c>
      <c r="G285" s="27">
        <f t="shared" si="5"/>
        <v>-1</v>
      </c>
      <c r="H285" s="28" t="str">
        <f>VLOOKUP(E285,'Cadastro Produtos (kiwkiw)'!C:E,3,0)</f>
        <v>Brinco Ivy Banho Ouro</v>
      </c>
      <c r="AB285" s="33" t="s">
        <v>219</v>
      </c>
    </row>
    <row r="286" spans="2:28" ht="15" customHeight="1" x14ac:dyDescent="0.4">
      <c r="B286" s="43"/>
      <c r="C286" s="34" t="s">
        <v>6</v>
      </c>
      <c r="D286" s="35">
        <v>45517</v>
      </c>
      <c r="E286" s="51" t="s">
        <v>71</v>
      </c>
      <c r="F286" s="33">
        <v>1</v>
      </c>
      <c r="G286" s="27">
        <f t="shared" si="5"/>
        <v>-1</v>
      </c>
      <c r="H286" s="28" t="str">
        <f>VLOOKUP(E286,'Cadastro Produtos (kiwkiw)'!C:E,3,0)</f>
        <v>Ear Cuff Minimal Banho Ouro</v>
      </c>
      <c r="AB286" s="33" t="s">
        <v>218</v>
      </c>
    </row>
    <row r="287" spans="2:28" ht="15" customHeight="1" x14ac:dyDescent="0.4">
      <c r="C287" s="34" t="s">
        <v>6</v>
      </c>
      <c r="D287" s="35">
        <v>45517</v>
      </c>
      <c r="E287" s="51" t="s">
        <v>103</v>
      </c>
      <c r="F287" s="33">
        <v>1</v>
      </c>
      <c r="G287" s="27">
        <f t="shared" si="5"/>
        <v>-1</v>
      </c>
      <c r="H287" s="28" t="str">
        <f>VLOOKUP(E287,'Cadastro Produtos (kiwkiw)'!C:E,3,0)</f>
        <v>Colar Ivy Banho Ouro</v>
      </c>
      <c r="AB287" s="33" t="s">
        <v>218</v>
      </c>
    </row>
    <row r="288" spans="2:28" ht="15" customHeight="1" x14ac:dyDescent="0.4">
      <c r="B288" s="43"/>
      <c r="C288" s="34" t="s">
        <v>6</v>
      </c>
      <c r="D288" s="35">
        <v>45517</v>
      </c>
      <c r="E288" s="51" t="s">
        <v>112</v>
      </c>
      <c r="F288" s="33">
        <v>1</v>
      </c>
      <c r="G288" s="27">
        <f t="shared" si="5"/>
        <v>-1</v>
      </c>
      <c r="H288" s="28" t="str">
        <f>VLOOKUP(E288,'Cadastro Produtos (kiwkiw)'!C:E,3,0)</f>
        <v>Gargantilha Escama Banho Ouro</v>
      </c>
      <c r="AB288" s="33" t="s">
        <v>219</v>
      </c>
    </row>
    <row r="289" spans="2:28" ht="15" customHeight="1" x14ac:dyDescent="0.4">
      <c r="C289" s="34" t="s">
        <v>6</v>
      </c>
      <c r="D289" s="35">
        <v>45517</v>
      </c>
      <c r="E289" s="51" t="s">
        <v>79</v>
      </c>
      <c r="F289" s="33">
        <v>1</v>
      </c>
      <c r="G289" s="27">
        <f t="shared" si="5"/>
        <v>-1</v>
      </c>
      <c r="H289" s="28" t="str">
        <f>VLOOKUP(E289,'Cadastro Produtos (kiwkiw)'!C:E,3,0)</f>
        <v>Kit Brincos Coracao e Triangulo Banho Ouro</v>
      </c>
      <c r="AB289" s="33" t="s">
        <v>219</v>
      </c>
    </row>
    <row r="290" spans="2:28" ht="15" customHeight="1" x14ac:dyDescent="0.4">
      <c r="C290" s="34" t="s">
        <v>6</v>
      </c>
      <c r="D290" s="35">
        <v>45517</v>
      </c>
      <c r="E290" s="51" t="s">
        <v>106</v>
      </c>
      <c r="F290" s="33">
        <v>1</v>
      </c>
      <c r="G290" s="27">
        <f t="shared" si="5"/>
        <v>-1</v>
      </c>
      <c r="H290" s="28" t="str">
        <f>VLOOKUP(E290,'Cadastro Produtos (kiwkiw)'!C:E,3,0)</f>
        <v>Colar Sao Jorge Banho Ouro</v>
      </c>
      <c r="AB290" s="33" t="s">
        <v>220</v>
      </c>
    </row>
    <row r="291" spans="2:28" ht="15" customHeight="1" x14ac:dyDescent="0.4">
      <c r="C291" s="34" t="s">
        <v>6</v>
      </c>
      <c r="D291" s="35">
        <v>45517</v>
      </c>
      <c r="E291" s="51" t="s">
        <v>41</v>
      </c>
      <c r="F291" s="33">
        <v>1</v>
      </c>
      <c r="G291" s="27">
        <f t="shared" si="5"/>
        <v>-1</v>
      </c>
      <c r="H291" s="28" t="str">
        <f>VLOOKUP(E291,'Cadastro Produtos (kiwkiw)'!C:E,3,0)</f>
        <v>Argolinha Sol Banho Ouro</v>
      </c>
      <c r="AB291" s="33" t="s">
        <v>221</v>
      </c>
    </row>
    <row r="292" spans="2:28" ht="15" customHeight="1" x14ac:dyDescent="0.4">
      <c r="C292" s="34" t="s">
        <v>6</v>
      </c>
      <c r="D292" s="35">
        <v>45517</v>
      </c>
      <c r="E292" s="51" t="s">
        <v>53</v>
      </c>
      <c r="F292" s="33">
        <v>1</v>
      </c>
      <c r="G292" s="27">
        <f t="shared" si="5"/>
        <v>-1</v>
      </c>
      <c r="H292" s="28" t="str">
        <f>VLOOKUP(E292,'Cadastro Produtos (kiwkiw)'!C:E,3,0)</f>
        <v>Brinco Infinito Banho Ouro</v>
      </c>
      <c r="AB292" s="33" t="s">
        <v>221</v>
      </c>
    </row>
    <row r="293" spans="2:28" ht="15" customHeight="1" x14ac:dyDescent="0.4">
      <c r="C293" s="34" t="s">
        <v>6</v>
      </c>
      <c r="D293" s="35">
        <v>45517</v>
      </c>
      <c r="E293" s="51" t="s">
        <v>40</v>
      </c>
      <c r="F293" s="33">
        <v>1</v>
      </c>
      <c r="G293" s="27">
        <f t="shared" si="5"/>
        <v>-1</v>
      </c>
      <c r="H293" s="28" t="str">
        <f>VLOOKUP(E293,'Cadastro Produtos (kiwkiw)'!C:E,3,0)</f>
        <v>Argolinha Folha Banho Ouro</v>
      </c>
      <c r="AB293" s="33" t="s">
        <v>221</v>
      </c>
    </row>
    <row r="294" spans="2:28" ht="15" customHeight="1" x14ac:dyDescent="0.4">
      <c r="B294" s="43"/>
      <c r="C294" s="34" t="s">
        <v>6</v>
      </c>
      <c r="D294" s="35">
        <v>45517</v>
      </c>
      <c r="E294" s="51" t="s">
        <v>34</v>
      </c>
      <c r="F294" s="33">
        <v>1</v>
      </c>
      <c r="G294" s="27">
        <f t="shared" si="5"/>
        <v>-1</v>
      </c>
      <c r="H294" s="28" t="str">
        <f>VLOOKUP(E294,'Cadastro Produtos (kiwkiw)'!C:E,3,0)</f>
        <v>Argola Tripla Banho Ouro</v>
      </c>
      <c r="AB294" s="33" t="s">
        <v>222</v>
      </c>
    </row>
    <row r="295" spans="2:28" ht="15" customHeight="1" x14ac:dyDescent="0.4">
      <c r="B295" s="43"/>
      <c r="C295" s="34" t="s">
        <v>6</v>
      </c>
      <c r="D295" s="35">
        <v>45517</v>
      </c>
      <c r="E295" s="51" t="s">
        <v>46</v>
      </c>
      <c r="F295" s="33">
        <v>1</v>
      </c>
      <c r="G295" s="27">
        <f t="shared" si="5"/>
        <v>-1</v>
      </c>
      <c r="H295" s="28" t="str">
        <f>VLOOKUP(E295,'Cadastro Produtos (kiwkiw)'!C:E,3,0)</f>
        <v>Brinco Bubble Pequeno Banho Ouro</v>
      </c>
      <c r="AB295" s="33" t="s">
        <v>222</v>
      </c>
    </row>
    <row r="296" spans="2:28" ht="15" customHeight="1" x14ac:dyDescent="0.4">
      <c r="B296" s="43"/>
      <c r="C296" s="34" t="s">
        <v>6</v>
      </c>
      <c r="D296" s="35">
        <v>45517</v>
      </c>
      <c r="E296" s="51" t="s">
        <v>107</v>
      </c>
      <c r="F296" s="33">
        <v>1</v>
      </c>
      <c r="G296" s="27">
        <f t="shared" si="5"/>
        <v>-1</v>
      </c>
      <c r="H296" s="28" t="str">
        <f>VLOOKUP(E296,'Cadastro Produtos (kiwkiw)'!C:E,3,0)</f>
        <v>Colar Tina Banho Ouro</v>
      </c>
      <c r="AB296" s="33" t="s">
        <v>222</v>
      </c>
    </row>
    <row r="297" spans="2:28" ht="15" customHeight="1" x14ac:dyDescent="0.4">
      <c r="B297" s="43"/>
      <c r="C297" s="34" t="s">
        <v>6</v>
      </c>
      <c r="D297" s="35">
        <v>45517</v>
      </c>
      <c r="E297" s="51" t="s">
        <v>114</v>
      </c>
      <c r="F297" s="33">
        <v>1</v>
      </c>
      <c r="G297" s="27">
        <f t="shared" si="5"/>
        <v>-1</v>
      </c>
      <c r="H297" s="28" t="str">
        <f>VLOOKUP(E297,'Cadastro Produtos (kiwkiw)'!C:E,3,0)</f>
        <v>Gargantilha Fita Banho Ouro</v>
      </c>
      <c r="AB297" s="33" t="s">
        <v>222</v>
      </c>
    </row>
    <row r="298" spans="2:28" ht="15" customHeight="1" x14ac:dyDescent="0.4">
      <c r="B298" s="43">
        <v>45518.417013888888</v>
      </c>
      <c r="C298" s="34" t="s">
        <v>6</v>
      </c>
      <c r="D298" s="35">
        <v>45518</v>
      </c>
      <c r="E298" s="51" t="s">
        <v>68</v>
      </c>
      <c r="F298" s="33">
        <v>1</v>
      </c>
      <c r="G298" s="27">
        <f t="shared" si="5"/>
        <v>-1</v>
      </c>
      <c r="H298" s="28" t="str">
        <f>VLOOKUP(E298,'Cadastro Produtos (kiwkiw)'!C:E,3,0)</f>
        <v>Brinco Tubinho Medio Banho Ouro</v>
      </c>
      <c r="AB298" s="33" t="s">
        <v>223</v>
      </c>
    </row>
    <row r="299" spans="2:28" ht="15" customHeight="1" x14ac:dyDescent="0.4">
      <c r="C299" s="34" t="s">
        <v>6</v>
      </c>
      <c r="D299" s="35">
        <v>45518</v>
      </c>
      <c r="E299" s="51" t="s">
        <v>64</v>
      </c>
      <c r="F299" s="33">
        <v>1</v>
      </c>
      <c r="G299" s="27">
        <f t="shared" si="5"/>
        <v>-1</v>
      </c>
      <c r="H299" s="28" t="str">
        <f>VLOOKUP(E299,'Cadastro Produtos (kiwkiw)'!C:E,3,0)</f>
        <v>Brinco Spike Prateado</v>
      </c>
      <c r="AB299" s="33" t="s">
        <v>223</v>
      </c>
    </row>
    <row r="300" spans="2:28" ht="15" customHeight="1" x14ac:dyDescent="0.4">
      <c r="C300" s="34" t="s">
        <v>6</v>
      </c>
      <c r="D300" s="35">
        <v>45518</v>
      </c>
      <c r="E300" s="51" t="s">
        <v>103</v>
      </c>
      <c r="F300" s="33">
        <v>1</v>
      </c>
      <c r="G300" s="27">
        <f t="shared" si="5"/>
        <v>-1</v>
      </c>
      <c r="H300" s="28" t="str">
        <f>VLOOKUP(E300,'Cadastro Produtos (kiwkiw)'!C:E,3,0)</f>
        <v>Colar Ivy Banho Ouro</v>
      </c>
      <c r="AB300" s="33" t="s">
        <v>224</v>
      </c>
    </row>
    <row r="301" spans="2:28" ht="15" customHeight="1" x14ac:dyDescent="0.4">
      <c r="C301" s="34" t="s">
        <v>6</v>
      </c>
      <c r="D301" s="35">
        <v>45518</v>
      </c>
      <c r="E301" s="51" t="s">
        <v>89</v>
      </c>
      <c r="F301" s="33">
        <v>1</v>
      </c>
      <c r="G301" s="27">
        <f t="shared" si="5"/>
        <v>-1</v>
      </c>
      <c r="H301" s="28" t="str">
        <f>VLOOKUP(E301,'Cadastro Produtos (kiwkiw)'!C:E,3,0)</f>
        <v>Colar Dot Banho Ouro</v>
      </c>
      <c r="AB301" s="33" t="s">
        <v>224</v>
      </c>
    </row>
    <row r="302" spans="2:28" ht="15" customHeight="1" x14ac:dyDescent="0.4">
      <c r="C302" s="34" t="s">
        <v>6</v>
      </c>
      <c r="D302" s="35">
        <v>45518</v>
      </c>
      <c r="E302" s="51" t="s">
        <v>27</v>
      </c>
      <c r="F302" s="33">
        <v>1</v>
      </c>
      <c r="G302" s="27">
        <f t="shared" si="5"/>
        <v>-1</v>
      </c>
      <c r="H302" s="28" t="str">
        <f>VLOOKUP(E302,'Cadastro Produtos (kiwkiw)'!C:E,3,0)</f>
        <v>Argola Click Media Banho Ouro</v>
      </c>
      <c r="AB302" s="33" t="s">
        <v>225</v>
      </c>
    </row>
    <row r="303" spans="2:28" ht="15" customHeight="1" x14ac:dyDescent="0.4">
      <c r="C303" s="34" t="s">
        <v>6</v>
      </c>
      <c r="D303" s="35">
        <v>45518</v>
      </c>
      <c r="E303" s="51" t="s">
        <v>27</v>
      </c>
      <c r="F303" s="33">
        <v>1</v>
      </c>
      <c r="G303" s="27">
        <f t="shared" si="5"/>
        <v>-1</v>
      </c>
      <c r="H303" s="28" t="str">
        <f>VLOOKUP(E303,'Cadastro Produtos (kiwkiw)'!C:E,3,0)</f>
        <v>Argola Click Media Banho Ouro</v>
      </c>
      <c r="AB303" s="33" t="s">
        <v>226</v>
      </c>
    </row>
    <row r="304" spans="2:28" ht="15" customHeight="1" x14ac:dyDescent="0.4">
      <c r="C304" s="34" t="s">
        <v>6</v>
      </c>
      <c r="D304" s="35">
        <v>45518</v>
      </c>
      <c r="E304" s="51" t="s">
        <v>28</v>
      </c>
      <c r="F304" s="33">
        <v>1</v>
      </c>
      <c r="G304" s="27">
        <f t="shared" si="5"/>
        <v>-1</v>
      </c>
      <c r="H304" s="28" t="str">
        <f>VLOOKUP(E304,'Cadastro Produtos (kiwkiw)'!C:E,3,0)</f>
        <v>Argola Click Pequena Banho Ouro</v>
      </c>
      <c r="AB304" s="33" t="s">
        <v>225</v>
      </c>
    </row>
    <row r="305" spans="2:28" ht="15" customHeight="1" x14ac:dyDescent="0.4">
      <c r="B305" s="43"/>
      <c r="C305" s="34" t="s">
        <v>6</v>
      </c>
      <c r="D305" s="35">
        <v>45518</v>
      </c>
      <c r="E305" s="51" t="s">
        <v>26</v>
      </c>
      <c r="F305" s="33">
        <v>1</v>
      </c>
      <c r="G305" s="27">
        <f t="shared" si="5"/>
        <v>-1</v>
      </c>
      <c r="H305" s="28" t="str">
        <f>VLOOKUP(E305,'Cadastro Produtos (kiwkiw)'!C:E,3,0)</f>
        <v>Argola Click Grande Banho Ouro</v>
      </c>
      <c r="AB305" s="33" t="s">
        <v>225</v>
      </c>
    </row>
    <row r="306" spans="2:28" ht="15" customHeight="1" x14ac:dyDescent="0.4">
      <c r="C306" s="34" t="s">
        <v>6</v>
      </c>
      <c r="D306" s="35">
        <v>45518</v>
      </c>
      <c r="E306" s="51" t="s">
        <v>39</v>
      </c>
      <c r="F306" s="33">
        <v>1</v>
      </c>
      <c r="G306" s="27">
        <f t="shared" si="5"/>
        <v>-1</v>
      </c>
      <c r="H306" s="28" t="str">
        <f>VLOOKUP(E306,'Cadastro Produtos (kiwkiw)'!C:E,3,0)</f>
        <v>Argolinha Click Torcida Banho Ouro</v>
      </c>
      <c r="AB306" s="33" t="s">
        <v>225</v>
      </c>
    </row>
    <row r="307" spans="2:28" ht="15" customHeight="1" x14ac:dyDescent="0.4">
      <c r="B307" s="43"/>
      <c r="C307" s="34" t="s">
        <v>6</v>
      </c>
      <c r="D307" s="35">
        <v>45518</v>
      </c>
      <c r="E307" s="51" t="s">
        <v>39</v>
      </c>
      <c r="F307" s="33">
        <v>1</v>
      </c>
      <c r="G307" s="27">
        <f t="shared" si="5"/>
        <v>-1</v>
      </c>
      <c r="H307" s="28" t="str">
        <f>VLOOKUP(E307,'Cadastro Produtos (kiwkiw)'!C:E,3,0)</f>
        <v>Argolinha Click Torcida Banho Ouro</v>
      </c>
      <c r="AB307" s="33" t="s">
        <v>226</v>
      </c>
    </row>
    <row r="308" spans="2:28" ht="15" customHeight="1" x14ac:dyDescent="0.4">
      <c r="C308" s="34" t="s">
        <v>6</v>
      </c>
      <c r="D308" s="35">
        <v>45518</v>
      </c>
      <c r="E308" s="51" t="s">
        <v>74</v>
      </c>
      <c r="F308" s="33">
        <v>1</v>
      </c>
      <c r="G308" s="27">
        <f t="shared" si="5"/>
        <v>-1</v>
      </c>
      <c r="H308" s="28" t="str">
        <f>VLOOKUP(E308,'Cadastro Produtos (kiwkiw)'!C:E,3,0)</f>
        <v>Ear Hook Hug Banho Ouro</v>
      </c>
      <c r="AB308" s="33" t="s">
        <v>226</v>
      </c>
    </row>
    <row r="309" spans="2:28" ht="15" customHeight="1" x14ac:dyDescent="0.4">
      <c r="C309" s="34" t="s">
        <v>6</v>
      </c>
      <c r="D309" s="35">
        <v>45518</v>
      </c>
      <c r="E309" s="51" t="s">
        <v>95</v>
      </c>
      <c r="F309" s="33">
        <v>1</v>
      </c>
      <c r="G309" s="27">
        <f t="shared" si="5"/>
        <v>-1</v>
      </c>
      <c r="H309" s="28" t="str">
        <f>VLOOKUP(E309,'Cadastro Produtos (kiwkiw)'!C:E,3,0)</f>
        <v>Colar Duplo Dots Prateado</v>
      </c>
      <c r="AB309" s="33" t="s">
        <v>226</v>
      </c>
    </row>
    <row r="310" spans="2:28" ht="15" customHeight="1" x14ac:dyDescent="0.4">
      <c r="C310" s="34" t="s">
        <v>6</v>
      </c>
      <c r="D310" s="35">
        <v>45518</v>
      </c>
      <c r="E310" s="51" t="s">
        <v>105</v>
      </c>
      <c r="F310" s="33">
        <v>1</v>
      </c>
      <c r="G310" s="27">
        <f t="shared" si="5"/>
        <v>-1</v>
      </c>
      <c r="H310" s="28" t="str">
        <f>VLOOKUP(E310,'Cadastro Produtos (kiwkiw)'!C:E,3,0)</f>
        <v>Colar Rosa Banho Ouro</v>
      </c>
      <c r="AB310" s="33" t="s">
        <v>226</v>
      </c>
    </row>
    <row r="311" spans="2:28" ht="15" customHeight="1" x14ac:dyDescent="0.4">
      <c r="C311" s="34" t="s">
        <v>6</v>
      </c>
      <c r="D311" s="35">
        <v>45518</v>
      </c>
      <c r="E311" s="51" t="s">
        <v>116</v>
      </c>
      <c r="F311" s="33">
        <v>1</v>
      </c>
      <c r="G311" s="27">
        <f t="shared" si="5"/>
        <v>-1</v>
      </c>
      <c r="H311" s="28" t="str">
        <f>VLOOKUP(E311,'Cadastro Produtos (kiwkiw)'!C:E,3,0)</f>
        <v>Gargantilha Dots Banho Ouro</v>
      </c>
      <c r="AB311" s="33" t="s">
        <v>226</v>
      </c>
    </row>
    <row r="312" spans="2:28" ht="15" customHeight="1" x14ac:dyDescent="0.4">
      <c r="C312" s="34" t="s">
        <v>6</v>
      </c>
      <c r="D312" s="35">
        <v>45518</v>
      </c>
      <c r="E312" s="51" t="s">
        <v>113</v>
      </c>
      <c r="F312" s="33">
        <v>1</v>
      </c>
      <c r="G312" s="27">
        <f t="shared" si="5"/>
        <v>-1</v>
      </c>
      <c r="H312" s="28" t="str">
        <f>VLOOKUP(E312,'Cadastro Produtos (kiwkiw)'!C:E,3,0)</f>
        <v>Gargantilha Escama Prateada</v>
      </c>
      <c r="AB312" s="33" t="s">
        <v>226</v>
      </c>
    </row>
    <row r="313" spans="2:28" ht="15" customHeight="1" x14ac:dyDescent="0.4">
      <c r="B313" s="43"/>
      <c r="C313" s="34" t="s">
        <v>6</v>
      </c>
      <c r="D313" s="35">
        <v>45518</v>
      </c>
      <c r="E313" s="51" t="s">
        <v>117</v>
      </c>
      <c r="F313" s="33">
        <v>1</v>
      </c>
      <c r="G313" s="27">
        <f t="shared" si="5"/>
        <v>-1</v>
      </c>
      <c r="H313" s="28" t="str">
        <f>VLOOKUP(E313,'Cadastro Produtos (kiwkiw)'!C:E,3,0)</f>
        <v>Gargantilha Minimal Banho Ouro</v>
      </c>
      <c r="AB313" s="33" t="s">
        <v>226</v>
      </c>
    </row>
    <row r="314" spans="2:28" ht="15" customHeight="1" x14ac:dyDescent="0.4">
      <c r="C314" s="34" t="s">
        <v>6</v>
      </c>
      <c r="D314" s="35">
        <v>45518</v>
      </c>
      <c r="E314" s="51" t="s">
        <v>85</v>
      </c>
      <c r="F314" s="33">
        <v>1</v>
      </c>
      <c r="G314" s="27">
        <f t="shared" si="5"/>
        <v>-1</v>
      </c>
      <c r="H314" s="28" t="str">
        <f>VLOOKUP(E314,'Cadastro Produtos (kiwkiw)'!C:E,3,0)</f>
        <v>Piercing Fake Dots Banho Ouro</v>
      </c>
      <c r="AB314" s="33" t="s">
        <v>226</v>
      </c>
    </row>
    <row r="315" spans="2:28" ht="15" customHeight="1" x14ac:dyDescent="0.4">
      <c r="C315" s="34" t="s">
        <v>6</v>
      </c>
      <c r="D315" s="35">
        <v>45518</v>
      </c>
      <c r="E315" s="51" t="s">
        <v>76</v>
      </c>
      <c r="F315" s="33">
        <v>1</v>
      </c>
      <c r="G315" s="27">
        <f t="shared" si="5"/>
        <v>-1</v>
      </c>
      <c r="H315" s="28" t="str">
        <f>VLOOKUP(E315,'Cadastro Produtos (kiwkiw)'!C:E,3,0)</f>
        <v>EarHook Dots Banho Ouro</v>
      </c>
      <c r="AB315" s="33" t="s">
        <v>226</v>
      </c>
    </row>
    <row r="316" spans="2:28" ht="15" customHeight="1" x14ac:dyDescent="0.4">
      <c r="C316" s="34" t="s">
        <v>6</v>
      </c>
      <c r="D316" s="35">
        <v>45518</v>
      </c>
      <c r="E316" s="51" t="s">
        <v>129</v>
      </c>
      <c r="F316" s="33">
        <v>1</v>
      </c>
      <c r="G316" s="27">
        <f t="shared" si="5"/>
        <v>-1</v>
      </c>
      <c r="H316" s="28" t="str">
        <f>VLOOKUP(E316,'Cadastro Produtos (kiwkiw)'!C:E,3,0)</f>
        <v>Pulseira Snake Banho Ouro</v>
      </c>
      <c r="AB316" s="33" t="s">
        <v>226</v>
      </c>
    </row>
    <row r="317" spans="2:28" ht="15" customHeight="1" x14ac:dyDescent="0.4">
      <c r="B317" s="43"/>
      <c r="C317" s="34" t="s">
        <v>6</v>
      </c>
      <c r="D317" s="35">
        <v>45518</v>
      </c>
      <c r="E317" s="51" t="s">
        <v>42</v>
      </c>
      <c r="F317" s="33">
        <v>1</v>
      </c>
      <c r="G317" s="27">
        <f t="shared" si="5"/>
        <v>-1</v>
      </c>
      <c r="H317" s="28" t="str">
        <f>VLOOKUP(E317,'Cadastro Produtos (kiwkiw)'!C:E,3,0)</f>
        <v>Brinco Arco Banho Ouro</v>
      </c>
      <c r="AB317" s="33" t="s">
        <v>226</v>
      </c>
    </row>
    <row r="318" spans="2:28" ht="15" customHeight="1" x14ac:dyDescent="0.4">
      <c r="B318" s="43"/>
      <c r="C318" s="34" t="s">
        <v>6</v>
      </c>
      <c r="D318" s="35">
        <v>45518</v>
      </c>
      <c r="E318" s="51" t="s">
        <v>42</v>
      </c>
      <c r="F318" s="33">
        <v>1</v>
      </c>
      <c r="G318" s="27">
        <f t="shared" si="5"/>
        <v>-1</v>
      </c>
      <c r="H318" s="28" t="str">
        <f>VLOOKUP(E318,'Cadastro Produtos (kiwkiw)'!C:E,3,0)</f>
        <v>Brinco Arco Banho Ouro</v>
      </c>
      <c r="AB318" s="33" t="s">
        <v>227</v>
      </c>
    </row>
    <row r="319" spans="2:28" ht="15" customHeight="1" x14ac:dyDescent="0.4">
      <c r="C319" s="34" t="s">
        <v>6</v>
      </c>
      <c r="D319" s="35">
        <v>45518</v>
      </c>
      <c r="E319" s="51" t="s">
        <v>61</v>
      </c>
      <c r="F319" s="33">
        <v>1</v>
      </c>
      <c r="G319" s="27">
        <f t="shared" si="5"/>
        <v>-1</v>
      </c>
      <c r="H319" s="28" t="str">
        <f>VLOOKUP(E319,'Cadastro Produtos (kiwkiw)'!C:E,3,0)</f>
        <v>Brinco Setas Banho Ouro</v>
      </c>
      <c r="AB319" s="33" t="s">
        <v>226</v>
      </c>
    </row>
    <row r="320" spans="2:28" ht="15" customHeight="1" x14ac:dyDescent="0.4">
      <c r="C320" s="34" t="s">
        <v>6</v>
      </c>
      <c r="D320" s="35">
        <v>45518</v>
      </c>
      <c r="E320" s="51" t="s">
        <v>124</v>
      </c>
      <c r="F320" s="33">
        <v>1</v>
      </c>
      <c r="G320" s="27">
        <f t="shared" si="5"/>
        <v>-1</v>
      </c>
      <c r="H320" s="28" t="str">
        <f>VLOOKUP(E320,'Cadastro Produtos (kiwkiw)'!C:E,3,0)</f>
        <v>Pulseira Fita Textura Banho Ouro</v>
      </c>
      <c r="AB320" s="33" t="s">
        <v>226</v>
      </c>
    </row>
    <row r="321" spans="2:28" ht="15" customHeight="1" x14ac:dyDescent="0.4">
      <c r="C321" s="34" t="s">
        <v>6</v>
      </c>
      <c r="D321" s="35">
        <v>45518</v>
      </c>
      <c r="E321" s="51" t="s">
        <v>121</v>
      </c>
      <c r="F321" s="33">
        <v>1</v>
      </c>
      <c r="G321" s="27">
        <f t="shared" si="5"/>
        <v>-1</v>
      </c>
      <c r="H321" s="28" t="str">
        <f>VLOOKUP(E321,'Cadastro Produtos (kiwkiw)'!C:E,3,0)</f>
        <v>Bracelete Wave Banho Ouro</v>
      </c>
      <c r="AB321" s="33" t="s">
        <v>226</v>
      </c>
    </row>
    <row r="322" spans="2:28" ht="15" customHeight="1" x14ac:dyDescent="0.4">
      <c r="C322" s="34" t="s">
        <v>6</v>
      </c>
      <c r="D322" s="35">
        <v>45518</v>
      </c>
      <c r="E322" s="51" t="s">
        <v>107</v>
      </c>
      <c r="F322" s="33">
        <v>1</v>
      </c>
      <c r="G322" s="27">
        <f t="shared" si="5"/>
        <v>-1</v>
      </c>
      <c r="H322" s="28" t="str">
        <f>VLOOKUP(E322,'Cadastro Produtos (kiwkiw)'!C:E,3,0)</f>
        <v>Colar Tina Banho Ouro</v>
      </c>
      <c r="AB322" s="33" t="s">
        <v>226</v>
      </c>
    </row>
    <row r="323" spans="2:28" ht="15" customHeight="1" x14ac:dyDescent="0.4">
      <c r="C323" s="34" t="s">
        <v>6</v>
      </c>
      <c r="D323" s="35">
        <v>45518</v>
      </c>
      <c r="E323" s="51" t="s">
        <v>118</v>
      </c>
      <c r="F323" s="33">
        <v>1</v>
      </c>
      <c r="G323" s="27">
        <f t="shared" si="5"/>
        <v>-1</v>
      </c>
      <c r="H323" s="28" t="str">
        <f>VLOOKUP(E323,'Cadastro Produtos (kiwkiw)'!C:E,3,0)</f>
        <v>Gargantilha Minimal Prateada</v>
      </c>
      <c r="AB323" s="33" t="s">
        <v>226</v>
      </c>
    </row>
    <row r="324" spans="2:28" ht="15" customHeight="1" x14ac:dyDescent="0.4">
      <c r="C324" s="34" t="s">
        <v>6</v>
      </c>
      <c r="D324" s="35">
        <v>45518</v>
      </c>
      <c r="E324" s="51" t="s">
        <v>91</v>
      </c>
      <c r="F324" s="33">
        <v>1</v>
      </c>
      <c r="G324" s="27">
        <f t="shared" si="5"/>
        <v>-1</v>
      </c>
      <c r="H324" s="28" t="str">
        <f>VLOOKUP(E324,'Cadastro Produtos (kiwkiw)'!C:E,3,0)</f>
        <v>Colar Rosa dos Ventos Banho Ouro</v>
      </c>
      <c r="AB324" s="33" t="s">
        <v>226</v>
      </c>
    </row>
    <row r="325" spans="2:28" ht="15" customHeight="1" x14ac:dyDescent="0.4">
      <c r="C325" s="34" t="s">
        <v>6</v>
      </c>
      <c r="D325" s="35">
        <v>45518</v>
      </c>
      <c r="E325" s="51" t="s">
        <v>65</v>
      </c>
      <c r="F325" s="33">
        <v>1</v>
      </c>
      <c r="G325" s="27">
        <f t="shared" si="5"/>
        <v>-1</v>
      </c>
      <c r="H325" s="28" t="str">
        <f>VLOOKUP(E325,'Cadastro Produtos (kiwkiw)'!C:E,3,0)</f>
        <v>Brinco Spring Banho Ouro</v>
      </c>
      <c r="AB325" s="33" t="s">
        <v>226</v>
      </c>
    </row>
    <row r="326" spans="2:28" ht="15" customHeight="1" x14ac:dyDescent="0.4">
      <c r="C326" s="34" t="s">
        <v>6</v>
      </c>
      <c r="D326" s="35">
        <v>45518</v>
      </c>
      <c r="E326" s="51" t="s">
        <v>123</v>
      </c>
      <c r="F326" s="33">
        <v>1</v>
      </c>
      <c r="G326" s="27">
        <f t="shared" si="5"/>
        <v>-1</v>
      </c>
      <c r="H326" s="28" t="str">
        <f>VLOOKUP(E326,'Cadastro Produtos (kiwkiw)'!C:E,3,0)</f>
        <v>Pulseira Dots Banho Ouro</v>
      </c>
      <c r="AB326" s="33" t="s">
        <v>226</v>
      </c>
    </row>
    <row r="327" spans="2:28" ht="15" customHeight="1" x14ac:dyDescent="0.4">
      <c r="C327" s="34" t="s">
        <v>6</v>
      </c>
      <c r="D327" s="35">
        <v>45518</v>
      </c>
      <c r="E327" s="51" t="s">
        <v>127</v>
      </c>
      <c r="F327" s="33">
        <v>1</v>
      </c>
      <c r="G327" s="27">
        <f t="shared" si="5"/>
        <v>-1</v>
      </c>
      <c r="H327" s="28" t="str">
        <f>VLOOKUP(E327,'Cadastro Produtos (kiwkiw)'!C:E,3,0)</f>
        <v>Pulseira Minimal Banho Ouro</v>
      </c>
      <c r="AB327" s="33" t="s">
        <v>226</v>
      </c>
    </row>
    <row r="328" spans="2:28" ht="15" customHeight="1" x14ac:dyDescent="0.4">
      <c r="C328" s="34" t="s">
        <v>6</v>
      </c>
      <c r="D328" s="35">
        <v>45518</v>
      </c>
      <c r="E328" s="51" t="s">
        <v>49</v>
      </c>
      <c r="F328" s="33">
        <v>1</v>
      </c>
      <c r="G328" s="27">
        <f t="shared" si="5"/>
        <v>-1</v>
      </c>
      <c r="H328" s="28" t="str">
        <f>VLOOKUP(E328,'Cadastro Produtos (kiwkiw)'!C:E,3,0)</f>
        <v>Brinco Coracao Diamond Banho Ouro</v>
      </c>
      <c r="AB328" s="33" t="s">
        <v>226</v>
      </c>
    </row>
    <row r="329" spans="2:28" ht="15" customHeight="1" x14ac:dyDescent="0.4">
      <c r="C329" s="34" t="s">
        <v>6</v>
      </c>
      <c r="D329" s="35">
        <v>45518</v>
      </c>
      <c r="E329" s="51" t="s">
        <v>57</v>
      </c>
      <c r="F329" s="33">
        <v>1</v>
      </c>
      <c r="G329" s="27">
        <f t="shared" si="5"/>
        <v>-1</v>
      </c>
      <c r="H329" s="28" t="str">
        <f>VLOOKUP(E329,'Cadastro Produtos (kiwkiw)'!C:E,3,0)</f>
        <v>Brinco Mini Raio Prateado</v>
      </c>
      <c r="AB329" s="33" t="s">
        <v>226</v>
      </c>
    </row>
    <row r="330" spans="2:28" ht="15" customHeight="1" x14ac:dyDescent="0.4">
      <c r="C330" s="34" t="s">
        <v>6</v>
      </c>
      <c r="D330" s="35">
        <v>45518</v>
      </c>
      <c r="E330" s="51" t="s">
        <v>38</v>
      </c>
      <c r="F330" s="33">
        <v>1</v>
      </c>
      <c r="G330" s="27">
        <f t="shared" si="5"/>
        <v>-1</v>
      </c>
      <c r="H330" s="28" t="str">
        <f>VLOOKUP(E330,'Cadastro Produtos (kiwkiw)'!C:E,3,0)</f>
        <v>Argolinha Click Dots Banho Ouro</v>
      </c>
      <c r="AB330" s="33" t="s">
        <v>226</v>
      </c>
    </row>
    <row r="331" spans="2:28" ht="15" customHeight="1" x14ac:dyDescent="0.4">
      <c r="C331" s="34" t="s">
        <v>6</v>
      </c>
      <c r="D331" s="35">
        <v>45518</v>
      </c>
      <c r="E331" s="51" t="s">
        <v>33</v>
      </c>
      <c r="F331" s="33">
        <v>1</v>
      </c>
      <c r="G331" s="27">
        <f t="shared" si="5"/>
        <v>-1</v>
      </c>
      <c r="H331" s="28" t="str">
        <f>VLOOKUP(E331,'Cadastro Produtos (kiwkiw)'!C:E,3,0)</f>
        <v>Argola Torcida Banho Ouro</v>
      </c>
      <c r="AB331" s="33" t="s">
        <v>227</v>
      </c>
    </row>
    <row r="332" spans="2:28" ht="15" customHeight="1" x14ac:dyDescent="0.4">
      <c r="C332" s="34" t="s">
        <v>6</v>
      </c>
      <c r="D332" s="35">
        <v>45518</v>
      </c>
      <c r="E332" s="51" t="s">
        <v>94</v>
      </c>
      <c r="F332" s="33">
        <v>1</v>
      </c>
      <c r="G332" s="27">
        <f t="shared" si="5"/>
        <v>-1</v>
      </c>
      <c r="H332" s="28" t="str">
        <f>VLOOKUP(E332,'Cadastro Produtos (kiwkiw)'!C:E,3,0)</f>
        <v>Colar Duplo Dots Banho Ouro</v>
      </c>
      <c r="AB332" s="33" t="s">
        <v>227</v>
      </c>
    </row>
    <row r="333" spans="2:28" ht="15" customHeight="1" x14ac:dyDescent="0.4">
      <c r="C333" s="34" t="s">
        <v>6</v>
      </c>
      <c r="D333" s="35">
        <v>45518</v>
      </c>
      <c r="E333" s="51" t="s">
        <v>114</v>
      </c>
      <c r="F333" s="33">
        <v>1</v>
      </c>
      <c r="G333" s="27">
        <f t="shared" si="5"/>
        <v>-1</v>
      </c>
      <c r="H333" s="28" t="str">
        <f>VLOOKUP(E333,'Cadastro Produtos (kiwkiw)'!C:E,3,0)</f>
        <v>Gargantilha Fita Banho Ouro</v>
      </c>
      <c r="AB333" s="33" t="s">
        <v>227</v>
      </c>
    </row>
    <row r="334" spans="2:28" ht="15" customHeight="1" x14ac:dyDescent="0.4">
      <c r="B334" s="43"/>
      <c r="C334" s="34" t="s">
        <v>6</v>
      </c>
      <c r="D334" s="35">
        <v>45518</v>
      </c>
      <c r="E334" s="51" t="s">
        <v>19</v>
      </c>
      <c r="F334" s="33">
        <v>1</v>
      </c>
      <c r="G334" s="27">
        <f t="shared" si="5"/>
        <v>-1</v>
      </c>
      <c r="H334" s="28" t="str">
        <f>VLOOKUP(E334,'Cadastro Produtos (kiwkiw)'!C:E,3,0)</f>
        <v>Anel Zig Ajustavel Banho Ouro</v>
      </c>
      <c r="AB334" s="33" t="s">
        <v>227</v>
      </c>
    </row>
    <row r="335" spans="2:28" ht="15" customHeight="1" x14ac:dyDescent="0.4">
      <c r="C335" s="34" t="s">
        <v>6</v>
      </c>
      <c r="D335" s="35">
        <v>45518</v>
      </c>
      <c r="E335" s="51" t="s">
        <v>12</v>
      </c>
      <c r="F335" s="33">
        <v>1</v>
      </c>
      <c r="G335" s="27">
        <f t="shared" si="5"/>
        <v>-1</v>
      </c>
      <c r="H335" s="28" t="str">
        <f>VLOOKUP(E335,'Cadastro Produtos (kiwkiw)'!C:E,3,0)</f>
        <v>Anel Duplo Banho Ouro</v>
      </c>
      <c r="AB335" s="33" t="s">
        <v>227</v>
      </c>
    </row>
    <row r="336" spans="2:28" ht="15" customHeight="1" x14ac:dyDescent="0.4">
      <c r="C336" s="34" t="s">
        <v>6</v>
      </c>
      <c r="D336" s="35">
        <v>45518</v>
      </c>
      <c r="E336" s="51" t="s">
        <v>125</v>
      </c>
      <c r="F336" s="33">
        <v>1</v>
      </c>
      <c r="G336" s="27">
        <f t="shared" ref="G336:G399" si="6">IF(C336="Entrada",F336,-F336)</f>
        <v>-1</v>
      </c>
      <c r="H336" s="28" t="str">
        <f>VLOOKUP(E336,'Cadastro Produtos (kiwkiw)'!C:E,3,0)</f>
        <v>Pulseira Groumet Banho Ouro</v>
      </c>
      <c r="AB336" s="33" t="s">
        <v>227</v>
      </c>
    </row>
    <row r="337" spans="2:28" ht="15" customHeight="1" x14ac:dyDescent="0.4">
      <c r="B337" s="43">
        <v>45519.418935185182</v>
      </c>
      <c r="C337" s="34" t="s">
        <v>6</v>
      </c>
      <c r="D337" s="35">
        <v>45519</v>
      </c>
      <c r="E337" s="51" t="s">
        <v>113</v>
      </c>
      <c r="F337" s="33">
        <v>1</v>
      </c>
      <c r="G337" s="27">
        <f t="shared" si="6"/>
        <v>-1</v>
      </c>
      <c r="H337" s="28" t="str">
        <f>VLOOKUP(E337,'Cadastro Produtos (kiwkiw)'!C:E,3,0)</f>
        <v>Gargantilha Escama Prateada</v>
      </c>
      <c r="AB337" s="33" t="s">
        <v>228</v>
      </c>
    </row>
    <row r="338" spans="2:28" ht="15" customHeight="1" x14ac:dyDescent="0.4">
      <c r="C338" s="34" t="s">
        <v>6</v>
      </c>
      <c r="D338" s="35">
        <v>45519</v>
      </c>
      <c r="E338" s="51" t="s">
        <v>48</v>
      </c>
      <c r="F338" s="33">
        <v>1</v>
      </c>
      <c r="G338" s="27">
        <f t="shared" si="6"/>
        <v>-1</v>
      </c>
      <c r="H338" s="28" t="str">
        <f>VLOOKUP(E338,'Cadastro Produtos (kiwkiw)'!C:E,3,0)</f>
        <v>Brinco Gota Click Banho Ouro</v>
      </c>
      <c r="AB338" s="33" t="s">
        <v>229</v>
      </c>
    </row>
    <row r="339" spans="2:28" ht="15" customHeight="1" x14ac:dyDescent="0.4">
      <c r="C339" s="34" t="s">
        <v>6</v>
      </c>
      <c r="D339" s="35">
        <v>45519</v>
      </c>
      <c r="E339" s="51" t="s">
        <v>81</v>
      </c>
      <c r="F339" s="33">
        <v>1</v>
      </c>
      <c r="G339" s="27">
        <f t="shared" si="6"/>
        <v>-1</v>
      </c>
      <c r="H339" s="28" t="str">
        <f>VLOOKUP(E339,'Cadastro Produtos (kiwkiw)'!C:E,3,0)</f>
        <v>Meia Argola Croissant Prateada</v>
      </c>
      <c r="AB339" s="33" t="s">
        <v>229</v>
      </c>
    </row>
    <row r="340" spans="2:28" ht="15" customHeight="1" x14ac:dyDescent="0.4">
      <c r="C340" s="34" t="s">
        <v>6</v>
      </c>
      <c r="D340" s="35">
        <v>45519</v>
      </c>
      <c r="E340" s="51" t="s">
        <v>112</v>
      </c>
      <c r="F340" s="33">
        <v>1</v>
      </c>
      <c r="G340" s="27">
        <f t="shared" si="6"/>
        <v>-1</v>
      </c>
      <c r="H340" s="28" t="str">
        <f>VLOOKUP(E340,'Cadastro Produtos (kiwkiw)'!C:E,3,0)</f>
        <v>Gargantilha Escama Banho Ouro</v>
      </c>
      <c r="AB340" s="33" t="s">
        <v>229</v>
      </c>
    </row>
    <row r="341" spans="2:28" ht="15" customHeight="1" x14ac:dyDescent="0.4">
      <c r="B341" s="43">
        <v>45520.420891203707</v>
      </c>
      <c r="C341" s="34" t="s">
        <v>6</v>
      </c>
      <c r="D341" s="35">
        <v>45520</v>
      </c>
      <c r="E341" s="51" t="s">
        <v>87</v>
      </c>
      <c r="F341" s="33">
        <v>1</v>
      </c>
      <c r="G341" s="27">
        <f t="shared" si="6"/>
        <v>-1</v>
      </c>
      <c r="H341" s="28" t="str">
        <f>VLOOKUP(E341,'Cadastro Produtos (kiwkiw)'!C:E,3,0)</f>
        <v>Piercing Fake Classy Banho Ouro</v>
      </c>
      <c r="AB341" s="33" t="s">
        <v>230</v>
      </c>
    </row>
    <row r="342" spans="2:28" ht="15" customHeight="1" x14ac:dyDescent="0.4">
      <c r="C342" s="34" t="s">
        <v>6</v>
      </c>
      <c r="D342" s="35">
        <v>45520</v>
      </c>
      <c r="E342" s="51" t="s">
        <v>86</v>
      </c>
      <c r="F342" s="33">
        <v>1</v>
      </c>
      <c r="G342" s="27">
        <f t="shared" si="6"/>
        <v>-1</v>
      </c>
      <c r="H342" s="28" t="str">
        <f>VLOOKUP(E342,'Cadastro Produtos (kiwkiw)'!C:E,3,0)</f>
        <v>Piercing Fake Minimal Banho Ouro</v>
      </c>
      <c r="AB342" s="33" t="s">
        <v>230</v>
      </c>
    </row>
    <row r="343" spans="2:28" ht="15" customHeight="1" x14ac:dyDescent="0.4">
      <c r="C343" s="34" t="s">
        <v>6</v>
      </c>
      <c r="D343" s="35">
        <v>45520</v>
      </c>
      <c r="E343" s="51" t="s">
        <v>19</v>
      </c>
      <c r="F343" s="33">
        <v>1</v>
      </c>
      <c r="G343" s="27">
        <f t="shared" si="6"/>
        <v>-1</v>
      </c>
      <c r="H343" s="28" t="str">
        <f>VLOOKUP(E343,'Cadastro Produtos (kiwkiw)'!C:E,3,0)</f>
        <v>Anel Zig Ajustavel Banho Ouro</v>
      </c>
      <c r="AB343" s="33" t="s">
        <v>230</v>
      </c>
    </row>
    <row r="344" spans="2:28" ht="15" customHeight="1" x14ac:dyDescent="0.4">
      <c r="C344" s="34" t="s">
        <v>6</v>
      </c>
      <c r="D344" s="35">
        <v>45520</v>
      </c>
      <c r="E344" s="51" t="s">
        <v>30</v>
      </c>
      <c r="F344" s="33">
        <v>1</v>
      </c>
      <c r="G344" s="27">
        <f t="shared" si="6"/>
        <v>-1</v>
      </c>
      <c r="H344" s="28" t="str">
        <f>VLOOKUP(E344,'Cadastro Produtos (kiwkiw)'!C:E,3,0)</f>
        <v>Argola Organica Banho Ouro</v>
      </c>
      <c r="AB344" s="33" t="s">
        <v>231</v>
      </c>
    </row>
    <row r="345" spans="2:28" ht="15" customHeight="1" x14ac:dyDescent="0.4">
      <c r="C345" s="34" t="s">
        <v>6</v>
      </c>
      <c r="D345" s="35">
        <v>45520</v>
      </c>
      <c r="E345" s="51" t="s">
        <v>30</v>
      </c>
      <c r="F345" s="33">
        <v>1</v>
      </c>
      <c r="G345" s="27">
        <f t="shared" si="6"/>
        <v>-1</v>
      </c>
      <c r="H345" s="28" t="str">
        <f>VLOOKUP(E345,'Cadastro Produtos (kiwkiw)'!C:E,3,0)</f>
        <v>Argola Organica Banho Ouro</v>
      </c>
      <c r="AB345" s="33" t="s">
        <v>232</v>
      </c>
    </row>
    <row r="346" spans="2:28" ht="15" customHeight="1" x14ac:dyDescent="0.4">
      <c r="B346" s="43"/>
      <c r="C346" s="34" t="s">
        <v>6</v>
      </c>
      <c r="D346" s="35">
        <v>45520</v>
      </c>
      <c r="E346" s="51" t="s">
        <v>48</v>
      </c>
      <c r="F346" s="33">
        <v>1</v>
      </c>
      <c r="G346" s="27">
        <f t="shared" si="6"/>
        <v>-1</v>
      </c>
      <c r="H346" s="28" t="str">
        <f>VLOOKUP(E346,'Cadastro Produtos (kiwkiw)'!C:E,3,0)</f>
        <v>Brinco Gota Click Banho Ouro</v>
      </c>
      <c r="AB346" s="33" t="s">
        <v>233</v>
      </c>
    </row>
    <row r="347" spans="2:28" ht="15" customHeight="1" x14ac:dyDescent="0.4">
      <c r="C347" s="34" t="s">
        <v>6</v>
      </c>
      <c r="D347" s="35">
        <v>45520</v>
      </c>
      <c r="E347" s="51" t="s">
        <v>94</v>
      </c>
      <c r="F347" s="33">
        <v>1</v>
      </c>
      <c r="G347" s="27">
        <f t="shared" si="6"/>
        <v>-1</v>
      </c>
      <c r="H347" s="28" t="str">
        <f>VLOOKUP(E347,'Cadastro Produtos (kiwkiw)'!C:E,3,0)</f>
        <v>Colar Duplo Dots Banho Ouro</v>
      </c>
      <c r="AB347" s="33" t="s">
        <v>233</v>
      </c>
    </row>
    <row r="348" spans="2:28" ht="15" customHeight="1" x14ac:dyDescent="0.4">
      <c r="B348" s="43"/>
      <c r="C348" s="34" t="s">
        <v>6</v>
      </c>
      <c r="D348" s="35">
        <v>45520</v>
      </c>
      <c r="E348" s="51" t="s">
        <v>16</v>
      </c>
      <c r="F348" s="33">
        <v>1</v>
      </c>
      <c r="G348" s="27">
        <f t="shared" si="6"/>
        <v>-1</v>
      </c>
      <c r="H348" s="28" t="str">
        <f>VLOOKUP(E348,'Cadastro Produtos (kiwkiw)'!C:E,3,0)</f>
        <v>Anel Etta Banho Ouro</v>
      </c>
      <c r="AB348" s="33" t="s">
        <v>234</v>
      </c>
    </row>
    <row r="349" spans="2:28" ht="15" customHeight="1" x14ac:dyDescent="0.4">
      <c r="C349" s="34" t="s">
        <v>6</v>
      </c>
      <c r="D349" s="35">
        <v>45520</v>
      </c>
      <c r="E349" s="51" t="s">
        <v>25</v>
      </c>
      <c r="F349" s="33">
        <v>1</v>
      </c>
      <c r="G349" s="27">
        <f t="shared" si="6"/>
        <v>-1</v>
      </c>
      <c r="H349" s="28" t="str">
        <f>VLOOKUP(E349,'Cadastro Produtos (kiwkiw)'!C:E,3,0)</f>
        <v>Argola Amy Banho Ouro</v>
      </c>
      <c r="AB349" s="33" t="s">
        <v>234</v>
      </c>
    </row>
    <row r="350" spans="2:28" ht="15" customHeight="1" x14ac:dyDescent="0.4">
      <c r="C350" s="34" t="s">
        <v>6</v>
      </c>
      <c r="D350" s="35">
        <v>45520</v>
      </c>
      <c r="E350" s="51" t="s">
        <v>99</v>
      </c>
      <c r="F350" s="33">
        <v>1</v>
      </c>
      <c r="G350" s="27">
        <f t="shared" si="6"/>
        <v>-1</v>
      </c>
      <c r="H350" s="28" t="str">
        <f>VLOOKUP(E350,'Cadastro Produtos (kiwkiw)'!C:E,3,0)</f>
        <v>Colar Esfera Medio Banho Ouro</v>
      </c>
      <c r="AB350" s="33" t="s">
        <v>232</v>
      </c>
    </row>
    <row r="351" spans="2:28" ht="15" customHeight="1" x14ac:dyDescent="0.4">
      <c r="C351" s="34" t="s">
        <v>6</v>
      </c>
      <c r="D351" s="35">
        <v>45520</v>
      </c>
      <c r="E351" s="51" t="s">
        <v>105</v>
      </c>
      <c r="F351" s="33">
        <v>1</v>
      </c>
      <c r="G351" s="27">
        <f t="shared" si="6"/>
        <v>-1</v>
      </c>
      <c r="H351" s="28" t="str">
        <f>VLOOKUP(E351,'Cadastro Produtos (kiwkiw)'!C:E,3,0)</f>
        <v>Colar Rosa Banho Ouro</v>
      </c>
      <c r="AB351" s="33" t="s">
        <v>235</v>
      </c>
    </row>
    <row r="352" spans="2:28" ht="15" customHeight="1" x14ac:dyDescent="0.4">
      <c r="B352" s="43">
        <v>45523.418738425928</v>
      </c>
      <c r="C352" s="34" t="s">
        <v>6</v>
      </c>
      <c r="D352" s="35">
        <v>45523</v>
      </c>
      <c r="E352" s="51" t="s">
        <v>69</v>
      </c>
      <c r="F352" s="33">
        <v>1</v>
      </c>
      <c r="G352" s="27">
        <f t="shared" si="6"/>
        <v>-1</v>
      </c>
      <c r="H352" s="28" t="str">
        <f>VLOOKUP(E352,'Cadastro Produtos (kiwkiw)'!C:E,3,0)</f>
        <v>Brinco Tubinho Pequeno Banho Ouro</v>
      </c>
      <c r="AB352" s="33" t="s">
        <v>236</v>
      </c>
    </row>
    <row r="353" spans="2:28" ht="15" customHeight="1" x14ac:dyDescent="0.4">
      <c r="C353" s="34" t="s">
        <v>6</v>
      </c>
      <c r="D353" s="35">
        <v>45523</v>
      </c>
      <c r="E353" s="51" t="s">
        <v>70</v>
      </c>
      <c r="F353" s="33">
        <v>1</v>
      </c>
      <c r="G353" s="27">
        <f t="shared" si="6"/>
        <v>-1</v>
      </c>
      <c r="H353" s="28" t="str">
        <f>VLOOKUP(E353,'Cadastro Produtos (kiwkiw)'!C:E,3,0)</f>
        <v>Brinco Geometrico Banho Ouro</v>
      </c>
      <c r="AB353" s="33" t="s">
        <v>236</v>
      </c>
    </row>
    <row r="354" spans="2:28" ht="15" customHeight="1" x14ac:dyDescent="0.4">
      <c r="C354" s="34" t="s">
        <v>6</v>
      </c>
      <c r="D354" s="35">
        <v>45523</v>
      </c>
      <c r="E354" s="51" t="s">
        <v>86</v>
      </c>
      <c r="F354" s="33">
        <v>1</v>
      </c>
      <c r="G354" s="27">
        <f t="shared" si="6"/>
        <v>-1</v>
      </c>
      <c r="H354" s="28" t="str">
        <f>VLOOKUP(E354,'Cadastro Produtos (kiwkiw)'!C:E,3,0)</f>
        <v>Piercing Fake Minimal Banho Ouro</v>
      </c>
      <c r="AB354" s="33" t="s">
        <v>236</v>
      </c>
    </row>
    <row r="355" spans="2:28" ht="15" customHeight="1" x14ac:dyDescent="0.4">
      <c r="C355" s="34" t="s">
        <v>6</v>
      </c>
      <c r="D355" s="35">
        <v>45523</v>
      </c>
      <c r="E355" s="51" t="s">
        <v>86</v>
      </c>
      <c r="F355" s="33">
        <v>1</v>
      </c>
      <c r="G355" s="27">
        <f t="shared" si="6"/>
        <v>-1</v>
      </c>
      <c r="H355" s="28" t="str">
        <f>VLOOKUP(E355,'Cadastro Produtos (kiwkiw)'!C:E,3,0)</f>
        <v>Piercing Fake Minimal Banho Ouro</v>
      </c>
      <c r="AB355" s="33" t="s">
        <v>237</v>
      </c>
    </row>
    <row r="356" spans="2:28" ht="15" customHeight="1" x14ac:dyDescent="0.4">
      <c r="C356" s="34" t="s">
        <v>6</v>
      </c>
      <c r="D356" s="35">
        <v>45523</v>
      </c>
      <c r="E356" s="51" t="s">
        <v>66</v>
      </c>
      <c r="F356" s="33">
        <v>1</v>
      </c>
      <c r="G356" s="27">
        <f t="shared" si="6"/>
        <v>-1</v>
      </c>
      <c r="H356" s="28" t="str">
        <f>VLOOKUP(E356,'Cadastro Produtos (kiwkiw)'!C:E,3,0)</f>
        <v>Brinco Square Banho Ouro</v>
      </c>
      <c r="AB356" s="33" t="s">
        <v>238</v>
      </c>
    </row>
    <row r="357" spans="2:28" ht="15" customHeight="1" x14ac:dyDescent="0.4">
      <c r="C357" s="34" t="s">
        <v>6</v>
      </c>
      <c r="D357" s="35">
        <v>45523</v>
      </c>
      <c r="E357" s="51" t="s">
        <v>106</v>
      </c>
      <c r="F357" s="33">
        <v>1</v>
      </c>
      <c r="G357" s="27">
        <f t="shared" si="6"/>
        <v>-1</v>
      </c>
      <c r="H357" s="28" t="str">
        <f>VLOOKUP(E357,'Cadastro Produtos (kiwkiw)'!C:E,3,0)</f>
        <v>Colar Sao Jorge Banho Ouro</v>
      </c>
      <c r="AB357" s="33" t="s">
        <v>239</v>
      </c>
    </row>
    <row r="358" spans="2:28" ht="15" customHeight="1" x14ac:dyDescent="0.4">
      <c r="B358" s="43"/>
      <c r="C358" s="34" t="s">
        <v>6</v>
      </c>
      <c r="D358" s="35">
        <v>45523</v>
      </c>
      <c r="E358" s="51" t="s">
        <v>92</v>
      </c>
      <c r="F358" s="33">
        <v>1</v>
      </c>
      <c r="G358" s="27">
        <f t="shared" si="6"/>
        <v>-1</v>
      </c>
      <c r="H358" s="28" t="str">
        <f>VLOOKUP(E358,'Cadastro Produtos (kiwkiw)'!C:E,3,0)</f>
        <v>Colar Coracao Banho Ouro</v>
      </c>
      <c r="AB358" s="33" t="s">
        <v>239</v>
      </c>
    </row>
    <row r="359" spans="2:28" ht="15" customHeight="1" x14ac:dyDescent="0.4">
      <c r="C359" s="34" t="s">
        <v>6</v>
      </c>
      <c r="D359" s="35">
        <v>45523</v>
      </c>
      <c r="E359" s="51" t="s">
        <v>40</v>
      </c>
      <c r="F359" s="33">
        <v>1</v>
      </c>
      <c r="G359" s="27">
        <f t="shared" si="6"/>
        <v>-1</v>
      </c>
      <c r="H359" s="28" t="str">
        <f>VLOOKUP(E359,'Cadastro Produtos (kiwkiw)'!C:E,3,0)</f>
        <v>Argolinha Folha Banho Ouro</v>
      </c>
      <c r="AB359" s="33" t="s">
        <v>239</v>
      </c>
    </row>
    <row r="360" spans="2:28" ht="15" customHeight="1" x14ac:dyDescent="0.4">
      <c r="C360" s="34" t="s">
        <v>6</v>
      </c>
      <c r="D360" s="35">
        <v>45523</v>
      </c>
      <c r="E360" s="51" t="s">
        <v>40</v>
      </c>
      <c r="F360" s="33">
        <v>1</v>
      </c>
      <c r="G360" s="27">
        <f t="shared" si="6"/>
        <v>-1</v>
      </c>
      <c r="H360" s="28" t="str">
        <f>VLOOKUP(E360,'Cadastro Produtos (kiwkiw)'!C:E,3,0)</f>
        <v>Argolinha Folha Banho Ouro</v>
      </c>
      <c r="AB360" s="33" t="s">
        <v>240</v>
      </c>
    </row>
    <row r="361" spans="2:28" ht="15" customHeight="1" x14ac:dyDescent="0.4">
      <c r="B361" s="43"/>
      <c r="C361" s="34" t="s">
        <v>6</v>
      </c>
      <c r="D361" s="35">
        <v>45523</v>
      </c>
      <c r="E361" s="51" t="s">
        <v>117</v>
      </c>
      <c r="F361" s="33">
        <v>1</v>
      </c>
      <c r="G361" s="27">
        <f t="shared" si="6"/>
        <v>-1</v>
      </c>
      <c r="H361" s="28" t="str">
        <f>VLOOKUP(E361,'Cadastro Produtos (kiwkiw)'!C:E,3,0)</f>
        <v>Gargantilha Minimal Banho Ouro</v>
      </c>
      <c r="AB361" s="33" t="s">
        <v>241</v>
      </c>
    </row>
    <row r="362" spans="2:28" ht="15" customHeight="1" x14ac:dyDescent="0.4">
      <c r="C362" s="34" t="s">
        <v>6</v>
      </c>
      <c r="D362" s="35">
        <v>45523</v>
      </c>
      <c r="E362" s="51" t="s">
        <v>87</v>
      </c>
      <c r="F362" s="33">
        <v>1</v>
      </c>
      <c r="G362" s="27">
        <f t="shared" si="6"/>
        <v>-1</v>
      </c>
      <c r="H362" s="28" t="str">
        <f>VLOOKUP(E362,'Cadastro Produtos (kiwkiw)'!C:E,3,0)</f>
        <v>Piercing Fake Classy Banho Ouro</v>
      </c>
      <c r="AB362" s="33" t="s">
        <v>241</v>
      </c>
    </row>
    <row r="363" spans="2:28" ht="15" customHeight="1" x14ac:dyDescent="0.4">
      <c r="C363" s="34" t="s">
        <v>6</v>
      </c>
      <c r="D363" s="35">
        <v>45523</v>
      </c>
      <c r="E363" s="51" t="s">
        <v>87</v>
      </c>
      <c r="F363" s="33">
        <v>1</v>
      </c>
      <c r="G363" s="27">
        <f t="shared" si="6"/>
        <v>-1</v>
      </c>
      <c r="H363" s="28" t="str">
        <f>VLOOKUP(E363,'Cadastro Produtos (kiwkiw)'!C:E,3,0)</f>
        <v>Piercing Fake Classy Banho Ouro</v>
      </c>
      <c r="AB363" s="33" t="s">
        <v>237</v>
      </c>
    </row>
    <row r="364" spans="2:28" ht="15" customHeight="1" x14ac:dyDescent="0.4">
      <c r="C364" s="34" t="s">
        <v>6</v>
      </c>
      <c r="D364" s="35">
        <v>45523</v>
      </c>
      <c r="E364" s="51" t="s">
        <v>26</v>
      </c>
      <c r="F364" s="33">
        <v>1</v>
      </c>
      <c r="G364" s="27">
        <f t="shared" si="6"/>
        <v>-1</v>
      </c>
      <c r="H364" s="28" t="str">
        <f>VLOOKUP(E364,'Cadastro Produtos (kiwkiw)'!C:E,3,0)</f>
        <v>Argola Click Grande Banho Ouro</v>
      </c>
      <c r="AB364" s="33" t="s">
        <v>241</v>
      </c>
    </row>
    <row r="365" spans="2:28" ht="15" customHeight="1" x14ac:dyDescent="0.4">
      <c r="C365" s="34" t="s">
        <v>6</v>
      </c>
      <c r="D365" s="35">
        <v>45523</v>
      </c>
      <c r="E365" s="51" t="s">
        <v>119</v>
      </c>
      <c r="F365" s="33">
        <v>1</v>
      </c>
      <c r="G365" s="27">
        <f t="shared" si="6"/>
        <v>-1</v>
      </c>
      <c r="H365" s="28" t="str">
        <f>VLOOKUP(E365,'Cadastro Produtos (kiwkiw)'!C:E,3,0)</f>
        <v>Bracelete Line Banho Ouro</v>
      </c>
      <c r="AB365" s="33" t="s">
        <v>242</v>
      </c>
    </row>
    <row r="366" spans="2:28" ht="15" customHeight="1" x14ac:dyDescent="0.4">
      <c r="C366" s="34" t="s">
        <v>6</v>
      </c>
      <c r="D366" s="35">
        <v>45523</v>
      </c>
      <c r="E366" s="51" t="s">
        <v>122</v>
      </c>
      <c r="F366" s="33">
        <v>1</v>
      </c>
      <c r="G366" s="27">
        <f t="shared" si="6"/>
        <v>-1</v>
      </c>
      <c r="H366" s="28" t="str">
        <f>VLOOKUP(E366,'Cadastro Produtos (kiwkiw)'!C:E,3,0)</f>
        <v>Bracelete Torcido Banho Ouro</v>
      </c>
      <c r="AB366" s="33" t="s">
        <v>242</v>
      </c>
    </row>
    <row r="367" spans="2:28" ht="15" customHeight="1" x14ac:dyDescent="0.4">
      <c r="C367" s="34" t="s">
        <v>6</v>
      </c>
      <c r="D367" s="35">
        <v>45523</v>
      </c>
      <c r="E367" s="51" t="s">
        <v>74</v>
      </c>
      <c r="F367" s="33">
        <v>1</v>
      </c>
      <c r="G367" s="27">
        <f t="shared" si="6"/>
        <v>-1</v>
      </c>
      <c r="H367" s="28" t="str">
        <f>VLOOKUP(E367,'Cadastro Produtos (kiwkiw)'!C:E,3,0)</f>
        <v>Ear Hook Hug Banho Ouro</v>
      </c>
      <c r="AB367" s="33" t="s">
        <v>243</v>
      </c>
    </row>
    <row r="368" spans="2:28" ht="15" customHeight="1" x14ac:dyDescent="0.4">
      <c r="C368" s="34" t="s">
        <v>6</v>
      </c>
      <c r="D368" s="35">
        <v>45523</v>
      </c>
      <c r="E368" s="51" t="s">
        <v>74</v>
      </c>
      <c r="F368" s="33">
        <v>1</v>
      </c>
      <c r="G368" s="27">
        <f t="shared" si="6"/>
        <v>-1</v>
      </c>
      <c r="H368" s="28" t="str">
        <f>VLOOKUP(E368,'Cadastro Produtos (kiwkiw)'!C:E,3,0)</f>
        <v>Ear Hook Hug Banho Ouro</v>
      </c>
      <c r="AB368" s="33" t="s">
        <v>237</v>
      </c>
    </row>
    <row r="369" spans="2:28" ht="15" customHeight="1" x14ac:dyDescent="0.4">
      <c r="C369" s="34" t="s">
        <v>6</v>
      </c>
      <c r="D369" s="35">
        <v>45523</v>
      </c>
      <c r="E369" s="51" t="s">
        <v>112</v>
      </c>
      <c r="F369" s="33">
        <v>1</v>
      </c>
      <c r="G369" s="27">
        <f t="shared" si="6"/>
        <v>-1</v>
      </c>
      <c r="H369" s="28" t="str">
        <f>VLOOKUP(E369,'Cadastro Produtos (kiwkiw)'!C:E,3,0)</f>
        <v>Gargantilha Escama Banho Ouro</v>
      </c>
      <c r="AB369" s="33" t="s">
        <v>244</v>
      </c>
    </row>
    <row r="370" spans="2:28" ht="15" customHeight="1" x14ac:dyDescent="0.4">
      <c r="C370" s="34" t="s">
        <v>6</v>
      </c>
      <c r="D370" s="35">
        <v>45523</v>
      </c>
      <c r="E370" s="51" t="s">
        <v>25</v>
      </c>
      <c r="F370" s="33">
        <v>1</v>
      </c>
      <c r="G370" s="27">
        <f t="shared" si="6"/>
        <v>-1</v>
      </c>
      <c r="H370" s="28" t="str">
        <f>VLOOKUP(E370,'Cadastro Produtos (kiwkiw)'!C:E,3,0)</f>
        <v>Argola Amy Banho Ouro</v>
      </c>
      <c r="AB370" s="33" t="s">
        <v>245</v>
      </c>
    </row>
    <row r="371" spans="2:28" ht="15" customHeight="1" x14ac:dyDescent="0.4">
      <c r="B371" s="43"/>
      <c r="C371" s="34" t="s">
        <v>6</v>
      </c>
      <c r="D371" s="35">
        <v>45523</v>
      </c>
      <c r="E371" s="51" t="s">
        <v>88</v>
      </c>
      <c r="F371" s="33">
        <v>1</v>
      </c>
      <c r="G371" s="27">
        <f t="shared" si="6"/>
        <v>-1</v>
      </c>
      <c r="H371" s="28" t="str">
        <f>VLOOKUP(E371,'Cadastro Produtos (kiwkiw)'!C:E,3,0)</f>
        <v>Piercing Fake Classy Prateado</v>
      </c>
      <c r="AB371" s="33" t="s">
        <v>237</v>
      </c>
    </row>
    <row r="372" spans="2:28" ht="15" customHeight="1" x14ac:dyDescent="0.4">
      <c r="C372" s="34" t="s">
        <v>6</v>
      </c>
      <c r="D372" s="35">
        <v>45523</v>
      </c>
      <c r="E372" s="51" t="s">
        <v>38</v>
      </c>
      <c r="F372" s="33">
        <v>1</v>
      </c>
      <c r="G372" s="27">
        <f t="shared" si="6"/>
        <v>-1</v>
      </c>
      <c r="H372" s="28" t="str">
        <f>VLOOKUP(E372,'Cadastro Produtos (kiwkiw)'!C:E,3,0)</f>
        <v>Argolinha Click Dots Banho Ouro</v>
      </c>
      <c r="AB372" s="33" t="s">
        <v>237</v>
      </c>
    </row>
    <row r="373" spans="2:28" ht="15" customHeight="1" x14ac:dyDescent="0.4">
      <c r="C373" s="34" t="s">
        <v>6</v>
      </c>
      <c r="D373" s="35">
        <v>45523</v>
      </c>
      <c r="E373" s="51" t="s">
        <v>85</v>
      </c>
      <c r="F373" s="33">
        <v>1</v>
      </c>
      <c r="G373" s="27">
        <f t="shared" si="6"/>
        <v>-1</v>
      </c>
      <c r="H373" s="28" t="str">
        <f>VLOOKUP(E373,'Cadastro Produtos (kiwkiw)'!C:E,3,0)</f>
        <v>Piercing Fake Dots Banho Ouro</v>
      </c>
      <c r="AB373" s="33" t="s">
        <v>237</v>
      </c>
    </row>
    <row r="374" spans="2:28" ht="15" customHeight="1" x14ac:dyDescent="0.4">
      <c r="C374" s="34" t="s">
        <v>6</v>
      </c>
      <c r="D374" s="35">
        <v>45523</v>
      </c>
      <c r="E374" s="51" t="s">
        <v>85</v>
      </c>
      <c r="F374" s="33">
        <v>1</v>
      </c>
      <c r="G374" s="27">
        <f t="shared" si="6"/>
        <v>-1</v>
      </c>
      <c r="H374" s="28" t="str">
        <f>VLOOKUP(E374,'Cadastro Produtos (kiwkiw)'!C:E,3,0)</f>
        <v>Piercing Fake Dots Banho Ouro</v>
      </c>
      <c r="AB374" s="33" t="s">
        <v>246</v>
      </c>
    </row>
    <row r="375" spans="2:28" ht="15" customHeight="1" x14ac:dyDescent="0.4">
      <c r="C375" s="34" t="s">
        <v>6</v>
      </c>
      <c r="D375" s="35">
        <v>45523</v>
      </c>
      <c r="E375" s="51" t="s">
        <v>46</v>
      </c>
      <c r="F375" s="33">
        <v>1</v>
      </c>
      <c r="G375" s="27">
        <f t="shared" si="6"/>
        <v>-1</v>
      </c>
      <c r="H375" s="28" t="str">
        <f>VLOOKUP(E375,'Cadastro Produtos (kiwkiw)'!C:E,3,0)</f>
        <v>Brinco Bubble Pequeno Banho Ouro</v>
      </c>
      <c r="AB375" s="33" t="s">
        <v>246</v>
      </c>
    </row>
    <row r="376" spans="2:28" ht="15" customHeight="1" x14ac:dyDescent="0.4">
      <c r="C376" s="34" t="s">
        <v>6</v>
      </c>
      <c r="D376" s="35">
        <v>45523</v>
      </c>
      <c r="E376" s="51" t="s">
        <v>100</v>
      </c>
      <c r="F376" s="33">
        <v>1</v>
      </c>
      <c r="G376" s="27">
        <f t="shared" si="6"/>
        <v>-1</v>
      </c>
      <c r="H376" s="28" t="str">
        <f>VLOOKUP(E376,'Cadastro Produtos (kiwkiw)'!C:E,3,0)</f>
        <v>Colar Esfera Pequeno Banho Ouro</v>
      </c>
      <c r="AB376" s="33" t="s">
        <v>246</v>
      </c>
    </row>
    <row r="377" spans="2:28" ht="15" customHeight="1" x14ac:dyDescent="0.4">
      <c r="C377" s="34" t="s">
        <v>6</v>
      </c>
      <c r="D377" s="35">
        <v>45523</v>
      </c>
      <c r="E377" s="51" t="s">
        <v>19</v>
      </c>
      <c r="F377" s="33">
        <v>1</v>
      </c>
      <c r="G377" s="27">
        <f t="shared" si="6"/>
        <v>-1</v>
      </c>
      <c r="H377" s="28" t="str">
        <f>VLOOKUP(E377,'Cadastro Produtos (kiwkiw)'!C:E,3,0)</f>
        <v>Anel Zig Ajustavel Banho Ouro</v>
      </c>
      <c r="AB377" s="33" t="s">
        <v>246</v>
      </c>
    </row>
    <row r="378" spans="2:28" ht="15" customHeight="1" x14ac:dyDescent="0.4">
      <c r="B378" s="43">
        <v>45524.411111111112</v>
      </c>
      <c r="C378" s="34" t="s">
        <v>6</v>
      </c>
      <c r="D378" s="35">
        <v>45524</v>
      </c>
      <c r="E378" s="51" t="s">
        <v>67</v>
      </c>
      <c r="F378" s="33">
        <v>1</v>
      </c>
      <c r="G378" s="27">
        <f t="shared" si="6"/>
        <v>-1</v>
      </c>
      <c r="H378" s="28" t="str">
        <f>VLOOKUP(E378,'Cadastro Produtos (kiwkiw)'!C:E,3,0)</f>
        <v>Brinco Tubinho Grande Banho Ouro</v>
      </c>
      <c r="AB378" s="33" t="s">
        <v>247</v>
      </c>
    </row>
    <row r="379" spans="2:28" ht="15" customHeight="1" x14ac:dyDescent="0.4">
      <c r="C379" s="34" t="s">
        <v>6</v>
      </c>
      <c r="D379" s="35">
        <v>45524</v>
      </c>
      <c r="E379" s="51" t="s">
        <v>123</v>
      </c>
      <c r="F379" s="33">
        <v>1</v>
      </c>
      <c r="G379" s="27">
        <f t="shared" si="6"/>
        <v>-1</v>
      </c>
      <c r="H379" s="28" t="str">
        <f>VLOOKUP(E379,'Cadastro Produtos (kiwkiw)'!C:E,3,0)</f>
        <v>Pulseira Dots Banho Ouro</v>
      </c>
      <c r="AB379" s="33" t="s">
        <v>248</v>
      </c>
    </row>
    <row r="380" spans="2:28" ht="15" customHeight="1" x14ac:dyDescent="0.4">
      <c r="C380" s="34" t="s">
        <v>6</v>
      </c>
      <c r="D380" s="35">
        <v>45524</v>
      </c>
      <c r="E380" s="51" t="s">
        <v>119</v>
      </c>
      <c r="F380" s="33">
        <v>1</v>
      </c>
      <c r="G380" s="27">
        <f t="shared" si="6"/>
        <v>-1</v>
      </c>
      <c r="H380" s="28" t="str">
        <f>VLOOKUP(E380,'Cadastro Produtos (kiwkiw)'!C:E,3,0)</f>
        <v>Bracelete Line Banho Ouro</v>
      </c>
      <c r="AB380" s="33" t="s">
        <v>248</v>
      </c>
    </row>
    <row r="381" spans="2:28" ht="15" customHeight="1" x14ac:dyDescent="0.4">
      <c r="C381" s="34" t="s">
        <v>6</v>
      </c>
      <c r="D381" s="35">
        <v>45524</v>
      </c>
      <c r="E381" s="51" t="s">
        <v>127</v>
      </c>
      <c r="F381" s="33">
        <v>1</v>
      </c>
      <c r="G381" s="27">
        <f t="shared" si="6"/>
        <v>-1</v>
      </c>
      <c r="H381" s="28" t="str">
        <f>VLOOKUP(E381,'Cadastro Produtos (kiwkiw)'!C:E,3,0)</f>
        <v>Pulseira Minimal Banho Ouro</v>
      </c>
      <c r="AB381" s="33" t="s">
        <v>248</v>
      </c>
    </row>
    <row r="382" spans="2:28" ht="15" customHeight="1" x14ac:dyDescent="0.4">
      <c r="C382" s="34" t="s">
        <v>6</v>
      </c>
      <c r="D382" s="35">
        <v>45524</v>
      </c>
      <c r="E382" s="51" t="s">
        <v>127</v>
      </c>
      <c r="F382" s="33">
        <v>1</v>
      </c>
      <c r="G382" s="27">
        <f t="shared" si="6"/>
        <v>-1</v>
      </c>
      <c r="H382" s="28" t="str">
        <f>VLOOKUP(E382,'Cadastro Produtos (kiwkiw)'!C:E,3,0)</f>
        <v>Pulseira Minimal Banho Ouro</v>
      </c>
      <c r="AB382" s="33" t="s">
        <v>249</v>
      </c>
    </row>
    <row r="383" spans="2:28" ht="15" customHeight="1" x14ac:dyDescent="0.4">
      <c r="C383" s="34" t="s">
        <v>6</v>
      </c>
      <c r="D383" s="35">
        <v>45524</v>
      </c>
      <c r="E383" s="51" t="s">
        <v>12</v>
      </c>
      <c r="F383" s="33">
        <v>1</v>
      </c>
      <c r="G383" s="27">
        <f t="shared" si="6"/>
        <v>-1</v>
      </c>
      <c r="H383" s="28" t="str">
        <f>VLOOKUP(E383,'Cadastro Produtos (kiwkiw)'!C:E,3,0)</f>
        <v>Anel Duplo Banho Ouro</v>
      </c>
      <c r="AB383" s="33" t="s">
        <v>248</v>
      </c>
    </row>
    <row r="384" spans="2:28" ht="15" customHeight="1" x14ac:dyDescent="0.4">
      <c r="C384" s="34" t="s">
        <v>6</v>
      </c>
      <c r="D384" s="35">
        <v>45524</v>
      </c>
      <c r="E384" s="51" t="s">
        <v>40</v>
      </c>
      <c r="F384" s="33">
        <v>1</v>
      </c>
      <c r="G384" s="27">
        <f t="shared" si="6"/>
        <v>-1</v>
      </c>
      <c r="H384" s="28" t="str">
        <f>VLOOKUP(E384,'Cadastro Produtos (kiwkiw)'!C:E,3,0)</f>
        <v>Argolinha Folha Banho Ouro</v>
      </c>
      <c r="AB384" s="33" t="s">
        <v>248</v>
      </c>
    </row>
    <row r="385" spans="3:28" ht="15" customHeight="1" x14ac:dyDescent="0.4">
      <c r="C385" s="34" t="s">
        <v>6</v>
      </c>
      <c r="D385" s="35">
        <v>45524</v>
      </c>
      <c r="E385" s="51" t="s">
        <v>25</v>
      </c>
      <c r="F385" s="33">
        <v>1</v>
      </c>
      <c r="G385" s="27">
        <f t="shared" si="6"/>
        <v>-1</v>
      </c>
      <c r="H385" s="28" t="str">
        <f>VLOOKUP(E385,'Cadastro Produtos (kiwkiw)'!C:E,3,0)</f>
        <v>Argola Amy Banho Ouro</v>
      </c>
      <c r="AB385" s="33" t="s">
        <v>248</v>
      </c>
    </row>
    <row r="386" spans="3:28" ht="15" customHeight="1" x14ac:dyDescent="0.4">
      <c r="C386" s="34" t="s">
        <v>6</v>
      </c>
      <c r="D386" s="35">
        <v>45524</v>
      </c>
      <c r="E386" s="51" t="s">
        <v>105</v>
      </c>
      <c r="F386" s="33">
        <v>1</v>
      </c>
      <c r="G386" s="27">
        <f t="shared" si="6"/>
        <v>-1</v>
      </c>
      <c r="H386" s="28" t="str">
        <f>VLOOKUP(E386,'Cadastro Produtos (kiwkiw)'!C:E,3,0)</f>
        <v>Colar Rosa Banho Ouro</v>
      </c>
      <c r="AB386" s="33" t="s">
        <v>250</v>
      </c>
    </row>
    <row r="387" spans="3:28" ht="15" customHeight="1" x14ac:dyDescent="0.4">
      <c r="C387" s="34" t="s">
        <v>6</v>
      </c>
      <c r="D387" s="35">
        <v>45524</v>
      </c>
      <c r="E387" s="51" t="s">
        <v>94</v>
      </c>
      <c r="F387" s="33">
        <v>1</v>
      </c>
      <c r="G387" s="27">
        <f t="shared" si="6"/>
        <v>-1</v>
      </c>
      <c r="H387" s="28" t="str">
        <f>VLOOKUP(E387,'Cadastro Produtos (kiwkiw)'!C:E,3,0)</f>
        <v>Colar Duplo Dots Banho Ouro</v>
      </c>
      <c r="AB387" s="33" t="s">
        <v>251</v>
      </c>
    </row>
    <row r="388" spans="3:28" ht="15" customHeight="1" x14ac:dyDescent="0.4">
      <c r="C388" s="34" t="s">
        <v>6</v>
      </c>
      <c r="D388" s="35">
        <v>45524</v>
      </c>
      <c r="E388" s="51" t="s">
        <v>112</v>
      </c>
      <c r="F388" s="33">
        <v>1</v>
      </c>
      <c r="G388" s="27">
        <f t="shared" si="6"/>
        <v>-1</v>
      </c>
      <c r="H388" s="28" t="str">
        <f>VLOOKUP(E388,'Cadastro Produtos (kiwkiw)'!C:E,3,0)</f>
        <v>Gargantilha Escama Banho Ouro</v>
      </c>
      <c r="AB388" s="33" t="s">
        <v>251</v>
      </c>
    </row>
    <row r="389" spans="3:28" ht="15" customHeight="1" x14ac:dyDescent="0.4">
      <c r="C389" s="34" t="s">
        <v>6</v>
      </c>
      <c r="D389" s="35">
        <v>45524</v>
      </c>
      <c r="E389" s="51" t="s">
        <v>100</v>
      </c>
      <c r="F389" s="33">
        <v>1</v>
      </c>
      <c r="G389" s="27">
        <f t="shared" si="6"/>
        <v>-1</v>
      </c>
      <c r="H389" s="28" t="str">
        <f>VLOOKUP(E389,'Cadastro Produtos (kiwkiw)'!C:E,3,0)</f>
        <v>Colar Esfera Pequeno Banho Ouro</v>
      </c>
      <c r="AB389" s="33" t="s">
        <v>252</v>
      </c>
    </row>
    <row r="390" spans="3:28" ht="15" customHeight="1" x14ac:dyDescent="0.4">
      <c r="C390" s="34" t="s">
        <v>6</v>
      </c>
      <c r="D390" s="35">
        <v>45524</v>
      </c>
      <c r="E390" s="51" t="s">
        <v>72</v>
      </c>
      <c r="F390" s="33">
        <v>1</v>
      </c>
      <c r="G390" s="27">
        <f t="shared" si="6"/>
        <v>-1</v>
      </c>
      <c r="H390" s="28" t="str">
        <f>VLOOKUP(E390,'Cadastro Produtos (kiwkiw)'!C:E,3,0)</f>
        <v>Ear Hook Line Banho Ouro</v>
      </c>
      <c r="AB390" s="33" t="s">
        <v>252</v>
      </c>
    </row>
    <row r="391" spans="3:28" ht="15" customHeight="1" x14ac:dyDescent="0.4">
      <c r="C391" s="34" t="s">
        <v>6</v>
      </c>
      <c r="D391" s="35">
        <v>45524</v>
      </c>
      <c r="E391" s="51" t="s">
        <v>34</v>
      </c>
      <c r="F391" s="33">
        <v>1</v>
      </c>
      <c r="G391" s="27">
        <f t="shared" si="6"/>
        <v>-1</v>
      </c>
      <c r="H391" s="28" t="str">
        <f>VLOOKUP(E391,'Cadastro Produtos (kiwkiw)'!C:E,3,0)</f>
        <v>Argola Tripla Banho Ouro</v>
      </c>
      <c r="AB391" s="33" t="s">
        <v>253</v>
      </c>
    </row>
    <row r="392" spans="3:28" ht="15" customHeight="1" x14ac:dyDescent="0.4">
      <c r="C392" s="34" t="s">
        <v>6</v>
      </c>
      <c r="D392" s="35">
        <v>45524</v>
      </c>
      <c r="E392" s="51" t="s">
        <v>38</v>
      </c>
      <c r="F392" s="33">
        <v>1</v>
      </c>
      <c r="G392" s="27">
        <f t="shared" si="6"/>
        <v>-1</v>
      </c>
      <c r="H392" s="28" t="str">
        <f>VLOOKUP(E392,'Cadastro Produtos (kiwkiw)'!C:E,3,0)</f>
        <v>Argolinha Click Dots Banho Ouro</v>
      </c>
      <c r="AB392" s="33" t="s">
        <v>253</v>
      </c>
    </row>
    <row r="393" spans="3:28" ht="15" customHeight="1" x14ac:dyDescent="0.4">
      <c r="C393" s="34" t="s">
        <v>6</v>
      </c>
      <c r="D393" s="35">
        <v>45524</v>
      </c>
      <c r="E393" s="51" t="s">
        <v>31</v>
      </c>
      <c r="F393" s="33">
        <v>1</v>
      </c>
      <c r="G393" s="27">
        <f t="shared" si="6"/>
        <v>-1</v>
      </c>
      <c r="H393" s="28" t="str">
        <f>VLOOKUP(E393,'Cadastro Produtos (kiwkiw)'!C:E,3,0)</f>
        <v>Argola Reta Basic Banho Ouro</v>
      </c>
      <c r="AB393" s="33" t="s">
        <v>253</v>
      </c>
    </row>
    <row r="394" spans="3:28" ht="15" customHeight="1" x14ac:dyDescent="0.4">
      <c r="C394" s="34" t="s">
        <v>6</v>
      </c>
      <c r="D394" s="35">
        <v>45524</v>
      </c>
      <c r="E394" s="51" t="s">
        <v>87</v>
      </c>
      <c r="F394" s="33">
        <v>1</v>
      </c>
      <c r="G394" s="27">
        <f t="shared" si="6"/>
        <v>-1</v>
      </c>
      <c r="H394" s="28" t="str">
        <f>VLOOKUP(E394,'Cadastro Produtos (kiwkiw)'!C:E,3,0)</f>
        <v>Piercing Fake Classy Banho Ouro</v>
      </c>
      <c r="AB394" s="33" t="s">
        <v>253</v>
      </c>
    </row>
    <row r="395" spans="3:28" ht="15" customHeight="1" x14ac:dyDescent="0.4">
      <c r="C395" s="34" t="s">
        <v>6</v>
      </c>
      <c r="D395" s="35">
        <v>45524</v>
      </c>
      <c r="E395" s="51" t="s">
        <v>28</v>
      </c>
      <c r="F395" s="33">
        <v>1</v>
      </c>
      <c r="G395" s="27">
        <f t="shared" si="6"/>
        <v>-1</v>
      </c>
      <c r="H395" s="28" t="str">
        <f>VLOOKUP(E395,'Cadastro Produtos (kiwkiw)'!C:E,3,0)</f>
        <v>Argola Click Pequena Banho Ouro</v>
      </c>
      <c r="AB395" s="33" t="s">
        <v>254</v>
      </c>
    </row>
    <row r="396" spans="3:28" ht="15" customHeight="1" x14ac:dyDescent="0.4">
      <c r="C396" s="34" t="s">
        <v>6</v>
      </c>
      <c r="D396" s="35">
        <v>45524</v>
      </c>
      <c r="E396" s="51" t="s">
        <v>89</v>
      </c>
      <c r="F396" s="33">
        <v>1</v>
      </c>
      <c r="G396" s="27">
        <f t="shared" si="6"/>
        <v>-1</v>
      </c>
      <c r="H396" s="28" t="str">
        <f>VLOOKUP(E396,'Cadastro Produtos (kiwkiw)'!C:E,3,0)</f>
        <v>Colar Dot Banho Ouro</v>
      </c>
      <c r="AB396" s="33" t="s">
        <v>254</v>
      </c>
    </row>
    <row r="397" spans="3:28" ht="15" customHeight="1" x14ac:dyDescent="0.4">
      <c r="C397" s="34" t="s">
        <v>6</v>
      </c>
      <c r="D397" s="35">
        <v>45524</v>
      </c>
      <c r="E397" s="51" t="s">
        <v>89</v>
      </c>
      <c r="F397" s="33">
        <v>1</v>
      </c>
      <c r="G397" s="27">
        <f t="shared" si="6"/>
        <v>-1</v>
      </c>
      <c r="H397" s="28" t="str">
        <f>VLOOKUP(E397,'Cadastro Produtos (kiwkiw)'!C:E,3,0)</f>
        <v>Colar Dot Banho Ouro</v>
      </c>
      <c r="AB397" s="33" t="s">
        <v>249</v>
      </c>
    </row>
    <row r="398" spans="3:28" ht="15" customHeight="1" x14ac:dyDescent="0.4">
      <c r="C398" s="34" t="s">
        <v>6</v>
      </c>
      <c r="D398" s="35">
        <v>45524</v>
      </c>
      <c r="E398" s="51" t="s">
        <v>27</v>
      </c>
      <c r="F398" s="33">
        <v>1</v>
      </c>
      <c r="G398" s="27">
        <f t="shared" si="6"/>
        <v>-1</v>
      </c>
      <c r="H398" s="28" t="str">
        <f>VLOOKUP(E398,'Cadastro Produtos (kiwkiw)'!C:E,3,0)</f>
        <v>Argola Click Media Banho Ouro</v>
      </c>
      <c r="AB398" s="33" t="s">
        <v>254</v>
      </c>
    </row>
    <row r="399" spans="3:28" ht="15" customHeight="1" x14ac:dyDescent="0.4">
      <c r="C399" s="34" t="s">
        <v>6</v>
      </c>
      <c r="D399" s="35">
        <v>45524</v>
      </c>
      <c r="E399" s="51" t="s">
        <v>86</v>
      </c>
      <c r="F399" s="33">
        <v>1</v>
      </c>
      <c r="G399" s="27">
        <f t="shared" si="6"/>
        <v>-1</v>
      </c>
      <c r="H399" s="28" t="str">
        <f>VLOOKUP(E399,'Cadastro Produtos (kiwkiw)'!C:E,3,0)</f>
        <v>Piercing Fake Minimal Banho Ouro</v>
      </c>
      <c r="AB399" s="33" t="s">
        <v>249</v>
      </c>
    </row>
    <row r="400" spans="3:28" ht="15" customHeight="1" x14ac:dyDescent="0.4">
      <c r="C400" s="34" t="s">
        <v>6</v>
      </c>
      <c r="D400" s="35">
        <v>45524</v>
      </c>
      <c r="E400" s="51" t="s">
        <v>90</v>
      </c>
      <c r="F400" s="33">
        <v>1</v>
      </c>
      <c r="G400" s="27">
        <f t="shared" ref="G400:G463" si="7">IF(C400="Entrada",F400,-F400)</f>
        <v>-1</v>
      </c>
      <c r="H400" s="28" t="str">
        <f>VLOOKUP(E400,'Cadastro Produtos (kiwkiw)'!C:E,3,0)</f>
        <v>Colar Dot Prateado</v>
      </c>
      <c r="AB400" s="33" t="s">
        <v>255</v>
      </c>
    </row>
    <row r="401" spans="2:28" ht="15" customHeight="1" x14ac:dyDescent="0.4">
      <c r="C401" s="34" t="s">
        <v>6</v>
      </c>
      <c r="D401" s="35">
        <v>45524</v>
      </c>
      <c r="E401" s="51" t="s">
        <v>93</v>
      </c>
      <c r="F401" s="33">
        <v>1</v>
      </c>
      <c r="G401" s="27">
        <f t="shared" si="7"/>
        <v>-1</v>
      </c>
      <c r="H401" s="28" t="str">
        <f>VLOOKUP(E401,'Cadastro Produtos (kiwkiw)'!C:E,3,0)</f>
        <v>Colar Coracao Prateado</v>
      </c>
      <c r="AB401" s="33" t="s">
        <v>255</v>
      </c>
    </row>
    <row r="402" spans="2:28" ht="15" customHeight="1" x14ac:dyDescent="0.4">
      <c r="C402" s="34" t="s">
        <v>6</v>
      </c>
      <c r="D402" s="35">
        <v>45524</v>
      </c>
      <c r="E402" s="51" t="s">
        <v>95</v>
      </c>
      <c r="F402" s="33">
        <v>1</v>
      </c>
      <c r="G402" s="27">
        <f t="shared" si="7"/>
        <v>-1</v>
      </c>
      <c r="H402" s="28" t="str">
        <f>VLOOKUP(E402,'Cadastro Produtos (kiwkiw)'!C:E,3,0)</f>
        <v>Colar Duplo Dots Prateado</v>
      </c>
      <c r="AB402" s="33" t="s">
        <v>255</v>
      </c>
    </row>
    <row r="403" spans="2:28" ht="15" customHeight="1" x14ac:dyDescent="0.4">
      <c r="C403" s="34" t="s">
        <v>6</v>
      </c>
      <c r="D403" s="35">
        <v>45524</v>
      </c>
      <c r="E403" s="51" t="s">
        <v>36</v>
      </c>
      <c r="F403" s="33">
        <v>1</v>
      </c>
      <c r="G403" s="27">
        <f t="shared" si="7"/>
        <v>-1</v>
      </c>
      <c r="H403" s="28" t="str">
        <f>VLOOKUP(E403,'Cadastro Produtos (kiwkiw)'!C:E,3,0)</f>
        <v>Argola Classy Prateada</v>
      </c>
      <c r="AB403" s="33" t="s">
        <v>255</v>
      </c>
    </row>
    <row r="404" spans="2:28" ht="15" customHeight="1" x14ac:dyDescent="0.4">
      <c r="B404" s="43"/>
      <c r="C404" s="34" t="s">
        <v>6</v>
      </c>
      <c r="D404" s="35">
        <v>45524</v>
      </c>
      <c r="E404" s="51" t="s">
        <v>55</v>
      </c>
      <c r="F404" s="33">
        <v>1</v>
      </c>
      <c r="G404" s="27">
        <f t="shared" si="7"/>
        <v>-1</v>
      </c>
      <c r="H404" s="28" t="str">
        <f>VLOOKUP(E404,'Cadastro Produtos (kiwkiw)'!C:E,3,0)</f>
        <v>Brinco Ivy Prateado</v>
      </c>
      <c r="AB404" s="33" t="s">
        <v>255</v>
      </c>
    </row>
    <row r="405" spans="2:28" ht="15" customHeight="1" x14ac:dyDescent="0.4">
      <c r="C405" s="34" t="s">
        <v>6</v>
      </c>
      <c r="D405" s="35">
        <v>45524</v>
      </c>
      <c r="E405" s="51" t="s">
        <v>115</v>
      </c>
      <c r="F405" s="33">
        <v>1</v>
      </c>
      <c r="G405" s="27">
        <f t="shared" si="7"/>
        <v>-1</v>
      </c>
      <c r="H405" s="28" t="str">
        <f>VLOOKUP(E405,'Cadastro Produtos (kiwkiw)'!C:E,3,0)</f>
        <v>Gargantilha Fita Prateada</v>
      </c>
      <c r="AB405" s="33" t="s">
        <v>255</v>
      </c>
    </row>
    <row r="406" spans="2:28" ht="15" customHeight="1" x14ac:dyDescent="0.4">
      <c r="B406" s="43">
        <v>45525.430648148147</v>
      </c>
      <c r="C406" s="34" t="s">
        <v>6</v>
      </c>
      <c r="D406" s="35">
        <v>45525</v>
      </c>
      <c r="E406" s="51" t="s">
        <v>71</v>
      </c>
      <c r="F406" s="33">
        <v>1</v>
      </c>
      <c r="G406" s="27">
        <f t="shared" si="7"/>
        <v>-1</v>
      </c>
      <c r="H406" s="28" t="str">
        <f>VLOOKUP(E406,'Cadastro Produtos (kiwkiw)'!C:E,3,0)</f>
        <v>Ear Cuff Minimal Banho Ouro</v>
      </c>
      <c r="AB406" s="33" t="s">
        <v>256</v>
      </c>
    </row>
    <row r="407" spans="2:28" ht="15" customHeight="1" x14ac:dyDescent="0.4">
      <c r="B407" s="43"/>
      <c r="C407" s="34" t="s">
        <v>6</v>
      </c>
      <c r="D407" s="35">
        <v>45525</v>
      </c>
      <c r="E407" s="51" t="s">
        <v>112</v>
      </c>
      <c r="F407" s="33">
        <v>1</v>
      </c>
      <c r="G407" s="27">
        <f t="shared" si="7"/>
        <v>-1</v>
      </c>
      <c r="H407" s="28" t="str">
        <f>VLOOKUP(E407,'Cadastro Produtos (kiwkiw)'!C:E,3,0)</f>
        <v>Gargantilha Escama Banho Ouro</v>
      </c>
      <c r="AB407" s="33" t="s">
        <v>257</v>
      </c>
    </row>
    <row r="408" spans="2:28" ht="15" customHeight="1" x14ac:dyDescent="0.4">
      <c r="C408" s="34" t="s">
        <v>6</v>
      </c>
      <c r="D408" s="35">
        <v>45525</v>
      </c>
      <c r="E408" s="51" t="s">
        <v>117</v>
      </c>
      <c r="F408" s="33">
        <v>1</v>
      </c>
      <c r="G408" s="27">
        <f t="shared" si="7"/>
        <v>-1</v>
      </c>
      <c r="H408" s="28" t="str">
        <f>VLOOKUP(E408,'Cadastro Produtos (kiwkiw)'!C:E,3,0)</f>
        <v>Gargantilha Minimal Banho Ouro</v>
      </c>
      <c r="AB408" s="33" t="s">
        <v>258</v>
      </c>
    </row>
    <row r="409" spans="2:28" ht="15" customHeight="1" x14ac:dyDescent="0.4">
      <c r="C409" s="34" t="s">
        <v>6</v>
      </c>
      <c r="D409" s="35">
        <v>45525</v>
      </c>
      <c r="E409" s="51" t="s">
        <v>114</v>
      </c>
      <c r="F409" s="33">
        <v>1</v>
      </c>
      <c r="G409" s="27">
        <f t="shared" si="7"/>
        <v>-1</v>
      </c>
      <c r="H409" s="28" t="str">
        <f>VLOOKUP(E409,'Cadastro Produtos (kiwkiw)'!C:E,3,0)</f>
        <v>Gargantilha Fita Banho Ouro</v>
      </c>
      <c r="AB409" s="33" t="s">
        <v>259</v>
      </c>
    </row>
    <row r="410" spans="2:28" ht="15" customHeight="1" x14ac:dyDescent="0.4">
      <c r="B410" s="43"/>
      <c r="C410" s="34" t="s">
        <v>6</v>
      </c>
      <c r="D410" s="35">
        <v>45525</v>
      </c>
      <c r="E410" s="51" t="s">
        <v>12</v>
      </c>
      <c r="F410" s="33">
        <v>1</v>
      </c>
      <c r="G410" s="27">
        <f t="shared" si="7"/>
        <v>-1</v>
      </c>
      <c r="H410" s="28" t="str">
        <f>VLOOKUP(E410,'Cadastro Produtos (kiwkiw)'!C:E,3,0)</f>
        <v>Anel Duplo Banho Ouro</v>
      </c>
      <c r="AB410" s="33" t="s">
        <v>259</v>
      </c>
    </row>
    <row r="411" spans="2:28" ht="15" customHeight="1" x14ac:dyDescent="0.4">
      <c r="C411" s="34" t="s">
        <v>5</v>
      </c>
      <c r="D411" s="35">
        <v>45525</v>
      </c>
      <c r="E411" s="51" t="s">
        <v>74</v>
      </c>
      <c r="F411" s="33">
        <v>1</v>
      </c>
      <c r="G411" s="27">
        <f t="shared" si="7"/>
        <v>1</v>
      </c>
      <c r="H411" s="28" t="str">
        <f>VLOOKUP(E411,'Cadastro Produtos (kiwkiw)'!C:E,3,0)</f>
        <v>Ear Hook Hug Banho Ouro</v>
      </c>
      <c r="I411" s="32" t="s">
        <v>260</v>
      </c>
    </row>
    <row r="412" spans="2:28" ht="15" customHeight="1" x14ac:dyDescent="0.4">
      <c r="C412" s="34" t="s">
        <v>5</v>
      </c>
      <c r="D412" s="35">
        <v>45525</v>
      </c>
      <c r="E412" s="51" t="s">
        <v>95</v>
      </c>
      <c r="F412" s="33">
        <v>1</v>
      </c>
      <c r="G412" s="27">
        <f t="shared" si="7"/>
        <v>1</v>
      </c>
      <c r="H412" s="28" t="str">
        <f>VLOOKUP(E412,'Cadastro Produtos (kiwkiw)'!C:E,3,0)</f>
        <v>Colar Duplo Dots Prateado</v>
      </c>
      <c r="I412" s="32" t="s">
        <v>260</v>
      </c>
    </row>
    <row r="413" spans="2:28" ht="15" customHeight="1" x14ac:dyDescent="0.4">
      <c r="C413" s="34" t="s">
        <v>5</v>
      </c>
      <c r="D413" s="35">
        <v>45525</v>
      </c>
      <c r="E413" s="51" t="s">
        <v>105</v>
      </c>
      <c r="F413" s="33">
        <v>1</v>
      </c>
      <c r="G413" s="27">
        <f t="shared" si="7"/>
        <v>1</v>
      </c>
      <c r="H413" s="28" t="str">
        <f>VLOOKUP(E413,'Cadastro Produtos (kiwkiw)'!C:E,3,0)</f>
        <v>Colar Rosa Banho Ouro</v>
      </c>
      <c r="I413" s="32" t="s">
        <v>260</v>
      </c>
    </row>
    <row r="414" spans="2:28" ht="15" customHeight="1" x14ac:dyDescent="0.4">
      <c r="C414" s="34" t="s">
        <v>5</v>
      </c>
      <c r="D414" s="35">
        <v>45525</v>
      </c>
      <c r="E414" s="51" t="s">
        <v>116</v>
      </c>
      <c r="F414" s="33">
        <v>1</v>
      </c>
      <c r="G414" s="27">
        <f t="shared" si="7"/>
        <v>1</v>
      </c>
      <c r="H414" s="28" t="str">
        <f>VLOOKUP(E414,'Cadastro Produtos (kiwkiw)'!C:E,3,0)</f>
        <v>Gargantilha Dots Banho Ouro</v>
      </c>
      <c r="I414" s="32" t="s">
        <v>260</v>
      </c>
    </row>
    <row r="415" spans="2:28" ht="15" customHeight="1" x14ac:dyDescent="0.4">
      <c r="B415" s="43"/>
      <c r="C415" s="34" t="s">
        <v>5</v>
      </c>
      <c r="D415" s="35">
        <v>45525</v>
      </c>
      <c r="E415" s="51" t="s">
        <v>113</v>
      </c>
      <c r="F415" s="33">
        <v>1</v>
      </c>
      <c r="G415" s="27">
        <f t="shared" si="7"/>
        <v>1</v>
      </c>
      <c r="H415" s="28" t="str">
        <f>VLOOKUP(E415,'Cadastro Produtos (kiwkiw)'!C:E,3,0)</f>
        <v>Gargantilha Escama Prateada</v>
      </c>
      <c r="I415" s="32" t="s">
        <v>260</v>
      </c>
    </row>
    <row r="416" spans="2:28" ht="15" customHeight="1" x14ac:dyDescent="0.4">
      <c r="C416" s="34" t="s">
        <v>5</v>
      </c>
      <c r="D416" s="35">
        <v>45525</v>
      </c>
      <c r="E416" s="51" t="s">
        <v>117</v>
      </c>
      <c r="F416" s="33">
        <v>1</v>
      </c>
      <c r="G416" s="27">
        <f t="shared" si="7"/>
        <v>1</v>
      </c>
      <c r="H416" s="28" t="str">
        <f>VLOOKUP(E416,'Cadastro Produtos (kiwkiw)'!C:E,3,0)</f>
        <v>Gargantilha Minimal Banho Ouro</v>
      </c>
      <c r="I416" s="32" t="s">
        <v>260</v>
      </c>
    </row>
    <row r="417" spans="2:9" ht="15" customHeight="1" x14ac:dyDescent="0.4">
      <c r="C417" s="34" t="s">
        <v>5</v>
      </c>
      <c r="D417" s="35">
        <v>45525</v>
      </c>
      <c r="E417" s="51" t="s">
        <v>85</v>
      </c>
      <c r="F417" s="33">
        <v>1</v>
      </c>
      <c r="G417" s="27">
        <f t="shared" si="7"/>
        <v>1</v>
      </c>
      <c r="H417" s="28" t="str">
        <f>VLOOKUP(E417,'Cadastro Produtos (kiwkiw)'!C:E,3,0)</f>
        <v>Piercing Fake Dots Banho Ouro</v>
      </c>
      <c r="I417" s="32" t="s">
        <v>260</v>
      </c>
    </row>
    <row r="418" spans="2:9" ht="15" customHeight="1" x14ac:dyDescent="0.4">
      <c r="C418" s="34" t="s">
        <v>5</v>
      </c>
      <c r="D418" s="35">
        <v>45525</v>
      </c>
      <c r="E418" s="51" t="s">
        <v>76</v>
      </c>
      <c r="F418" s="33">
        <v>1</v>
      </c>
      <c r="G418" s="27">
        <f t="shared" si="7"/>
        <v>1</v>
      </c>
      <c r="H418" s="28" t="str">
        <f>VLOOKUP(E418,'Cadastro Produtos (kiwkiw)'!C:E,3,0)</f>
        <v>EarHook Dots Banho Ouro</v>
      </c>
      <c r="I418" s="32" t="s">
        <v>260</v>
      </c>
    </row>
    <row r="419" spans="2:9" ht="15" customHeight="1" x14ac:dyDescent="0.4">
      <c r="C419" s="34" t="s">
        <v>5</v>
      </c>
      <c r="D419" s="35">
        <v>45525</v>
      </c>
      <c r="E419" s="51" t="s">
        <v>129</v>
      </c>
      <c r="F419" s="33">
        <v>1</v>
      </c>
      <c r="G419" s="27">
        <f t="shared" si="7"/>
        <v>1</v>
      </c>
      <c r="H419" s="28" t="str">
        <f>VLOOKUP(E419,'Cadastro Produtos (kiwkiw)'!C:E,3,0)</f>
        <v>Pulseira Snake Banho Ouro</v>
      </c>
      <c r="I419" s="32" t="s">
        <v>260</v>
      </c>
    </row>
    <row r="420" spans="2:9" ht="15" customHeight="1" x14ac:dyDescent="0.4">
      <c r="B420" s="43"/>
      <c r="C420" s="34" t="s">
        <v>5</v>
      </c>
      <c r="D420" s="35">
        <v>45525</v>
      </c>
      <c r="E420" s="51" t="s">
        <v>42</v>
      </c>
      <c r="F420" s="33">
        <v>1</v>
      </c>
      <c r="G420" s="27">
        <f t="shared" si="7"/>
        <v>1</v>
      </c>
      <c r="H420" s="28" t="str">
        <f>VLOOKUP(E420,'Cadastro Produtos (kiwkiw)'!C:E,3,0)</f>
        <v>Brinco Arco Banho Ouro</v>
      </c>
      <c r="I420" s="32" t="s">
        <v>260</v>
      </c>
    </row>
    <row r="421" spans="2:9" ht="15" customHeight="1" x14ac:dyDescent="0.4">
      <c r="C421" s="34" t="s">
        <v>5</v>
      </c>
      <c r="D421" s="35">
        <v>45525</v>
      </c>
      <c r="E421" s="51" t="s">
        <v>61</v>
      </c>
      <c r="F421" s="33">
        <v>1</v>
      </c>
      <c r="G421" s="27">
        <f t="shared" si="7"/>
        <v>1</v>
      </c>
      <c r="H421" s="28" t="str">
        <f>VLOOKUP(E421,'Cadastro Produtos (kiwkiw)'!C:E,3,0)</f>
        <v>Brinco Setas Banho Ouro</v>
      </c>
      <c r="I421" s="32" t="s">
        <v>260</v>
      </c>
    </row>
    <row r="422" spans="2:9" ht="15" customHeight="1" x14ac:dyDescent="0.4">
      <c r="C422" s="34" t="s">
        <v>5</v>
      </c>
      <c r="D422" s="35">
        <v>45525</v>
      </c>
      <c r="E422" s="51" t="s">
        <v>124</v>
      </c>
      <c r="F422" s="33">
        <v>1</v>
      </c>
      <c r="G422" s="27">
        <f t="shared" si="7"/>
        <v>1</v>
      </c>
      <c r="H422" s="28" t="str">
        <f>VLOOKUP(E422,'Cadastro Produtos (kiwkiw)'!C:E,3,0)</f>
        <v>Pulseira Fita Textura Banho Ouro</v>
      </c>
      <c r="I422" s="32" t="s">
        <v>260</v>
      </c>
    </row>
    <row r="423" spans="2:9" ht="15" customHeight="1" x14ac:dyDescent="0.4">
      <c r="C423" s="34" t="s">
        <v>5</v>
      </c>
      <c r="D423" s="35">
        <v>45525</v>
      </c>
      <c r="E423" s="51" t="s">
        <v>121</v>
      </c>
      <c r="F423" s="33">
        <v>1</v>
      </c>
      <c r="G423" s="27">
        <f t="shared" si="7"/>
        <v>1</v>
      </c>
      <c r="H423" s="28" t="str">
        <f>VLOOKUP(E423,'Cadastro Produtos (kiwkiw)'!C:E,3,0)</f>
        <v>Bracelete Wave Banho Ouro</v>
      </c>
      <c r="I423" s="32" t="s">
        <v>260</v>
      </c>
    </row>
    <row r="424" spans="2:9" ht="15" customHeight="1" x14ac:dyDescent="0.4">
      <c r="C424" s="34" t="s">
        <v>5</v>
      </c>
      <c r="D424" s="35">
        <v>45525</v>
      </c>
      <c r="E424" s="51" t="s">
        <v>107</v>
      </c>
      <c r="F424" s="33">
        <v>1</v>
      </c>
      <c r="G424" s="27">
        <f t="shared" si="7"/>
        <v>1</v>
      </c>
      <c r="H424" s="28" t="str">
        <f>VLOOKUP(E424,'Cadastro Produtos (kiwkiw)'!C:E,3,0)</f>
        <v>Colar Tina Banho Ouro</v>
      </c>
      <c r="I424" s="32" t="s">
        <v>260</v>
      </c>
    </row>
    <row r="425" spans="2:9" ht="15" customHeight="1" x14ac:dyDescent="0.4">
      <c r="C425" s="34" t="s">
        <v>5</v>
      </c>
      <c r="D425" s="35">
        <v>45525</v>
      </c>
      <c r="E425" s="51" t="s">
        <v>118</v>
      </c>
      <c r="F425" s="33">
        <v>1</v>
      </c>
      <c r="G425" s="27">
        <f t="shared" si="7"/>
        <v>1</v>
      </c>
      <c r="H425" s="28" t="str">
        <f>VLOOKUP(E425,'Cadastro Produtos (kiwkiw)'!C:E,3,0)</f>
        <v>Gargantilha Minimal Prateada</v>
      </c>
      <c r="I425" s="32" t="s">
        <v>260</v>
      </c>
    </row>
    <row r="426" spans="2:9" ht="15" customHeight="1" x14ac:dyDescent="0.4">
      <c r="C426" s="34" t="s">
        <v>5</v>
      </c>
      <c r="D426" s="35">
        <v>45525</v>
      </c>
      <c r="E426" s="51" t="s">
        <v>27</v>
      </c>
      <c r="F426" s="33">
        <v>1</v>
      </c>
      <c r="G426" s="27">
        <f t="shared" si="7"/>
        <v>1</v>
      </c>
      <c r="H426" s="28" t="str">
        <f>VLOOKUP(E426,'Cadastro Produtos (kiwkiw)'!C:E,3,0)</f>
        <v>Argola Click Media Banho Ouro</v>
      </c>
      <c r="I426" s="32" t="s">
        <v>260</v>
      </c>
    </row>
    <row r="427" spans="2:9" ht="15" customHeight="1" x14ac:dyDescent="0.4">
      <c r="C427" s="34" t="s">
        <v>5</v>
      </c>
      <c r="D427" s="35">
        <v>45525</v>
      </c>
      <c r="E427" s="51" t="s">
        <v>91</v>
      </c>
      <c r="F427" s="33">
        <v>1</v>
      </c>
      <c r="G427" s="27">
        <f t="shared" si="7"/>
        <v>1</v>
      </c>
      <c r="H427" s="28" t="str">
        <f>VLOOKUP(E427,'Cadastro Produtos (kiwkiw)'!C:E,3,0)</f>
        <v>Colar Rosa dos Ventos Banho Ouro</v>
      </c>
      <c r="I427" s="32" t="s">
        <v>260</v>
      </c>
    </row>
    <row r="428" spans="2:9" ht="15" customHeight="1" x14ac:dyDescent="0.4">
      <c r="C428" s="34" t="s">
        <v>5</v>
      </c>
      <c r="D428" s="35">
        <v>45525</v>
      </c>
      <c r="E428" s="51" t="s">
        <v>65</v>
      </c>
      <c r="F428" s="33">
        <v>1</v>
      </c>
      <c r="G428" s="27">
        <f t="shared" si="7"/>
        <v>1</v>
      </c>
      <c r="H428" s="28" t="str">
        <f>VLOOKUP(E428,'Cadastro Produtos (kiwkiw)'!C:E,3,0)</f>
        <v>Brinco Spring Banho Ouro</v>
      </c>
      <c r="I428" s="32" t="s">
        <v>260</v>
      </c>
    </row>
    <row r="429" spans="2:9" ht="15" customHeight="1" x14ac:dyDescent="0.4">
      <c r="C429" s="34" t="s">
        <v>5</v>
      </c>
      <c r="D429" s="35">
        <v>45525</v>
      </c>
      <c r="E429" s="51" t="s">
        <v>123</v>
      </c>
      <c r="F429" s="33">
        <v>1</v>
      </c>
      <c r="G429" s="27">
        <f t="shared" si="7"/>
        <v>1</v>
      </c>
      <c r="H429" s="28" t="str">
        <f>VLOOKUP(E429,'Cadastro Produtos (kiwkiw)'!C:E,3,0)</f>
        <v>Pulseira Dots Banho Ouro</v>
      </c>
      <c r="I429" s="32" t="s">
        <v>260</v>
      </c>
    </row>
    <row r="430" spans="2:9" ht="15" customHeight="1" x14ac:dyDescent="0.4">
      <c r="C430" s="34" t="s">
        <v>5</v>
      </c>
      <c r="D430" s="35">
        <v>45525</v>
      </c>
      <c r="E430" s="51" t="s">
        <v>127</v>
      </c>
      <c r="F430" s="33">
        <v>1</v>
      </c>
      <c r="G430" s="27">
        <f t="shared" si="7"/>
        <v>1</v>
      </c>
      <c r="H430" s="28" t="str">
        <f>VLOOKUP(E430,'Cadastro Produtos (kiwkiw)'!C:E,3,0)</f>
        <v>Pulseira Minimal Banho Ouro</v>
      </c>
      <c r="I430" s="32" t="s">
        <v>260</v>
      </c>
    </row>
    <row r="431" spans="2:9" ht="15" customHeight="1" x14ac:dyDescent="0.4">
      <c r="B431" s="43"/>
      <c r="C431" s="34" t="s">
        <v>5</v>
      </c>
      <c r="D431" s="35">
        <v>45525</v>
      </c>
      <c r="E431" s="51" t="s">
        <v>49</v>
      </c>
      <c r="F431" s="33">
        <v>1</v>
      </c>
      <c r="G431" s="27">
        <f t="shared" si="7"/>
        <v>1</v>
      </c>
      <c r="H431" s="28" t="str">
        <f>VLOOKUP(E431,'Cadastro Produtos (kiwkiw)'!C:E,3,0)</f>
        <v>Brinco Coracao Diamond Banho Ouro</v>
      </c>
      <c r="I431" s="32" t="s">
        <v>260</v>
      </c>
    </row>
    <row r="432" spans="2:9" ht="15" customHeight="1" x14ac:dyDescent="0.4">
      <c r="C432" s="34" t="s">
        <v>5</v>
      </c>
      <c r="D432" s="35">
        <v>45525</v>
      </c>
      <c r="E432" s="51" t="s">
        <v>57</v>
      </c>
      <c r="F432" s="33">
        <v>1</v>
      </c>
      <c r="G432" s="27">
        <f t="shared" si="7"/>
        <v>1</v>
      </c>
      <c r="H432" s="28" t="str">
        <f>VLOOKUP(E432,'Cadastro Produtos (kiwkiw)'!C:E,3,0)</f>
        <v>Brinco Mini Raio Prateado</v>
      </c>
      <c r="I432" s="32" t="s">
        <v>260</v>
      </c>
    </row>
    <row r="433" spans="2:28" ht="15" customHeight="1" x14ac:dyDescent="0.4">
      <c r="C433" s="34" t="s">
        <v>5</v>
      </c>
      <c r="D433" s="35">
        <v>45525</v>
      </c>
      <c r="E433" s="51" t="s">
        <v>39</v>
      </c>
      <c r="F433" s="33">
        <v>1</v>
      </c>
      <c r="G433" s="27">
        <f t="shared" si="7"/>
        <v>1</v>
      </c>
      <c r="H433" s="28" t="str">
        <f>VLOOKUP(E433,'Cadastro Produtos (kiwkiw)'!C:E,3,0)</f>
        <v>Argolinha Click Torcida Banho Ouro</v>
      </c>
      <c r="I433" s="32" t="s">
        <v>260</v>
      </c>
    </row>
    <row r="434" spans="2:28" ht="15" customHeight="1" x14ac:dyDescent="0.4">
      <c r="C434" s="34" t="s">
        <v>5</v>
      </c>
      <c r="D434" s="35">
        <v>45525</v>
      </c>
      <c r="E434" s="51" t="s">
        <v>103</v>
      </c>
      <c r="F434" s="33">
        <v>1</v>
      </c>
      <c r="G434" s="27">
        <f t="shared" si="7"/>
        <v>1</v>
      </c>
      <c r="H434" s="28" t="str">
        <f>VLOOKUP(E434,'Cadastro Produtos (kiwkiw)'!C:E,3,0)</f>
        <v>Colar Ivy Banho Ouro</v>
      </c>
      <c r="I434" s="32" t="s">
        <v>261</v>
      </c>
    </row>
    <row r="435" spans="2:28" ht="15" customHeight="1" x14ac:dyDescent="0.4">
      <c r="C435" s="34" t="s">
        <v>5</v>
      </c>
      <c r="D435" s="35">
        <v>45525</v>
      </c>
      <c r="E435" s="51" t="s">
        <v>89</v>
      </c>
      <c r="F435" s="33">
        <v>1</v>
      </c>
      <c r="G435" s="27">
        <f t="shared" si="7"/>
        <v>1</v>
      </c>
      <c r="H435" s="28" t="str">
        <f>VLOOKUP(E435,'Cadastro Produtos (kiwkiw)'!C:E,3,0)</f>
        <v>Colar Dot Banho Ouro</v>
      </c>
      <c r="I435" s="32" t="s">
        <v>261</v>
      </c>
    </row>
    <row r="436" spans="2:28" ht="15" customHeight="1" x14ac:dyDescent="0.4">
      <c r="C436" s="34" t="s">
        <v>5</v>
      </c>
      <c r="D436" s="35">
        <v>45525</v>
      </c>
      <c r="E436" s="51" t="s">
        <v>33</v>
      </c>
      <c r="F436" s="33">
        <v>1</v>
      </c>
      <c r="G436" s="27">
        <f t="shared" si="7"/>
        <v>1</v>
      </c>
      <c r="H436" s="28" t="str">
        <f>VLOOKUP(E436,'Cadastro Produtos (kiwkiw)'!C:E,3,0)</f>
        <v>Argola Torcida Banho Ouro</v>
      </c>
      <c r="I436" s="32" t="s">
        <v>262</v>
      </c>
    </row>
    <row r="437" spans="2:28" ht="15" customHeight="1" x14ac:dyDescent="0.4">
      <c r="C437" s="34" t="s">
        <v>5</v>
      </c>
      <c r="D437" s="35">
        <v>45525</v>
      </c>
      <c r="E437" s="51" t="s">
        <v>94</v>
      </c>
      <c r="F437" s="33">
        <v>1</v>
      </c>
      <c r="G437" s="27">
        <f t="shared" si="7"/>
        <v>1</v>
      </c>
      <c r="H437" s="28" t="str">
        <f>VLOOKUP(E437,'Cadastro Produtos (kiwkiw)'!C:E,3,0)</f>
        <v>Colar Duplo Dots Banho Ouro</v>
      </c>
      <c r="I437" s="32" t="s">
        <v>262</v>
      </c>
    </row>
    <row r="438" spans="2:28" ht="15" customHeight="1" x14ac:dyDescent="0.4">
      <c r="C438" s="34" t="s">
        <v>5</v>
      </c>
      <c r="D438" s="35">
        <v>45525</v>
      </c>
      <c r="E438" s="51" t="s">
        <v>42</v>
      </c>
      <c r="F438" s="33">
        <v>1</v>
      </c>
      <c r="G438" s="27">
        <f t="shared" si="7"/>
        <v>1</v>
      </c>
      <c r="H438" s="28" t="str">
        <f>VLOOKUP(E438,'Cadastro Produtos (kiwkiw)'!C:E,3,0)</f>
        <v>Brinco Arco Banho Ouro</v>
      </c>
      <c r="I438" s="32" t="s">
        <v>262</v>
      </c>
    </row>
    <row r="439" spans="2:28" ht="15" customHeight="1" x14ac:dyDescent="0.4">
      <c r="B439" s="43"/>
      <c r="C439" s="34" t="s">
        <v>5</v>
      </c>
      <c r="D439" s="35">
        <v>45525</v>
      </c>
      <c r="E439" s="51" t="s">
        <v>114</v>
      </c>
      <c r="F439" s="33">
        <v>1</v>
      </c>
      <c r="G439" s="27">
        <f t="shared" si="7"/>
        <v>1</v>
      </c>
      <c r="H439" s="28" t="str">
        <f>VLOOKUP(E439,'Cadastro Produtos (kiwkiw)'!C:E,3,0)</f>
        <v>Gargantilha Fita Banho Ouro</v>
      </c>
      <c r="I439" s="32" t="s">
        <v>262</v>
      </c>
    </row>
    <row r="440" spans="2:28" ht="15" customHeight="1" x14ac:dyDescent="0.4">
      <c r="C440" s="34" t="s">
        <v>5</v>
      </c>
      <c r="D440" s="35">
        <v>45525</v>
      </c>
      <c r="E440" s="51" t="s">
        <v>19</v>
      </c>
      <c r="F440" s="33">
        <v>1</v>
      </c>
      <c r="G440" s="27">
        <f t="shared" si="7"/>
        <v>1</v>
      </c>
      <c r="H440" s="28" t="str">
        <f>VLOOKUP(E440,'Cadastro Produtos (kiwkiw)'!C:E,3,0)</f>
        <v>Anel Zig Ajustavel Banho Ouro</v>
      </c>
      <c r="I440" s="32" t="s">
        <v>262</v>
      </c>
    </row>
    <row r="441" spans="2:28" ht="15" customHeight="1" x14ac:dyDescent="0.4">
      <c r="C441" s="34" t="s">
        <v>5</v>
      </c>
      <c r="D441" s="35">
        <v>45525</v>
      </c>
      <c r="E441" s="51" t="s">
        <v>12</v>
      </c>
      <c r="F441" s="33">
        <v>1</v>
      </c>
      <c r="G441" s="27">
        <f t="shared" si="7"/>
        <v>1</v>
      </c>
      <c r="H441" s="28" t="str">
        <f>VLOOKUP(E441,'Cadastro Produtos (kiwkiw)'!C:E,3,0)</f>
        <v>Anel Duplo Banho Ouro</v>
      </c>
      <c r="I441" s="32" t="s">
        <v>262</v>
      </c>
    </row>
    <row r="442" spans="2:28" ht="15" customHeight="1" x14ac:dyDescent="0.4">
      <c r="C442" s="34" t="s">
        <v>5</v>
      </c>
      <c r="D442" s="35">
        <v>45525</v>
      </c>
      <c r="E442" s="51" t="s">
        <v>125</v>
      </c>
      <c r="F442" s="33">
        <v>1</v>
      </c>
      <c r="G442" s="27">
        <f t="shared" si="7"/>
        <v>1</v>
      </c>
      <c r="H442" s="28" t="str">
        <f>VLOOKUP(E442,'Cadastro Produtos (kiwkiw)'!C:E,3,0)</f>
        <v>Pulseira Groumet Banho Ouro</v>
      </c>
      <c r="I442" s="32" t="s">
        <v>262</v>
      </c>
    </row>
    <row r="443" spans="2:28" ht="15" customHeight="1" x14ac:dyDescent="0.4">
      <c r="B443" s="43">
        <v>45526.426203703704</v>
      </c>
      <c r="C443" s="34" t="s">
        <v>6</v>
      </c>
      <c r="D443" s="35">
        <v>45526</v>
      </c>
      <c r="E443" s="51" t="s">
        <v>118</v>
      </c>
      <c r="F443" s="33">
        <v>1</v>
      </c>
      <c r="G443" s="27">
        <f t="shared" si="7"/>
        <v>-1</v>
      </c>
      <c r="H443" s="28" t="str">
        <f>VLOOKUP(E443,'Cadastro Produtos (kiwkiw)'!C:E,3,0)</f>
        <v>Gargantilha Minimal Prateada</v>
      </c>
      <c r="AB443" s="33" t="s">
        <v>263</v>
      </c>
    </row>
    <row r="444" spans="2:28" ht="15" customHeight="1" x14ac:dyDescent="0.4">
      <c r="C444" s="34" t="s">
        <v>6</v>
      </c>
      <c r="D444" s="35">
        <v>45526</v>
      </c>
      <c r="E444" s="51" t="s">
        <v>117</v>
      </c>
      <c r="F444" s="33">
        <v>1</v>
      </c>
      <c r="G444" s="27">
        <f t="shared" si="7"/>
        <v>-1</v>
      </c>
      <c r="H444" s="28" t="str">
        <f>VLOOKUP(E444,'Cadastro Produtos (kiwkiw)'!C:E,3,0)</f>
        <v>Gargantilha Minimal Banho Ouro</v>
      </c>
      <c r="AB444" s="33" t="s">
        <v>263</v>
      </c>
    </row>
    <row r="445" spans="2:28" ht="15" customHeight="1" x14ac:dyDescent="0.4">
      <c r="C445" s="34" t="s">
        <v>6</v>
      </c>
      <c r="D445" s="35">
        <v>45526</v>
      </c>
      <c r="E445" s="51" t="s">
        <v>94</v>
      </c>
      <c r="F445" s="33">
        <v>1</v>
      </c>
      <c r="G445" s="27">
        <f t="shared" si="7"/>
        <v>-1</v>
      </c>
      <c r="H445" s="28" t="str">
        <f>VLOOKUP(E445,'Cadastro Produtos (kiwkiw)'!C:E,3,0)</f>
        <v>Colar Duplo Dots Banho Ouro</v>
      </c>
      <c r="AB445" s="33" t="s">
        <v>264</v>
      </c>
    </row>
    <row r="446" spans="2:28" ht="15" customHeight="1" x14ac:dyDescent="0.4">
      <c r="C446" s="34" t="s">
        <v>6</v>
      </c>
      <c r="D446" s="35">
        <v>45526</v>
      </c>
      <c r="E446" s="51" t="s">
        <v>127</v>
      </c>
      <c r="F446" s="33">
        <v>1</v>
      </c>
      <c r="G446" s="27">
        <f t="shared" si="7"/>
        <v>-1</v>
      </c>
      <c r="H446" s="28" t="str">
        <f>VLOOKUP(E446,'Cadastro Produtos (kiwkiw)'!C:E,3,0)</f>
        <v>Pulseira Minimal Banho Ouro</v>
      </c>
      <c r="AB446" s="33" t="s">
        <v>264</v>
      </c>
    </row>
    <row r="447" spans="2:28" ht="15" customHeight="1" x14ac:dyDescent="0.4">
      <c r="B447" s="43"/>
      <c r="C447" s="34" t="s">
        <v>6</v>
      </c>
      <c r="D447" s="35">
        <v>45526</v>
      </c>
      <c r="E447" s="51" t="s">
        <v>31</v>
      </c>
      <c r="F447" s="33">
        <v>1</v>
      </c>
      <c r="G447" s="27">
        <f t="shared" si="7"/>
        <v>-1</v>
      </c>
      <c r="H447" s="28" t="str">
        <f>VLOOKUP(E447,'Cadastro Produtos (kiwkiw)'!C:E,3,0)</f>
        <v>Argola Reta Basic Banho Ouro</v>
      </c>
      <c r="AB447" s="33" t="s">
        <v>264</v>
      </c>
    </row>
    <row r="448" spans="2:28" ht="15" customHeight="1" x14ac:dyDescent="0.4">
      <c r="B448" s="43"/>
      <c r="C448" s="34" t="s">
        <v>6</v>
      </c>
      <c r="D448" s="35">
        <v>45526</v>
      </c>
      <c r="E448" s="51" t="s">
        <v>123</v>
      </c>
      <c r="F448" s="33">
        <v>1</v>
      </c>
      <c r="G448" s="27">
        <f t="shared" si="7"/>
        <v>-1</v>
      </c>
      <c r="H448" s="28" t="str">
        <f>VLOOKUP(E448,'Cadastro Produtos (kiwkiw)'!C:E,3,0)</f>
        <v>Pulseira Dots Banho Ouro</v>
      </c>
      <c r="AB448" s="33" t="s">
        <v>264</v>
      </c>
    </row>
    <row r="449" spans="2:28" ht="15" customHeight="1" x14ac:dyDescent="0.4">
      <c r="B449" s="43"/>
      <c r="C449" s="34" t="s">
        <v>6</v>
      </c>
      <c r="D449" s="35">
        <v>45526</v>
      </c>
      <c r="E449" s="51" t="s">
        <v>40</v>
      </c>
      <c r="F449" s="33">
        <v>2</v>
      </c>
      <c r="G449" s="27">
        <f t="shared" si="7"/>
        <v>-2</v>
      </c>
      <c r="H449" s="28" t="str">
        <f>VLOOKUP(E449,'Cadastro Produtos (kiwkiw)'!C:E,3,0)</f>
        <v>Argolinha Folha Banho Ouro</v>
      </c>
      <c r="AB449" s="33" t="s">
        <v>265</v>
      </c>
    </row>
    <row r="450" spans="2:28" ht="15" customHeight="1" x14ac:dyDescent="0.4">
      <c r="B450" s="43">
        <v>45530.419340277775</v>
      </c>
      <c r="C450" s="34" t="s">
        <v>6</v>
      </c>
      <c r="D450" s="35">
        <v>45530</v>
      </c>
      <c r="E450" s="51" t="s">
        <v>88</v>
      </c>
      <c r="F450" s="33">
        <v>1</v>
      </c>
      <c r="G450" s="27">
        <f t="shared" si="7"/>
        <v>-1</v>
      </c>
      <c r="H450" s="28" t="str">
        <f>VLOOKUP(E450,'Cadastro Produtos (kiwkiw)'!C:E,3,0)</f>
        <v>Piercing Fake Classy Prateado</v>
      </c>
      <c r="AB450" s="33" t="s">
        <v>266</v>
      </c>
    </row>
    <row r="451" spans="2:28" ht="15" customHeight="1" x14ac:dyDescent="0.4">
      <c r="C451" s="34" t="s">
        <v>6</v>
      </c>
      <c r="D451" s="35">
        <v>45530</v>
      </c>
      <c r="E451" s="51" t="s">
        <v>87</v>
      </c>
      <c r="F451" s="33">
        <v>1</v>
      </c>
      <c r="G451" s="27">
        <f t="shared" si="7"/>
        <v>-1</v>
      </c>
      <c r="H451" s="28" t="str">
        <f>VLOOKUP(E451,'Cadastro Produtos (kiwkiw)'!C:E,3,0)</f>
        <v>Piercing Fake Classy Banho Ouro</v>
      </c>
      <c r="AB451" s="33" t="s">
        <v>266</v>
      </c>
    </row>
    <row r="452" spans="2:28" ht="15" customHeight="1" x14ac:dyDescent="0.4">
      <c r="C452" s="34" t="s">
        <v>6</v>
      </c>
      <c r="D452" s="35">
        <v>45530</v>
      </c>
      <c r="E452" s="51" t="s">
        <v>111</v>
      </c>
      <c r="F452" s="33">
        <v>1</v>
      </c>
      <c r="G452" s="27">
        <f t="shared" si="7"/>
        <v>-1</v>
      </c>
      <c r="H452" s="28" t="str">
        <f>VLOOKUP(E452,'Cadastro Produtos (kiwkiw)'!C:E,3,0)</f>
        <v>Colar Corrente Groumet Prateada</v>
      </c>
      <c r="AB452" s="33" t="s">
        <v>266</v>
      </c>
    </row>
    <row r="453" spans="2:28" ht="15" customHeight="1" x14ac:dyDescent="0.4">
      <c r="C453" s="34" t="s">
        <v>6</v>
      </c>
      <c r="D453" s="35">
        <v>45530</v>
      </c>
      <c r="E453" s="51" t="s">
        <v>12</v>
      </c>
      <c r="F453" s="33">
        <v>1</v>
      </c>
      <c r="G453" s="27">
        <f t="shared" si="7"/>
        <v>-1</v>
      </c>
      <c r="H453" s="28" t="str">
        <f>VLOOKUP(E453,'Cadastro Produtos (kiwkiw)'!C:E,3,0)</f>
        <v>Anel Duplo Banho Ouro</v>
      </c>
      <c r="AB453" s="33" t="s">
        <v>266</v>
      </c>
    </row>
    <row r="454" spans="2:28" ht="15" customHeight="1" x14ac:dyDescent="0.4">
      <c r="C454" s="34" t="s">
        <v>6</v>
      </c>
      <c r="D454" s="35">
        <v>45530</v>
      </c>
      <c r="E454" s="51" t="s">
        <v>12</v>
      </c>
      <c r="F454" s="33">
        <v>1</v>
      </c>
      <c r="G454" s="27">
        <f t="shared" si="7"/>
        <v>-1</v>
      </c>
      <c r="H454" s="28" t="str">
        <f>VLOOKUP(E454,'Cadastro Produtos (kiwkiw)'!C:E,3,0)</f>
        <v>Anel Duplo Banho Ouro</v>
      </c>
      <c r="AB454" s="33" t="s">
        <v>267</v>
      </c>
    </row>
    <row r="455" spans="2:28" ht="15" customHeight="1" x14ac:dyDescent="0.4">
      <c r="C455" s="34" t="s">
        <v>6</v>
      </c>
      <c r="D455" s="35">
        <v>45530</v>
      </c>
      <c r="E455" s="51" t="s">
        <v>113</v>
      </c>
      <c r="F455" s="33">
        <v>1</v>
      </c>
      <c r="G455" s="27">
        <f t="shared" si="7"/>
        <v>-1</v>
      </c>
      <c r="H455" s="28" t="str">
        <f>VLOOKUP(E455,'Cadastro Produtos (kiwkiw)'!C:E,3,0)</f>
        <v>Gargantilha Escama Prateada</v>
      </c>
      <c r="AB455" s="33" t="s">
        <v>266</v>
      </c>
    </row>
    <row r="456" spans="2:28" ht="15" customHeight="1" x14ac:dyDescent="0.4">
      <c r="C456" s="34" t="s">
        <v>6</v>
      </c>
      <c r="D456" s="35">
        <v>45530</v>
      </c>
      <c r="E456" s="51" t="s">
        <v>48</v>
      </c>
      <c r="F456" s="33">
        <v>1</v>
      </c>
      <c r="G456" s="27">
        <f t="shared" si="7"/>
        <v>-1</v>
      </c>
      <c r="H456" s="28" t="str">
        <f>VLOOKUP(E456,'Cadastro Produtos (kiwkiw)'!C:E,3,0)</f>
        <v>Brinco Gota Click Banho Ouro</v>
      </c>
      <c r="AB456" s="33" t="s">
        <v>267</v>
      </c>
    </row>
    <row r="457" spans="2:28" ht="15" customHeight="1" x14ac:dyDescent="0.4">
      <c r="C457" s="34" t="s">
        <v>6</v>
      </c>
      <c r="D457" s="35">
        <v>45530</v>
      </c>
      <c r="E457" s="51" t="s">
        <v>81</v>
      </c>
      <c r="F457" s="33">
        <v>1</v>
      </c>
      <c r="G457" s="27">
        <f t="shared" si="7"/>
        <v>-1</v>
      </c>
      <c r="H457" s="28" t="str">
        <f>VLOOKUP(E457,'Cadastro Produtos (kiwkiw)'!C:E,3,0)</f>
        <v>Meia Argola Croissant Prateada</v>
      </c>
      <c r="AB457" s="33" t="s">
        <v>267</v>
      </c>
    </row>
    <row r="458" spans="2:28" ht="15" customHeight="1" x14ac:dyDescent="0.4">
      <c r="C458" s="34" t="s">
        <v>6</v>
      </c>
      <c r="D458" s="35">
        <v>45530</v>
      </c>
      <c r="E458" s="51" t="s">
        <v>112</v>
      </c>
      <c r="F458" s="33">
        <v>1</v>
      </c>
      <c r="G458" s="27">
        <f t="shared" si="7"/>
        <v>-1</v>
      </c>
      <c r="H458" s="28" t="str">
        <f>VLOOKUP(E458,'Cadastro Produtos (kiwkiw)'!C:E,3,0)</f>
        <v>Gargantilha Escama Banho Ouro</v>
      </c>
      <c r="AB458" s="33" t="s">
        <v>267</v>
      </c>
    </row>
    <row r="459" spans="2:28" ht="15" customHeight="1" x14ac:dyDescent="0.4">
      <c r="B459" s="43"/>
      <c r="C459" s="34" t="s">
        <v>6</v>
      </c>
      <c r="D459" s="35">
        <v>45530</v>
      </c>
      <c r="E459" s="51" t="s">
        <v>40</v>
      </c>
      <c r="F459" s="33">
        <v>1</v>
      </c>
      <c r="G459" s="27">
        <f t="shared" si="7"/>
        <v>-1</v>
      </c>
      <c r="H459" s="28" t="str">
        <f>VLOOKUP(E459,'Cadastro Produtos (kiwkiw)'!C:E,3,0)</f>
        <v>Argolinha Folha Banho Ouro</v>
      </c>
      <c r="AB459" s="33" t="s">
        <v>268</v>
      </c>
    </row>
    <row r="460" spans="2:28" ht="15" customHeight="1" x14ac:dyDescent="0.4">
      <c r="C460" s="34" t="s">
        <v>6</v>
      </c>
      <c r="D460" s="35">
        <v>45530</v>
      </c>
      <c r="E460" s="51" t="s">
        <v>40</v>
      </c>
      <c r="F460" s="33">
        <v>1</v>
      </c>
      <c r="G460" s="27">
        <f t="shared" si="7"/>
        <v>-1</v>
      </c>
      <c r="H460" s="28" t="str">
        <f>VLOOKUP(E460,'Cadastro Produtos (kiwkiw)'!C:E,3,0)</f>
        <v>Argolinha Folha Banho Ouro</v>
      </c>
      <c r="AB460" s="33" t="s">
        <v>269</v>
      </c>
    </row>
    <row r="461" spans="2:28" ht="15" customHeight="1" x14ac:dyDescent="0.4">
      <c r="C461" s="34" t="s">
        <v>6</v>
      </c>
      <c r="D461" s="35">
        <v>45530</v>
      </c>
      <c r="E461" s="51" t="s">
        <v>40</v>
      </c>
      <c r="F461" s="33">
        <v>1</v>
      </c>
      <c r="G461" s="27">
        <f t="shared" si="7"/>
        <v>-1</v>
      </c>
      <c r="H461" s="28" t="str">
        <f>VLOOKUP(E461,'Cadastro Produtos (kiwkiw)'!C:E,3,0)</f>
        <v>Argolinha Folha Banho Ouro</v>
      </c>
      <c r="AB461" s="33" t="s">
        <v>270</v>
      </c>
    </row>
    <row r="462" spans="2:28" ht="15" customHeight="1" x14ac:dyDescent="0.4">
      <c r="C462" s="34" t="s">
        <v>6</v>
      </c>
      <c r="D462" s="35">
        <v>45530</v>
      </c>
      <c r="E462" s="51" t="s">
        <v>40</v>
      </c>
      <c r="F462" s="33">
        <v>1</v>
      </c>
      <c r="G462" s="27">
        <f t="shared" si="7"/>
        <v>-1</v>
      </c>
      <c r="H462" s="28" t="str">
        <f>VLOOKUP(E462,'Cadastro Produtos (kiwkiw)'!C:E,3,0)</f>
        <v>Argolinha Folha Banho Ouro</v>
      </c>
      <c r="AB462" s="33" t="s">
        <v>271</v>
      </c>
    </row>
    <row r="463" spans="2:28" ht="15" customHeight="1" x14ac:dyDescent="0.4">
      <c r="C463" s="34" t="s">
        <v>6</v>
      </c>
      <c r="D463" s="35">
        <v>45530</v>
      </c>
      <c r="E463" s="51" t="s">
        <v>40</v>
      </c>
      <c r="F463" s="33">
        <v>1</v>
      </c>
      <c r="G463" s="27">
        <f t="shared" si="7"/>
        <v>-1</v>
      </c>
      <c r="H463" s="28" t="str">
        <f>VLOOKUP(E463,'Cadastro Produtos (kiwkiw)'!C:E,3,0)</f>
        <v>Argolinha Folha Banho Ouro</v>
      </c>
      <c r="AB463" s="33" t="s">
        <v>272</v>
      </c>
    </row>
    <row r="464" spans="2:28" ht="15" customHeight="1" x14ac:dyDescent="0.4">
      <c r="C464" s="34" t="s">
        <v>6</v>
      </c>
      <c r="D464" s="35">
        <v>45530</v>
      </c>
      <c r="E464" s="51" t="s">
        <v>109</v>
      </c>
      <c r="F464" s="33">
        <v>1</v>
      </c>
      <c r="G464" s="27">
        <f t="shared" ref="G464:G527" si="8">IF(C464="Entrada",F464,-F464)</f>
        <v>-1</v>
      </c>
      <c r="H464" s="28" t="str">
        <f>VLOOKUP(E464,'Cadastro Produtos (kiwkiw)'!C:E,3,0)</f>
        <v>Colar Palito Banho Ouro</v>
      </c>
      <c r="AB464" s="33" t="s">
        <v>273</v>
      </c>
    </row>
    <row r="465" spans="2:28" ht="15" customHeight="1" x14ac:dyDescent="0.4">
      <c r="C465" s="34" t="s">
        <v>6</v>
      </c>
      <c r="D465" s="35">
        <v>45530</v>
      </c>
      <c r="E465" s="51" t="s">
        <v>108</v>
      </c>
      <c r="F465" s="33">
        <v>1</v>
      </c>
      <c r="G465" s="27">
        <f t="shared" si="8"/>
        <v>-1</v>
      </c>
      <c r="H465" s="28" t="str">
        <f>VLOOKUP(E465,'Cadastro Produtos (kiwkiw)'!C:E,3,0)</f>
        <v>Colar Line Banho Ouro</v>
      </c>
      <c r="AB465" s="33" t="s">
        <v>273</v>
      </c>
    </row>
    <row r="466" spans="2:28" ht="15" customHeight="1" x14ac:dyDescent="0.4">
      <c r="C466" s="34" t="s">
        <v>6</v>
      </c>
      <c r="D466" s="35">
        <v>45530</v>
      </c>
      <c r="E466" s="51" t="s">
        <v>108</v>
      </c>
      <c r="F466" s="33">
        <v>1</v>
      </c>
      <c r="G466" s="27">
        <f t="shared" si="8"/>
        <v>-1</v>
      </c>
      <c r="H466" s="28" t="str">
        <f>VLOOKUP(E466,'Cadastro Produtos (kiwkiw)'!C:E,3,0)</f>
        <v>Colar Line Banho Ouro</v>
      </c>
      <c r="AB466" s="33" t="s">
        <v>271</v>
      </c>
    </row>
    <row r="467" spans="2:28" ht="15" customHeight="1" x14ac:dyDescent="0.4">
      <c r="C467" s="34" t="s">
        <v>6</v>
      </c>
      <c r="D467" s="35">
        <v>45530</v>
      </c>
      <c r="E467" s="51" t="s">
        <v>91</v>
      </c>
      <c r="F467" s="33">
        <v>1</v>
      </c>
      <c r="G467" s="27">
        <f t="shared" si="8"/>
        <v>-1</v>
      </c>
      <c r="H467" s="28" t="str">
        <f>VLOOKUP(E467,'Cadastro Produtos (kiwkiw)'!C:E,3,0)</f>
        <v>Colar Rosa dos Ventos Banho Ouro</v>
      </c>
      <c r="AB467" s="33" t="s">
        <v>273</v>
      </c>
    </row>
    <row r="468" spans="2:28" ht="15" customHeight="1" x14ac:dyDescent="0.4">
      <c r="B468" s="43"/>
      <c r="C468" s="34" t="s">
        <v>6</v>
      </c>
      <c r="D468" s="35">
        <v>45530</v>
      </c>
      <c r="E468" s="51" t="s">
        <v>91</v>
      </c>
      <c r="F468" s="33">
        <v>1</v>
      </c>
      <c r="G468" s="27">
        <f t="shared" si="8"/>
        <v>-1</v>
      </c>
      <c r="H468" s="28" t="str">
        <f>VLOOKUP(E468,'Cadastro Produtos (kiwkiw)'!C:E,3,0)</f>
        <v>Colar Rosa dos Ventos Banho Ouro</v>
      </c>
      <c r="AB468" s="33" t="s">
        <v>274</v>
      </c>
    </row>
    <row r="469" spans="2:28" ht="15" customHeight="1" x14ac:dyDescent="0.4">
      <c r="C469" s="34" t="s">
        <v>6</v>
      </c>
      <c r="D469" s="35">
        <v>45530</v>
      </c>
      <c r="E469" s="51" t="s">
        <v>24</v>
      </c>
      <c r="F469" s="33">
        <v>1</v>
      </c>
      <c r="G469" s="27">
        <f t="shared" si="8"/>
        <v>-1</v>
      </c>
      <c r="H469" s="28" t="str">
        <f>VLOOKUP(E469,'Cadastro Produtos (kiwkiw)'!C:E,3,0)</f>
        <v>Argola Bold Pequena Banho Ouro</v>
      </c>
      <c r="AB469" s="33" t="s">
        <v>273</v>
      </c>
    </row>
    <row r="470" spans="2:28" ht="15" customHeight="1" x14ac:dyDescent="0.4">
      <c r="C470" s="34" t="s">
        <v>6</v>
      </c>
      <c r="D470" s="35">
        <v>45530</v>
      </c>
      <c r="E470" s="51" t="s">
        <v>30</v>
      </c>
      <c r="F470" s="33">
        <v>1</v>
      </c>
      <c r="G470" s="27">
        <f t="shared" si="8"/>
        <v>-1</v>
      </c>
      <c r="H470" s="28" t="str">
        <f>VLOOKUP(E470,'Cadastro Produtos (kiwkiw)'!C:E,3,0)</f>
        <v>Argola Organica Banho Ouro</v>
      </c>
      <c r="AB470" s="33" t="s">
        <v>273</v>
      </c>
    </row>
    <row r="471" spans="2:28" ht="15" customHeight="1" x14ac:dyDescent="0.4">
      <c r="C471" s="34" t="s">
        <v>6</v>
      </c>
      <c r="D471" s="35">
        <v>45530</v>
      </c>
      <c r="E471" s="51" t="s">
        <v>30</v>
      </c>
      <c r="F471" s="33">
        <v>1</v>
      </c>
      <c r="G471" s="27">
        <f t="shared" si="8"/>
        <v>-1</v>
      </c>
      <c r="H471" s="28" t="str">
        <f>VLOOKUP(E471,'Cadastro Produtos (kiwkiw)'!C:E,3,0)</f>
        <v>Argola Organica Banho Ouro</v>
      </c>
      <c r="AB471" s="33" t="s">
        <v>275</v>
      </c>
    </row>
    <row r="472" spans="2:28" ht="15" customHeight="1" x14ac:dyDescent="0.4">
      <c r="B472" s="43"/>
      <c r="C472" s="34" t="s">
        <v>6</v>
      </c>
      <c r="D472" s="35">
        <v>45530</v>
      </c>
      <c r="E472" s="51" t="s">
        <v>30</v>
      </c>
      <c r="F472" s="33">
        <v>1</v>
      </c>
      <c r="G472" s="27">
        <f t="shared" si="8"/>
        <v>-1</v>
      </c>
      <c r="H472" s="28" t="str">
        <f>VLOOKUP(E472,'Cadastro Produtos (kiwkiw)'!C:E,3,0)</f>
        <v>Argola Organica Banho Ouro</v>
      </c>
      <c r="AB472" s="33" t="s">
        <v>276</v>
      </c>
    </row>
    <row r="473" spans="2:28" ht="15" customHeight="1" x14ac:dyDescent="0.4">
      <c r="B473" s="43"/>
      <c r="C473" s="34" t="s">
        <v>6</v>
      </c>
      <c r="D473" s="35">
        <v>45530</v>
      </c>
      <c r="E473" s="51" t="s">
        <v>26</v>
      </c>
      <c r="F473" s="33">
        <v>1</v>
      </c>
      <c r="G473" s="27">
        <f t="shared" si="8"/>
        <v>-1</v>
      </c>
      <c r="H473" s="28" t="str">
        <f>VLOOKUP(E473,'Cadastro Produtos (kiwkiw)'!C:E,3,0)</f>
        <v>Argola Click Grande Banho Ouro</v>
      </c>
      <c r="AB473" s="33" t="s">
        <v>269</v>
      </c>
    </row>
    <row r="474" spans="2:28" ht="15" customHeight="1" x14ac:dyDescent="0.4">
      <c r="B474" s="43"/>
      <c r="C474" s="34" t="s">
        <v>6</v>
      </c>
      <c r="D474" s="35">
        <v>45530</v>
      </c>
      <c r="E474" s="51" t="s">
        <v>127</v>
      </c>
      <c r="F474" s="33">
        <v>1</v>
      </c>
      <c r="G474" s="27">
        <f t="shared" si="8"/>
        <v>-1</v>
      </c>
      <c r="H474" s="28" t="str">
        <f>VLOOKUP(E474,'Cadastro Produtos (kiwkiw)'!C:E,3,0)</f>
        <v>Pulseira Minimal Banho Ouro</v>
      </c>
      <c r="AB474" s="33" t="s">
        <v>269</v>
      </c>
    </row>
    <row r="475" spans="2:28" ht="15" customHeight="1" x14ac:dyDescent="0.4">
      <c r="B475" s="43"/>
      <c r="C475" s="34" t="s">
        <v>6</v>
      </c>
      <c r="D475" s="35">
        <v>45530</v>
      </c>
      <c r="E475" s="51" t="s">
        <v>127</v>
      </c>
      <c r="F475" s="33">
        <v>1</v>
      </c>
      <c r="G475" s="27">
        <f t="shared" si="8"/>
        <v>-1</v>
      </c>
      <c r="H475" s="28" t="str">
        <f>VLOOKUP(E475,'Cadastro Produtos (kiwkiw)'!C:E,3,0)</f>
        <v>Pulseira Minimal Banho Ouro</v>
      </c>
      <c r="AB475" s="33" t="s">
        <v>272</v>
      </c>
    </row>
    <row r="476" spans="2:28" ht="15" customHeight="1" x14ac:dyDescent="0.4">
      <c r="B476" s="43"/>
      <c r="C476" s="34" t="s">
        <v>6</v>
      </c>
      <c r="D476" s="35">
        <v>45530</v>
      </c>
      <c r="E476" s="51" t="s">
        <v>41</v>
      </c>
      <c r="F476" s="33">
        <v>1</v>
      </c>
      <c r="G476" s="27">
        <f t="shared" si="8"/>
        <v>-1</v>
      </c>
      <c r="H476" s="28" t="str">
        <f>VLOOKUP(E476,'Cadastro Produtos (kiwkiw)'!C:E,3,0)</f>
        <v>Argolinha Sol Banho Ouro</v>
      </c>
      <c r="AB476" s="33" t="s">
        <v>269</v>
      </c>
    </row>
    <row r="477" spans="2:28" ht="15" customHeight="1" x14ac:dyDescent="0.4">
      <c r="B477" s="43"/>
      <c r="C477" s="34" t="s">
        <v>6</v>
      </c>
      <c r="D477" s="35">
        <v>45530</v>
      </c>
      <c r="E477" s="52" t="s">
        <v>55</v>
      </c>
      <c r="F477" s="33">
        <v>1</v>
      </c>
      <c r="G477" s="27">
        <f t="shared" si="8"/>
        <v>-1</v>
      </c>
      <c r="H477" s="28" t="str">
        <f>VLOOKUP(E477,'Cadastro Produtos (kiwkiw)'!C:E,3,0)</f>
        <v>Brinco Ivy Prateado</v>
      </c>
      <c r="AB477" s="33" t="s">
        <v>277</v>
      </c>
    </row>
    <row r="478" spans="2:28" ht="15" customHeight="1" x14ac:dyDescent="0.4">
      <c r="B478" s="43"/>
      <c r="C478" s="34" t="s">
        <v>6</v>
      </c>
      <c r="D478" s="35">
        <v>45530</v>
      </c>
      <c r="E478" s="51" t="s">
        <v>64</v>
      </c>
      <c r="F478" s="33">
        <v>1</v>
      </c>
      <c r="G478" s="27">
        <f t="shared" si="8"/>
        <v>-1</v>
      </c>
      <c r="H478" s="28" t="str">
        <f>VLOOKUP(E478,'Cadastro Produtos (kiwkiw)'!C:E,3,0)</f>
        <v>Brinco Spike Prateado</v>
      </c>
      <c r="AB478" s="33" t="s">
        <v>277</v>
      </c>
    </row>
    <row r="479" spans="2:28" ht="15" customHeight="1" x14ac:dyDescent="0.4">
      <c r="C479" s="34" t="s">
        <v>6</v>
      </c>
      <c r="D479" s="35">
        <v>45530</v>
      </c>
      <c r="E479" s="52" t="s">
        <v>94</v>
      </c>
      <c r="F479" s="33">
        <v>1</v>
      </c>
      <c r="G479" s="27">
        <f t="shared" si="8"/>
        <v>-1</v>
      </c>
      <c r="H479" s="28" t="str">
        <f>VLOOKUP(E479,'Cadastro Produtos (kiwkiw)'!C:E,3,0)</f>
        <v>Colar Duplo Dots Banho Ouro</v>
      </c>
      <c r="AB479" s="33" t="s">
        <v>278</v>
      </c>
    </row>
    <row r="480" spans="2:28" ht="15" customHeight="1" x14ac:dyDescent="0.4">
      <c r="C480" s="34" t="s">
        <v>6</v>
      </c>
      <c r="D480" s="35">
        <v>45530</v>
      </c>
      <c r="E480" s="51" t="s">
        <v>94</v>
      </c>
      <c r="F480" s="33">
        <v>1</v>
      </c>
      <c r="G480" s="27">
        <f t="shared" si="8"/>
        <v>-1</v>
      </c>
      <c r="H480" s="28" t="str">
        <f>VLOOKUP(E480,'Cadastro Produtos (kiwkiw)'!C:E,3,0)</f>
        <v>Colar Duplo Dots Banho Ouro</v>
      </c>
      <c r="AB480" s="33" t="s">
        <v>274</v>
      </c>
    </row>
    <row r="481" spans="2:28" ht="15" customHeight="1" x14ac:dyDescent="0.4">
      <c r="B481" s="43"/>
      <c r="C481" s="34" t="s">
        <v>6</v>
      </c>
      <c r="D481" s="35">
        <v>45530</v>
      </c>
      <c r="E481" s="51" t="s">
        <v>94</v>
      </c>
      <c r="F481" s="33">
        <v>1</v>
      </c>
      <c r="G481" s="27">
        <f t="shared" si="8"/>
        <v>-1</v>
      </c>
      <c r="H481" s="28" t="str">
        <f>VLOOKUP(E481,'Cadastro Produtos (kiwkiw)'!C:E,3,0)</f>
        <v>Colar Duplo Dots Banho Ouro</v>
      </c>
      <c r="AB481" s="33" t="s">
        <v>272</v>
      </c>
    </row>
    <row r="482" spans="2:28" ht="15" customHeight="1" x14ac:dyDescent="0.4">
      <c r="C482" s="34" t="s">
        <v>6</v>
      </c>
      <c r="D482" s="35">
        <v>45530</v>
      </c>
      <c r="E482" s="51" t="s">
        <v>102</v>
      </c>
      <c r="F482" s="33">
        <v>1</v>
      </c>
      <c r="G482" s="27">
        <f t="shared" si="8"/>
        <v>-1</v>
      </c>
      <c r="H482" s="28" t="str">
        <f>VLOOKUP(E482,'Cadastro Produtos (kiwkiw)'!C:E,3,0)</f>
        <v>Colar Longo Lua Banho Ouro</v>
      </c>
      <c r="AB482" s="33" t="s">
        <v>279</v>
      </c>
    </row>
    <row r="483" spans="2:28" ht="15" customHeight="1" x14ac:dyDescent="0.4">
      <c r="C483" s="34" t="s">
        <v>6</v>
      </c>
      <c r="D483" s="35">
        <v>45530</v>
      </c>
      <c r="E483" s="51" t="s">
        <v>77</v>
      </c>
      <c r="F483" s="33">
        <v>1</v>
      </c>
      <c r="G483" s="27">
        <f t="shared" si="8"/>
        <v>-1</v>
      </c>
      <c r="H483" s="28" t="str">
        <f>VLOOKUP(E483,'Cadastro Produtos (kiwkiw)'!C:E,3,0)</f>
        <v>EarHook Torcido Banho Ouro</v>
      </c>
      <c r="AB483" s="33" t="s">
        <v>274</v>
      </c>
    </row>
    <row r="484" spans="2:28" ht="15" customHeight="1" x14ac:dyDescent="0.4">
      <c r="C484" s="34" t="s">
        <v>6</v>
      </c>
      <c r="D484" s="35">
        <v>45530</v>
      </c>
      <c r="E484" s="51" t="s">
        <v>77</v>
      </c>
      <c r="F484" s="33">
        <v>1</v>
      </c>
      <c r="G484" s="27">
        <f t="shared" si="8"/>
        <v>-1</v>
      </c>
      <c r="H484" s="28" t="str">
        <f>VLOOKUP(E484,'Cadastro Produtos (kiwkiw)'!C:E,3,0)</f>
        <v>EarHook Torcido Banho Ouro</v>
      </c>
      <c r="AB484" s="33" t="s">
        <v>272</v>
      </c>
    </row>
    <row r="485" spans="2:28" ht="15" customHeight="1" x14ac:dyDescent="0.4">
      <c r="C485" s="34" t="s">
        <v>6</v>
      </c>
      <c r="D485" s="35">
        <v>45530</v>
      </c>
      <c r="E485" s="51" t="s">
        <v>85</v>
      </c>
      <c r="F485" s="33">
        <v>1</v>
      </c>
      <c r="G485" s="27">
        <f t="shared" si="8"/>
        <v>-1</v>
      </c>
      <c r="H485" s="28" t="str">
        <f>VLOOKUP(E485,'Cadastro Produtos (kiwkiw)'!C:E,3,0)</f>
        <v>Piercing Fake Dots Banho Ouro</v>
      </c>
      <c r="AB485" s="33" t="s">
        <v>274</v>
      </c>
    </row>
    <row r="486" spans="2:28" ht="15" customHeight="1" x14ac:dyDescent="0.4">
      <c r="C486" s="34" t="s">
        <v>6</v>
      </c>
      <c r="D486" s="35">
        <v>45530</v>
      </c>
      <c r="E486" s="51" t="s">
        <v>71</v>
      </c>
      <c r="F486" s="33">
        <v>1</v>
      </c>
      <c r="G486" s="27">
        <f t="shared" si="8"/>
        <v>-1</v>
      </c>
      <c r="H486" s="28" t="str">
        <f>VLOOKUP(E486,'Cadastro Produtos (kiwkiw)'!C:E,3,0)</f>
        <v>Ear Cuff Minimal Banho Ouro</v>
      </c>
      <c r="AB486" s="33" t="s">
        <v>274</v>
      </c>
    </row>
    <row r="487" spans="2:28" ht="15" customHeight="1" x14ac:dyDescent="0.4">
      <c r="C487" s="34" t="s">
        <v>6</v>
      </c>
      <c r="D487" s="35">
        <v>45530</v>
      </c>
      <c r="E487" s="51" t="s">
        <v>76</v>
      </c>
      <c r="F487" s="33">
        <v>1</v>
      </c>
      <c r="G487" s="27">
        <f t="shared" si="8"/>
        <v>-1</v>
      </c>
      <c r="H487" s="28" t="str">
        <f>VLOOKUP(E487,'Cadastro Produtos (kiwkiw)'!C:E,3,0)</f>
        <v>EarHook Dots Banho Ouro</v>
      </c>
      <c r="AB487" s="33" t="s">
        <v>271</v>
      </c>
    </row>
    <row r="488" spans="2:28" ht="15" customHeight="1" x14ac:dyDescent="0.4">
      <c r="C488" s="34" t="s">
        <v>6</v>
      </c>
      <c r="D488" s="35">
        <v>45530</v>
      </c>
      <c r="E488" s="51" t="s">
        <v>51</v>
      </c>
      <c r="F488" s="33">
        <v>1</v>
      </c>
      <c r="G488" s="27">
        <f t="shared" si="8"/>
        <v>-1</v>
      </c>
      <c r="H488" s="28" t="str">
        <f>VLOOKUP(E488,'Cadastro Produtos (kiwkiw)'!C:E,3,0)</f>
        <v>Brinco Mini Flecha Banho Ouro</v>
      </c>
      <c r="AB488" s="33" t="s">
        <v>271</v>
      </c>
    </row>
    <row r="489" spans="2:28" ht="15" customHeight="1" x14ac:dyDescent="0.4">
      <c r="C489" s="34" t="s">
        <v>6</v>
      </c>
      <c r="D489" s="35">
        <v>45530</v>
      </c>
      <c r="E489" s="51" t="s">
        <v>61</v>
      </c>
      <c r="F489" s="33">
        <v>1</v>
      </c>
      <c r="G489" s="27">
        <f t="shared" si="8"/>
        <v>-1</v>
      </c>
      <c r="H489" s="28" t="str">
        <f>VLOOKUP(E489,'Cadastro Produtos (kiwkiw)'!C:E,3,0)</f>
        <v>Brinco Setas Banho Ouro</v>
      </c>
      <c r="AB489" s="33" t="s">
        <v>271</v>
      </c>
    </row>
    <row r="490" spans="2:28" ht="15" customHeight="1" x14ac:dyDescent="0.4">
      <c r="C490" s="34" t="s">
        <v>6</v>
      </c>
      <c r="D490" s="35">
        <v>45530</v>
      </c>
      <c r="E490" s="51" t="s">
        <v>89</v>
      </c>
      <c r="F490" s="33">
        <v>1</v>
      </c>
      <c r="G490" s="27">
        <f t="shared" si="8"/>
        <v>-1</v>
      </c>
      <c r="H490" s="28" t="str">
        <f>VLOOKUP(E490,'Cadastro Produtos (kiwkiw)'!C:E,3,0)</f>
        <v>Colar Dot Banho Ouro</v>
      </c>
      <c r="AB490" s="33" t="s">
        <v>271</v>
      </c>
    </row>
    <row r="491" spans="2:28" ht="15" customHeight="1" x14ac:dyDescent="0.4">
      <c r="C491" s="34" t="s">
        <v>6</v>
      </c>
      <c r="D491" s="35">
        <v>45530</v>
      </c>
      <c r="E491" s="51" t="s">
        <v>74</v>
      </c>
      <c r="F491" s="33">
        <v>1</v>
      </c>
      <c r="G491" s="27">
        <f t="shared" si="8"/>
        <v>-1</v>
      </c>
      <c r="H491" s="28" t="str">
        <f>VLOOKUP(E491,'Cadastro Produtos (kiwkiw)'!C:E,3,0)</f>
        <v>Ear Hook Hug Banho Ouro</v>
      </c>
      <c r="AB491" s="33" t="s">
        <v>275</v>
      </c>
    </row>
    <row r="492" spans="2:28" ht="15" customHeight="1" x14ac:dyDescent="0.4">
      <c r="C492" s="34" t="s">
        <v>6</v>
      </c>
      <c r="D492" s="35">
        <v>45530</v>
      </c>
      <c r="E492" s="51" t="s">
        <v>54</v>
      </c>
      <c r="F492" s="33">
        <v>1</v>
      </c>
      <c r="G492" s="27">
        <f t="shared" si="8"/>
        <v>-1</v>
      </c>
      <c r="H492" s="28" t="str">
        <f>VLOOKUP(E492,'Cadastro Produtos (kiwkiw)'!C:E,3,0)</f>
        <v>Brinco Ivy Banho Ouro</v>
      </c>
      <c r="AB492" s="33" t="s">
        <v>275</v>
      </c>
    </row>
    <row r="493" spans="2:28" ht="15" customHeight="1" x14ac:dyDescent="0.4">
      <c r="C493" s="34" t="s">
        <v>6</v>
      </c>
      <c r="D493" s="35">
        <v>45530</v>
      </c>
      <c r="E493" s="51" t="s">
        <v>123</v>
      </c>
      <c r="F493" s="33">
        <v>1</v>
      </c>
      <c r="G493" s="27">
        <f t="shared" si="8"/>
        <v>-1</v>
      </c>
      <c r="H493" s="28" t="str">
        <f>VLOOKUP(E493,'Cadastro Produtos (kiwkiw)'!C:E,3,0)</f>
        <v>Pulseira Dots Banho Ouro</v>
      </c>
      <c r="AB493" s="33" t="s">
        <v>272</v>
      </c>
    </row>
    <row r="494" spans="2:28" ht="15" customHeight="1" x14ac:dyDescent="0.4">
      <c r="C494" s="34" t="s">
        <v>6</v>
      </c>
      <c r="D494" s="35">
        <v>45530</v>
      </c>
      <c r="E494" s="51" t="s">
        <v>49</v>
      </c>
      <c r="F494" s="33">
        <v>1</v>
      </c>
      <c r="G494" s="27">
        <f t="shared" si="8"/>
        <v>-1</v>
      </c>
      <c r="H494" s="28" t="str">
        <f>VLOOKUP(E494,'Cadastro Produtos (kiwkiw)'!C:E,3,0)</f>
        <v>Brinco Coracao Diamond Banho Ouro</v>
      </c>
      <c r="AB494" s="33" t="s">
        <v>272</v>
      </c>
    </row>
    <row r="495" spans="2:28" ht="15" customHeight="1" x14ac:dyDescent="0.4">
      <c r="C495" s="34" t="s">
        <v>6</v>
      </c>
      <c r="D495" s="35">
        <v>45530</v>
      </c>
      <c r="E495" s="51" t="s">
        <v>38</v>
      </c>
      <c r="F495" s="33">
        <v>1</v>
      </c>
      <c r="G495" s="27">
        <f t="shared" si="8"/>
        <v>-1</v>
      </c>
      <c r="H495" s="28" t="str">
        <f>VLOOKUP(E495,'Cadastro Produtos (kiwkiw)'!C:E,3,0)</f>
        <v>Argolinha Click Dots Banho Ouro</v>
      </c>
      <c r="AB495" s="33" t="s">
        <v>272</v>
      </c>
    </row>
    <row r="496" spans="2:28" ht="15" customHeight="1" x14ac:dyDescent="0.4">
      <c r="C496" s="34" t="s">
        <v>5</v>
      </c>
      <c r="D496" s="35">
        <v>45530</v>
      </c>
      <c r="E496" s="51" t="s">
        <v>74</v>
      </c>
      <c r="F496" s="33">
        <v>1</v>
      </c>
      <c r="G496" s="27">
        <f t="shared" si="8"/>
        <v>1</v>
      </c>
      <c r="H496" s="28" t="str">
        <f>VLOOKUP(E496,'Cadastro Produtos (kiwkiw)'!C:E,3,0)</f>
        <v>Ear Hook Hug Banho Ouro</v>
      </c>
      <c r="I496" s="32" t="s">
        <v>280</v>
      </c>
    </row>
    <row r="497" spans="2:28" ht="15" customHeight="1" x14ac:dyDescent="0.4">
      <c r="C497" s="34" t="s">
        <v>5</v>
      </c>
      <c r="D497" s="35">
        <v>45530</v>
      </c>
      <c r="E497" s="51" t="s">
        <v>49</v>
      </c>
      <c r="F497" s="33">
        <v>1</v>
      </c>
      <c r="G497" s="27">
        <f t="shared" si="8"/>
        <v>1</v>
      </c>
      <c r="H497" s="28" t="str">
        <f>VLOOKUP(E497,'Cadastro Produtos (kiwkiw)'!C:E,3,0)</f>
        <v>Brinco Coracao Diamond Banho Ouro</v>
      </c>
      <c r="I497" s="32" t="s">
        <v>281</v>
      </c>
    </row>
    <row r="498" spans="2:28" ht="15" customHeight="1" x14ac:dyDescent="0.4">
      <c r="C498" s="34" t="s">
        <v>5</v>
      </c>
      <c r="D498" s="35">
        <v>45530</v>
      </c>
      <c r="E498" s="51" t="s">
        <v>74</v>
      </c>
      <c r="F498" s="33">
        <v>1</v>
      </c>
      <c r="G498" s="27">
        <f t="shared" si="8"/>
        <v>1</v>
      </c>
      <c r="H498" s="28" t="str">
        <f>VLOOKUP(E498,'Cadastro Produtos (kiwkiw)'!C:E,3,0)</f>
        <v>Ear Hook Hug Banho Ouro</v>
      </c>
      <c r="I498" s="32" t="s">
        <v>281</v>
      </c>
    </row>
    <row r="499" spans="2:28" ht="15" customHeight="1" x14ac:dyDescent="0.4">
      <c r="C499" s="34" t="s">
        <v>5</v>
      </c>
      <c r="D499" s="35">
        <v>45530</v>
      </c>
      <c r="E499" s="51" t="s">
        <v>61</v>
      </c>
      <c r="F499" s="33">
        <v>1</v>
      </c>
      <c r="G499" s="27">
        <f t="shared" si="8"/>
        <v>1</v>
      </c>
      <c r="H499" s="28" t="str">
        <f>VLOOKUP(E499,'Cadastro Produtos (kiwkiw)'!C:E,3,0)</f>
        <v>Brinco Setas Banho Ouro</v>
      </c>
      <c r="I499" s="32" t="s">
        <v>281</v>
      </c>
    </row>
    <row r="500" spans="2:28" ht="15" customHeight="1" x14ac:dyDescent="0.4">
      <c r="C500" s="34" t="s">
        <v>5</v>
      </c>
      <c r="D500" s="35">
        <v>45530</v>
      </c>
      <c r="E500" s="51" t="s">
        <v>42</v>
      </c>
      <c r="F500" s="33">
        <v>1</v>
      </c>
      <c r="G500" s="27">
        <f t="shared" si="8"/>
        <v>1</v>
      </c>
      <c r="H500" s="28" t="str">
        <f>VLOOKUP(E500,'Cadastro Produtos (kiwkiw)'!C:E,3,0)</f>
        <v>Brinco Arco Banho Ouro</v>
      </c>
      <c r="I500" s="32" t="s">
        <v>281</v>
      </c>
    </row>
    <row r="501" spans="2:28" ht="15" customHeight="1" x14ac:dyDescent="0.4">
      <c r="C501" s="34" t="s">
        <v>5</v>
      </c>
      <c r="D501" s="35">
        <v>45530</v>
      </c>
      <c r="E501" s="51" t="s">
        <v>39</v>
      </c>
      <c r="F501" s="33">
        <v>1</v>
      </c>
      <c r="G501" s="27">
        <f t="shared" si="8"/>
        <v>1</v>
      </c>
      <c r="H501" s="28" t="str">
        <f>VLOOKUP(E501,'Cadastro Produtos (kiwkiw)'!C:E,3,0)</f>
        <v>Argolinha Click Torcida Banho Ouro</v>
      </c>
      <c r="I501" s="32" t="s">
        <v>281</v>
      </c>
    </row>
    <row r="502" spans="2:28" ht="15" customHeight="1" x14ac:dyDescent="0.4">
      <c r="C502" s="34" t="s">
        <v>5</v>
      </c>
      <c r="D502" s="35">
        <v>45530</v>
      </c>
      <c r="E502" s="51" t="s">
        <v>38</v>
      </c>
      <c r="F502" s="33">
        <v>1</v>
      </c>
      <c r="G502" s="27">
        <f>IF(C502="Entrada",F502,-F502)</f>
        <v>1</v>
      </c>
      <c r="H502" s="28" t="str">
        <f>VLOOKUP(E502,'Cadastro Produtos (kiwkiw)'!C:E,3,0)</f>
        <v>Argolinha Click Dots Banho Ouro</v>
      </c>
      <c r="I502" s="32" t="s">
        <v>281</v>
      </c>
    </row>
    <row r="503" spans="2:28" ht="15" customHeight="1" x14ac:dyDescent="0.4">
      <c r="C503" s="34" t="s">
        <v>5</v>
      </c>
      <c r="D503" s="35">
        <v>45530</v>
      </c>
      <c r="E503" s="51" t="s">
        <v>57</v>
      </c>
      <c r="F503" s="33">
        <v>1</v>
      </c>
      <c r="G503" s="27">
        <f>IF(C503="Entrada",F503,-F503)</f>
        <v>1</v>
      </c>
      <c r="H503" s="28" t="str">
        <f>VLOOKUP(E503,'Cadastro Produtos (kiwkiw)'!C:E,3,0)</f>
        <v>Brinco Mini Raio Prateado</v>
      </c>
      <c r="I503" s="32" t="s">
        <v>281</v>
      </c>
    </row>
    <row r="504" spans="2:28" ht="15" customHeight="1" x14ac:dyDescent="0.4">
      <c r="C504" s="34" t="s">
        <v>5</v>
      </c>
      <c r="D504" s="35">
        <v>45530</v>
      </c>
      <c r="E504" s="51" t="s">
        <v>85</v>
      </c>
      <c r="F504" s="33">
        <v>1</v>
      </c>
      <c r="G504" s="27">
        <f t="shared" si="8"/>
        <v>1</v>
      </c>
      <c r="H504" s="28" t="str">
        <f>VLOOKUP(E504,'Cadastro Produtos (kiwkiw)'!C:E,3,0)</f>
        <v>Piercing Fake Dots Banho Ouro</v>
      </c>
      <c r="I504" s="32" t="s">
        <v>281</v>
      </c>
    </row>
    <row r="505" spans="2:28" ht="15" customHeight="1" x14ac:dyDescent="0.4">
      <c r="C505" s="34" t="s">
        <v>5</v>
      </c>
      <c r="D505" s="35">
        <v>45530</v>
      </c>
      <c r="E505" s="51" t="s">
        <v>76</v>
      </c>
      <c r="F505" s="33">
        <v>1</v>
      </c>
      <c r="G505" s="27">
        <f t="shared" si="8"/>
        <v>1</v>
      </c>
      <c r="H505" s="28" t="str">
        <f>VLOOKUP(E505,'Cadastro Produtos (kiwkiw)'!C:E,3,0)</f>
        <v>EarHook Dots Banho Ouro</v>
      </c>
      <c r="I505" s="32" t="s">
        <v>281</v>
      </c>
    </row>
    <row r="506" spans="2:28" ht="15" customHeight="1" x14ac:dyDescent="0.4">
      <c r="B506" s="43">
        <v>45531.423541666663</v>
      </c>
      <c r="C506" s="34" t="s">
        <v>6</v>
      </c>
      <c r="D506" s="35">
        <v>45531</v>
      </c>
      <c r="E506" s="51" t="s">
        <v>103</v>
      </c>
      <c r="F506" s="33">
        <v>1</v>
      </c>
      <c r="G506" s="27">
        <f t="shared" si="8"/>
        <v>-1</v>
      </c>
      <c r="H506" s="28" t="str">
        <f>VLOOKUP(E506,'Cadastro Produtos (kiwkiw)'!C:E,3,0)</f>
        <v>Colar Ivy Banho Ouro</v>
      </c>
      <c r="AB506" s="33" t="s">
        <v>282</v>
      </c>
    </row>
    <row r="507" spans="2:28" ht="15" customHeight="1" x14ac:dyDescent="0.4">
      <c r="C507" s="34" t="s">
        <v>6</v>
      </c>
      <c r="D507" s="35">
        <v>45531</v>
      </c>
      <c r="E507" s="51" t="s">
        <v>93</v>
      </c>
      <c r="F507" s="33">
        <v>1</v>
      </c>
      <c r="G507" s="27">
        <f t="shared" si="8"/>
        <v>-1</v>
      </c>
      <c r="H507" s="28" t="str">
        <f>VLOOKUP(E507,'Cadastro Produtos (kiwkiw)'!C:E,3,0)</f>
        <v>Colar Coracao Prateado</v>
      </c>
      <c r="AB507" s="33" t="s">
        <v>283</v>
      </c>
    </row>
    <row r="508" spans="2:28" ht="15" customHeight="1" x14ac:dyDescent="0.4">
      <c r="C508" s="34" t="s">
        <v>6</v>
      </c>
      <c r="D508" s="35">
        <v>45531</v>
      </c>
      <c r="E508" s="51" t="s">
        <v>118</v>
      </c>
      <c r="F508" s="33">
        <v>1</v>
      </c>
      <c r="G508" s="27">
        <f t="shared" si="8"/>
        <v>-1</v>
      </c>
      <c r="H508" s="28" t="str">
        <f>VLOOKUP(E508,'Cadastro Produtos (kiwkiw)'!C:E,3,0)</f>
        <v>Gargantilha Minimal Prateada</v>
      </c>
      <c r="AB508" s="33" t="s">
        <v>283</v>
      </c>
    </row>
    <row r="509" spans="2:28" ht="15" customHeight="1" x14ac:dyDescent="0.4">
      <c r="C509" s="34" t="s">
        <v>6</v>
      </c>
      <c r="D509" s="35">
        <v>45531</v>
      </c>
      <c r="E509" s="51" t="s">
        <v>94</v>
      </c>
      <c r="F509" s="33">
        <v>1</v>
      </c>
      <c r="G509" s="27">
        <f t="shared" si="8"/>
        <v>-1</v>
      </c>
      <c r="H509" s="28" t="str">
        <f>VLOOKUP(E509,'Cadastro Produtos (kiwkiw)'!C:E,3,0)</f>
        <v>Colar Duplo Dots Banho Ouro</v>
      </c>
      <c r="AB509" s="33" t="s">
        <v>284</v>
      </c>
    </row>
    <row r="510" spans="2:28" ht="15" customHeight="1" x14ac:dyDescent="0.4">
      <c r="C510" s="34" t="s">
        <v>6</v>
      </c>
      <c r="D510" s="35">
        <v>45531</v>
      </c>
      <c r="E510" s="51" t="s">
        <v>121</v>
      </c>
      <c r="F510" s="33">
        <v>1</v>
      </c>
      <c r="G510" s="27">
        <f t="shared" si="8"/>
        <v>-1</v>
      </c>
      <c r="H510" s="28" t="str">
        <f>VLOOKUP(E510,'Cadastro Produtos (kiwkiw)'!C:E,3,0)</f>
        <v>Bracelete Wave Banho Ouro</v>
      </c>
      <c r="AB510" s="33" t="s">
        <v>284</v>
      </c>
    </row>
    <row r="511" spans="2:28" ht="15" customHeight="1" x14ac:dyDescent="0.4">
      <c r="C511" s="34" t="s">
        <v>6</v>
      </c>
      <c r="D511" s="35">
        <v>45531</v>
      </c>
      <c r="E511" s="51" t="s">
        <v>55</v>
      </c>
      <c r="F511" s="33">
        <v>1</v>
      </c>
      <c r="G511" s="27">
        <f t="shared" si="8"/>
        <v>-1</v>
      </c>
      <c r="H511" s="28" t="str">
        <f>VLOOKUP(E511,'Cadastro Produtos (kiwkiw)'!C:E,3,0)</f>
        <v>Brinco Ivy Prateado</v>
      </c>
      <c r="AB511" s="33" t="s">
        <v>285</v>
      </c>
    </row>
    <row r="512" spans="2:28" ht="15" customHeight="1" x14ac:dyDescent="0.4">
      <c r="C512" s="34" t="s">
        <v>6</v>
      </c>
      <c r="D512" s="35">
        <v>45531</v>
      </c>
      <c r="E512" s="51" t="s">
        <v>48</v>
      </c>
      <c r="F512" s="33">
        <v>1</v>
      </c>
      <c r="G512" s="27">
        <f t="shared" si="8"/>
        <v>-1</v>
      </c>
      <c r="H512" s="28" t="str">
        <f>VLOOKUP(E512,'Cadastro Produtos (kiwkiw)'!C:E,3,0)</f>
        <v>Brinco Gota Click Banho Ouro</v>
      </c>
      <c r="AB512" s="33" t="s">
        <v>286</v>
      </c>
    </row>
    <row r="513" spans="2:28" ht="15" customHeight="1" x14ac:dyDescent="0.4">
      <c r="B513" s="43">
        <v>45532.424872685187</v>
      </c>
      <c r="C513" s="34" t="s">
        <v>6</v>
      </c>
      <c r="D513" s="35">
        <v>45532</v>
      </c>
      <c r="E513" s="51" t="s">
        <v>46</v>
      </c>
      <c r="F513" s="33">
        <v>1</v>
      </c>
      <c r="G513" s="27">
        <f t="shared" si="8"/>
        <v>-1</v>
      </c>
      <c r="H513" s="28" t="str">
        <f>VLOOKUP(E513,'Cadastro Produtos (kiwkiw)'!C:E,3,0)</f>
        <v>Brinco Bubble Pequeno Banho Ouro</v>
      </c>
      <c r="AB513" s="33" t="s">
        <v>287</v>
      </c>
    </row>
    <row r="514" spans="2:28" ht="15" customHeight="1" x14ac:dyDescent="0.4">
      <c r="C514" s="34" t="s">
        <v>6</v>
      </c>
      <c r="D514" s="35">
        <v>45532</v>
      </c>
      <c r="E514" s="51" t="s">
        <v>91</v>
      </c>
      <c r="F514" s="33">
        <v>1</v>
      </c>
      <c r="G514" s="27">
        <f t="shared" si="8"/>
        <v>-1</v>
      </c>
      <c r="H514" s="28" t="str">
        <f>VLOOKUP(E514,'Cadastro Produtos (kiwkiw)'!C:E,3,0)</f>
        <v>Colar Rosa dos Ventos Banho Ouro</v>
      </c>
      <c r="AB514" s="33" t="s">
        <v>288</v>
      </c>
    </row>
    <row r="515" spans="2:28" ht="15" customHeight="1" x14ac:dyDescent="0.4">
      <c r="C515" s="34" t="s">
        <v>6</v>
      </c>
      <c r="D515" s="35">
        <v>45532</v>
      </c>
      <c r="E515" s="51" t="s">
        <v>91</v>
      </c>
      <c r="F515" s="33">
        <v>1</v>
      </c>
      <c r="G515" s="27">
        <f t="shared" si="8"/>
        <v>-1</v>
      </c>
      <c r="H515" s="28" t="str">
        <f>VLOOKUP(E515,'Cadastro Produtos (kiwkiw)'!C:E,3,0)</f>
        <v>Colar Rosa dos Ventos Banho Ouro</v>
      </c>
      <c r="AB515" s="33" t="s">
        <v>289</v>
      </c>
    </row>
    <row r="516" spans="2:28" ht="15" customHeight="1" x14ac:dyDescent="0.4">
      <c r="C516" s="34" t="s">
        <v>6</v>
      </c>
      <c r="D516" s="35">
        <v>45532</v>
      </c>
      <c r="E516" s="51" t="s">
        <v>118</v>
      </c>
      <c r="F516" s="33">
        <v>1</v>
      </c>
      <c r="G516" s="27">
        <f t="shared" si="8"/>
        <v>-1</v>
      </c>
      <c r="H516" s="28" t="str">
        <f>VLOOKUP(E516,'Cadastro Produtos (kiwkiw)'!C:E,3,0)</f>
        <v>Gargantilha Minimal Prateada</v>
      </c>
      <c r="AB516" s="33" t="s">
        <v>290</v>
      </c>
    </row>
    <row r="517" spans="2:28" ht="15" customHeight="1" x14ac:dyDescent="0.4">
      <c r="B517" s="43"/>
      <c r="C517" s="34" t="s">
        <v>6</v>
      </c>
      <c r="D517" s="35">
        <v>45532</v>
      </c>
      <c r="E517" s="51" t="s">
        <v>106</v>
      </c>
      <c r="F517" s="33">
        <v>1</v>
      </c>
      <c r="G517" s="27">
        <f t="shared" si="8"/>
        <v>-1</v>
      </c>
      <c r="H517" s="28" t="str">
        <f>VLOOKUP(E517,'Cadastro Produtos (kiwkiw)'!C:E,3,0)</f>
        <v>Colar Sao Jorge Banho Ouro</v>
      </c>
      <c r="AB517" s="33" t="s">
        <v>289</v>
      </c>
    </row>
    <row r="518" spans="2:28" ht="15" customHeight="1" x14ac:dyDescent="0.4">
      <c r="C518" s="34" t="s">
        <v>6</v>
      </c>
      <c r="D518" s="35">
        <v>45532</v>
      </c>
      <c r="E518" s="51" t="s">
        <v>89</v>
      </c>
      <c r="F518" s="33">
        <v>1</v>
      </c>
      <c r="G518" s="27">
        <f t="shared" si="8"/>
        <v>-1</v>
      </c>
      <c r="H518" s="28" t="str">
        <f>VLOOKUP(E518,'Cadastro Produtos (kiwkiw)'!C:E,3,0)</f>
        <v>Colar Dot Banho Ouro</v>
      </c>
      <c r="AB518" s="33" t="s">
        <v>289</v>
      </c>
    </row>
    <row r="519" spans="2:28" ht="15" customHeight="1" x14ac:dyDescent="0.4">
      <c r="B519" s="43">
        <v>45533.419583333336</v>
      </c>
      <c r="C519" s="34" t="s">
        <v>6</v>
      </c>
      <c r="D519" s="35">
        <v>45533</v>
      </c>
      <c r="E519" s="51" t="s">
        <v>94</v>
      </c>
      <c r="F519" s="33">
        <v>1</v>
      </c>
      <c r="G519" s="27">
        <f t="shared" si="8"/>
        <v>-1</v>
      </c>
      <c r="H519" s="28" t="str">
        <f>VLOOKUP(E519,'Cadastro Produtos (kiwkiw)'!C:E,3,0)</f>
        <v>Colar Duplo Dots Banho Ouro</v>
      </c>
      <c r="AB519" s="33" t="s">
        <v>291</v>
      </c>
    </row>
    <row r="520" spans="2:28" ht="15" customHeight="1" x14ac:dyDescent="0.4">
      <c r="C520" s="34" t="s">
        <v>6</v>
      </c>
      <c r="D520" s="35">
        <v>45533</v>
      </c>
      <c r="E520" s="51" t="s">
        <v>103</v>
      </c>
      <c r="F520" s="33">
        <v>1</v>
      </c>
      <c r="G520" s="27">
        <f t="shared" si="8"/>
        <v>-1</v>
      </c>
      <c r="H520" s="28" t="str">
        <f>VLOOKUP(E520,'Cadastro Produtos (kiwkiw)'!C:E,3,0)</f>
        <v>Colar Ivy Banho Ouro</v>
      </c>
      <c r="AB520" s="33" t="s">
        <v>291</v>
      </c>
    </row>
    <row r="521" spans="2:28" ht="15" customHeight="1" x14ac:dyDescent="0.4">
      <c r="C521" s="34" t="s">
        <v>6</v>
      </c>
      <c r="D521" s="35">
        <v>45533</v>
      </c>
      <c r="E521" s="51" t="s">
        <v>89</v>
      </c>
      <c r="F521" s="33">
        <v>1</v>
      </c>
      <c r="G521" s="27">
        <f t="shared" si="8"/>
        <v>-1</v>
      </c>
      <c r="H521" s="28" t="str">
        <f>VLOOKUP(E521,'Cadastro Produtos (kiwkiw)'!C:E,3,0)</f>
        <v>Colar Dot Banho Ouro</v>
      </c>
      <c r="AB521" s="33" t="s">
        <v>291</v>
      </c>
    </row>
    <row r="522" spans="2:28" ht="15" customHeight="1" x14ac:dyDescent="0.4">
      <c r="C522" s="34" t="s">
        <v>6</v>
      </c>
      <c r="D522" s="35">
        <v>45533</v>
      </c>
      <c r="E522" s="51" t="s">
        <v>89</v>
      </c>
      <c r="F522" s="33">
        <v>1</v>
      </c>
      <c r="G522" s="27">
        <f t="shared" si="8"/>
        <v>-1</v>
      </c>
      <c r="H522" s="28" t="str">
        <f>VLOOKUP(E522,'Cadastro Produtos (kiwkiw)'!C:E,3,0)</f>
        <v>Colar Dot Banho Ouro</v>
      </c>
      <c r="AB522" s="33" t="s">
        <v>292</v>
      </c>
    </row>
    <row r="523" spans="2:28" ht="15" customHeight="1" x14ac:dyDescent="0.4">
      <c r="C523" s="34" t="s">
        <v>6</v>
      </c>
      <c r="D523" s="35">
        <v>45533</v>
      </c>
      <c r="E523" s="51" t="s">
        <v>40</v>
      </c>
      <c r="F523" s="33">
        <v>1</v>
      </c>
      <c r="G523" s="27">
        <f t="shared" si="8"/>
        <v>-1</v>
      </c>
      <c r="H523" s="28" t="str">
        <f>VLOOKUP(E523,'Cadastro Produtos (kiwkiw)'!C:E,3,0)</f>
        <v>Argolinha Folha Banho Ouro</v>
      </c>
      <c r="AB523" s="33" t="s">
        <v>291</v>
      </c>
    </row>
    <row r="524" spans="2:28" ht="15" customHeight="1" x14ac:dyDescent="0.4">
      <c r="C524" s="34" t="s">
        <v>6</v>
      </c>
      <c r="D524" s="35">
        <v>45533</v>
      </c>
      <c r="E524" s="51" t="s">
        <v>71</v>
      </c>
      <c r="F524" s="33">
        <v>1</v>
      </c>
      <c r="G524" s="27">
        <f t="shared" si="8"/>
        <v>-1</v>
      </c>
      <c r="H524" s="28" t="str">
        <f>VLOOKUP(E524,'Cadastro Produtos (kiwkiw)'!C:E,3,0)</f>
        <v>Ear Cuff Minimal Banho Ouro</v>
      </c>
      <c r="AB524" s="33" t="s">
        <v>293</v>
      </c>
    </row>
    <row r="525" spans="2:28" ht="15" customHeight="1" x14ac:dyDescent="0.4">
      <c r="C525" s="34" t="s">
        <v>6</v>
      </c>
      <c r="D525" s="35">
        <v>45533</v>
      </c>
      <c r="E525" s="51" t="s">
        <v>76</v>
      </c>
      <c r="F525" s="33">
        <v>1</v>
      </c>
      <c r="G525" s="27">
        <f t="shared" si="8"/>
        <v>-1</v>
      </c>
      <c r="H525" s="28" t="str">
        <f>VLOOKUP(E525,'Cadastro Produtos (kiwkiw)'!C:E,3,0)</f>
        <v>EarHook Dots Banho Ouro</v>
      </c>
      <c r="AB525" s="33" t="s">
        <v>293</v>
      </c>
    </row>
    <row r="526" spans="2:28" ht="15" customHeight="1" x14ac:dyDescent="0.4">
      <c r="B526" s="43"/>
      <c r="C526" s="34" t="s">
        <v>6</v>
      </c>
      <c r="D526" s="35">
        <v>45533</v>
      </c>
      <c r="E526" s="51" t="s">
        <v>38</v>
      </c>
      <c r="F526" s="33">
        <v>2</v>
      </c>
      <c r="G526" s="27">
        <f t="shared" si="8"/>
        <v>-2</v>
      </c>
      <c r="H526" s="28" t="str">
        <f>VLOOKUP(E526,'Cadastro Produtos (kiwkiw)'!C:E,3,0)</f>
        <v>Argolinha Click Dots Banho Ouro</v>
      </c>
      <c r="AB526" s="33" t="s">
        <v>293</v>
      </c>
    </row>
    <row r="527" spans="2:28" ht="15" customHeight="1" x14ac:dyDescent="0.4">
      <c r="C527" s="34" t="s">
        <v>6</v>
      </c>
      <c r="D527" s="35">
        <v>45533</v>
      </c>
      <c r="E527" s="51" t="s">
        <v>56</v>
      </c>
      <c r="F527" s="33">
        <v>1</v>
      </c>
      <c r="G527" s="27">
        <f t="shared" si="8"/>
        <v>-1</v>
      </c>
      <c r="H527" s="28" t="str">
        <f>VLOOKUP(E527,'Cadastro Produtos (kiwkiw)'!C:E,3,0)</f>
        <v>Brinco Mini Raio Banho Ouro</v>
      </c>
      <c r="AB527" s="33" t="s">
        <v>294</v>
      </c>
    </row>
    <row r="528" spans="2:28" ht="15" customHeight="1" x14ac:dyDescent="0.4">
      <c r="C528" s="34" t="s">
        <v>6</v>
      </c>
      <c r="D528" s="35">
        <v>45533</v>
      </c>
      <c r="E528" s="51" t="s">
        <v>72</v>
      </c>
      <c r="F528" s="33">
        <v>1</v>
      </c>
      <c r="G528" s="27">
        <f t="shared" ref="G528:G591" si="9">IF(C528="Entrada",F528,-F528)</f>
        <v>-1</v>
      </c>
      <c r="H528" s="28" t="str">
        <f>VLOOKUP(E528,'Cadastro Produtos (kiwkiw)'!C:E,3,0)</f>
        <v>Ear Hook Line Banho Ouro</v>
      </c>
      <c r="AB528" s="33" t="s">
        <v>294</v>
      </c>
    </row>
    <row r="529" spans="2:28" ht="15" customHeight="1" x14ac:dyDescent="0.4">
      <c r="C529" s="34" t="s">
        <v>6</v>
      </c>
      <c r="D529" s="35">
        <v>45533</v>
      </c>
      <c r="E529" s="51" t="s">
        <v>86</v>
      </c>
      <c r="F529" s="33">
        <v>1</v>
      </c>
      <c r="G529" s="27">
        <f t="shared" si="9"/>
        <v>-1</v>
      </c>
      <c r="H529" s="28" t="str">
        <f>VLOOKUP(E529,'Cadastro Produtos (kiwkiw)'!C:E,3,0)</f>
        <v>Piercing Fake Minimal Banho Ouro</v>
      </c>
      <c r="AB529" s="33" t="s">
        <v>294</v>
      </c>
    </row>
    <row r="530" spans="2:28" ht="15" customHeight="1" x14ac:dyDescent="0.4">
      <c r="C530" s="34" t="s">
        <v>6</v>
      </c>
      <c r="D530" s="35">
        <v>45533</v>
      </c>
      <c r="E530" s="51" t="s">
        <v>91</v>
      </c>
      <c r="F530" s="33">
        <v>1</v>
      </c>
      <c r="G530" s="27">
        <f t="shared" si="9"/>
        <v>-1</v>
      </c>
      <c r="H530" s="28" t="str">
        <f>VLOOKUP(E530,'Cadastro Produtos (kiwkiw)'!C:E,3,0)</f>
        <v>Colar Rosa dos Ventos Banho Ouro</v>
      </c>
      <c r="AB530" s="33" t="s">
        <v>295</v>
      </c>
    </row>
    <row r="531" spans="2:28" ht="15" customHeight="1" x14ac:dyDescent="0.4">
      <c r="C531" s="34" t="s">
        <v>6</v>
      </c>
      <c r="D531" s="35">
        <v>45533</v>
      </c>
      <c r="E531" s="51" t="s">
        <v>117</v>
      </c>
      <c r="F531" s="33">
        <v>1</v>
      </c>
      <c r="G531" s="27">
        <f t="shared" si="9"/>
        <v>-1</v>
      </c>
      <c r="H531" s="28" t="str">
        <f>VLOOKUP(E531,'Cadastro Produtos (kiwkiw)'!C:E,3,0)</f>
        <v>Gargantilha Minimal Banho Ouro</v>
      </c>
      <c r="AB531" s="33" t="s">
        <v>295</v>
      </c>
    </row>
    <row r="532" spans="2:28" ht="15" customHeight="1" x14ac:dyDescent="0.4">
      <c r="C532" s="34" t="s">
        <v>6</v>
      </c>
      <c r="D532" s="35">
        <v>45533</v>
      </c>
      <c r="E532" s="51" t="s">
        <v>53</v>
      </c>
      <c r="F532" s="33">
        <v>1</v>
      </c>
      <c r="G532" s="27">
        <f t="shared" si="9"/>
        <v>-1</v>
      </c>
      <c r="H532" s="28" t="str">
        <f>VLOOKUP(E532,'Cadastro Produtos (kiwkiw)'!C:E,3,0)</f>
        <v>Brinco Infinito Banho Ouro</v>
      </c>
      <c r="AB532" s="33" t="s">
        <v>296</v>
      </c>
    </row>
    <row r="533" spans="2:28" ht="15" customHeight="1" x14ac:dyDescent="0.4">
      <c r="C533" s="34" t="s">
        <v>6</v>
      </c>
      <c r="D533" s="35">
        <v>45533</v>
      </c>
      <c r="E533" s="51" t="s">
        <v>79</v>
      </c>
      <c r="F533" s="33">
        <v>1</v>
      </c>
      <c r="G533" s="27">
        <f t="shared" si="9"/>
        <v>-1</v>
      </c>
      <c r="H533" s="28" t="str">
        <f>VLOOKUP(E533,'Cadastro Produtos (kiwkiw)'!C:E,3,0)</f>
        <v>Kit Brincos Coracao e Triangulo Banho Ouro</v>
      </c>
      <c r="AB533" s="33" t="s">
        <v>297</v>
      </c>
    </row>
    <row r="534" spans="2:28" ht="15" customHeight="1" x14ac:dyDescent="0.4">
      <c r="B534" s="43">
        <v>45534.418680555558</v>
      </c>
      <c r="C534" s="34" t="s">
        <v>6</v>
      </c>
      <c r="D534" s="35">
        <v>45534</v>
      </c>
      <c r="E534" s="51" t="s">
        <v>25</v>
      </c>
      <c r="F534" s="33">
        <v>1</v>
      </c>
      <c r="G534" s="27">
        <f t="shared" si="9"/>
        <v>-1</v>
      </c>
      <c r="H534" s="28" t="str">
        <f>VLOOKUP(E534,'Cadastro Produtos (kiwkiw)'!C:E,3,0)</f>
        <v>Argola Amy Banho Ouro</v>
      </c>
      <c r="AB534" s="33" t="s">
        <v>298</v>
      </c>
    </row>
    <row r="535" spans="2:28" ht="15" customHeight="1" x14ac:dyDescent="0.4">
      <c r="C535" s="34" t="s">
        <v>6</v>
      </c>
      <c r="D535" s="35">
        <v>45534</v>
      </c>
      <c r="E535" s="51" t="s">
        <v>112</v>
      </c>
      <c r="F535" s="33">
        <v>1</v>
      </c>
      <c r="G535" s="27">
        <f t="shared" si="9"/>
        <v>-1</v>
      </c>
      <c r="H535" s="28" t="str">
        <f>VLOOKUP(E535,'Cadastro Produtos (kiwkiw)'!C:E,3,0)</f>
        <v>Gargantilha Escama Banho Ouro</v>
      </c>
      <c r="AB535" s="33" t="s">
        <v>299</v>
      </c>
    </row>
    <row r="536" spans="2:28" ht="15" customHeight="1" x14ac:dyDescent="0.4">
      <c r="C536" s="34" t="s">
        <v>6</v>
      </c>
      <c r="D536" s="35">
        <v>45534</v>
      </c>
      <c r="E536" s="51" t="s">
        <v>89</v>
      </c>
      <c r="F536" s="33">
        <v>1</v>
      </c>
      <c r="G536" s="27">
        <f t="shared" si="9"/>
        <v>-1</v>
      </c>
      <c r="H536" s="28" t="str">
        <f>VLOOKUP(E536,'Cadastro Produtos (kiwkiw)'!C:E,3,0)</f>
        <v>Colar Dot Banho Ouro</v>
      </c>
      <c r="AB536" s="33" t="s">
        <v>300</v>
      </c>
    </row>
    <row r="537" spans="2:28" ht="15" customHeight="1" x14ac:dyDescent="0.4">
      <c r="C537" s="34" t="s">
        <v>6</v>
      </c>
      <c r="D537" s="35">
        <v>45534</v>
      </c>
      <c r="E537" s="51" t="s">
        <v>69</v>
      </c>
      <c r="F537" s="33">
        <v>1</v>
      </c>
      <c r="G537" s="27">
        <f t="shared" si="9"/>
        <v>-1</v>
      </c>
      <c r="H537" s="28" t="str">
        <f>VLOOKUP(E537,'Cadastro Produtos (kiwkiw)'!C:E,3,0)</f>
        <v>Brinco Tubinho Pequeno Banho Ouro</v>
      </c>
      <c r="AB537" s="33" t="s">
        <v>301</v>
      </c>
    </row>
    <row r="538" spans="2:28" ht="15" customHeight="1" x14ac:dyDescent="0.4">
      <c r="C538" s="34" t="s">
        <v>6</v>
      </c>
      <c r="D538" s="35">
        <v>45534</v>
      </c>
      <c r="E538" s="51" t="s">
        <v>34</v>
      </c>
      <c r="F538" s="33">
        <v>1</v>
      </c>
      <c r="G538" s="27">
        <f t="shared" si="9"/>
        <v>-1</v>
      </c>
      <c r="H538" s="28" t="str">
        <f>VLOOKUP(E538,'Cadastro Produtos (kiwkiw)'!C:E,3,0)</f>
        <v>Argola Tripla Banho Ouro</v>
      </c>
      <c r="AB538" s="33" t="s">
        <v>301</v>
      </c>
    </row>
    <row r="539" spans="2:28" ht="15" customHeight="1" x14ac:dyDescent="0.4">
      <c r="B539" s="43"/>
      <c r="C539" s="34" t="s">
        <v>6</v>
      </c>
      <c r="D539" s="35">
        <v>45534</v>
      </c>
      <c r="E539" s="51" t="s">
        <v>88</v>
      </c>
      <c r="F539" s="36">
        <v>1</v>
      </c>
      <c r="G539" s="27">
        <f t="shared" si="9"/>
        <v>-1</v>
      </c>
      <c r="H539" s="28" t="str">
        <f>VLOOKUP(E539,'Cadastro Produtos (kiwkiw)'!C:E,3,0)</f>
        <v>Piercing Fake Classy Prateado</v>
      </c>
      <c r="AB539" s="33" t="s">
        <v>302</v>
      </c>
    </row>
    <row r="540" spans="2:28" ht="15" customHeight="1" x14ac:dyDescent="0.4">
      <c r="C540" s="34" t="s">
        <v>6</v>
      </c>
      <c r="D540" s="35">
        <v>45534</v>
      </c>
      <c r="E540" s="51" t="s">
        <v>106</v>
      </c>
      <c r="F540" s="36">
        <v>1</v>
      </c>
      <c r="G540" s="27">
        <f t="shared" si="9"/>
        <v>-1</v>
      </c>
      <c r="H540" s="28" t="str">
        <f>VLOOKUP(E540,'Cadastro Produtos (kiwkiw)'!C:E,3,0)</f>
        <v>Colar Sao Jorge Banho Ouro</v>
      </c>
      <c r="AB540" s="33" t="s">
        <v>303</v>
      </c>
    </row>
    <row r="541" spans="2:28" ht="16.95" customHeight="1" x14ac:dyDescent="0.4">
      <c r="C541" s="34" t="s">
        <v>6</v>
      </c>
      <c r="D541" s="35">
        <v>45534</v>
      </c>
      <c r="E541" s="51" t="s">
        <v>65</v>
      </c>
      <c r="F541" s="36">
        <v>1</v>
      </c>
      <c r="G541" s="27">
        <f t="shared" si="9"/>
        <v>-1</v>
      </c>
      <c r="H541" s="28" t="str">
        <f>VLOOKUP(E541,'Cadastro Produtos (kiwkiw)'!C:E,3,0)</f>
        <v>Brinco Spring Banho Ouro</v>
      </c>
      <c r="AB541" s="33" t="s">
        <v>304</v>
      </c>
    </row>
    <row r="542" spans="2:28" ht="15" customHeight="1" x14ac:dyDescent="0.4">
      <c r="C542" s="34" t="s">
        <v>6</v>
      </c>
      <c r="D542" s="35">
        <v>45534</v>
      </c>
      <c r="E542" s="51" t="s">
        <v>12</v>
      </c>
      <c r="F542" s="36">
        <v>1</v>
      </c>
      <c r="G542" s="27">
        <f t="shared" si="9"/>
        <v>-1</v>
      </c>
      <c r="H542" s="28" t="str">
        <f>VLOOKUP(E542,'Cadastro Produtos (kiwkiw)'!C:E,3,0)</f>
        <v>Anel Duplo Banho Ouro</v>
      </c>
      <c r="AB542" s="33" t="s">
        <v>304</v>
      </c>
    </row>
    <row r="543" spans="2:28" ht="15" customHeight="1" x14ac:dyDescent="0.4">
      <c r="C543" s="34" t="s">
        <v>5</v>
      </c>
      <c r="D543" s="35">
        <v>45534</v>
      </c>
      <c r="E543" s="51" t="s">
        <v>47</v>
      </c>
      <c r="F543" s="36">
        <v>1</v>
      </c>
      <c r="G543" s="27">
        <f t="shared" si="9"/>
        <v>1</v>
      </c>
      <c r="H543" s="28" t="str">
        <f>VLOOKUP(E543,'Cadastro Produtos (kiwkiw)'!C:E,3,0)</f>
        <v>Brinco Circle Banho Ouro</v>
      </c>
      <c r="I543" s="32" t="s">
        <v>305</v>
      </c>
    </row>
    <row r="544" spans="2:28" ht="15" customHeight="1" x14ac:dyDescent="0.4">
      <c r="B544" s="43">
        <v>45537.422314814816</v>
      </c>
      <c r="C544" s="34" t="s">
        <v>6</v>
      </c>
      <c r="D544" s="35">
        <v>45537</v>
      </c>
      <c r="E544" s="51" t="s">
        <v>87</v>
      </c>
      <c r="F544" s="36">
        <v>1</v>
      </c>
      <c r="G544" s="27">
        <f t="shared" si="9"/>
        <v>-1</v>
      </c>
      <c r="H544" s="28" t="str">
        <f>VLOOKUP(E544,'Cadastro Produtos (kiwkiw)'!C:E,3,0)</f>
        <v>Piercing Fake Classy Banho Ouro</v>
      </c>
      <c r="AB544" s="33" t="s">
        <v>306</v>
      </c>
    </row>
    <row r="545" spans="2:28" ht="15" customHeight="1" x14ac:dyDescent="0.4">
      <c r="C545" s="34" t="s">
        <v>6</v>
      </c>
      <c r="D545" s="35">
        <v>45537</v>
      </c>
      <c r="E545" s="51" t="s">
        <v>30</v>
      </c>
      <c r="F545" s="36">
        <v>1</v>
      </c>
      <c r="G545" s="27">
        <f t="shared" si="9"/>
        <v>-1</v>
      </c>
      <c r="H545" s="28" t="str">
        <f>VLOOKUP(E545,'Cadastro Produtos (kiwkiw)'!C:E,3,0)</f>
        <v>Argola Organica Banho Ouro</v>
      </c>
      <c r="AB545" s="33" t="s">
        <v>307</v>
      </c>
    </row>
    <row r="546" spans="2:28" ht="15" customHeight="1" x14ac:dyDescent="0.4">
      <c r="C546" s="34" t="s">
        <v>6</v>
      </c>
      <c r="D546" s="35">
        <v>45537</v>
      </c>
      <c r="E546" s="51" t="s">
        <v>30</v>
      </c>
      <c r="F546" s="36">
        <v>1</v>
      </c>
      <c r="G546" s="27">
        <f t="shared" si="9"/>
        <v>-1</v>
      </c>
      <c r="H546" s="28" t="str">
        <f>VLOOKUP(E546,'Cadastro Produtos (kiwkiw)'!C:E,3,0)</f>
        <v>Argola Organica Banho Ouro</v>
      </c>
      <c r="AB546" s="33" t="s">
        <v>308</v>
      </c>
    </row>
    <row r="547" spans="2:28" ht="15" customHeight="1" x14ac:dyDescent="0.4">
      <c r="C547" s="34" t="s">
        <v>6</v>
      </c>
      <c r="D547" s="35">
        <v>45537</v>
      </c>
      <c r="E547" s="51" t="s">
        <v>61</v>
      </c>
      <c r="F547" s="36">
        <v>1</v>
      </c>
      <c r="G547" s="27">
        <f t="shared" si="9"/>
        <v>-1</v>
      </c>
      <c r="H547" s="28" t="str">
        <f>VLOOKUP(E547,'Cadastro Produtos (kiwkiw)'!C:E,3,0)</f>
        <v>Brinco Setas Banho Ouro</v>
      </c>
      <c r="AB547" s="33" t="s">
        <v>309</v>
      </c>
    </row>
    <row r="548" spans="2:28" ht="15" customHeight="1" x14ac:dyDescent="0.4">
      <c r="C548" s="34" t="s">
        <v>6</v>
      </c>
      <c r="D548" s="35">
        <v>45537</v>
      </c>
      <c r="E548" s="51" t="s">
        <v>58</v>
      </c>
      <c r="F548" s="36">
        <v>1</v>
      </c>
      <c r="G548" s="27">
        <f t="shared" si="9"/>
        <v>-1</v>
      </c>
      <c r="H548" s="28" t="str">
        <f>VLOOKUP(E548,'Cadastro Produtos (kiwkiw)'!C:E,3,0)</f>
        <v>Brinco Mini Triangulo Prateado</v>
      </c>
      <c r="AB548" s="33" t="s">
        <v>309</v>
      </c>
    </row>
    <row r="549" spans="2:28" ht="15" customHeight="1" x14ac:dyDescent="0.4">
      <c r="C549" s="34" t="s">
        <v>6</v>
      </c>
      <c r="D549" s="35">
        <v>45537</v>
      </c>
      <c r="E549" s="51" t="s">
        <v>81</v>
      </c>
      <c r="F549" s="36">
        <v>1</v>
      </c>
      <c r="G549" s="27">
        <f t="shared" si="9"/>
        <v>-1</v>
      </c>
      <c r="H549" s="28" t="str">
        <f>VLOOKUP(E549,'Cadastro Produtos (kiwkiw)'!C:E,3,0)</f>
        <v>Meia Argola Croissant Prateada</v>
      </c>
      <c r="AB549" s="33" t="s">
        <v>309</v>
      </c>
    </row>
    <row r="550" spans="2:28" ht="15" customHeight="1" x14ac:dyDescent="0.4">
      <c r="C550" s="34" t="s">
        <v>6</v>
      </c>
      <c r="D550" s="35">
        <v>45537</v>
      </c>
      <c r="E550" s="51" t="s">
        <v>74</v>
      </c>
      <c r="F550" s="36">
        <v>1</v>
      </c>
      <c r="G550" s="27">
        <f t="shared" si="9"/>
        <v>-1</v>
      </c>
      <c r="H550" s="28" t="str">
        <f>VLOOKUP(E550,'Cadastro Produtos (kiwkiw)'!C:E,3,0)</f>
        <v>Ear Hook Hug Banho Ouro</v>
      </c>
      <c r="AB550" s="33" t="s">
        <v>310</v>
      </c>
    </row>
    <row r="551" spans="2:28" ht="15" customHeight="1" x14ac:dyDescent="0.4">
      <c r="B551" s="43"/>
      <c r="C551" s="34" t="s">
        <v>6</v>
      </c>
      <c r="D551" s="35">
        <v>45537</v>
      </c>
      <c r="E551" s="51" t="s">
        <v>68</v>
      </c>
      <c r="F551" s="33">
        <v>1</v>
      </c>
      <c r="G551" s="27">
        <f t="shared" si="9"/>
        <v>-1</v>
      </c>
      <c r="H551" s="28" t="str">
        <f>VLOOKUP(E551,'Cadastro Produtos (kiwkiw)'!C:E,3,0)</f>
        <v>Brinco Tubinho Medio Banho Ouro</v>
      </c>
      <c r="AB551" s="33" t="s">
        <v>311</v>
      </c>
    </row>
    <row r="552" spans="2:28" ht="15" customHeight="1" x14ac:dyDescent="0.4">
      <c r="C552" s="34" t="s">
        <v>6</v>
      </c>
      <c r="D552" s="35">
        <v>45537</v>
      </c>
      <c r="E552" s="51" t="s">
        <v>103</v>
      </c>
      <c r="F552" s="33">
        <v>1</v>
      </c>
      <c r="G552" s="27">
        <f t="shared" si="9"/>
        <v>-1</v>
      </c>
      <c r="H552" s="28" t="str">
        <f>VLOOKUP(E552,'Cadastro Produtos (kiwkiw)'!C:E,3,0)</f>
        <v>Colar Ivy Banho Ouro</v>
      </c>
      <c r="AB552" s="33" t="s">
        <v>311</v>
      </c>
    </row>
    <row r="553" spans="2:28" ht="15" customHeight="1" x14ac:dyDescent="0.4">
      <c r="C553" s="34" t="s">
        <v>6</v>
      </c>
      <c r="D553" s="35">
        <v>45537</v>
      </c>
      <c r="E553" s="51" t="s">
        <v>103</v>
      </c>
      <c r="F553" s="33">
        <v>1</v>
      </c>
      <c r="G553" s="27">
        <f t="shared" si="9"/>
        <v>-1</v>
      </c>
      <c r="H553" s="28" t="str">
        <f>VLOOKUP(E553,'Cadastro Produtos (kiwkiw)'!C:E,3,0)</f>
        <v>Colar Ivy Banho Ouro</v>
      </c>
      <c r="AB553" s="33" t="s">
        <v>312</v>
      </c>
    </row>
    <row r="554" spans="2:28" ht="15" customHeight="1" x14ac:dyDescent="0.4">
      <c r="C554" s="34" t="s">
        <v>6</v>
      </c>
      <c r="D554" s="35">
        <v>45537</v>
      </c>
      <c r="E554" s="51" t="s">
        <v>40</v>
      </c>
      <c r="F554" s="33">
        <v>1</v>
      </c>
      <c r="G554" s="27">
        <f t="shared" si="9"/>
        <v>-1</v>
      </c>
      <c r="H554" s="28" t="str">
        <f>VLOOKUP(E554,'Cadastro Produtos (kiwkiw)'!C:E,3,0)</f>
        <v>Argolinha Folha Banho Ouro</v>
      </c>
      <c r="AB554" s="33" t="s">
        <v>313</v>
      </c>
    </row>
    <row r="555" spans="2:28" ht="15" customHeight="1" x14ac:dyDescent="0.4">
      <c r="C555" s="34" t="s">
        <v>6</v>
      </c>
      <c r="D555" s="35">
        <v>45537</v>
      </c>
      <c r="E555" s="51" t="s">
        <v>40</v>
      </c>
      <c r="F555" s="33">
        <v>1</v>
      </c>
      <c r="G555" s="27">
        <f t="shared" si="9"/>
        <v>-1</v>
      </c>
      <c r="H555" s="28" t="str">
        <f>VLOOKUP(E555,'Cadastro Produtos (kiwkiw)'!C:E,3,0)</f>
        <v>Argolinha Folha Banho Ouro</v>
      </c>
      <c r="AB555" s="33" t="s">
        <v>314</v>
      </c>
    </row>
    <row r="556" spans="2:28" ht="15" customHeight="1" x14ac:dyDescent="0.4">
      <c r="C556" s="34" t="s">
        <v>6</v>
      </c>
      <c r="D556" s="35">
        <v>45537</v>
      </c>
      <c r="E556" s="51" t="s">
        <v>40</v>
      </c>
      <c r="F556" s="33">
        <v>1</v>
      </c>
      <c r="G556" s="27">
        <f t="shared" si="9"/>
        <v>-1</v>
      </c>
      <c r="H556" s="28" t="str">
        <f>VLOOKUP(E556,'Cadastro Produtos (kiwkiw)'!C:E,3,0)</f>
        <v>Argolinha Folha Banho Ouro</v>
      </c>
      <c r="AB556" s="33" t="s">
        <v>315</v>
      </c>
    </row>
    <row r="557" spans="2:28" ht="15" customHeight="1" x14ac:dyDescent="0.4">
      <c r="C557" s="34" t="s">
        <v>6</v>
      </c>
      <c r="D557" s="35">
        <v>45537</v>
      </c>
      <c r="E557" s="51" t="s">
        <v>53</v>
      </c>
      <c r="F557" s="33">
        <v>1</v>
      </c>
      <c r="G557" s="27">
        <f t="shared" si="9"/>
        <v>-1</v>
      </c>
      <c r="H557" s="28" t="str">
        <f>VLOOKUP(E557,'Cadastro Produtos (kiwkiw)'!C:E,3,0)</f>
        <v>Brinco Infinito Banho Ouro</v>
      </c>
      <c r="AB557" s="33" t="s">
        <v>312</v>
      </c>
    </row>
    <row r="558" spans="2:28" ht="15" customHeight="1" x14ac:dyDescent="0.4">
      <c r="C558" s="34" t="s">
        <v>6</v>
      </c>
      <c r="D558" s="35">
        <v>45537</v>
      </c>
      <c r="E558" s="51" t="s">
        <v>69</v>
      </c>
      <c r="F558" s="33">
        <v>1</v>
      </c>
      <c r="G558" s="27">
        <f t="shared" si="9"/>
        <v>-1</v>
      </c>
      <c r="H558" s="28" t="str">
        <f>VLOOKUP(E558,'Cadastro Produtos (kiwkiw)'!C:E,3,0)</f>
        <v>Brinco Tubinho Pequeno Banho Ouro</v>
      </c>
      <c r="AB558" s="33" t="s">
        <v>312</v>
      </c>
    </row>
    <row r="559" spans="2:28" ht="15" customHeight="1" x14ac:dyDescent="0.4">
      <c r="C559" s="34" t="s">
        <v>6</v>
      </c>
      <c r="D559" s="35">
        <v>45537</v>
      </c>
      <c r="E559" s="51" t="s">
        <v>56</v>
      </c>
      <c r="F559" s="33">
        <v>1</v>
      </c>
      <c r="G559" s="27">
        <f t="shared" si="9"/>
        <v>-1</v>
      </c>
      <c r="H559" s="28" t="str">
        <f>VLOOKUP(E559,'Cadastro Produtos (kiwkiw)'!C:E,3,0)</f>
        <v>Brinco Mini Raio Banho Ouro</v>
      </c>
      <c r="AB559" s="33" t="s">
        <v>312</v>
      </c>
    </row>
    <row r="560" spans="2:28" ht="15" customHeight="1" x14ac:dyDescent="0.4">
      <c r="C560" s="34" t="s">
        <v>6</v>
      </c>
      <c r="D560" s="35">
        <v>45537</v>
      </c>
      <c r="E560" s="51" t="s">
        <v>12</v>
      </c>
      <c r="F560" s="33">
        <v>1</v>
      </c>
      <c r="G560" s="27">
        <f t="shared" si="9"/>
        <v>-1</v>
      </c>
      <c r="H560" s="28" t="str">
        <f>VLOOKUP(E560,'Cadastro Produtos (kiwkiw)'!C:E,3,0)</f>
        <v>Anel Duplo Banho Ouro</v>
      </c>
      <c r="AB560" s="33" t="s">
        <v>312</v>
      </c>
    </row>
    <row r="561" spans="2:28" ht="15" customHeight="1" x14ac:dyDescent="0.4">
      <c r="C561" s="34" t="s">
        <v>6</v>
      </c>
      <c r="D561" s="35">
        <v>45537</v>
      </c>
      <c r="E561" s="51" t="s">
        <v>19</v>
      </c>
      <c r="F561" s="33">
        <v>1</v>
      </c>
      <c r="G561" s="27">
        <f t="shared" si="9"/>
        <v>-1</v>
      </c>
      <c r="H561" s="28" t="str">
        <f>VLOOKUP(E561,'Cadastro Produtos (kiwkiw)'!C:E,3,0)</f>
        <v>Anel Zig Ajustavel Banho Ouro</v>
      </c>
      <c r="AB561" s="33" t="s">
        <v>312</v>
      </c>
    </row>
    <row r="562" spans="2:28" ht="15" customHeight="1" x14ac:dyDescent="0.4">
      <c r="C562" s="34" t="s">
        <v>6</v>
      </c>
      <c r="D562" s="35">
        <v>45537</v>
      </c>
      <c r="E562" s="51" t="s">
        <v>119</v>
      </c>
      <c r="F562" s="33">
        <v>1</v>
      </c>
      <c r="G562" s="27">
        <f t="shared" si="9"/>
        <v>-1</v>
      </c>
      <c r="H562" s="28" t="str">
        <f>VLOOKUP(E562,'Cadastro Produtos (kiwkiw)'!C:E,3,0)</f>
        <v>Bracelete Line Banho Ouro</v>
      </c>
      <c r="AB562" s="33" t="s">
        <v>316</v>
      </c>
    </row>
    <row r="563" spans="2:28" ht="15" customHeight="1" x14ac:dyDescent="0.4">
      <c r="C563" s="34" t="s">
        <v>6</v>
      </c>
      <c r="D563" s="35">
        <v>45537</v>
      </c>
      <c r="E563" s="51" t="s">
        <v>16</v>
      </c>
      <c r="F563" s="33">
        <v>1</v>
      </c>
      <c r="G563" s="27">
        <f t="shared" si="9"/>
        <v>-1</v>
      </c>
      <c r="H563" s="28" t="str">
        <f>VLOOKUP(E563,'Cadastro Produtos (kiwkiw)'!C:E,3,0)</f>
        <v>Anel Etta Banho Ouro</v>
      </c>
      <c r="AB563" s="33" t="s">
        <v>315</v>
      </c>
    </row>
    <row r="564" spans="2:28" ht="15" customHeight="1" x14ac:dyDescent="0.4">
      <c r="B564" s="43"/>
      <c r="C564" s="34" t="s">
        <v>6</v>
      </c>
      <c r="D564" s="35">
        <v>45537</v>
      </c>
      <c r="E564" s="51" t="s">
        <v>29</v>
      </c>
      <c r="F564" s="33">
        <v>1</v>
      </c>
      <c r="G564" s="27">
        <f t="shared" si="9"/>
        <v>-1</v>
      </c>
      <c r="H564" s="28" t="str">
        <f>VLOOKUP(E564,'Cadastro Produtos (kiwkiw)'!C:E,3,0)</f>
        <v>Argola Click Diamond Banho Ouro</v>
      </c>
      <c r="AB564" s="33" t="s">
        <v>315</v>
      </c>
    </row>
    <row r="565" spans="2:28" ht="15" customHeight="1" x14ac:dyDescent="0.4">
      <c r="C565" s="34" t="s">
        <v>6</v>
      </c>
      <c r="D565" s="35">
        <v>45537</v>
      </c>
      <c r="E565" s="51" t="s">
        <v>26</v>
      </c>
      <c r="F565" s="33">
        <v>1</v>
      </c>
      <c r="G565" s="27">
        <f t="shared" si="9"/>
        <v>-1</v>
      </c>
      <c r="H565" s="28" t="str">
        <f>VLOOKUP(E565,'Cadastro Produtos (kiwkiw)'!C:E,3,0)</f>
        <v>Argola Click Grande Banho Ouro</v>
      </c>
      <c r="AB565" s="33" t="s">
        <v>315</v>
      </c>
    </row>
    <row r="566" spans="2:28" ht="15" customHeight="1" x14ac:dyDescent="0.4">
      <c r="C566" s="34" t="s">
        <v>6</v>
      </c>
      <c r="D566" s="35">
        <v>45537</v>
      </c>
      <c r="E566" s="51" t="s">
        <v>127</v>
      </c>
      <c r="F566" s="33">
        <v>1</v>
      </c>
      <c r="G566" s="27">
        <f t="shared" si="9"/>
        <v>-1</v>
      </c>
      <c r="H566" s="28" t="str">
        <f>VLOOKUP(E566,'Cadastro Produtos (kiwkiw)'!C:E,3,0)</f>
        <v>Pulseira Minimal Banho Ouro</v>
      </c>
      <c r="AB566" s="33" t="s">
        <v>317</v>
      </c>
    </row>
    <row r="567" spans="2:28" ht="15" customHeight="1" x14ac:dyDescent="0.4">
      <c r="C567" s="34" t="s">
        <v>6</v>
      </c>
      <c r="D567" s="35">
        <v>45537</v>
      </c>
      <c r="E567" s="51" t="s">
        <v>108</v>
      </c>
      <c r="F567" s="33">
        <v>1</v>
      </c>
      <c r="G567" s="27">
        <f t="shared" si="9"/>
        <v>-1</v>
      </c>
      <c r="H567" s="28" t="str">
        <f>VLOOKUP(E567,'Cadastro Produtos (kiwkiw)'!C:E,3,0)</f>
        <v>Colar Line Banho Ouro</v>
      </c>
      <c r="AB567" s="33" t="s">
        <v>317</v>
      </c>
    </row>
    <row r="568" spans="2:28" ht="15" customHeight="1" x14ac:dyDescent="0.4">
      <c r="C568" s="34" t="s">
        <v>6</v>
      </c>
      <c r="D568" s="35">
        <v>45537</v>
      </c>
      <c r="E568" s="51" t="s">
        <v>96</v>
      </c>
      <c r="F568" s="33">
        <v>1</v>
      </c>
      <c r="G568" s="27">
        <f t="shared" si="9"/>
        <v>-1</v>
      </c>
      <c r="H568" s="28" t="str">
        <f>VLOOKUP(E568,'Cadastro Produtos (kiwkiw)'!C:E,3,0)</f>
        <v>Colar Duplo Minimal Banho Ouro</v>
      </c>
      <c r="AB568" s="33" t="s">
        <v>317</v>
      </c>
    </row>
    <row r="569" spans="2:28" ht="15" customHeight="1" x14ac:dyDescent="0.4">
      <c r="C569" s="34" t="s">
        <v>6</v>
      </c>
      <c r="D569" s="35">
        <v>45537</v>
      </c>
      <c r="E569" s="51" t="s">
        <v>125</v>
      </c>
      <c r="F569" s="33">
        <v>1</v>
      </c>
      <c r="G569" s="27">
        <f t="shared" si="9"/>
        <v>-1</v>
      </c>
      <c r="H569" s="28" t="str">
        <f>VLOOKUP(E569,'Cadastro Produtos (kiwkiw)'!C:E,3,0)</f>
        <v>Pulseira Groumet Banho Ouro</v>
      </c>
      <c r="AB569" s="33" t="s">
        <v>317</v>
      </c>
    </row>
    <row r="570" spans="2:28" ht="15" customHeight="1" x14ac:dyDescent="0.4">
      <c r="B570" s="43">
        <v>45538.415127314816</v>
      </c>
      <c r="C570" s="34" t="s">
        <v>6</v>
      </c>
      <c r="D570" s="35">
        <v>45538</v>
      </c>
      <c r="E570" s="51" t="s">
        <v>94</v>
      </c>
      <c r="F570" s="33">
        <v>1</v>
      </c>
      <c r="G570" s="27">
        <f t="shared" si="9"/>
        <v>-1</v>
      </c>
      <c r="H570" s="28" t="str">
        <f>VLOOKUP(E570,'Cadastro Produtos (kiwkiw)'!C:E,3,0)</f>
        <v>Colar Duplo Dots Banho Ouro</v>
      </c>
      <c r="AB570" s="33" t="s">
        <v>318</v>
      </c>
    </row>
    <row r="571" spans="2:28" ht="15" customHeight="1" x14ac:dyDescent="0.4">
      <c r="B571" s="43">
        <v>45539.426064814812</v>
      </c>
      <c r="C571" s="34" t="s">
        <v>6</v>
      </c>
      <c r="D571" s="35">
        <v>45539</v>
      </c>
      <c r="E571" s="51" t="s">
        <v>101</v>
      </c>
      <c r="F571" s="33">
        <v>1</v>
      </c>
      <c r="G571" s="27">
        <f t="shared" si="9"/>
        <v>-1</v>
      </c>
      <c r="H571" s="28" t="str">
        <f>VLOOKUP(E571,'Cadastro Produtos (kiwkiw)'!C:E,3,0)</f>
        <v>Colar Longo Medalha Coracao Banho Ouro</v>
      </c>
      <c r="AB571" s="33" t="s">
        <v>319</v>
      </c>
    </row>
    <row r="572" spans="2:28" ht="15" customHeight="1" x14ac:dyDescent="0.4">
      <c r="B572" s="43"/>
      <c r="C572" s="34" t="s">
        <v>6</v>
      </c>
      <c r="D572" s="35">
        <v>45539</v>
      </c>
      <c r="E572" s="51" t="s">
        <v>117</v>
      </c>
      <c r="F572" s="33">
        <v>1</v>
      </c>
      <c r="G572" s="27">
        <f t="shared" si="9"/>
        <v>-1</v>
      </c>
      <c r="H572" s="28" t="str">
        <f>VLOOKUP(E572,'Cadastro Produtos (kiwkiw)'!C:E,3,0)</f>
        <v>Gargantilha Minimal Banho Ouro</v>
      </c>
      <c r="AB572" s="33" t="s">
        <v>319</v>
      </c>
    </row>
    <row r="573" spans="2:28" ht="15" customHeight="1" x14ac:dyDescent="0.4">
      <c r="C573" s="34" t="s">
        <v>6</v>
      </c>
      <c r="D573" s="35">
        <v>45539</v>
      </c>
      <c r="E573" s="51" t="s">
        <v>127</v>
      </c>
      <c r="F573" s="33">
        <v>1</v>
      </c>
      <c r="G573" s="27">
        <f t="shared" si="9"/>
        <v>-1</v>
      </c>
      <c r="H573" s="28" t="str">
        <f>VLOOKUP(E573,'Cadastro Produtos (kiwkiw)'!C:E,3,0)</f>
        <v>Pulseira Minimal Banho Ouro</v>
      </c>
      <c r="AB573" s="33" t="s">
        <v>319</v>
      </c>
    </row>
    <row r="574" spans="2:28" ht="15" customHeight="1" x14ac:dyDescent="0.4">
      <c r="C574" s="34" t="s">
        <v>6</v>
      </c>
      <c r="D574" s="35">
        <v>45539</v>
      </c>
      <c r="E574" s="51" t="s">
        <v>105</v>
      </c>
      <c r="F574" s="33">
        <v>1</v>
      </c>
      <c r="G574" s="27">
        <f t="shared" si="9"/>
        <v>-1</v>
      </c>
      <c r="H574" s="28" t="str">
        <f>VLOOKUP(E574,'Cadastro Produtos (kiwkiw)'!C:E,3,0)</f>
        <v>Colar Rosa Banho Ouro</v>
      </c>
      <c r="AB574" s="33" t="s">
        <v>319</v>
      </c>
    </row>
    <row r="575" spans="2:28" ht="15" customHeight="1" x14ac:dyDescent="0.4">
      <c r="B575" s="43">
        <v>45540.423217592594</v>
      </c>
      <c r="C575" s="34" t="s">
        <v>6</v>
      </c>
      <c r="D575" s="35">
        <v>45540</v>
      </c>
      <c r="E575" s="51" t="s">
        <v>77</v>
      </c>
      <c r="F575" s="33">
        <v>1</v>
      </c>
      <c r="G575" s="27">
        <f t="shared" si="9"/>
        <v>-1</v>
      </c>
      <c r="H575" s="28" t="str">
        <f>VLOOKUP(E575,'Cadastro Produtos (kiwkiw)'!C:E,3,0)</f>
        <v>EarHook Torcido Banho Ouro</v>
      </c>
      <c r="AB575" s="33" t="s">
        <v>320</v>
      </c>
    </row>
    <row r="576" spans="2:28" ht="15" customHeight="1" x14ac:dyDescent="0.4">
      <c r="C576" s="34" t="s">
        <v>6</v>
      </c>
      <c r="D576" s="35">
        <v>45540</v>
      </c>
      <c r="E576" s="51" t="s">
        <v>41</v>
      </c>
      <c r="F576" s="33">
        <v>1</v>
      </c>
      <c r="G576" s="27">
        <f>IF(C576="Entrada",F576,-F576)</f>
        <v>-1</v>
      </c>
      <c r="H576" s="28" t="str">
        <f>VLOOKUP(E576,'Cadastro Produtos (kiwkiw)'!C:E,3,0)</f>
        <v>Argolinha Sol Banho Ouro</v>
      </c>
      <c r="AB576" s="33" t="s">
        <v>320</v>
      </c>
    </row>
    <row r="577" spans="2:28" ht="15" customHeight="1" x14ac:dyDescent="0.4">
      <c r="C577" s="34" t="s">
        <v>6</v>
      </c>
      <c r="D577" s="35">
        <v>45540</v>
      </c>
      <c r="E577" s="51" t="s">
        <v>76</v>
      </c>
      <c r="F577" s="33">
        <v>1</v>
      </c>
      <c r="G577" s="27">
        <f t="shared" si="9"/>
        <v>-1</v>
      </c>
      <c r="H577" s="28" t="str">
        <f>VLOOKUP(E577,'Cadastro Produtos (kiwkiw)'!C:E,3,0)</f>
        <v>EarHook Dots Banho Ouro</v>
      </c>
      <c r="AB577" s="33" t="s">
        <v>321</v>
      </c>
    </row>
    <row r="578" spans="2:28" ht="15" customHeight="1" x14ac:dyDescent="0.4">
      <c r="C578" s="34" t="s">
        <v>6</v>
      </c>
      <c r="D578" s="35">
        <v>45540</v>
      </c>
      <c r="E578" s="51" t="s">
        <v>72</v>
      </c>
      <c r="F578" s="33">
        <v>1</v>
      </c>
      <c r="G578" s="27">
        <f t="shared" si="9"/>
        <v>-1</v>
      </c>
      <c r="H578" s="28" t="str">
        <f>VLOOKUP(E578,'Cadastro Produtos (kiwkiw)'!C:E,3,0)</f>
        <v>Ear Hook Line Banho Ouro</v>
      </c>
      <c r="AB578" s="33" t="s">
        <v>321</v>
      </c>
    </row>
    <row r="579" spans="2:28" ht="15" customHeight="1" x14ac:dyDescent="0.4">
      <c r="C579" s="34" t="s">
        <v>5</v>
      </c>
      <c r="D579" s="35">
        <v>45540</v>
      </c>
      <c r="E579" s="51" t="s">
        <v>94</v>
      </c>
      <c r="F579" s="33">
        <v>1</v>
      </c>
      <c r="G579" s="27">
        <f t="shared" si="9"/>
        <v>1</v>
      </c>
      <c r="H579" s="28" t="str">
        <f>VLOOKUP(E579,'Cadastro Produtos (kiwkiw)'!C:E,3,0)</f>
        <v>Colar Duplo Dots Banho Ouro</v>
      </c>
      <c r="I579" s="32" t="s">
        <v>322</v>
      </c>
    </row>
    <row r="580" spans="2:28" ht="15" customHeight="1" x14ac:dyDescent="0.4">
      <c r="C580" s="34" t="s">
        <v>5</v>
      </c>
      <c r="D580" s="35">
        <v>45540</v>
      </c>
      <c r="E580" s="51" t="s">
        <v>31</v>
      </c>
      <c r="F580" s="33">
        <v>1</v>
      </c>
      <c r="G580" s="27">
        <f t="shared" si="9"/>
        <v>1</v>
      </c>
      <c r="H580" s="28" t="str">
        <f>VLOOKUP(E580,'Cadastro Produtos (kiwkiw)'!C:E,3,0)</f>
        <v>Argola Reta Basic Banho Ouro</v>
      </c>
      <c r="I580" s="32" t="s">
        <v>322</v>
      </c>
    </row>
    <row r="581" spans="2:28" ht="15" customHeight="1" x14ac:dyDescent="0.4">
      <c r="C581" s="34" t="s">
        <v>5</v>
      </c>
      <c r="D581" s="35">
        <v>45540</v>
      </c>
      <c r="E581" s="51" t="s">
        <v>85</v>
      </c>
      <c r="F581" s="33">
        <v>1</v>
      </c>
      <c r="G581" s="27">
        <f t="shared" si="9"/>
        <v>1</v>
      </c>
      <c r="H581" s="28" t="str">
        <f>VLOOKUP(E581,'Cadastro Produtos (kiwkiw)'!C:E,3,0)</f>
        <v>Piercing Fake Dots Banho Ouro</v>
      </c>
      <c r="I581" s="32" t="s">
        <v>323</v>
      </c>
    </row>
    <row r="582" spans="2:28" ht="15" customHeight="1" x14ac:dyDescent="0.4">
      <c r="B582" s="43">
        <v>45544.408182870371</v>
      </c>
      <c r="C582" s="34" t="s">
        <v>6</v>
      </c>
      <c r="D582" s="35">
        <v>45544</v>
      </c>
      <c r="E582" s="51" t="s">
        <v>25</v>
      </c>
      <c r="F582" s="33">
        <v>1</v>
      </c>
      <c r="G582" s="27">
        <f t="shared" si="9"/>
        <v>-1</v>
      </c>
      <c r="H582" s="28" t="str">
        <f>VLOOKUP(E582,'Cadastro Produtos (kiwkiw)'!C:E,3,0)</f>
        <v>Argola Amy Banho Ouro</v>
      </c>
      <c r="AB582" s="33" t="s">
        <v>324</v>
      </c>
    </row>
    <row r="583" spans="2:28" ht="15" customHeight="1" x14ac:dyDescent="0.4">
      <c r="C583" s="34" t="s">
        <v>6</v>
      </c>
      <c r="D583" s="35">
        <v>45544</v>
      </c>
      <c r="E583" s="51" t="s">
        <v>42</v>
      </c>
      <c r="F583" s="33">
        <v>1</v>
      </c>
      <c r="G583" s="27">
        <f t="shared" si="9"/>
        <v>-1</v>
      </c>
      <c r="H583" s="28" t="str">
        <f>VLOOKUP(E583,'Cadastro Produtos (kiwkiw)'!C:E,3,0)</f>
        <v>Brinco Arco Banho Ouro</v>
      </c>
      <c r="AB583" s="33" t="s">
        <v>324</v>
      </c>
    </row>
    <row r="584" spans="2:28" ht="15" customHeight="1" x14ac:dyDescent="0.4">
      <c r="C584" s="34" t="s">
        <v>6</v>
      </c>
      <c r="D584" s="35">
        <v>45544</v>
      </c>
      <c r="E584" s="51" t="s">
        <v>48</v>
      </c>
      <c r="F584" s="33">
        <v>1</v>
      </c>
      <c r="G584" s="27">
        <f t="shared" si="9"/>
        <v>-1</v>
      </c>
      <c r="H584" s="28" t="str">
        <f>VLOOKUP(E584,'Cadastro Produtos (kiwkiw)'!C:E,3,0)</f>
        <v>Brinco Gota Click Banho Ouro</v>
      </c>
      <c r="AB584" s="33" t="s">
        <v>324</v>
      </c>
    </row>
    <row r="585" spans="2:28" ht="15" customHeight="1" x14ac:dyDescent="0.4">
      <c r="C585" s="34" t="s">
        <v>6</v>
      </c>
      <c r="D585" s="35">
        <v>45544</v>
      </c>
      <c r="E585" s="51" t="s">
        <v>63</v>
      </c>
      <c r="F585" s="33">
        <v>1</v>
      </c>
      <c r="G585" s="27">
        <f t="shared" si="9"/>
        <v>-1</v>
      </c>
      <c r="H585" s="28" t="str">
        <f>VLOOKUP(E585,'Cadastro Produtos (kiwkiw)'!C:E,3,0)</f>
        <v>Brinco Spike Banho Ouro</v>
      </c>
      <c r="AB585" s="33" t="s">
        <v>324</v>
      </c>
    </row>
    <row r="586" spans="2:28" ht="15" customHeight="1" x14ac:dyDescent="0.4">
      <c r="B586" s="43"/>
      <c r="C586" s="34" t="s">
        <v>6</v>
      </c>
      <c r="D586" s="35">
        <v>45544</v>
      </c>
      <c r="E586" s="51" t="s">
        <v>74</v>
      </c>
      <c r="F586" s="33">
        <v>1</v>
      </c>
      <c r="G586" s="27">
        <f t="shared" si="9"/>
        <v>-1</v>
      </c>
      <c r="H586" s="28" t="str">
        <f>VLOOKUP(E586,'Cadastro Produtos (kiwkiw)'!C:E,3,0)</f>
        <v>Ear Hook Hug Banho Ouro</v>
      </c>
      <c r="AB586" s="33" t="s">
        <v>324</v>
      </c>
    </row>
    <row r="587" spans="2:28" ht="15" customHeight="1" x14ac:dyDescent="0.4">
      <c r="C587" s="34" t="s">
        <v>6</v>
      </c>
      <c r="D587" s="35">
        <v>45544</v>
      </c>
      <c r="E587" s="51" t="s">
        <v>86</v>
      </c>
      <c r="F587" s="33">
        <v>1</v>
      </c>
      <c r="G587" s="27">
        <f t="shared" si="9"/>
        <v>-1</v>
      </c>
      <c r="H587" s="28" t="str">
        <f>VLOOKUP(E587,'Cadastro Produtos (kiwkiw)'!C:E,3,0)</f>
        <v>Piercing Fake Minimal Banho Ouro</v>
      </c>
      <c r="AB587" s="33" t="s">
        <v>324</v>
      </c>
    </row>
    <row r="588" spans="2:28" ht="15" customHeight="1" x14ac:dyDescent="0.4">
      <c r="C588" s="34" t="s">
        <v>6</v>
      </c>
      <c r="D588" s="35">
        <v>45544</v>
      </c>
      <c r="E588" s="51" t="s">
        <v>92</v>
      </c>
      <c r="F588" s="33">
        <v>1</v>
      </c>
      <c r="G588" s="27">
        <f t="shared" si="9"/>
        <v>-1</v>
      </c>
      <c r="H588" s="28" t="str">
        <f>VLOOKUP(E588,'Cadastro Produtos (kiwkiw)'!C:E,3,0)</f>
        <v>Colar Coracao Banho Ouro</v>
      </c>
      <c r="AB588" s="33" t="s">
        <v>324</v>
      </c>
    </row>
    <row r="589" spans="2:28" ht="15" customHeight="1" x14ac:dyDescent="0.4">
      <c r="C589" s="34" t="s">
        <v>6</v>
      </c>
      <c r="D589" s="35">
        <v>45544</v>
      </c>
      <c r="E589" s="51" t="s">
        <v>104</v>
      </c>
      <c r="F589" s="33">
        <v>1</v>
      </c>
      <c r="G589" s="27">
        <f t="shared" si="9"/>
        <v>-1</v>
      </c>
      <c r="H589" s="28" t="str">
        <f>VLOOKUP(E589,'Cadastro Produtos (kiwkiw)'!C:E,3,0)</f>
        <v>Colar Ivy Prateado</v>
      </c>
      <c r="AB589" s="33" t="s">
        <v>325</v>
      </c>
    </row>
    <row r="590" spans="2:28" ht="15" customHeight="1" x14ac:dyDescent="0.4">
      <c r="C590" s="34" t="s">
        <v>6</v>
      </c>
      <c r="D590" s="35">
        <v>45544</v>
      </c>
      <c r="E590" s="51" t="s">
        <v>126</v>
      </c>
      <c r="F590" s="33">
        <v>1</v>
      </c>
      <c r="G590" s="27">
        <f t="shared" si="9"/>
        <v>-1</v>
      </c>
      <c r="H590" s="28" t="str">
        <f>VLOOKUP(E590,'Cadastro Produtos (kiwkiw)'!C:E,3,0)</f>
        <v>Pulseira Groumet Prateada</v>
      </c>
      <c r="AB590" s="33" t="s">
        <v>326</v>
      </c>
    </row>
    <row r="591" spans="2:28" ht="15" customHeight="1" x14ac:dyDescent="0.4">
      <c r="C591" s="34" t="s">
        <v>6</v>
      </c>
      <c r="D591" s="35">
        <v>45544</v>
      </c>
      <c r="E591" s="51" t="s">
        <v>128</v>
      </c>
      <c r="F591" s="33">
        <v>1</v>
      </c>
      <c r="G591" s="27">
        <f t="shared" si="9"/>
        <v>-1</v>
      </c>
      <c r="H591" s="28" t="str">
        <f>VLOOKUP(E591,'Cadastro Produtos (kiwkiw)'!C:E,3,0)</f>
        <v>Pulseira Minimal Prateada</v>
      </c>
      <c r="AB591" s="33" t="s">
        <v>326</v>
      </c>
    </row>
    <row r="592" spans="2:28" ht="15" customHeight="1" x14ac:dyDescent="0.4">
      <c r="C592" s="34" t="s">
        <v>6</v>
      </c>
      <c r="D592" s="35">
        <v>45544</v>
      </c>
      <c r="E592" s="51" t="s">
        <v>30</v>
      </c>
      <c r="F592" s="33">
        <v>1</v>
      </c>
      <c r="G592" s="27">
        <f t="shared" ref="G592:G655" si="10">IF(C592="Entrada",F592,-F592)</f>
        <v>-1</v>
      </c>
      <c r="H592" s="28" t="str">
        <f>VLOOKUP(E592,'Cadastro Produtos (kiwkiw)'!C:E,3,0)</f>
        <v>Argola Organica Banho Ouro</v>
      </c>
      <c r="AB592" s="33" t="s">
        <v>327</v>
      </c>
    </row>
    <row r="593" spans="2:28" ht="15" customHeight="1" x14ac:dyDescent="0.4">
      <c r="C593" s="34" t="s">
        <v>6</v>
      </c>
      <c r="D593" s="35">
        <v>45544</v>
      </c>
      <c r="E593" s="51" t="s">
        <v>116</v>
      </c>
      <c r="F593" s="33">
        <v>1</v>
      </c>
      <c r="G593" s="27">
        <f t="shared" si="10"/>
        <v>-1</v>
      </c>
      <c r="H593" s="28" t="str">
        <f>VLOOKUP(E593,'Cadastro Produtos (kiwkiw)'!C:E,3,0)</f>
        <v>Gargantilha Dots Banho Ouro</v>
      </c>
      <c r="AB593" s="33" t="s">
        <v>327</v>
      </c>
    </row>
    <row r="594" spans="2:28" ht="15" customHeight="1" x14ac:dyDescent="0.4">
      <c r="C594" s="34" t="s">
        <v>6</v>
      </c>
      <c r="D594" s="35">
        <v>45544</v>
      </c>
      <c r="E594" s="51" t="s">
        <v>124</v>
      </c>
      <c r="F594" s="33">
        <v>1</v>
      </c>
      <c r="G594" s="27">
        <f t="shared" si="10"/>
        <v>-1</v>
      </c>
      <c r="H594" s="28" t="str">
        <f>VLOOKUP(E594,'Cadastro Produtos (kiwkiw)'!C:E,3,0)</f>
        <v>Pulseira Fita Textura Banho Ouro</v>
      </c>
      <c r="AB594" s="33" t="s">
        <v>327</v>
      </c>
    </row>
    <row r="595" spans="2:28" ht="15" customHeight="1" x14ac:dyDescent="0.4">
      <c r="C595" s="34" t="s">
        <v>6</v>
      </c>
      <c r="D595" s="35">
        <v>45544</v>
      </c>
      <c r="E595" s="51" t="s">
        <v>38</v>
      </c>
      <c r="F595" s="33">
        <v>1</v>
      </c>
      <c r="G595" s="27">
        <f t="shared" si="10"/>
        <v>-1</v>
      </c>
      <c r="H595" s="28" t="str">
        <f>VLOOKUP(E595,'Cadastro Produtos (kiwkiw)'!C:E,3,0)</f>
        <v>Argolinha Click Dots Banho Ouro</v>
      </c>
      <c r="AB595" s="33" t="s">
        <v>328</v>
      </c>
    </row>
    <row r="596" spans="2:28" ht="15" customHeight="1" x14ac:dyDescent="0.4">
      <c r="C596" s="34" t="s">
        <v>6</v>
      </c>
      <c r="D596" s="35">
        <v>45544</v>
      </c>
      <c r="E596" s="51" t="s">
        <v>60</v>
      </c>
      <c r="F596" s="33">
        <v>1</v>
      </c>
      <c r="G596" s="27">
        <f t="shared" si="10"/>
        <v>-1</v>
      </c>
      <c r="H596" s="28" t="str">
        <f>VLOOKUP(E596,'Cadastro Produtos (kiwkiw)'!C:E,3,0)</f>
        <v>Brinco Oncinha Prateado</v>
      </c>
      <c r="AB596" s="33" t="s">
        <v>329</v>
      </c>
    </row>
    <row r="597" spans="2:28" ht="15" customHeight="1" x14ac:dyDescent="0.4">
      <c r="C597" s="34" t="s">
        <v>6</v>
      </c>
      <c r="D597" s="35">
        <v>45544</v>
      </c>
      <c r="E597" s="51" t="s">
        <v>73</v>
      </c>
      <c r="F597" s="33">
        <v>1</v>
      </c>
      <c r="G597" s="27">
        <f t="shared" si="10"/>
        <v>-1</v>
      </c>
      <c r="H597" s="28" t="str">
        <f>VLOOKUP(E597,'Cadastro Produtos (kiwkiw)'!C:E,3,0)</f>
        <v>Ear Hook Line Prateado</v>
      </c>
      <c r="AB597" s="33" t="s">
        <v>329</v>
      </c>
    </row>
    <row r="598" spans="2:28" ht="15" customHeight="1" x14ac:dyDescent="0.4">
      <c r="C598" s="34" t="s">
        <v>6</v>
      </c>
      <c r="D598" s="35">
        <v>45544</v>
      </c>
      <c r="E598" s="51" t="s">
        <v>119</v>
      </c>
      <c r="F598" s="33">
        <v>1</v>
      </c>
      <c r="G598" s="27">
        <f t="shared" si="10"/>
        <v>-1</v>
      </c>
      <c r="H598" s="28" t="str">
        <f>VLOOKUP(E598,'Cadastro Produtos (kiwkiw)'!C:E,3,0)</f>
        <v>Bracelete Line Banho Ouro</v>
      </c>
      <c r="AB598" s="33" t="s">
        <v>330</v>
      </c>
    </row>
    <row r="599" spans="2:28" ht="15" customHeight="1" x14ac:dyDescent="0.4">
      <c r="B599" s="43">
        <v>45545.442824074074</v>
      </c>
      <c r="C599" s="34" t="s">
        <v>6</v>
      </c>
      <c r="D599" s="35">
        <v>45545</v>
      </c>
      <c r="E599" s="51" t="s">
        <v>95</v>
      </c>
      <c r="F599" s="33">
        <v>1</v>
      </c>
      <c r="G599" s="27">
        <f t="shared" si="10"/>
        <v>-1</v>
      </c>
      <c r="H599" s="28" t="str">
        <f>VLOOKUP(E599,'Cadastro Produtos (kiwkiw)'!C:E,3,0)</f>
        <v>Colar Duplo Dots Prateado</v>
      </c>
      <c r="AB599" s="33" t="s">
        <v>331</v>
      </c>
    </row>
    <row r="600" spans="2:28" ht="15" customHeight="1" x14ac:dyDescent="0.4">
      <c r="B600" s="43">
        <v>45546.431967592594</v>
      </c>
      <c r="C600" s="34" t="s">
        <v>6</v>
      </c>
      <c r="D600" s="35">
        <v>45546</v>
      </c>
      <c r="E600" s="51" t="s">
        <v>27</v>
      </c>
      <c r="F600" s="33">
        <v>1</v>
      </c>
      <c r="G600" s="27">
        <f t="shared" si="10"/>
        <v>-1</v>
      </c>
      <c r="H600" s="28" t="str">
        <f>VLOOKUP(E600,'Cadastro Produtos (kiwkiw)'!C:E,3,0)</f>
        <v>Argola Click Media Banho Ouro</v>
      </c>
      <c r="AB600" s="33" t="s">
        <v>332</v>
      </c>
    </row>
    <row r="601" spans="2:28" ht="15" customHeight="1" x14ac:dyDescent="0.4">
      <c r="C601" s="34" t="s">
        <v>6</v>
      </c>
      <c r="D601" s="35">
        <v>45546</v>
      </c>
      <c r="E601" s="51" t="s">
        <v>26</v>
      </c>
      <c r="F601" s="33">
        <v>1</v>
      </c>
      <c r="G601" s="27">
        <f t="shared" si="10"/>
        <v>-1</v>
      </c>
      <c r="H601" s="28" t="str">
        <f>VLOOKUP(E601,'Cadastro Produtos (kiwkiw)'!C:E,3,0)</f>
        <v>Argola Click Grande Banho Ouro</v>
      </c>
      <c r="AB601" s="33" t="s">
        <v>332</v>
      </c>
    </row>
    <row r="602" spans="2:28" ht="15" customHeight="1" x14ac:dyDescent="0.4">
      <c r="C602" s="34" t="s">
        <v>6</v>
      </c>
      <c r="D602" s="35">
        <v>45546</v>
      </c>
      <c r="E602" s="51" t="s">
        <v>102</v>
      </c>
      <c r="F602" s="33">
        <v>1</v>
      </c>
      <c r="G602" s="27">
        <f t="shared" si="10"/>
        <v>-1</v>
      </c>
      <c r="H602" s="28" t="str">
        <f>VLOOKUP(E602,'Cadastro Produtos (kiwkiw)'!C:E,3,0)</f>
        <v>Colar Longo Lua Banho Ouro</v>
      </c>
      <c r="AB602" s="33" t="s">
        <v>333</v>
      </c>
    </row>
    <row r="603" spans="2:28" ht="15" customHeight="1" x14ac:dyDescent="0.4">
      <c r="C603" s="34" t="s">
        <v>6</v>
      </c>
      <c r="D603" s="35">
        <v>45546</v>
      </c>
      <c r="E603" s="51" t="s">
        <v>43</v>
      </c>
      <c r="F603" s="33">
        <v>1</v>
      </c>
      <c r="G603" s="27">
        <f t="shared" si="10"/>
        <v>-1</v>
      </c>
      <c r="H603" s="28" t="str">
        <f>VLOOKUP(E603,'Cadastro Produtos (kiwkiw)'!C:E,3,0)</f>
        <v>Brinco Mini Aviao Banho Ouro</v>
      </c>
      <c r="AB603" s="33" t="s">
        <v>334</v>
      </c>
    </row>
    <row r="604" spans="2:28" ht="15" customHeight="1" x14ac:dyDescent="0.4">
      <c r="C604" s="34" t="s">
        <v>6</v>
      </c>
      <c r="D604" s="35">
        <v>45546</v>
      </c>
      <c r="E604" s="51" t="s">
        <v>56</v>
      </c>
      <c r="F604" s="33">
        <v>1</v>
      </c>
      <c r="G604" s="27">
        <f t="shared" si="10"/>
        <v>-1</v>
      </c>
      <c r="H604" s="28" t="str">
        <f>VLOOKUP(E604,'Cadastro Produtos (kiwkiw)'!C:E,3,0)</f>
        <v>Brinco Mini Raio Banho Ouro</v>
      </c>
      <c r="AB604" s="33" t="s">
        <v>334</v>
      </c>
    </row>
    <row r="605" spans="2:28" ht="15" customHeight="1" x14ac:dyDescent="0.4">
      <c r="B605" s="43"/>
      <c r="C605" s="34" t="s">
        <v>6</v>
      </c>
      <c r="D605" s="35">
        <v>45546</v>
      </c>
      <c r="E605" s="51" t="s">
        <v>63</v>
      </c>
      <c r="F605" s="33">
        <v>1</v>
      </c>
      <c r="G605" s="27">
        <f t="shared" si="10"/>
        <v>-1</v>
      </c>
      <c r="H605" s="28" t="str">
        <f>VLOOKUP(E605,'Cadastro Produtos (kiwkiw)'!C:E,3,0)</f>
        <v>Brinco Spike Banho Ouro</v>
      </c>
      <c r="AB605" s="33" t="s">
        <v>334</v>
      </c>
    </row>
    <row r="606" spans="2:28" ht="15" customHeight="1" x14ac:dyDescent="0.4">
      <c r="C606" s="34" t="s">
        <v>6</v>
      </c>
      <c r="D606" s="35">
        <v>45546</v>
      </c>
      <c r="E606" s="51" t="s">
        <v>100</v>
      </c>
      <c r="F606" s="33">
        <v>1</v>
      </c>
      <c r="G606" s="27">
        <f t="shared" si="10"/>
        <v>-1</v>
      </c>
      <c r="H606" s="28" t="str">
        <f>VLOOKUP(E606,'Cadastro Produtos (kiwkiw)'!C:E,3,0)</f>
        <v>Colar Esfera Pequeno Banho Ouro</v>
      </c>
      <c r="AB606" s="33" t="s">
        <v>335</v>
      </c>
    </row>
    <row r="607" spans="2:28" ht="15" customHeight="1" x14ac:dyDescent="0.4">
      <c r="C607" s="34" t="s">
        <v>6</v>
      </c>
      <c r="D607" s="35">
        <v>45546</v>
      </c>
      <c r="E607" s="51" t="s">
        <v>72</v>
      </c>
      <c r="F607" s="33">
        <v>1</v>
      </c>
      <c r="G607" s="27">
        <f t="shared" si="10"/>
        <v>-1</v>
      </c>
      <c r="H607" s="28" t="str">
        <f>VLOOKUP(E607,'Cadastro Produtos (kiwkiw)'!C:E,3,0)</f>
        <v>Ear Hook Line Banho Ouro</v>
      </c>
      <c r="AB607" s="33" t="s">
        <v>335</v>
      </c>
    </row>
    <row r="608" spans="2:28" ht="15" customHeight="1" x14ac:dyDescent="0.4">
      <c r="B608" s="43">
        <v>45548.407233796293</v>
      </c>
      <c r="C608" s="34" t="s">
        <v>6</v>
      </c>
      <c r="D608" s="35">
        <v>45548</v>
      </c>
      <c r="E608" s="51" t="s">
        <v>12</v>
      </c>
      <c r="F608" s="33">
        <v>1</v>
      </c>
      <c r="G608" s="27">
        <f t="shared" si="10"/>
        <v>-1</v>
      </c>
      <c r="H608" s="28" t="str">
        <f>VLOOKUP(E608,'Cadastro Produtos (kiwkiw)'!C:E,3,0)</f>
        <v>Anel Duplo Banho Ouro</v>
      </c>
      <c r="AB608" s="33" t="s">
        <v>336</v>
      </c>
    </row>
    <row r="609" spans="2:28" ht="15" customHeight="1" x14ac:dyDescent="0.4">
      <c r="B609" s="43">
        <v>45551.420868055553</v>
      </c>
      <c r="C609" s="34" t="s">
        <v>6</v>
      </c>
      <c r="D609" s="35">
        <v>45551</v>
      </c>
      <c r="E609" s="51" t="s">
        <v>98</v>
      </c>
      <c r="F609" s="33">
        <v>1</v>
      </c>
      <c r="G609" s="27">
        <f t="shared" si="10"/>
        <v>-1</v>
      </c>
      <c r="H609" s="28" t="str">
        <f>VLOOKUP(E609,'Cadastro Produtos (kiwkiw)'!C:E,3,0)</f>
        <v>Colar Longo Esfera Banho Ouro</v>
      </c>
      <c r="AB609" s="33" t="s">
        <v>337</v>
      </c>
    </row>
    <row r="610" spans="2:28" ht="15" customHeight="1" x14ac:dyDescent="0.4">
      <c r="C610" s="34" t="s">
        <v>6</v>
      </c>
      <c r="D610" s="35">
        <v>45551</v>
      </c>
      <c r="E610" s="51" t="s">
        <v>117</v>
      </c>
      <c r="F610" s="33">
        <v>1</v>
      </c>
      <c r="G610" s="27">
        <f t="shared" si="10"/>
        <v>-1</v>
      </c>
      <c r="H610" s="28" t="str">
        <f>VLOOKUP(E610,'Cadastro Produtos (kiwkiw)'!C:E,3,0)</f>
        <v>Gargantilha Minimal Banho Ouro</v>
      </c>
      <c r="AB610" s="33" t="s">
        <v>337</v>
      </c>
    </row>
    <row r="611" spans="2:28" ht="15" customHeight="1" x14ac:dyDescent="0.4">
      <c r="C611" s="34" t="s">
        <v>6</v>
      </c>
      <c r="D611" s="35">
        <v>45551</v>
      </c>
      <c r="E611" s="51" t="s">
        <v>12</v>
      </c>
      <c r="F611" s="33">
        <v>1</v>
      </c>
      <c r="G611" s="27">
        <f t="shared" si="10"/>
        <v>-1</v>
      </c>
      <c r="H611" s="28" t="str">
        <f>VLOOKUP(E611,'Cadastro Produtos (kiwkiw)'!C:E,3,0)</f>
        <v>Anel Duplo Banho Ouro</v>
      </c>
      <c r="AB611" s="33" t="s">
        <v>337</v>
      </c>
    </row>
    <row r="612" spans="2:28" ht="15" customHeight="1" x14ac:dyDescent="0.4">
      <c r="C612" s="34" t="s">
        <v>6</v>
      </c>
      <c r="D612" s="35">
        <v>45551</v>
      </c>
      <c r="E612" s="51" t="s">
        <v>12</v>
      </c>
      <c r="F612" s="33">
        <v>1</v>
      </c>
      <c r="G612" s="27">
        <f t="shared" si="10"/>
        <v>-1</v>
      </c>
      <c r="H612" s="28" t="str">
        <f>VLOOKUP(E612,'Cadastro Produtos (kiwkiw)'!C:E,3,0)</f>
        <v>Anel Duplo Banho Ouro</v>
      </c>
      <c r="AB612" s="33" t="s">
        <v>338</v>
      </c>
    </row>
    <row r="613" spans="2:28" ht="15" customHeight="1" x14ac:dyDescent="0.4">
      <c r="C613" s="34" t="s">
        <v>6</v>
      </c>
      <c r="D613" s="35">
        <v>45551</v>
      </c>
      <c r="E613" s="51" t="s">
        <v>103</v>
      </c>
      <c r="F613" s="33">
        <v>1</v>
      </c>
      <c r="G613" s="27">
        <f t="shared" si="10"/>
        <v>-1</v>
      </c>
      <c r="H613" s="28" t="str">
        <f>VLOOKUP(E613,'Cadastro Produtos (kiwkiw)'!C:E,3,0)</f>
        <v>Colar Ivy Banho Ouro</v>
      </c>
      <c r="I613" s="37"/>
      <c r="AB613" s="33" t="s">
        <v>339</v>
      </c>
    </row>
    <row r="614" spans="2:28" ht="15" customHeight="1" x14ac:dyDescent="0.4">
      <c r="C614" s="34" t="s">
        <v>6</v>
      </c>
      <c r="D614" s="35">
        <v>45551</v>
      </c>
      <c r="E614" s="51" t="s">
        <v>89</v>
      </c>
      <c r="F614" s="33">
        <v>1</v>
      </c>
      <c r="G614" s="27">
        <f t="shared" si="10"/>
        <v>-1</v>
      </c>
      <c r="H614" s="28" t="str">
        <f>VLOOKUP(E614,'Cadastro Produtos (kiwkiw)'!C:E,3,0)</f>
        <v>Colar Dot Banho Ouro</v>
      </c>
      <c r="AB614" s="33" t="s">
        <v>339</v>
      </c>
    </row>
    <row r="615" spans="2:28" ht="15" customHeight="1" x14ac:dyDescent="0.4">
      <c r="C615" s="34" t="s">
        <v>6</v>
      </c>
      <c r="D615" s="35">
        <v>45551</v>
      </c>
      <c r="E615" s="51" t="s">
        <v>86</v>
      </c>
      <c r="F615" s="33">
        <v>1</v>
      </c>
      <c r="G615" s="27">
        <f t="shared" si="10"/>
        <v>-1</v>
      </c>
      <c r="H615" s="28" t="str">
        <f>VLOOKUP(E615,'Cadastro Produtos (kiwkiw)'!C:E,3,0)</f>
        <v>Piercing Fake Minimal Banho Ouro</v>
      </c>
      <c r="AB615" s="33" t="s">
        <v>339</v>
      </c>
    </row>
    <row r="616" spans="2:28" ht="15" customHeight="1" x14ac:dyDescent="0.4">
      <c r="B616" s="44"/>
      <c r="C616" s="34" t="s">
        <v>6</v>
      </c>
      <c r="D616" s="35">
        <v>45551</v>
      </c>
      <c r="E616" s="51" t="s">
        <v>85</v>
      </c>
      <c r="F616" s="33">
        <v>1</v>
      </c>
      <c r="G616" s="27">
        <f t="shared" si="10"/>
        <v>-1</v>
      </c>
      <c r="H616" s="28" t="str">
        <f>VLOOKUP(E616,'Cadastro Produtos (kiwkiw)'!C:E,3,0)</f>
        <v>Piercing Fake Dots Banho Ouro</v>
      </c>
      <c r="AB616" s="33" t="s">
        <v>339</v>
      </c>
    </row>
    <row r="617" spans="2:28" ht="15" customHeight="1" x14ac:dyDescent="0.4">
      <c r="C617" s="34" t="s">
        <v>6</v>
      </c>
      <c r="D617" s="35">
        <v>45551</v>
      </c>
      <c r="E617" s="51" t="s">
        <v>53</v>
      </c>
      <c r="F617" s="33">
        <v>1</v>
      </c>
      <c r="G617" s="27">
        <f t="shared" si="10"/>
        <v>-1</v>
      </c>
      <c r="H617" s="28" t="str">
        <f>VLOOKUP(E617,'Cadastro Produtos (kiwkiw)'!C:E,3,0)</f>
        <v>Brinco Infinito Banho Ouro</v>
      </c>
      <c r="AB617" s="33" t="s">
        <v>338</v>
      </c>
    </row>
    <row r="618" spans="2:28" ht="15" customHeight="1" x14ac:dyDescent="0.4">
      <c r="B618" s="43">
        <v>45552.414004629631</v>
      </c>
      <c r="C618" s="34" t="s">
        <v>6</v>
      </c>
      <c r="D618" s="35">
        <v>45552</v>
      </c>
      <c r="E618" s="51" t="s">
        <v>87</v>
      </c>
      <c r="F618" s="33">
        <v>1</v>
      </c>
      <c r="G618" s="27">
        <f t="shared" si="10"/>
        <v>-1</v>
      </c>
      <c r="H618" s="28" t="str">
        <f>VLOOKUP(E618,'Cadastro Produtos (kiwkiw)'!C:E,3,0)</f>
        <v>Piercing Fake Classy Banho Ouro</v>
      </c>
      <c r="AB618" s="33" t="s">
        <v>340</v>
      </c>
    </row>
    <row r="619" spans="2:28" ht="15" customHeight="1" x14ac:dyDescent="0.4">
      <c r="C619" s="34" t="s">
        <v>6</v>
      </c>
      <c r="D619" s="35">
        <v>45552</v>
      </c>
      <c r="E619" s="51" t="s">
        <v>88</v>
      </c>
      <c r="F619" s="33">
        <v>1</v>
      </c>
      <c r="G619" s="27">
        <f t="shared" si="10"/>
        <v>-1</v>
      </c>
      <c r="H619" s="28" t="str">
        <f>VLOOKUP(E619,'Cadastro Produtos (kiwkiw)'!C:E,3,0)</f>
        <v>Piercing Fake Classy Prateado</v>
      </c>
      <c r="AB619" s="33" t="s">
        <v>340</v>
      </c>
    </row>
    <row r="620" spans="2:28" ht="15" customHeight="1" x14ac:dyDescent="0.4">
      <c r="B620" s="43">
        <v>45553.419004629628</v>
      </c>
      <c r="C620" s="34" t="s">
        <v>6</v>
      </c>
      <c r="D620" s="35">
        <v>45553</v>
      </c>
      <c r="E620" s="51" t="s">
        <v>91</v>
      </c>
      <c r="F620" s="33">
        <v>1</v>
      </c>
      <c r="G620" s="27">
        <f t="shared" si="10"/>
        <v>-1</v>
      </c>
      <c r="H620" s="28" t="str">
        <f>VLOOKUP(E620,'Cadastro Produtos (kiwkiw)'!C:E,3,0)</f>
        <v>Colar Rosa dos Ventos Banho Ouro</v>
      </c>
      <c r="AB620" s="33" t="s">
        <v>341</v>
      </c>
    </row>
    <row r="621" spans="2:28" ht="15" customHeight="1" x14ac:dyDescent="0.4">
      <c r="C621" s="34" t="s">
        <v>6</v>
      </c>
      <c r="D621" s="35">
        <v>45553</v>
      </c>
      <c r="E621" s="51" t="s">
        <v>105</v>
      </c>
      <c r="F621" s="33">
        <v>1</v>
      </c>
      <c r="G621" s="27">
        <f t="shared" si="10"/>
        <v>-1</v>
      </c>
      <c r="H621" s="28" t="str">
        <f>VLOOKUP(E621,'Cadastro Produtos (kiwkiw)'!C:E,3,0)</f>
        <v>Colar Rosa Banho Ouro</v>
      </c>
      <c r="AB621" s="33" t="s">
        <v>341</v>
      </c>
    </row>
    <row r="622" spans="2:28" ht="15" customHeight="1" x14ac:dyDescent="0.4">
      <c r="C622" s="34" t="s">
        <v>6</v>
      </c>
      <c r="D622" s="35">
        <v>45553</v>
      </c>
      <c r="E622" s="51" t="s">
        <v>84</v>
      </c>
      <c r="F622" s="33">
        <v>2</v>
      </c>
      <c r="G622" s="27">
        <f t="shared" si="10"/>
        <v>-2</v>
      </c>
      <c r="H622" s="28" t="str">
        <f>VLOOKUP(E622,'Cadastro Produtos (kiwkiw)'!C:E,3,0)</f>
        <v>Mini Argola Classy Prateada</v>
      </c>
      <c r="AB622" s="33" t="s">
        <v>342</v>
      </c>
    </row>
    <row r="623" spans="2:28" ht="15" customHeight="1" x14ac:dyDescent="0.4">
      <c r="B623" s="43">
        <v>45554.409467592595</v>
      </c>
      <c r="C623" s="34" t="s">
        <v>6</v>
      </c>
      <c r="D623" s="35">
        <v>45554</v>
      </c>
      <c r="E623" s="51" t="s">
        <v>86</v>
      </c>
      <c r="F623" s="33">
        <v>1</v>
      </c>
      <c r="G623" s="27">
        <f t="shared" si="10"/>
        <v>-1</v>
      </c>
      <c r="H623" s="28" t="str">
        <f>VLOOKUP(E623,'Cadastro Produtos (kiwkiw)'!C:E,3,0)</f>
        <v>Piercing Fake Minimal Banho Ouro</v>
      </c>
      <c r="AB623" s="33" t="s">
        <v>343</v>
      </c>
    </row>
    <row r="624" spans="2:28" ht="15" customHeight="1" x14ac:dyDescent="0.4">
      <c r="C624" s="34" t="s">
        <v>6</v>
      </c>
      <c r="D624" s="35">
        <v>45554</v>
      </c>
      <c r="E624" s="51" t="s">
        <v>61</v>
      </c>
      <c r="F624" s="33">
        <v>1</v>
      </c>
      <c r="G624" s="27">
        <f t="shared" si="10"/>
        <v>-1</v>
      </c>
      <c r="H624" s="28" t="str">
        <f>VLOOKUP(E624,'Cadastro Produtos (kiwkiw)'!C:E,3,0)</f>
        <v>Brinco Setas Banho Ouro</v>
      </c>
      <c r="AB624" s="33" t="s">
        <v>344</v>
      </c>
    </row>
    <row r="625" spans="2:28" ht="15" customHeight="1" x14ac:dyDescent="0.4">
      <c r="C625" s="34" t="s">
        <v>6</v>
      </c>
      <c r="D625" s="35">
        <v>45554</v>
      </c>
      <c r="E625" s="51" t="s">
        <v>104</v>
      </c>
      <c r="F625" s="33">
        <v>1</v>
      </c>
      <c r="G625" s="27">
        <f t="shared" si="10"/>
        <v>-1</v>
      </c>
      <c r="H625" s="28" t="str">
        <f>VLOOKUP(E625,'Cadastro Produtos (kiwkiw)'!C:E,3,0)</f>
        <v>Colar Ivy Prateado</v>
      </c>
      <c r="AB625" s="33" t="s">
        <v>344</v>
      </c>
    </row>
    <row r="626" spans="2:28" ht="15" customHeight="1" x14ac:dyDescent="0.4">
      <c r="C626" s="34" t="s">
        <v>6</v>
      </c>
      <c r="D626" s="35">
        <v>45554</v>
      </c>
      <c r="E626" s="51" t="s">
        <v>90</v>
      </c>
      <c r="F626" s="33">
        <v>1</v>
      </c>
      <c r="G626" s="27">
        <f t="shared" si="10"/>
        <v>-1</v>
      </c>
      <c r="H626" s="28" t="str">
        <f>VLOOKUP(E626,'Cadastro Produtos (kiwkiw)'!C:E,3,0)</f>
        <v>Colar Dot Prateado</v>
      </c>
      <c r="AB626" s="33" t="s">
        <v>345</v>
      </c>
    </row>
    <row r="627" spans="2:28" ht="15" customHeight="1" x14ac:dyDescent="0.4">
      <c r="C627" s="34" t="s">
        <v>6</v>
      </c>
      <c r="D627" s="35">
        <v>45554</v>
      </c>
      <c r="E627" s="51" t="s">
        <v>72</v>
      </c>
      <c r="F627" s="33">
        <v>1</v>
      </c>
      <c r="G627" s="27">
        <f t="shared" si="10"/>
        <v>-1</v>
      </c>
      <c r="H627" s="28" t="str">
        <f>VLOOKUP(E627,'Cadastro Produtos (kiwkiw)'!C:E,3,0)</f>
        <v>Ear Hook Line Banho Ouro</v>
      </c>
      <c r="AB627" s="33" t="s">
        <v>346</v>
      </c>
    </row>
    <row r="628" spans="2:28" ht="15" customHeight="1" x14ac:dyDescent="0.4">
      <c r="B628" s="43">
        <v>45555.413645833331</v>
      </c>
      <c r="C628" s="34" t="s">
        <v>6</v>
      </c>
      <c r="D628" s="35">
        <v>45555</v>
      </c>
      <c r="E628" s="51" t="s">
        <v>94</v>
      </c>
      <c r="F628" s="33">
        <v>1</v>
      </c>
      <c r="G628" s="27">
        <f t="shared" si="10"/>
        <v>-1</v>
      </c>
      <c r="H628" s="28" t="str">
        <f>VLOOKUP(E628,'Cadastro Produtos (kiwkiw)'!C:E,3,0)</f>
        <v>Colar Duplo Dots Banho Ouro</v>
      </c>
      <c r="AB628" s="33" t="s">
        <v>347</v>
      </c>
    </row>
    <row r="629" spans="2:28" ht="15" customHeight="1" x14ac:dyDescent="0.4">
      <c r="C629" s="34" t="s">
        <v>6</v>
      </c>
      <c r="D629" s="35">
        <v>45555</v>
      </c>
      <c r="E629" s="51" t="s">
        <v>59</v>
      </c>
      <c r="F629" s="33">
        <v>1</v>
      </c>
      <c r="G629" s="27">
        <f t="shared" si="10"/>
        <v>-1</v>
      </c>
      <c r="H629" s="28" t="str">
        <f>VLOOKUP(E629,'Cadastro Produtos (kiwkiw)'!C:E,3,0)</f>
        <v>Brinco Oncinha Banho Ouro</v>
      </c>
      <c r="AB629" s="33" t="s">
        <v>347</v>
      </c>
    </row>
    <row r="630" spans="2:28" ht="15" customHeight="1" x14ac:dyDescent="0.4">
      <c r="B630" s="43">
        <v>45558.411122685182</v>
      </c>
      <c r="C630" s="34" t="s">
        <v>6</v>
      </c>
      <c r="D630" s="35">
        <v>45558</v>
      </c>
      <c r="E630" s="51" t="s">
        <v>119</v>
      </c>
      <c r="F630" s="33">
        <v>1</v>
      </c>
      <c r="G630" s="27">
        <f t="shared" si="10"/>
        <v>-1</v>
      </c>
      <c r="H630" s="28" t="str">
        <f>VLOOKUP(E630,'Cadastro Produtos (kiwkiw)'!C:E,3,0)</f>
        <v>Bracelete Line Banho Ouro</v>
      </c>
      <c r="AB630" s="33" t="s">
        <v>348</v>
      </c>
    </row>
    <row r="631" spans="2:28" ht="15" customHeight="1" x14ac:dyDescent="0.4">
      <c r="C631" s="34" t="s">
        <v>6</v>
      </c>
      <c r="D631" s="35">
        <v>45558</v>
      </c>
      <c r="E631" s="51" t="s">
        <v>41</v>
      </c>
      <c r="F631" s="33">
        <v>1</v>
      </c>
      <c r="G631" s="27">
        <f t="shared" si="10"/>
        <v>-1</v>
      </c>
      <c r="H631" s="28" t="str">
        <f>VLOOKUP(E631,'Cadastro Produtos (kiwkiw)'!C:E,3,0)</f>
        <v>Argolinha Sol Banho Ouro</v>
      </c>
      <c r="AB631" s="33" t="s">
        <v>349</v>
      </c>
    </row>
    <row r="632" spans="2:28" ht="15" customHeight="1" x14ac:dyDescent="0.4">
      <c r="C632" s="34" t="s">
        <v>6</v>
      </c>
      <c r="D632" s="35">
        <v>45558</v>
      </c>
      <c r="E632" s="51" t="s">
        <v>12</v>
      </c>
      <c r="F632" s="33">
        <v>1</v>
      </c>
      <c r="G632" s="27">
        <f t="shared" si="10"/>
        <v>-1</v>
      </c>
      <c r="H632" s="28" t="str">
        <f>VLOOKUP(E632,'Cadastro Produtos (kiwkiw)'!C:E,3,0)</f>
        <v>Anel Duplo Banho Ouro</v>
      </c>
      <c r="AB632" s="33" t="s">
        <v>349</v>
      </c>
    </row>
    <row r="633" spans="2:28" ht="15" customHeight="1" x14ac:dyDescent="0.4">
      <c r="B633" s="43"/>
      <c r="C633" s="34" t="s">
        <v>6</v>
      </c>
      <c r="D633" s="35">
        <v>45558</v>
      </c>
      <c r="E633" s="51" t="s">
        <v>94</v>
      </c>
      <c r="F633" s="33">
        <v>1</v>
      </c>
      <c r="G633" s="27">
        <f t="shared" si="10"/>
        <v>-1</v>
      </c>
      <c r="H633" s="28" t="str">
        <f>VLOOKUP(E633,'Cadastro Produtos (kiwkiw)'!C:E,3,0)</f>
        <v>Colar Duplo Dots Banho Ouro</v>
      </c>
      <c r="AB633" s="33" t="s">
        <v>349</v>
      </c>
    </row>
    <row r="634" spans="2:28" ht="15" customHeight="1" x14ac:dyDescent="0.4">
      <c r="C634" s="34" t="s">
        <v>6</v>
      </c>
      <c r="D634" s="35">
        <v>45558</v>
      </c>
      <c r="E634" s="51" t="s">
        <v>91</v>
      </c>
      <c r="F634" s="33">
        <v>1</v>
      </c>
      <c r="G634" s="27">
        <f t="shared" si="10"/>
        <v>-1</v>
      </c>
      <c r="H634" s="28" t="str">
        <f>VLOOKUP(E634,'Cadastro Produtos (kiwkiw)'!C:E,3,0)</f>
        <v>Colar Rosa dos Ventos Banho Ouro</v>
      </c>
      <c r="AB634" s="33" t="s">
        <v>350</v>
      </c>
    </row>
    <row r="635" spans="2:28" ht="15" customHeight="1" x14ac:dyDescent="0.4">
      <c r="C635" s="34" t="s">
        <v>6</v>
      </c>
      <c r="D635" s="35">
        <v>45558</v>
      </c>
      <c r="E635" s="51" t="s">
        <v>117</v>
      </c>
      <c r="F635" s="33">
        <v>1</v>
      </c>
      <c r="G635" s="27">
        <f t="shared" si="10"/>
        <v>-1</v>
      </c>
      <c r="H635" s="28" t="str">
        <f>VLOOKUP(E635,'Cadastro Produtos (kiwkiw)'!C:E,3,0)</f>
        <v>Gargantilha Minimal Banho Ouro</v>
      </c>
      <c r="AB635" s="33" t="s">
        <v>350</v>
      </c>
    </row>
    <row r="636" spans="2:28" ht="15" customHeight="1" x14ac:dyDescent="0.4">
      <c r="B636" s="43">
        <v>45559.406030092592</v>
      </c>
      <c r="C636" s="34" t="s">
        <v>6</v>
      </c>
      <c r="D636" s="35">
        <v>45559</v>
      </c>
      <c r="E636" s="51" t="s">
        <v>104</v>
      </c>
      <c r="F636" s="33">
        <v>1</v>
      </c>
      <c r="G636" s="27">
        <f t="shared" si="10"/>
        <v>-1</v>
      </c>
      <c r="H636" s="28" t="str">
        <f>VLOOKUP(E636,'Cadastro Produtos (kiwkiw)'!C:E,3,0)</f>
        <v>Colar Ivy Prateado</v>
      </c>
      <c r="AB636" s="33" t="s">
        <v>351</v>
      </c>
    </row>
    <row r="637" spans="2:28" ht="15" customHeight="1" x14ac:dyDescent="0.4">
      <c r="C637" s="34" t="s">
        <v>6</v>
      </c>
      <c r="D637" s="35">
        <v>45559</v>
      </c>
      <c r="E637" s="51" t="s">
        <v>93</v>
      </c>
      <c r="F637" s="33">
        <v>1</v>
      </c>
      <c r="G637" s="27">
        <f t="shared" si="10"/>
        <v>-1</v>
      </c>
      <c r="H637" s="28" t="str">
        <f>VLOOKUP(E637,'Cadastro Produtos (kiwkiw)'!C:E,3,0)</f>
        <v>Colar Coracao Prateado</v>
      </c>
      <c r="AB637" s="33" t="s">
        <v>351</v>
      </c>
    </row>
    <row r="638" spans="2:28" ht="15" customHeight="1" x14ac:dyDescent="0.4">
      <c r="B638" s="43">
        <v>45560.409918981481</v>
      </c>
      <c r="C638" s="34" t="s">
        <v>6</v>
      </c>
      <c r="D638" s="35">
        <v>45560</v>
      </c>
      <c r="E638" s="51" t="s">
        <v>117</v>
      </c>
      <c r="F638" s="33">
        <v>1</v>
      </c>
      <c r="G638" s="27">
        <f t="shared" si="10"/>
        <v>-1</v>
      </c>
      <c r="H638" s="28" t="str">
        <f>VLOOKUP(E638,'Cadastro Produtos (kiwkiw)'!C:E,3,0)</f>
        <v>Gargantilha Minimal Banho Ouro</v>
      </c>
      <c r="AB638" s="33" t="s">
        <v>352</v>
      </c>
    </row>
    <row r="639" spans="2:28" ht="15" customHeight="1" x14ac:dyDescent="0.4">
      <c r="C639" s="34" t="s">
        <v>6</v>
      </c>
      <c r="D639" s="35">
        <v>45560</v>
      </c>
      <c r="E639" s="51" t="s">
        <v>86</v>
      </c>
      <c r="F639" s="33">
        <v>1</v>
      </c>
      <c r="G639" s="27">
        <f t="shared" si="10"/>
        <v>-1</v>
      </c>
      <c r="H639" s="28" t="str">
        <f>VLOOKUP(E639,'Cadastro Produtos (kiwkiw)'!C:E,3,0)</f>
        <v>Piercing Fake Minimal Banho Ouro</v>
      </c>
      <c r="AB639" s="33" t="s">
        <v>352</v>
      </c>
    </row>
    <row r="640" spans="2:28" ht="15" customHeight="1" x14ac:dyDescent="0.4">
      <c r="C640" s="34" t="s">
        <v>6</v>
      </c>
      <c r="D640" s="35">
        <v>45560</v>
      </c>
      <c r="E640" s="51" t="s">
        <v>46</v>
      </c>
      <c r="F640" s="33">
        <v>1</v>
      </c>
      <c r="G640" s="27">
        <f t="shared" si="10"/>
        <v>-1</v>
      </c>
      <c r="H640" s="28" t="str">
        <f>VLOOKUP(E640,'Cadastro Produtos (kiwkiw)'!C:E,3,0)</f>
        <v>Brinco Bubble Pequeno Banho Ouro</v>
      </c>
      <c r="AB640" s="33" t="s">
        <v>352</v>
      </c>
    </row>
    <row r="641" spans="2:28" ht="15" customHeight="1" x14ac:dyDescent="0.4">
      <c r="C641" s="34" t="s">
        <v>6</v>
      </c>
      <c r="D641" s="35">
        <v>45560</v>
      </c>
      <c r="E641" s="51" t="s">
        <v>48</v>
      </c>
      <c r="F641" s="33">
        <v>1</v>
      </c>
      <c r="G641" s="27">
        <f t="shared" si="10"/>
        <v>-1</v>
      </c>
      <c r="H641" s="28" t="str">
        <f>VLOOKUP(E641,'Cadastro Produtos (kiwkiw)'!C:E,3,0)</f>
        <v>Brinco Gota Click Banho Ouro</v>
      </c>
      <c r="AB641" s="33" t="s">
        <v>352</v>
      </c>
    </row>
    <row r="642" spans="2:28" ht="15" customHeight="1" x14ac:dyDescent="0.4">
      <c r="C642" s="34" t="s">
        <v>6</v>
      </c>
      <c r="D642" s="35">
        <v>45560</v>
      </c>
      <c r="E642" s="51" t="s">
        <v>69</v>
      </c>
      <c r="F642" s="33">
        <v>1</v>
      </c>
      <c r="G642" s="27">
        <f t="shared" si="10"/>
        <v>-1</v>
      </c>
      <c r="H642" s="28" t="str">
        <f>VLOOKUP(E642,'Cadastro Produtos (kiwkiw)'!C:E,3,0)</f>
        <v>Brinco Tubinho Pequeno Banho Ouro</v>
      </c>
      <c r="AB642" s="33" t="s">
        <v>353</v>
      </c>
    </row>
    <row r="643" spans="2:28" ht="15" customHeight="1" x14ac:dyDescent="0.4">
      <c r="C643" s="34" t="s">
        <v>6</v>
      </c>
      <c r="D643" s="35">
        <v>45560</v>
      </c>
      <c r="E643" s="51" t="s">
        <v>91</v>
      </c>
      <c r="F643" s="33">
        <v>1</v>
      </c>
      <c r="G643" s="27">
        <f t="shared" si="10"/>
        <v>-1</v>
      </c>
      <c r="H643" s="28" t="str">
        <f>VLOOKUP(E643,'Cadastro Produtos (kiwkiw)'!C:E,3,0)</f>
        <v>Colar Rosa dos Ventos Banho Ouro</v>
      </c>
      <c r="AB643" s="33" t="s">
        <v>353</v>
      </c>
    </row>
    <row r="644" spans="2:28" ht="15" customHeight="1" x14ac:dyDescent="0.4">
      <c r="B644" s="43">
        <v>45561.418136574073</v>
      </c>
      <c r="C644" s="34" t="s">
        <v>6</v>
      </c>
      <c r="D644" s="35">
        <v>45561</v>
      </c>
      <c r="E644" s="51" t="s">
        <v>92</v>
      </c>
      <c r="F644" s="33">
        <v>1</v>
      </c>
      <c r="G644" s="27">
        <f t="shared" si="10"/>
        <v>-1</v>
      </c>
      <c r="H644" s="28" t="str">
        <f>VLOOKUP(E644,'Cadastro Produtos (kiwkiw)'!C:E,3,0)</f>
        <v>Colar Coracao Banho Ouro</v>
      </c>
      <c r="AB644" s="33" t="s">
        <v>354</v>
      </c>
    </row>
    <row r="645" spans="2:28" ht="15" customHeight="1" x14ac:dyDescent="0.4">
      <c r="C645" s="34" t="s">
        <v>6</v>
      </c>
      <c r="D645" s="35">
        <v>45561</v>
      </c>
      <c r="E645" s="51" t="s">
        <v>117</v>
      </c>
      <c r="F645" s="33">
        <v>1</v>
      </c>
      <c r="G645" s="27">
        <f t="shared" si="10"/>
        <v>-1</v>
      </c>
      <c r="H645" s="28" t="str">
        <f>VLOOKUP(E645,'Cadastro Produtos (kiwkiw)'!C:E,3,0)</f>
        <v>Gargantilha Minimal Banho Ouro</v>
      </c>
      <c r="AB645" s="33" t="s">
        <v>354</v>
      </c>
    </row>
    <row r="646" spans="2:28" ht="15" customHeight="1" x14ac:dyDescent="0.4">
      <c r="C646" s="34" t="s">
        <v>6</v>
      </c>
      <c r="D646" s="35">
        <v>45561</v>
      </c>
      <c r="E646" s="51" t="s">
        <v>24</v>
      </c>
      <c r="F646" s="33">
        <v>1</v>
      </c>
      <c r="G646" s="27">
        <f t="shared" si="10"/>
        <v>-1</v>
      </c>
      <c r="H646" s="28" t="str">
        <f>VLOOKUP(E646,'Cadastro Produtos (kiwkiw)'!C:E,3,0)</f>
        <v>Argola Bold Pequena Banho Ouro</v>
      </c>
      <c r="AB646" s="33" t="s">
        <v>355</v>
      </c>
    </row>
    <row r="647" spans="2:28" ht="15" customHeight="1" x14ac:dyDescent="0.4">
      <c r="C647" s="34" t="s">
        <v>6</v>
      </c>
      <c r="D647" s="35">
        <v>45561</v>
      </c>
      <c r="E647" s="51" t="s">
        <v>69</v>
      </c>
      <c r="F647" s="33">
        <v>1</v>
      </c>
      <c r="G647" s="27">
        <f t="shared" si="10"/>
        <v>-1</v>
      </c>
      <c r="H647" s="28" t="str">
        <f>VLOOKUP(E647,'Cadastro Produtos (kiwkiw)'!C:E,3,0)</f>
        <v>Brinco Tubinho Pequeno Banho Ouro</v>
      </c>
      <c r="AB647" s="33" t="s">
        <v>355</v>
      </c>
    </row>
    <row r="648" spans="2:28" ht="15" customHeight="1" x14ac:dyDescent="0.4">
      <c r="C648" s="34" t="s">
        <v>5</v>
      </c>
      <c r="D648" s="35">
        <v>45561</v>
      </c>
      <c r="E648" s="51" t="s">
        <v>84</v>
      </c>
      <c r="F648" s="33">
        <v>2</v>
      </c>
      <c r="G648" s="27">
        <f t="shared" si="10"/>
        <v>2</v>
      </c>
      <c r="H648" s="28" t="str">
        <f>VLOOKUP(E648,'Cadastro Produtos (kiwkiw)'!C:E,3,0)</f>
        <v>Mini Argola Classy Prateada</v>
      </c>
      <c r="I648" s="32" t="s">
        <v>356</v>
      </c>
    </row>
    <row r="649" spans="2:28" ht="15" customHeight="1" x14ac:dyDescent="0.4">
      <c r="C649" s="34" t="s">
        <v>5</v>
      </c>
      <c r="D649" s="35">
        <v>45561</v>
      </c>
      <c r="E649" s="51" t="s">
        <v>100</v>
      </c>
      <c r="F649" s="33">
        <v>1</v>
      </c>
      <c r="G649" s="27">
        <f t="shared" si="10"/>
        <v>1</v>
      </c>
      <c r="H649" s="28" t="str">
        <f>VLOOKUP(E649,'Cadastro Produtos (kiwkiw)'!C:E,3,0)</f>
        <v>Colar Esfera Pequeno Banho Ouro</v>
      </c>
      <c r="I649" s="32" t="s">
        <v>357</v>
      </c>
    </row>
    <row r="650" spans="2:28" ht="15" customHeight="1" x14ac:dyDescent="0.4">
      <c r="C650" s="34" t="s">
        <v>5</v>
      </c>
      <c r="D650" s="35">
        <v>45561</v>
      </c>
      <c r="E650" s="51" t="s">
        <v>72</v>
      </c>
      <c r="F650" s="33">
        <v>1</v>
      </c>
      <c r="G650" s="27">
        <f t="shared" si="10"/>
        <v>1</v>
      </c>
      <c r="H650" s="28" t="str">
        <f>VLOOKUP(E650,'Cadastro Produtos (kiwkiw)'!C:E,3,0)</f>
        <v>Ear Hook Line Banho Ouro</v>
      </c>
      <c r="I650" s="32" t="s">
        <v>358</v>
      </c>
    </row>
    <row r="651" spans="2:28" ht="15" customHeight="1" x14ac:dyDescent="0.4">
      <c r="C651" s="34" t="s">
        <v>5</v>
      </c>
      <c r="D651" s="35">
        <v>45561</v>
      </c>
      <c r="E651" s="51" t="s">
        <v>93</v>
      </c>
      <c r="F651" s="33">
        <v>1</v>
      </c>
      <c r="G651" s="27">
        <f t="shared" si="10"/>
        <v>1</v>
      </c>
      <c r="H651" s="28" t="str">
        <f>VLOOKUP(E651,'Cadastro Produtos (kiwkiw)'!C:E,3,0)</f>
        <v>Colar Coracao Prateado</v>
      </c>
      <c r="I651" s="32" t="s">
        <v>358</v>
      </c>
    </row>
    <row r="652" spans="2:28" ht="15" customHeight="1" x14ac:dyDescent="0.4">
      <c r="B652" s="43"/>
      <c r="C652" s="34" t="s">
        <v>5</v>
      </c>
      <c r="D652" s="35">
        <v>45561</v>
      </c>
      <c r="E652" s="51" t="s">
        <v>95</v>
      </c>
      <c r="F652" s="33">
        <v>1</v>
      </c>
      <c r="G652" s="27">
        <f t="shared" si="10"/>
        <v>1</v>
      </c>
      <c r="H652" s="28" t="str">
        <f>VLOOKUP(E652,'Cadastro Produtos (kiwkiw)'!C:E,3,0)</f>
        <v>Colar Duplo Dots Prateado</v>
      </c>
      <c r="I652" s="32" t="s">
        <v>358</v>
      </c>
    </row>
    <row r="653" spans="2:28" ht="15" customHeight="1" x14ac:dyDescent="0.4">
      <c r="C653" s="34" t="s">
        <v>5</v>
      </c>
      <c r="D653" s="35">
        <v>45561</v>
      </c>
      <c r="E653" s="51" t="s">
        <v>36</v>
      </c>
      <c r="F653" s="33">
        <v>1</v>
      </c>
      <c r="G653" s="27">
        <f t="shared" si="10"/>
        <v>1</v>
      </c>
      <c r="H653" s="28" t="str">
        <f>VLOOKUP(E653,'Cadastro Produtos (kiwkiw)'!C:E,3,0)</f>
        <v>Argola Classy Prateada</v>
      </c>
      <c r="I653" s="32" t="s">
        <v>358</v>
      </c>
    </row>
    <row r="654" spans="2:28" ht="15" customHeight="1" x14ac:dyDescent="0.4">
      <c r="C654" s="34" t="s">
        <v>5</v>
      </c>
      <c r="D654" s="35">
        <v>45561</v>
      </c>
      <c r="E654" s="51" t="s">
        <v>55</v>
      </c>
      <c r="F654" s="33">
        <v>1</v>
      </c>
      <c r="G654" s="27">
        <f t="shared" si="10"/>
        <v>1</v>
      </c>
      <c r="H654" s="28" t="str">
        <f>VLOOKUP(E654,'Cadastro Produtos (kiwkiw)'!C:E,3,0)</f>
        <v>Brinco Ivy Prateado</v>
      </c>
      <c r="I654" s="32" t="s">
        <v>358</v>
      </c>
    </row>
    <row r="655" spans="2:28" ht="15" customHeight="1" x14ac:dyDescent="0.4">
      <c r="C655" s="34" t="s">
        <v>5</v>
      </c>
      <c r="D655" s="35">
        <v>45561</v>
      </c>
      <c r="E655" s="51" t="s">
        <v>115</v>
      </c>
      <c r="F655" s="33">
        <v>1</v>
      </c>
      <c r="G655" s="27">
        <f t="shared" si="10"/>
        <v>1</v>
      </c>
      <c r="H655" s="28" t="str">
        <f>VLOOKUP(E655,'Cadastro Produtos (kiwkiw)'!C:E,3,0)</f>
        <v>Gargantilha Fita Prateada</v>
      </c>
      <c r="I655" s="32" t="s">
        <v>358</v>
      </c>
    </row>
    <row r="656" spans="2:28" ht="15" customHeight="1" x14ac:dyDescent="0.4">
      <c r="B656" s="43">
        <v>45565.423946759256</v>
      </c>
      <c r="C656" s="34" t="s">
        <v>6</v>
      </c>
      <c r="D656" s="35">
        <v>45565</v>
      </c>
      <c r="E656" s="51" t="s">
        <v>39</v>
      </c>
      <c r="F656" s="33">
        <v>1</v>
      </c>
      <c r="G656" s="27">
        <f t="shared" ref="G656:G720" si="11">IF(C656="Entrada",F656,-F656)</f>
        <v>-1</v>
      </c>
      <c r="H656" s="28" t="str">
        <f>VLOOKUP(E656,'Cadastro Produtos (kiwkiw)'!C:E,3,0)</f>
        <v>Argolinha Click Torcida Banho Ouro</v>
      </c>
      <c r="AB656" s="33" t="s">
        <v>359</v>
      </c>
    </row>
    <row r="657" spans="2:28" ht="15" customHeight="1" x14ac:dyDescent="0.4">
      <c r="C657" s="34" t="s">
        <v>6</v>
      </c>
      <c r="D657" s="35">
        <v>45565</v>
      </c>
      <c r="E657" s="51" t="s">
        <v>25</v>
      </c>
      <c r="F657" s="33">
        <v>1</v>
      </c>
      <c r="G657" s="27">
        <f t="shared" si="11"/>
        <v>-1</v>
      </c>
      <c r="H657" s="28" t="str">
        <f>VLOOKUP(E657,'Cadastro Produtos (kiwkiw)'!C:E,3,0)</f>
        <v>Argola Amy Banho Ouro</v>
      </c>
      <c r="AB657" s="33" t="s">
        <v>359</v>
      </c>
    </row>
    <row r="658" spans="2:28" ht="15" customHeight="1" x14ac:dyDescent="0.4">
      <c r="C658" s="34" t="s">
        <v>6</v>
      </c>
      <c r="D658" s="35">
        <v>45565</v>
      </c>
      <c r="E658" s="51" t="s">
        <v>26</v>
      </c>
      <c r="F658" s="33">
        <v>1</v>
      </c>
      <c r="G658" s="27">
        <f t="shared" si="11"/>
        <v>-1</v>
      </c>
      <c r="H658" s="28" t="str">
        <f>VLOOKUP(E658,'Cadastro Produtos (kiwkiw)'!C:E,3,0)</f>
        <v>Argola Click Grande Banho Ouro</v>
      </c>
      <c r="AB658" s="33" t="s">
        <v>359</v>
      </c>
    </row>
    <row r="659" spans="2:28" ht="15" customHeight="1" x14ac:dyDescent="0.4">
      <c r="C659" s="34" t="s">
        <v>6</v>
      </c>
      <c r="D659" s="35">
        <v>45565</v>
      </c>
      <c r="E659" s="51" t="s">
        <v>117</v>
      </c>
      <c r="F659" s="33">
        <v>1</v>
      </c>
      <c r="G659" s="27">
        <f t="shared" si="11"/>
        <v>-1</v>
      </c>
      <c r="H659" s="28" t="str">
        <f>VLOOKUP(E659,'Cadastro Produtos (kiwkiw)'!C:E,3,0)</f>
        <v>Gargantilha Minimal Banho Ouro</v>
      </c>
      <c r="AB659" s="33" t="s">
        <v>359</v>
      </c>
    </row>
    <row r="660" spans="2:28" ht="15" customHeight="1" x14ac:dyDescent="0.4">
      <c r="C660" s="34" t="s">
        <v>6</v>
      </c>
      <c r="D660" s="35">
        <v>45565</v>
      </c>
      <c r="E660" s="51" t="s">
        <v>12</v>
      </c>
      <c r="F660" s="33">
        <v>1</v>
      </c>
      <c r="G660" s="27">
        <f t="shared" si="11"/>
        <v>-1</v>
      </c>
      <c r="H660" s="28" t="str">
        <f>VLOOKUP(E660,'Cadastro Produtos (kiwkiw)'!C:E,3,0)</f>
        <v>Anel Duplo Banho Ouro</v>
      </c>
      <c r="AB660" s="33" t="s">
        <v>359</v>
      </c>
    </row>
    <row r="661" spans="2:28" ht="15" customHeight="1" x14ac:dyDescent="0.4">
      <c r="C661" s="34" t="s">
        <v>6</v>
      </c>
      <c r="D661" s="35">
        <v>45565</v>
      </c>
      <c r="E661" s="51" t="s">
        <v>80</v>
      </c>
      <c r="F661" s="33">
        <v>1</v>
      </c>
      <c r="G661" s="27">
        <f t="shared" si="11"/>
        <v>-1</v>
      </c>
      <c r="H661" s="28" t="str">
        <f>VLOOKUP(E661,'Cadastro Produtos (kiwkiw)'!C:E,3,0)</f>
        <v>Meia Argola Croissant Banho Ouro</v>
      </c>
      <c r="AB661" s="33" t="s">
        <v>359</v>
      </c>
    </row>
    <row r="662" spans="2:28" ht="15" customHeight="1" x14ac:dyDescent="0.4">
      <c r="C662" s="34" t="s">
        <v>6</v>
      </c>
      <c r="D662" s="35">
        <v>45565</v>
      </c>
      <c r="E662" s="51" t="s">
        <v>86</v>
      </c>
      <c r="F662" s="33">
        <v>1</v>
      </c>
      <c r="G662" s="27">
        <f t="shared" si="11"/>
        <v>-1</v>
      </c>
      <c r="H662" s="28" t="str">
        <f>VLOOKUP(E662,'Cadastro Produtos (kiwkiw)'!C:E,3,0)</f>
        <v>Piercing Fake Minimal Banho Ouro</v>
      </c>
      <c r="AB662" s="33" t="s">
        <v>360</v>
      </c>
    </row>
    <row r="663" spans="2:28" ht="15" customHeight="1" x14ac:dyDescent="0.4">
      <c r="B663" s="43">
        <v>45569.419479166667</v>
      </c>
      <c r="C663" s="34" t="s">
        <v>6</v>
      </c>
      <c r="D663" s="35">
        <v>45569</v>
      </c>
      <c r="E663" s="51" t="s">
        <v>117</v>
      </c>
      <c r="F663" s="33">
        <v>1</v>
      </c>
      <c r="G663" s="27">
        <f t="shared" si="11"/>
        <v>-1</v>
      </c>
      <c r="H663" s="28" t="str">
        <f>VLOOKUP(E663,'Cadastro Produtos (kiwkiw)'!C:E,3,0)</f>
        <v>Gargantilha Minimal Banho Ouro</v>
      </c>
      <c r="AB663" s="33" t="s">
        <v>361</v>
      </c>
    </row>
    <row r="664" spans="2:28" ht="15" customHeight="1" x14ac:dyDescent="0.4">
      <c r="B664" s="43">
        <v>45572.416712962964</v>
      </c>
      <c r="C664" s="34" t="s">
        <v>6</v>
      </c>
      <c r="D664" s="35">
        <v>45572</v>
      </c>
      <c r="E664" s="51" t="s">
        <v>41</v>
      </c>
      <c r="F664" s="33">
        <v>1</v>
      </c>
      <c r="G664" s="27">
        <f t="shared" si="11"/>
        <v>-1</v>
      </c>
      <c r="H664" s="28" t="str">
        <f>VLOOKUP(E664,'Cadastro Produtos (kiwkiw)'!C:E,3,0)</f>
        <v>Argolinha Sol Banho Ouro</v>
      </c>
      <c r="AB664" s="33" t="s">
        <v>362</v>
      </c>
    </row>
    <row r="665" spans="2:28" ht="15" customHeight="1" x14ac:dyDescent="0.4">
      <c r="C665" s="34" t="s">
        <v>6</v>
      </c>
      <c r="D665" s="35">
        <v>45572</v>
      </c>
      <c r="E665" s="51" t="s">
        <v>56</v>
      </c>
      <c r="F665" s="33">
        <v>1</v>
      </c>
      <c r="G665" s="27">
        <f t="shared" si="11"/>
        <v>-1</v>
      </c>
      <c r="H665" s="28" t="str">
        <f>VLOOKUP(E665,'Cadastro Produtos (kiwkiw)'!C:E,3,0)</f>
        <v>Brinco Mini Raio Banho Ouro</v>
      </c>
      <c r="AB665" s="33" t="s">
        <v>362</v>
      </c>
    </row>
    <row r="666" spans="2:28" ht="15" customHeight="1" x14ac:dyDescent="0.4">
      <c r="B666" s="43"/>
      <c r="C666" s="34" t="s">
        <v>6</v>
      </c>
      <c r="D666" s="35">
        <v>45572</v>
      </c>
      <c r="E666" s="51" t="s">
        <v>86</v>
      </c>
      <c r="F666" s="33">
        <v>1</v>
      </c>
      <c r="G666" s="27">
        <f t="shared" si="11"/>
        <v>-1</v>
      </c>
      <c r="H666" s="28" t="str">
        <f>VLOOKUP(E666,'Cadastro Produtos (kiwkiw)'!C:E,3,0)</f>
        <v>Piercing Fake Minimal Banho Ouro</v>
      </c>
      <c r="AB666" s="33" t="s">
        <v>362</v>
      </c>
    </row>
    <row r="667" spans="2:28" ht="15" customHeight="1" x14ac:dyDescent="0.4">
      <c r="C667" s="34" t="s">
        <v>6</v>
      </c>
      <c r="D667" s="35">
        <v>45572</v>
      </c>
      <c r="E667" s="51" t="s">
        <v>36</v>
      </c>
      <c r="F667" s="33">
        <v>1</v>
      </c>
      <c r="G667" s="27">
        <f t="shared" si="11"/>
        <v>-1</v>
      </c>
      <c r="H667" s="28" t="str">
        <f>VLOOKUP(E667,'Cadastro Produtos (kiwkiw)'!C:E,3,0)</f>
        <v>Argola Classy Prateada</v>
      </c>
      <c r="AB667" s="33" t="s">
        <v>363</v>
      </c>
    </row>
    <row r="668" spans="2:28" ht="15" customHeight="1" x14ac:dyDescent="0.4">
      <c r="C668" s="34" t="s">
        <v>6</v>
      </c>
      <c r="D668" s="35">
        <v>45572</v>
      </c>
      <c r="E668" s="51" t="s">
        <v>27</v>
      </c>
      <c r="F668" s="33">
        <v>1</v>
      </c>
      <c r="G668" s="27">
        <f t="shared" si="11"/>
        <v>-1</v>
      </c>
      <c r="H668" s="28" t="str">
        <f>VLOOKUP(E668,'Cadastro Produtos (kiwkiw)'!C:E,3,0)</f>
        <v>Argola Click Media Banho Ouro</v>
      </c>
      <c r="AB668" s="33" t="s">
        <v>363</v>
      </c>
    </row>
    <row r="669" spans="2:28" ht="15" customHeight="1" x14ac:dyDescent="0.4">
      <c r="C669" s="34" t="s">
        <v>6</v>
      </c>
      <c r="D669" s="35">
        <v>45572</v>
      </c>
      <c r="E669" s="51" t="s">
        <v>78</v>
      </c>
      <c r="F669" s="33">
        <v>1</v>
      </c>
      <c r="G669" s="27">
        <f t="shared" si="11"/>
        <v>-1</v>
      </c>
      <c r="H669" s="28" t="str">
        <f>VLOOKUP(E669,'Cadastro Produtos (kiwkiw)'!C:E,3,0)</f>
        <v>EarHook Torcido Prateado</v>
      </c>
      <c r="AB669" s="33" t="s">
        <v>363</v>
      </c>
    </row>
    <row r="670" spans="2:28" ht="15" customHeight="1" x14ac:dyDescent="0.4">
      <c r="B670" s="43">
        <v>45576.422164351854</v>
      </c>
      <c r="C670" s="34" t="s">
        <v>6</v>
      </c>
      <c r="D670" s="35">
        <v>45576</v>
      </c>
      <c r="E670" s="51" t="s">
        <v>98</v>
      </c>
      <c r="F670" s="33">
        <v>1</v>
      </c>
      <c r="G670" s="27">
        <f t="shared" si="11"/>
        <v>-1</v>
      </c>
      <c r="H670" s="28" t="str">
        <f>VLOOKUP(E670,'Cadastro Produtos (kiwkiw)'!C:E,3,0)</f>
        <v>Colar Longo Esfera Banho Ouro</v>
      </c>
      <c r="AB670" s="33" t="s">
        <v>364</v>
      </c>
    </row>
    <row r="671" spans="2:28" ht="15" customHeight="1" x14ac:dyDescent="0.4">
      <c r="B671" s="43">
        <v>45579.421018518522</v>
      </c>
      <c r="C671" s="34" t="s">
        <v>6</v>
      </c>
      <c r="D671" s="35">
        <v>45579</v>
      </c>
      <c r="E671" s="51" t="s">
        <v>93</v>
      </c>
      <c r="F671" s="33">
        <v>1</v>
      </c>
      <c r="G671" s="27">
        <f t="shared" si="11"/>
        <v>-1</v>
      </c>
      <c r="H671" s="28" t="str">
        <f>VLOOKUP(E671,'Cadastro Produtos (kiwkiw)'!C:E,3,0)</f>
        <v>Colar Coracao Prateado</v>
      </c>
      <c r="AB671" s="33" t="s">
        <v>365</v>
      </c>
    </row>
    <row r="672" spans="2:28" ht="15" customHeight="1" x14ac:dyDescent="0.4">
      <c r="C672" s="34" t="s">
        <v>6</v>
      </c>
      <c r="D672" s="35">
        <v>45579</v>
      </c>
      <c r="E672" s="51" t="s">
        <v>58</v>
      </c>
      <c r="F672" s="33">
        <v>1</v>
      </c>
      <c r="G672" s="27">
        <f t="shared" si="11"/>
        <v>-1</v>
      </c>
      <c r="H672" s="28" t="str">
        <f>VLOOKUP(E672,'Cadastro Produtos (kiwkiw)'!C:E,3,0)</f>
        <v>Brinco Mini Triangulo Prateado</v>
      </c>
      <c r="AB672" s="33" t="s">
        <v>365</v>
      </c>
    </row>
    <row r="673" spans="2:28" ht="15" customHeight="1" x14ac:dyDescent="0.4">
      <c r="B673" s="43"/>
      <c r="C673" s="34" t="s">
        <v>6</v>
      </c>
      <c r="D673" s="35">
        <v>45579</v>
      </c>
      <c r="E673" s="51" t="s">
        <v>40</v>
      </c>
      <c r="F673" s="33">
        <v>2</v>
      </c>
      <c r="G673" s="27">
        <f t="shared" si="11"/>
        <v>-2</v>
      </c>
      <c r="H673" s="28" t="str">
        <f>VLOOKUP(E673,'Cadastro Produtos (kiwkiw)'!C:E,3,0)</f>
        <v>Argolinha Folha Banho Ouro</v>
      </c>
      <c r="AB673" s="33" t="s">
        <v>366</v>
      </c>
    </row>
    <row r="674" spans="2:28" ht="15" customHeight="1" x14ac:dyDescent="0.4">
      <c r="B674" s="43"/>
      <c r="C674" s="34" t="s">
        <v>6</v>
      </c>
      <c r="D674" s="35">
        <v>45579</v>
      </c>
      <c r="E674" s="51" t="s">
        <v>86</v>
      </c>
      <c r="F674" s="33">
        <v>1</v>
      </c>
      <c r="G674" s="27">
        <f t="shared" ref="G674" si="12">IF(C674="Entrada",F674,-F674)</f>
        <v>-1</v>
      </c>
      <c r="H674" s="28" t="str">
        <f>VLOOKUP(E674,'Cadastro Produtos (kiwkiw)'!C:E,3,0)</f>
        <v>Piercing Fake Minimal Banho Ouro</v>
      </c>
      <c r="AB674" s="33" t="s">
        <v>366</v>
      </c>
    </row>
    <row r="675" spans="2:28" ht="15" customHeight="1" x14ac:dyDescent="0.4">
      <c r="B675" s="43"/>
      <c r="C675" s="34" t="s">
        <v>6</v>
      </c>
      <c r="D675" s="35">
        <v>45579</v>
      </c>
      <c r="E675" s="51" t="s">
        <v>121</v>
      </c>
      <c r="F675" s="33">
        <v>1</v>
      </c>
      <c r="G675" s="27">
        <f t="shared" si="11"/>
        <v>-1</v>
      </c>
      <c r="H675" s="28" t="str">
        <f>VLOOKUP(E675,'Cadastro Produtos (kiwkiw)'!C:E,3,0)</f>
        <v>Bracelete Wave Banho Ouro</v>
      </c>
      <c r="AB675" s="33" t="s">
        <v>366</v>
      </c>
    </row>
    <row r="676" spans="2:28" ht="15" customHeight="1" x14ac:dyDescent="0.4">
      <c r="C676" s="34" t="s">
        <v>6</v>
      </c>
      <c r="D676" s="35">
        <v>45579</v>
      </c>
      <c r="E676" s="51" t="s">
        <v>48</v>
      </c>
      <c r="F676" s="33">
        <v>1</v>
      </c>
      <c r="G676" s="27">
        <f t="shared" si="11"/>
        <v>-1</v>
      </c>
      <c r="H676" s="28" t="str">
        <f>VLOOKUP(E676,'Cadastro Produtos (kiwkiw)'!C:E,3,0)</f>
        <v>Brinco Gota Click Banho Ouro</v>
      </c>
      <c r="AB676" s="33" t="s">
        <v>367</v>
      </c>
    </row>
    <row r="677" spans="2:28" ht="15" customHeight="1" x14ac:dyDescent="0.4">
      <c r="C677" s="34" t="s">
        <v>6</v>
      </c>
      <c r="D677" s="35">
        <v>45579</v>
      </c>
      <c r="E677" s="51" t="s">
        <v>105</v>
      </c>
      <c r="F677" s="33">
        <v>1</v>
      </c>
      <c r="G677" s="27">
        <f t="shared" si="11"/>
        <v>-1</v>
      </c>
      <c r="H677" s="28" t="str">
        <f>VLOOKUP(E677,'Cadastro Produtos (kiwkiw)'!C:E,3,0)</f>
        <v>Colar Rosa Banho Ouro</v>
      </c>
      <c r="AB677" s="33" t="s">
        <v>368</v>
      </c>
    </row>
    <row r="678" spans="2:28" ht="15" customHeight="1" x14ac:dyDescent="0.4">
      <c r="C678" s="34" t="s">
        <v>6</v>
      </c>
      <c r="D678" s="35">
        <v>45579</v>
      </c>
      <c r="E678" s="51" t="s">
        <v>53</v>
      </c>
      <c r="F678" s="33">
        <v>1</v>
      </c>
      <c r="G678" s="27">
        <f t="shared" si="11"/>
        <v>-1</v>
      </c>
      <c r="H678" s="28" t="str">
        <f>VLOOKUP(E678,'Cadastro Produtos (kiwkiw)'!C:E,3,0)</f>
        <v>Brinco Infinito Banho Ouro</v>
      </c>
      <c r="AB678" s="33" t="s">
        <v>368</v>
      </c>
    </row>
    <row r="679" spans="2:28" ht="15" customHeight="1" x14ac:dyDescent="0.4">
      <c r="C679" s="34" t="s">
        <v>6</v>
      </c>
      <c r="D679" s="35">
        <v>45579</v>
      </c>
      <c r="E679" s="51" t="s">
        <v>45</v>
      </c>
      <c r="F679" s="33">
        <v>1</v>
      </c>
      <c r="G679" s="27">
        <f t="shared" si="11"/>
        <v>-1</v>
      </c>
      <c r="H679" s="28" t="str">
        <f>VLOOKUP(E679,'Cadastro Produtos (kiwkiw)'!C:E,3,0)</f>
        <v>Brinco Bubble Medio Banho Ouro</v>
      </c>
      <c r="AB679" s="33" t="s">
        <v>369</v>
      </c>
    </row>
    <row r="680" spans="2:28" ht="15" customHeight="1" x14ac:dyDescent="0.4">
      <c r="C680" s="34" t="s">
        <v>6</v>
      </c>
      <c r="D680" s="35">
        <v>45579</v>
      </c>
      <c r="E680" s="51" t="s">
        <v>45</v>
      </c>
      <c r="F680" s="33">
        <v>1</v>
      </c>
      <c r="G680" s="27">
        <f t="shared" si="11"/>
        <v>-1</v>
      </c>
      <c r="H680" s="28" t="str">
        <f>VLOOKUP(E680,'Cadastro Produtos (kiwkiw)'!C:E,3,0)</f>
        <v>Brinco Bubble Medio Banho Ouro</v>
      </c>
      <c r="AB680" s="33" t="s">
        <v>370</v>
      </c>
    </row>
    <row r="681" spans="2:28" ht="15" customHeight="1" x14ac:dyDescent="0.4">
      <c r="C681" s="34" t="s">
        <v>6</v>
      </c>
      <c r="D681" s="35">
        <v>45579</v>
      </c>
      <c r="E681" s="51" t="s">
        <v>99</v>
      </c>
      <c r="F681" s="33">
        <v>1</v>
      </c>
      <c r="G681" s="27">
        <f t="shared" si="11"/>
        <v>-1</v>
      </c>
      <c r="H681" s="28" t="str">
        <f>VLOOKUP(E681,'Cadastro Produtos (kiwkiw)'!C:E,3,0)</f>
        <v>Colar Esfera Medio Banho Ouro</v>
      </c>
      <c r="AB681" s="33" t="s">
        <v>371</v>
      </c>
    </row>
    <row r="682" spans="2:28" ht="15" customHeight="1" x14ac:dyDescent="0.4">
      <c r="C682" s="34" t="s">
        <v>6</v>
      </c>
      <c r="D682" s="35">
        <v>45579</v>
      </c>
      <c r="E682" s="51" t="s">
        <v>98</v>
      </c>
      <c r="F682" s="33">
        <v>1</v>
      </c>
      <c r="G682" s="27">
        <f t="shared" si="11"/>
        <v>-1</v>
      </c>
      <c r="H682" s="28" t="str">
        <f>VLOOKUP(E682,'Cadastro Produtos (kiwkiw)'!C:E,3,0)</f>
        <v>Colar Longo Esfera Banho Ouro</v>
      </c>
      <c r="AB682" s="33" t="s">
        <v>370</v>
      </c>
    </row>
    <row r="683" spans="2:28" ht="15" customHeight="1" x14ac:dyDescent="0.4">
      <c r="C683" s="34" t="s">
        <v>6</v>
      </c>
      <c r="D683" s="35">
        <v>45579</v>
      </c>
      <c r="E683" s="51" t="s">
        <v>107</v>
      </c>
      <c r="F683" s="33">
        <v>1</v>
      </c>
      <c r="G683" s="27">
        <f t="shared" si="11"/>
        <v>-1</v>
      </c>
      <c r="H683" s="28" t="str">
        <f>VLOOKUP(E683,'Cadastro Produtos (kiwkiw)'!C:E,3,0)</f>
        <v>Colar Tina Banho Ouro</v>
      </c>
      <c r="AB683" s="33" t="s">
        <v>370</v>
      </c>
    </row>
    <row r="684" spans="2:28" ht="15" customHeight="1" x14ac:dyDescent="0.4">
      <c r="B684" s="43">
        <v>45580.422083333331</v>
      </c>
      <c r="C684" s="34" t="s">
        <v>6</v>
      </c>
      <c r="D684" s="35">
        <v>45580</v>
      </c>
      <c r="E684" s="51" t="s">
        <v>27</v>
      </c>
      <c r="F684" s="33">
        <v>1</v>
      </c>
      <c r="G684" s="27">
        <f t="shared" si="11"/>
        <v>-1</v>
      </c>
      <c r="H684" s="28" t="str">
        <f>VLOOKUP(E684,'Cadastro Produtos (kiwkiw)'!C:E,3,0)</f>
        <v>Argola Click Media Banho Ouro</v>
      </c>
      <c r="AB684" s="33" t="s">
        <v>372</v>
      </c>
    </row>
    <row r="685" spans="2:28" ht="15" customHeight="1" x14ac:dyDescent="0.4">
      <c r="C685" s="34" t="s">
        <v>6</v>
      </c>
      <c r="D685" s="35">
        <v>45580</v>
      </c>
      <c r="E685" s="51" t="s">
        <v>24</v>
      </c>
      <c r="F685" s="33">
        <v>1</v>
      </c>
      <c r="G685" s="27">
        <f t="shared" si="11"/>
        <v>-1</v>
      </c>
      <c r="H685" s="28" t="str">
        <f>VLOOKUP(E685,'Cadastro Produtos (kiwkiw)'!C:E,3,0)</f>
        <v>Argola Bold Pequena Banho Ouro</v>
      </c>
      <c r="AB685" s="33" t="s">
        <v>372</v>
      </c>
    </row>
    <row r="686" spans="2:28" ht="15" customHeight="1" x14ac:dyDescent="0.4">
      <c r="C686" s="34" t="s">
        <v>6</v>
      </c>
      <c r="D686" s="35">
        <v>45580</v>
      </c>
      <c r="E686" s="51" t="s">
        <v>117</v>
      </c>
      <c r="F686" s="33">
        <v>1</v>
      </c>
      <c r="G686" s="27">
        <f t="shared" si="11"/>
        <v>-1</v>
      </c>
      <c r="H686" s="28" t="str">
        <f>VLOOKUP(E686,'Cadastro Produtos (kiwkiw)'!C:E,3,0)</f>
        <v>Gargantilha Minimal Banho Ouro</v>
      </c>
      <c r="AB686" s="33" t="s">
        <v>373</v>
      </c>
    </row>
    <row r="687" spans="2:28" ht="15" customHeight="1" x14ac:dyDescent="0.4">
      <c r="C687" s="34" t="s">
        <v>6</v>
      </c>
      <c r="D687" s="35">
        <v>45580</v>
      </c>
      <c r="E687" s="51" t="s">
        <v>60</v>
      </c>
      <c r="F687" s="33">
        <v>1</v>
      </c>
      <c r="G687" s="27">
        <f t="shared" si="11"/>
        <v>-1</v>
      </c>
      <c r="H687" s="28" t="str">
        <f>VLOOKUP(E687,'Cadastro Produtos (kiwkiw)'!C:E,3,0)</f>
        <v>Brinco Oncinha Prateado</v>
      </c>
      <c r="AB687" s="33" t="s">
        <v>374</v>
      </c>
    </row>
    <row r="688" spans="2:28" ht="15" customHeight="1" x14ac:dyDescent="0.4">
      <c r="B688" s="43">
        <v>45582.41611111111</v>
      </c>
      <c r="C688" s="34" t="s">
        <v>6</v>
      </c>
      <c r="D688" s="35">
        <v>45581</v>
      </c>
      <c r="E688" s="51" t="s">
        <v>128</v>
      </c>
      <c r="F688" s="33">
        <v>1</v>
      </c>
      <c r="G688" s="27">
        <f t="shared" si="11"/>
        <v>-1</v>
      </c>
      <c r="H688" s="28" t="str">
        <f>VLOOKUP(E688,'Cadastro Produtos (kiwkiw)'!C:E,3,0)</f>
        <v>Pulseira Minimal Prateada</v>
      </c>
      <c r="AB688" s="33" t="s">
        <v>375</v>
      </c>
    </row>
    <row r="689" spans="2:28" ht="15" customHeight="1" x14ac:dyDescent="0.4">
      <c r="C689" s="34" t="s">
        <v>6</v>
      </c>
      <c r="D689" s="35">
        <v>45582</v>
      </c>
      <c r="E689" s="51" t="s">
        <v>94</v>
      </c>
      <c r="F689" s="33">
        <v>1</v>
      </c>
      <c r="G689" s="27">
        <f t="shared" si="11"/>
        <v>-1</v>
      </c>
      <c r="H689" s="28" t="str">
        <f>VLOOKUP(E689,'Cadastro Produtos (kiwkiw)'!C:E,3,0)</f>
        <v>Colar Duplo Dots Banho Ouro</v>
      </c>
      <c r="AB689" s="33" t="s">
        <v>376</v>
      </c>
    </row>
    <row r="690" spans="2:28" ht="15" customHeight="1" x14ac:dyDescent="0.4">
      <c r="C690" s="34" t="s">
        <v>6</v>
      </c>
      <c r="D690" s="35">
        <v>45582</v>
      </c>
      <c r="E690" s="51" t="s">
        <v>123</v>
      </c>
      <c r="F690" s="33">
        <v>1</v>
      </c>
      <c r="G690" s="27">
        <f t="shared" si="11"/>
        <v>-1</v>
      </c>
      <c r="H690" s="28" t="str">
        <f>VLOOKUP(E690,'Cadastro Produtos (kiwkiw)'!C:E,3,0)</f>
        <v>Pulseira Dots Banho Ouro</v>
      </c>
      <c r="AB690" s="33" t="s">
        <v>376</v>
      </c>
    </row>
    <row r="691" spans="2:28" ht="15" customHeight="1" x14ac:dyDescent="0.4">
      <c r="C691" s="34" t="s">
        <v>6</v>
      </c>
      <c r="D691" s="35">
        <v>45582</v>
      </c>
      <c r="E691" s="51" t="s">
        <v>103</v>
      </c>
      <c r="F691" s="33">
        <v>1</v>
      </c>
      <c r="G691" s="27">
        <f t="shared" si="11"/>
        <v>-1</v>
      </c>
      <c r="H691" s="28" t="str">
        <f>VLOOKUP(E691,'Cadastro Produtos (kiwkiw)'!C:E,3,0)</f>
        <v>Colar Ivy Banho Ouro</v>
      </c>
      <c r="AB691" s="33" t="s">
        <v>377</v>
      </c>
    </row>
    <row r="692" spans="2:28" ht="15" customHeight="1" x14ac:dyDescent="0.4">
      <c r="B692" s="43">
        <v>45583.404629629629</v>
      </c>
      <c r="C692" s="34" t="s">
        <v>6</v>
      </c>
      <c r="D692" s="35">
        <v>45583</v>
      </c>
      <c r="E692" s="51" t="s">
        <v>35</v>
      </c>
      <c r="F692" s="33">
        <v>1</v>
      </c>
      <c r="G692" s="27">
        <f t="shared" si="11"/>
        <v>-1</v>
      </c>
      <c r="H692" s="28" t="str">
        <f>VLOOKUP(E692,'Cadastro Produtos (kiwkiw)'!C:E,3,0)</f>
        <v>Argola Classy Banho Ouro</v>
      </c>
      <c r="AB692" s="33" t="s">
        <v>378</v>
      </c>
    </row>
    <row r="693" spans="2:28" ht="15" customHeight="1" x14ac:dyDescent="0.4">
      <c r="C693" s="34" t="s">
        <v>6</v>
      </c>
      <c r="D693" s="35">
        <v>45583</v>
      </c>
      <c r="E693" s="51" t="s">
        <v>74</v>
      </c>
      <c r="F693" s="33">
        <v>1</v>
      </c>
      <c r="G693" s="27">
        <f t="shared" si="11"/>
        <v>-1</v>
      </c>
      <c r="H693" s="28" t="str">
        <f>VLOOKUP(E693,'Cadastro Produtos (kiwkiw)'!C:E,3,0)</f>
        <v>Ear Hook Hug Banho Ouro</v>
      </c>
      <c r="AB693" s="33" t="s">
        <v>378</v>
      </c>
    </row>
    <row r="694" spans="2:28" ht="15" customHeight="1" x14ac:dyDescent="0.4">
      <c r="C694" s="34" t="s">
        <v>6</v>
      </c>
      <c r="D694" s="35">
        <v>45583</v>
      </c>
      <c r="E694" s="51" t="s">
        <v>34</v>
      </c>
      <c r="F694" s="33">
        <v>1</v>
      </c>
      <c r="G694" s="27">
        <f t="shared" si="11"/>
        <v>-1</v>
      </c>
      <c r="H694" s="28" t="str">
        <f>VLOOKUP(E694,'Cadastro Produtos (kiwkiw)'!C:E,3,0)</f>
        <v>Argola Tripla Banho Ouro</v>
      </c>
      <c r="AB694" s="33" t="s">
        <v>378</v>
      </c>
    </row>
    <row r="695" spans="2:28" ht="15" customHeight="1" x14ac:dyDescent="0.4">
      <c r="B695" s="43"/>
      <c r="C695" s="34" t="s">
        <v>6</v>
      </c>
      <c r="D695" s="35">
        <v>45583</v>
      </c>
      <c r="E695" s="51" t="s">
        <v>71</v>
      </c>
      <c r="F695" s="33">
        <v>1</v>
      </c>
      <c r="G695" s="27">
        <f t="shared" si="11"/>
        <v>-1</v>
      </c>
      <c r="H695" s="28" t="str">
        <f>VLOOKUP(E695,'Cadastro Produtos (kiwkiw)'!C:E,3,0)</f>
        <v>Ear Cuff Minimal Banho Ouro</v>
      </c>
      <c r="AB695" s="33" t="s">
        <v>379</v>
      </c>
    </row>
    <row r="696" spans="2:28" ht="15" customHeight="1" x14ac:dyDescent="0.4">
      <c r="B696" s="43"/>
      <c r="C696" s="34" t="s">
        <v>6</v>
      </c>
      <c r="D696" s="35">
        <v>45583</v>
      </c>
      <c r="E696" s="51" t="s">
        <v>48</v>
      </c>
      <c r="F696" s="33">
        <v>1</v>
      </c>
      <c r="G696" s="27">
        <f t="shared" si="11"/>
        <v>-1</v>
      </c>
      <c r="H696" s="28" t="str">
        <f>VLOOKUP(E696,'Cadastro Produtos (kiwkiw)'!C:E,3,0)</f>
        <v>Brinco Gota Click Banho Ouro</v>
      </c>
      <c r="AB696" s="33" t="s">
        <v>379</v>
      </c>
    </row>
    <row r="697" spans="2:28" ht="15" customHeight="1" x14ac:dyDescent="0.4">
      <c r="B697" s="43">
        <v>45586.403437499997</v>
      </c>
      <c r="C697" s="34" t="s">
        <v>6</v>
      </c>
      <c r="D697" s="35">
        <v>45586</v>
      </c>
      <c r="E697" s="51" t="s">
        <v>25</v>
      </c>
      <c r="F697" s="33">
        <v>1</v>
      </c>
      <c r="G697" s="27">
        <f t="shared" si="11"/>
        <v>-1</v>
      </c>
      <c r="H697" s="28" t="str">
        <f>VLOOKUP(E697,'Cadastro Produtos (kiwkiw)'!C:E,3,0)</f>
        <v>Argola Amy Banho Ouro</v>
      </c>
      <c r="AB697" s="33" t="s">
        <v>380</v>
      </c>
    </row>
    <row r="698" spans="2:28" ht="15" customHeight="1" x14ac:dyDescent="0.4">
      <c r="C698" s="34" t="s">
        <v>6</v>
      </c>
      <c r="D698" s="35">
        <v>45586</v>
      </c>
      <c r="E698" s="51" t="s">
        <v>121</v>
      </c>
      <c r="F698" s="33">
        <v>1</v>
      </c>
      <c r="G698" s="27">
        <f t="shared" si="11"/>
        <v>-1</v>
      </c>
      <c r="H698" s="28" t="str">
        <f>VLOOKUP(E698,'Cadastro Produtos (kiwkiw)'!C:E,3,0)</f>
        <v>Bracelete Wave Banho Ouro</v>
      </c>
      <c r="AB698" s="33" t="s">
        <v>380</v>
      </c>
    </row>
    <row r="699" spans="2:28" ht="15" customHeight="1" x14ac:dyDescent="0.4">
      <c r="C699" s="34" t="s">
        <v>6</v>
      </c>
      <c r="D699" s="35">
        <v>45586</v>
      </c>
      <c r="E699" s="51" t="s">
        <v>46</v>
      </c>
      <c r="F699" s="33">
        <v>1</v>
      </c>
      <c r="G699" s="27">
        <f t="shared" si="11"/>
        <v>-1</v>
      </c>
      <c r="H699" s="28" t="str">
        <f>VLOOKUP(E699,'Cadastro Produtos (kiwkiw)'!C:E,3,0)</f>
        <v>Brinco Bubble Pequeno Banho Ouro</v>
      </c>
      <c r="AB699" s="33" t="s">
        <v>380</v>
      </c>
    </row>
    <row r="700" spans="2:28" ht="15" customHeight="1" x14ac:dyDescent="0.4">
      <c r="C700" s="34" t="s">
        <v>6</v>
      </c>
      <c r="D700" s="35">
        <v>45586</v>
      </c>
      <c r="E700" s="51" t="s">
        <v>86</v>
      </c>
      <c r="F700" s="33">
        <v>1</v>
      </c>
      <c r="G700" s="27">
        <f t="shared" si="11"/>
        <v>-1</v>
      </c>
      <c r="H700" s="28" t="str">
        <f>VLOOKUP(E700,'Cadastro Produtos (kiwkiw)'!C:E,3,0)</f>
        <v>Piercing Fake Minimal Banho Ouro</v>
      </c>
      <c r="AB700" s="33" t="s">
        <v>381</v>
      </c>
    </row>
    <row r="701" spans="2:28" ht="15" customHeight="1" x14ac:dyDescent="0.4">
      <c r="C701" s="34" t="s">
        <v>6</v>
      </c>
      <c r="D701" s="35">
        <v>45586</v>
      </c>
      <c r="E701" s="51" t="s">
        <v>72</v>
      </c>
      <c r="F701" s="33">
        <v>1</v>
      </c>
      <c r="G701" s="27">
        <f t="shared" si="11"/>
        <v>-1</v>
      </c>
      <c r="H701" s="28" t="str">
        <f>VLOOKUP(E701,'Cadastro Produtos (kiwkiw)'!C:E,3,0)</f>
        <v>Ear Hook Line Banho Ouro</v>
      </c>
      <c r="AB701" s="33" t="s">
        <v>381</v>
      </c>
    </row>
    <row r="702" spans="2:28" ht="15" customHeight="1" x14ac:dyDescent="0.4">
      <c r="B702" s="43"/>
      <c r="C702" s="34" t="s">
        <v>6</v>
      </c>
      <c r="D702" s="35">
        <v>45586</v>
      </c>
      <c r="E702" s="51" t="s">
        <v>102</v>
      </c>
      <c r="F702" s="33">
        <v>1</v>
      </c>
      <c r="G702" s="27">
        <f t="shared" si="11"/>
        <v>-1</v>
      </c>
      <c r="H702" s="28" t="str">
        <f>VLOOKUP(E702,'Cadastro Produtos (kiwkiw)'!C:E,3,0)</f>
        <v>Colar Longo Lua Banho Ouro</v>
      </c>
      <c r="AB702" s="33" t="s">
        <v>382</v>
      </c>
    </row>
    <row r="703" spans="2:28" ht="15" customHeight="1" x14ac:dyDescent="0.4">
      <c r="C703" s="34" t="s">
        <v>6</v>
      </c>
      <c r="D703" s="35">
        <v>45586</v>
      </c>
      <c r="E703" s="51" t="s">
        <v>117</v>
      </c>
      <c r="F703" s="33">
        <v>1</v>
      </c>
      <c r="G703" s="27">
        <f t="shared" si="11"/>
        <v>-1</v>
      </c>
      <c r="H703" s="28" t="str">
        <f>VLOOKUP(E703,'Cadastro Produtos (kiwkiw)'!C:E,3,0)</f>
        <v>Gargantilha Minimal Banho Ouro</v>
      </c>
      <c r="AB703" s="33" t="s">
        <v>382</v>
      </c>
    </row>
    <row r="704" spans="2:28" ht="15" customHeight="1" x14ac:dyDescent="0.4">
      <c r="C704" s="34" t="s">
        <v>6</v>
      </c>
      <c r="D704" s="35">
        <v>45586</v>
      </c>
      <c r="E704" s="51" t="s">
        <v>127</v>
      </c>
      <c r="F704" s="33">
        <v>1</v>
      </c>
      <c r="G704" s="27">
        <f t="shared" si="11"/>
        <v>-1</v>
      </c>
      <c r="H704" s="28" t="str">
        <f>VLOOKUP(E704,'Cadastro Produtos (kiwkiw)'!C:E,3,0)</f>
        <v>Pulseira Minimal Banho Ouro</v>
      </c>
      <c r="AB704" s="33" t="s">
        <v>383</v>
      </c>
    </row>
    <row r="705" spans="2:28" ht="15" customHeight="1" x14ac:dyDescent="0.4">
      <c r="B705" s="43"/>
      <c r="C705" s="34" t="s">
        <v>6</v>
      </c>
      <c r="D705" s="35">
        <v>45586</v>
      </c>
      <c r="E705" s="51" t="s">
        <v>56</v>
      </c>
      <c r="F705" s="33">
        <v>1</v>
      </c>
      <c r="G705" s="27">
        <f t="shared" si="11"/>
        <v>-1</v>
      </c>
      <c r="H705" s="28" t="str">
        <f>VLOOKUP(E705,'Cadastro Produtos (kiwkiw)'!C:E,3,0)</f>
        <v>Brinco Mini Raio Banho Ouro</v>
      </c>
      <c r="AB705" s="33" t="s">
        <v>383</v>
      </c>
    </row>
    <row r="706" spans="2:28" ht="15" customHeight="1" x14ac:dyDescent="0.4">
      <c r="C706" s="34" t="s">
        <v>6</v>
      </c>
      <c r="D706" s="35">
        <v>45586</v>
      </c>
      <c r="E706" s="51" t="s">
        <v>94</v>
      </c>
      <c r="F706" s="33">
        <v>1</v>
      </c>
      <c r="G706" s="27">
        <f t="shared" si="11"/>
        <v>-1</v>
      </c>
      <c r="H706" s="28" t="str">
        <f>VLOOKUP(E706,'Cadastro Produtos (kiwkiw)'!C:E,3,0)</f>
        <v>Colar Duplo Dots Banho Ouro</v>
      </c>
      <c r="AB706" s="33" t="s">
        <v>383</v>
      </c>
    </row>
    <row r="707" spans="2:28" ht="15" customHeight="1" x14ac:dyDescent="0.4">
      <c r="C707" s="34" t="s">
        <v>6</v>
      </c>
      <c r="D707" s="35">
        <v>45586</v>
      </c>
      <c r="E707" s="51" t="s">
        <v>123</v>
      </c>
      <c r="F707" s="33">
        <v>1</v>
      </c>
      <c r="G707" s="27">
        <f t="shared" si="11"/>
        <v>-1</v>
      </c>
      <c r="H707" s="28" t="str">
        <f>VLOOKUP(E707,'Cadastro Produtos (kiwkiw)'!C:E,3,0)</f>
        <v>Pulseira Dots Banho Ouro</v>
      </c>
      <c r="AB707" s="33" t="s">
        <v>383</v>
      </c>
    </row>
    <row r="708" spans="2:28" ht="15" customHeight="1" x14ac:dyDescent="0.4">
      <c r="B708" s="43"/>
      <c r="C708" s="34" t="s">
        <v>6</v>
      </c>
      <c r="D708" s="35">
        <v>45586</v>
      </c>
      <c r="E708" s="51" t="s">
        <v>40</v>
      </c>
      <c r="F708" s="33">
        <v>1</v>
      </c>
      <c r="G708" s="27">
        <f t="shared" si="11"/>
        <v>-1</v>
      </c>
      <c r="H708" s="28" t="str">
        <f>VLOOKUP(E708,'Cadastro Produtos (kiwkiw)'!C:E,3,0)</f>
        <v>Argolinha Folha Banho Ouro</v>
      </c>
      <c r="AB708" s="33" t="s">
        <v>384</v>
      </c>
    </row>
    <row r="709" spans="2:28" ht="15" customHeight="1" x14ac:dyDescent="0.4">
      <c r="C709" s="34" t="s">
        <v>6</v>
      </c>
      <c r="D709" s="35">
        <v>45586</v>
      </c>
      <c r="E709" s="51" t="s">
        <v>61</v>
      </c>
      <c r="F709" s="33">
        <v>1</v>
      </c>
      <c r="G709" s="27">
        <f t="shared" si="11"/>
        <v>-1</v>
      </c>
      <c r="H709" s="28" t="str">
        <f>VLOOKUP(E709,'Cadastro Produtos (kiwkiw)'!C:E,3,0)</f>
        <v>Brinco Setas Banho Ouro</v>
      </c>
      <c r="AB709" s="33" t="s">
        <v>384</v>
      </c>
    </row>
    <row r="710" spans="2:28" ht="15" customHeight="1" x14ac:dyDescent="0.4">
      <c r="C710" s="34" t="s">
        <v>6</v>
      </c>
      <c r="D710" s="35">
        <v>45586</v>
      </c>
      <c r="E710" s="51" t="s">
        <v>64</v>
      </c>
      <c r="F710" s="33">
        <v>1</v>
      </c>
      <c r="G710" s="27">
        <f t="shared" si="11"/>
        <v>-1</v>
      </c>
      <c r="H710" s="28" t="str">
        <f>VLOOKUP(E710,'Cadastro Produtos (kiwkiw)'!C:E,3,0)</f>
        <v>Brinco Spike Prateado</v>
      </c>
      <c r="AB710" s="33" t="s">
        <v>385</v>
      </c>
    </row>
    <row r="711" spans="2:28" ht="15" customHeight="1" x14ac:dyDescent="0.4">
      <c r="B711" s="43">
        <v>45587.411446759259</v>
      </c>
      <c r="C711" s="34" t="s">
        <v>6</v>
      </c>
      <c r="D711" s="35">
        <v>45587</v>
      </c>
      <c r="E711" s="51" t="s">
        <v>62</v>
      </c>
      <c r="F711" s="33">
        <v>1</v>
      </c>
      <c r="G711" s="27">
        <f t="shared" si="11"/>
        <v>-1</v>
      </c>
      <c r="H711" s="28" t="str">
        <f>VLOOKUP(E711,'Cadastro Produtos (kiwkiw)'!C:E,3,0)</f>
        <v>Brinco Sol Banho Ouro</v>
      </c>
      <c r="AB711" s="33" t="s">
        <v>386</v>
      </c>
    </row>
    <row r="712" spans="2:28" ht="15" customHeight="1" x14ac:dyDescent="0.4">
      <c r="B712" s="43">
        <v>45593.419606481482</v>
      </c>
      <c r="C712" s="34" t="s">
        <v>6</v>
      </c>
      <c r="D712" s="35">
        <v>45593</v>
      </c>
      <c r="E712" s="51" t="s">
        <v>62</v>
      </c>
      <c r="F712" s="33">
        <v>1</v>
      </c>
      <c r="G712" s="27">
        <f t="shared" si="11"/>
        <v>-1</v>
      </c>
      <c r="H712" s="28" t="str">
        <f>VLOOKUP(E712,'Cadastro Produtos (kiwkiw)'!C:E,3,0)</f>
        <v>Brinco Sol Banho Ouro</v>
      </c>
      <c r="AB712" s="33" t="s">
        <v>387</v>
      </c>
    </row>
    <row r="713" spans="2:28" ht="15" customHeight="1" x14ac:dyDescent="0.4">
      <c r="C713" s="34" t="s">
        <v>6</v>
      </c>
      <c r="D713" s="35">
        <v>45593</v>
      </c>
      <c r="E713" s="51" t="s">
        <v>121</v>
      </c>
      <c r="F713" s="33">
        <v>1</v>
      </c>
      <c r="G713" s="27">
        <f t="shared" si="11"/>
        <v>-1</v>
      </c>
      <c r="H713" s="28" t="str">
        <f>VLOOKUP(E713,'Cadastro Produtos (kiwkiw)'!C:E,3,0)</f>
        <v>Bracelete Wave Banho Ouro</v>
      </c>
      <c r="AB713" s="33" t="s">
        <v>387</v>
      </c>
    </row>
    <row r="714" spans="2:28" ht="15" customHeight="1" x14ac:dyDescent="0.4">
      <c r="C714" s="34" t="s">
        <v>6</v>
      </c>
      <c r="D714" s="35">
        <v>45593</v>
      </c>
      <c r="E714" s="51" t="s">
        <v>122</v>
      </c>
      <c r="F714" s="33">
        <v>1</v>
      </c>
      <c r="G714" s="27">
        <f t="shared" si="11"/>
        <v>-1</v>
      </c>
      <c r="H714" s="28" t="str">
        <f>VLOOKUP(E714,'Cadastro Produtos (kiwkiw)'!C:E,3,0)</f>
        <v>Bracelete Torcido Banho Ouro</v>
      </c>
      <c r="AB714" s="33" t="s">
        <v>387</v>
      </c>
    </row>
    <row r="715" spans="2:28" ht="15" customHeight="1" x14ac:dyDescent="0.4">
      <c r="C715" s="34" t="s">
        <v>6</v>
      </c>
      <c r="D715" s="35">
        <v>45593</v>
      </c>
      <c r="E715" s="51" t="s">
        <v>119</v>
      </c>
      <c r="F715" s="33">
        <v>1</v>
      </c>
      <c r="G715" s="27">
        <f t="shared" si="11"/>
        <v>-1</v>
      </c>
      <c r="H715" s="28" t="str">
        <f>VLOOKUP(E715,'Cadastro Produtos (kiwkiw)'!C:E,3,0)</f>
        <v>Bracelete Line Banho Ouro</v>
      </c>
      <c r="AB715" s="33" t="s">
        <v>387</v>
      </c>
    </row>
    <row r="716" spans="2:28" ht="15" customHeight="1" x14ac:dyDescent="0.4">
      <c r="C716" s="34" t="s">
        <v>6</v>
      </c>
      <c r="D716" s="35">
        <v>45593</v>
      </c>
      <c r="E716" s="51" t="s">
        <v>65</v>
      </c>
      <c r="F716" s="33">
        <v>1</v>
      </c>
      <c r="G716" s="27">
        <f t="shared" si="11"/>
        <v>-1</v>
      </c>
      <c r="H716" s="28" t="str">
        <f>VLOOKUP(E716,'Cadastro Produtos (kiwkiw)'!C:E,3,0)</f>
        <v>Brinco Spring Banho Ouro</v>
      </c>
      <c r="AB716" s="33" t="s">
        <v>388</v>
      </c>
    </row>
    <row r="717" spans="2:28" ht="15" customHeight="1" x14ac:dyDescent="0.4">
      <c r="C717" s="34" t="s">
        <v>6</v>
      </c>
      <c r="D717" s="35">
        <v>45593</v>
      </c>
      <c r="E717" s="51" t="s">
        <v>94</v>
      </c>
      <c r="F717" s="33">
        <v>1</v>
      </c>
      <c r="G717" s="27">
        <f t="shared" si="11"/>
        <v>-1</v>
      </c>
      <c r="H717" s="28" t="str">
        <f>VLOOKUP(E717,'Cadastro Produtos (kiwkiw)'!C:E,3,0)</f>
        <v>Colar Duplo Dots Banho Ouro</v>
      </c>
      <c r="AB717" s="33" t="s">
        <v>388</v>
      </c>
    </row>
    <row r="718" spans="2:28" ht="15" customHeight="1" x14ac:dyDescent="0.4">
      <c r="B718" s="43">
        <v>45595.424513888887</v>
      </c>
      <c r="C718" s="34" t="s">
        <v>6</v>
      </c>
      <c r="D718" s="35">
        <v>45595</v>
      </c>
      <c r="E718" s="51" t="s">
        <v>86</v>
      </c>
      <c r="F718" s="33">
        <v>1</v>
      </c>
      <c r="G718" s="27">
        <f t="shared" si="11"/>
        <v>-1</v>
      </c>
      <c r="H718" s="28" t="str">
        <f>VLOOKUP(E718,'Cadastro Produtos (kiwkiw)'!C:E,3,0)</f>
        <v>Piercing Fake Minimal Banho Ouro</v>
      </c>
      <c r="AB718" s="33" t="s">
        <v>389</v>
      </c>
    </row>
    <row r="719" spans="2:28" ht="15" customHeight="1" x14ac:dyDescent="0.4">
      <c r="C719" s="34" t="s">
        <v>6</v>
      </c>
      <c r="D719" s="35">
        <v>45595</v>
      </c>
      <c r="E719" s="51" t="s">
        <v>86</v>
      </c>
      <c r="F719" s="33">
        <v>1</v>
      </c>
      <c r="G719" s="27">
        <f t="shared" si="11"/>
        <v>-1</v>
      </c>
      <c r="H719" s="28" t="str">
        <f>VLOOKUP(E719,'Cadastro Produtos (kiwkiw)'!C:E,3,0)</f>
        <v>Piercing Fake Minimal Banho Ouro</v>
      </c>
      <c r="AB719" s="33" t="s">
        <v>390</v>
      </c>
    </row>
    <row r="720" spans="2:28" ht="15" customHeight="1" x14ac:dyDescent="0.4">
      <c r="C720" s="34" t="s">
        <v>6</v>
      </c>
      <c r="D720" s="35">
        <v>45595</v>
      </c>
      <c r="E720" s="51" t="s">
        <v>87</v>
      </c>
      <c r="F720" s="33">
        <v>1</v>
      </c>
      <c r="G720" s="27">
        <f t="shared" si="11"/>
        <v>-1</v>
      </c>
      <c r="H720" s="28" t="str">
        <f>VLOOKUP(E720,'Cadastro Produtos (kiwkiw)'!C:E,3,0)</f>
        <v>Piercing Fake Classy Banho Ouro</v>
      </c>
      <c r="AB720" s="33" t="s">
        <v>389</v>
      </c>
    </row>
    <row r="721" spans="2:28" ht="15" customHeight="1" x14ac:dyDescent="0.4">
      <c r="C721" s="34" t="s">
        <v>6</v>
      </c>
      <c r="D721" s="35">
        <v>45595</v>
      </c>
      <c r="E721" s="51" t="s">
        <v>38</v>
      </c>
      <c r="F721" s="33">
        <v>1</v>
      </c>
      <c r="G721" s="27">
        <f t="shared" ref="G721:G786" si="13">IF(C721="Entrada",F721,-F721)</f>
        <v>-1</v>
      </c>
      <c r="H721" s="28" t="str">
        <f>VLOOKUP(E721,'Cadastro Produtos (kiwkiw)'!C:E,3,0)</f>
        <v>Argolinha Click Dots Banho Ouro</v>
      </c>
      <c r="AB721" s="33" t="s">
        <v>390</v>
      </c>
    </row>
    <row r="722" spans="2:28" ht="15" customHeight="1" x14ac:dyDescent="0.4">
      <c r="C722" s="34" t="s">
        <v>6</v>
      </c>
      <c r="D722" s="35">
        <v>45595</v>
      </c>
      <c r="E722" s="51" t="s">
        <v>76</v>
      </c>
      <c r="F722" s="33">
        <v>1</v>
      </c>
      <c r="G722" s="27">
        <f t="shared" si="13"/>
        <v>-1</v>
      </c>
      <c r="H722" s="28" t="str">
        <f>VLOOKUP(E722,'Cadastro Produtos (kiwkiw)'!C:E,3,0)</f>
        <v>EarHook Dots Banho Ouro</v>
      </c>
      <c r="AB722" s="33" t="s">
        <v>390</v>
      </c>
    </row>
    <row r="723" spans="2:28" ht="15" customHeight="1" x14ac:dyDescent="0.4">
      <c r="C723" s="34" t="s">
        <v>6</v>
      </c>
      <c r="D723" s="35">
        <v>45595</v>
      </c>
      <c r="E723" s="51" t="s">
        <v>85</v>
      </c>
      <c r="F723" s="33">
        <v>1</v>
      </c>
      <c r="G723" s="27">
        <f t="shared" si="13"/>
        <v>-1</v>
      </c>
      <c r="H723" s="28" t="str">
        <f>VLOOKUP(E723,'Cadastro Produtos (kiwkiw)'!C:E,3,0)</f>
        <v>Piercing Fake Dots Banho Ouro</v>
      </c>
      <c r="AB723" s="33" t="s">
        <v>390</v>
      </c>
    </row>
    <row r="724" spans="2:28" ht="15" customHeight="1" x14ac:dyDescent="0.4">
      <c r="C724" s="34" t="s">
        <v>6</v>
      </c>
      <c r="D724" s="35">
        <v>45595</v>
      </c>
      <c r="E724" s="51" t="s">
        <v>114</v>
      </c>
      <c r="F724" s="33">
        <v>1</v>
      </c>
      <c r="G724" s="27">
        <f t="shared" si="13"/>
        <v>-1</v>
      </c>
      <c r="H724" s="28" t="str">
        <f>VLOOKUP(E724,'Cadastro Produtos (kiwkiw)'!C:E,3,0)</f>
        <v>Gargantilha Fita Banho Ouro</v>
      </c>
      <c r="AB724" s="33" t="s">
        <v>391</v>
      </c>
    </row>
    <row r="725" spans="2:28" ht="15" customHeight="1" x14ac:dyDescent="0.4">
      <c r="B725" s="43">
        <v>45597.429884259262</v>
      </c>
      <c r="C725" s="34" t="s">
        <v>6</v>
      </c>
      <c r="D725" s="35">
        <v>45597</v>
      </c>
      <c r="E725" s="51" t="s">
        <v>54</v>
      </c>
      <c r="F725" s="33">
        <v>1</v>
      </c>
      <c r="G725" s="27">
        <f t="shared" si="13"/>
        <v>-1</v>
      </c>
      <c r="H725" s="28" t="str">
        <f>VLOOKUP(E725,'Cadastro Produtos (kiwkiw)'!C:E,3,0)</f>
        <v>Brinco Ivy Banho Ouro</v>
      </c>
      <c r="AB725" s="33" t="s">
        <v>392</v>
      </c>
    </row>
    <row r="726" spans="2:28" ht="15" customHeight="1" x14ac:dyDescent="0.4">
      <c r="C726" s="34" t="s">
        <v>6</v>
      </c>
      <c r="D726" s="35">
        <v>45597</v>
      </c>
      <c r="E726" s="51" t="s">
        <v>72</v>
      </c>
      <c r="F726" s="33">
        <v>1</v>
      </c>
      <c r="G726" s="27">
        <f t="shared" si="13"/>
        <v>-1</v>
      </c>
      <c r="H726" s="28" t="str">
        <f>VLOOKUP(E726,'Cadastro Produtos (kiwkiw)'!C:E,3,0)</f>
        <v>Ear Hook Line Banho Ouro</v>
      </c>
      <c r="AB726" s="33" t="s">
        <v>392</v>
      </c>
    </row>
    <row r="727" spans="2:28" ht="15" customHeight="1" x14ac:dyDescent="0.4">
      <c r="B727" s="43">
        <v>45597.647187499999</v>
      </c>
      <c r="C727" s="34" t="s">
        <v>6</v>
      </c>
      <c r="D727" s="35">
        <v>45597</v>
      </c>
      <c r="E727" s="51" t="s">
        <v>62</v>
      </c>
      <c r="F727" s="33">
        <v>1</v>
      </c>
      <c r="G727" s="27">
        <f t="shared" si="13"/>
        <v>-1</v>
      </c>
      <c r="H727" s="28" t="str">
        <f>VLOOKUP(E727,'Cadastro Produtos (kiwkiw)'!C:E,3,0)</f>
        <v>Brinco Sol Banho Ouro</v>
      </c>
      <c r="AB727" s="33" t="s">
        <v>393</v>
      </c>
    </row>
    <row r="728" spans="2:28" ht="15" customHeight="1" x14ac:dyDescent="0.4">
      <c r="B728" s="43"/>
      <c r="C728" s="34" t="s">
        <v>6</v>
      </c>
      <c r="D728" s="35">
        <v>45597</v>
      </c>
      <c r="E728" s="51" t="s">
        <v>121</v>
      </c>
      <c r="F728" s="33">
        <v>1</v>
      </c>
      <c r="G728" s="27">
        <f t="shared" si="13"/>
        <v>-1</v>
      </c>
      <c r="H728" s="28" t="str">
        <f>VLOOKUP(E728,'Cadastro Produtos (kiwkiw)'!C:E,3,0)</f>
        <v>Bracelete Wave Banho Ouro</v>
      </c>
      <c r="AB728" s="33" t="s">
        <v>393</v>
      </c>
    </row>
    <row r="729" spans="2:28" ht="15" customHeight="1" x14ac:dyDescent="0.4">
      <c r="C729" s="34" t="s">
        <v>6</v>
      </c>
      <c r="D729" s="35">
        <v>45597</v>
      </c>
      <c r="E729" s="51" t="s">
        <v>122</v>
      </c>
      <c r="F729" s="33">
        <v>1</v>
      </c>
      <c r="G729" s="27">
        <f t="shared" si="13"/>
        <v>-1</v>
      </c>
      <c r="H729" s="28" t="str">
        <f>VLOOKUP(E729,'Cadastro Produtos (kiwkiw)'!C:E,3,0)</f>
        <v>Bracelete Torcido Banho Ouro</v>
      </c>
      <c r="AB729" s="33" t="s">
        <v>393</v>
      </c>
    </row>
    <row r="730" spans="2:28" ht="15" customHeight="1" x14ac:dyDescent="0.4">
      <c r="B730" s="43"/>
      <c r="C730" s="34" t="s">
        <v>6</v>
      </c>
      <c r="D730" s="35">
        <v>45597</v>
      </c>
      <c r="E730" s="51" t="s">
        <v>119</v>
      </c>
      <c r="F730" s="33">
        <v>1</v>
      </c>
      <c r="G730" s="27">
        <f t="shared" si="13"/>
        <v>-1</v>
      </c>
      <c r="H730" s="28" t="str">
        <f>VLOOKUP(E730,'Cadastro Produtos (kiwkiw)'!C:E,3,0)</f>
        <v>Bracelete Line Banho Ouro</v>
      </c>
      <c r="AB730" s="33" t="s">
        <v>393</v>
      </c>
    </row>
    <row r="731" spans="2:28" ht="15" customHeight="1" x14ac:dyDescent="0.4">
      <c r="B731" s="43">
        <v>45600.425381944442</v>
      </c>
      <c r="C731" s="34" t="s">
        <v>6</v>
      </c>
      <c r="D731" s="35">
        <v>45600</v>
      </c>
      <c r="E731" s="51" t="s">
        <v>43</v>
      </c>
      <c r="F731" s="33">
        <v>1</v>
      </c>
      <c r="G731" s="27">
        <f t="shared" si="13"/>
        <v>-1</v>
      </c>
      <c r="H731" s="28" t="str">
        <f>VLOOKUP(E731,'Cadastro Produtos (kiwkiw)'!C:E,3,0)</f>
        <v>Brinco Mini Aviao Banho Ouro</v>
      </c>
      <c r="AB731" s="33" t="s">
        <v>394</v>
      </c>
    </row>
    <row r="732" spans="2:28" ht="15" customHeight="1" x14ac:dyDescent="0.4">
      <c r="B732" s="43"/>
      <c r="C732" s="34" t="s">
        <v>6</v>
      </c>
      <c r="D732" s="35">
        <v>45600</v>
      </c>
      <c r="E732" s="51" t="s">
        <v>108</v>
      </c>
      <c r="F732" s="33">
        <v>1</v>
      </c>
      <c r="G732" s="27">
        <f t="shared" si="13"/>
        <v>-1</v>
      </c>
      <c r="H732" s="28" t="str">
        <f>VLOOKUP(E732,'Cadastro Produtos (kiwkiw)'!C:E,3,0)</f>
        <v>Colar Line Banho Ouro</v>
      </c>
      <c r="AB732" s="33" t="s">
        <v>395</v>
      </c>
    </row>
    <row r="733" spans="2:28" ht="15" customHeight="1" x14ac:dyDescent="0.4">
      <c r="C733" s="34" t="s">
        <v>6</v>
      </c>
      <c r="D733" s="35">
        <v>45600</v>
      </c>
      <c r="E733" s="51" t="s">
        <v>103</v>
      </c>
      <c r="F733" s="33">
        <v>1</v>
      </c>
      <c r="G733" s="27">
        <f t="shared" si="13"/>
        <v>-1</v>
      </c>
      <c r="H733" s="28" t="str">
        <f>VLOOKUP(E733,'Cadastro Produtos (kiwkiw)'!C:E,3,0)</f>
        <v>Colar Ivy Banho Ouro</v>
      </c>
      <c r="AB733" s="33" t="s">
        <v>395</v>
      </c>
    </row>
    <row r="734" spans="2:28" ht="15" customHeight="1" x14ac:dyDescent="0.4">
      <c r="C734" s="34" t="s">
        <v>6</v>
      </c>
      <c r="D734" s="35">
        <v>45600</v>
      </c>
      <c r="E734" s="51" t="s">
        <v>69</v>
      </c>
      <c r="F734" s="33">
        <v>1</v>
      </c>
      <c r="G734" s="27">
        <f t="shared" si="13"/>
        <v>-1</v>
      </c>
      <c r="H734" s="28" t="str">
        <f>VLOOKUP(E734,'Cadastro Produtos (kiwkiw)'!C:E,3,0)</f>
        <v>Brinco Tubinho Pequeno Banho Ouro</v>
      </c>
      <c r="AB734" s="33" t="s">
        <v>395</v>
      </c>
    </row>
    <row r="735" spans="2:28" ht="15" customHeight="1" x14ac:dyDescent="0.4">
      <c r="C735" s="34" t="s">
        <v>6</v>
      </c>
      <c r="D735" s="35">
        <v>45600</v>
      </c>
      <c r="E735" s="51" t="s">
        <v>94</v>
      </c>
      <c r="F735" s="33">
        <v>1</v>
      </c>
      <c r="G735" s="27">
        <f t="shared" si="13"/>
        <v>-1</v>
      </c>
      <c r="H735" s="28" t="str">
        <f>VLOOKUP(E735,'Cadastro Produtos (kiwkiw)'!C:E,3,0)</f>
        <v>Colar Duplo Dots Banho Ouro</v>
      </c>
      <c r="AB735" s="33" t="s">
        <v>396</v>
      </c>
    </row>
    <row r="736" spans="2:28" ht="15" customHeight="1" x14ac:dyDescent="0.4">
      <c r="B736" s="43">
        <v>45601.42628472222</v>
      </c>
      <c r="C736" s="34" t="s">
        <v>6</v>
      </c>
      <c r="D736" s="35">
        <v>45601</v>
      </c>
      <c r="E736" s="51" t="s">
        <v>108</v>
      </c>
      <c r="F736" s="33">
        <v>1</v>
      </c>
      <c r="G736" s="27">
        <f t="shared" si="13"/>
        <v>-1</v>
      </c>
      <c r="H736" s="28" t="str">
        <f>VLOOKUP(E736,'Cadastro Produtos (kiwkiw)'!C:E,3,0)</f>
        <v>Colar Line Banho Ouro</v>
      </c>
      <c r="AB736" s="33" t="s">
        <v>397</v>
      </c>
    </row>
    <row r="737" spans="2:28" ht="15" customHeight="1" x14ac:dyDescent="0.4">
      <c r="C737" s="34" t="s">
        <v>6</v>
      </c>
      <c r="D737" s="35">
        <v>45601</v>
      </c>
      <c r="E737" s="51" t="s">
        <v>40</v>
      </c>
      <c r="F737" s="33">
        <v>1</v>
      </c>
      <c r="G737" s="27">
        <f t="shared" si="13"/>
        <v>-1</v>
      </c>
      <c r="H737" s="28" t="str">
        <f>VLOOKUP(E737,'Cadastro Produtos (kiwkiw)'!C:E,3,0)</f>
        <v>Argolinha Folha Banho Ouro</v>
      </c>
      <c r="AB737" s="33" t="s">
        <v>398</v>
      </c>
    </row>
    <row r="738" spans="2:28" ht="15" customHeight="1" x14ac:dyDescent="0.4">
      <c r="C738" s="34" t="s">
        <v>6</v>
      </c>
      <c r="D738" s="35">
        <v>45601</v>
      </c>
      <c r="E738" s="51" t="s">
        <v>41</v>
      </c>
      <c r="F738" s="33">
        <v>1</v>
      </c>
      <c r="G738" s="27">
        <f t="shared" si="13"/>
        <v>-1</v>
      </c>
      <c r="H738" s="28" t="str">
        <f>VLOOKUP(E738,'Cadastro Produtos (kiwkiw)'!C:E,3,0)</f>
        <v>Argolinha Sol Banho Ouro</v>
      </c>
      <c r="AB738" s="33" t="s">
        <v>399</v>
      </c>
    </row>
    <row r="739" spans="2:28" ht="15" customHeight="1" x14ac:dyDescent="0.4">
      <c r="B739" s="43">
        <v>45603.418368055558</v>
      </c>
      <c r="C739" s="34" t="s">
        <v>6</v>
      </c>
      <c r="D739" s="35">
        <v>45603</v>
      </c>
      <c r="E739" s="51" t="s">
        <v>57</v>
      </c>
      <c r="F739" s="33">
        <v>1</v>
      </c>
      <c r="G739" s="27">
        <f t="shared" si="13"/>
        <v>-1</v>
      </c>
      <c r="H739" s="28" t="str">
        <f>VLOOKUP(E739,'Cadastro Produtos (kiwkiw)'!C:E,3,0)</f>
        <v>Brinco Mini Raio Prateado</v>
      </c>
      <c r="AB739" s="33" t="s">
        <v>400</v>
      </c>
    </row>
    <row r="740" spans="2:28" ht="15" customHeight="1" x14ac:dyDescent="0.4">
      <c r="C740" s="34" t="s">
        <v>6</v>
      </c>
      <c r="D740" s="35">
        <v>45603</v>
      </c>
      <c r="E740" s="51" t="s">
        <v>40</v>
      </c>
      <c r="F740" s="33">
        <v>1</v>
      </c>
      <c r="G740" s="27">
        <f t="shared" si="13"/>
        <v>-1</v>
      </c>
      <c r="H740" s="28" t="str">
        <f>VLOOKUP(E740,'Cadastro Produtos (kiwkiw)'!C:E,3,0)</f>
        <v>Argolinha Folha Banho Ouro</v>
      </c>
      <c r="AB740" s="33" t="s">
        <v>401</v>
      </c>
    </row>
    <row r="741" spans="2:28" ht="15" customHeight="1" x14ac:dyDescent="0.4">
      <c r="B741" s="43">
        <v>45604.418344907404</v>
      </c>
      <c r="C741" s="34" t="s">
        <v>6</v>
      </c>
      <c r="D741" s="35">
        <v>45604</v>
      </c>
      <c r="E741" s="51" t="s">
        <v>117</v>
      </c>
      <c r="F741" s="33">
        <v>1</v>
      </c>
      <c r="G741" s="27">
        <f t="shared" si="13"/>
        <v>-1</v>
      </c>
      <c r="H741" s="28" t="str">
        <f>VLOOKUP(E741,'Cadastro Produtos (kiwkiw)'!C:E,3,0)</f>
        <v>Gargantilha Minimal Banho Ouro</v>
      </c>
      <c r="AB741" s="33" t="s">
        <v>402</v>
      </c>
    </row>
    <row r="742" spans="2:28" ht="15" customHeight="1" x14ac:dyDescent="0.4">
      <c r="C742" s="34" t="s">
        <v>6</v>
      </c>
      <c r="D742" s="35">
        <v>45604</v>
      </c>
      <c r="E742" s="51" t="s">
        <v>92</v>
      </c>
      <c r="F742" s="33">
        <v>1</v>
      </c>
      <c r="G742" s="27">
        <f t="shared" si="13"/>
        <v>-1</v>
      </c>
      <c r="H742" s="28" t="str">
        <f>VLOOKUP(E742,'Cadastro Produtos (kiwkiw)'!C:E,3,0)</f>
        <v>Colar Coracao Banho Ouro</v>
      </c>
      <c r="AB742" s="33" t="s">
        <v>403</v>
      </c>
    </row>
    <row r="743" spans="2:28" ht="15" customHeight="1" x14ac:dyDescent="0.4">
      <c r="B743" s="43">
        <v>45607.428946759261</v>
      </c>
      <c r="C743" s="34" t="s">
        <v>6</v>
      </c>
      <c r="D743" s="35">
        <v>45607</v>
      </c>
      <c r="E743" s="51" t="s">
        <v>98</v>
      </c>
      <c r="F743" s="33">
        <v>1</v>
      </c>
      <c r="G743" s="27">
        <f t="shared" si="13"/>
        <v>-1</v>
      </c>
      <c r="H743" s="28" t="str">
        <f>VLOOKUP(E743,'Cadastro Produtos (kiwkiw)'!C:E,3,0)</f>
        <v>Colar Longo Esfera Banho Ouro</v>
      </c>
      <c r="AB743" s="33" t="s">
        <v>404</v>
      </c>
    </row>
    <row r="744" spans="2:28" ht="15" customHeight="1" x14ac:dyDescent="0.4">
      <c r="C744" s="34" t="s">
        <v>6</v>
      </c>
      <c r="D744" s="35">
        <v>45607</v>
      </c>
      <c r="E744" s="51" t="s">
        <v>109</v>
      </c>
      <c r="F744" s="33">
        <v>1</v>
      </c>
      <c r="G744" s="27">
        <f t="shared" si="13"/>
        <v>-1</v>
      </c>
      <c r="H744" s="28" t="str">
        <f>VLOOKUP(E744,'Cadastro Produtos (kiwkiw)'!C:E,3,0)</f>
        <v>Colar Palito Banho Ouro</v>
      </c>
      <c r="AB744" s="33" t="s">
        <v>404</v>
      </c>
    </row>
    <row r="745" spans="2:28" ht="15" customHeight="1" x14ac:dyDescent="0.4">
      <c r="C745" s="34" t="s">
        <v>6</v>
      </c>
      <c r="D745" s="35">
        <v>45607</v>
      </c>
      <c r="E745" s="51" t="s">
        <v>55</v>
      </c>
      <c r="F745" s="33">
        <v>1</v>
      </c>
      <c r="G745" s="27">
        <f t="shared" si="13"/>
        <v>-1</v>
      </c>
      <c r="H745" s="28" t="str">
        <f>VLOOKUP(E745,'Cadastro Produtos (kiwkiw)'!C:E,3,0)</f>
        <v>Brinco Ivy Prateado</v>
      </c>
      <c r="AB745" s="33" t="s">
        <v>404</v>
      </c>
    </row>
    <row r="746" spans="2:28" ht="15" customHeight="1" x14ac:dyDescent="0.4">
      <c r="C746" s="34" t="s">
        <v>6</v>
      </c>
      <c r="D746" s="35">
        <v>45607</v>
      </c>
      <c r="E746" s="51" t="s">
        <v>104</v>
      </c>
      <c r="F746" s="33">
        <v>1</v>
      </c>
      <c r="G746" s="27">
        <f t="shared" si="13"/>
        <v>-1</v>
      </c>
      <c r="H746" s="28" t="str">
        <f>VLOOKUP(E746,'Cadastro Produtos (kiwkiw)'!C:E,3,0)</f>
        <v>Colar Ivy Prateado</v>
      </c>
      <c r="AB746" s="33" t="s">
        <v>404</v>
      </c>
    </row>
    <row r="747" spans="2:28" ht="15" customHeight="1" x14ac:dyDescent="0.4">
      <c r="C747" s="34" t="s">
        <v>6</v>
      </c>
      <c r="D747" s="35">
        <v>45607</v>
      </c>
      <c r="E747" s="51" t="s">
        <v>114</v>
      </c>
      <c r="F747" s="33">
        <v>1</v>
      </c>
      <c r="G747" s="27">
        <f t="shared" si="13"/>
        <v>-1</v>
      </c>
      <c r="H747" s="28" t="str">
        <f>VLOOKUP(E747,'Cadastro Produtos (kiwkiw)'!C:E,3,0)</f>
        <v>Gargantilha Fita Banho Ouro</v>
      </c>
      <c r="AB747" s="33" t="s">
        <v>405</v>
      </c>
    </row>
    <row r="748" spans="2:28" ht="15" customHeight="1" x14ac:dyDescent="0.4">
      <c r="C748" s="34" t="s">
        <v>6</v>
      </c>
      <c r="D748" s="35">
        <v>45607</v>
      </c>
      <c r="E748" s="51" t="s">
        <v>92</v>
      </c>
      <c r="F748" s="33">
        <v>1</v>
      </c>
      <c r="G748" s="27">
        <f t="shared" si="13"/>
        <v>-1</v>
      </c>
      <c r="H748" s="28" t="str">
        <f>VLOOKUP(E748,'Cadastro Produtos (kiwkiw)'!C:E,3,0)</f>
        <v>Colar Coracao Banho Ouro</v>
      </c>
      <c r="AB748" s="33" t="s">
        <v>406</v>
      </c>
    </row>
    <row r="749" spans="2:28" ht="15" customHeight="1" x14ac:dyDescent="0.4">
      <c r="B749" s="43">
        <v>45608.425740740742</v>
      </c>
      <c r="C749" s="34" t="s">
        <v>6</v>
      </c>
      <c r="D749" s="35">
        <v>45608</v>
      </c>
      <c r="E749" s="51" t="s">
        <v>90</v>
      </c>
      <c r="F749" s="33">
        <v>1</v>
      </c>
      <c r="G749" s="27">
        <f t="shared" si="13"/>
        <v>-1</v>
      </c>
      <c r="H749" s="28" t="str">
        <f>VLOOKUP(E749,'Cadastro Produtos (kiwkiw)'!C:E,3,0)</f>
        <v>Colar Dot Prateado</v>
      </c>
      <c r="AB749" s="33" t="s">
        <v>407</v>
      </c>
    </row>
    <row r="750" spans="2:28" ht="15" customHeight="1" x14ac:dyDescent="0.4">
      <c r="C750" s="34" t="s">
        <v>6</v>
      </c>
      <c r="D750" s="35">
        <v>45608</v>
      </c>
      <c r="E750" s="51" t="s">
        <v>117</v>
      </c>
      <c r="F750" s="33">
        <v>1</v>
      </c>
      <c r="G750" s="27">
        <f t="shared" si="13"/>
        <v>-1</v>
      </c>
      <c r="H750" s="28" t="str">
        <f>VLOOKUP(E750,'Cadastro Produtos (kiwkiw)'!C:E,3,0)</f>
        <v>Gargantilha Minimal Banho Ouro</v>
      </c>
      <c r="AB750" s="33" t="s">
        <v>407</v>
      </c>
    </row>
    <row r="751" spans="2:28" ht="15" customHeight="1" x14ac:dyDescent="0.4">
      <c r="C751" s="34" t="s">
        <v>6</v>
      </c>
      <c r="D751" s="35">
        <v>45608</v>
      </c>
      <c r="E751" s="51" t="s">
        <v>26</v>
      </c>
      <c r="F751" s="33">
        <v>1</v>
      </c>
      <c r="G751" s="27">
        <f t="shared" si="13"/>
        <v>-1</v>
      </c>
      <c r="H751" s="28" t="str">
        <f>VLOOKUP(E751,'Cadastro Produtos (kiwkiw)'!C:E,3,0)</f>
        <v>Argola Click Grande Banho Ouro</v>
      </c>
      <c r="AB751" s="33" t="s">
        <v>407</v>
      </c>
    </row>
    <row r="752" spans="2:28" ht="15" customHeight="1" x14ac:dyDescent="0.4">
      <c r="C752" s="34" t="s">
        <v>6</v>
      </c>
      <c r="D752" s="35">
        <v>45608</v>
      </c>
      <c r="E752" s="51" t="s">
        <v>28</v>
      </c>
      <c r="F752" s="33">
        <v>1</v>
      </c>
      <c r="G752" s="27">
        <f t="shared" si="13"/>
        <v>-1</v>
      </c>
      <c r="H752" s="28" t="str">
        <f>VLOOKUP(E752,'Cadastro Produtos (kiwkiw)'!C:E,3,0)</f>
        <v>Argola Click Pequena Banho Ouro</v>
      </c>
      <c r="AB752" s="33" t="s">
        <v>407</v>
      </c>
    </row>
    <row r="753" spans="2:28" ht="15" customHeight="1" x14ac:dyDescent="0.4">
      <c r="C753" s="34" t="s">
        <v>6</v>
      </c>
      <c r="D753" s="35">
        <v>45608</v>
      </c>
      <c r="E753" s="51" t="s">
        <v>55</v>
      </c>
      <c r="F753" s="33">
        <v>1</v>
      </c>
      <c r="G753" s="27">
        <f t="shared" si="13"/>
        <v>-1</v>
      </c>
      <c r="H753" s="28" t="str">
        <f>VLOOKUP(E753,'Cadastro Produtos (kiwkiw)'!C:E,3,0)</f>
        <v>Brinco Ivy Prateado</v>
      </c>
      <c r="AB753" s="33" t="s">
        <v>407</v>
      </c>
    </row>
    <row r="754" spans="2:28" ht="15" customHeight="1" x14ac:dyDescent="0.4">
      <c r="C754" s="34" t="s">
        <v>6</v>
      </c>
      <c r="D754" s="35">
        <v>45608</v>
      </c>
      <c r="E754" s="51" t="s">
        <v>108</v>
      </c>
      <c r="F754" s="33">
        <v>1</v>
      </c>
      <c r="G754" s="27">
        <f t="shared" si="13"/>
        <v>-1</v>
      </c>
      <c r="H754" s="28" t="str">
        <f>VLOOKUP(E754,'Cadastro Produtos (kiwkiw)'!C:E,3,0)</f>
        <v>Colar Line Banho Ouro</v>
      </c>
      <c r="AB754" s="33" t="s">
        <v>407</v>
      </c>
    </row>
    <row r="755" spans="2:28" ht="15" customHeight="1" x14ac:dyDescent="0.4">
      <c r="C755" s="34" t="s">
        <v>6</v>
      </c>
      <c r="D755" s="35">
        <v>45608</v>
      </c>
      <c r="E755" s="51" t="s">
        <v>127</v>
      </c>
      <c r="F755" s="33">
        <v>1</v>
      </c>
      <c r="G755" s="27">
        <f t="shared" si="13"/>
        <v>-1</v>
      </c>
      <c r="H755" s="28" t="str">
        <f>VLOOKUP(E755,'Cadastro Produtos (kiwkiw)'!C:E,3,0)</f>
        <v>Pulseira Minimal Banho Ouro</v>
      </c>
      <c r="AB755" s="33" t="s">
        <v>407</v>
      </c>
    </row>
    <row r="756" spans="2:28" ht="15" customHeight="1" x14ac:dyDescent="0.4">
      <c r="C756" s="34" t="s">
        <v>6</v>
      </c>
      <c r="D756" s="35">
        <v>45608</v>
      </c>
      <c r="E756" s="51" t="s">
        <v>128</v>
      </c>
      <c r="F756" s="33">
        <v>1</v>
      </c>
      <c r="G756" s="27">
        <f t="shared" si="13"/>
        <v>-1</v>
      </c>
      <c r="H756" s="28" t="str">
        <f>VLOOKUP(E756,'Cadastro Produtos (kiwkiw)'!C:E,3,0)</f>
        <v>Pulseira Minimal Prateada</v>
      </c>
      <c r="AB756" s="33" t="s">
        <v>407</v>
      </c>
    </row>
    <row r="757" spans="2:28" ht="15" customHeight="1" x14ac:dyDescent="0.4">
      <c r="C757" s="34" t="s">
        <v>6</v>
      </c>
      <c r="D757" s="35">
        <v>45608</v>
      </c>
      <c r="E757" s="51" t="s">
        <v>126</v>
      </c>
      <c r="F757" s="33">
        <v>1</v>
      </c>
      <c r="G757" s="27">
        <f t="shared" si="13"/>
        <v>-1</v>
      </c>
      <c r="H757" s="28" t="str">
        <f>VLOOKUP(E757,'Cadastro Produtos (kiwkiw)'!C:E,3,0)</f>
        <v>Pulseira Groumet Prateada</v>
      </c>
      <c r="AB757" s="33" t="s">
        <v>407</v>
      </c>
    </row>
    <row r="758" spans="2:28" ht="15" customHeight="1" x14ac:dyDescent="0.4">
      <c r="B758" s="43">
        <v>45609.436678240738</v>
      </c>
      <c r="C758" s="34" t="s">
        <v>6</v>
      </c>
      <c r="D758" s="35">
        <v>45609</v>
      </c>
      <c r="E758" s="51" t="s">
        <v>117</v>
      </c>
      <c r="F758" s="33">
        <v>1</v>
      </c>
      <c r="G758" s="27">
        <f t="shared" si="13"/>
        <v>-1</v>
      </c>
      <c r="H758" s="28" t="str">
        <f>VLOOKUP(E758,'Cadastro Produtos (kiwkiw)'!C:E,3,0)</f>
        <v>Gargantilha Minimal Banho Ouro</v>
      </c>
      <c r="AB758" s="33" t="s">
        <v>408</v>
      </c>
    </row>
    <row r="759" spans="2:28" ht="15" customHeight="1" x14ac:dyDescent="0.4">
      <c r="C759" s="34" t="s">
        <v>6</v>
      </c>
      <c r="D759" s="35">
        <v>45609</v>
      </c>
      <c r="E759" s="51" t="s">
        <v>89</v>
      </c>
      <c r="F759" s="33">
        <v>1</v>
      </c>
      <c r="G759" s="27">
        <f t="shared" ref="G759" si="14">IF(C759="Entrada",F759,-F759)</f>
        <v>-1</v>
      </c>
      <c r="H759" s="28" t="str">
        <f>VLOOKUP(E759,'Cadastro Produtos (kiwkiw)'!C:E,3,0)</f>
        <v>Colar Dot Banho Ouro</v>
      </c>
      <c r="AB759" s="33" t="s">
        <v>408</v>
      </c>
    </row>
    <row r="760" spans="2:28" ht="15" customHeight="1" x14ac:dyDescent="0.4">
      <c r="C760" s="34" t="s">
        <v>6</v>
      </c>
      <c r="D760" s="35">
        <v>45609</v>
      </c>
      <c r="E760" s="51" t="s">
        <v>103</v>
      </c>
      <c r="F760" s="33">
        <v>1</v>
      </c>
      <c r="G760" s="27">
        <f t="shared" si="13"/>
        <v>-1</v>
      </c>
      <c r="H760" s="28" t="str">
        <f>VLOOKUP(E760,'Cadastro Produtos (kiwkiw)'!C:E,3,0)</f>
        <v>Colar Ivy Banho Ouro</v>
      </c>
      <c r="AB760" s="33" t="s">
        <v>408</v>
      </c>
    </row>
    <row r="761" spans="2:28" ht="15" customHeight="1" x14ac:dyDescent="0.4">
      <c r="B761" s="43">
        <v>45610.409224537034</v>
      </c>
      <c r="C761" s="34" t="s">
        <v>6</v>
      </c>
      <c r="D761" s="35">
        <v>45610</v>
      </c>
      <c r="E761" s="51" t="s">
        <v>60</v>
      </c>
      <c r="F761" s="33">
        <v>1</v>
      </c>
      <c r="G761" s="27">
        <f t="shared" si="13"/>
        <v>-1</v>
      </c>
      <c r="H761" s="28" t="str">
        <f>VLOOKUP(E761,'Cadastro Produtos (kiwkiw)'!C:E,3,0)</f>
        <v>Brinco Oncinha Prateado</v>
      </c>
      <c r="AB761" s="33" t="s">
        <v>409</v>
      </c>
    </row>
    <row r="762" spans="2:28" ht="15" customHeight="1" x14ac:dyDescent="0.4">
      <c r="C762" s="34" t="s">
        <v>6</v>
      </c>
      <c r="D762" s="35">
        <v>45610</v>
      </c>
      <c r="E762" s="51" t="s">
        <v>12</v>
      </c>
      <c r="F762" s="33">
        <v>1</v>
      </c>
      <c r="G762" s="27">
        <f t="shared" si="13"/>
        <v>-1</v>
      </c>
      <c r="H762" s="28" t="str">
        <f>VLOOKUP(E762,'Cadastro Produtos (kiwkiw)'!C:E,3,0)</f>
        <v>Anel Duplo Banho Ouro</v>
      </c>
      <c r="AB762" s="33" t="s">
        <v>409</v>
      </c>
    </row>
    <row r="763" spans="2:28" ht="15" customHeight="1" x14ac:dyDescent="0.4">
      <c r="C763" s="34" t="s">
        <v>6</v>
      </c>
      <c r="D763" s="35">
        <v>45610</v>
      </c>
      <c r="E763" s="51" t="s">
        <v>94</v>
      </c>
      <c r="F763" s="33">
        <v>1</v>
      </c>
      <c r="G763" s="27">
        <f t="shared" si="13"/>
        <v>-1</v>
      </c>
      <c r="H763" s="28" t="str">
        <f>VLOOKUP(E763,'Cadastro Produtos (kiwkiw)'!C:E,3,0)</f>
        <v>Colar Duplo Dots Banho Ouro</v>
      </c>
      <c r="AB763" s="33" t="s">
        <v>410</v>
      </c>
    </row>
    <row r="764" spans="2:28" ht="15" customHeight="1" x14ac:dyDescent="0.4">
      <c r="C764" s="34" t="s">
        <v>6</v>
      </c>
      <c r="D764" s="35">
        <v>45610</v>
      </c>
      <c r="E764" s="51" t="s">
        <v>122</v>
      </c>
      <c r="F764" s="33">
        <v>1</v>
      </c>
      <c r="G764" s="27">
        <f t="shared" si="13"/>
        <v>-1</v>
      </c>
      <c r="H764" s="28" t="str">
        <f>VLOOKUP(E764,'Cadastro Produtos (kiwkiw)'!C:E,3,0)</f>
        <v>Bracelete Torcido Banho Ouro</v>
      </c>
      <c r="AB764" s="33" t="s">
        <v>410</v>
      </c>
    </row>
    <row r="765" spans="2:28" ht="15" customHeight="1" x14ac:dyDescent="0.4">
      <c r="B765" s="43">
        <v>45614.419189814813</v>
      </c>
      <c r="C765" s="34" t="s">
        <v>6</v>
      </c>
      <c r="D765" s="35">
        <v>45614</v>
      </c>
      <c r="E765" s="51" t="s">
        <v>117</v>
      </c>
      <c r="F765" s="33">
        <v>1</v>
      </c>
      <c r="G765" s="27">
        <f t="shared" si="13"/>
        <v>-1</v>
      </c>
      <c r="H765" s="28" t="str">
        <f>VLOOKUP(E765,'Cadastro Produtos (kiwkiw)'!C:E,3,0)</f>
        <v>Gargantilha Minimal Banho Ouro</v>
      </c>
      <c r="AB765" s="33" t="s">
        <v>411</v>
      </c>
    </row>
    <row r="766" spans="2:28" ht="15" customHeight="1" x14ac:dyDescent="0.4">
      <c r="C766" s="34" t="s">
        <v>6</v>
      </c>
      <c r="D766" s="35">
        <v>45614</v>
      </c>
      <c r="E766" s="51" t="s">
        <v>28</v>
      </c>
      <c r="F766" s="33">
        <v>1</v>
      </c>
      <c r="G766" s="27">
        <f t="shared" si="13"/>
        <v>-1</v>
      </c>
      <c r="H766" s="28" t="str">
        <f>VLOOKUP(E766,'Cadastro Produtos (kiwkiw)'!C:E,3,0)</f>
        <v>Argola Click Pequena Banho Ouro</v>
      </c>
      <c r="AB766" s="33" t="s">
        <v>412</v>
      </c>
    </row>
    <row r="767" spans="2:28" ht="15" customHeight="1" x14ac:dyDescent="0.4">
      <c r="B767" s="43">
        <v>45618.414618055554</v>
      </c>
      <c r="C767" s="34" t="s">
        <v>6</v>
      </c>
      <c r="D767" s="35">
        <v>45618</v>
      </c>
      <c r="E767" s="51" t="s">
        <v>92</v>
      </c>
      <c r="F767" s="33">
        <v>1</v>
      </c>
      <c r="G767" s="27">
        <f t="shared" si="13"/>
        <v>-1</v>
      </c>
      <c r="H767" s="28" t="str">
        <f>VLOOKUP(E767,'Cadastro Produtos (kiwkiw)'!C:E,3,0)</f>
        <v>Colar Coracao Banho Ouro</v>
      </c>
      <c r="AB767" s="33" t="s">
        <v>413</v>
      </c>
    </row>
    <row r="768" spans="2:28" ht="15" customHeight="1" x14ac:dyDescent="0.4">
      <c r="C768" s="34" t="s">
        <v>6</v>
      </c>
      <c r="D768" s="35">
        <v>45618</v>
      </c>
      <c r="E768" s="51" t="s">
        <v>117</v>
      </c>
      <c r="F768" s="33">
        <v>1</v>
      </c>
      <c r="G768" s="27">
        <f t="shared" si="13"/>
        <v>-1</v>
      </c>
      <c r="H768" s="28" t="str">
        <f>VLOOKUP(E768,'Cadastro Produtos (kiwkiw)'!C:E,3,0)</f>
        <v>Gargantilha Minimal Banho Ouro</v>
      </c>
      <c r="AB768" s="33" t="s">
        <v>414</v>
      </c>
    </row>
    <row r="769" spans="2:28" ht="14.6" x14ac:dyDescent="0.4">
      <c r="C769" s="34" t="s">
        <v>6</v>
      </c>
      <c r="D769" s="35">
        <v>45618</v>
      </c>
      <c r="E769" s="51" t="s">
        <v>59</v>
      </c>
      <c r="F769" s="33">
        <v>1</v>
      </c>
      <c r="G769" s="27">
        <f t="shared" ref="G769" si="15">IF(C769="Entrada",F769,-F769)</f>
        <v>-1</v>
      </c>
      <c r="H769" s="28" t="str">
        <f>VLOOKUP(E769,'Cadastro Produtos (kiwkiw)'!C:E,3,0)</f>
        <v>Brinco Oncinha Banho Ouro</v>
      </c>
      <c r="AB769" s="33" t="s">
        <v>415</v>
      </c>
    </row>
    <row r="770" spans="2:28" ht="15" customHeight="1" x14ac:dyDescent="0.4">
      <c r="B770" s="43">
        <v>45621.428287037037</v>
      </c>
      <c r="C770" s="34" t="s">
        <v>6</v>
      </c>
      <c r="D770" s="35">
        <v>45621</v>
      </c>
      <c r="E770" s="51" t="s">
        <v>63</v>
      </c>
      <c r="F770" s="33">
        <v>1</v>
      </c>
      <c r="G770" s="27">
        <f t="shared" si="13"/>
        <v>-1</v>
      </c>
      <c r="H770" s="28" t="str">
        <f>VLOOKUP(E770,'Cadastro Produtos (kiwkiw)'!C:E,3,0)</f>
        <v>Brinco Spike Banho Ouro</v>
      </c>
      <c r="AB770" s="33" t="s">
        <v>416</v>
      </c>
    </row>
    <row r="771" spans="2:28" ht="15" customHeight="1" x14ac:dyDescent="0.4">
      <c r="B771" s="43">
        <v>45623.422164351854</v>
      </c>
      <c r="C771" s="34" t="s">
        <v>6</v>
      </c>
      <c r="D771" s="35">
        <v>45623</v>
      </c>
      <c r="E771" s="51" t="s">
        <v>38</v>
      </c>
      <c r="F771" s="33">
        <v>1</v>
      </c>
      <c r="G771" s="27">
        <f t="shared" si="13"/>
        <v>-1</v>
      </c>
      <c r="H771" s="28" t="str">
        <f>VLOOKUP(E771,'Cadastro Produtos (kiwkiw)'!C:E,3,0)</f>
        <v>Argolinha Click Dots Banho Ouro</v>
      </c>
      <c r="AB771" s="33" t="s">
        <v>417</v>
      </c>
    </row>
    <row r="772" spans="2:28" ht="15" customHeight="1" x14ac:dyDescent="0.4">
      <c r="B772" s="43">
        <v>45625.424490740741</v>
      </c>
      <c r="C772" s="34" t="s">
        <v>6</v>
      </c>
      <c r="D772" s="35">
        <v>45625</v>
      </c>
      <c r="E772" s="51" t="s">
        <v>25</v>
      </c>
      <c r="F772" s="33">
        <v>1</v>
      </c>
      <c r="G772" s="27">
        <f t="shared" si="13"/>
        <v>-1</v>
      </c>
      <c r="H772" s="28" t="str">
        <f>VLOOKUP(E772,'Cadastro Produtos (kiwkiw)'!C:E,3,0)</f>
        <v>Argola Amy Banho Ouro</v>
      </c>
      <c r="AB772" s="33" t="s">
        <v>418</v>
      </c>
    </row>
    <row r="773" spans="2:28" ht="15" customHeight="1" x14ac:dyDescent="0.4">
      <c r="B773" s="43">
        <v>45628.428749999999</v>
      </c>
      <c r="C773" s="34" t="s">
        <v>6</v>
      </c>
      <c r="D773" s="35">
        <v>45628</v>
      </c>
      <c r="E773" s="51" t="s">
        <v>92</v>
      </c>
      <c r="F773" s="33">
        <v>1</v>
      </c>
      <c r="G773" s="27">
        <f t="shared" si="13"/>
        <v>-1</v>
      </c>
      <c r="H773" s="28" t="str">
        <f>VLOOKUP(E773,'Cadastro Produtos (kiwkiw)'!C:E,3,0)</f>
        <v>Colar Coracao Banho Ouro</v>
      </c>
      <c r="AB773" s="33" t="s">
        <v>419</v>
      </c>
    </row>
    <row r="774" spans="2:28" ht="15" customHeight="1" x14ac:dyDescent="0.4">
      <c r="C774" s="34" t="s">
        <v>6</v>
      </c>
      <c r="D774" s="35">
        <v>45628</v>
      </c>
      <c r="E774" s="51" t="s">
        <v>92</v>
      </c>
      <c r="F774" s="33">
        <v>1</v>
      </c>
      <c r="G774" s="27">
        <f t="shared" si="13"/>
        <v>-1</v>
      </c>
      <c r="H774" s="28" t="str">
        <f>VLOOKUP(E774,'Cadastro Produtos (kiwkiw)'!C:E,3,0)</f>
        <v>Colar Coracao Banho Ouro</v>
      </c>
      <c r="AB774" s="33" t="s">
        <v>420</v>
      </c>
    </row>
    <row r="775" spans="2:28" ht="15" customHeight="1" x14ac:dyDescent="0.4">
      <c r="C775" s="34" t="s">
        <v>6</v>
      </c>
      <c r="D775" s="35">
        <v>45628</v>
      </c>
      <c r="E775" s="51" t="s">
        <v>92</v>
      </c>
      <c r="F775" s="33">
        <v>1</v>
      </c>
      <c r="G775" s="27">
        <f t="shared" si="13"/>
        <v>-1</v>
      </c>
      <c r="H775" s="28" t="str">
        <f>VLOOKUP(E775,'Cadastro Produtos (kiwkiw)'!C:E,3,0)</f>
        <v>Colar Coracao Banho Ouro</v>
      </c>
      <c r="AB775" s="33" t="s">
        <v>421</v>
      </c>
    </row>
    <row r="776" spans="2:28" ht="15" customHeight="1" x14ac:dyDescent="0.4">
      <c r="C776" s="34" t="s">
        <v>6</v>
      </c>
      <c r="D776" s="35">
        <v>45628</v>
      </c>
      <c r="E776" s="51" t="s">
        <v>117</v>
      </c>
      <c r="F776" s="33">
        <v>1</v>
      </c>
      <c r="G776" s="27">
        <f t="shared" si="13"/>
        <v>-1</v>
      </c>
      <c r="H776" s="28" t="str">
        <f>VLOOKUP(E776,'Cadastro Produtos (kiwkiw)'!C:E,3,0)</f>
        <v>Gargantilha Minimal Banho Ouro</v>
      </c>
      <c r="AB776" s="33" t="s">
        <v>419</v>
      </c>
    </row>
    <row r="777" spans="2:28" ht="15" customHeight="1" x14ac:dyDescent="0.4">
      <c r="C777" s="34" t="s">
        <v>6</v>
      </c>
      <c r="D777" s="35">
        <v>45628</v>
      </c>
      <c r="E777" s="51" t="s">
        <v>117</v>
      </c>
      <c r="F777" s="33">
        <v>1</v>
      </c>
      <c r="G777" s="27">
        <f t="shared" si="13"/>
        <v>-1</v>
      </c>
      <c r="H777" s="28" t="str">
        <f>VLOOKUP(E777,'Cadastro Produtos (kiwkiw)'!C:E,3,0)</f>
        <v>Gargantilha Minimal Banho Ouro</v>
      </c>
      <c r="AB777" s="33" t="s">
        <v>420</v>
      </c>
    </row>
    <row r="778" spans="2:28" ht="15" customHeight="1" x14ac:dyDescent="0.4">
      <c r="C778" s="34" t="s">
        <v>6</v>
      </c>
      <c r="D778" s="35">
        <v>45628</v>
      </c>
      <c r="E778" s="51" t="s">
        <v>117</v>
      </c>
      <c r="F778" s="33">
        <v>1</v>
      </c>
      <c r="G778" s="27">
        <f t="shared" si="13"/>
        <v>-1</v>
      </c>
      <c r="H778" s="28" t="str">
        <f>VLOOKUP(E778,'Cadastro Produtos (kiwkiw)'!C:E,3,0)</f>
        <v>Gargantilha Minimal Banho Ouro</v>
      </c>
      <c r="AB778" s="33" t="s">
        <v>422</v>
      </c>
    </row>
    <row r="779" spans="2:28" ht="15" customHeight="1" x14ac:dyDescent="0.4">
      <c r="C779" s="34" t="s">
        <v>6</v>
      </c>
      <c r="D779" s="35">
        <v>45628</v>
      </c>
      <c r="E779" s="51" t="s">
        <v>118</v>
      </c>
      <c r="F779" s="33">
        <v>1</v>
      </c>
      <c r="G779" s="27">
        <f t="shared" si="13"/>
        <v>-1</v>
      </c>
      <c r="H779" s="28" t="str">
        <f>VLOOKUP(E779,'Cadastro Produtos (kiwkiw)'!C:E,3,0)</f>
        <v>Gargantilha Minimal Prateada</v>
      </c>
      <c r="AB779" s="33" t="s">
        <v>419</v>
      </c>
    </row>
    <row r="780" spans="2:28" ht="15" customHeight="1" x14ac:dyDescent="0.4">
      <c r="C780" s="34" t="s">
        <v>6</v>
      </c>
      <c r="D780" s="35">
        <v>45628</v>
      </c>
      <c r="E780" s="51" t="s">
        <v>121</v>
      </c>
      <c r="F780" s="33">
        <v>1</v>
      </c>
      <c r="G780" s="27">
        <f t="shared" si="13"/>
        <v>-1</v>
      </c>
      <c r="H780" s="28" t="str">
        <f>VLOOKUP(E780,'Cadastro Produtos (kiwkiw)'!C:E,3,0)</f>
        <v>Bracelete Wave Banho Ouro</v>
      </c>
      <c r="AB780" s="33" t="s">
        <v>423</v>
      </c>
    </row>
    <row r="781" spans="2:28" ht="15" customHeight="1" x14ac:dyDescent="0.4">
      <c r="C781" s="34" t="s">
        <v>6</v>
      </c>
      <c r="D781" s="35">
        <v>45628</v>
      </c>
      <c r="E781" s="51" t="s">
        <v>121</v>
      </c>
      <c r="F781" s="33">
        <v>1</v>
      </c>
      <c r="G781" s="27">
        <f t="shared" si="13"/>
        <v>-1</v>
      </c>
      <c r="H781" s="28" t="str">
        <f>VLOOKUP(E781,'Cadastro Produtos (kiwkiw)'!C:E,3,0)</f>
        <v>Bracelete Wave Banho Ouro</v>
      </c>
      <c r="AB781" s="33" t="s">
        <v>424</v>
      </c>
    </row>
    <row r="782" spans="2:28" ht="15" customHeight="1" x14ac:dyDescent="0.4">
      <c r="C782" s="34" t="s">
        <v>6</v>
      </c>
      <c r="D782" s="35">
        <v>45628</v>
      </c>
      <c r="E782" s="51" t="s">
        <v>121</v>
      </c>
      <c r="F782" s="33">
        <v>1</v>
      </c>
      <c r="G782" s="27">
        <f t="shared" si="13"/>
        <v>-1</v>
      </c>
      <c r="H782" s="28" t="str">
        <f>VLOOKUP(E782,'Cadastro Produtos (kiwkiw)'!C:E,3,0)</f>
        <v>Bracelete Wave Banho Ouro</v>
      </c>
      <c r="AB782" s="33" t="s">
        <v>425</v>
      </c>
    </row>
    <row r="783" spans="2:28" ht="15" customHeight="1" x14ac:dyDescent="0.4">
      <c r="C783" s="34" t="s">
        <v>6</v>
      </c>
      <c r="D783" s="35">
        <v>45628</v>
      </c>
      <c r="E783" s="51" t="s">
        <v>82</v>
      </c>
      <c r="F783" s="33">
        <v>1</v>
      </c>
      <c r="G783" s="27">
        <f t="shared" si="13"/>
        <v>-1</v>
      </c>
      <c r="H783" s="28" t="str">
        <f>VLOOKUP(E783,'Cadastro Produtos (kiwkiw)'!C:E,3,0)</f>
        <v>Meia Argola Diamond Banho Ouro</v>
      </c>
      <c r="AB783" s="33" t="s">
        <v>424</v>
      </c>
    </row>
    <row r="784" spans="2:28" ht="15" customHeight="1" x14ac:dyDescent="0.4">
      <c r="C784" s="34" t="s">
        <v>6</v>
      </c>
      <c r="D784" s="35">
        <v>45628</v>
      </c>
      <c r="E784" s="51" t="s">
        <v>81</v>
      </c>
      <c r="F784" s="33">
        <v>1</v>
      </c>
      <c r="G784" s="27">
        <f t="shared" si="13"/>
        <v>-1</v>
      </c>
      <c r="H784" s="28" t="str">
        <f>VLOOKUP(E784,'Cadastro Produtos (kiwkiw)'!C:E,3,0)</f>
        <v>Meia Argola Croissant Prateada</v>
      </c>
      <c r="AB784" s="33" t="s">
        <v>424</v>
      </c>
    </row>
    <row r="785" spans="3:28" ht="15" customHeight="1" x14ac:dyDescent="0.4">
      <c r="C785" s="34" t="s">
        <v>6</v>
      </c>
      <c r="D785" s="35">
        <v>45628</v>
      </c>
      <c r="E785" s="51" t="s">
        <v>124</v>
      </c>
      <c r="F785" s="33">
        <v>1</v>
      </c>
      <c r="G785" s="27">
        <f t="shared" si="13"/>
        <v>-1</v>
      </c>
      <c r="H785" s="28" t="str">
        <f>VLOOKUP(E785,'Cadastro Produtos (kiwkiw)'!C:E,3,0)</f>
        <v>Pulseira Fita Textura Banho Ouro</v>
      </c>
      <c r="AB785" s="33" t="s">
        <v>424</v>
      </c>
    </row>
    <row r="786" spans="3:28" ht="15" customHeight="1" x14ac:dyDescent="0.4">
      <c r="C786" s="34" t="s">
        <v>6</v>
      </c>
      <c r="D786" s="35">
        <v>45628</v>
      </c>
      <c r="E786" s="51" t="s">
        <v>124</v>
      </c>
      <c r="F786" s="33">
        <v>1</v>
      </c>
      <c r="G786" s="27">
        <f t="shared" si="13"/>
        <v>-1</v>
      </c>
      <c r="H786" s="28" t="str">
        <f>VLOOKUP(E786,'Cadastro Produtos (kiwkiw)'!C:E,3,0)</f>
        <v>Pulseira Fita Textura Banho Ouro</v>
      </c>
      <c r="AB786" s="33" t="s">
        <v>421</v>
      </c>
    </row>
    <row r="787" spans="3:28" ht="15" customHeight="1" x14ac:dyDescent="0.4">
      <c r="C787" s="34" t="s">
        <v>6</v>
      </c>
      <c r="D787" s="35">
        <v>45628</v>
      </c>
      <c r="E787" s="51" t="s">
        <v>124</v>
      </c>
      <c r="F787" s="33">
        <v>1</v>
      </c>
      <c r="G787" s="27">
        <f t="shared" ref="G787:G850" si="16">IF(C787="Entrada",F787,-F787)</f>
        <v>-1</v>
      </c>
      <c r="H787" s="28" t="str">
        <f>VLOOKUP(E787,'Cadastro Produtos (kiwkiw)'!C:E,3,0)</f>
        <v>Pulseira Fita Textura Banho Ouro</v>
      </c>
      <c r="AB787" s="33" t="s">
        <v>426</v>
      </c>
    </row>
    <row r="788" spans="3:28" ht="15" customHeight="1" x14ac:dyDescent="0.4">
      <c r="C788" s="34" t="s">
        <v>6</v>
      </c>
      <c r="D788" s="35">
        <v>45628</v>
      </c>
      <c r="E788" s="51" t="s">
        <v>61</v>
      </c>
      <c r="F788" s="33">
        <v>1</v>
      </c>
      <c r="G788" s="27">
        <f t="shared" si="16"/>
        <v>-1</v>
      </c>
      <c r="H788" s="28" t="str">
        <f>VLOOKUP(E788,'Cadastro Produtos (kiwkiw)'!C:E,3,0)</f>
        <v>Brinco Setas Banho Ouro</v>
      </c>
      <c r="AB788" s="33" t="s">
        <v>427</v>
      </c>
    </row>
    <row r="789" spans="3:28" ht="15" customHeight="1" x14ac:dyDescent="0.4">
      <c r="C789" s="34" t="s">
        <v>6</v>
      </c>
      <c r="D789" s="35">
        <v>45628</v>
      </c>
      <c r="E789" s="51" t="s">
        <v>59</v>
      </c>
      <c r="F789" s="33">
        <v>1</v>
      </c>
      <c r="G789" s="27">
        <f t="shared" si="16"/>
        <v>-1</v>
      </c>
      <c r="H789" s="28" t="str">
        <f>VLOOKUP(E789,'Cadastro Produtos (kiwkiw)'!C:E,3,0)</f>
        <v>Brinco Oncinha Banho Ouro</v>
      </c>
      <c r="AB789" s="33" t="s">
        <v>427</v>
      </c>
    </row>
    <row r="790" spans="3:28" ht="15" customHeight="1" x14ac:dyDescent="0.4">
      <c r="C790" s="34" t="s">
        <v>6</v>
      </c>
      <c r="D790" s="35">
        <v>45628</v>
      </c>
      <c r="E790" s="51" t="s">
        <v>59</v>
      </c>
      <c r="F790" s="33">
        <v>1</v>
      </c>
      <c r="G790" s="27">
        <f t="shared" si="16"/>
        <v>-1</v>
      </c>
      <c r="H790" s="28" t="str">
        <f>VLOOKUP(E790,'Cadastro Produtos (kiwkiw)'!C:E,3,0)</f>
        <v>Brinco Oncinha Banho Ouro</v>
      </c>
      <c r="AB790" s="33" t="s">
        <v>428</v>
      </c>
    </row>
    <row r="791" spans="3:28" ht="15" customHeight="1" x14ac:dyDescent="0.4">
      <c r="C791" s="34" t="s">
        <v>6</v>
      </c>
      <c r="D791" s="35">
        <v>45628</v>
      </c>
      <c r="E791" s="51" t="s">
        <v>79</v>
      </c>
      <c r="F791" s="33">
        <v>1</v>
      </c>
      <c r="G791" s="27">
        <f t="shared" si="16"/>
        <v>-1</v>
      </c>
      <c r="H791" s="28" t="str">
        <f>VLOOKUP(E791,'Cadastro Produtos (kiwkiw)'!C:E,3,0)</f>
        <v>Kit Brincos Coracao e Triangulo Banho Ouro</v>
      </c>
      <c r="AB791" s="33" t="s">
        <v>429</v>
      </c>
    </row>
    <row r="792" spans="3:28" ht="15" customHeight="1" x14ac:dyDescent="0.4">
      <c r="C792" s="34" t="s">
        <v>6</v>
      </c>
      <c r="D792" s="35">
        <v>45628</v>
      </c>
      <c r="E792" s="51" t="s">
        <v>42</v>
      </c>
      <c r="F792" s="33">
        <v>1</v>
      </c>
      <c r="G792" s="27">
        <f t="shared" si="16"/>
        <v>-1</v>
      </c>
      <c r="H792" s="28" t="str">
        <f>VLOOKUP(E792,'Cadastro Produtos (kiwkiw)'!C:E,3,0)</f>
        <v>Brinco Arco Banho Ouro</v>
      </c>
      <c r="AB792" s="33" t="s">
        <v>429</v>
      </c>
    </row>
    <row r="793" spans="3:28" ht="15" customHeight="1" x14ac:dyDescent="0.4">
      <c r="C793" s="34" t="s">
        <v>6</v>
      </c>
      <c r="D793" s="35">
        <v>45628</v>
      </c>
      <c r="E793" s="51" t="s">
        <v>102</v>
      </c>
      <c r="F793" s="33">
        <v>1</v>
      </c>
      <c r="G793" s="27">
        <f t="shared" si="16"/>
        <v>-1</v>
      </c>
      <c r="H793" s="28" t="str">
        <f>VLOOKUP(E793,'Cadastro Produtos (kiwkiw)'!C:E,3,0)</f>
        <v>Colar Longo Lua Banho Ouro</v>
      </c>
      <c r="AB793" s="33" t="s">
        <v>429</v>
      </c>
    </row>
    <row r="794" spans="3:28" ht="15" customHeight="1" x14ac:dyDescent="0.4">
      <c r="C794" s="34" t="s">
        <v>6</v>
      </c>
      <c r="D794" s="35">
        <v>45628</v>
      </c>
      <c r="E794" s="51" t="s">
        <v>102</v>
      </c>
      <c r="F794" s="33">
        <v>1</v>
      </c>
      <c r="G794" s="27">
        <f t="shared" si="16"/>
        <v>-1</v>
      </c>
      <c r="H794" s="28" t="str">
        <f>VLOOKUP(E794,'Cadastro Produtos (kiwkiw)'!C:E,3,0)</f>
        <v>Colar Longo Lua Banho Ouro</v>
      </c>
      <c r="AB794" s="33" t="s">
        <v>421</v>
      </c>
    </row>
    <row r="795" spans="3:28" ht="15" customHeight="1" x14ac:dyDescent="0.4">
      <c r="C795" s="34" t="s">
        <v>6</v>
      </c>
      <c r="D795" s="35">
        <v>45628</v>
      </c>
      <c r="E795" s="51" t="s">
        <v>54</v>
      </c>
      <c r="F795" s="33">
        <v>1</v>
      </c>
      <c r="G795" s="27">
        <f t="shared" si="16"/>
        <v>-1</v>
      </c>
      <c r="H795" s="28" t="str">
        <f>VLOOKUP(E795,'Cadastro Produtos (kiwkiw)'!C:E,3,0)</f>
        <v>Brinco Ivy Banho Ouro</v>
      </c>
      <c r="AB795" s="33" t="s">
        <v>429</v>
      </c>
    </row>
    <row r="796" spans="3:28" ht="15" customHeight="1" x14ac:dyDescent="0.4">
      <c r="C796" s="34" t="s">
        <v>6</v>
      </c>
      <c r="D796" s="35">
        <v>45628</v>
      </c>
      <c r="E796" s="51" t="s">
        <v>114</v>
      </c>
      <c r="F796" s="33">
        <v>1</v>
      </c>
      <c r="G796" s="27">
        <f t="shared" si="16"/>
        <v>-1</v>
      </c>
      <c r="H796" s="28" t="str">
        <f>VLOOKUP(E796,'Cadastro Produtos (kiwkiw)'!C:E,3,0)</f>
        <v>Gargantilha Fita Banho Ouro</v>
      </c>
      <c r="AB796" s="33" t="s">
        <v>430</v>
      </c>
    </row>
    <row r="797" spans="3:28" ht="15" customHeight="1" x14ac:dyDescent="0.4">
      <c r="C797" s="34" t="s">
        <v>6</v>
      </c>
      <c r="D797" s="35">
        <v>45628</v>
      </c>
      <c r="E797" s="51" t="s">
        <v>35</v>
      </c>
      <c r="F797" s="33">
        <v>1</v>
      </c>
      <c r="G797" s="27">
        <f t="shared" si="16"/>
        <v>-1</v>
      </c>
      <c r="H797" s="28" t="str">
        <f>VLOOKUP(E797,'Cadastro Produtos (kiwkiw)'!C:E,3,0)</f>
        <v>Argola Classy Banho Ouro</v>
      </c>
      <c r="AB797" s="33" t="s">
        <v>421</v>
      </c>
    </row>
    <row r="798" spans="3:28" ht="15" customHeight="1" x14ac:dyDescent="0.4">
      <c r="C798" s="34" t="s">
        <v>6</v>
      </c>
      <c r="D798" s="35">
        <v>45628</v>
      </c>
      <c r="E798" s="51" t="s">
        <v>38</v>
      </c>
      <c r="F798" s="33">
        <v>1</v>
      </c>
      <c r="G798" s="27">
        <f t="shared" si="16"/>
        <v>-1</v>
      </c>
      <c r="H798" s="28" t="str">
        <f>VLOOKUP(E798,'Cadastro Produtos (kiwkiw)'!C:E,3,0)</f>
        <v>Argolinha Click Dots Banho Ouro</v>
      </c>
      <c r="AB798" s="33" t="s">
        <v>426</v>
      </c>
    </row>
    <row r="799" spans="3:28" ht="15" customHeight="1" x14ac:dyDescent="0.4">
      <c r="C799" s="34" t="s">
        <v>6</v>
      </c>
      <c r="D799" s="35">
        <v>45628</v>
      </c>
      <c r="E799" s="51" t="s">
        <v>76</v>
      </c>
      <c r="F799" s="33">
        <v>1</v>
      </c>
      <c r="G799" s="27">
        <f t="shared" si="16"/>
        <v>-1</v>
      </c>
      <c r="H799" s="28" t="str">
        <f>VLOOKUP(E799,'Cadastro Produtos (kiwkiw)'!C:E,3,0)</f>
        <v>EarHook Dots Banho Ouro</v>
      </c>
      <c r="AB799" s="33" t="s">
        <v>426</v>
      </c>
    </row>
    <row r="800" spans="3:28" ht="15" customHeight="1" x14ac:dyDescent="0.4">
      <c r="C800" s="34" t="s">
        <v>6</v>
      </c>
      <c r="D800" s="35">
        <v>45628</v>
      </c>
      <c r="E800" s="51" t="s">
        <v>63</v>
      </c>
      <c r="F800" s="33">
        <v>1</v>
      </c>
      <c r="G800" s="27">
        <f t="shared" si="16"/>
        <v>-1</v>
      </c>
      <c r="H800" s="28" t="str">
        <f>VLOOKUP(E800,'Cadastro Produtos (kiwkiw)'!C:E,3,0)</f>
        <v>Brinco Spike Banho Ouro</v>
      </c>
      <c r="AB800" s="33" t="s">
        <v>426</v>
      </c>
    </row>
    <row r="801" spans="2:28" ht="15" customHeight="1" x14ac:dyDescent="0.4">
      <c r="B801" s="43">
        <v>45629.424502314818</v>
      </c>
      <c r="C801" s="34" t="s">
        <v>6</v>
      </c>
      <c r="D801" s="35">
        <v>45629</v>
      </c>
      <c r="E801" s="51" t="s">
        <v>29</v>
      </c>
      <c r="F801" s="33">
        <v>1</v>
      </c>
      <c r="G801" s="27">
        <f t="shared" si="16"/>
        <v>-1</v>
      </c>
      <c r="H801" s="28" t="str">
        <f>VLOOKUP(E801,'Cadastro Produtos (kiwkiw)'!C:E,3,0)</f>
        <v>Argola Click Diamond Banho Ouro</v>
      </c>
      <c r="AB801" s="33" t="s">
        <v>431</v>
      </c>
    </row>
    <row r="802" spans="2:28" ht="15" customHeight="1" x14ac:dyDescent="0.4">
      <c r="C802" s="34" t="s">
        <v>6</v>
      </c>
      <c r="D802" s="35">
        <v>45629</v>
      </c>
      <c r="E802" s="51" t="s">
        <v>28</v>
      </c>
      <c r="F802" s="33">
        <v>1</v>
      </c>
      <c r="G802" s="27">
        <f t="shared" si="16"/>
        <v>-1</v>
      </c>
      <c r="H802" s="28" t="str">
        <f>VLOOKUP(E802,'Cadastro Produtos (kiwkiw)'!C:E,3,0)</f>
        <v>Argola Click Pequena Banho Ouro</v>
      </c>
      <c r="AB802" s="33" t="s">
        <v>432</v>
      </c>
    </row>
    <row r="803" spans="2:28" ht="15" customHeight="1" x14ac:dyDescent="0.4">
      <c r="C803" s="34" t="s">
        <v>6</v>
      </c>
      <c r="D803" s="35">
        <v>45629</v>
      </c>
      <c r="E803" s="51" t="s">
        <v>92</v>
      </c>
      <c r="F803" s="33">
        <v>1</v>
      </c>
      <c r="G803" s="27">
        <f t="shared" si="16"/>
        <v>-1</v>
      </c>
      <c r="H803" s="28" t="str">
        <f>VLOOKUP(E803,'Cadastro Produtos (kiwkiw)'!C:E,3,0)</f>
        <v>Colar Coracao Banho Ouro</v>
      </c>
      <c r="AB803" s="33" t="s">
        <v>432</v>
      </c>
    </row>
    <row r="804" spans="2:28" ht="15" customHeight="1" x14ac:dyDescent="0.4">
      <c r="B804" s="43">
        <v>45630.426319444443</v>
      </c>
      <c r="C804" s="34" t="s">
        <v>6</v>
      </c>
      <c r="D804" s="35">
        <v>45630</v>
      </c>
      <c r="E804" s="51" t="s">
        <v>117</v>
      </c>
      <c r="F804" s="33">
        <v>1</v>
      </c>
      <c r="G804" s="27">
        <f t="shared" si="16"/>
        <v>-1</v>
      </c>
      <c r="H804" s="28" t="str">
        <f>VLOOKUP(E804,'Cadastro Produtos (kiwkiw)'!C:E,3,0)</f>
        <v>Gargantilha Minimal Banho Ouro</v>
      </c>
      <c r="AB804" s="33" t="s">
        <v>433</v>
      </c>
    </row>
    <row r="805" spans="2:28" ht="15" customHeight="1" x14ac:dyDescent="0.4">
      <c r="B805" s="43">
        <v>45635.42523148148</v>
      </c>
      <c r="C805" s="34" t="s">
        <v>6</v>
      </c>
      <c r="D805" s="35">
        <v>45635</v>
      </c>
      <c r="E805" s="51" t="s">
        <v>59</v>
      </c>
      <c r="F805" s="33">
        <v>1</v>
      </c>
      <c r="G805" s="27">
        <f t="shared" si="16"/>
        <v>-1</v>
      </c>
      <c r="H805" s="28" t="str">
        <f>VLOOKUP(E805,'Cadastro Produtos (kiwkiw)'!C:E,3,0)</f>
        <v>Brinco Oncinha Banho Ouro</v>
      </c>
      <c r="AB805" s="33" t="s">
        <v>434</v>
      </c>
    </row>
    <row r="806" spans="2:28" ht="15" customHeight="1" x14ac:dyDescent="0.4">
      <c r="C806" s="34" t="s">
        <v>6</v>
      </c>
      <c r="D806" s="35">
        <v>45635</v>
      </c>
      <c r="E806" s="51" t="s">
        <v>68</v>
      </c>
      <c r="F806" s="33">
        <v>1</v>
      </c>
      <c r="G806" s="27">
        <f t="shared" si="16"/>
        <v>-1</v>
      </c>
      <c r="H806" s="28" t="str">
        <f>VLOOKUP(E806,'Cadastro Produtos (kiwkiw)'!C:E,3,0)</f>
        <v>Brinco Tubinho Medio Banho Ouro</v>
      </c>
      <c r="AB806" s="33" t="s">
        <v>435</v>
      </c>
    </row>
    <row r="807" spans="2:28" ht="15" customHeight="1" x14ac:dyDescent="0.4">
      <c r="B807" s="43">
        <v>45637.432476851849</v>
      </c>
      <c r="C807" s="34" t="s">
        <v>6</v>
      </c>
      <c r="D807" s="35">
        <v>45636</v>
      </c>
      <c r="E807" s="51" t="s">
        <v>16</v>
      </c>
      <c r="F807" s="33">
        <v>19</v>
      </c>
      <c r="G807" s="27">
        <f t="shared" si="16"/>
        <v>-19</v>
      </c>
      <c r="H807" s="28" t="str">
        <f>VLOOKUP(E807,'Cadastro Produtos (kiwkiw)'!C:E,3,0)</f>
        <v>Anel Etta Banho Ouro</v>
      </c>
      <c r="AB807" s="33" t="s">
        <v>436</v>
      </c>
    </row>
    <row r="808" spans="2:28" ht="15" customHeight="1" x14ac:dyDescent="0.4">
      <c r="C808" s="34" t="s">
        <v>6</v>
      </c>
      <c r="D808" s="35">
        <v>45636</v>
      </c>
      <c r="E808" s="51" t="s">
        <v>22</v>
      </c>
      <c r="F808" s="33">
        <v>10</v>
      </c>
      <c r="G808" s="27">
        <f t="shared" si="16"/>
        <v>-10</v>
      </c>
      <c r="H808" s="28" t="str">
        <f>VLOOKUP(E808,'Cadastro Produtos (kiwkiw)'!C:E,3,0)</f>
        <v>Argola Bold Grande Banho Ouro</v>
      </c>
      <c r="AB808" s="33" t="s">
        <v>436</v>
      </c>
    </row>
    <row r="809" spans="2:28" ht="15" customHeight="1" x14ac:dyDescent="0.4">
      <c r="C809" s="34" t="s">
        <v>6</v>
      </c>
      <c r="D809" s="35">
        <v>45636</v>
      </c>
      <c r="E809" s="51" t="s">
        <v>24</v>
      </c>
      <c r="F809" s="33">
        <v>14</v>
      </c>
      <c r="G809" s="27">
        <f t="shared" si="16"/>
        <v>-14</v>
      </c>
      <c r="H809" s="28" t="str">
        <f>VLOOKUP(E809,'Cadastro Produtos (kiwkiw)'!C:E,3,0)</f>
        <v>Argola Bold Pequena Banho Ouro</v>
      </c>
      <c r="AB809" s="33" t="s">
        <v>436</v>
      </c>
    </row>
    <row r="810" spans="2:28" ht="15" customHeight="1" x14ac:dyDescent="0.4">
      <c r="C810" s="34" t="s">
        <v>6</v>
      </c>
      <c r="D810" s="35">
        <v>45636</v>
      </c>
      <c r="E810" s="51" t="s">
        <v>35</v>
      </c>
      <c r="F810" s="33">
        <v>28</v>
      </c>
      <c r="G810" s="27">
        <f t="shared" si="16"/>
        <v>-28</v>
      </c>
      <c r="H810" s="28" t="str">
        <f>VLOOKUP(E810,'Cadastro Produtos (kiwkiw)'!C:E,3,0)</f>
        <v>Argola Classy Banho Ouro</v>
      </c>
      <c r="AB810" s="33" t="s">
        <v>436</v>
      </c>
    </row>
    <row r="811" spans="2:28" ht="15" customHeight="1" x14ac:dyDescent="0.4">
      <c r="C811" s="34" t="s">
        <v>6</v>
      </c>
      <c r="D811" s="35">
        <v>45636</v>
      </c>
      <c r="E811" s="51" t="s">
        <v>36</v>
      </c>
      <c r="F811" s="33">
        <v>16</v>
      </c>
      <c r="G811" s="27">
        <f t="shared" si="16"/>
        <v>-16</v>
      </c>
      <c r="H811" s="28" t="str">
        <f>VLOOKUP(E811,'Cadastro Produtos (kiwkiw)'!C:E,3,0)</f>
        <v>Argola Classy Prateada</v>
      </c>
      <c r="AB811" s="33" t="s">
        <v>436</v>
      </c>
    </row>
    <row r="812" spans="2:28" ht="15" customHeight="1" x14ac:dyDescent="0.4">
      <c r="C812" s="34" t="s">
        <v>6</v>
      </c>
      <c r="D812" s="35">
        <v>45636</v>
      </c>
      <c r="E812" s="51" t="s">
        <v>29</v>
      </c>
      <c r="F812" s="33">
        <v>10</v>
      </c>
      <c r="G812" s="27">
        <f t="shared" si="16"/>
        <v>-10</v>
      </c>
      <c r="H812" s="28" t="str">
        <f>VLOOKUP(E812,'Cadastro Produtos (kiwkiw)'!C:E,3,0)</f>
        <v>Argola Click Diamond Banho Ouro</v>
      </c>
      <c r="AB812" s="33" t="s">
        <v>436</v>
      </c>
    </row>
    <row r="813" spans="2:28" ht="15" customHeight="1" x14ac:dyDescent="0.4">
      <c r="C813" s="34" t="s">
        <v>6</v>
      </c>
      <c r="D813" s="35">
        <v>45636</v>
      </c>
      <c r="E813" s="51" t="s">
        <v>26</v>
      </c>
      <c r="F813" s="33">
        <v>4</v>
      </c>
      <c r="G813" s="27">
        <f t="shared" si="16"/>
        <v>-4</v>
      </c>
      <c r="H813" s="28" t="str">
        <f>VLOOKUP(E813,'Cadastro Produtos (kiwkiw)'!C:E,3,0)</f>
        <v>Argola Click Grande Banho Ouro</v>
      </c>
      <c r="AB813" s="33" t="s">
        <v>436</v>
      </c>
    </row>
    <row r="814" spans="2:28" ht="15" customHeight="1" x14ac:dyDescent="0.4">
      <c r="C814" s="34" t="s">
        <v>6</v>
      </c>
      <c r="D814" s="35">
        <v>45636</v>
      </c>
      <c r="E814" s="51" t="s">
        <v>27</v>
      </c>
      <c r="F814" s="33">
        <v>6</v>
      </c>
      <c r="G814" s="27">
        <f t="shared" si="16"/>
        <v>-6</v>
      </c>
      <c r="H814" s="28" t="str">
        <f>VLOOKUP(E814,'Cadastro Produtos (kiwkiw)'!C:E,3,0)</f>
        <v>Argola Click Media Banho Ouro</v>
      </c>
      <c r="AB814" s="33" t="s">
        <v>436</v>
      </c>
    </row>
    <row r="815" spans="2:28" ht="15" customHeight="1" x14ac:dyDescent="0.4">
      <c r="C815" s="34" t="s">
        <v>6</v>
      </c>
      <c r="D815" s="35">
        <v>45636</v>
      </c>
      <c r="E815" s="51" t="s">
        <v>28</v>
      </c>
      <c r="F815" s="33">
        <v>6</v>
      </c>
      <c r="G815" s="27">
        <f t="shared" si="16"/>
        <v>-6</v>
      </c>
      <c r="H815" s="28" t="str">
        <f>VLOOKUP(E815,'Cadastro Produtos (kiwkiw)'!C:E,3,0)</f>
        <v>Argola Click Pequena Banho Ouro</v>
      </c>
      <c r="AB815" s="33" t="s">
        <v>436</v>
      </c>
    </row>
    <row r="816" spans="2:28" ht="15" customHeight="1" x14ac:dyDescent="0.4">
      <c r="C816" s="34" t="s">
        <v>6</v>
      </c>
      <c r="D816" s="35">
        <v>45636</v>
      </c>
      <c r="E816" s="51" t="s">
        <v>32</v>
      </c>
      <c r="F816" s="33">
        <v>29</v>
      </c>
      <c r="G816" s="27">
        <f t="shared" si="16"/>
        <v>-29</v>
      </c>
      <c r="H816" s="28" t="str">
        <f>VLOOKUP(E816,'Cadastro Produtos (kiwkiw)'!C:E,3,0)</f>
        <v>Argola Redonda Basic Banho Ouro</v>
      </c>
      <c r="AB816" s="33" t="s">
        <v>436</v>
      </c>
    </row>
    <row r="817" spans="2:28" ht="15" customHeight="1" x14ac:dyDescent="0.4">
      <c r="C817" s="34" t="s">
        <v>6</v>
      </c>
      <c r="D817" s="35">
        <v>45636</v>
      </c>
      <c r="E817" s="51" t="s">
        <v>31</v>
      </c>
      <c r="F817" s="33">
        <v>24</v>
      </c>
      <c r="G817" s="27">
        <f t="shared" si="16"/>
        <v>-24</v>
      </c>
      <c r="H817" s="28" t="str">
        <f>VLOOKUP(E817,'Cadastro Produtos (kiwkiw)'!C:E,3,0)</f>
        <v>Argola Reta Basic Banho Ouro</v>
      </c>
      <c r="AB817" s="33" t="s">
        <v>436</v>
      </c>
    </row>
    <row r="818" spans="2:28" ht="15" customHeight="1" x14ac:dyDescent="0.4">
      <c r="C818" s="34" t="s">
        <v>6</v>
      </c>
      <c r="D818" s="35">
        <v>45636</v>
      </c>
      <c r="E818" s="51" t="s">
        <v>33</v>
      </c>
      <c r="F818" s="33">
        <v>14</v>
      </c>
      <c r="G818" s="27">
        <f t="shared" si="16"/>
        <v>-14</v>
      </c>
      <c r="H818" s="28" t="str">
        <f>VLOOKUP(E818,'Cadastro Produtos (kiwkiw)'!C:E,3,0)</f>
        <v>Argola Torcida Banho Ouro</v>
      </c>
      <c r="AB818" s="33" t="s">
        <v>436</v>
      </c>
    </row>
    <row r="819" spans="2:28" ht="15" customHeight="1" x14ac:dyDescent="0.4">
      <c r="C819" s="34" t="s">
        <v>6</v>
      </c>
      <c r="D819" s="35">
        <v>45636</v>
      </c>
      <c r="E819" s="51" t="s">
        <v>34</v>
      </c>
      <c r="F819" s="33">
        <v>4</v>
      </c>
      <c r="G819" s="27">
        <f t="shared" si="16"/>
        <v>-4</v>
      </c>
      <c r="H819" s="28" t="str">
        <f>VLOOKUP(E819,'Cadastro Produtos (kiwkiw)'!C:E,3,0)</f>
        <v>Argola Tripla Banho Ouro</v>
      </c>
      <c r="AB819" s="33" t="s">
        <v>436</v>
      </c>
    </row>
    <row r="820" spans="2:28" ht="15" customHeight="1" x14ac:dyDescent="0.4">
      <c r="C820" s="34" t="s">
        <v>6</v>
      </c>
      <c r="D820" s="35">
        <v>45636</v>
      </c>
      <c r="E820" s="51" t="s">
        <v>37</v>
      </c>
      <c r="F820" s="33">
        <v>8</v>
      </c>
      <c r="G820" s="27">
        <f t="shared" si="16"/>
        <v>-8</v>
      </c>
      <c r="H820" s="28" t="str">
        <f>VLOOKUP(E820,'Cadastro Produtos (kiwkiw)'!C:E,3,0)</f>
        <v>Argola Wave Banho Ouro</v>
      </c>
      <c r="AB820" s="33" t="s">
        <v>436</v>
      </c>
    </row>
    <row r="821" spans="2:28" ht="15" customHeight="1" x14ac:dyDescent="0.4">
      <c r="C821" s="34" t="s">
        <v>6</v>
      </c>
      <c r="D821" s="35">
        <v>45636</v>
      </c>
      <c r="E821" s="51" t="s">
        <v>38</v>
      </c>
      <c r="F821" s="33">
        <v>16</v>
      </c>
      <c r="G821" s="27">
        <f t="shared" si="16"/>
        <v>-16</v>
      </c>
      <c r="H821" s="28" t="str">
        <f>VLOOKUP(E821,'Cadastro Produtos (kiwkiw)'!C:E,3,0)</f>
        <v>Argolinha Click Dots Banho Ouro</v>
      </c>
      <c r="AB821" s="33" t="s">
        <v>436</v>
      </c>
    </row>
    <row r="822" spans="2:28" ht="15" customHeight="1" x14ac:dyDescent="0.4">
      <c r="C822" s="34" t="s">
        <v>6</v>
      </c>
      <c r="D822" s="35">
        <v>45636</v>
      </c>
      <c r="E822" s="51" t="s">
        <v>39</v>
      </c>
      <c r="F822" s="33">
        <v>6</v>
      </c>
      <c r="G822" s="27">
        <f t="shared" si="16"/>
        <v>-6</v>
      </c>
      <c r="H822" s="28" t="str">
        <f>VLOOKUP(E822,'Cadastro Produtos (kiwkiw)'!C:E,3,0)</f>
        <v>Argolinha Click Torcida Banho Ouro</v>
      </c>
      <c r="AB822" s="33" t="s">
        <v>436</v>
      </c>
    </row>
    <row r="823" spans="2:28" ht="15" customHeight="1" x14ac:dyDescent="0.4">
      <c r="B823" s="43"/>
      <c r="C823" s="34" t="s">
        <v>6</v>
      </c>
      <c r="D823" s="35">
        <v>45636</v>
      </c>
      <c r="E823" s="51" t="s">
        <v>40</v>
      </c>
      <c r="F823" s="33">
        <v>5</v>
      </c>
      <c r="G823" s="27">
        <f t="shared" si="16"/>
        <v>-5</v>
      </c>
      <c r="H823" s="28" t="str">
        <f>VLOOKUP(E823,'Cadastro Produtos (kiwkiw)'!C:E,3,0)</f>
        <v>Argolinha Folha Banho Ouro</v>
      </c>
      <c r="AB823" s="33" t="s">
        <v>436</v>
      </c>
    </row>
    <row r="824" spans="2:28" ht="15" customHeight="1" x14ac:dyDescent="0.4">
      <c r="C824" s="34" t="s">
        <v>6</v>
      </c>
      <c r="D824" s="35">
        <v>45636</v>
      </c>
      <c r="E824" s="51" t="s">
        <v>41</v>
      </c>
      <c r="F824" s="33">
        <v>8</v>
      </c>
      <c r="G824" s="27">
        <f t="shared" si="16"/>
        <v>-8</v>
      </c>
      <c r="H824" s="28" t="str">
        <f>VLOOKUP(E824,'Cadastro Produtos (kiwkiw)'!C:E,3,0)</f>
        <v>Argolinha Sol Banho Ouro</v>
      </c>
      <c r="AB824" s="33" t="s">
        <v>436</v>
      </c>
    </row>
    <row r="825" spans="2:28" ht="15" customHeight="1" x14ac:dyDescent="0.4">
      <c r="C825" s="34" t="s">
        <v>6</v>
      </c>
      <c r="D825" s="35">
        <v>45636</v>
      </c>
      <c r="E825" s="51" t="s">
        <v>120</v>
      </c>
      <c r="F825" s="33">
        <v>10</v>
      </c>
      <c r="G825" s="27">
        <f t="shared" si="16"/>
        <v>-10</v>
      </c>
      <c r="H825" s="28" t="str">
        <f>VLOOKUP(E825,'Cadastro Produtos (kiwkiw)'!C:E,3,0)</f>
        <v>Bracelete Ivy Banho Ouro</v>
      </c>
      <c r="AB825" s="33" t="s">
        <v>436</v>
      </c>
    </row>
    <row r="826" spans="2:28" ht="15" customHeight="1" x14ac:dyDescent="0.4">
      <c r="C826" s="34" t="s">
        <v>6</v>
      </c>
      <c r="D826" s="35">
        <v>45636</v>
      </c>
      <c r="E826" s="51" t="s">
        <v>119</v>
      </c>
      <c r="F826" s="33">
        <v>5</v>
      </c>
      <c r="G826" s="27">
        <f t="shared" si="16"/>
        <v>-5</v>
      </c>
      <c r="H826" s="28" t="str">
        <f>VLOOKUP(E826,'Cadastro Produtos (kiwkiw)'!C:E,3,0)</f>
        <v>Bracelete Line Banho Ouro</v>
      </c>
      <c r="AB826" s="33" t="s">
        <v>436</v>
      </c>
    </row>
    <row r="827" spans="2:28" ht="15" customHeight="1" x14ac:dyDescent="0.4">
      <c r="C827" s="34" t="s">
        <v>6</v>
      </c>
      <c r="D827" s="35">
        <v>45636</v>
      </c>
      <c r="E827" s="51" t="s">
        <v>122</v>
      </c>
      <c r="F827" s="33">
        <v>8</v>
      </c>
      <c r="G827" s="27">
        <f t="shared" si="16"/>
        <v>-8</v>
      </c>
      <c r="H827" s="28" t="str">
        <f>VLOOKUP(E827,'Cadastro Produtos (kiwkiw)'!C:E,3,0)</f>
        <v>Bracelete Torcido Banho Ouro</v>
      </c>
      <c r="AB827" s="33" t="s">
        <v>436</v>
      </c>
    </row>
    <row r="828" spans="2:28" ht="15" customHeight="1" x14ac:dyDescent="0.4">
      <c r="C828" s="34" t="s">
        <v>6</v>
      </c>
      <c r="D828" s="35">
        <v>45636</v>
      </c>
      <c r="E828" s="51" t="s">
        <v>42</v>
      </c>
      <c r="F828" s="33">
        <v>6</v>
      </c>
      <c r="G828" s="27">
        <f t="shared" si="16"/>
        <v>-6</v>
      </c>
      <c r="H828" s="28" t="str">
        <f>VLOOKUP(E828,'Cadastro Produtos (kiwkiw)'!C:E,3,0)</f>
        <v>Brinco Arco Banho Ouro</v>
      </c>
      <c r="AB828" s="33" t="s">
        <v>436</v>
      </c>
    </row>
    <row r="829" spans="2:28" ht="15" customHeight="1" x14ac:dyDescent="0.4">
      <c r="C829" s="34" t="s">
        <v>6</v>
      </c>
      <c r="D829" s="35">
        <v>45636</v>
      </c>
      <c r="E829" s="51" t="s">
        <v>44</v>
      </c>
      <c r="F829" s="33">
        <v>6</v>
      </c>
      <c r="G829" s="27">
        <f t="shared" si="16"/>
        <v>-6</v>
      </c>
      <c r="H829" s="28" t="str">
        <f>VLOOKUP(E829,'Cadastro Produtos (kiwkiw)'!C:E,3,0)</f>
        <v>Brinco Bossa Banho Ouro</v>
      </c>
      <c r="AB829" s="33" t="s">
        <v>436</v>
      </c>
    </row>
    <row r="830" spans="2:28" ht="15" customHeight="1" x14ac:dyDescent="0.4">
      <c r="C830" s="34" t="s">
        <v>6</v>
      </c>
      <c r="D830" s="35">
        <v>45636</v>
      </c>
      <c r="E830" s="51" t="s">
        <v>45</v>
      </c>
      <c r="F830" s="33">
        <v>15</v>
      </c>
      <c r="G830" s="27">
        <f t="shared" si="16"/>
        <v>-15</v>
      </c>
      <c r="H830" s="28" t="str">
        <f>VLOOKUP(E830,'Cadastro Produtos (kiwkiw)'!C:E,3,0)</f>
        <v>Brinco Bubble Medio Banho Ouro</v>
      </c>
      <c r="AB830" s="33" t="s">
        <v>436</v>
      </c>
    </row>
    <row r="831" spans="2:28" ht="15" customHeight="1" x14ac:dyDescent="0.4">
      <c r="C831" s="34" t="s">
        <v>6</v>
      </c>
      <c r="D831" s="35">
        <v>45636</v>
      </c>
      <c r="E831" s="51" t="s">
        <v>46</v>
      </c>
      <c r="F831" s="33">
        <v>12</v>
      </c>
      <c r="G831" s="27">
        <f t="shared" si="16"/>
        <v>-12</v>
      </c>
      <c r="H831" s="28" t="str">
        <f>VLOOKUP(E831,'Cadastro Produtos (kiwkiw)'!C:E,3,0)</f>
        <v>Brinco Bubble Pequeno Banho Ouro</v>
      </c>
      <c r="AB831" s="33" t="s">
        <v>436</v>
      </c>
    </row>
    <row r="832" spans="2:28" ht="15" customHeight="1" x14ac:dyDescent="0.4">
      <c r="C832" s="34" t="s">
        <v>6</v>
      </c>
      <c r="D832" s="35">
        <v>45636</v>
      </c>
      <c r="E832" s="51" t="s">
        <v>47</v>
      </c>
      <c r="F832" s="33">
        <v>15</v>
      </c>
      <c r="G832" s="27">
        <f t="shared" si="16"/>
        <v>-15</v>
      </c>
      <c r="H832" s="28" t="str">
        <f>VLOOKUP(E832,'Cadastro Produtos (kiwkiw)'!C:E,3,0)</f>
        <v>Brinco Circle Banho Ouro</v>
      </c>
      <c r="AB832" s="33" t="s">
        <v>436</v>
      </c>
    </row>
    <row r="833" spans="2:28" ht="15" customHeight="1" x14ac:dyDescent="0.4">
      <c r="C833" s="34" t="s">
        <v>6</v>
      </c>
      <c r="D833" s="35">
        <v>45636</v>
      </c>
      <c r="E833" s="51" t="s">
        <v>49</v>
      </c>
      <c r="F833" s="33">
        <v>22</v>
      </c>
      <c r="G833" s="27">
        <f t="shared" si="16"/>
        <v>-22</v>
      </c>
      <c r="H833" s="28" t="str">
        <f>VLOOKUP(E833,'Cadastro Produtos (kiwkiw)'!C:E,3,0)</f>
        <v>Brinco Coracao Diamond Banho Ouro</v>
      </c>
      <c r="AB833" s="33" t="s">
        <v>436</v>
      </c>
    </row>
    <row r="834" spans="2:28" ht="15" customHeight="1" x14ac:dyDescent="0.4">
      <c r="B834" s="43"/>
      <c r="C834" s="34" t="s">
        <v>6</v>
      </c>
      <c r="D834" s="35">
        <v>45636</v>
      </c>
      <c r="E834" s="51" t="s">
        <v>50</v>
      </c>
      <c r="F834" s="33">
        <v>16</v>
      </c>
      <c r="G834" s="27">
        <f t="shared" si="16"/>
        <v>-16</v>
      </c>
      <c r="H834" s="28" t="str">
        <f>VLOOKUP(E834,'Cadastro Produtos (kiwkiw)'!C:E,3,0)</f>
        <v>Brinco Elos Banho Ouro</v>
      </c>
      <c r="AB834" s="33" t="s">
        <v>436</v>
      </c>
    </row>
    <row r="835" spans="2:28" ht="15" customHeight="1" x14ac:dyDescent="0.4">
      <c r="C835" s="34" t="s">
        <v>6</v>
      </c>
      <c r="D835" s="35">
        <v>45636</v>
      </c>
      <c r="E835" s="51" t="s">
        <v>70</v>
      </c>
      <c r="F835" s="33">
        <v>21</v>
      </c>
      <c r="G835" s="27">
        <f t="shared" si="16"/>
        <v>-21</v>
      </c>
      <c r="H835" s="28" t="str">
        <f>VLOOKUP(E835,'Cadastro Produtos (kiwkiw)'!C:E,3,0)</f>
        <v>Brinco Geometrico Banho Ouro</v>
      </c>
      <c r="AB835" s="33" t="s">
        <v>436</v>
      </c>
    </row>
    <row r="836" spans="2:28" ht="15" customHeight="1" x14ac:dyDescent="0.4">
      <c r="C836" s="34" t="s">
        <v>6</v>
      </c>
      <c r="D836" s="35">
        <v>45636</v>
      </c>
      <c r="E836" s="51" t="s">
        <v>48</v>
      </c>
      <c r="F836" s="33">
        <v>14</v>
      </c>
      <c r="G836" s="27">
        <f t="shared" si="16"/>
        <v>-14</v>
      </c>
      <c r="H836" s="28" t="str">
        <f>VLOOKUP(E836,'Cadastro Produtos (kiwkiw)'!C:E,3,0)</f>
        <v>Brinco Gota Click Banho Ouro</v>
      </c>
      <c r="AB836" s="33" t="s">
        <v>436</v>
      </c>
    </row>
    <row r="837" spans="2:28" ht="15" customHeight="1" x14ac:dyDescent="0.4">
      <c r="C837" s="34" t="s">
        <v>6</v>
      </c>
      <c r="D837" s="35">
        <v>45636</v>
      </c>
      <c r="E837" s="51" t="s">
        <v>53</v>
      </c>
      <c r="F837" s="33">
        <v>16</v>
      </c>
      <c r="G837" s="27">
        <f t="shared" si="16"/>
        <v>-16</v>
      </c>
      <c r="H837" s="28" t="str">
        <f>VLOOKUP(E837,'Cadastro Produtos (kiwkiw)'!C:E,3,0)</f>
        <v>Brinco Infinito Banho Ouro</v>
      </c>
      <c r="AB837" s="33" t="s">
        <v>436</v>
      </c>
    </row>
    <row r="838" spans="2:28" ht="15" customHeight="1" x14ac:dyDescent="0.4">
      <c r="C838" s="34" t="s">
        <v>6</v>
      </c>
      <c r="D838" s="35">
        <v>45636</v>
      </c>
      <c r="E838" s="51" t="s">
        <v>54</v>
      </c>
      <c r="F838" s="33">
        <v>18</v>
      </c>
      <c r="G838" s="27">
        <f t="shared" si="16"/>
        <v>-18</v>
      </c>
      <c r="H838" s="28" t="str">
        <f>VLOOKUP(E838,'Cadastro Produtos (kiwkiw)'!C:E,3,0)</f>
        <v>Brinco Ivy Banho Ouro</v>
      </c>
      <c r="AB838" s="33" t="s">
        <v>436</v>
      </c>
    </row>
    <row r="839" spans="2:28" ht="15" customHeight="1" x14ac:dyDescent="0.4">
      <c r="C839" s="34" t="s">
        <v>6</v>
      </c>
      <c r="D839" s="35">
        <v>45636</v>
      </c>
      <c r="E839" s="51" t="s">
        <v>55</v>
      </c>
      <c r="F839" s="33">
        <v>11</v>
      </c>
      <c r="G839" s="27">
        <f t="shared" si="16"/>
        <v>-11</v>
      </c>
      <c r="H839" s="28" t="str">
        <f>VLOOKUP(E839,'Cadastro Produtos (kiwkiw)'!C:E,3,0)</f>
        <v>Brinco Ivy Prateado</v>
      </c>
      <c r="AB839" s="33" t="s">
        <v>436</v>
      </c>
    </row>
    <row r="840" spans="2:28" ht="15" customHeight="1" x14ac:dyDescent="0.4">
      <c r="B840" s="43"/>
      <c r="C840" s="34" t="s">
        <v>6</v>
      </c>
      <c r="D840" s="35">
        <v>45636</v>
      </c>
      <c r="E840" s="51" t="s">
        <v>52</v>
      </c>
      <c r="F840" s="33">
        <v>8</v>
      </c>
      <c r="G840" s="27">
        <f t="shared" si="16"/>
        <v>-8</v>
      </c>
      <c r="H840" s="28" t="str">
        <f>VLOOKUP(E840,'Cadastro Produtos (kiwkiw)'!C:E,3,0)</f>
        <v>Brinco Leque Banho Ouro</v>
      </c>
      <c r="AB840" s="33" t="s">
        <v>436</v>
      </c>
    </row>
    <row r="841" spans="2:28" ht="15" customHeight="1" x14ac:dyDescent="0.4">
      <c r="C841" s="34" t="s">
        <v>6</v>
      </c>
      <c r="D841" s="35">
        <v>45636</v>
      </c>
      <c r="E841" s="51" t="s">
        <v>43</v>
      </c>
      <c r="F841" s="33">
        <v>12</v>
      </c>
      <c r="G841" s="27">
        <f t="shared" si="16"/>
        <v>-12</v>
      </c>
      <c r="H841" s="28" t="str">
        <f>VLOOKUP(E841,'Cadastro Produtos (kiwkiw)'!C:E,3,0)</f>
        <v>Brinco Mini Aviao Banho Ouro</v>
      </c>
      <c r="AB841" s="33" t="s">
        <v>436</v>
      </c>
    </row>
    <row r="842" spans="2:28" ht="15" customHeight="1" x14ac:dyDescent="0.4">
      <c r="C842" s="34" t="s">
        <v>6</v>
      </c>
      <c r="D842" s="35">
        <v>45636</v>
      </c>
      <c r="E842" s="51" t="s">
        <v>51</v>
      </c>
      <c r="F842" s="33">
        <v>12</v>
      </c>
      <c r="G842" s="27">
        <f t="shared" si="16"/>
        <v>-12</v>
      </c>
      <c r="H842" s="28" t="str">
        <f>VLOOKUP(E842,'Cadastro Produtos (kiwkiw)'!C:E,3,0)</f>
        <v>Brinco Mini Flecha Banho Ouro</v>
      </c>
      <c r="AB842" s="33" t="s">
        <v>436</v>
      </c>
    </row>
    <row r="843" spans="2:28" ht="15" customHeight="1" x14ac:dyDescent="0.4">
      <c r="B843" s="43"/>
      <c r="C843" s="34" t="s">
        <v>6</v>
      </c>
      <c r="D843" s="35">
        <v>45636</v>
      </c>
      <c r="E843" s="51" t="s">
        <v>56</v>
      </c>
      <c r="F843" s="33">
        <v>15</v>
      </c>
      <c r="G843" s="27">
        <f t="shared" si="16"/>
        <v>-15</v>
      </c>
      <c r="H843" s="28" t="str">
        <f>VLOOKUP(E843,'Cadastro Produtos (kiwkiw)'!C:E,3,0)</f>
        <v>Brinco Mini Raio Banho Ouro</v>
      </c>
      <c r="AB843" s="33" t="s">
        <v>436</v>
      </c>
    </row>
    <row r="844" spans="2:28" ht="15" customHeight="1" x14ac:dyDescent="0.4">
      <c r="C844" s="34" t="s">
        <v>6</v>
      </c>
      <c r="D844" s="35">
        <v>45636</v>
      </c>
      <c r="E844" s="51" t="s">
        <v>57</v>
      </c>
      <c r="F844" s="33">
        <v>14</v>
      </c>
      <c r="G844" s="27">
        <f t="shared" si="16"/>
        <v>-14</v>
      </c>
      <c r="H844" s="28" t="str">
        <f>VLOOKUP(E844,'Cadastro Produtos (kiwkiw)'!C:E,3,0)</f>
        <v>Brinco Mini Raio Prateado</v>
      </c>
      <c r="AB844" s="33" t="s">
        <v>436</v>
      </c>
    </row>
    <row r="845" spans="2:28" ht="15" customHeight="1" x14ac:dyDescent="0.4">
      <c r="C845" s="34" t="s">
        <v>6</v>
      </c>
      <c r="D845" s="35">
        <v>45636</v>
      </c>
      <c r="E845" s="51" t="s">
        <v>58</v>
      </c>
      <c r="F845" s="33">
        <v>5</v>
      </c>
      <c r="G845" s="27">
        <f t="shared" si="16"/>
        <v>-5</v>
      </c>
      <c r="H845" s="28" t="str">
        <f>VLOOKUP(E845,'Cadastro Produtos (kiwkiw)'!C:E,3,0)</f>
        <v>Brinco Mini Triangulo Prateado</v>
      </c>
      <c r="AB845" s="33" t="s">
        <v>436</v>
      </c>
    </row>
    <row r="846" spans="2:28" ht="15" customHeight="1" x14ac:dyDescent="0.4">
      <c r="C846" s="34" t="s">
        <v>6</v>
      </c>
      <c r="D846" s="35">
        <v>45636</v>
      </c>
      <c r="E846" s="51" t="s">
        <v>59</v>
      </c>
      <c r="F846" s="33">
        <v>18</v>
      </c>
      <c r="G846" s="27">
        <f t="shared" si="16"/>
        <v>-18</v>
      </c>
      <c r="H846" s="28" t="str">
        <f>VLOOKUP(E846,'Cadastro Produtos (kiwkiw)'!C:E,3,0)</f>
        <v>Brinco Oncinha Banho Ouro</v>
      </c>
      <c r="AB846" s="33" t="s">
        <v>436</v>
      </c>
    </row>
    <row r="847" spans="2:28" ht="15" customHeight="1" x14ac:dyDescent="0.4">
      <c r="C847" s="34" t="s">
        <v>6</v>
      </c>
      <c r="D847" s="35">
        <v>45636</v>
      </c>
      <c r="E847" s="51" t="s">
        <v>60</v>
      </c>
      <c r="F847" s="33">
        <v>12</v>
      </c>
      <c r="G847" s="27">
        <f t="shared" si="16"/>
        <v>-12</v>
      </c>
      <c r="H847" s="28" t="str">
        <f>VLOOKUP(E847,'Cadastro Produtos (kiwkiw)'!C:E,3,0)</f>
        <v>Brinco Oncinha Prateado</v>
      </c>
      <c r="AB847" s="33" t="s">
        <v>436</v>
      </c>
    </row>
    <row r="848" spans="2:28" ht="15" customHeight="1" x14ac:dyDescent="0.4">
      <c r="C848" s="34" t="s">
        <v>6</v>
      </c>
      <c r="D848" s="35">
        <v>45636</v>
      </c>
      <c r="E848" s="51" t="s">
        <v>61</v>
      </c>
      <c r="F848" s="33">
        <v>12</v>
      </c>
      <c r="G848" s="27">
        <f t="shared" si="16"/>
        <v>-12</v>
      </c>
      <c r="H848" s="28" t="str">
        <f>VLOOKUP(E848,'Cadastro Produtos (kiwkiw)'!C:E,3,0)</f>
        <v>Brinco Setas Banho Ouro</v>
      </c>
      <c r="AB848" s="33" t="s">
        <v>436</v>
      </c>
    </row>
    <row r="849" spans="2:28" ht="15" customHeight="1" x14ac:dyDescent="0.4">
      <c r="B849" s="43"/>
      <c r="C849" s="34" t="s">
        <v>6</v>
      </c>
      <c r="D849" s="35">
        <v>45636</v>
      </c>
      <c r="E849" s="51" t="s">
        <v>62</v>
      </c>
      <c r="F849" s="33">
        <v>12</v>
      </c>
      <c r="G849" s="27">
        <f t="shared" si="16"/>
        <v>-12</v>
      </c>
      <c r="H849" s="28" t="str">
        <f>VLOOKUP(E849,'Cadastro Produtos (kiwkiw)'!C:E,3,0)</f>
        <v>Brinco Sol Banho Ouro</v>
      </c>
      <c r="AB849" s="33" t="s">
        <v>436</v>
      </c>
    </row>
    <row r="850" spans="2:28" ht="15" customHeight="1" x14ac:dyDescent="0.4">
      <c r="C850" s="34" t="s">
        <v>6</v>
      </c>
      <c r="D850" s="35">
        <v>45636</v>
      </c>
      <c r="E850" s="51" t="s">
        <v>64</v>
      </c>
      <c r="F850" s="33">
        <v>23</v>
      </c>
      <c r="G850" s="27">
        <f t="shared" si="16"/>
        <v>-23</v>
      </c>
      <c r="H850" s="28" t="str">
        <f>VLOOKUP(E850,'Cadastro Produtos (kiwkiw)'!C:E,3,0)</f>
        <v>Brinco Spike Prateado</v>
      </c>
      <c r="AB850" s="33" t="s">
        <v>436</v>
      </c>
    </row>
    <row r="851" spans="2:28" ht="15" customHeight="1" x14ac:dyDescent="0.4">
      <c r="C851" s="34" t="s">
        <v>6</v>
      </c>
      <c r="D851" s="35">
        <v>45636</v>
      </c>
      <c r="E851" s="51" t="s">
        <v>65</v>
      </c>
      <c r="F851" s="33">
        <v>8</v>
      </c>
      <c r="G851" s="27">
        <f t="shared" ref="G851:G914" si="17">IF(C851="Entrada",F851,-F851)</f>
        <v>-8</v>
      </c>
      <c r="H851" s="28" t="str">
        <f>VLOOKUP(E851,'Cadastro Produtos (kiwkiw)'!C:E,3,0)</f>
        <v>Brinco Spring Banho Ouro</v>
      </c>
      <c r="AB851" s="33" t="s">
        <v>436</v>
      </c>
    </row>
    <row r="852" spans="2:28" ht="15" customHeight="1" x14ac:dyDescent="0.4">
      <c r="C852" s="34" t="s">
        <v>6</v>
      </c>
      <c r="D852" s="35">
        <v>45636</v>
      </c>
      <c r="E852" s="51" t="s">
        <v>66</v>
      </c>
      <c r="F852" s="33">
        <v>8</v>
      </c>
      <c r="G852" s="27">
        <f t="shared" si="17"/>
        <v>-8</v>
      </c>
      <c r="H852" s="28" t="str">
        <f>VLOOKUP(E852,'Cadastro Produtos (kiwkiw)'!C:E,3,0)</f>
        <v>Brinco Square Banho Ouro</v>
      </c>
      <c r="AB852" s="33" t="s">
        <v>436</v>
      </c>
    </row>
    <row r="853" spans="2:28" ht="15" customHeight="1" x14ac:dyDescent="0.4">
      <c r="C853" s="34" t="s">
        <v>6</v>
      </c>
      <c r="D853" s="35">
        <v>45636</v>
      </c>
      <c r="E853" s="51" t="s">
        <v>67</v>
      </c>
      <c r="F853" s="33">
        <v>18</v>
      </c>
      <c r="G853" s="27">
        <f t="shared" si="17"/>
        <v>-18</v>
      </c>
      <c r="H853" s="28" t="str">
        <f>VLOOKUP(E853,'Cadastro Produtos (kiwkiw)'!C:E,3,0)</f>
        <v>Brinco Tubinho Grande Banho Ouro</v>
      </c>
      <c r="AB853" s="33" t="s">
        <v>436</v>
      </c>
    </row>
    <row r="854" spans="2:28" ht="15" customHeight="1" x14ac:dyDescent="0.4">
      <c r="C854" s="34" t="s">
        <v>6</v>
      </c>
      <c r="D854" s="35">
        <v>45636</v>
      </c>
      <c r="E854" s="51" t="s">
        <v>68</v>
      </c>
      <c r="F854" s="33">
        <v>18</v>
      </c>
      <c r="G854" s="27">
        <f t="shared" si="17"/>
        <v>-18</v>
      </c>
      <c r="H854" s="28" t="str">
        <f>VLOOKUP(E854,'Cadastro Produtos (kiwkiw)'!C:E,3,0)</f>
        <v>Brinco Tubinho Medio Banho Ouro</v>
      </c>
      <c r="AB854" s="33" t="s">
        <v>436</v>
      </c>
    </row>
    <row r="855" spans="2:28" ht="15" customHeight="1" x14ac:dyDescent="0.4">
      <c r="C855" s="34" t="s">
        <v>6</v>
      </c>
      <c r="D855" s="35">
        <v>45636</v>
      </c>
      <c r="E855" s="51" t="s">
        <v>69</v>
      </c>
      <c r="F855" s="33">
        <v>18</v>
      </c>
      <c r="G855" s="27">
        <f t="shared" si="17"/>
        <v>-18</v>
      </c>
      <c r="H855" s="28" t="str">
        <f>VLOOKUP(E855,'Cadastro Produtos (kiwkiw)'!C:E,3,0)</f>
        <v>Brinco Tubinho Pequeno Banho Ouro</v>
      </c>
      <c r="AB855" s="33" t="s">
        <v>436</v>
      </c>
    </row>
    <row r="856" spans="2:28" ht="15" customHeight="1" x14ac:dyDescent="0.4">
      <c r="C856" s="34" t="s">
        <v>6</v>
      </c>
      <c r="D856" s="35">
        <v>45636</v>
      </c>
      <c r="E856" s="51" t="s">
        <v>92</v>
      </c>
      <c r="F856" s="33">
        <v>31</v>
      </c>
      <c r="G856" s="27">
        <f t="shared" si="17"/>
        <v>-31</v>
      </c>
      <c r="H856" s="28" t="str">
        <f>VLOOKUP(E856,'Cadastro Produtos (kiwkiw)'!C:E,3,0)</f>
        <v>Colar Coracao Banho Ouro</v>
      </c>
      <c r="AB856" s="33" t="s">
        <v>436</v>
      </c>
    </row>
    <row r="857" spans="2:28" ht="15" customHeight="1" x14ac:dyDescent="0.4">
      <c r="C857" s="34" t="s">
        <v>6</v>
      </c>
      <c r="D857" s="35">
        <v>45636</v>
      </c>
      <c r="E857" s="51" t="s">
        <v>93</v>
      </c>
      <c r="F857" s="33">
        <v>23</v>
      </c>
      <c r="G857" s="27">
        <f t="shared" si="17"/>
        <v>-23</v>
      </c>
      <c r="H857" s="28" t="str">
        <f>VLOOKUP(E857,'Cadastro Produtos (kiwkiw)'!C:E,3,0)</f>
        <v>Colar Coracao Prateado</v>
      </c>
      <c r="AB857" s="33" t="s">
        <v>436</v>
      </c>
    </row>
    <row r="858" spans="2:28" ht="15" customHeight="1" x14ac:dyDescent="0.4">
      <c r="C858" s="34" t="s">
        <v>6</v>
      </c>
      <c r="D858" s="35">
        <v>45636</v>
      </c>
      <c r="E858" s="51" t="s">
        <v>110</v>
      </c>
      <c r="F858" s="33">
        <v>8</v>
      </c>
      <c r="G858" s="27">
        <f t="shared" si="17"/>
        <v>-8</v>
      </c>
      <c r="H858" s="28" t="str">
        <f>VLOOKUP(E858,'Cadastro Produtos (kiwkiw)'!C:E,3,0)</f>
        <v>Colar Corrente Groumet Banho Ouro</v>
      </c>
      <c r="AB858" s="33" t="s">
        <v>436</v>
      </c>
    </row>
    <row r="859" spans="2:28" ht="15" customHeight="1" x14ac:dyDescent="0.4">
      <c r="C859" s="34" t="s">
        <v>6</v>
      </c>
      <c r="D859" s="35">
        <v>45636</v>
      </c>
      <c r="E859" s="51" t="s">
        <v>111</v>
      </c>
      <c r="F859" s="33">
        <v>8</v>
      </c>
      <c r="G859" s="27">
        <f t="shared" si="17"/>
        <v>-8</v>
      </c>
      <c r="H859" s="28" t="str">
        <f>VLOOKUP(E859,'Cadastro Produtos (kiwkiw)'!C:E,3,0)</f>
        <v>Colar Corrente Groumet Prateada</v>
      </c>
      <c r="AB859" s="33" t="s">
        <v>436</v>
      </c>
    </row>
    <row r="860" spans="2:28" ht="15" customHeight="1" x14ac:dyDescent="0.4">
      <c r="C860" s="34" t="s">
        <v>6</v>
      </c>
      <c r="D860" s="35">
        <v>45636</v>
      </c>
      <c r="E860" s="51" t="s">
        <v>89</v>
      </c>
      <c r="F860" s="33">
        <v>12</v>
      </c>
      <c r="G860" s="27">
        <f t="shared" si="17"/>
        <v>-12</v>
      </c>
      <c r="H860" s="28" t="str">
        <f>VLOOKUP(E860,'Cadastro Produtos (kiwkiw)'!C:E,3,0)</f>
        <v>Colar Dot Banho Ouro</v>
      </c>
      <c r="AB860" s="33" t="s">
        <v>436</v>
      </c>
    </row>
    <row r="861" spans="2:28" ht="15" customHeight="1" x14ac:dyDescent="0.4">
      <c r="C861" s="34" t="s">
        <v>6</v>
      </c>
      <c r="D861" s="35">
        <v>45636</v>
      </c>
      <c r="E861" s="51" t="s">
        <v>90</v>
      </c>
      <c r="F861" s="33">
        <v>16</v>
      </c>
      <c r="G861" s="27">
        <f t="shared" si="17"/>
        <v>-16</v>
      </c>
      <c r="H861" s="28" t="str">
        <f>VLOOKUP(E861,'Cadastro Produtos (kiwkiw)'!C:E,3,0)</f>
        <v>Colar Dot Prateado</v>
      </c>
      <c r="AB861" s="33" t="s">
        <v>436</v>
      </c>
    </row>
    <row r="862" spans="2:28" ht="15" customHeight="1" x14ac:dyDescent="0.4">
      <c r="C862" s="34" t="s">
        <v>6</v>
      </c>
      <c r="D862" s="35">
        <v>45636</v>
      </c>
      <c r="E862" s="51" t="s">
        <v>94</v>
      </c>
      <c r="F862" s="33">
        <v>6</v>
      </c>
      <c r="G862" s="27">
        <f t="shared" si="17"/>
        <v>-6</v>
      </c>
      <c r="H862" s="28" t="str">
        <f>VLOOKUP(E862,'Cadastro Produtos (kiwkiw)'!C:E,3,0)</f>
        <v>Colar Duplo Dots Banho Ouro</v>
      </c>
      <c r="AB862" s="33" t="s">
        <v>436</v>
      </c>
    </row>
    <row r="863" spans="2:28" ht="15" customHeight="1" x14ac:dyDescent="0.4">
      <c r="C863" s="34" t="s">
        <v>6</v>
      </c>
      <c r="D863" s="35">
        <v>45636</v>
      </c>
      <c r="E863" s="51" t="s">
        <v>95</v>
      </c>
      <c r="F863" s="33">
        <v>16</v>
      </c>
      <c r="G863" s="27">
        <f t="shared" si="17"/>
        <v>-16</v>
      </c>
      <c r="H863" s="28" t="str">
        <f>VLOOKUP(E863,'Cadastro Produtos (kiwkiw)'!C:E,3,0)</f>
        <v>Colar Duplo Dots Prateado</v>
      </c>
      <c r="AB863" s="33" t="s">
        <v>436</v>
      </c>
    </row>
    <row r="864" spans="2:28" ht="15" customHeight="1" x14ac:dyDescent="0.4">
      <c r="C864" s="34" t="s">
        <v>6</v>
      </c>
      <c r="D864" s="35">
        <v>45636</v>
      </c>
      <c r="E864" s="51" t="s">
        <v>96</v>
      </c>
      <c r="F864" s="33">
        <v>12</v>
      </c>
      <c r="G864" s="27">
        <f t="shared" si="17"/>
        <v>-12</v>
      </c>
      <c r="H864" s="28" t="str">
        <f>VLOOKUP(E864,'Cadastro Produtos (kiwkiw)'!C:E,3,0)</f>
        <v>Colar Duplo Minimal Banho Ouro</v>
      </c>
      <c r="AB864" s="33" t="s">
        <v>436</v>
      </c>
    </row>
    <row r="865" spans="2:28" ht="15" customHeight="1" x14ac:dyDescent="0.4">
      <c r="C865" s="34" t="s">
        <v>6</v>
      </c>
      <c r="D865" s="35">
        <v>45636</v>
      </c>
      <c r="E865" s="51" t="s">
        <v>97</v>
      </c>
      <c r="F865" s="33">
        <v>8</v>
      </c>
      <c r="G865" s="27">
        <f t="shared" si="17"/>
        <v>-8</v>
      </c>
      <c r="H865" s="28" t="str">
        <f>VLOOKUP(E865,'Cadastro Produtos (kiwkiw)'!C:E,3,0)</f>
        <v>Colar Duplo Minimal Prateado</v>
      </c>
      <c r="AB865" s="33" t="s">
        <v>436</v>
      </c>
    </row>
    <row r="866" spans="2:28" ht="15" customHeight="1" x14ac:dyDescent="0.4">
      <c r="B866" s="43"/>
      <c r="C866" s="34" t="s">
        <v>6</v>
      </c>
      <c r="D866" s="35">
        <v>45636</v>
      </c>
      <c r="E866" s="51" t="s">
        <v>99</v>
      </c>
      <c r="F866" s="33">
        <v>16</v>
      </c>
      <c r="G866" s="27">
        <f t="shared" si="17"/>
        <v>-16</v>
      </c>
      <c r="H866" s="28" t="str">
        <f>VLOOKUP(E866,'Cadastro Produtos (kiwkiw)'!C:E,3,0)</f>
        <v>Colar Esfera Medio Banho Ouro</v>
      </c>
      <c r="AB866" s="33" t="s">
        <v>436</v>
      </c>
    </row>
    <row r="867" spans="2:28" ht="15" customHeight="1" x14ac:dyDescent="0.4">
      <c r="C867" s="34" t="s">
        <v>6</v>
      </c>
      <c r="D867" s="35">
        <v>45636</v>
      </c>
      <c r="E867" s="51" t="s">
        <v>100</v>
      </c>
      <c r="F867" s="33">
        <v>19</v>
      </c>
      <c r="G867" s="27">
        <f t="shared" si="17"/>
        <v>-19</v>
      </c>
      <c r="H867" s="28" t="str">
        <f>VLOOKUP(E867,'Cadastro Produtos (kiwkiw)'!C:E,3,0)</f>
        <v>Colar Esfera Pequeno Banho Ouro</v>
      </c>
      <c r="AB867" s="33" t="s">
        <v>436</v>
      </c>
    </row>
    <row r="868" spans="2:28" ht="15" customHeight="1" x14ac:dyDescent="0.4">
      <c r="C868" s="34" t="s">
        <v>6</v>
      </c>
      <c r="D868" s="35">
        <v>45636</v>
      </c>
      <c r="E868" s="51" t="s">
        <v>103</v>
      </c>
      <c r="F868" s="33">
        <v>10</v>
      </c>
      <c r="G868" s="27">
        <f t="shared" si="17"/>
        <v>-10</v>
      </c>
      <c r="H868" s="28" t="str">
        <f>VLOOKUP(E868,'Cadastro Produtos (kiwkiw)'!C:E,3,0)</f>
        <v>Colar Ivy Banho Ouro</v>
      </c>
      <c r="AB868" s="33" t="s">
        <v>436</v>
      </c>
    </row>
    <row r="869" spans="2:28" ht="15" customHeight="1" x14ac:dyDescent="0.4">
      <c r="C869" s="34" t="s">
        <v>6</v>
      </c>
      <c r="D869" s="35">
        <v>45636</v>
      </c>
      <c r="E869" s="51" t="s">
        <v>104</v>
      </c>
      <c r="F869" s="33">
        <v>15</v>
      </c>
      <c r="G869" s="27">
        <f t="shared" si="17"/>
        <v>-15</v>
      </c>
      <c r="H869" s="28" t="str">
        <f>VLOOKUP(E869,'Cadastro Produtos (kiwkiw)'!C:E,3,0)</f>
        <v>Colar Ivy Prateado</v>
      </c>
      <c r="AB869" s="33" t="s">
        <v>436</v>
      </c>
    </row>
    <row r="870" spans="2:28" ht="15" customHeight="1" x14ac:dyDescent="0.4">
      <c r="C870" s="34" t="s">
        <v>6</v>
      </c>
      <c r="D870" s="35">
        <v>45636</v>
      </c>
      <c r="E870" s="51" t="s">
        <v>108</v>
      </c>
      <c r="F870" s="33">
        <v>20</v>
      </c>
      <c r="G870" s="27">
        <f t="shared" si="17"/>
        <v>-20</v>
      </c>
      <c r="H870" s="28" t="str">
        <f>VLOOKUP(E870,'Cadastro Produtos (kiwkiw)'!C:E,3,0)</f>
        <v>Colar Line Banho Ouro</v>
      </c>
      <c r="AB870" s="33" t="s">
        <v>436</v>
      </c>
    </row>
    <row r="871" spans="2:28" ht="15" customHeight="1" x14ac:dyDescent="0.4">
      <c r="C871" s="34" t="s">
        <v>6</v>
      </c>
      <c r="D871" s="35">
        <v>45636</v>
      </c>
      <c r="E871" s="51" t="s">
        <v>98</v>
      </c>
      <c r="F871" s="33">
        <v>5</v>
      </c>
      <c r="G871" s="27">
        <f t="shared" si="17"/>
        <v>-5</v>
      </c>
      <c r="H871" s="28" t="str">
        <f>VLOOKUP(E871,'Cadastro Produtos (kiwkiw)'!C:E,3,0)</f>
        <v>Colar Longo Esfera Banho Ouro</v>
      </c>
      <c r="AB871" s="33" t="s">
        <v>436</v>
      </c>
    </row>
    <row r="872" spans="2:28" ht="15" customHeight="1" x14ac:dyDescent="0.4">
      <c r="C872" s="34" t="s">
        <v>6</v>
      </c>
      <c r="D872" s="35">
        <v>45636</v>
      </c>
      <c r="E872" s="51" t="s">
        <v>102</v>
      </c>
      <c r="F872" s="33">
        <v>12</v>
      </c>
      <c r="G872" s="27">
        <f t="shared" si="17"/>
        <v>-12</v>
      </c>
      <c r="H872" s="28" t="str">
        <f>VLOOKUP(E872,'Cadastro Produtos (kiwkiw)'!C:E,3,0)</f>
        <v>Colar Longo Lua Banho Ouro</v>
      </c>
      <c r="AB872" s="33" t="s">
        <v>436</v>
      </c>
    </row>
    <row r="873" spans="2:28" ht="15" customHeight="1" x14ac:dyDescent="0.4">
      <c r="C873" s="34" t="s">
        <v>6</v>
      </c>
      <c r="D873" s="35">
        <v>45636</v>
      </c>
      <c r="E873" s="51" t="s">
        <v>101</v>
      </c>
      <c r="F873" s="33">
        <v>10</v>
      </c>
      <c r="G873" s="27">
        <f t="shared" si="17"/>
        <v>-10</v>
      </c>
      <c r="H873" s="28" t="str">
        <f>VLOOKUP(E873,'Cadastro Produtos (kiwkiw)'!C:E,3,0)</f>
        <v>Colar Longo Medalha Coracao Banho Ouro</v>
      </c>
      <c r="AB873" s="33" t="s">
        <v>436</v>
      </c>
    </row>
    <row r="874" spans="2:28" ht="15" customHeight="1" x14ac:dyDescent="0.4">
      <c r="C874" s="34" t="s">
        <v>6</v>
      </c>
      <c r="D874" s="35">
        <v>45636</v>
      </c>
      <c r="E874" s="51" t="s">
        <v>109</v>
      </c>
      <c r="F874" s="33">
        <v>18</v>
      </c>
      <c r="G874" s="27">
        <f t="shared" si="17"/>
        <v>-18</v>
      </c>
      <c r="H874" s="28" t="str">
        <f>VLOOKUP(E874,'Cadastro Produtos (kiwkiw)'!C:E,3,0)</f>
        <v>Colar Palito Banho Ouro</v>
      </c>
      <c r="AB874" s="33" t="s">
        <v>436</v>
      </c>
    </row>
    <row r="875" spans="2:28" ht="15" customHeight="1" x14ac:dyDescent="0.4">
      <c r="C875" s="34" t="s">
        <v>6</v>
      </c>
      <c r="D875" s="35">
        <v>45636</v>
      </c>
      <c r="E875" s="51" t="s">
        <v>105</v>
      </c>
      <c r="F875" s="33">
        <v>9</v>
      </c>
      <c r="G875" s="27">
        <f t="shared" si="17"/>
        <v>-9</v>
      </c>
      <c r="H875" s="28" t="str">
        <f>VLOOKUP(E875,'Cadastro Produtos (kiwkiw)'!C:E,3,0)</f>
        <v>Colar Rosa Banho Ouro</v>
      </c>
      <c r="AB875" s="33" t="s">
        <v>436</v>
      </c>
    </row>
    <row r="876" spans="2:28" ht="15" customHeight="1" x14ac:dyDescent="0.4">
      <c r="C876" s="34" t="s">
        <v>6</v>
      </c>
      <c r="D876" s="35">
        <v>45636</v>
      </c>
      <c r="E876" s="51" t="s">
        <v>91</v>
      </c>
      <c r="F876" s="33">
        <v>9</v>
      </c>
      <c r="G876" s="27">
        <f t="shared" si="17"/>
        <v>-9</v>
      </c>
      <c r="H876" s="28" t="str">
        <f>VLOOKUP(E876,'Cadastro Produtos (kiwkiw)'!C:E,3,0)</f>
        <v>Colar Rosa dos Ventos Banho Ouro</v>
      </c>
      <c r="AB876" s="33" t="s">
        <v>436</v>
      </c>
    </row>
    <row r="877" spans="2:28" ht="15" customHeight="1" x14ac:dyDescent="0.4">
      <c r="C877" s="34" t="s">
        <v>6</v>
      </c>
      <c r="D877" s="35">
        <v>45636</v>
      </c>
      <c r="E877" s="51" t="s">
        <v>106</v>
      </c>
      <c r="F877" s="33">
        <v>7</v>
      </c>
      <c r="G877" s="27">
        <f t="shared" si="17"/>
        <v>-7</v>
      </c>
      <c r="H877" s="28" t="str">
        <f>VLOOKUP(E877,'Cadastro Produtos (kiwkiw)'!C:E,3,0)</f>
        <v>Colar Sao Jorge Banho Ouro</v>
      </c>
      <c r="AB877" s="33" t="s">
        <v>436</v>
      </c>
    </row>
    <row r="878" spans="2:28" ht="15" customHeight="1" x14ac:dyDescent="0.4">
      <c r="C878" s="34" t="s">
        <v>6</v>
      </c>
      <c r="D878" s="35">
        <v>45636</v>
      </c>
      <c r="E878" s="51" t="s">
        <v>107</v>
      </c>
      <c r="F878" s="33">
        <v>6</v>
      </c>
      <c r="G878" s="27">
        <f t="shared" si="17"/>
        <v>-6</v>
      </c>
      <c r="H878" s="28" t="str">
        <f>VLOOKUP(E878,'Cadastro Produtos (kiwkiw)'!C:E,3,0)</f>
        <v>Colar Tina Banho Ouro</v>
      </c>
      <c r="AB878" s="33" t="s">
        <v>436</v>
      </c>
    </row>
    <row r="879" spans="2:28" ht="15" customHeight="1" x14ac:dyDescent="0.4">
      <c r="C879" s="34" t="s">
        <v>6</v>
      </c>
      <c r="D879" s="35">
        <v>45636</v>
      </c>
      <c r="E879" s="51" t="s">
        <v>71</v>
      </c>
      <c r="F879" s="33">
        <v>13</v>
      </c>
      <c r="G879" s="27">
        <f t="shared" si="17"/>
        <v>-13</v>
      </c>
      <c r="H879" s="28" t="str">
        <f>VLOOKUP(E879,'Cadastro Produtos (kiwkiw)'!C:E,3,0)</f>
        <v>Ear Cuff Minimal Banho Ouro</v>
      </c>
      <c r="AB879" s="33" t="s">
        <v>436</v>
      </c>
    </row>
    <row r="880" spans="2:28" ht="15" customHeight="1" x14ac:dyDescent="0.4">
      <c r="C880" s="34" t="s">
        <v>6</v>
      </c>
      <c r="D880" s="35">
        <v>45636</v>
      </c>
      <c r="E880" s="51" t="s">
        <v>75</v>
      </c>
      <c r="F880" s="33">
        <v>11</v>
      </c>
      <c r="G880" s="27">
        <f t="shared" si="17"/>
        <v>-11</v>
      </c>
      <c r="H880" s="28" t="str">
        <f>VLOOKUP(E880,'Cadastro Produtos (kiwkiw)'!C:E,3,0)</f>
        <v>Ear Hook Diamond Banho Ouro</v>
      </c>
      <c r="AB880" s="33" t="s">
        <v>436</v>
      </c>
    </row>
    <row r="881" spans="2:28" ht="15" customHeight="1" x14ac:dyDescent="0.4">
      <c r="C881" s="34" t="s">
        <v>6</v>
      </c>
      <c r="D881" s="35">
        <v>45636</v>
      </c>
      <c r="E881" s="51" t="s">
        <v>76</v>
      </c>
      <c r="F881" s="33">
        <v>18</v>
      </c>
      <c r="G881" s="27">
        <f t="shared" si="17"/>
        <v>-18</v>
      </c>
      <c r="H881" s="28" t="str">
        <f>VLOOKUP(E881,'Cadastro Produtos (kiwkiw)'!C:E,3,0)</f>
        <v>EarHook Dots Banho Ouro</v>
      </c>
      <c r="AB881" s="33" t="s">
        <v>436</v>
      </c>
    </row>
    <row r="882" spans="2:28" ht="15" customHeight="1" x14ac:dyDescent="0.4">
      <c r="C882" s="34" t="s">
        <v>6</v>
      </c>
      <c r="D882" s="35">
        <v>45636</v>
      </c>
      <c r="E882" s="51" t="s">
        <v>74</v>
      </c>
      <c r="F882" s="33">
        <v>15</v>
      </c>
      <c r="G882" s="27">
        <f t="shared" si="17"/>
        <v>-15</v>
      </c>
      <c r="H882" s="28" t="str">
        <f>VLOOKUP(E882,'Cadastro Produtos (kiwkiw)'!C:E,3,0)</f>
        <v>Ear Hook Hug Banho Ouro</v>
      </c>
      <c r="AB882" s="33" t="s">
        <v>436</v>
      </c>
    </row>
    <row r="883" spans="2:28" ht="15" customHeight="1" x14ac:dyDescent="0.4">
      <c r="C883" s="34" t="s">
        <v>6</v>
      </c>
      <c r="D883" s="35">
        <v>45636</v>
      </c>
      <c r="E883" s="51" t="s">
        <v>73</v>
      </c>
      <c r="F883" s="33">
        <v>15</v>
      </c>
      <c r="G883" s="27">
        <f t="shared" si="17"/>
        <v>-15</v>
      </c>
      <c r="H883" s="28" t="str">
        <f>VLOOKUP(E883,'Cadastro Produtos (kiwkiw)'!C:E,3,0)</f>
        <v>Ear Hook Line Prateado</v>
      </c>
      <c r="AB883" s="33" t="s">
        <v>436</v>
      </c>
    </row>
    <row r="884" spans="2:28" ht="15" customHeight="1" x14ac:dyDescent="0.4">
      <c r="C884" s="34" t="s">
        <v>6</v>
      </c>
      <c r="D884" s="35">
        <v>45636</v>
      </c>
      <c r="E884" s="51" t="s">
        <v>72</v>
      </c>
      <c r="F884" s="33">
        <v>15</v>
      </c>
      <c r="G884" s="27">
        <f t="shared" si="17"/>
        <v>-15</v>
      </c>
      <c r="H884" s="28" t="str">
        <f>VLOOKUP(E884,'Cadastro Produtos (kiwkiw)'!C:E,3,0)</f>
        <v>Ear Hook Line Banho Ouro</v>
      </c>
      <c r="AB884" s="33" t="s">
        <v>436</v>
      </c>
    </row>
    <row r="885" spans="2:28" ht="15" customHeight="1" x14ac:dyDescent="0.4">
      <c r="C885" s="34" t="s">
        <v>6</v>
      </c>
      <c r="D885" s="35">
        <v>45636</v>
      </c>
      <c r="E885" s="51" t="s">
        <v>77</v>
      </c>
      <c r="F885" s="33">
        <v>24</v>
      </c>
      <c r="G885" s="27">
        <f t="shared" si="17"/>
        <v>-24</v>
      </c>
      <c r="H885" s="28" t="str">
        <f>VLOOKUP(E885,'Cadastro Produtos (kiwkiw)'!C:E,3,0)</f>
        <v>EarHook Torcido Banho Ouro</v>
      </c>
      <c r="AB885" s="33" t="s">
        <v>436</v>
      </c>
    </row>
    <row r="886" spans="2:28" ht="15" customHeight="1" x14ac:dyDescent="0.4">
      <c r="C886" s="34" t="s">
        <v>6</v>
      </c>
      <c r="D886" s="35">
        <v>45636</v>
      </c>
      <c r="E886" s="51" t="s">
        <v>78</v>
      </c>
      <c r="F886" s="33">
        <v>14</v>
      </c>
      <c r="G886" s="27">
        <f t="shared" si="17"/>
        <v>-14</v>
      </c>
      <c r="H886" s="28" t="str">
        <f>VLOOKUP(E886,'Cadastro Produtos (kiwkiw)'!C:E,3,0)</f>
        <v>EarHook Torcido Prateado</v>
      </c>
      <c r="AB886" s="33" t="s">
        <v>436</v>
      </c>
    </row>
    <row r="887" spans="2:28" ht="15" customHeight="1" x14ac:dyDescent="0.4">
      <c r="C887" s="34" t="s">
        <v>6</v>
      </c>
      <c r="D887" s="35">
        <v>45636</v>
      </c>
      <c r="E887" s="51" t="s">
        <v>116</v>
      </c>
      <c r="F887" s="33">
        <v>23</v>
      </c>
      <c r="G887" s="27">
        <f t="shared" si="17"/>
        <v>-23</v>
      </c>
      <c r="H887" s="28" t="str">
        <f>VLOOKUP(E887,'Cadastro Produtos (kiwkiw)'!C:E,3,0)</f>
        <v>Gargantilha Dots Banho Ouro</v>
      </c>
      <c r="AB887" s="33" t="s">
        <v>436</v>
      </c>
    </row>
    <row r="888" spans="2:28" ht="15" customHeight="1" x14ac:dyDescent="0.4">
      <c r="C888" s="34" t="s">
        <v>6</v>
      </c>
      <c r="D888" s="35">
        <v>45636</v>
      </c>
      <c r="E888" s="51" t="s">
        <v>112</v>
      </c>
      <c r="F888" s="33">
        <v>13</v>
      </c>
      <c r="G888" s="27">
        <f t="shared" si="17"/>
        <v>-13</v>
      </c>
      <c r="H888" s="28" t="str">
        <f>VLOOKUP(E888,'Cadastro Produtos (kiwkiw)'!C:E,3,0)</f>
        <v>Gargantilha Escama Banho Ouro</v>
      </c>
      <c r="AB888" s="33" t="s">
        <v>436</v>
      </c>
    </row>
    <row r="889" spans="2:28" ht="15" customHeight="1" x14ac:dyDescent="0.4">
      <c r="B889" s="43"/>
      <c r="C889" s="34" t="s">
        <v>6</v>
      </c>
      <c r="D889" s="35">
        <v>45636</v>
      </c>
      <c r="E889" s="51" t="s">
        <v>113</v>
      </c>
      <c r="F889" s="33">
        <v>6</v>
      </c>
      <c r="G889" s="27">
        <f t="shared" si="17"/>
        <v>-6</v>
      </c>
      <c r="H889" s="28" t="str">
        <f>VLOOKUP(E889,'Cadastro Produtos (kiwkiw)'!C:E,3,0)</f>
        <v>Gargantilha Escama Prateada</v>
      </c>
      <c r="AB889" s="33" t="s">
        <v>436</v>
      </c>
    </row>
    <row r="890" spans="2:28" ht="15" customHeight="1" x14ac:dyDescent="0.4">
      <c r="C890" s="34" t="s">
        <v>6</v>
      </c>
      <c r="D890" s="35">
        <v>45636</v>
      </c>
      <c r="E890" s="51" t="s">
        <v>115</v>
      </c>
      <c r="F890" s="33">
        <v>15</v>
      </c>
      <c r="G890" s="27">
        <f t="shared" si="17"/>
        <v>-15</v>
      </c>
      <c r="H890" s="28" t="str">
        <f>VLOOKUP(E890,'Cadastro Produtos (kiwkiw)'!C:E,3,0)</f>
        <v>Gargantilha Fita Prateada</v>
      </c>
      <c r="AB890" s="33" t="s">
        <v>436</v>
      </c>
    </row>
    <row r="891" spans="2:28" ht="15" customHeight="1" x14ac:dyDescent="0.4">
      <c r="C891" s="34" t="s">
        <v>6</v>
      </c>
      <c r="D891" s="35">
        <v>45636</v>
      </c>
      <c r="E891" s="51" t="s">
        <v>114</v>
      </c>
      <c r="F891" s="33">
        <v>30</v>
      </c>
      <c r="G891" s="27">
        <f t="shared" si="17"/>
        <v>-30</v>
      </c>
      <c r="H891" s="28" t="str">
        <f>VLOOKUP(E891,'Cadastro Produtos (kiwkiw)'!C:E,3,0)</f>
        <v>Gargantilha Fita Banho Ouro</v>
      </c>
      <c r="AB891" s="33" t="s">
        <v>436</v>
      </c>
    </row>
    <row r="892" spans="2:28" ht="15" customHeight="1" x14ac:dyDescent="0.4">
      <c r="C892" s="34" t="s">
        <v>6</v>
      </c>
      <c r="D892" s="35">
        <v>45636</v>
      </c>
      <c r="E892" s="51" t="s">
        <v>118</v>
      </c>
      <c r="F892" s="33">
        <v>24</v>
      </c>
      <c r="G892" s="27">
        <f t="shared" si="17"/>
        <v>-24</v>
      </c>
      <c r="H892" s="28" t="str">
        <f>VLOOKUP(E892,'Cadastro Produtos (kiwkiw)'!C:E,3,0)</f>
        <v>Gargantilha Minimal Prateada</v>
      </c>
      <c r="AB892" s="33" t="s">
        <v>436</v>
      </c>
    </row>
    <row r="893" spans="2:28" ht="15" customHeight="1" x14ac:dyDescent="0.4">
      <c r="C893" s="34" t="s">
        <v>6</v>
      </c>
      <c r="D893" s="35">
        <v>45636</v>
      </c>
      <c r="E893" s="51" t="s">
        <v>117</v>
      </c>
      <c r="F893" s="33">
        <v>40</v>
      </c>
      <c r="G893" s="27">
        <f t="shared" si="17"/>
        <v>-40</v>
      </c>
      <c r="H893" s="28" t="str">
        <f>VLOOKUP(E893,'Cadastro Produtos (kiwkiw)'!C:E,3,0)</f>
        <v>Gargantilha Minimal Banho Ouro</v>
      </c>
      <c r="AB893" s="33" t="s">
        <v>436</v>
      </c>
    </row>
    <row r="894" spans="2:28" ht="15" customHeight="1" x14ac:dyDescent="0.4">
      <c r="C894" s="34" t="s">
        <v>6</v>
      </c>
      <c r="D894" s="35">
        <v>45636</v>
      </c>
      <c r="E894" s="51" t="s">
        <v>79</v>
      </c>
      <c r="F894" s="33">
        <v>18</v>
      </c>
      <c r="G894" s="27">
        <f t="shared" si="17"/>
        <v>-18</v>
      </c>
      <c r="H894" s="28" t="str">
        <f>VLOOKUP(E894,'Cadastro Produtos (kiwkiw)'!C:E,3,0)</f>
        <v>Kit Brincos Coracao e Triangulo Banho Ouro</v>
      </c>
      <c r="AB894" s="33" t="s">
        <v>436</v>
      </c>
    </row>
    <row r="895" spans="2:28" ht="15" customHeight="1" x14ac:dyDescent="0.4">
      <c r="C895" s="34" t="s">
        <v>6</v>
      </c>
      <c r="D895" s="35">
        <v>45636</v>
      </c>
      <c r="E895" s="51" t="s">
        <v>80</v>
      </c>
      <c r="F895" s="33">
        <v>12</v>
      </c>
      <c r="G895" s="27">
        <f t="shared" si="17"/>
        <v>-12</v>
      </c>
      <c r="H895" s="28" t="str">
        <f>VLOOKUP(E895,'Cadastro Produtos (kiwkiw)'!C:E,3,0)</f>
        <v>Meia Argola Croissant Banho Ouro</v>
      </c>
      <c r="AB895" s="33" t="s">
        <v>436</v>
      </c>
    </row>
    <row r="896" spans="2:28" ht="15" customHeight="1" x14ac:dyDescent="0.4">
      <c r="C896" s="34" t="s">
        <v>6</v>
      </c>
      <c r="D896" s="35">
        <v>45636</v>
      </c>
      <c r="E896" s="51" t="s">
        <v>82</v>
      </c>
      <c r="F896" s="33">
        <v>21</v>
      </c>
      <c r="G896" s="27">
        <f t="shared" si="17"/>
        <v>-21</v>
      </c>
      <c r="H896" s="28" t="str">
        <f>VLOOKUP(E896,'Cadastro Produtos (kiwkiw)'!C:E,3,0)</f>
        <v>Meia Argola Diamond Banho Ouro</v>
      </c>
      <c r="AB896" s="33" t="s">
        <v>436</v>
      </c>
    </row>
    <row r="897" spans="2:28" ht="15" customHeight="1" x14ac:dyDescent="0.4">
      <c r="C897" s="34" t="s">
        <v>6</v>
      </c>
      <c r="D897" s="35">
        <v>45636</v>
      </c>
      <c r="E897" s="51" t="s">
        <v>83</v>
      </c>
      <c r="F897" s="33">
        <v>24</v>
      </c>
      <c r="G897" s="27">
        <f t="shared" si="17"/>
        <v>-24</v>
      </c>
      <c r="H897" s="28" t="str">
        <f>VLOOKUP(E897,'Cadastro Produtos (kiwkiw)'!C:E,3,0)</f>
        <v>Mini Argola Classy Banho Ouro</v>
      </c>
      <c r="AB897" s="33" t="s">
        <v>436</v>
      </c>
    </row>
    <row r="898" spans="2:28" ht="15" customHeight="1" x14ac:dyDescent="0.4">
      <c r="C898" s="34" t="s">
        <v>6</v>
      </c>
      <c r="D898" s="35">
        <v>45636</v>
      </c>
      <c r="E898" s="51" t="s">
        <v>84</v>
      </c>
      <c r="F898" s="33">
        <v>17</v>
      </c>
      <c r="G898" s="27">
        <f t="shared" si="17"/>
        <v>-17</v>
      </c>
      <c r="H898" s="28" t="str">
        <f>VLOOKUP(E898,'Cadastro Produtos (kiwkiw)'!C:E,3,0)</f>
        <v>Mini Argola Classy Prateada</v>
      </c>
      <c r="AB898" s="33" t="s">
        <v>436</v>
      </c>
    </row>
    <row r="899" spans="2:28" ht="15" customHeight="1" x14ac:dyDescent="0.4">
      <c r="C899" s="34" t="s">
        <v>6</v>
      </c>
      <c r="D899" s="35">
        <v>45636</v>
      </c>
      <c r="E899" s="51" t="s">
        <v>87</v>
      </c>
      <c r="F899" s="33">
        <v>7</v>
      </c>
      <c r="G899" s="27">
        <f t="shared" si="17"/>
        <v>-7</v>
      </c>
      <c r="H899" s="28" t="str">
        <f>VLOOKUP(E899,'Cadastro Produtos (kiwkiw)'!C:E,3,0)</f>
        <v>Piercing Fake Classy Banho Ouro</v>
      </c>
      <c r="AB899" s="33" t="s">
        <v>436</v>
      </c>
    </row>
    <row r="900" spans="2:28" ht="15" customHeight="1" x14ac:dyDescent="0.4">
      <c r="C900" s="34" t="s">
        <v>6</v>
      </c>
      <c r="D900" s="35">
        <v>45636</v>
      </c>
      <c r="E900" s="51" t="s">
        <v>88</v>
      </c>
      <c r="F900" s="33">
        <v>5</v>
      </c>
      <c r="G900" s="27">
        <f t="shared" si="17"/>
        <v>-5</v>
      </c>
      <c r="H900" s="28" t="str">
        <f>VLOOKUP(E900,'Cadastro Produtos (kiwkiw)'!C:E,3,0)</f>
        <v>Piercing Fake Classy Prateado</v>
      </c>
      <c r="AB900" s="33" t="s">
        <v>436</v>
      </c>
    </row>
    <row r="901" spans="2:28" ht="15" customHeight="1" x14ac:dyDescent="0.4">
      <c r="C901" s="34" t="s">
        <v>6</v>
      </c>
      <c r="D901" s="35">
        <v>45636</v>
      </c>
      <c r="E901" s="51" t="s">
        <v>85</v>
      </c>
      <c r="F901" s="33">
        <v>18</v>
      </c>
      <c r="G901" s="27">
        <f t="shared" si="17"/>
        <v>-18</v>
      </c>
      <c r="H901" s="28" t="str">
        <f>VLOOKUP(E901,'Cadastro Produtos (kiwkiw)'!C:E,3,0)</f>
        <v>Piercing Fake Dots Banho Ouro</v>
      </c>
      <c r="AB901" s="33" t="s">
        <v>436</v>
      </c>
    </row>
    <row r="902" spans="2:28" ht="15" customHeight="1" x14ac:dyDescent="0.4">
      <c r="C902" s="34" t="s">
        <v>6</v>
      </c>
      <c r="D902" s="35">
        <v>45636</v>
      </c>
      <c r="E902" s="51" t="s">
        <v>86</v>
      </c>
      <c r="F902" s="33">
        <v>13</v>
      </c>
      <c r="G902" s="27">
        <f t="shared" si="17"/>
        <v>-13</v>
      </c>
      <c r="H902" s="28" t="str">
        <f>VLOOKUP(E902,'Cadastro Produtos (kiwkiw)'!C:E,3,0)</f>
        <v>Piercing Fake Minimal Banho Ouro</v>
      </c>
      <c r="AB902" s="33" t="s">
        <v>436</v>
      </c>
    </row>
    <row r="903" spans="2:28" ht="15" customHeight="1" x14ac:dyDescent="0.4">
      <c r="C903" s="34" t="s">
        <v>6</v>
      </c>
      <c r="D903" s="35">
        <v>45636</v>
      </c>
      <c r="E903" s="51" t="s">
        <v>123</v>
      </c>
      <c r="F903" s="33">
        <v>8</v>
      </c>
      <c r="G903" s="27">
        <f t="shared" si="17"/>
        <v>-8</v>
      </c>
      <c r="H903" s="28" t="str">
        <f>VLOOKUP(E903,'Cadastro Produtos (kiwkiw)'!C:E,3,0)</f>
        <v>Pulseira Dots Banho Ouro</v>
      </c>
      <c r="AB903" s="33" t="s">
        <v>436</v>
      </c>
    </row>
    <row r="904" spans="2:28" ht="15" customHeight="1" x14ac:dyDescent="0.4">
      <c r="C904" s="34" t="s">
        <v>6</v>
      </c>
      <c r="D904" s="35">
        <v>45636</v>
      </c>
      <c r="E904" s="51" t="s">
        <v>124</v>
      </c>
      <c r="F904" s="33">
        <v>6</v>
      </c>
      <c r="G904" s="27">
        <f t="shared" si="17"/>
        <v>-6</v>
      </c>
      <c r="H904" s="28" t="str">
        <f>VLOOKUP(E904,'Cadastro Produtos (kiwkiw)'!C:E,3,0)</f>
        <v>Pulseira Fita Textura Banho Ouro</v>
      </c>
      <c r="AB904" s="33" t="s">
        <v>436</v>
      </c>
    </row>
    <row r="905" spans="2:28" ht="15" customHeight="1" x14ac:dyDescent="0.4">
      <c r="C905" s="34" t="s">
        <v>6</v>
      </c>
      <c r="D905" s="35">
        <v>45636</v>
      </c>
      <c r="E905" s="51" t="s">
        <v>125</v>
      </c>
      <c r="F905" s="33">
        <v>6</v>
      </c>
      <c r="G905" s="27">
        <f t="shared" si="17"/>
        <v>-6</v>
      </c>
      <c r="H905" s="28" t="str">
        <f>VLOOKUP(E905,'Cadastro Produtos (kiwkiw)'!C:E,3,0)</f>
        <v>Pulseira Groumet Banho Ouro</v>
      </c>
      <c r="AB905" s="33" t="s">
        <v>436</v>
      </c>
    </row>
    <row r="906" spans="2:28" ht="15" customHeight="1" x14ac:dyDescent="0.4">
      <c r="C906" s="34" t="s">
        <v>6</v>
      </c>
      <c r="D906" s="35">
        <v>45636</v>
      </c>
      <c r="E906" s="51" t="s">
        <v>126</v>
      </c>
      <c r="F906" s="33">
        <v>6</v>
      </c>
      <c r="G906" s="27">
        <f t="shared" si="17"/>
        <v>-6</v>
      </c>
      <c r="H906" s="28" t="str">
        <f>VLOOKUP(E906,'Cadastro Produtos (kiwkiw)'!C:E,3,0)</f>
        <v>Pulseira Groumet Prateada</v>
      </c>
      <c r="AB906" s="33" t="s">
        <v>436</v>
      </c>
    </row>
    <row r="907" spans="2:28" ht="15" customHeight="1" x14ac:dyDescent="0.4">
      <c r="C907" s="34" t="s">
        <v>6</v>
      </c>
      <c r="D907" s="35">
        <v>45636</v>
      </c>
      <c r="E907" s="51" t="s">
        <v>127</v>
      </c>
      <c r="F907" s="33">
        <v>14</v>
      </c>
      <c r="G907" s="27">
        <f t="shared" si="17"/>
        <v>-14</v>
      </c>
      <c r="H907" s="28" t="str">
        <f>VLOOKUP(E907,'Cadastro Produtos (kiwkiw)'!C:E,3,0)</f>
        <v>Pulseira Minimal Banho Ouro</v>
      </c>
      <c r="AB907" s="33" t="s">
        <v>436</v>
      </c>
    </row>
    <row r="908" spans="2:28" ht="15" customHeight="1" x14ac:dyDescent="0.4">
      <c r="C908" s="34" t="s">
        <v>6</v>
      </c>
      <c r="D908" s="35">
        <v>45636</v>
      </c>
      <c r="E908" s="51" t="s">
        <v>128</v>
      </c>
      <c r="F908" s="33">
        <v>15</v>
      </c>
      <c r="G908" s="27">
        <f t="shared" si="17"/>
        <v>-15</v>
      </c>
      <c r="H908" s="28" t="str">
        <f>VLOOKUP(E908,'Cadastro Produtos (kiwkiw)'!C:E,3,0)</f>
        <v>Pulseira Minimal Prateada</v>
      </c>
      <c r="AB908" s="33" t="s">
        <v>436</v>
      </c>
    </row>
    <row r="909" spans="2:28" ht="15" customHeight="1" x14ac:dyDescent="0.4">
      <c r="C909" s="34" t="s">
        <v>6</v>
      </c>
      <c r="D909" s="35">
        <v>45636</v>
      </c>
      <c r="E909" s="51" t="s">
        <v>129</v>
      </c>
      <c r="F909" s="33">
        <v>26</v>
      </c>
      <c r="G909" s="27">
        <f t="shared" si="17"/>
        <v>-26</v>
      </c>
      <c r="H909" s="28" t="str">
        <f>VLOOKUP(E909,'Cadastro Produtos (kiwkiw)'!C:E,3,0)</f>
        <v>Pulseira Snake Banho Ouro</v>
      </c>
      <c r="AB909" s="33" t="s">
        <v>436</v>
      </c>
    </row>
    <row r="910" spans="2:28" ht="15" customHeight="1" x14ac:dyDescent="0.4">
      <c r="C910" s="34" t="s">
        <v>6</v>
      </c>
      <c r="D910" s="35">
        <v>45636</v>
      </c>
      <c r="E910" s="51" t="s">
        <v>130</v>
      </c>
      <c r="F910" s="33">
        <v>25</v>
      </c>
      <c r="G910" s="27">
        <f t="shared" si="17"/>
        <v>-25</v>
      </c>
      <c r="H910" s="28" t="str">
        <f>VLOOKUP(E910,'Cadastro Produtos (kiwkiw)'!C:E,3,0)</f>
        <v>Pulseira Snake Prateada</v>
      </c>
      <c r="AB910" s="33" t="s">
        <v>436</v>
      </c>
    </row>
    <row r="911" spans="2:28" ht="15" customHeight="1" x14ac:dyDescent="0.4">
      <c r="B911" s="43">
        <v>45639.398761574077</v>
      </c>
      <c r="C911" s="34" t="s">
        <v>6</v>
      </c>
      <c r="D911" s="35">
        <v>45639</v>
      </c>
      <c r="E911" s="51" t="s">
        <v>102</v>
      </c>
      <c r="F911" s="33">
        <v>1</v>
      </c>
      <c r="G911" s="27">
        <f t="shared" si="17"/>
        <v>-1</v>
      </c>
      <c r="H911" s="28" t="str">
        <f>VLOOKUP(E911,'Cadastro Produtos (kiwkiw)'!C:E,3,0)</f>
        <v>Colar Longo Lua Banho Ouro</v>
      </c>
      <c r="AB911" s="33" t="s">
        <v>437</v>
      </c>
    </row>
    <row r="912" spans="2:28" ht="15" customHeight="1" x14ac:dyDescent="0.4">
      <c r="C912" s="34" t="s">
        <v>6</v>
      </c>
      <c r="D912" s="35">
        <v>45639</v>
      </c>
      <c r="E912" s="51" t="s">
        <v>61</v>
      </c>
      <c r="F912" s="33">
        <v>1</v>
      </c>
      <c r="G912" s="27">
        <f t="shared" si="17"/>
        <v>-1</v>
      </c>
      <c r="H912" s="28" t="str">
        <f>VLOOKUP(E912,'Cadastro Produtos (kiwkiw)'!C:E,3,0)</f>
        <v>Brinco Setas Banho Ouro</v>
      </c>
      <c r="AB912" s="33" t="s">
        <v>438</v>
      </c>
    </row>
    <row r="913" spans="2:28" ht="15" customHeight="1" x14ac:dyDescent="0.4">
      <c r="B913" s="43">
        <v>45642.423368055555</v>
      </c>
      <c r="C913" s="34" t="s">
        <v>6</v>
      </c>
      <c r="D913" s="35">
        <v>45642</v>
      </c>
      <c r="E913" s="51" t="s">
        <v>62</v>
      </c>
      <c r="F913" s="33">
        <v>1</v>
      </c>
      <c r="G913" s="27">
        <f t="shared" si="17"/>
        <v>-1</v>
      </c>
      <c r="H913" s="28" t="str">
        <f>VLOOKUP(E913,'Cadastro Produtos (kiwkiw)'!C:E,3,0)</f>
        <v>Brinco Sol Banho Ouro</v>
      </c>
      <c r="AB913" s="33" t="s">
        <v>439</v>
      </c>
    </row>
    <row r="914" spans="2:28" ht="15" customHeight="1" x14ac:dyDescent="0.4">
      <c r="C914" s="34" t="s">
        <v>6</v>
      </c>
      <c r="D914" s="35">
        <v>45642</v>
      </c>
      <c r="E914" s="51" t="s">
        <v>92</v>
      </c>
      <c r="F914" s="33">
        <v>1</v>
      </c>
      <c r="G914" s="27">
        <f t="shared" si="17"/>
        <v>-1</v>
      </c>
      <c r="H914" s="28" t="str">
        <f>VLOOKUP(E914,'Cadastro Produtos (kiwkiw)'!C:E,3,0)</f>
        <v>Colar Coracao Banho Ouro</v>
      </c>
      <c r="AB914" s="33" t="s">
        <v>439</v>
      </c>
    </row>
    <row r="915" spans="2:28" ht="15" customHeight="1" x14ac:dyDescent="0.4">
      <c r="C915" s="34" t="s">
        <v>6</v>
      </c>
      <c r="D915" s="35">
        <v>45642</v>
      </c>
      <c r="E915" s="51" t="s">
        <v>29</v>
      </c>
      <c r="F915" s="33">
        <v>1</v>
      </c>
      <c r="G915" s="27">
        <f t="shared" ref="G915:G977" si="18">IF(C915="Entrada",F915,-F915)</f>
        <v>-1</v>
      </c>
      <c r="H915" s="28" t="str">
        <f>VLOOKUP(E915,'Cadastro Produtos (kiwkiw)'!C:E,3,0)</f>
        <v>Argola Click Diamond Banho Ouro</v>
      </c>
      <c r="AB915" s="33" t="s">
        <v>440</v>
      </c>
    </row>
    <row r="916" spans="2:28" ht="15" customHeight="1" x14ac:dyDescent="0.4">
      <c r="C916" s="34" t="s">
        <v>6</v>
      </c>
      <c r="D916" s="35">
        <v>45642</v>
      </c>
      <c r="E916" s="51" t="s">
        <v>79</v>
      </c>
      <c r="F916" s="33">
        <v>1</v>
      </c>
      <c r="G916" s="27">
        <f t="shared" si="18"/>
        <v>-1</v>
      </c>
      <c r="H916" s="28" t="str">
        <f>VLOOKUP(E916,'Cadastro Produtos (kiwkiw)'!C:E,3,0)</f>
        <v>Kit Brincos Coracao e Triangulo Banho Ouro</v>
      </c>
      <c r="AB916" s="33" t="s">
        <v>441</v>
      </c>
    </row>
    <row r="917" spans="2:28" ht="15" customHeight="1" x14ac:dyDescent="0.4">
      <c r="B917" s="43">
        <v>45644.425532407404</v>
      </c>
      <c r="C917" s="34" t="s">
        <v>6</v>
      </c>
      <c r="D917" s="35">
        <v>45644</v>
      </c>
      <c r="E917" s="51" t="s">
        <v>117</v>
      </c>
      <c r="F917" s="33">
        <v>1</v>
      </c>
      <c r="G917" s="27">
        <f t="shared" si="18"/>
        <v>-1</v>
      </c>
      <c r="H917" s="28" t="str">
        <f>VLOOKUP(E917,'Cadastro Produtos (kiwkiw)'!C:E,3,0)</f>
        <v>Gargantilha Minimal Banho Ouro</v>
      </c>
      <c r="AB917" s="33" t="s">
        <v>442</v>
      </c>
    </row>
    <row r="918" spans="2:28" ht="15" customHeight="1" x14ac:dyDescent="0.4">
      <c r="C918" s="34" t="s">
        <v>6</v>
      </c>
      <c r="D918" s="35">
        <v>45644</v>
      </c>
      <c r="E918" s="51" t="s">
        <v>114</v>
      </c>
      <c r="F918" s="33">
        <v>1</v>
      </c>
      <c r="G918" s="27">
        <f t="shared" si="18"/>
        <v>-1</v>
      </c>
      <c r="H918" s="28" t="str">
        <f>VLOOKUP(E918,'Cadastro Produtos (kiwkiw)'!C:E,3,0)</f>
        <v>Gargantilha Fita Banho Ouro</v>
      </c>
      <c r="AB918" s="33" t="s">
        <v>442</v>
      </c>
    </row>
    <row r="919" spans="2:28" ht="15" customHeight="1" x14ac:dyDescent="0.4">
      <c r="C919" s="34" t="s">
        <v>6</v>
      </c>
      <c r="D919" s="35">
        <v>45644</v>
      </c>
      <c r="E919" s="51" t="s">
        <v>92</v>
      </c>
      <c r="F919" s="33">
        <v>1</v>
      </c>
      <c r="G919" s="27">
        <f t="shared" si="18"/>
        <v>-1</v>
      </c>
      <c r="H919" s="28" t="str">
        <f>VLOOKUP(E919,'Cadastro Produtos (kiwkiw)'!C:E,3,0)</f>
        <v>Colar Coracao Banho Ouro</v>
      </c>
      <c r="AB919" s="33" t="s">
        <v>443</v>
      </c>
    </row>
    <row r="920" spans="2:28" ht="15" customHeight="1" x14ac:dyDescent="0.4">
      <c r="C920" s="34" t="s">
        <v>6</v>
      </c>
      <c r="D920" s="35">
        <v>45644</v>
      </c>
      <c r="E920" s="51" t="s">
        <v>85</v>
      </c>
      <c r="F920" s="33">
        <v>1</v>
      </c>
      <c r="G920" s="27">
        <f t="shared" si="18"/>
        <v>-1</v>
      </c>
      <c r="H920" s="28" t="str">
        <f>VLOOKUP(E920,'Cadastro Produtos (kiwkiw)'!C:E,3,0)</f>
        <v>Piercing Fake Dots Banho Ouro</v>
      </c>
      <c r="AB920" s="33" t="s">
        <v>443</v>
      </c>
    </row>
    <row r="921" spans="2:28" ht="15" customHeight="1" x14ac:dyDescent="0.4">
      <c r="B921" s="43">
        <v>45645.420555555553</v>
      </c>
      <c r="C921" s="34" t="s">
        <v>6</v>
      </c>
      <c r="D921" s="35">
        <v>45645</v>
      </c>
      <c r="E921" s="51" t="s">
        <v>59</v>
      </c>
      <c r="F921" s="33">
        <v>1</v>
      </c>
      <c r="G921" s="27">
        <f t="shared" si="18"/>
        <v>-1</v>
      </c>
      <c r="H921" s="28" t="str">
        <f>VLOOKUP(E921,'Cadastro Produtos (kiwkiw)'!C:E,3,0)</f>
        <v>Brinco Oncinha Banho Ouro</v>
      </c>
      <c r="AB921" s="33" t="s">
        <v>444</v>
      </c>
    </row>
    <row r="922" spans="2:28" ht="15" customHeight="1" x14ac:dyDescent="0.4">
      <c r="B922" s="43">
        <v>45646.4297337963</v>
      </c>
      <c r="C922" s="34" t="s">
        <v>6</v>
      </c>
      <c r="D922" s="35">
        <v>45646</v>
      </c>
      <c r="E922" s="51" t="s">
        <v>69</v>
      </c>
      <c r="F922" s="33">
        <v>1</v>
      </c>
      <c r="G922" s="27">
        <f t="shared" si="18"/>
        <v>-1</v>
      </c>
      <c r="H922" s="28" t="str">
        <f>VLOOKUP(E922,'Cadastro Produtos (kiwkiw)'!C:E,3,0)</f>
        <v>Brinco Tubinho Pequeno Banho Ouro</v>
      </c>
      <c r="AB922" s="33" t="s">
        <v>445</v>
      </c>
    </row>
    <row r="923" spans="2:28" ht="15" customHeight="1" x14ac:dyDescent="0.4">
      <c r="C923" s="34" t="s">
        <v>6</v>
      </c>
      <c r="D923" s="35">
        <v>45646</v>
      </c>
      <c r="E923" s="51" t="s">
        <v>92</v>
      </c>
      <c r="F923" s="33">
        <v>1</v>
      </c>
      <c r="G923" s="27">
        <f t="shared" si="18"/>
        <v>-1</v>
      </c>
      <c r="H923" s="28" t="str">
        <f>VLOOKUP(E923,'Cadastro Produtos (kiwkiw)'!C:E,3,0)</f>
        <v>Colar Coracao Banho Ouro</v>
      </c>
      <c r="AB923" s="33" t="s">
        <v>446</v>
      </c>
    </row>
    <row r="924" spans="2:28" ht="15" customHeight="1" x14ac:dyDescent="0.4">
      <c r="B924" s="43">
        <v>45659.428553240738</v>
      </c>
      <c r="C924" s="34" t="s">
        <v>6</v>
      </c>
      <c r="D924" s="35">
        <v>45656</v>
      </c>
      <c r="E924" s="51" t="s">
        <v>50</v>
      </c>
      <c r="F924" s="33">
        <v>1</v>
      </c>
      <c r="G924" s="27">
        <f t="shared" si="18"/>
        <v>-1</v>
      </c>
      <c r="H924" s="28" t="str">
        <f>VLOOKUP(E924,'Cadastro Produtos (kiwkiw)'!C:E,3,0)</f>
        <v>Brinco Elos Banho Ouro</v>
      </c>
      <c r="AB924" s="33" t="s">
        <v>447</v>
      </c>
    </row>
    <row r="925" spans="2:28" ht="15" customHeight="1" x14ac:dyDescent="0.4">
      <c r="C925" s="34" t="s">
        <v>6</v>
      </c>
      <c r="D925" s="35">
        <v>45659</v>
      </c>
      <c r="E925" s="51" t="s">
        <v>29</v>
      </c>
      <c r="F925" s="33">
        <v>1</v>
      </c>
      <c r="G925" s="27">
        <f t="shared" si="18"/>
        <v>-1</v>
      </c>
      <c r="H925" s="28" t="str">
        <f>VLOOKUP(E925,'Cadastro Produtos (kiwkiw)'!C:E,3,0)</f>
        <v>Argola Click Diamond Banho Ouro</v>
      </c>
      <c r="AB925" s="33" t="s">
        <v>448</v>
      </c>
    </row>
    <row r="926" spans="2:28" ht="15" customHeight="1" x14ac:dyDescent="0.4">
      <c r="C926" s="34" t="s">
        <v>6</v>
      </c>
      <c r="D926" s="35">
        <v>45659</v>
      </c>
      <c r="E926" s="51" t="s">
        <v>51</v>
      </c>
      <c r="F926" s="33">
        <v>1</v>
      </c>
      <c r="G926" s="27">
        <f t="shared" si="18"/>
        <v>-1</v>
      </c>
      <c r="H926" s="28" t="str">
        <f>VLOOKUP(E926,'Cadastro Produtos (kiwkiw)'!C:E,3,0)</f>
        <v>Brinco Mini Flecha Banho Ouro</v>
      </c>
      <c r="AB926" s="33" t="s">
        <v>448</v>
      </c>
    </row>
    <row r="927" spans="2:28" ht="15" customHeight="1" x14ac:dyDescent="0.4">
      <c r="C927" s="34" t="s">
        <v>6</v>
      </c>
      <c r="D927" s="35">
        <v>45659</v>
      </c>
      <c r="E927" s="51" t="s">
        <v>60</v>
      </c>
      <c r="F927" s="33">
        <v>1</v>
      </c>
      <c r="G927" s="27">
        <f t="shared" si="18"/>
        <v>-1</v>
      </c>
      <c r="H927" s="28" t="str">
        <f>VLOOKUP(E927,'Cadastro Produtos (kiwkiw)'!C:E,3,0)</f>
        <v>Brinco Oncinha Prateado</v>
      </c>
      <c r="AB927" s="33" t="s">
        <v>448</v>
      </c>
    </row>
    <row r="928" spans="2:28" ht="15" customHeight="1" x14ac:dyDescent="0.4">
      <c r="C928" s="34" t="s">
        <v>6</v>
      </c>
      <c r="D928" s="35">
        <v>45659</v>
      </c>
      <c r="E928" s="51" t="s">
        <v>81</v>
      </c>
      <c r="F928" s="33">
        <v>1</v>
      </c>
      <c r="G928" s="27">
        <f t="shared" si="18"/>
        <v>-1</v>
      </c>
      <c r="H928" s="28" t="str">
        <f>VLOOKUP(E928,'Cadastro Produtos (kiwkiw)'!C:E,3,0)</f>
        <v>Meia Argola Croissant Prateada</v>
      </c>
      <c r="AB928" s="33" t="s">
        <v>448</v>
      </c>
    </row>
    <row r="929" spans="2:28" ht="15" customHeight="1" x14ac:dyDescent="0.4">
      <c r="C929" s="34" t="s">
        <v>6</v>
      </c>
      <c r="D929" s="35">
        <v>45659</v>
      </c>
      <c r="E929" s="51" t="s">
        <v>70</v>
      </c>
      <c r="F929" s="33">
        <v>1</v>
      </c>
      <c r="G929" s="27">
        <f t="shared" si="18"/>
        <v>-1</v>
      </c>
      <c r="H929" s="28" t="str">
        <f>VLOOKUP(E929,'Cadastro Produtos (kiwkiw)'!C:E,3,0)</f>
        <v>Brinco Geometrico Banho Ouro</v>
      </c>
      <c r="AB929" s="33" t="s">
        <v>449</v>
      </c>
    </row>
    <row r="930" spans="2:28" ht="15" customHeight="1" x14ac:dyDescent="0.4">
      <c r="C930" s="34" t="s">
        <v>6</v>
      </c>
      <c r="D930" s="35">
        <v>45659</v>
      </c>
      <c r="E930" s="51" t="s">
        <v>114</v>
      </c>
      <c r="F930" s="33">
        <v>1</v>
      </c>
      <c r="G930" s="27">
        <f t="shared" si="18"/>
        <v>-1</v>
      </c>
      <c r="H930" s="28" t="str">
        <f>VLOOKUP(E930,'Cadastro Produtos (kiwkiw)'!C:E,3,0)</f>
        <v>Gargantilha Fita Banho Ouro</v>
      </c>
      <c r="AB930" s="33" t="s">
        <v>449</v>
      </c>
    </row>
    <row r="931" spans="2:28" ht="15" customHeight="1" x14ac:dyDescent="0.4">
      <c r="B931" s="43"/>
      <c r="C931" s="34" t="s">
        <v>6</v>
      </c>
      <c r="D931" s="35">
        <v>45659</v>
      </c>
      <c r="E931" s="51" t="s">
        <v>114</v>
      </c>
      <c r="F931" s="33">
        <v>1</v>
      </c>
      <c r="G931" s="27">
        <f t="shared" si="18"/>
        <v>-1</v>
      </c>
      <c r="H931" s="28" t="str">
        <f>VLOOKUP(E931,'Cadastro Produtos (kiwkiw)'!C:E,3,0)</f>
        <v>Gargantilha Fita Banho Ouro</v>
      </c>
      <c r="AB931" s="33" t="s">
        <v>450</v>
      </c>
    </row>
    <row r="932" spans="2:28" ht="15" customHeight="1" x14ac:dyDescent="0.4">
      <c r="B932" s="43">
        <v>45667.422789351855</v>
      </c>
      <c r="C932" s="34" t="s">
        <v>6</v>
      </c>
      <c r="D932" s="35">
        <v>45667</v>
      </c>
      <c r="E932" s="51" t="s">
        <v>50</v>
      </c>
      <c r="F932" s="33">
        <v>1</v>
      </c>
      <c r="G932" s="27">
        <f t="shared" si="18"/>
        <v>-1</v>
      </c>
      <c r="H932" s="28" t="str">
        <f>VLOOKUP(E932,'Cadastro Produtos (kiwkiw)'!C:E,3,0)</f>
        <v>Brinco Elos Banho Ouro</v>
      </c>
      <c r="AB932" s="33" t="s">
        <v>451</v>
      </c>
    </row>
    <row r="933" spans="2:28" ht="15" customHeight="1" x14ac:dyDescent="0.4">
      <c r="B933" s="43">
        <v>45670.418923611112</v>
      </c>
      <c r="C933" s="34" t="s">
        <v>6</v>
      </c>
      <c r="D933" s="35">
        <v>45670</v>
      </c>
      <c r="E933" s="51" t="s">
        <v>117</v>
      </c>
      <c r="F933" s="33">
        <v>1</v>
      </c>
      <c r="G933" s="27">
        <f t="shared" si="18"/>
        <v>-1</v>
      </c>
      <c r="H933" s="28" t="str">
        <f>VLOOKUP(E933,'Cadastro Produtos (kiwkiw)'!C:E,3,0)</f>
        <v>Gargantilha Minimal Banho Ouro</v>
      </c>
      <c r="AB933" s="33" t="s">
        <v>452</v>
      </c>
    </row>
    <row r="934" spans="2:28" ht="15" customHeight="1" x14ac:dyDescent="0.4">
      <c r="B934" s="43"/>
      <c r="C934" s="34" t="s">
        <v>6</v>
      </c>
      <c r="D934" s="35">
        <v>45670</v>
      </c>
      <c r="E934" s="51" t="s">
        <v>61</v>
      </c>
      <c r="F934" s="33">
        <v>1</v>
      </c>
      <c r="G934" s="27">
        <f t="shared" si="18"/>
        <v>-1</v>
      </c>
      <c r="H934" s="28" t="str">
        <f>VLOOKUP(E934,'Cadastro Produtos (kiwkiw)'!C:E,3,0)</f>
        <v>Brinco Setas Banho Ouro</v>
      </c>
      <c r="AB934" s="33" t="s">
        <v>452</v>
      </c>
    </row>
    <row r="935" spans="2:28" ht="15" customHeight="1" x14ac:dyDescent="0.4">
      <c r="C935" s="34" t="s">
        <v>6</v>
      </c>
      <c r="D935" s="35">
        <v>45670</v>
      </c>
      <c r="E935" s="51" t="s">
        <v>69</v>
      </c>
      <c r="F935" s="33">
        <v>1</v>
      </c>
      <c r="G935" s="27">
        <f t="shared" si="18"/>
        <v>-1</v>
      </c>
      <c r="H935" s="28" t="str">
        <f>VLOOKUP(E935,'Cadastro Produtos (kiwkiw)'!C:E,3,0)</f>
        <v>Brinco Tubinho Pequeno Banho Ouro</v>
      </c>
      <c r="AB935" s="33" t="s">
        <v>452</v>
      </c>
    </row>
    <row r="936" spans="2:28" ht="15" customHeight="1" x14ac:dyDescent="0.4">
      <c r="B936" s="43">
        <v>45671.426666666666</v>
      </c>
      <c r="C936" s="34" t="s">
        <v>6</v>
      </c>
      <c r="D936" s="35">
        <v>45671</v>
      </c>
      <c r="E936" s="51" t="s">
        <v>67</v>
      </c>
      <c r="F936" s="33">
        <v>1</v>
      </c>
      <c r="G936" s="27">
        <f t="shared" si="18"/>
        <v>-1</v>
      </c>
      <c r="H936" s="28" t="str">
        <f>VLOOKUP(E936,'Cadastro Produtos (kiwkiw)'!C:E,3,0)</f>
        <v>Brinco Tubinho Grande Banho Ouro</v>
      </c>
      <c r="AB936" s="33" t="s">
        <v>453</v>
      </c>
    </row>
    <row r="937" spans="2:28" ht="15" customHeight="1" x14ac:dyDescent="0.4">
      <c r="C937" s="34" t="s">
        <v>6</v>
      </c>
      <c r="D937" s="35">
        <v>45671</v>
      </c>
      <c r="E937" s="51" t="s">
        <v>68</v>
      </c>
      <c r="F937" s="33">
        <v>1</v>
      </c>
      <c r="G937" s="27">
        <f t="shared" si="18"/>
        <v>-1</v>
      </c>
      <c r="H937" s="28" t="str">
        <f>VLOOKUP(E937,'Cadastro Produtos (kiwkiw)'!C:E,3,0)</f>
        <v>Brinco Tubinho Medio Banho Ouro</v>
      </c>
      <c r="AB937" s="33" t="s">
        <v>453</v>
      </c>
    </row>
    <row r="938" spans="2:28" ht="15" customHeight="1" x14ac:dyDescent="0.4">
      <c r="B938" s="43">
        <v>45672.429340277777</v>
      </c>
      <c r="C938" s="34" t="s">
        <v>6</v>
      </c>
      <c r="D938" s="35">
        <v>45672</v>
      </c>
      <c r="E938" s="51" t="s">
        <v>77</v>
      </c>
      <c r="F938" s="33">
        <v>1</v>
      </c>
      <c r="G938" s="27">
        <f t="shared" si="18"/>
        <v>-1</v>
      </c>
      <c r="H938" s="28" t="str">
        <f>VLOOKUP(E938,'Cadastro Produtos (kiwkiw)'!C:E,3,0)</f>
        <v>EarHook Torcido Banho Ouro</v>
      </c>
      <c r="AB938" s="33" t="s">
        <v>454</v>
      </c>
    </row>
    <row r="939" spans="2:28" ht="15" customHeight="1" x14ac:dyDescent="0.4">
      <c r="C939" s="34" t="s">
        <v>6</v>
      </c>
      <c r="D939" s="35">
        <v>45672</v>
      </c>
      <c r="E939" s="51" t="s">
        <v>59</v>
      </c>
      <c r="F939" s="33">
        <v>1</v>
      </c>
      <c r="G939" s="27">
        <f t="shared" si="18"/>
        <v>-1</v>
      </c>
      <c r="H939" s="28" t="str">
        <f>VLOOKUP(E939,'Cadastro Produtos (kiwkiw)'!C:E,3,0)</f>
        <v>Brinco Oncinha Banho Ouro</v>
      </c>
      <c r="AB939" s="33" t="s">
        <v>454</v>
      </c>
    </row>
    <row r="940" spans="2:28" ht="15" customHeight="1" x14ac:dyDescent="0.4">
      <c r="B940" s="43">
        <v>45684.42087962963</v>
      </c>
      <c r="C940" s="34" t="s">
        <v>6</v>
      </c>
      <c r="D940" s="35">
        <v>45684</v>
      </c>
      <c r="E940" s="51" t="s">
        <v>60</v>
      </c>
      <c r="F940" s="33">
        <v>1</v>
      </c>
      <c r="G940" s="27">
        <f t="shared" si="18"/>
        <v>-1</v>
      </c>
      <c r="H940" s="28" t="str">
        <f>VLOOKUP(E940,'Cadastro Produtos (kiwkiw)'!C:E,3,0)</f>
        <v>Brinco Oncinha Prateado</v>
      </c>
      <c r="AB940" s="33" t="s">
        <v>455</v>
      </c>
    </row>
    <row r="941" spans="2:28" ht="15" customHeight="1" x14ac:dyDescent="0.4">
      <c r="B941" s="43">
        <v>45685.428229166668</v>
      </c>
      <c r="C941" s="34" t="s">
        <v>6</v>
      </c>
      <c r="D941" s="35">
        <v>45685</v>
      </c>
      <c r="E941" s="51" t="s">
        <v>117</v>
      </c>
      <c r="F941" s="33">
        <v>1</v>
      </c>
      <c r="G941" s="27">
        <f t="shared" si="18"/>
        <v>-1</v>
      </c>
      <c r="H941" s="28" t="str">
        <f>VLOOKUP(E941,'Cadastro Produtos (kiwkiw)'!C:E,3,0)</f>
        <v>Gargantilha Minimal Banho Ouro</v>
      </c>
      <c r="AB941" s="33" t="s">
        <v>456</v>
      </c>
    </row>
    <row r="942" spans="2:28" ht="15" customHeight="1" x14ac:dyDescent="0.4">
      <c r="B942" s="43">
        <v>45691.404652777775</v>
      </c>
      <c r="C942" s="34" t="s">
        <v>6</v>
      </c>
      <c r="D942" s="35">
        <v>45691</v>
      </c>
      <c r="E942" s="51" t="s">
        <v>59</v>
      </c>
      <c r="F942" s="33">
        <v>1</v>
      </c>
      <c r="G942" s="27">
        <f t="shared" si="18"/>
        <v>-1</v>
      </c>
      <c r="H942" s="28" t="str">
        <f>VLOOKUP(E942,'Cadastro Produtos (kiwkiw)'!C:E,3,0)</f>
        <v>Brinco Oncinha Banho Ouro</v>
      </c>
      <c r="AB942" s="33" t="s">
        <v>457</v>
      </c>
    </row>
    <row r="943" spans="2:28" ht="15" customHeight="1" x14ac:dyDescent="0.4">
      <c r="B943" s="43">
        <v>45693.421481481484</v>
      </c>
      <c r="C943" s="34" t="s">
        <v>6</v>
      </c>
      <c r="D943" s="35">
        <v>45693</v>
      </c>
      <c r="E943" s="51" t="s">
        <v>79</v>
      </c>
      <c r="F943" s="33">
        <v>1</v>
      </c>
      <c r="G943" s="27">
        <f t="shared" si="18"/>
        <v>-1</v>
      </c>
      <c r="H943" s="28" t="str">
        <f>VLOOKUP(E943,'Cadastro Produtos (kiwkiw)'!C:E,3,0)</f>
        <v>Kit Brincos Coracao e Triangulo Banho Ouro</v>
      </c>
      <c r="AB943" s="33" t="s">
        <v>458</v>
      </c>
    </row>
    <row r="944" spans="2:28" ht="15" customHeight="1" x14ac:dyDescent="0.4">
      <c r="B944" s="43">
        <v>45694.435011574074</v>
      </c>
      <c r="C944" s="34" t="s">
        <v>6</v>
      </c>
      <c r="D944" s="35">
        <v>45694</v>
      </c>
      <c r="E944" s="51" t="s">
        <v>117</v>
      </c>
      <c r="F944" s="33">
        <v>1</v>
      </c>
      <c r="G944" s="27">
        <f t="shared" si="18"/>
        <v>-1</v>
      </c>
      <c r="H944" s="28" t="str">
        <f>VLOOKUP(E944,'Cadastro Produtos (kiwkiw)'!C:E,3,0)</f>
        <v>Gargantilha Minimal Banho Ouro</v>
      </c>
      <c r="AB944" s="33" t="s">
        <v>459</v>
      </c>
    </row>
    <row r="945" spans="2:28" ht="15" customHeight="1" x14ac:dyDescent="0.4">
      <c r="C945" s="34" t="s">
        <v>6</v>
      </c>
      <c r="D945" s="35">
        <v>45694</v>
      </c>
      <c r="E945" s="51" t="s">
        <v>85</v>
      </c>
      <c r="F945" s="33">
        <v>1</v>
      </c>
      <c r="G945" s="27">
        <f t="shared" si="18"/>
        <v>-1</v>
      </c>
      <c r="H945" s="28" t="str">
        <f>VLOOKUP(E945,'Cadastro Produtos (kiwkiw)'!C:E,3,0)</f>
        <v>Piercing Fake Dots Banho Ouro</v>
      </c>
      <c r="AB945" s="33" t="s">
        <v>460</v>
      </c>
    </row>
    <row r="946" spans="2:28" ht="15" customHeight="1" x14ac:dyDescent="0.4">
      <c r="C946" s="34" t="s">
        <v>6</v>
      </c>
      <c r="D946" s="35">
        <v>45694</v>
      </c>
      <c r="E946" s="51" t="s">
        <v>44</v>
      </c>
      <c r="F946" s="33">
        <v>1</v>
      </c>
      <c r="G946" s="27">
        <f t="shared" si="18"/>
        <v>-1</v>
      </c>
      <c r="H946" s="28" t="str">
        <f>VLOOKUP(E946,'Cadastro Produtos (kiwkiw)'!C:E,3,0)</f>
        <v>Brinco Bossa Banho Ouro</v>
      </c>
      <c r="AB946" s="33" t="s">
        <v>461</v>
      </c>
    </row>
    <row r="947" spans="2:28" ht="15" customHeight="1" x14ac:dyDescent="0.4">
      <c r="B947" s="43">
        <v>45695.45108796296</v>
      </c>
      <c r="C947" s="34" t="s">
        <v>6</v>
      </c>
      <c r="D947" s="35">
        <v>45695</v>
      </c>
      <c r="E947" s="51" t="s">
        <v>70</v>
      </c>
      <c r="F947" s="33">
        <v>1</v>
      </c>
      <c r="G947" s="27">
        <f t="shared" si="18"/>
        <v>-1</v>
      </c>
      <c r="H947" s="28" t="str">
        <f>VLOOKUP(E947,'Cadastro Produtos (kiwkiw)'!C:E,3,0)</f>
        <v>Brinco Geometrico Banho Ouro</v>
      </c>
      <c r="AB947" s="33" t="s">
        <v>462</v>
      </c>
    </row>
    <row r="948" spans="2:28" ht="15" customHeight="1" x14ac:dyDescent="0.4">
      <c r="B948" s="43">
        <v>45698.440740740742</v>
      </c>
      <c r="C948" s="34" t="s">
        <v>6</v>
      </c>
      <c r="D948" s="35">
        <v>45698</v>
      </c>
      <c r="E948" s="51" t="s">
        <v>117</v>
      </c>
      <c r="F948" s="33">
        <v>1</v>
      </c>
      <c r="G948" s="27">
        <f t="shared" si="18"/>
        <v>-1</v>
      </c>
      <c r="H948" s="28" t="str">
        <f>VLOOKUP(E948,'Cadastro Produtos (kiwkiw)'!C:E,3,0)</f>
        <v>Gargantilha Minimal Banho Ouro</v>
      </c>
      <c r="AB948" s="33" t="s">
        <v>463</v>
      </c>
    </row>
    <row r="949" spans="2:28" ht="15" customHeight="1" x14ac:dyDescent="0.4">
      <c r="C949" s="34" t="s">
        <v>6</v>
      </c>
      <c r="D949" s="35">
        <v>45698</v>
      </c>
      <c r="E949" s="51" t="s">
        <v>38</v>
      </c>
      <c r="F949" s="33">
        <v>1</v>
      </c>
      <c r="G949" s="27">
        <f t="shared" si="18"/>
        <v>-1</v>
      </c>
      <c r="H949" s="28" t="str">
        <f>VLOOKUP(E949,'Cadastro Produtos (kiwkiw)'!C:E,3,0)</f>
        <v>Argolinha Click Dots Banho Ouro</v>
      </c>
      <c r="AB949" s="33" t="s">
        <v>463</v>
      </c>
    </row>
    <row r="950" spans="2:28" ht="15" customHeight="1" x14ac:dyDescent="0.4">
      <c r="C950" s="34" t="s">
        <v>6</v>
      </c>
      <c r="D950" s="35">
        <v>45698</v>
      </c>
      <c r="E950" s="51" t="s">
        <v>29</v>
      </c>
      <c r="F950" s="33">
        <v>1</v>
      </c>
      <c r="G950" s="27">
        <f t="shared" si="18"/>
        <v>-1</v>
      </c>
      <c r="H950" s="28" t="str">
        <f>VLOOKUP(E950,'Cadastro Produtos (kiwkiw)'!C:E,3,0)</f>
        <v>Argola Click Diamond Banho Ouro</v>
      </c>
      <c r="AB950" s="33" t="s">
        <v>464</v>
      </c>
    </row>
    <row r="951" spans="2:28" ht="15" customHeight="1" x14ac:dyDescent="0.4">
      <c r="B951" s="43">
        <v>45707.426655092589</v>
      </c>
      <c r="C951" s="34" t="s">
        <v>6</v>
      </c>
      <c r="D951" s="35">
        <v>45707</v>
      </c>
      <c r="E951" s="51" t="s">
        <v>25</v>
      </c>
      <c r="F951" s="33">
        <v>1</v>
      </c>
      <c r="G951" s="27">
        <f t="shared" si="18"/>
        <v>-1</v>
      </c>
      <c r="H951" s="28" t="str">
        <f>VLOOKUP(E951,'Cadastro Produtos (kiwkiw)'!C:E,3,0)</f>
        <v>Argola Amy Banho Ouro</v>
      </c>
      <c r="AB951" s="33" t="s">
        <v>465</v>
      </c>
    </row>
    <row r="952" spans="2:28" ht="15" customHeight="1" x14ac:dyDescent="0.4">
      <c r="C952" s="34" t="s">
        <v>6</v>
      </c>
      <c r="D952" s="35">
        <v>45707</v>
      </c>
      <c r="E952" s="51" t="s">
        <v>61</v>
      </c>
      <c r="F952" s="33">
        <v>1</v>
      </c>
      <c r="G952" s="27">
        <f t="shared" si="18"/>
        <v>-1</v>
      </c>
      <c r="H952" s="28" t="str">
        <f>VLOOKUP(E952,'Cadastro Produtos (kiwkiw)'!C:E,3,0)</f>
        <v>Brinco Setas Banho Ouro</v>
      </c>
      <c r="AB952" s="33" t="s">
        <v>466</v>
      </c>
    </row>
    <row r="953" spans="2:28" ht="15" customHeight="1" x14ac:dyDescent="0.4">
      <c r="B953" s="43">
        <v>45712.429803240739</v>
      </c>
      <c r="C953" s="34" t="s">
        <v>6</v>
      </c>
      <c r="D953" s="35">
        <v>45712</v>
      </c>
      <c r="E953" s="51" t="s">
        <v>102</v>
      </c>
      <c r="F953" s="33">
        <v>1</v>
      </c>
      <c r="G953" s="27">
        <f t="shared" si="18"/>
        <v>-1</v>
      </c>
      <c r="H953" s="28" t="str">
        <f>VLOOKUP(E953,'Cadastro Produtos (kiwkiw)'!C:E,3,0)</f>
        <v>Colar Longo Lua Banho Ouro</v>
      </c>
      <c r="AB953" s="33" t="s">
        <v>467</v>
      </c>
    </row>
    <row r="954" spans="2:28" ht="15" customHeight="1" x14ac:dyDescent="0.4">
      <c r="C954" s="34" t="s">
        <v>6</v>
      </c>
      <c r="D954" s="35">
        <v>45712</v>
      </c>
      <c r="E954" s="51" t="s">
        <v>70</v>
      </c>
      <c r="F954" s="33">
        <v>1</v>
      </c>
      <c r="G954" s="27">
        <f t="shared" si="18"/>
        <v>-1</v>
      </c>
      <c r="H954" s="28" t="str">
        <f>VLOOKUP(E954,'Cadastro Produtos (kiwkiw)'!C:E,3,0)</f>
        <v>Brinco Geometrico Banho Ouro</v>
      </c>
      <c r="AB954" s="33" t="s">
        <v>467</v>
      </c>
    </row>
    <row r="955" spans="2:28" ht="15" customHeight="1" x14ac:dyDescent="0.4">
      <c r="C955" s="34" t="s">
        <v>6</v>
      </c>
      <c r="D955" s="35">
        <v>45712</v>
      </c>
      <c r="E955" s="51" t="s">
        <v>59</v>
      </c>
      <c r="F955" s="33">
        <v>1</v>
      </c>
      <c r="G955" s="27">
        <f t="shared" si="18"/>
        <v>-1</v>
      </c>
      <c r="H955" s="28" t="str">
        <f>VLOOKUP(E955,'Cadastro Produtos (kiwkiw)'!C:E,3,0)</f>
        <v>Brinco Oncinha Banho Ouro</v>
      </c>
      <c r="AB955" s="33" t="s">
        <v>468</v>
      </c>
    </row>
    <row r="956" spans="2:28" ht="15" customHeight="1" x14ac:dyDescent="0.4">
      <c r="B956" s="43">
        <v>45713.416504629633</v>
      </c>
      <c r="C956" s="34" t="s">
        <v>6</v>
      </c>
      <c r="D956" s="35">
        <v>45713</v>
      </c>
      <c r="E956" s="51" t="s">
        <v>77</v>
      </c>
      <c r="F956" s="33">
        <v>1</v>
      </c>
      <c r="G956" s="27">
        <f t="shared" si="18"/>
        <v>-1</v>
      </c>
      <c r="H956" s="28" t="str">
        <f>VLOOKUP(E956,'Cadastro Produtos (kiwkiw)'!C:E,3,0)</f>
        <v>EarHook Torcido Banho Ouro</v>
      </c>
      <c r="AB956" s="33" t="s">
        <v>469</v>
      </c>
    </row>
    <row r="957" spans="2:28" ht="15" customHeight="1" x14ac:dyDescent="0.4">
      <c r="B957" s="43">
        <v>45721.423680555556</v>
      </c>
      <c r="C957" s="34" t="s">
        <v>6</v>
      </c>
      <c r="D957" s="35">
        <v>45721</v>
      </c>
      <c r="E957" s="51" t="s">
        <v>61</v>
      </c>
      <c r="F957" s="33">
        <v>1</v>
      </c>
      <c r="G957" s="27">
        <f t="shared" si="18"/>
        <v>-1</v>
      </c>
      <c r="H957" s="28" t="str">
        <f>VLOOKUP(E957,'Cadastro Produtos (kiwkiw)'!C:E,3,0)</f>
        <v>Brinco Setas Banho Ouro</v>
      </c>
      <c r="AB957" s="33" t="s">
        <v>470</v>
      </c>
    </row>
    <row r="958" spans="2:28" ht="15" customHeight="1" x14ac:dyDescent="0.4">
      <c r="C958" s="34" t="s">
        <v>6</v>
      </c>
      <c r="D958" s="35">
        <v>45721</v>
      </c>
      <c r="E958" s="51" t="s">
        <v>68</v>
      </c>
      <c r="F958" s="33">
        <v>1</v>
      </c>
      <c r="G958" s="27">
        <f t="shared" si="18"/>
        <v>-1</v>
      </c>
      <c r="H958" s="28" t="str">
        <f>VLOOKUP(E958,'Cadastro Produtos (kiwkiw)'!C:E,3,0)</f>
        <v>Brinco Tubinho Medio Banho Ouro</v>
      </c>
      <c r="AB958" s="33" t="s">
        <v>470</v>
      </c>
    </row>
    <row r="959" spans="2:28" ht="15" customHeight="1" x14ac:dyDescent="0.4">
      <c r="C959" s="34" t="s">
        <v>6</v>
      </c>
      <c r="D959" s="35">
        <v>45721</v>
      </c>
      <c r="E959" s="51" t="s">
        <v>69</v>
      </c>
      <c r="F959" s="33">
        <v>1</v>
      </c>
      <c r="G959" s="27">
        <f t="shared" si="18"/>
        <v>-1</v>
      </c>
      <c r="H959" s="28" t="str">
        <f>VLOOKUP(E959,'Cadastro Produtos (kiwkiw)'!C:E,3,0)</f>
        <v>Brinco Tubinho Pequeno Banho Ouro</v>
      </c>
      <c r="AB959" s="33" t="s">
        <v>470</v>
      </c>
    </row>
    <row r="960" spans="2:28" ht="15" customHeight="1" x14ac:dyDescent="0.4">
      <c r="B960" s="43">
        <v>45722.439699074072</v>
      </c>
      <c r="C960" s="34" t="s">
        <v>6</v>
      </c>
      <c r="D960" s="35">
        <v>45722</v>
      </c>
      <c r="E960" s="51" t="s">
        <v>28</v>
      </c>
      <c r="F960" s="33">
        <v>1</v>
      </c>
      <c r="G960" s="27">
        <f t="shared" si="18"/>
        <v>-1</v>
      </c>
      <c r="H960" s="28" t="str">
        <f>VLOOKUP(E960,'Cadastro Produtos (kiwkiw)'!C:E,3,0)</f>
        <v>Argola Click Pequena Banho Ouro</v>
      </c>
      <c r="AB960" s="33" t="s">
        <v>471</v>
      </c>
    </row>
    <row r="961" spans="2:28" ht="15" customHeight="1" x14ac:dyDescent="0.4">
      <c r="C961" s="34" t="s">
        <v>5</v>
      </c>
      <c r="D961" s="35">
        <v>45723</v>
      </c>
      <c r="E961" s="51" t="s">
        <v>70</v>
      </c>
      <c r="F961" s="33">
        <v>1</v>
      </c>
      <c r="G961" s="27">
        <f t="shared" si="18"/>
        <v>1</v>
      </c>
      <c r="H961" s="28" t="str">
        <f>VLOOKUP(E961,'Cadastro Produtos (kiwkiw)'!C:E,3,0)</f>
        <v>Brinco Geometrico Banho Ouro</v>
      </c>
      <c r="I961" s="35" t="s">
        <v>472</v>
      </c>
    </row>
    <row r="962" spans="2:28" ht="15" customHeight="1" x14ac:dyDescent="0.4">
      <c r="B962" s="43">
        <v>45726.471296296295</v>
      </c>
      <c r="C962" s="34" t="s">
        <v>6</v>
      </c>
      <c r="D962" s="35">
        <v>45726</v>
      </c>
      <c r="E962" s="51" t="s">
        <v>59</v>
      </c>
      <c r="F962" s="33">
        <v>1</v>
      </c>
      <c r="G962" s="27">
        <f t="shared" si="18"/>
        <v>-1</v>
      </c>
      <c r="H962" s="28" t="str">
        <f>VLOOKUP(E962,'Cadastro Produtos (kiwkiw)'!C:E,3,0)</f>
        <v>Brinco Oncinha Banho Ouro</v>
      </c>
      <c r="AB962" s="33" t="s">
        <v>473</v>
      </c>
    </row>
    <row r="963" spans="2:28" ht="15" customHeight="1" x14ac:dyDescent="0.4">
      <c r="B963" s="43">
        <v>45733.449236111112</v>
      </c>
      <c r="C963" s="34" t="s">
        <v>6</v>
      </c>
      <c r="D963" s="35">
        <v>45733</v>
      </c>
      <c r="E963" s="51" t="s">
        <v>114</v>
      </c>
      <c r="F963" s="33">
        <v>1</v>
      </c>
      <c r="G963" s="27">
        <f t="shared" si="18"/>
        <v>-1</v>
      </c>
      <c r="H963" s="28" t="str">
        <f>VLOOKUP(E963,'Cadastro Produtos (kiwkiw)'!C:E,3,0)</f>
        <v>Gargantilha Fita Banho Ouro</v>
      </c>
      <c r="AB963" s="33" t="s">
        <v>474</v>
      </c>
    </row>
    <row r="964" spans="2:28" ht="15" customHeight="1" x14ac:dyDescent="0.4">
      <c r="C964" s="34" t="s">
        <v>6</v>
      </c>
      <c r="D964" s="35">
        <v>45733</v>
      </c>
      <c r="E964" s="51" t="s">
        <v>28</v>
      </c>
      <c r="F964" s="33">
        <v>1</v>
      </c>
      <c r="G964" s="27">
        <f t="shared" si="18"/>
        <v>-1</v>
      </c>
      <c r="H964" s="28" t="str">
        <f>VLOOKUP(E964,'Cadastro Produtos (kiwkiw)'!C:E,3,0)</f>
        <v>Argola Click Pequena Banho Ouro</v>
      </c>
      <c r="AB964" s="33" t="s">
        <v>474</v>
      </c>
    </row>
    <row r="965" spans="2:28" ht="15" customHeight="1" x14ac:dyDescent="0.4">
      <c r="B965" s="43"/>
      <c r="C965" s="34" t="s">
        <v>6</v>
      </c>
      <c r="D965" s="35">
        <v>45733</v>
      </c>
      <c r="E965" s="51" t="s">
        <v>122</v>
      </c>
      <c r="F965" s="33">
        <v>1</v>
      </c>
      <c r="G965" s="27">
        <f t="shared" si="18"/>
        <v>-1</v>
      </c>
      <c r="H965" s="28" t="str">
        <f>VLOOKUP(E965,'Cadastro Produtos (kiwkiw)'!C:E,3,0)</f>
        <v>Bracelete Torcido Banho Ouro</v>
      </c>
      <c r="AB965" s="33" t="s">
        <v>475</v>
      </c>
    </row>
    <row r="966" spans="2:28" ht="15" customHeight="1" x14ac:dyDescent="0.4">
      <c r="B966" s="43">
        <v>45736.426527777781</v>
      </c>
      <c r="C966" s="34" t="s">
        <v>6</v>
      </c>
      <c r="D966" s="35">
        <v>45736</v>
      </c>
      <c r="E966" s="51" t="s">
        <v>124</v>
      </c>
      <c r="F966" s="33">
        <v>1</v>
      </c>
      <c r="G966" s="27">
        <f t="shared" si="18"/>
        <v>-1</v>
      </c>
      <c r="H966" s="28" t="str">
        <f>VLOOKUP(E966,'Cadastro Produtos (kiwkiw)'!C:E,3,0)</f>
        <v>Pulseira Fita Textura Banho Ouro</v>
      </c>
      <c r="AB966" s="33" t="s">
        <v>476</v>
      </c>
    </row>
    <row r="967" spans="2:28" ht="15" customHeight="1" x14ac:dyDescent="0.4">
      <c r="C967" s="34" t="s">
        <v>6</v>
      </c>
      <c r="D967" s="35">
        <v>45736</v>
      </c>
      <c r="E967" s="51" t="s">
        <v>118</v>
      </c>
      <c r="F967" s="33">
        <v>1</v>
      </c>
      <c r="G967" s="27">
        <f t="shared" si="18"/>
        <v>-1</v>
      </c>
      <c r="H967" s="28" t="str">
        <f>VLOOKUP(E967,'Cadastro Produtos (kiwkiw)'!C:E,3,0)</f>
        <v>Gargantilha Minimal Prateada</v>
      </c>
      <c r="AB967" s="33" t="s">
        <v>477</v>
      </c>
    </row>
    <row r="968" spans="2:28" ht="15" customHeight="1" x14ac:dyDescent="0.4">
      <c r="C968" s="34" t="s">
        <v>5</v>
      </c>
      <c r="D968" s="35">
        <v>45736</v>
      </c>
      <c r="E968" s="51" t="s">
        <v>74</v>
      </c>
      <c r="F968" s="33">
        <v>1</v>
      </c>
      <c r="G968" s="27">
        <f t="shared" si="18"/>
        <v>1</v>
      </c>
      <c r="H968" s="28" t="str">
        <f>VLOOKUP(E968,'Cadastro Produtos (kiwkiw)'!C:E,3,0)</f>
        <v>Ear Hook Hug Banho Ouro</v>
      </c>
      <c r="I968" s="32" t="s">
        <v>478</v>
      </c>
    </row>
    <row r="969" spans="2:28" ht="15" customHeight="1" x14ac:dyDescent="0.4">
      <c r="C969" s="34" t="s">
        <v>5</v>
      </c>
      <c r="D969" s="35">
        <v>45736</v>
      </c>
      <c r="E969" s="51" t="s">
        <v>119</v>
      </c>
      <c r="F969" s="33">
        <v>1</v>
      </c>
      <c r="G969" s="27">
        <f t="shared" si="18"/>
        <v>1</v>
      </c>
      <c r="H969" s="28" t="str">
        <f>VLOOKUP(E969,'Cadastro Produtos (kiwkiw)'!C:E,3,0)</f>
        <v>Bracelete Line Banho Ouro</v>
      </c>
      <c r="I969" s="32" t="s">
        <v>478</v>
      </c>
    </row>
    <row r="970" spans="2:28" ht="15" customHeight="1" x14ac:dyDescent="0.4">
      <c r="C970" s="34" t="s">
        <v>5</v>
      </c>
      <c r="D970" s="35">
        <v>45736</v>
      </c>
      <c r="E970" s="51" t="s">
        <v>122</v>
      </c>
      <c r="F970" s="33">
        <v>1</v>
      </c>
      <c r="G970" s="27">
        <f t="shared" si="18"/>
        <v>1</v>
      </c>
      <c r="H970" s="28" t="str">
        <f>VLOOKUP(E970,'Cadastro Produtos (kiwkiw)'!C:E,3,0)</f>
        <v>Bracelete Torcido Banho Ouro</v>
      </c>
      <c r="I970" s="32" t="s">
        <v>478</v>
      </c>
    </row>
    <row r="971" spans="2:28" ht="15" customHeight="1" x14ac:dyDescent="0.4">
      <c r="C971" s="34" t="s">
        <v>5</v>
      </c>
      <c r="D971" s="35">
        <v>45736</v>
      </c>
      <c r="E971" s="51" t="s">
        <v>36</v>
      </c>
      <c r="F971" s="33">
        <v>1</v>
      </c>
      <c r="G971" s="27">
        <f t="shared" si="18"/>
        <v>1</v>
      </c>
      <c r="H971" s="28" t="str">
        <f>VLOOKUP(E971,'Cadastro Produtos (kiwkiw)'!C:E,3,0)</f>
        <v>Argola Classy Prateada</v>
      </c>
      <c r="I971" s="32" t="s">
        <v>478</v>
      </c>
    </row>
    <row r="972" spans="2:28" ht="15" customHeight="1" x14ac:dyDescent="0.4">
      <c r="C972" s="34" t="s">
        <v>5</v>
      </c>
      <c r="D972" s="35">
        <v>45736</v>
      </c>
      <c r="E972" s="51" t="s">
        <v>38</v>
      </c>
      <c r="F972" s="33">
        <v>1</v>
      </c>
      <c r="G972" s="27">
        <f t="shared" si="18"/>
        <v>1</v>
      </c>
      <c r="H972" s="28" t="str">
        <f>VLOOKUP(E972,'Cadastro Produtos (kiwkiw)'!C:E,3,0)</f>
        <v>Argolinha Click Dots Banho Ouro</v>
      </c>
      <c r="I972" s="32" t="s">
        <v>478</v>
      </c>
    </row>
    <row r="973" spans="2:28" ht="15" customHeight="1" x14ac:dyDescent="0.4">
      <c r="C973" s="34" t="s">
        <v>5</v>
      </c>
      <c r="D973" s="35">
        <v>45736</v>
      </c>
      <c r="E973" s="51" t="s">
        <v>95</v>
      </c>
      <c r="F973" s="33">
        <v>1</v>
      </c>
      <c r="G973" s="27">
        <f t="shared" si="18"/>
        <v>1</v>
      </c>
      <c r="H973" s="28" t="str">
        <f>VLOOKUP(E973,'Cadastro Produtos (kiwkiw)'!C:E,3,0)</f>
        <v>Colar Duplo Dots Prateado</v>
      </c>
      <c r="I973" s="32" t="s">
        <v>478</v>
      </c>
    </row>
    <row r="974" spans="2:28" ht="15" customHeight="1" x14ac:dyDescent="0.4">
      <c r="B974" s="43">
        <v>45740.424768518518</v>
      </c>
      <c r="C974" s="34" t="s">
        <v>6</v>
      </c>
      <c r="D974" s="35">
        <v>45740</v>
      </c>
      <c r="E974" s="51" t="s">
        <v>35</v>
      </c>
      <c r="F974" s="33">
        <v>1</v>
      </c>
      <c r="G974" s="27">
        <f t="shared" si="18"/>
        <v>-1</v>
      </c>
      <c r="H974" s="28" t="str">
        <f>VLOOKUP(E974,'Cadastro Produtos (kiwkiw)'!C:E,3,0)</f>
        <v>Argola Classy Banho Ouro</v>
      </c>
      <c r="AB974" s="33" t="s">
        <v>479</v>
      </c>
    </row>
    <row r="975" spans="2:28" ht="15" customHeight="1" x14ac:dyDescent="0.4">
      <c r="C975" s="34" t="s">
        <v>6</v>
      </c>
      <c r="D975" s="35">
        <v>45740</v>
      </c>
      <c r="E975" s="51" t="s">
        <v>59</v>
      </c>
      <c r="F975" s="33">
        <v>1</v>
      </c>
      <c r="G975" s="27">
        <f t="shared" si="18"/>
        <v>-1</v>
      </c>
      <c r="H975" s="28" t="str">
        <f>VLOOKUP(E975,'Cadastro Produtos (kiwkiw)'!C:E,3,0)</f>
        <v>Brinco Oncinha Banho Ouro</v>
      </c>
      <c r="AB975" s="33" t="s">
        <v>480</v>
      </c>
    </row>
    <row r="976" spans="2:28" ht="15" customHeight="1" x14ac:dyDescent="0.4">
      <c r="B976" s="43">
        <v>45742.645868055559</v>
      </c>
      <c r="C976" s="34" t="s">
        <v>5</v>
      </c>
      <c r="D976" s="35">
        <v>45736</v>
      </c>
      <c r="E976" s="51" t="s">
        <v>35</v>
      </c>
      <c r="F976" s="33">
        <v>12</v>
      </c>
      <c r="G976" s="27">
        <f t="shared" si="18"/>
        <v>12</v>
      </c>
      <c r="H976" s="28" t="str">
        <f>VLOOKUP(E976,'Cadastro Produtos (kiwkiw)'!C:E,3,0)</f>
        <v>Argola Classy Banho Ouro</v>
      </c>
      <c r="AB976" s="33" t="s">
        <v>481</v>
      </c>
    </row>
    <row r="977" spans="2:28" ht="15" customHeight="1" x14ac:dyDescent="0.4">
      <c r="C977" s="34" t="s">
        <v>5</v>
      </c>
      <c r="D977" s="35">
        <v>45736</v>
      </c>
      <c r="E977" s="51" t="s">
        <v>36</v>
      </c>
      <c r="F977" s="33">
        <v>9</v>
      </c>
      <c r="G977" s="27">
        <f t="shared" si="18"/>
        <v>9</v>
      </c>
      <c r="H977" s="28" t="str">
        <f>VLOOKUP(E977,'Cadastro Produtos (kiwkiw)'!C:E,3,0)</f>
        <v>Argola Classy Prateada</v>
      </c>
      <c r="AB977" s="33" t="s">
        <v>481</v>
      </c>
    </row>
    <row r="978" spans="2:28" ht="15" customHeight="1" x14ac:dyDescent="0.4">
      <c r="C978" s="34" t="s">
        <v>5</v>
      </c>
      <c r="D978" s="35">
        <v>45736</v>
      </c>
      <c r="E978" s="51" t="s">
        <v>26</v>
      </c>
      <c r="F978" s="33">
        <v>10</v>
      </c>
      <c r="G978" s="27">
        <f t="shared" ref="G978" si="19">IF(C978="Entrada",F978,-F978)</f>
        <v>10</v>
      </c>
      <c r="H978" s="28" t="str">
        <f>VLOOKUP(E978,'Cadastro Produtos (kiwkiw)'!C:E,3,0)</f>
        <v>Argola Click Grande Banho Ouro</v>
      </c>
      <c r="AB978" s="33" t="s">
        <v>481</v>
      </c>
    </row>
    <row r="979" spans="2:28" ht="15" customHeight="1" x14ac:dyDescent="0.4">
      <c r="C979" s="34" t="s">
        <v>5</v>
      </c>
      <c r="D979" s="35">
        <v>45736</v>
      </c>
      <c r="E979" s="51" t="s">
        <v>27</v>
      </c>
      <c r="F979" s="33">
        <v>11</v>
      </c>
      <c r="G979" s="27">
        <f t="shared" ref="G979" si="20">IF(C979="Entrada",F979,-F979)</f>
        <v>11</v>
      </c>
      <c r="H979" s="28" t="str">
        <f>VLOOKUP(E979,'Cadastro Produtos (kiwkiw)'!C:E,3,0)</f>
        <v>Argola Click Media Banho Ouro</v>
      </c>
      <c r="AB979" s="33" t="s">
        <v>481</v>
      </c>
    </row>
    <row r="980" spans="2:28" ht="15" customHeight="1" x14ac:dyDescent="0.4">
      <c r="B980" s="43"/>
      <c r="C980" s="34" t="s">
        <v>5</v>
      </c>
      <c r="D980" s="35">
        <v>45736</v>
      </c>
      <c r="E980" s="51" t="s">
        <v>28</v>
      </c>
      <c r="F980" s="33">
        <v>9</v>
      </c>
      <c r="G980" s="27">
        <f t="shared" ref="G980:G1043" si="21">IF(C980="Entrada",F980,-F980)</f>
        <v>9</v>
      </c>
      <c r="H980" s="28" t="str">
        <f>VLOOKUP(E980,'Cadastro Produtos (kiwkiw)'!C:E,3,0)</f>
        <v>Argola Click Pequena Banho Ouro</v>
      </c>
      <c r="AB980" s="33" t="s">
        <v>481</v>
      </c>
    </row>
    <row r="981" spans="2:28" ht="15" customHeight="1" x14ac:dyDescent="0.4">
      <c r="C981" s="34" t="s">
        <v>5</v>
      </c>
      <c r="D981" s="35">
        <v>45736</v>
      </c>
      <c r="E981" s="51" t="s">
        <v>32</v>
      </c>
      <c r="F981" s="33">
        <v>26</v>
      </c>
      <c r="G981" s="27">
        <f t="shared" si="21"/>
        <v>26</v>
      </c>
      <c r="H981" s="28" t="str">
        <f>VLOOKUP(E981,'Cadastro Produtos (kiwkiw)'!C:E,3,0)</f>
        <v>Argola Redonda Basic Banho Ouro</v>
      </c>
      <c r="AB981" s="33" t="s">
        <v>481</v>
      </c>
    </row>
    <row r="982" spans="2:28" ht="15" customHeight="1" x14ac:dyDescent="0.4">
      <c r="C982" s="34" t="s">
        <v>5</v>
      </c>
      <c r="D982" s="35">
        <v>45736</v>
      </c>
      <c r="E982" s="51" t="s">
        <v>31</v>
      </c>
      <c r="F982" s="33">
        <v>25</v>
      </c>
      <c r="G982" s="27">
        <f t="shared" si="21"/>
        <v>25</v>
      </c>
      <c r="H982" s="28" t="str">
        <f>VLOOKUP(E982,'Cadastro Produtos (kiwkiw)'!C:E,3,0)</f>
        <v>Argola Reta Basic Banho Ouro</v>
      </c>
      <c r="AB982" s="33" t="s">
        <v>481</v>
      </c>
    </row>
    <row r="983" spans="2:28" ht="15" customHeight="1" x14ac:dyDescent="0.4">
      <c r="C983" s="34" t="s">
        <v>5</v>
      </c>
      <c r="D983" s="35">
        <v>45736</v>
      </c>
      <c r="E983" s="51" t="s">
        <v>38</v>
      </c>
      <c r="F983" s="33">
        <v>20</v>
      </c>
      <c r="G983" s="27">
        <f t="shared" si="21"/>
        <v>20</v>
      </c>
      <c r="H983" s="28" t="str">
        <f>VLOOKUP(E983,'Cadastro Produtos (kiwkiw)'!C:E,3,0)</f>
        <v>Argolinha Click Dots Banho Ouro</v>
      </c>
      <c r="AB983" s="33" t="s">
        <v>481</v>
      </c>
    </row>
    <row r="984" spans="2:28" ht="15" customHeight="1" x14ac:dyDescent="0.4">
      <c r="C984" s="34" t="s">
        <v>5</v>
      </c>
      <c r="D984" s="35">
        <v>45736</v>
      </c>
      <c r="E984" s="51" t="s">
        <v>40</v>
      </c>
      <c r="F984" s="33">
        <v>6</v>
      </c>
      <c r="G984" s="27">
        <f t="shared" si="21"/>
        <v>6</v>
      </c>
      <c r="H984" s="28" t="str">
        <f>VLOOKUP(E984,'Cadastro Produtos (kiwkiw)'!C:E,3,0)</f>
        <v>Argolinha Folha Banho Ouro</v>
      </c>
      <c r="AB984" s="33" t="s">
        <v>481</v>
      </c>
    </row>
    <row r="985" spans="2:28" ht="15" customHeight="1" x14ac:dyDescent="0.4">
      <c r="C985" s="34" t="s">
        <v>5</v>
      </c>
      <c r="D985" s="35">
        <v>45736</v>
      </c>
      <c r="E985" s="51" t="s">
        <v>41</v>
      </c>
      <c r="F985" s="33">
        <v>5</v>
      </c>
      <c r="G985" s="27">
        <f t="shared" si="21"/>
        <v>5</v>
      </c>
      <c r="H985" s="28" t="str">
        <f>VLOOKUP(E985,'Cadastro Produtos (kiwkiw)'!C:E,3,0)</f>
        <v>Argolinha Sol Banho Ouro</v>
      </c>
      <c r="AB985" s="33" t="s">
        <v>481</v>
      </c>
    </row>
    <row r="986" spans="2:28" ht="15" customHeight="1" x14ac:dyDescent="0.4">
      <c r="B986" s="43"/>
      <c r="C986" s="34" t="s">
        <v>5</v>
      </c>
      <c r="D986" s="35">
        <v>45736</v>
      </c>
      <c r="E986" s="51" t="s">
        <v>121</v>
      </c>
      <c r="F986" s="33">
        <v>15</v>
      </c>
      <c r="G986" s="27">
        <f t="shared" si="21"/>
        <v>15</v>
      </c>
      <c r="H986" s="28" t="str">
        <f>VLOOKUP(E986,'Cadastro Produtos (kiwkiw)'!C:E,3,0)</f>
        <v>Bracelete Wave Banho Ouro</v>
      </c>
      <c r="AB986" s="33" t="s">
        <v>481</v>
      </c>
    </row>
    <row r="987" spans="2:28" ht="15" customHeight="1" x14ac:dyDescent="0.4">
      <c r="C987" s="34" t="s">
        <v>5</v>
      </c>
      <c r="D987" s="35">
        <v>45736</v>
      </c>
      <c r="E987" s="51" t="s">
        <v>42</v>
      </c>
      <c r="F987" s="33">
        <v>12</v>
      </c>
      <c r="G987" s="27">
        <f t="shared" si="21"/>
        <v>12</v>
      </c>
      <c r="H987" s="28" t="str">
        <f>VLOOKUP(E987,'Cadastro Produtos (kiwkiw)'!C:E,3,0)</f>
        <v>Brinco Arco Banho Ouro</v>
      </c>
      <c r="AB987" s="33" t="s">
        <v>481</v>
      </c>
    </row>
    <row r="988" spans="2:28" ht="15" customHeight="1" x14ac:dyDescent="0.4">
      <c r="B988" s="43"/>
      <c r="C988" s="34" t="s">
        <v>5</v>
      </c>
      <c r="D988" s="35">
        <v>45736</v>
      </c>
      <c r="E988" s="51" t="s">
        <v>46</v>
      </c>
      <c r="F988" s="33">
        <v>10</v>
      </c>
      <c r="G988" s="27">
        <f t="shared" si="21"/>
        <v>10</v>
      </c>
      <c r="H988" s="28" t="str">
        <f>VLOOKUP(E988,'Cadastro Produtos (kiwkiw)'!C:E,3,0)</f>
        <v>Brinco Bubble Pequeno Banho Ouro</v>
      </c>
      <c r="AB988" s="33" t="s">
        <v>481</v>
      </c>
    </row>
    <row r="989" spans="2:28" ht="15" customHeight="1" x14ac:dyDescent="0.4">
      <c r="C989" s="34" t="s">
        <v>5</v>
      </c>
      <c r="D989" s="35">
        <v>45736</v>
      </c>
      <c r="E989" s="51" t="s">
        <v>70</v>
      </c>
      <c r="F989" s="33">
        <v>8</v>
      </c>
      <c r="G989" s="27">
        <f t="shared" si="21"/>
        <v>8</v>
      </c>
      <c r="H989" s="28" t="str">
        <f>VLOOKUP(E989,'Cadastro Produtos (kiwkiw)'!C:E,3,0)</f>
        <v>Brinco Geometrico Banho Ouro</v>
      </c>
      <c r="AB989" s="33" t="s">
        <v>481</v>
      </c>
    </row>
    <row r="990" spans="2:28" ht="15" customHeight="1" x14ac:dyDescent="0.4">
      <c r="C990" s="34" t="s">
        <v>5</v>
      </c>
      <c r="D990" s="35">
        <v>45736</v>
      </c>
      <c r="E990" s="51" t="s">
        <v>53</v>
      </c>
      <c r="F990" s="33">
        <v>9</v>
      </c>
      <c r="G990" s="27">
        <f t="shared" si="21"/>
        <v>9</v>
      </c>
      <c r="H990" s="28" t="str">
        <f>VLOOKUP(E990,'Cadastro Produtos (kiwkiw)'!C:E,3,0)</f>
        <v>Brinco Infinito Banho Ouro</v>
      </c>
      <c r="AB990" s="33" t="s">
        <v>481</v>
      </c>
    </row>
    <row r="991" spans="2:28" ht="15" customHeight="1" x14ac:dyDescent="0.4">
      <c r="C991" s="34" t="s">
        <v>5</v>
      </c>
      <c r="D991" s="35">
        <v>45736</v>
      </c>
      <c r="E991" s="51" t="s">
        <v>54</v>
      </c>
      <c r="F991" s="33">
        <v>22</v>
      </c>
      <c r="G991" s="27">
        <f t="shared" si="21"/>
        <v>22</v>
      </c>
      <c r="H991" s="28" t="str">
        <f>VLOOKUP(E991,'Cadastro Produtos (kiwkiw)'!C:E,3,0)</f>
        <v>Brinco Ivy Banho Ouro</v>
      </c>
      <c r="AB991" s="33" t="s">
        <v>481</v>
      </c>
    </row>
    <row r="992" spans="2:28" ht="15" customHeight="1" x14ac:dyDescent="0.4">
      <c r="C992" s="34" t="s">
        <v>5</v>
      </c>
      <c r="D992" s="35">
        <v>45736</v>
      </c>
      <c r="E992" s="51" t="s">
        <v>55</v>
      </c>
      <c r="F992" s="33">
        <v>9</v>
      </c>
      <c r="G992" s="27">
        <f t="shared" si="21"/>
        <v>9</v>
      </c>
      <c r="H992" s="28" t="str">
        <f>VLOOKUP(E992,'Cadastro Produtos (kiwkiw)'!C:E,3,0)</f>
        <v>Brinco Ivy Prateado</v>
      </c>
      <c r="AB992" s="33" t="s">
        <v>481</v>
      </c>
    </row>
    <row r="993" spans="2:28" ht="15" customHeight="1" x14ac:dyDescent="0.4">
      <c r="C993" s="34" t="s">
        <v>5</v>
      </c>
      <c r="D993" s="35">
        <v>45736</v>
      </c>
      <c r="E993" s="51" t="s">
        <v>58</v>
      </c>
      <c r="F993" s="33">
        <v>20</v>
      </c>
      <c r="G993" s="27">
        <f t="shared" si="21"/>
        <v>20</v>
      </c>
      <c r="H993" s="28" t="str">
        <f>VLOOKUP(E993,'Cadastro Produtos (kiwkiw)'!C:E,3,0)</f>
        <v>Brinco Mini Triangulo Prateado</v>
      </c>
      <c r="AB993" s="33" t="s">
        <v>481</v>
      </c>
    </row>
    <row r="994" spans="2:28" ht="15" customHeight="1" x14ac:dyDescent="0.4">
      <c r="C994" s="34" t="s">
        <v>5</v>
      </c>
      <c r="D994" s="35">
        <v>45736</v>
      </c>
      <c r="E994" s="51" t="s">
        <v>59</v>
      </c>
      <c r="F994" s="33">
        <v>20</v>
      </c>
      <c r="G994" s="27">
        <f t="shared" si="21"/>
        <v>20</v>
      </c>
      <c r="H994" s="28" t="str">
        <f>VLOOKUP(E994,'Cadastro Produtos (kiwkiw)'!C:E,3,0)</f>
        <v>Brinco Oncinha Banho Ouro</v>
      </c>
      <c r="AB994" s="33" t="s">
        <v>481</v>
      </c>
    </row>
    <row r="995" spans="2:28" ht="15" customHeight="1" x14ac:dyDescent="0.4">
      <c r="C995" s="34" t="s">
        <v>5</v>
      </c>
      <c r="D995" s="35">
        <v>45736</v>
      </c>
      <c r="E995" s="51" t="s">
        <v>60</v>
      </c>
      <c r="F995" s="33">
        <v>19</v>
      </c>
      <c r="G995" s="27">
        <f t="shared" si="21"/>
        <v>19</v>
      </c>
      <c r="H995" s="28" t="str">
        <f>VLOOKUP(E995,'Cadastro Produtos (kiwkiw)'!C:E,3,0)</f>
        <v>Brinco Oncinha Prateado</v>
      </c>
      <c r="AB995" s="33" t="s">
        <v>481</v>
      </c>
    </row>
    <row r="996" spans="2:28" ht="15" customHeight="1" x14ac:dyDescent="0.4">
      <c r="C996" s="34" t="s">
        <v>5</v>
      </c>
      <c r="D996" s="35">
        <v>45736</v>
      </c>
      <c r="E996" s="51" t="s">
        <v>61</v>
      </c>
      <c r="F996" s="33">
        <v>10</v>
      </c>
      <c r="G996" s="27">
        <f t="shared" si="21"/>
        <v>10</v>
      </c>
      <c r="H996" s="28" t="str">
        <f>VLOOKUP(E996,'Cadastro Produtos (kiwkiw)'!C:E,3,0)</f>
        <v>Brinco Setas Banho Ouro</v>
      </c>
      <c r="AB996" s="33" t="s">
        <v>481</v>
      </c>
    </row>
    <row r="997" spans="2:28" ht="15" customHeight="1" x14ac:dyDescent="0.4">
      <c r="C997" s="34" t="s">
        <v>5</v>
      </c>
      <c r="D997" s="35">
        <v>45736</v>
      </c>
      <c r="E997" s="51" t="s">
        <v>62</v>
      </c>
      <c r="F997" s="33">
        <v>38</v>
      </c>
      <c r="G997" s="27">
        <f t="shared" si="21"/>
        <v>38</v>
      </c>
      <c r="H997" s="28" t="str">
        <f>VLOOKUP(E997,'Cadastro Produtos (kiwkiw)'!C:E,3,0)</f>
        <v>Brinco Sol Banho Ouro</v>
      </c>
      <c r="AB997" s="33" t="s">
        <v>481</v>
      </c>
    </row>
    <row r="998" spans="2:28" ht="15" customHeight="1" x14ac:dyDescent="0.4">
      <c r="C998" s="34" t="s">
        <v>5</v>
      </c>
      <c r="D998" s="35">
        <v>45736</v>
      </c>
      <c r="E998" s="51" t="s">
        <v>92</v>
      </c>
      <c r="F998" s="33">
        <v>30</v>
      </c>
      <c r="G998" s="27">
        <f t="shared" si="21"/>
        <v>30</v>
      </c>
      <c r="H998" s="28" t="str">
        <f>VLOOKUP(E998,'Cadastro Produtos (kiwkiw)'!C:E,3,0)</f>
        <v>Colar Coracao Banho Ouro</v>
      </c>
      <c r="AB998" s="33" t="s">
        <v>481</v>
      </c>
    </row>
    <row r="999" spans="2:28" ht="15" customHeight="1" x14ac:dyDescent="0.4">
      <c r="C999" s="34" t="s">
        <v>5</v>
      </c>
      <c r="D999" s="35">
        <v>45736</v>
      </c>
      <c r="E999" s="51" t="s">
        <v>93</v>
      </c>
      <c r="F999" s="33">
        <v>10</v>
      </c>
      <c r="G999" s="27">
        <f t="shared" si="21"/>
        <v>10</v>
      </c>
      <c r="H999" s="28" t="str">
        <f>VLOOKUP(E999,'Cadastro Produtos (kiwkiw)'!C:E,3,0)</f>
        <v>Colar Coracao Prateado</v>
      </c>
      <c r="AB999" s="33" t="s">
        <v>481</v>
      </c>
    </row>
    <row r="1000" spans="2:28" ht="15" customHeight="1" x14ac:dyDescent="0.4">
      <c r="C1000" s="34" t="s">
        <v>5</v>
      </c>
      <c r="D1000" s="35">
        <v>45736</v>
      </c>
      <c r="E1000" s="51" t="s">
        <v>89</v>
      </c>
      <c r="F1000" s="33">
        <v>6</v>
      </c>
      <c r="G1000" s="27">
        <f t="shared" si="21"/>
        <v>6</v>
      </c>
      <c r="H1000" s="28" t="str">
        <f>VLOOKUP(E1000,'Cadastro Produtos (kiwkiw)'!C:E,3,0)</f>
        <v>Colar Dot Banho Ouro</v>
      </c>
      <c r="AB1000" s="33" t="s">
        <v>481</v>
      </c>
    </row>
    <row r="1001" spans="2:28" ht="15" customHeight="1" x14ac:dyDescent="0.4">
      <c r="C1001" s="34" t="s">
        <v>5</v>
      </c>
      <c r="D1001" s="35">
        <v>45736</v>
      </c>
      <c r="E1001" s="51" t="s">
        <v>90</v>
      </c>
      <c r="F1001" s="33">
        <v>8</v>
      </c>
      <c r="G1001" s="27">
        <f t="shared" si="21"/>
        <v>8</v>
      </c>
      <c r="H1001" s="28" t="str">
        <f>VLOOKUP(E1001,'Cadastro Produtos (kiwkiw)'!C:E,3,0)</f>
        <v>Colar Dot Prateado</v>
      </c>
      <c r="AB1001" s="33" t="s">
        <v>481</v>
      </c>
    </row>
    <row r="1002" spans="2:28" ht="15" customHeight="1" x14ac:dyDescent="0.4">
      <c r="B1002" s="43"/>
      <c r="C1002" s="34" t="s">
        <v>5</v>
      </c>
      <c r="D1002" s="35">
        <v>45736</v>
      </c>
      <c r="E1002" s="51" t="s">
        <v>94</v>
      </c>
      <c r="F1002" s="33">
        <v>19</v>
      </c>
      <c r="G1002" s="27">
        <f t="shared" si="21"/>
        <v>19</v>
      </c>
      <c r="H1002" s="28" t="str">
        <f>VLOOKUP(E1002,'Cadastro Produtos (kiwkiw)'!C:E,3,0)</f>
        <v>Colar Duplo Dots Banho Ouro</v>
      </c>
      <c r="AB1002" s="33" t="s">
        <v>481</v>
      </c>
    </row>
    <row r="1003" spans="2:28" ht="15" customHeight="1" x14ac:dyDescent="0.4">
      <c r="C1003" s="34" t="s">
        <v>5</v>
      </c>
      <c r="D1003" s="35">
        <v>45736</v>
      </c>
      <c r="E1003" s="51" t="s">
        <v>95</v>
      </c>
      <c r="F1003" s="33">
        <v>9</v>
      </c>
      <c r="G1003" s="27">
        <f t="shared" si="21"/>
        <v>9</v>
      </c>
      <c r="H1003" s="28" t="str">
        <f>VLOOKUP(E1003,'Cadastro Produtos (kiwkiw)'!C:E,3,0)</f>
        <v>Colar Duplo Dots Prateado</v>
      </c>
      <c r="AB1003" s="33" t="s">
        <v>481</v>
      </c>
    </row>
    <row r="1004" spans="2:28" ht="15" customHeight="1" x14ac:dyDescent="0.4">
      <c r="C1004" s="34" t="s">
        <v>5</v>
      </c>
      <c r="D1004" s="35">
        <v>45736</v>
      </c>
      <c r="E1004" s="51" t="s">
        <v>96</v>
      </c>
      <c r="F1004" s="33">
        <v>9</v>
      </c>
      <c r="G1004" s="27">
        <f t="shared" si="21"/>
        <v>9</v>
      </c>
      <c r="H1004" s="28" t="str">
        <f>VLOOKUP(E1004,'Cadastro Produtos (kiwkiw)'!C:E,3,0)</f>
        <v>Colar Duplo Minimal Banho Ouro</v>
      </c>
      <c r="AB1004" s="33" t="s">
        <v>481</v>
      </c>
    </row>
    <row r="1005" spans="2:28" ht="15" customHeight="1" x14ac:dyDescent="0.4">
      <c r="C1005" s="34" t="s">
        <v>5</v>
      </c>
      <c r="D1005" s="35">
        <v>45736</v>
      </c>
      <c r="E1005" s="51" t="s">
        <v>97</v>
      </c>
      <c r="F1005" s="33">
        <v>20</v>
      </c>
      <c r="G1005" s="27">
        <f t="shared" si="21"/>
        <v>20</v>
      </c>
      <c r="H1005" s="28" t="str">
        <f>VLOOKUP(E1005,'Cadastro Produtos (kiwkiw)'!C:E,3,0)</f>
        <v>Colar Duplo Minimal Prateado</v>
      </c>
      <c r="AB1005" s="33" t="s">
        <v>481</v>
      </c>
    </row>
    <row r="1006" spans="2:28" ht="15" customHeight="1" x14ac:dyDescent="0.4">
      <c r="C1006" s="34" t="s">
        <v>5</v>
      </c>
      <c r="D1006" s="35">
        <v>45736</v>
      </c>
      <c r="E1006" s="51" t="s">
        <v>99</v>
      </c>
      <c r="F1006" s="33">
        <v>9</v>
      </c>
      <c r="G1006" s="27">
        <f t="shared" si="21"/>
        <v>9</v>
      </c>
      <c r="H1006" s="28" t="str">
        <f>VLOOKUP(E1006,'Cadastro Produtos (kiwkiw)'!C:E,3,0)</f>
        <v>Colar Esfera Medio Banho Ouro</v>
      </c>
      <c r="AB1006" s="33" t="s">
        <v>481</v>
      </c>
    </row>
    <row r="1007" spans="2:28" ht="15" customHeight="1" x14ac:dyDescent="0.4">
      <c r="C1007" s="34" t="s">
        <v>5</v>
      </c>
      <c r="D1007" s="35">
        <v>45736</v>
      </c>
      <c r="E1007" s="51" t="s">
        <v>103</v>
      </c>
      <c r="F1007" s="33">
        <v>9</v>
      </c>
      <c r="G1007" s="27">
        <f t="shared" si="21"/>
        <v>9</v>
      </c>
      <c r="H1007" s="28" t="str">
        <f>VLOOKUP(E1007,'Cadastro Produtos (kiwkiw)'!C:E,3,0)</f>
        <v>Colar Ivy Banho Ouro</v>
      </c>
      <c r="AB1007" s="33" t="s">
        <v>481</v>
      </c>
    </row>
    <row r="1008" spans="2:28" ht="15" customHeight="1" x14ac:dyDescent="0.4">
      <c r="C1008" s="34" t="s">
        <v>5</v>
      </c>
      <c r="D1008" s="35">
        <v>45736</v>
      </c>
      <c r="E1008" s="51" t="s">
        <v>104</v>
      </c>
      <c r="F1008" s="33">
        <v>10</v>
      </c>
      <c r="G1008" s="27">
        <f t="shared" si="21"/>
        <v>10</v>
      </c>
      <c r="H1008" s="28" t="str">
        <f>VLOOKUP(E1008,'Cadastro Produtos (kiwkiw)'!C:E,3,0)</f>
        <v>Colar Ivy Prateado</v>
      </c>
      <c r="AB1008" s="33" t="s">
        <v>481</v>
      </c>
    </row>
    <row r="1009" spans="3:28" ht="15" customHeight="1" x14ac:dyDescent="0.4">
      <c r="C1009" s="34" t="s">
        <v>5</v>
      </c>
      <c r="D1009" s="35">
        <v>45736</v>
      </c>
      <c r="E1009" s="51" t="s">
        <v>91</v>
      </c>
      <c r="F1009" s="33">
        <v>20</v>
      </c>
      <c r="G1009" s="27">
        <f t="shared" si="21"/>
        <v>20</v>
      </c>
      <c r="H1009" s="28" t="str">
        <f>VLOOKUP(E1009,'Cadastro Produtos (kiwkiw)'!C:E,3,0)</f>
        <v>Colar Rosa dos Ventos Banho Ouro</v>
      </c>
      <c r="AB1009" s="33" t="s">
        <v>481</v>
      </c>
    </row>
    <row r="1010" spans="3:28" ht="15" customHeight="1" x14ac:dyDescent="0.4">
      <c r="C1010" s="34" t="s">
        <v>5</v>
      </c>
      <c r="D1010" s="35">
        <v>45736</v>
      </c>
      <c r="E1010" s="51" t="s">
        <v>71</v>
      </c>
      <c r="F1010" s="33">
        <v>8</v>
      </c>
      <c r="G1010" s="27">
        <f t="shared" si="21"/>
        <v>8</v>
      </c>
      <c r="H1010" s="28" t="str">
        <f>VLOOKUP(E1010,'Cadastro Produtos (kiwkiw)'!C:E,3,0)</f>
        <v>Ear Cuff Minimal Banho Ouro</v>
      </c>
      <c r="AB1010" s="33" t="s">
        <v>481</v>
      </c>
    </row>
    <row r="1011" spans="3:28" ht="15" customHeight="1" x14ac:dyDescent="0.4">
      <c r="C1011" s="34" t="s">
        <v>5</v>
      </c>
      <c r="D1011" s="35">
        <v>45736</v>
      </c>
      <c r="E1011" s="51" t="s">
        <v>74</v>
      </c>
      <c r="F1011" s="33">
        <v>2</v>
      </c>
      <c r="G1011" s="27">
        <f t="shared" si="21"/>
        <v>2</v>
      </c>
      <c r="H1011" s="28" t="str">
        <f>VLOOKUP(E1011,'Cadastro Produtos (kiwkiw)'!C:E,3,0)</f>
        <v>Ear Hook Hug Banho Ouro</v>
      </c>
      <c r="AB1011" s="33" t="s">
        <v>481</v>
      </c>
    </row>
    <row r="1012" spans="3:28" ht="15" customHeight="1" x14ac:dyDescent="0.4">
      <c r="C1012" s="34" t="s">
        <v>5</v>
      </c>
      <c r="D1012" s="35">
        <v>45736</v>
      </c>
      <c r="E1012" s="51" t="s">
        <v>116</v>
      </c>
      <c r="F1012" s="33">
        <v>10</v>
      </c>
      <c r="G1012" s="27">
        <f t="shared" si="21"/>
        <v>10</v>
      </c>
      <c r="H1012" s="28" t="str">
        <f>VLOOKUP(E1012,'Cadastro Produtos (kiwkiw)'!C:E,3,0)</f>
        <v>Gargantilha Dots Banho Ouro</v>
      </c>
      <c r="AB1012" s="33" t="s">
        <v>481</v>
      </c>
    </row>
    <row r="1013" spans="3:28" ht="15" customHeight="1" x14ac:dyDescent="0.4">
      <c r="C1013" s="34" t="s">
        <v>5</v>
      </c>
      <c r="D1013" s="35">
        <v>45736</v>
      </c>
      <c r="E1013" s="51" t="s">
        <v>112</v>
      </c>
      <c r="F1013" s="33">
        <v>9</v>
      </c>
      <c r="G1013" s="27">
        <f t="shared" si="21"/>
        <v>9</v>
      </c>
      <c r="H1013" s="28" t="str">
        <f>VLOOKUP(E1013,'Cadastro Produtos (kiwkiw)'!C:E,3,0)</f>
        <v>Gargantilha Escama Banho Ouro</v>
      </c>
      <c r="AB1013" s="33" t="s">
        <v>481</v>
      </c>
    </row>
    <row r="1014" spans="3:28" ht="15" customHeight="1" x14ac:dyDescent="0.4">
      <c r="C1014" s="34" t="s">
        <v>5</v>
      </c>
      <c r="D1014" s="35">
        <v>45736</v>
      </c>
      <c r="E1014" s="51" t="s">
        <v>113</v>
      </c>
      <c r="F1014" s="33">
        <v>10</v>
      </c>
      <c r="G1014" s="27">
        <f t="shared" si="21"/>
        <v>10</v>
      </c>
      <c r="H1014" s="28" t="str">
        <f>VLOOKUP(E1014,'Cadastro Produtos (kiwkiw)'!C:E,3,0)</f>
        <v>Gargantilha Escama Prateada</v>
      </c>
      <c r="AB1014" s="33" t="s">
        <v>481</v>
      </c>
    </row>
    <row r="1015" spans="3:28" ht="15" customHeight="1" x14ac:dyDescent="0.4">
      <c r="C1015" s="34" t="s">
        <v>5</v>
      </c>
      <c r="D1015" s="35">
        <v>45736</v>
      </c>
      <c r="E1015" s="51" t="s">
        <v>115</v>
      </c>
      <c r="F1015" s="33">
        <v>9</v>
      </c>
      <c r="G1015" s="27">
        <f t="shared" si="21"/>
        <v>9</v>
      </c>
      <c r="H1015" s="28" t="str">
        <f>VLOOKUP(E1015,'Cadastro Produtos (kiwkiw)'!C:E,3,0)</f>
        <v>Gargantilha Fita Prateada</v>
      </c>
      <c r="AB1015" s="33" t="s">
        <v>481</v>
      </c>
    </row>
    <row r="1016" spans="3:28" ht="15" customHeight="1" x14ac:dyDescent="0.4">
      <c r="C1016" s="34" t="s">
        <v>5</v>
      </c>
      <c r="D1016" s="35">
        <v>45736</v>
      </c>
      <c r="E1016" s="51" t="s">
        <v>114</v>
      </c>
      <c r="F1016" s="33">
        <v>18</v>
      </c>
      <c r="G1016" s="27">
        <f t="shared" si="21"/>
        <v>18</v>
      </c>
      <c r="H1016" s="28" t="str">
        <f>VLOOKUP(E1016,'Cadastro Produtos (kiwkiw)'!C:E,3,0)</f>
        <v>Gargantilha Fita Banho Ouro</v>
      </c>
      <c r="AB1016" s="33" t="s">
        <v>481</v>
      </c>
    </row>
    <row r="1017" spans="3:28" ht="15" customHeight="1" x14ac:dyDescent="0.4">
      <c r="C1017" s="34" t="s">
        <v>5</v>
      </c>
      <c r="D1017" s="35">
        <v>45736</v>
      </c>
      <c r="E1017" s="51" t="s">
        <v>117</v>
      </c>
      <c r="F1017" s="33">
        <v>18</v>
      </c>
      <c r="G1017" s="27">
        <f t="shared" si="21"/>
        <v>18</v>
      </c>
      <c r="H1017" s="28" t="str">
        <f>VLOOKUP(E1017,'Cadastro Produtos (kiwkiw)'!C:E,3,0)</f>
        <v>Gargantilha Minimal Banho Ouro</v>
      </c>
      <c r="AB1017" s="33" t="s">
        <v>481</v>
      </c>
    </row>
    <row r="1018" spans="3:28" ht="15" customHeight="1" x14ac:dyDescent="0.4">
      <c r="C1018" s="34" t="s">
        <v>5</v>
      </c>
      <c r="D1018" s="35">
        <v>45736</v>
      </c>
      <c r="E1018" s="51" t="s">
        <v>131</v>
      </c>
      <c r="F1018" s="33">
        <v>17</v>
      </c>
      <c r="G1018" s="27">
        <f t="shared" si="21"/>
        <v>17</v>
      </c>
      <c r="H1018" s="28" t="str">
        <f>VLOOKUP(E1018,'Cadastro Produtos (kiwkiw)'!C:E,3,0)</f>
        <v>Colar Brave Perolado Banho Ouro</v>
      </c>
      <c r="AB1018" s="33" t="s">
        <v>481</v>
      </c>
    </row>
    <row r="1019" spans="3:28" ht="15" customHeight="1" x14ac:dyDescent="0.4">
      <c r="C1019" s="34" t="s">
        <v>5</v>
      </c>
      <c r="D1019" s="35">
        <v>45736</v>
      </c>
      <c r="E1019" s="51" t="s">
        <v>132</v>
      </c>
      <c r="F1019" s="33">
        <v>10</v>
      </c>
      <c r="G1019" s="27">
        <f t="shared" si="21"/>
        <v>10</v>
      </c>
      <c r="H1019" s="28" t="str">
        <f>VLOOKUP(E1019,'Cadastro Produtos (kiwkiw)'!C:E,3,0)</f>
        <v>Colar Brave Preto Banho Ouro</v>
      </c>
      <c r="AB1019" s="33" t="s">
        <v>481</v>
      </c>
    </row>
    <row r="1020" spans="3:28" ht="15" customHeight="1" x14ac:dyDescent="0.4">
      <c r="C1020" s="34" t="s">
        <v>5</v>
      </c>
      <c r="D1020" s="35">
        <v>45736</v>
      </c>
      <c r="E1020" s="51" t="s">
        <v>83</v>
      </c>
      <c r="F1020" s="33">
        <v>9</v>
      </c>
      <c r="G1020" s="27">
        <f t="shared" si="21"/>
        <v>9</v>
      </c>
      <c r="H1020" s="28" t="str">
        <f>VLOOKUP(E1020,'Cadastro Produtos (kiwkiw)'!C:E,3,0)</f>
        <v>Mini Argola Classy Banho Ouro</v>
      </c>
      <c r="AB1020" s="33" t="s">
        <v>481</v>
      </c>
    </row>
    <row r="1021" spans="3:28" ht="15" customHeight="1" x14ac:dyDescent="0.4">
      <c r="C1021" s="34" t="s">
        <v>5</v>
      </c>
      <c r="D1021" s="35">
        <v>45736</v>
      </c>
      <c r="E1021" s="51" t="s">
        <v>84</v>
      </c>
      <c r="F1021" s="33">
        <v>9</v>
      </c>
      <c r="G1021" s="27">
        <f t="shared" si="21"/>
        <v>9</v>
      </c>
      <c r="H1021" s="28" t="str">
        <f>VLOOKUP(E1021,'Cadastro Produtos (kiwkiw)'!C:E,3,0)</f>
        <v>Mini Argola Classy Prateada</v>
      </c>
      <c r="AB1021" s="33" t="s">
        <v>481</v>
      </c>
    </row>
    <row r="1022" spans="3:28" ht="15" customHeight="1" x14ac:dyDescent="0.4">
      <c r="C1022" s="34" t="s">
        <v>5</v>
      </c>
      <c r="D1022" s="35">
        <v>45736</v>
      </c>
      <c r="E1022" s="51" t="s">
        <v>87</v>
      </c>
      <c r="F1022" s="33">
        <v>6</v>
      </c>
      <c r="G1022" s="27">
        <f t="shared" si="21"/>
        <v>6</v>
      </c>
      <c r="H1022" s="28" t="str">
        <f>VLOOKUP(E1022,'Cadastro Produtos (kiwkiw)'!C:E,3,0)</f>
        <v>Piercing Fake Classy Banho Ouro</v>
      </c>
      <c r="AB1022" s="33" t="s">
        <v>481</v>
      </c>
    </row>
    <row r="1023" spans="3:28" ht="15" customHeight="1" x14ac:dyDescent="0.4">
      <c r="C1023" s="34" t="s">
        <v>5</v>
      </c>
      <c r="D1023" s="35">
        <v>45736</v>
      </c>
      <c r="E1023" s="51" t="s">
        <v>86</v>
      </c>
      <c r="F1023" s="33">
        <v>9</v>
      </c>
      <c r="G1023" s="27">
        <f t="shared" si="21"/>
        <v>9</v>
      </c>
      <c r="H1023" s="28" t="str">
        <f>VLOOKUP(E1023,'Cadastro Produtos (kiwkiw)'!C:E,3,0)</f>
        <v>Piercing Fake Minimal Banho Ouro</v>
      </c>
      <c r="AB1023" s="33" t="s">
        <v>481</v>
      </c>
    </row>
    <row r="1024" spans="3:28" ht="15" customHeight="1" x14ac:dyDescent="0.4">
      <c r="C1024" s="34" t="s">
        <v>5</v>
      </c>
      <c r="D1024" s="35">
        <v>45736</v>
      </c>
      <c r="E1024" s="51" t="s">
        <v>124</v>
      </c>
      <c r="F1024" s="33">
        <v>10</v>
      </c>
      <c r="G1024" s="27">
        <f t="shared" si="21"/>
        <v>10</v>
      </c>
      <c r="H1024" s="28" t="str">
        <f>VLOOKUP(E1024,'Cadastro Produtos (kiwkiw)'!C:E,3,0)</f>
        <v>Pulseira Fita Textura Banho Ouro</v>
      </c>
      <c r="AB1024" s="33" t="s">
        <v>481</v>
      </c>
    </row>
    <row r="1025" spans="2:28" ht="15" customHeight="1" x14ac:dyDescent="0.4">
      <c r="C1025" s="34" t="s">
        <v>5</v>
      </c>
      <c r="D1025" s="35">
        <v>45736</v>
      </c>
      <c r="E1025" s="51" t="s">
        <v>127</v>
      </c>
      <c r="F1025" s="33">
        <v>10</v>
      </c>
      <c r="G1025" s="27">
        <f t="shared" si="21"/>
        <v>10</v>
      </c>
      <c r="H1025" s="28" t="str">
        <f>VLOOKUP(E1025,'Cadastro Produtos (kiwkiw)'!C:E,3,0)</f>
        <v>Pulseira Minimal Banho Ouro</v>
      </c>
      <c r="AB1025" s="33" t="s">
        <v>481</v>
      </c>
    </row>
    <row r="1026" spans="2:28" ht="15" customHeight="1" x14ac:dyDescent="0.4">
      <c r="C1026" s="34" t="s">
        <v>5</v>
      </c>
      <c r="D1026" s="35">
        <v>45736</v>
      </c>
      <c r="E1026" s="51" t="s">
        <v>129</v>
      </c>
      <c r="F1026" s="33">
        <v>20</v>
      </c>
      <c r="G1026" s="27">
        <f t="shared" si="21"/>
        <v>20</v>
      </c>
      <c r="H1026" s="28" t="str">
        <f>VLOOKUP(E1026,'Cadastro Produtos (kiwkiw)'!C:E,3,0)</f>
        <v>Pulseira Snake Banho Ouro</v>
      </c>
      <c r="AB1026" s="33" t="s">
        <v>481</v>
      </c>
    </row>
    <row r="1027" spans="2:28" ht="15" customHeight="1" x14ac:dyDescent="0.4">
      <c r="C1027" s="34" t="s">
        <v>5</v>
      </c>
      <c r="D1027" s="35">
        <v>45736</v>
      </c>
      <c r="E1027" s="51" t="s">
        <v>130</v>
      </c>
      <c r="F1027" s="33">
        <v>19</v>
      </c>
      <c r="G1027" s="27">
        <f t="shared" si="21"/>
        <v>19</v>
      </c>
      <c r="H1027" s="28" t="str">
        <f>VLOOKUP(E1027,'Cadastro Produtos (kiwkiw)'!C:E,3,0)</f>
        <v>Pulseira Snake Prateada</v>
      </c>
      <c r="AB1027" s="33" t="s">
        <v>481</v>
      </c>
    </row>
    <row r="1028" spans="2:28" ht="15" customHeight="1" x14ac:dyDescent="0.4">
      <c r="C1028" s="34" t="s">
        <v>5</v>
      </c>
      <c r="D1028" s="35">
        <v>45736</v>
      </c>
      <c r="E1028" s="51" t="s">
        <v>30</v>
      </c>
      <c r="F1028" s="33">
        <v>2</v>
      </c>
      <c r="G1028" s="27">
        <f t="shared" si="21"/>
        <v>2</v>
      </c>
      <c r="H1028" s="28" t="str">
        <f>VLOOKUP(E1028,'Cadastro Produtos (kiwkiw)'!C:E,3,0)</f>
        <v>Argola Organica Banho Ouro</v>
      </c>
      <c r="AB1028" s="33" t="s">
        <v>481</v>
      </c>
    </row>
    <row r="1029" spans="2:28" ht="15" customHeight="1" x14ac:dyDescent="0.4">
      <c r="C1029" s="34" t="s">
        <v>5</v>
      </c>
      <c r="D1029" s="35">
        <v>45742</v>
      </c>
      <c r="E1029" s="51" t="s">
        <v>25</v>
      </c>
      <c r="F1029" s="33">
        <v>1</v>
      </c>
      <c r="G1029" s="27">
        <f t="shared" si="21"/>
        <v>1</v>
      </c>
      <c r="H1029" s="28" t="str">
        <f>VLOOKUP(E1029,'Cadastro Produtos (kiwkiw)'!C:E,3,0)</f>
        <v>Argola Amy Banho Ouro</v>
      </c>
      <c r="I1029" s="32" t="s">
        <v>482</v>
      </c>
    </row>
    <row r="1030" spans="2:28" ht="15" customHeight="1" x14ac:dyDescent="0.4">
      <c r="B1030" s="43">
        <v>45743.423472222225</v>
      </c>
      <c r="C1030" s="34" t="s">
        <v>6</v>
      </c>
      <c r="D1030" s="35">
        <v>45743</v>
      </c>
      <c r="E1030" s="51" t="s">
        <v>85</v>
      </c>
      <c r="F1030" s="33">
        <v>1</v>
      </c>
      <c r="G1030" s="27">
        <f t="shared" si="21"/>
        <v>-1</v>
      </c>
      <c r="H1030" s="28" t="str">
        <f>VLOOKUP(E1030,'Cadastro Produtos (kiwkiw)'!C:E,3,0)</f>
        <v>Piercing Fake Dots Banho Ouro</v>
      </c>
      <c r="AB1030" s="33" t="s">
        <v>483</v>
      </c>
    </row>
    <row r="1031" spans="2:28" ht="15" customHeight="1" x14ac:dyDescent="0.4">
      <c r="C1031" s="34" t="s">
        <v>6</v>
      </c>
      <c r="D1031" s="35">
        <v>45743</v>
      </c>
      <c r="E1031" s="51" t="s">
        <v>85</v>
      </c>
      <c r="F1031" s="33">
        <v>1</v>
      </c>
      <c r="G1031" s="27">
        <f t="shared" si="21"/>
        <v>-1</v>
      </c>
      <c r="H1031" s="28" t="str">
        <f>VLOOKUP(E1031,'Cadastro Produtos (kiwkiw)'!C:E,3,0)</f>
        <v>Piercing Fake Dots Banho Ouro</v>
      </c>
      <c r="AB1031" s="33" t="s">
        <v>484</v>
      </c>
    </row>
    <row r="1032" spans="2:28" ht="15" customHeight="1" x14ac:dyDescent="0.4">
      <c r="C1032" s="34" t="s">
        <v>6</v>
      </c>
      <c r="D1032" s="35">
        <v>45743</v>
      </c>
      <c r="E1032" s="51" t="s">
        <v>28</v>
      </c>
      <c r="F1032" s="33">
        <v>1</v>
      </c>
      <c r="G1032" s="27">
        <f t="shared" si="21"/>
        <v>-1</v>
      </c>
      <c r="H1032" s="28" t="str">
        <f>VLOOKUP(E1032,'Cadastro Produtos (kiwkiw)'!C:E,3,0)</f>
        <v>Argola Click Pequena Banho Ouro</v>
      </c>
      <c r="AB1032" s="33" t="s">
        <v>484</v>
      </c>
    </row>
    <row r="1033" spans="2:28" ht="15" customHeight="1" x14ac:dyDescent="0.4">
      <c r="C1033" s="34" t="s">
        <v>6</v>
      </c>
      <c r="D1033" s="35">
        <v>45743</v>
      </c>
      <c r="E1033" s="51" t="s">
        <v>77</v>
      </c>
      <c r="F1033" s="33">
        <v>1</v>
      </c>
      <c r="G1033" s="27">
        <f t="shared" si="21"/>
        <v>-1</v>
      </c>
      <c r="H1033" s="28" t="str">
        <f>VLOOKUP(E1033,'Cadastro Produtos (kiwkiw)'!C:E,3,0)</f>
        <v>EarHook Torcido Banho Ouro</v>
      </c>
      <c r="AB1033" s="33" t="s">
        <v>484</v>
      </c>
    </row>
    <row r="1034" spans="2:28" ht="15" customHeight="1" x14ac:dyDescent="0.4">
      <c r="B1034" s="43">
        <v>45747.427476851852</v>
      </c>
      <c r="C1034" s="34" t="s">
        <v>6</v>
      </c>
      <c r="D1034" s="35">
        <v>45747</v>
      </c>
      <c r="E1034" s="51" t="s">
        <v>114</v>
      </c>
      <c r="F1034" s="33">
        <v>1</v>
      </c>
      <c r="G1034" s="27">
        <f t="shared" si="21"/>
        <v>-1</v>
      </c>
      <c r="H1034" s="28" t="str">
        <f>VLOOKUP(E1034,'Cadastro Produtos (kiwkiw)'!C:E,3,0)</f>
        <v>Gargantilha Fita Banho Ouro</v>
      </c>
      <c r="AB1034" s="33" t="s">
        <v>485</v>
      </c>
    </row>
    <row r="1035" spans="2:28" ht="15" customHeight="1" x14ac:dyDescent="0.4">
      <c r="C1035" s="34" t="s">
        <v>6</v>
      </c>
      <c r="D1035" s="35">
        <v>45747</v>
      </c>
      <c r="E1035" s="51" t="s">
        <v>68</v>
      </c>
      <c r="F1035" s="33">
        <v>1</v>
      </c>
      <c r="G1035" s="27">
        <f t="shared" si="21"/>
        <v>-1</v>
      </c>
      <c r="H1035" s="28" t="str">
        <f>VLOOKUP(E1035,'Cadastro Produtos (kiwkiw)'!C:E,3,0)</f>
        <v>Brinco Tubinho Medio Banho Ouro</v>
      </c>
      <c r="AB1035" s="33" t="s">
        <v>486</v>
      </c>
    </row>
    <row r="1036" spans="2:28" ht="15" customHeight="1" x14ac:dyDescent="0.4">
      <c r="C1036" s="34" t="s">
        <v>6</v>
      </c>
      <c r="D1036" s="35">
        <v>45747</v>
      </c>
      <c r="E1036" s="51" t="s">
        <v>69</v>
      </c>
      <c r="F1036" s="33">
        <v>1</v>
      </c>
      <c r="G1036" s="27">
        <f t="shared" si="21"/>
        <v>-1</v>
      </c>
      <c r="H1036" s="28" t="str">
        <f>VLOOKUP(E1036,'Cadastro Produtos (kiwkiw)'!C:E,3,0)</f>
        <v>Brinco Tubinho Pequeno Banho Ouro</v>
      </c>
      <c r="AB1036" s="33" t="s">
        <v>486</v>
      </c>
    </row>
    <row r="1037" spans="2:28" ht="15" customHeight="1" x14ac:dyDescent="0.4">
      <c r="C1037" s="34" t="s">
        <v>6</v>
      </c>
      <c r="D1037" s="35">
        <v>45747</v>
      </c>
      <c r="E1037" s="51" t="s">
        <v>67</v>
      </c>
      <c r="F1037" s="33">
        <v>1</v>
      </c>
      <c r="G1037" s="27">
        <f t="shared" si="21"/>
        <v>-1</v>
      </c>
      <c r="H1037" s="28" t="str">
        <f>VLOOKUP(E1037,'Cadastro Produtos (kiwkiw)'!C:E,3,0)</f>
        <v>Brinco Tubinho Grande Banho Ouro</v>
      </c>
      <c r="AB1037" s="33" t="s">
        <v>486</v>
      </c>
    </row>
    <row r="1038" spans="2:28" ht="15" customHeight="1" x14ac:dyDescent="0.4">
      <c r="B1038" s="43">
        <v>45748.430555555555</v>
      </c>
      <c r="C1038" s="34" t="s">
        <v>6</v>
      </c>
      <c r="D1038" s="35">
        <v>45748</v>
      </c>
      <c r="E1038" s="51" t="s">
        <v>119</v>
      </c>
      <c r="F1038" s="33">
        <v>1</v>
      </c>
      <c r="G1038" s="27">
        <f t="shared" si="21"/>
        <v>-1</v>
      </c>
      <c r="H1038" s="28" t="str">
        <f>VLOOKUP(E1038,'Cadastro Produtos (kiwkiw)'!C:E,3,0)</f>
        <v>Bracelete Line Banho Ouro</v>
      </c>
      <c r="AB1038" s="33" t="s">
        <v>487</v>
      </c>
    </row>
    <row r="1039" spans="2:28" ht="15" customHeight="1" x14ac:dyDescent="0.4">
      <c r="C1039" s="34" t="s">
        <v>6</v>
      </c>
      <c r="D1039" s="35">
        <v>45748</v>
      </c>
      <c r="E1039" s="51" t="s">
        <v>85</v>
      </c>
      <c r="F1039" s="33">
        <v>1</v>
      </c>
      <c r="G1039" s="27">
        <f t="shared" si="21"/>
        <v>-1</v>
      </c>
      <c r="H1039" s="28" t="str">
        <f>VLOOKUP(E1039,'Cadastro Produtos (kiwkiw)'!C:E,3,0)</f>
        <v>Piercing Fake Dots Banho Ouro</v>
      </c>
      <c r="AB1039" s="33" t="s">
        <v>488</v>
      </c>
    </row>
    <row r="1040" spans="2:28" ht="15" customHeight="1" x14ac:dyDescent="0.4">
      <c r="B1040" s="43">
        <v>45750.421898148146</v>
      </c>
      <c r="C1040" s="34" t="s">
        <v>6</v>
      </c>
      <c r="D1040" s="35">
        <v>45750</v>
      </c>
      <c r="E1040" s="51" t="s">
        <v>85</v>
      </c>
      <c r="F1040" s="33">
        <v>1</v>
      </c>
      <c r="G1040" s="27">
        <f t="shared" si="21"/>
        <v>-1</v>
      </c>
      <c r="H1040" s="28" t="str">
        <f>VLOOKUP(E1040,'Cadastro Produtos (kiwkiw)'!C:E,3,0)</f>
        <v>Piercing Fake Dots Banho Ouro</v>
      </c>
      <c r="AB1040" s="33" t="s">
        <v>489</v>
      </c>
    </row>
    <row r="1041" spans="2:28" ht="15" customHeight="1" x14ac:dyDescent="0.4">
      <c r="B1041" s="43">
        <v>45751.423692129632</v>
      </c>
      <c r="C1041" s="34" t="s">
        <v>6</v>
      </c>
      <c r="D1041" s="35">
        <v>45751</v>
      </c>
      <c r="E1041" s="51" t="s">
        <v>77</v>
      </c>
      <c r="F1041" s="33">
        <v>1</v>
      </c>
      <c r="G1041" s="27">
        <f t="shared" si="21"/>
        <v>-1</v>
      </c>
      <c r="H1041" s="28" t="str">
        <f>VLOOKUP(E1041,'Cadastro Produtos (kiwkiw)'!C:E,3,0)</f>
        <v>EarHook Torcido Banho Ouro</v>
      </c>
      <c r="AB1041" s="33" t="s">
        <v>490</v>
      </c>
    </row>
    <row r="1042" spans="2:28" ht="15" customHeight="1" x14ac:dyDescent="0.4">
      <c r="C1042" s="34" t="s">
        <v>6</v>
      </c>
      <c r="D1042" s="35">
        <v>45751</v>
      </c>
      <c r="E1042" s="51" t="s">
        <v>61</v>
      </c>
      <c r="F1042" s="33">
        <v>1</v>
      </c>
      <c r="G1042" s="27">
        <f t="shared" si="21"/>
        <v>-1</v>
      </c>
      <c r="H1042" s="28" t="str">
        <f>VLOOKUP(E1042,'Cadastro Produtos (kiwkiw)'!C:E,3,0)</f>
        <v>Brinco Setas Banho Ouro</v>
      </c>
      <c r="AB1042" s="33" t="s">
        <v>490</v>
      </c>
    </row>
    <row r="1043" spans="2:28" ht="15" customHeight="1" x14ac:dyDescent="0.4">
      <c r="B1043" s="43">
        <v>45754.447847222225</v>
      </c>
      <c r="C1043" s="34" t="s">
        <v>6</v>
      </c>
      <c r="D1043" s="35">
        <v>45754</v>
      </c>
      <c r="E1043" s="51" t="s">
        <v>127</v>
      </c>
      <c r="F1043" s="33">
        <v>1</v>
      </c>
      <c r="G1043" s="27">
        <f t="shared" si="21"/>
        <v>-1</v>
      </c>
      <c r="H1043" s="28" t="str">
        <f>VLOOKUP(E1043,'Cadastro Produtos (kiwkiw)'!C:E,3,0)</f>
        <v>Pulseira Minimal Banho Ouro</v>
      </c>
      <c r="AB1043" s="33" t="s">
        <v>491</v>
      </c>
    </row>
    <row r="1044" spans="2:28" ht="15" customHeight="1" x14ac:dyDescent="0.4">
      <c r="C1044" s="34" t="s">
        <v>6</v>
      </c>
      <c r="D1044" s="35">
        <v>45754</v>
      </c>
      <c r="E1044" s="51" t="s">
        <v>102</v>
      </c>
      <c r="F1044" s="33">
        <v>1</v>
      </c>
      <c r="G1044" s="27">
        <f t="shared" ref="G1044:G1107" si="22">IF(C1044="Entrada",F1044,-F1044)</f>
        <v>-1</v>
      </c>
      <c r="H1044" s="28" t="str">
        <f>VLOOKUP(E1044,'Cadastro Produtos (kiwkiw)'!C:E,3,0)</f>
        <v>Colar Longo Lua Banho Ouro</v>
      </c>
      <c r="AB1044" s="33" t="s">
        <v>491</v>
      </c>
    </row>
    <row r="1045" spans="2:28" ht="15" customHeight="1" x14ac:dyDescent="0.4">
      <c r="C1045" s="34" t="s">
        <v>6</v>
      </c>
      <c r="D1045" s="35">
        <v>45754</v>
      </c>
      <c r="E1045" s="51" t="s">
        <v>114</v>
      </c>
      <c r="F1045" s="33">
        <v>1</v>
      </c>
      <c r="G1045" s="27">
        <f t="shared" si="22"/>
        <v>-1</v>
      </c>
      <c r="H1045" s="28" t="str">
        <f>VLOOKUP(E1045,'Cadastro Produtos (kiwkiw)'!C:E,3,0)</f>
        <v>Gargantilha Fita Banho Ouro</v>
      </c>
      <c r="AB1045" s="33" t="s">
        <v>492</v>
      </c>
    </row>
    <row r="1046" spans="2:28" ht="15" customHeight="1" x14ac:dyDescent="0.4">
      <c r="C1046" s="34" t="s">
        <v>6</v>
      </c>
      <c r="D1046" s="35">
        <v>45754</v>
      </c>
      <c r="E1046" s="51" t="s">
        <v>121</v>
      </c>
      <c r="F1046" s="33">
        <v>1</v>
      </c>
      <c r="G1046" s="27">
        <f t="shared" si="22"/>
        <v>-1</v>
      </c>
      <c r="H1046" s="28" t="str">
        <f>VLOOKUP(E1046,'Cadastro Produtos (kiwkiw)'!C:E,3,0)</f>
        <v>Bracelete Wave Banho Ouro</v>
      </c>
      <c r="AB1046" s="33" t="s">
        <v>493</v>
      </c>
    </row>
    <row r="1047" spans="2:28" ht="15" customHeight="1" x14ac:dyDescent="0.4">
      <c r="B1047" s="43">
        <v>45757.437013888892</v>
      </c>
      <c r="C1047" s="34" t="s">
        <v>6</v>
      </c>
      <c r="D1047" s="35">
        <v>45757</v>
      </c>
      <c r="E1047" s="51" t="s">
        <v>68</v>
      </c>
      <c r="F1047" s="33">
        <v>1</v>
      </c>
      <c r="G1047" s="27">
        <f t="shared" si="22"/>
        <v>-1</v>
      </c>
      <c r="H1047" s="28" t="str">
        <f>VLOOKUP(E1047,'Cadastro Produtos (kiwkiw)'!C:E,3,0)</f>
        <v>Brinco Tubinho Medio Banho Ouro</v>
      </c>
      <c r="AB1047" s="33" t="s">
        <v>494</v>
      </c>
    </row>
    <row r="1048" spans="2:28" ht="15" customHeight="1" x14ac:dyDescent="0.4">
      <c r="C1048" s="34" t="s">
        <v>6</v>
      </c>
      <c r="D1048" s="35">
        <v>45757</v>
      </c>
      <c r="E1048" s="51" t="s">
        <v>69</v>
      </c>
      <c r="F1048" s="33">
        <v>1</v>
      </c>
      <c r="G1048" s="27">
        <f t="shared" si="22"/>
        <v>-1</v>
      </c>
      <c r="H1048" s="28" t="str">
        <f>VLOOKUP(E1048,'Cadastro Produtos (kiwkiw)'!C:E,3,0)</f>
        <v>Brinco Tubinho Pequeno Banho Ouro</v>
      </c>
      <c r="AB1048" s="33" t="s">
        <v>494</v>
      </c>
    </row>
    <row r="1049" spans="2:28" ht="15" customHeight="1" x14ac:dyDescent="0.4">
      <c r="B1049" s="43">
        <v>45761.434467592589</v>
      </c>
      <c r="C1049" s="34" t="s">
        <v>6</v>
      </c>
      <c r="D1049" s="35">
        <v>45761</v>
      </c>
      <c r="E1049" s="51" t="s">
        <v>89</v>
      </c>
      <c r="F1049" s="33">
        <v>1</v>
      </c>
      <c r="G1049" s="27">
        <f t="shared" si="22"/>
        <v>-1</v>
      </c>
      <c r="H1049" s="28" t="str">
        <f>VLOOKUP(E1049,'Cadastro Produtos (kiwkiw)'!C:E,3,0)</f>
        <v>Colar Dot Banho Ouro</v>
      </c>
      <c r="AB1049" s="33" t="s">
        <v>495</v>
      </c>
    </row>
    <row r="1050" spans="2:28" ht="15" customHeight="1" x14ac:dyDescent="0.4">
      <c r="C1050" s="34" t="s">
        <v>6</v>
      </c>
      <c r="D1050" s="35">
        <v>45761</v>
      </c>
      <c r="E1050" s="51" t="s">
        <v>61</v>
      </c>
      <c r="F1050" s="33">
        <v>1</v>
      </c>
      <c r="G1050" s="27">
        <f t="shared" si="22"/>
        <v>-1</v>
      </c>
      <c r="H1050" s="28" t="str">
        <f>VLOOKUP(E1050,'Cadastro Produtos (kiwkiw)'!C:E,3,0)</f>
        <v>Brinco Setas Banho Ouro</v>
      </c>
      <c r="AB1050" s="33" t="s">
        <v>495</v>
      </c>
    </row>
    <row r="1051" spans="2:28" ht="15" customHeight="1" x14ac:dyDescent="0.4">
      <c r="C1051" s="34" t="s">
        <v>5</v>
      </c>
      <c r="D1051" s="35">
        <v>45761</v>
      </c>
      <c r="E1051" s="51" t="s">
        <v>124</v>
      </c>
      <c r="F1051" s="33">
        <v>1</v>
      </c>
      <c r="G1051" s="27">
        <f t="shared" si="22"/>
        <v>1</v>
      </c>
      <c r="H1051" s="28" t="str">
        <f>VLOOKUP(E1051,'Cadastro Produtos (kiwkiw)'!C:E,3,0)</f>
        <v>Pulseira Fita Textura Banho Ouro</v>
      </c>
      <c r="I1051" s="35" t="s">
        <v>496</v>
      </c>
    </row>
    <row r="1052" spans="2:28" ht="15" customHeight="1" x14ac:dyDescent="0.4">
      <c r="B1052" s="43">
        <v>45762.421064814815</v>
      </c>
      <c r="C1052" s="34" t="s">
        <v>6</v>
      </c>
      <c r="D1052" s="35">
        <v>45762</v>
      </c>
      <c r="E1052" s="51" t="s">
        <v>67</v>
      </c>
      <c r="F1052" s="33">
        <v>1</v>
      </c>
      <c r="G1052" s="27">
        <f t="shared" si="22"/>
        <v>-1</v>
      </c>
      <c r="H1052" s="28" t="str">
        <f>VLOOKUP(E1052,'Cadastro Produtos (kiwkiw)'!C:E,3,0)</f>
        <v>Brinco Tubinho Grande Banho Ouro</v>
      </c>
      <c r="AB1052" s="33" t="s">
        <v>497</v>
      </c>
    </row>
    <row r="1053" spans="2:28" ht="15" customHeight="1" x14ac:dyDescent="0.4">
      <c r="B1053" s="43">
        <v>45763.417083333334</v>
      </c>
      <c r="C1053" s="34" t="s">
        <v>6</v>
      </c>
      <c r="D1053" s="35">
        <v>45763</v>
      </c>
      <c r="E1053" s="51" t="s">
        <v>103</v>
      </c>
      <c r="F1053" s="33">
        <v>1</v>
      </c>
      <c r="G1053" s="27">
        <f t="shared" si="22"/>
        <v>-1</v>
      </c>
      <c r="H1053" s="28" t="str">
        <f>VLOOKUP(E1053,'Cadastro Produtos (kiwkiw)'!C:E,3,0)</f>
        <v>Colar Ivy Banho Ouro</v>
      </c>
      <c r="AB1053" s="33" t="s">
        <v>498</v>
      </c>
    </row>
    <row r="1054" spans="2:28" ht="15" customHeight="1" x14ac:dyDescent="0.4">
      <c r="B1054" s="43">
        <v>45769.454004629632</v>
      </c>
      <c r="C1054" s="34" t="s">
        <v>6</v>
      </c>
      <c r="D1054" s="35">
        <v>45768</v>
      </c>
      <c r="E1054" s="51" t="s">
        <v>30</v>
      </c>
      <c r="F1054" s="33">
        <v>1</v>
      </c>
      <c r="G1054" s="27">
        <f t="shared" si="22"/>
        <v>-1</v>
      </c>
      <c r="H1054" s="28" t="str">
        <f>VLOOKUP(E1054,'Cadastro Produtos (kiwkiw)'!C:E,3,0)</f>
        <v>Argola Organica Banho Ouro</v>
      </c>
      <c r="AB1054" s="33" t="s">
        <v>499</v>
      </c>
    </row>
    <row r="1055" spans="2:28" ht="15" customHeight="1" x14ac:dyDescent="0.4">
      <c r="B1055" s="43"/>
      <c r="C1055" s="34" t="s">
        <v>6</v>
      </c>
      <c r="D1055" s="35">
        <v>45768</v>
      </c>
      <c r="E1055" s="51" t="s">
        <v>50</v>
      </c>
      <c r="F1055" s="33">
        <v>1</v>
      </c>
      <c r="G1055" s="27">
        <f t="shared" si="22"/>
        <v>-1</v>
      </c>
      <c r="H1055" s="28" t="str">
        <f>VLOOKUP(E1055,'Cadastro Produtos (kiwkiw)'!C:E,3,0)</f>
        <v>Brinco Elos Banho Ouro</v>
      </c>
      <c r="AB1055" s="33" t="s">
        <v>499</v>
      </c>
    </row>
    <row r="1056" spans="2:28" ht="15" customHeight="1" x14ac:dyDescent="0.4">
      <c r="C1056" s="34" t="s">
        <v>6</v>
      </c>
      <c r="D1056" s="35">
        <v>45768</v>
      </c>
      <c r="E1056" s="51" t="s">
        <v>46</v>
      </c>
      <c r="F1056" s="33">
        <v>1</v>
      </c>
      <c r="G1056" s="27">
        <f t="shared" si="22"/>
        <v>-1</v>
      </c>
      <c r="H1056" s="28" t="str">
        <f>VLOOKUP(E1056,'Cadastro Produtos (kiwkiw)'!C:E,3,0)</f>
        <v>Brinco Bubble Pequeno Banho Ouro</v>
      </c>
      <c r="AB1056" s="33" t="s">
        <v>500</v>
      </c>
    </row>
    <row r="1057" spans="2:28" ht="15" customHeight="1" x14ac:dyDescent="0.4">
      <c r="C1057" s="34" t="s">
        <v>6</v>
      </c>
      <c r="D1057" s="35">
        <v>45768</v>
      </c>
      <c r="E1057" s="51" t="s">
        <v>99</v>
      </c>
      <c r="F1057" s="33">
        <v>1</v>
      </c>
      <c r="G1057" s="27">
        <f t="shared" si="22"/>
        <v>-1</v>
      </c>
      <c r="H1057" s="28" t="str">
        <f>VLOOKUP(E1057,'Cadastro Produtos (kiwkiw)'!C:E,3,0)</f>
        <v>Colar Esfera Medio Banho Ouro</v>
      </c>
      <c r="AB1057" s="33" t="s">
        <v>500</v>
      </c>
    </row>
    <row r="1058" spans="2:28" ht="15" customHeight="1" x14ac:dyDescent="0.4">
      <c r="B1058" s="43">
        <v>45770.427245370367</v>
      </c>
      <c r="C1058" s="34" t="s">
        <v>6</v>
      </c>
      <c r="D1058" s="35">
        <v>45770</v>
      </c>
      <c r="E1058" s="51" t="s">
        <v>85</v>
      </c>
      <c r="F1058" s="33">
        <v>1</v>
      </c>
      <c r="G1058" s="27">
        <f t="shared" si="22"/>
        <v>-1</v>
      </c>
      <c r="H1058" s="28" t="str">
        <f>VLOOKUP(E1058,'Cadastro Produtos (kiwkiw)'!C:E,3,0)</f>
        <v>Piercing Fake Dots Banho Ouro</v>
      </c>
      <c r="AB1058" s="33" t="s">
        <v>501</v>
      </c>
    </row>
    <row r="1059" spans="2:28" ht="15" customHeight="1" x14ac:dyDescent="0.4">
      <c r="B1059" s="43">
        <v>45771.422083333331</v>
      </c>
      <c r="C1059" s="34" t="s">
        <v>6</v>
      </c>
      <c r="D1059" s="35">
        <v>45771</v>
      </c>
      <c r="E1059" s="51" t="s">
        <v>38</v>
      </c>
      <c r="F1059" s="33">
        <v>1</v>
      </c>
      <c r="G1059" s="27">
        <f t="shared" si="22"/>
        <v>-1</v>
      </c>
      <c r="H1059" s="28" t="str">
        <f>VLOOKUP(E1059,'Cadastro Produtos (kiwkiw)'!C:E,3,0)</f>
        <v>Argolinha Click Dots Banho Ouro</v>
      </c>
      <c r="AB1059" s="33" t="s">
        <v>502</v>
      </c>
    </row>
    <row r="1060" spans="2:28" ht="15" customHeight="1" x14ac:dyDescent="0.4">
      <c r="B1060" s="43"/>
      <c r="C1060" s="34" t="s">
        <v>6</v>
      </c>
      <c r="D1060" s="35">
        <v>45771</v>
      </c>
      <c r="E1060" s="51" t="s">
        <v>117</v>
      </c>
      <c r="F1060" s="33">
        <v>1</v>
      </c>
      <c r="G1060" s="27">
        <f t="shared" si="22"/>
        <v>-1</v>
      </c>
      <c r="H1060" s="28" t="str">
        <f>VLOOKUP(E1060,'Cadastro Produtos (kiwkiw)'!C:E,3,0)</f>
        <v>Gargantilha Minimal Banho Ouro</v>
      </c>
      <c r="AB1060" s="33" t="s">
        <v>502</v>
      </c>
    </row>
    <row r="1061" spans="2:28" ht="15" customHeight="1" x14ac:dyDescent="0.4">
      <c r="C1061" s="34" t="s">
        <v>6</v>
      </c>
      <c r="D1061" s="35">
        <v>45771</v>
      </c>
      <c r="E1061" s="51" t="s">
        <v>91</v>
      </c>
      <c r="F1061" s="33">
        <v>1</v>
      </c>
      <c r="G1061" s="27">
        <f t="shared" si="22"/>
        <v>-1</v>
      </c>
      <c r="H1061" s="28" t="str">
        <f>VLOOKUP(E1061,'Cadastro Produtos (kiwkiw)'!C:E,3,0)</f>
        <v>Colar Rosa dos Ventos Banho Ouro</v>
      </c>
      <c r="AB1061" s="33" t="s">
        <v>502</v>
      </c>
    </row>
    <row r="1062" spans="2:28" ht="15" customHeight="1" x14ac:dyDescent="0.4">
      <c r="B1062" s="43">
        <v>45775.439664351848</v>
      </c>
      <c r="C1062" s="34" t="s">
        <v>6</v>
      </c>
      <c r="D1062" s="35">
        <v>45775</v>
      </c>
      <c r="E1062" s="51" t="s">
        <v>33</v>
      </c>
      <c r="F1062" s="33">
        <v>1</v>
      </c>
      <c r="G1062" s="27">
        <f t="shared" si="22"/>
        <v>-1</v>
      </c>
      <c r="H1062" s="28" t="str">
        <f>VLOOKUP(E1062,'Cadastro Produtos (kiwkiw)'!C:E,3,0)</f>
        <v>Argola Torcida Banho Ouro</v>
      </c>
      <c r="AB1062" s="33" t="s">
        <v>503</v>
      </c>
    </row>
    <row r="1063" spans="2:28" ht="15" customHeight="1" x14ac:dyDescent="0.4">
      <c r="C1063" s="34" t="s">
        <v>6</v>
      </c>
      <c r="D1063" s="35">
        <v>45775</v>
      </c>
      <c r="E1063" s="51" t="s">
        <v>55</v>
      </c>
      <c r="F1063" s="33">
        <v>1</v>
      </c>
      <c r="G1063" s="27">
        <f t="shared" si="22"/>
        <v>-1</v>
      </c>
      <c r="H1063" s="28" t="str">
        <f>VLOOKUP(E1063,'Cadastro Produtos (kiwkiw)'!C:E,3,0)</f>
        <v>Brinco Ivy Prateado</v>
      </c>
      <c r="AB1063" s="33" t="s">
        <v>504</v>
      </c>
    </row>
    <row r="1064" spans="2:28" ht="15" customHeight="1" x14ac:dyDescent="0.4">
      <c r="B1064" s="43">
        <v>45777.427534722221</v>
      </c>
      <c r="C1064" s="34" t="s">
        <v>6</v>
      </c>
      <c r="D1064" s="35">
        <v>45777</v>
      </c>
      <c r="E1064" s="51" t="s">
        <v>28</v>
      </c>
      <c r="F1064" s="33">
        <v>1</v>
      </c>
      <c r="G1064" s="27">
        <f t="shared" si="22"/>
        <v>-1</v>
      </c>
      <c r="H1064" s="28" t="str">
        <f>VLOOKUP(E1064,'Cadastro Produtos (kiwkiw)'!C:E,3,0)</f>
        <v>Argola Click Pequena Banho Ouro</v>
      </c>
      <c r="AB1064" s="33" t="s">
        <v>505</v>
      </c>
    </row>
    <row r="1065" spans="2:28" ht="15" customHeight="1" x14ac:dyDescent="0.4">
      <c r="B1065" s="43">
        <v>45782.409884259258</v>
      </c>
      <c r="C1065" s="34" t="s">
        <v>6</v>
      </c>
      <c r="D1065" s="35">
        <v>45782</v>
      </c>
      <c r="E1065" s="51" t="s">
        <v>87</v>
      </c>
      <c r="F1065" s="33">
        <v>1</v>
      </c>
      <c r="G1065" s="27">
        <f t="shared" si="22"/>
        <v>-1</v>
      </c>
      <c r="H1065" s="28" t="str">
        <f>VLOOKUP(E1065,'Cadastro Produtos (kiwkiw)'!C:E,3,0)</f>
        <v>Piercing Fake Classy Banho Ouro</v>
      </c>
      <c r="AB1065" s="33" t="s">
        <v>506</v>
      </c>
    </row>
    <row r="1066" spans="2:28" ht="15" customHeight="1" x14ac:dyDescent="0.4">
      <c r="B1066" s="43">
        <v>45783.425324074073</v>
      </c>
      <c r="C1066" s="34" t="s">
        <v>6</v>
      </c>
      <c r="D1066" s="35">
        <v>45783</v>
      </c>
      <c r="E1066" s="51" t="s">
        <v>130</v>
      </c>
      <c r="F1066" s="33">
        <v>1</v>
      </c>
      <c r="G1066" s="27">
        <f t="shared" si="22"/>
        <v>-1</v>
      </c>
      <c r="H1066" s="28" t="str">
        <f>VLOOKUP(E1066,'Cadastro Produtos (kiwkiw)'!C:E,3,0)</f>
        <v>Pulseira Snake Prateada</v>
      </c>
      <c r="AB1066" s="33" t="s">
        <v>507</v>
      </c>
    </row>
    <row r="1067" spans="2:28" ht="15" customHeight="1" x14ac:dyDescent="0.4">
      <c r="C1067" s="34" t="s">
        <v>6</v>
      </c>
      <c r="D1067" s="35">
        <v>45783</v>
      </c>
      <c r="E1067" s="51" t="s">
        <v>92</v>
      </c>
      <c r="F1067" s="33">
        <v>1</v>
      </c>
      <c r="G1067" s="27">
        <f t="shared" si="22"/>
        <v>-1</v>
      </c>
      <c r="H1067" s="28" t="str">
        <f>VLOOKUP(E1067,'Cadastro Produtos (kiwkiw)'!C:E,3,0)</f>
        <v>Colar Coracao Banho Ouro</v>
      </c>
      <c r="AB1067" s="33" t="s">
        <v>508</v>
      </c>
    </row>
    <row r="1068" spans="2:28" ht="15" customHeight="1" x14ac:dyDescent="0.4">
      <c r="C1068" s="34" t="s">
        <v>6</v>
      </c>
      <c r="D1068" s="35">
        <v>45783</v>
      </c>
      <c r="E1068" s="51" t="s">
        <v>59</v>
      </c>
      <c r="F1068" s="33">
        <v>1</v>
      </c>
      <c r="G1068" s="27">
        <f t="shared" si="22"/>
        <v>-1</v>
      </c>
      <c r="H1068" s="28" t="str">
        <f>VLOOKUP(E1068,'Cadastro Produtos (kiwkiw)'!C:E,3,0)</f>
        <v>Brinco Oncinha Banho Ouro</v>
      </c>
      <c r="AB1068" s="33" t="s">
        <v>508</v>
      </c>
    </row>
    <row r="1069" spans="2:28" ht="15" customHeight="1" x14ac:dyDescent="0.4">
      <c r="B1069" s="43">
        <v>45784.422812500001</v>
      </c>
      <c r="C1069" s="34" t="s">
        <v>6</v>
      </c>
      <c r="D1069" s="35">
        <v>45784</v>
      </c>
      <c r="E1069" s="51" t="s">
        <v>28</v>
      </c>
      <c r="F1069" s="33">
        <v>1</v>
      </c>
      <c r="G1069" s="27">
        <f t="shared" si="22"/>
        <v>-1</v>
      </c>
      <c r="H1069" s="28" t="str">
        <f>VLOOKUP(E1069,'Cadastro Produtos (kiwkiw)'!C:E,3,0)</f>
        <v>Argola Click Pequena Banho Ouro</v>
      </c>
      <c r="AB1069" s="33" t="s">
        <v>509</v>
      </c>
    </row>
    <row r="1070" spans="2:28" ht="15" customHeight="1" x14ac:dyDescent="0.4">
      <c r="C1070" s="34" t="s">
        <v>6</v>
      </c>
      <c r="D1070" s="35">
        <v>45784</v>
      </c>
      <c r="E1070" s="51" t="s">
        <v>26</v>
      </c>
      <c r="F1070" s="33">
        <v>1</v>
      </c>
      <c r="G1070" s="27">
        <f t="shared" si="22"/>
        <v>-1</v>
      </c>
      <c r="H1070" s="28" t="str">
        <f>VLOOKUP(E1070,'Cadastro Produtos (kiwkiw)'!C:E,3,0)</f>
        <v>Argola Click Grande Banho Ouro</v>
      </c>
      <c r="AB1070" s="33" t="s">
        <v>509</v>
      </c>
    </row>
    <row r="1071" spans="2:28" ht="15" customHeight="1" x14ac:dyDescent="0.4">
      <c r="C1071" s="34" t="s">
        <v>6</v>
      </c>
      <c r="D1071" s="35">
        <v>45784</v>
      </c>
      <c r="E1071" s="51" t="s">
        <v>86</v>
      </c>
      <c r="F1071" s="33">
        <v>1</v>
      </c>
      <c r="G1071" s="27">
        <f t="shared" si="22"/>
        <v>-1</v>
      </c>
      <c r="H1071" s="28" t="str">
        <f>VLOOKUP(E1071,'Cadastro Produtos (kiwkiw)'!C:E,3,0)</f>
        <v>Piercing Fake Minimal Banho Ouro</v>
      </c>
      <c r="AB1071" s="33" t="s">
        <v>509</v>
      </c>
    </row>
    <row r="1072" spans="2:28" ht="15" customHeight="1" x14ac:dyDescent="0.4">
      <c r="B1072" s="43">
        <v>45785.429884259262</v>
      </c>
      <c r="C1072" s="34" t="s">
        <v>6</v>
      </c>
      <c r="D1072" s="35">
        <v>45784</v>
      </c>
      <c r="E1072" s="51" t="s">
        <v>33</v>
      </c>
      <c r="F1072" s="33">
        <v>1</v>
      </c>
      <c r="G1072" s="27">
        <f t="shared" si="22"/>
        <v>-1</v>
      </c>
      <c r="H1072" s="28" t="str">
        <f>VLOOKUP(E1072,'Cadastro Produtos (kiwkiw)'!C:E,3,0)</f>
        <v>Argola Torcida Banho Ouro</v>
      </c>
      <c r="AB1072" s="33" t="s">
        <v>510</v>
      </c>
    </row>
    <row r="1073" spans="2:28" ht="15" customHeight="1" x14ac:dyDescent="0.4">
      <c r="C1073" s="34" t="s">
        <v>6</v>
      </c>
      <c r="D1073" s="35">
        <v>45784</v>
      </c>
      <c r="E1073" s="51" t="s">
        <v>62</v>
      </c>
      <c r="F1073" s="33">
        <v>1</v>
      </c>
      <c r="G1073" s="27">
        <f t="shared" si="22"/>
        <v>-1</v>
      </c>
      <c r="H1073" s="28" t="str">
        <f>VLOOKUP(E1073,'Cadastro Produtos (kiwkiw)'!C:E,3,0)</f>
        <v>Brinco Sol Banho Ouro</v>
      </c>
      <c r="AB1073" s="33" t="s">
        <v>510</v>
      </c>
    </row>
    <row r="1074" spans="2:28" ht="15" customHeight="1" x14ac:dyDescent="0.4">
      <c r="C1074" s="34" t="s">
        <v>6</v>
      </c>
      <c r="D1074" s="35">
        <v>45784</v>
      </c>
      <c r="E1074" s="51" t="s">
        <v>86</v>
      </c>
      <c r="F1074" s="33">
        <v>1</v>
      </c>
      <c r="G1074" s="27">
        <f t="shared" si="22"/>
        <v>-1</v>
      </c>
      <c r="H1074" s="28" t="str">
        <f>VLOOKUP(E1074,'Cadastro Produtos (kiwkiw)'!C:E,3,0)</f>
        <v>Piercing Fake Minimal Banho Ouro</v>
      </c>
      <c r="AB1074" s="33" t="s">
        <v>510</v>
      </c>
    </row>
    <row r="1075" spans="2:28" ht="15" customHeight="1" x14ac:dyDescent="0.4">
      <c r="C1075" s="34" t="s">
        <v>6</v>
      </c>
      <c r="D1075" s="35">
        <v>45784</v>
      </c>
      <c r="E1075" s="51" t="s">
        <v>131</v>
      </c>
      <c r="F1075" s="33">
        <v>1</v>
      </c>
      <c r="G1075" s="27">
        <f t="shared" si="22"/>
        <v>-1</v>
      </c>
      <c r="H1075" s="28" t="str">
        <f>VLOOKUP(E1075,'Cadastro Produtos (kiwkiw)'!C:E,3,0)</f>
        <v>Colar Brave Perolado Banho Ouro</v>
      </c>
      <c r="AB1075" s="33" t="s">
        <v>510</v>
      </c>
    </row>
    <row r="1076" spans="2:28" ht="15" customHeight="1" x14ac:dyDescent="0.4">
      <c r="B1076" s="43"/>
      <c r="C1076" s="34" t="s">
        <v>6</v>
      </c>
      <c r="D1076" s="35">
        <v>45784</v>
      </c>
      <c r="E1076" s="51" t="s">
        <v>102</v>
      </c>
      <c r="F1076" s="33">
        <v>1</v>
      </c>
      <c r="G1076" s="27">
        <f t="shared" si="22"/>
        <v>-1</v>
      </c>
      <c r="H1076" s="28" t="str">
        <f>VLOOKUP(E1076,'Cadastro Produtos (kiwkiw)'!C:E,3,0)</f>
        <v>Colar Longo Lua Banho Ouro</v>
      </c>
      <c r="AB1076" s="33" t="s">
        <v>510</v>
      </c>
    </row>
    <row r="1077" spans="2:28" ht="15" customHeight="1" x14ac:dyDescent="0.4">
      <c r="C1077" s="34" t="s">
        <v>6</v>
      </c>
      <c r="D1077" s="35">
        <v>45785</v>
      </c>
      <c r="E1077" s="51" t="s">
        <v>121</v>
      </c>
      <c r="F1077" s="33">
        <v>1</v>
      </c>
      <c r="G1077" s="27">
        <f t="shared" si="22"/>
        <v>-1</v>
      </c>
      <c r="H1077" s="28" t="str">
        <f>VLOOKUP(E1077,'Cadastro Produtos (kiwkiw)'!C:E,3,0)</f>
        <v>Bracelete Wave Banho Ouro</v>
      </c>
      <c r="AB1077" s="33" t="s">
        <v>511</v>
      </c>
    </row>
    <row r="1078" spans="2:28" ht="15" customHeight="1" x14ac:dyDescent="0.4">
      <c r="B1078" s="43">
        <v>45789.393877314818</v>
      </c>
      <c r="C1078" s="34" t="s">
        <v>6</v>
      </c>
      <c r="D1078" s="35">
        <v>45789</v>
      </c>
      <c r="E1078" s="51" t="s">
        <v>102</v>
      </c>
      <c r="F1078" s="33">
        <v>1</v>
      </c>
      <c r="G1078" s="27">
        <f t="shared" si="22"/>
        <v>-1</v>
      </c>
      <c r="H1078" s="28" t="str">
        <f>VLOOKUP(E1078,'Cadastro Produtos (kiwkiw)'!C:E,3,0)</f>
        <v>Colar Longo Lua Banho Ouro</v>
      </c>
      <c r="AB1078" s="33" t="s">
        <v>512</v>
      </c>
    </row>
    <row r="1079" spans="2:28" ht="15" customHeight="1" x14ac:dyDescent="0.4">
      <c r="C1079" s="34" t="s">
        <v>6</v>
      </c>
      <c r="D1079" s="35">
        <v>45789</v>
      </c>
      <c r="E1079" s="51" t="s">
        <v>86</v>
      </c>
      <c r="F1079" s="33">
        <v>1</v>
      </c>
      <c r="G1079" s="27">
        <f t="shared" si="22"/>
        <v>-1</v>
      </c>
      <c r="H1079" s="28" t="str">
        <f>VLOOKUP(E1079,'Cadastro Produtos (kiwkiw)'!C:E,3,0)</f>
        <v>Piercing Fake Minimal Banho Ouro</v>
      </c>
      <c r="AB1079" s="33" t="s">
        <v>512</v>
      </c>
    </row>
    <row r="1080" spans="2:28" ht="15" customHeight="1" x14ac:dyDescent="0.4">
      <c r="C1080" s="34" t="s">
        <v>6</v>
      </c>
      <c r="D1080" s="35">
        <v>45789</v>
      </c>
      <c r="E1080" s="51" t="s">
        <v>114</v>
      </c>
      <c r="F1080" s="33">
        <v>1</v>
      </c>
      <c r="G1080" s="27">
        <f t="shared" si="22"/>
        <v>-1</v>
      </c>
      <c r="H1080" s="28" t="str">
        <f>VLOOKUP(E1080,'Cadastro Produtos (kiwkiw)'!C:E,3,0)</f>
        <v>Gargantilha Fita Banho Ouro</v>
      </c>
      <c r="AB1080" s="33" t="s">
        <v>512</v>
      </c>
    </row>
    <row r="1081" spans="2:28" ht="15" customHeight="1" x14ac:dyDescent="0.4">
      <c r="C1081" s="34" t="s">
        <v>6</v>
      </c>
      <c r="D1081" s="35">
        <v>45789</v>
      </c>
      <c r="E1081" s="51" t="s">
        <v>41</v>
      </c>
      <c r="F1081" s="33">
        <v>1</v>
      </c>
      <c r="G1081" s="27">
        <f t="shared" si="22"/>
        <v>-1</v>
      </c>
      <c r="H1081" s="28" t="str">
        <f>VLOOKUP(E1081,'Cadastro Produtos (kiwkiw)'!C:E,3,0)</f>
        <v>Argolinha Sol Banho Ouro</v>
      </c>
      <c r="AB1081" s="33" t="s">
        <v>513</v>
      </c>
    </row>
    <row r="1082" spans="2:28" ht="15" customHeight="1" x14ac:dyDescent="0.4">
      <c r="C1082" s="34" t="s">
        <v>6</v>
      </c>
      <c r="D1082" s="35">
        <v>45789</v>
      </c>
      <c r="E1082" s="51" t="s">
        <v>38</v>
      </c>
      <c r="F1082" s="33">
        <v>1</v>
      </c>
      <c r="G1082" s="27">
        <f t="shared" si="22"/>
        <v>-1</v>
      </c>
      <c r="H1082" s="28" t="str">
        <f>VLOOKUP(E1082,'Cadastro Produtos (kiwkiw)'!C:E,3,0)</f>
        <v>Argolinha Click Dots Banho Ouro</v>
      </c>
      <c r="AB1082" s="33" t="s">
        <v>513</v>
      </c>
    </row>
    <row r="1083" spans="2:28" ht="15" customHeight="1" x14ac:dyDescent="0.4">
      <c r="C1083" s="34" t="s">
        <v>6</v>
      </c>
      <c r="D1083" s="35">
        <v>45789</v>
      </c>
      <c r="E1083" s="51" t="s">
        <v>40</v>
      </c>
      <c r="F1083" s="33">
        <v>1</v>
      </c>
      <c r="G1083" s="27">
        <f t="shared" si="22"/>
        <v>-1</v>
      </c>
      <c r="H1083" s="28" t="str">
        <f>VLOOKUP(E1083,'Cadastro Produtos (kiwkiw)'!C:E,3,0)</f>
        <v>Argolinha Folha Banho Ouro</v>
      </c>
      <c r="AB1083" s="33" t="s">
        <v>514</v>
      </c>
    </row>
    <row r="1084" spans="2:28" ht="15" customHeight="1" x14ac:dyDescent="0.4">
      <c r="B1084" s="43">
        <v>45790.426863425928</v>
      </c>
      <c r="C1084" s="34" t="s">
        <v>6</v>
      </c>
      <c r="D1084" s="35">
        <v>45790</v>
      </c>
      <c r="E1084" s="51" t="s">
        <v>89</v>
      </c>
      <c r="F1084" s="33">
        <v>1</v>
      </c>
      <c r="G1084" s="27">
        <f t="shared" si="22"/>
        <v>-1</v>
      </c>
      <c r="H1084" s="28" t="str">
        <f>VLOOKUP(E1084,'Cadastro Produtos (kiwkiw)'!C:E,3,0)</f>
        <v>Colar Dot Banho Ouro</v>
      </c>
      <c r="AB1084" s="33" t="s">
        <v>515</v>
      </c>
    </row>
    <row r="1085" spans="2:28" ht="15" customHeight="1" x14ac:dyDescent="0.4">
      <c r="C1085" s="34" t="s">
        <v>6</v>
      </c>
      <c r="D1085" s="35">
        <v>45790</v>
      </c>
      <c r="E1085" s="51" t="s">
        <v>68</v>
      </c>
      <c r="F1085" s="33">
        <v>1</v>
      </c>
      <c r="G1085" s="27">
        <f t="shared" si="22"/>
        <v>-1</v>
      </c>
      <c r="H1085" s="28" t="str">
        <f>VLOOKUP(E1085,'Cadastro Produtos (kiwkiw)'!C:E,3,0)</f>
        <v>Brinco Tubinho Medio Banho Ouro</v>
      </c>
      <c r="AB1085" s="33" t="s">
        <v>516</v>
      </c>
    </row>
    <row r="1086" spans="2:28" ht="15" customHeight="1" x14ac:dyDescent="0.4">
      <c r="C1086" s="34" t="s">
        <v>6</v>
      </c>
      <c r="D1086" s="35">
        <v>45790</v>
      </c>
      <c r="E1086" s="51" t="s">
        <v>70</v>
      </c>
      <c r="F1086" s="33">
        <v>1</v>
      </c>
      <c r="G1086" s="27">
        <f t="shared" si="22"/>
        <v>-1</v>
      </c>
      <c r="H1086" s="28" t="str">
        <f>VLOOKUP(E1086,'Cadastro Produtos (kiwkiw)'!C:E,3,0)</f>
        <v>Brinco Geometrico Banho Ouro</v>
      </c>
      <c r="AB1086" s="33" t="s">
        <v>516</v>
      </c>
    </row>
    <row r="1087" spans="2:28" ht="15" customHeight="1" x14ac:dyDescent="0.4">
      <c r="B1087" s="43">
        <v>45791.419930555552</v>
      </c>
      <c r="C1087" s="34" t="s">
        <v>6</v>
      </c>
      <c r="D1087" s="35">
        <v>45791</v>
      </c>
      <c r="E1087" s="51" t="s">
        <v>28</v>
      </c>
      <c r="F1087" s="33">
        <v>1</v>
      </c>
      <c r="G1087" s="27">
        <f t="shared" si="22"/>
        <v>-1</v>
      </c>
      <c r="H1087" s="28" t="str">
        <f>VLOOKUP(E1087,'Cadastro Produtos (kiwkiw)'!C:E,3,0)</f>
        <v>Argola Click Pequena Banho Ouro</v>
      </c>
      <c r="AB1087" s="33" t="s">
        <v>517</v>
      </c>
    </row>
    <row r="1088" spans="2:28" ht="15" customHeight="1" x14ac:dyDescent="0.4">
      <c r="B1088" s="43">
        <v>45796.454814814817</v>
      </c>
      <c r="C1088" s="34" t="s">
        <v>6</v>
      </c>
      <c r="D1088" s="35">
        <v>45796</v>
      </c>
      <c r="E1088" s="51" t="s">
        <v>71</v>
      </c>
      <c r="F1088" s="33">
        <v>1</v>
      </c>
      <c r="G1088" s="27">
        <f t="shared" si="22"/>
        <v>-1</v>
      </c>
      <c r="H1088" s="28" t="str">
        <f>VLOOKUP(E1088,'Cadastro Produtos (kiwkiw)'!C:E,3,0)</f>
        <v>Ear Cuff Minimal Banho Ouro</v>
      </c>
      <c r="AB1088" s="33" t="s">
        <v>518</v>
      </c>
    </row>
    <row r="1089" spans="2:28" ht="15" customHeight="1" x14ac:dyDescent="0.4">
      <c r="C1089" s="34" t="s">
        <v>6</v>
      </c>
      <c r="D1089" s="35">
        <v>45796</v>
      </c>
      <c r="E1089" s="51" t="s">
        <v>68</v>
      </c>
      <c r="F1089" s="33">
        <v>1</v>
      </c>
      <c r="G1089" s="27">
        <f t="shared" si="22"/>
        <v>-1</v>
      </c>
      <c r="H1089" s="28" t="str">
        <f>VLOOKUP(E1089,'Cadastro Produtos (kiwkiw)'!C:E,3,0)</f>
        <v>Brinco Tubinho Medio Banho Ouro</v>
      </c>
      <c r="AB1089" s="33" t="s">
        <v>519</v>
      </c>
    </row>
    <row r="1090" spans="2:28" ht="15" customHeight="1" x14ac:dyDescent="0.4">
      <c r="C1090" s="34" t="s">
        <v>6</v>
      </c>
      <c r="D1090" s="35">
        <v>45796</v>
      </c>
      <c r="E1090" s="51" t="s">
        <v>79</v>
      </c>
      <c r="F1090" s="33">
        <v>1</v>
      </c>
      <c r="G1090" s="27">
        <f t="shared" si="22"/>
        <v>-1</v>
      </c>
      <c r="H1090" s="28" t="str">
        <f>VLOOKUP(E1090,'Cadastro Produtos (kiwkiw)'!C:E,3,0)</f>
        <v>Kit Brincos Coracao e Triangulo Banho Ouro</v>
      </c>
      <c r="AB1090" s="33" t="s">
        <v>519</v>
      </c>
    </row>
    <row r="1091" spans="2:28" ht="15" customHeight="1" x14ac:dyDescent="0.4">
      <c r="B1091" s="43">
        <v>45797.448495370372</v>
      </c>
      <c r="C1091" s="34" t="s">
        <v>6</v>
      </c>
      <c r="D1091" s="35">
        <v>45797</v>
      </c>
      <c r="E1091" s="51" t="s">
        <v>131</v>
      </c>
      <c r="F1091" s="33">
        <v>1</v>
      </c>
      <c r="G1091" s="27">
        <f t="shared" si="22"/>
        <v>-1</v>
      </c>
      <c r="H1091" s="28" t="str">
        <f>VLOOKUP(E1091,'Cadastro Produtos (kiwkiw)'!C:E,3,0)</f>
        <v>Colar Brave Perolado Banho Ouro</v>
      </c>
      <c r="AB1091" s="33" t="s">
        <v>520</v>
      </c>
    </row>
    <row r="1092" spans="2:28" ht="15" customHeight="1" x14ac:dyDescent="0.4">
      <c r="C1092" s="34" t="s">
        <v>6</v>
      </c>
      <c r="D1092" s="35">
        <v>45797</v>
      </c>
      <c r="E1092" s="51" t="s">
        <v>38</v>
      </c>
      <c r="F1092" s="33">
        <v>1</v>
      </c>
      <c r="G1092" s="27">
        <f t="shared" si="22"/>
        <v>-1</v>
      </c>
      <c r="H1092" s="28" t="str">
        <f>VLOOKUP(E1092,'Cadastro Produtos (kiwkiw)'!C:E,3,0)</f>
        <v>Argolinha Click Dots Banho Ouro</v>
      </c>
      <c r="AB1092" s="33" t="s">
        <v>520</v>
      </c>
    </row>
    <row r="1093" spans="2:28" ht="15" customHeight="1" x14ac:dyDescent="0.4">
      <c r="C1093" s="34" t="s">
        <v>6</v>
      </c>
      <c r="D1093" s="35">
        <v>45797</v>
      </c>
      <c r="E1093" s="51" t="s">
        <v>124</v>
      </c>
      <c r="F1093" s="33">
        <v>4</v>
      </c>
      <c r="G1093" s="27">
        <f t="shared" si="22"/>
        <v>-4</v>
      </c>
      <c r="H1093" s="28" t="str">
        <f>VLOOKUP(E1093,'Cadastro Produtos (kiwkiw)'!C:E,3,0)</f>
        <v>Pulseira Fita Textura Banho Ouro</v>
      </c>
      <c r="AB1093" s="33" t="s">
        <v>521</v>
      </c>
    </row>
    <row r="1094" spans="2:28" ht="15" customHeight="1" x14ac:dyDescent="0.4">
      <c r="C1094" s="34" t="s">
        <v>6</v>
      </c>
      <c r="D1094" s="35">
        <v>45797</v>
      </c>
      <c r="E1094" s="51" t="s">
        <v>121</v>
      </c>
      <c r="F1094" s="33">
        <v>8</v>
      </c>
      <c r="G1094" s="27">
        <f t="shared" si="22"/>
        <v>-8</v>
      </c>
      <c r="H1094" s="28" t="str">
        <f>VLOOKUP(E1094,'Cadastro Produtos (kiwkiw)'!C:E,3,0)</f>
        <v>Bracelete Wave Banho Ouro</v>
      </c>
      <c r="AB1094" s="33" t="s">
        <v>521</v>
      </c>
    </row>
    <row r="1095" spans="2:28" ht="15" customHeight="1" x14ac:dyDescent="0.4">
      <c r="C1095" s="34" t="s">
        <v>6</v>
      </c>
      <c r="D1095" s="35">
        <v>45797</v>
      </c>
      <c r="E1095" s="51" t="s">
        <v>36</v>
      </c>
      <c r="F1095" s="33">
        <v>1</v>
      </c>
      <c r="G1095" s="27">
        <f t="shared" si="22"/>
        <v>-1</v>
      </c>
      <c r="H1095" s="28" t="str">
        <f>VLOOKUP(E1095,'Cadastro Produtos (kiwkiw)'!C:E,3,0)</f>
        <v>Argola Classy Prateada</v>
      </c>
      <c r="AB1095" s="33" t="s">
        <v>521</v>
      </c>
    </row>
    <row r="1096" spans="2:28" ht="15" customHeight="1" x14ac:dyDescent="0.4">
      <c r="C1096" s="34" t="s">
        <v>6</v>
      </c>
      <c r="D1096" s="35">
        <v>45797</v>
      </c>
      <c r="E1096" s="51" t="s">
        <v>27</v>
      </c>
      <c r="F1096" s="33">
        <v>7</v>
      </c>
      <c r="G1096" s="27">
        <f t="shared" si="22"/>
        <v>-7</v>
      </c>
      <c r="H1096" s="28" t="str">
        <f>VLOOKUP(E1096,'Cadastro Produtos (kiwkiw)'!C:E,3,0)</f>
        <v>Argola Click Media Banho Ouro</v>
      </c>
      <c r="AB1096" s="33" t="s">
        <v>521</v>
      </c>
    </row>
    <row r="1097" spans="2:28" ht="15" customHeight="1" x14ac:dyDescent="0.4">
      <c r="C1097" s="34" t="s">
        <v>6</v>
      </c>
      <c r="D1097" s="35">
        <v>45797</v>
      </c>
      <c r="E1097" s="51" t="s">
        <v>28</v>
      </c>
      <c r="F1097" s="33">
        <v>3</v>
      </c>
      <c r="G1097" s="27">
        <f t="shared" si="22"/>
        <v>-3</v>
      </c>
      <c r="H1097" s="28" t="str">
        <f>VLOOKUP(E1097,'Cadastro Produtos (kiwkiw)'!C:E,3,0)</f>
        <v>Argola Click Pequena Banho Ouro</v>
      </c>
      <c r="AB1097" s="33" t="s">
        <v>521</v>
      </c>
    </row>
    <row r="1098" spans="2:28" ht="15" customHeight="1" x14ac:dyDescent="0.4">
      <c r="C1098" s="34" t="s">
        <v>6</v>
      </c>
      <c r="D1098" s="35">
        <v>45797</v>
      </c>
      <c r="E1098" s="51" t="s">
        <v>31</v>
      </c>
      <c r="F1098" s="33">
        <v>1</v>
      </c>
      <c r="G1098" s="27">
        <f t="shared" si="22"/>
        <v>-1</v>
      </c>
      <c r="H1098" s="28" t="str">
        <f>VLOOKUP(E1098,'Cadastro Produtos (kiwkiw)'!C:E,3,0)</f>
        <v>Argola Reta Basic Banho Ouro</v>
      </c>
      <c r="AB1098" s="33" t="s">
        <v>521</v>
      </c>
    </row>
    <row r="1099" spans="2:28" ht="15" customHeight="1" x14ac:dyDescent="0.4">
      <c r="B1099" s="43"/>
      <c r="C1099" s="34" t="s">
        <v>6</v>
      </c>
      <c r="D1099" s="35">
        <v>45797</v>
      </c>
      <c r="E1099" s="51" t="s">
        <v>33</v>
      </c>
      <c r="F1099" s="33">
        <v>2</v>
      </c>
      <c r="G1099" s="27">
        <f t="shared" si="22"/>
        <v>-2</v>
      </c>
      <c r="H1099" s="28" t="str">
        <f>VLOOKUP(E1099,'Cadastro Produtos (kiwkiw)'!C:E,3,0)</f>
        <v>Argola Torcida Banho Ouro</v>
      </c>
      <c r="AB1099" s="33" t="s">
        <v>521</v>
      </c>
    </row>
    <row r="1100" spans="2:28" ht="15" customHeight="1" x14ac:dyDescent="0.4">
      <c r="C1100" s="34" t="s">
        <v>6</v>
      </c>
      <c r="D1100" s="35">
        <v>45797</v>
      </c>
      <c r="E1100" s="51" t="s">
        <v>40</v>
      </c>
      <c r="F1100" s="33">
        <v>5</v>
      </c>
      <c r="G1100" s="27">
        <f t="shared" si="22"/>
        <v>-5</v>
      </c>
      <c r="H1100" s="28" t="str">
        <f>VLOOKUP(E1100,'Cadastro Produtos (kiwkiw)'!C:E,3,0)</f>
        <v>Argolinha Folha Banho Ouro</v>
      </c>
      <c r="AB1100" s="33" t="s">
        <v>521</v>
      </c>
    </row>
    <row r="1101" spans="2:28" ht="15" customHeight="1" x14ac:dyDescent="0.4">
      <c r="C1101" s="34" t="s">
        <v>6</v>
      </c>
      <c r="D1101" s="35">
        <v>45797</v>
      </c>
      <c r="E1101" s="51" t="s">
        <v>41</v>
      </c>
      <c r="F1101" s="33">
        <v>4</v>
      </c>
      <c r="G1101" s="27">
        <f t="shared" si="22"/>
        <v>-4</v>
      </c>
      <c r="H1101" s="28" t="str">
        <f>VLOOKUP(E1101,'Cadastro Produtos (kiwkiw)'!C:E,3,0)</f>
        <v>Argolinha Sol Banho Ouro</v>
      </c>
      <c r="AB1101" s="33" t="s">
        <v>521</v>
      </c>
    </row>
    <row r="1102" spans="2:28" ht="15" customHeight="1" x14ac:dyDescent="0.4">
      <c r="C1102" s="34" t="s">
        <v>6</v>
      </c>
      <c r="D1102" s="35">
        <v>45797</v>
      </c>
      <c r="E1102" s="51" t="s">
        <v>76</v>
      </c>
      <c r="F1102" s="33">
        <v>5</v>
      </c>
      <c r="G1102" s="27">
        <f t="shared" si="22"/>
        <v>-5</v>
      </c>
      <c r="H1102" s="28" t="str">
        <f>VLOOKUP(E1102,'Cadastro Produtos (kiwkiw)'!C:E,3,0)</f>
        <v>EarHook Dots Banho Ouro</v>
      </c>
      <c r="AB1102" s="33" t="s">
        <v>521</v>
      </c>
    </row>
    <row r="1103" spans="2:28" ht="15" customHeight="1" x14ac:dyDescent="0.4">
      <c r="C1103" s="34" t="s">
        <v>6</v>
      </c>
      <c r="D1103" s="35">
        <v>45797</v>
      </c>
      <c r="E1103" s="51" t="s">
        <v>74</v>
      </c>
      <c r="F1103" s="33">
        <v>3</v>
      </c>
      <c r="G1103" s="27">
        <f t="shared" si="22"/>
        <v>-3</v>
      </c>
      <c r="H1103" s="28" t="str">
        <f>VLOOKUP(E1103,'Cadastro Produtos (kiwkiw)'!C:E,3,0)</f>
        <v>Ear Hook Hug Banho Ouro</v>
      </c>
      <c r="AB1103" s="33" t="s">
        <v>521</v>
      </c>
    </row>
    <row r="1104" spans="2:28" ht="15" customHeight="1" x14ac:dyDescent="0.4">
      <c r="C1104" s="34" t="s">
        <v>6</v>
      </c>
      <c r="D1104" s="35">
        <v>45797</v>
      </c>
      <c r="E1104" s="51" t="s">
        <v>46</v>
      </c>
      <c r="F1104" s="33">
        <v>9</v>
      </c>
      <c r="G1104" s="27">
        <f t="shared" si="22"/>
        <v>-9</v>
      </c>
      <c r="H1104" s="28" t="str">
        <f>VLOOKUP(E1104,'Cadastro Produtos (kiwkiw)'!C:E,3,0)</f>
        <v>Brinco Bubble Pequeno Banho Ouro</v>
      </c>
      <c r="AB1104" s="33" t="s">
        <v>521</v>
      </c>
    </row>
    <row r="1105" spans="2:28" ht="15" customHeight="1" x14ac:dyDescent="0.4">
      <c r="B1105" s="43"/>
      <c r="C1105" s="34" t="s">
        <v>6</v>
      </c>
      <c r="D1105" s="35">
        <v>45797</v>
      </c>
      <c r="E1105" s="51" t="s">
        <v>50</v>
      </c>
      <c r="F1105" s="33">
        <v>2</v>
      </c>
      <c r="G1105" s="27">
        <f t="shared" si="22"/>
        <v>-2</v>
      </c>
      <c r="H1105" s="28" t="str">
        <f>VLOOKUP(E1105,'Cadastro Produtos (kiwkiw)'!C:E,3,0)</f>
        <v>Brinco Elos Banho Ouro</v>
      </c>
      <c r="AB1105" s="33" t="s">
        <v>521</v>
      </c>
    </row>
    <row r="1106" spans="2:28" ht="15" customHeight="1" x14ac:dyDescent="0.4">
      <c r="C1106" s="34" t="s">
        <v>6</v>
      </c>
      <c r="D1106" s="35">
        <v>45797</v>
      </c>
      <c r="E1106" s="51" t="s">
        <v>54</v>
      </c>
      <c r="F1106" s="33">
        <v>16</v>
      </c>
      <c r="G1106" s="27">
        <f t="shared" si="22"/>
        <v>-16</v>
      </c>
      <c r="H1106" s="28" t="str">
        <f>VLOOKUP(E1106,'Cadastro Produtos (kiwkiw)'!C:E,3,0)</f>
        <v>Brinco Ivy Banho Ouro</v>
      </c>
      <c r="AB1106" s="33" t="s">
        <v>521</v>
      </c>
    </row>
    <row r="1107" spans="2:28" ht="15" customHeight="1" x14ac:dyDescent="0.4">
      <c r="B1107" s="43"/>
      <c r="C1107" s="34" t="s">
        <v>6</v>
      </c>
      <c r="D1107" s="35">
        <v>45797</v>
      </c>
      <c r="E1107" s="51" t="s">
        <v>55</v>
      </c>
      <c r="F1107" s="33">
        <v>1</v>
      </c>
      <c r="G1107" s="27">
        <f t="shared" si="22"/>
        <v>-1</v>
      </c>
      <c r="H1107" s="28" t="str">
        <f>VLOOKUP(E1107,'Cadastro Produtos (kiwkiw)'!C:E,3,0)</f>
        <v>Brinco Ivy Prateado</v>
      </c>
      <c r="AB1107" s="33" t="s">
        <v>521</v>
      </c>
    </row>
    <row r="1108" spans="2:28" ht="15" customHeight="1" x14ac:dyDescent="0.4">
      <c r="C1108" s="34" t="s">
        <v>6</v>
      </c>
      <c r="D1108" s="35">
        <v>45797</v>
      </c>
      <c r="E1108" s="51" t="s">
        <v>79</v>
      </c>
      <c r="F1108" s="33">
        <v>2</v>
      </c>
      <c r="G1108" s="27">
        <f t="shared" ref="G1108:G1170" si="23">IF(C1108="Entrada",F1108,-F1108)</f>
        <v>-2</v>
      </c>
      <c r="H1108" s="28" t="str">
        <f>VLOOKUP(E1108,'Cadastro Produtos (kiwkiw)'!C:E,3,0)</f>
        <v>Kit Brincos Coracao e Triangulo Banho Ouro</v>
      </c>
      <c r="AB1108" s="33" t="s">
        <v>521</v>
      </c>
    </row>
    <row r="1109" spans="2:28" ht="15" customHeight="1" x14ac:dyDescent="0.4">
      <c r="C1109" s="34" t="s">
        <v>6</v>
      </c>
      <c r="D1109" s="35">
        <v>45797</v>
      </c>
      <c r="E1109" s="51" t="s">
        <v>82</v>
      </c>
      <c r="F1109" s="33">
        <v>1</v>
      </c>
      <c r="G1109" s="27">
        <f t="shared" si="23"/>
        <v>-1</v>
      </c>
      <c r="H1109" s="28" t="str">
        <f>VLOOKUP(E1109,'Cadastro Produtos (kiwkiw)'!C:E,3,0)</f>
        <v>Meia Argola Diamond Banho Ouro</v>
      </c>
      <c r="AB1109" s="33" t="s">
        <v>521</v>
      </c>
    </row>
    <row r="1110" spans="2:28" ht="15" customHeight="1" x14ac:dyDescent="0.4">
      <c r="C1110" s="34" t="s">
        <v>6</v>
      </c>
      <c r="D1110" s="35">
        <v>45797</v>
      </c>
      <c r="E1110" s="51" t="s">
        <v>67</v>
      </c>
      <c r="F1110" s="33">
        <v>5</v>
      </c>
      <c r="G1110" s="27">
        <f t="shared" si="23"/>
        <v>-5</v>
      </c>
      <c r="H1110" s="28" t="str">
        <f>VLOOKUP(E1110,'Cadastro Produtos (kiwkiw)'!C:E,3,0)</f>
        <v>Brinco Tubinho Grande Banho Ouro</v>
      </c>
      <c r="AB1110" s="33" t="s">
        <v>521</v>
      </c>
    </row>
    <row r="1111" spans="2:28" ht="15" customHeight="1" x14ac:dyDescent="0.4">
      <c r="B1111" s="43"/>
      <c r="C1111" s="34" t="s">
        <v>6</v>
      </c>
      <c r="D1111" s="35">
        <v>45797</v>
      </c>
      <c r="E1111" s="51" t="s">
        <v>68</v>
      </c>
      <c r="F1111" s="33">
        <v>2</v>
      </c>
      <c r="G1111" s="27">
        <f t="shared" si="23"/>
        <v>-2</v>
      </c>
      <c r="H1111" s="28" t="str">
        <f>VLOOKUP(E1111,'Cadastro Produtos (kiwkiw)'!C:E,3,0)</f>
        <v>Brinco Tubinho Medio Banho Ouro</v>
      </c>
      <c r="AB1111" s="33" t="s">
        <v>521</v>
      </c>
    </row>
    <row r="1112" spans="2:28" ht="15" customHeight="1" x14ac:dyDescent="0.4">
      <c r="C1112" s="34" t="s">
        <v>6</v>
      </c>
      <c r="D1112" s="35">
        <v>45797</v>
      </c>
      <c r="E1112" s="51" t="s">
        <v>87</v>
      </c>
      <c r="F1112" s="33">
        <v>5</v>
      </c>
      <c r="G1112" s="27">
        <f t="shared" si="23"/>
        <v>-5</v>
      </c>
      <c r="H1112" s="28" t="str">
        <f>VLOOKUP(E1112,'Cadastro Produtos (kiwkiw)'!C:E,3,0)</f>
        <v>Piercing Fake Classy Banho Ouro</v>
      </c>
      <c r="AB1112" s="33" t="s">
        <v>521</v>
      </c>
    </row>
    <row r="1113" spans="2:28" ht="15" customHeight="1" x14ac:dyDescent="0.4">
      <c r="C1113" s="34" t="s">
        <v>6</v>
      </c>
      <c r="D1113" s="35">
        <v>45797</v>
      </c>
      <c r="E1113" s="51" t="s">
        <v>32</v>
      </c>
      <c r="F1113" s="33">
        <v>5</v>
      </c>
      <c r="G1113" s="27">
        <f t="shared" si="23"/>
        <v>-5</v>
      </c>
      <c r="H1113" s="28" t="str">
        <f>VLOOKUP(E1113,'Cadastro Produtos (kiwkiw)'!C:E,3,0)</f>
        <v>Argola Redonda Basic Banho Ouro</v>
      </c>
      <c r="AB1113" s="33" t="s">
        <v>521</v>
      </c>
    </row>
    <row r="1114" spans="2:28" ht="15" customHeight="1" x14ac:dyDescent="0.4">
      <c r="C1114" s="34" t="s">
        <v>6</v>
      </c>
      <c r="D1114" s="35">
        <v>45797</v>
      </c>
      <c r="E1114" s="51" t="s">
        <v>71</v>
      </c>
      <c r="F1114" s="33">
        <v>7</v>
      </c>
      <c r="G1114" s="27">
        <f t="shared" si="23"/>
        <v>-7</v>
      </c>
      <c r="H1114" s="28" t="str">
        <f>VLOOKUP(E1114,'Cadastro Produtos (kiwkiw)'!C:E,3,0)</f>
        <v>Ear Cuff Minimal Banho Ouro</v>
      </c>
      <c r="AB1114" s="33" t="s">
        <v>521</v>
      </c>
    </row>
    <row r="1115" spans="2:28" ht="15" customHeight="1" x14ac:dyDescent="0.4">
      <c r="C1115" s="34" t="s">
        <v>6</v>
      </c>
      <c r="D1115" s="35">
        <v>45797</v>
      </c>
      <c r="E1115" s="51" t="s">
        <v>77</v>
      </c>
      <c r="F1115" s="33">
        <v>12</v>
      </c>
      <c r="G1115" s="27">
        <f t="shared" si="23"/>
        <v>-12</v>
      </c>
      <c r="H1115" s="28" t="str">
        <f>VLOOKUP(E1115,'Cadastro Produtos (kiwkiw)'!C:E,3,0)</f>
        <v>EarHook Torcido Banho Ouro</v>
      </c>
      <c r="AB1115" s="33" t="s">
        <v>521</v>
      </c>
    </row>
    <row r="1116" spans="2:28" ht="15" customHeight="1" x14ac:dyDescent="0.4">
      <c r="C1116" s="34" t="s">
        <v>6</v>
      </c>
      <c r="D1116" s="35">
        <v>45797</v>
      </c>
      <c r="E1116" s="51" t="s">
        <v>89</v>
      </c>
      <c r="F1116" s="33">
        <v>4</v>
      </c>
      <c r="G1116" s="27">
        <f t="shared" si="23"/>
        <v>-4</v>
      </c>
      <c r="H1116" s="28" t="str">
        <f>VLOOKUP(E1116,'Cadastro Produtos (kiwkiw)'!C:E,3,0)</f>
        <v>Colar Dot Banho Ouro</v>
      </c>
      <c r="AB1116" s="33" t="s">
        <v>521</v>
      </c>
    </row>
    <row r="1117" spans="2:28" ht="15" customHeight="1" x14ac:dyDescent="0.4">
      <c r="C1117" s="34" t="s">
        <v>6</v>
      </c>
      <c r="D1117" s="35">
        <v>45797</v>
      </c>
      <c r="E1117" s="51" t="s">
        <v>94</v>
      </c>
      <c r="F1117" s="33">
        <v>10</v>
      </c>
      <c r="G1117" s="27">
        <f t="shared" si="23"/>
        <v>-10</v>
      </c>
      <c r="H1117" s="28" t="str">
        <f>VLOOKUP(E1117,'Cadastro Produtos (kiwkiw)'!C:E,3,0)</f>
        <v>Colar Duplo Dots Banho Ouro</v>
      </c>
      <c r="AB1117" s="33" t="s">
        <v>521</v>
      </c>
    </row>
    <row r="1118" spans="2:28" ht="15" customHeight="1" x14ac:dyDescent="0.4">
      <c r="C1118" s="34" t="s">
        <v>6</v>
      </c>
      <c r="D1118" s="35">
        <v>45797</v>
      </c>
      <c r="E1118" s="51" t="s">
        <v>96</v>
      </c>
      <c r="F1118" s="33">
        <v>9</v>
      </c>
      <c r="G1118" s="27">
        <f t="shared" si="23"/>
        <v>-9</v>
      </c>
      <c r="H1118" s="28" t="str">
        <f>VLOOKUP(E1118,'Cadastro Produtos (kiwkiw)'!C:E,3,0)</f>
        <v>Colar Duplo Minimal Banho Ouro</v>
      </c>
      <c r="AB1118" s="33" t="s">
        <v>521</v>
      </c>
    </row>
    <row r="1119" spans="2:28" ht="15" customHeight="1" x14ac:dyDescent="0.4">
      <c r="C1119" s="34" t="s">
        <v>6</v>
      </c>
      <c r="D1119" s="35">
        <v>45797</v>
      </c>
      <c r="E1119" s="51" t="s">
        <v>99</v>
      </c>
      <c r="F1119" s="33">
        <v>4</v>
      </c>
      <c r="G1119" s="27">
        <f t="shared" si="23"/>
        <v>-4</v>
      </c>
      <c r="H1119" s="28" t="str">
        <f>VLOOKUP(E1119,'Cadastro Produtos (kiwkiw)'!C:E,3,0)</f>
        <v>Colar Esfera Medio Banho Ouro</v>
      </c>
      <c r="AB1119" s="33" t="s">
        <v>521</v>
      </c>
    </row>
    <row r="1120" spans="2:28" ht="15" customHeight="1" x14ac:dyDescent="0.4">
      <c r="C1120" s="34" t="s">
        <v>6</v>
      </c>
      <c r="D1120" s="35">
        <v>45797</v>
      </c>
      <c r="E1120" s="51" t="s">
        <v>116</v>
      </c>
      <c r="F1120" s="33">
        <v>10</v>
      </c>
      <c r="G1120" s="27">
        <f t="shared" si="23"/>
        <v>-10</v>
      </c>
      <c r="H1120" s="28" t="str">
        <f>VLOOKUP(E1120,'Cadastro Produtos (kiwkiw)'!C:E,3,0)</f>
        <v>Gargantilha Dots Banho Ouro</v>
      </c>
      <c r="AB1120" s="33" t="s">
        <v>521</v>
      </c>
    </row>
    <row r="1121" spans="2:28" ht="15" customHeight="1" x14ac:dyDescent="0.4">
      <c r="C1121" s="34" t="s">
        <v>6</v>
      </c>
      <c r="D1121" s="35">
        <v>45797</v>
      </c>
      <c r="E1121" s="51" t="s">
        <v>113</v>
      </c>
      <c r="F1121" s="33">
        <v>4</v>
      </c>
      <c r="G1121" s="27">
        <f t="shared" si="23"/>
        <v>-4</v>
      </c>
      <c r="H1121" s="28" t="str">
        <f>VLOOKUP(E1121,'Cadastro Produtos (kiwkiw)'!C:E,3,0)</f>
        <v>Gargantilha Escama Prateada</v>
      </c>
      <c r="AB1121" s="33" t="s">
        <v>521</v>
      </c>
    </row>
    <row r="1122" spans="2:28" ht="15" customHeight="1" x14ac:dyDescent="0.4">
      <c r="B1122" s="43"/>
      <c r="C1122" s="34" t="s">
        <v>6</v>
      </c>
      <c r="D1122" s="35">
        <v>45797</v>
      </c>
      <c r="E1122" s="51" t="s">
        <v>92</v>
      </c>
      <c r="F1122" s="33">
        <v>5</v>
      </c>
      <c r="G1122" s="27">
        <f t="shared" si="23"/>
        <v>-5</v>
      </c>
      <c r="H1122" s="28" t="str">
        <f>VLOOKUP(E1122,'Cadastro Produtos (kiwkiw)'!C:E,3,0)</f>
        <v>Colar Coracao Banho Ouro</v>
      </c>
      <c r="AB1122" s="33" t="s">
        <v>521</v>
      </c>
    </row>
    <row r="1123" spans="2:28" ht="15" customHeight="1" x14ac:dyDescent="0.4">
      <c r="B1123" s="43">
        <v>45798.427754629629</v>
      </c>
      <c r="C1123" s="34" t="s">
        <v>6</v>
      </c>
      <c r="D1123" s="35">
        <v>45798</v>
      </c>
      <c r="E1123" s="51" t="s">
        <v>117</v>
      </c>
      <c r="F1123" s="33">
        <v>1</v>
      </c>
      <c r="G1123" s="27">
        <f t="shared" si="23"/>
        <v>-1</v>
      </c>
      <c r="H1123" s="28" t="str">
        <f>VLOOKUP(E1123,'Cadastro Produtos (kiwkiw)'!C:E,3,0)</f>
        <v>Gargantilha Minimal Banho Ouro</v>
      </c>
      <c r="AB1123" s="33" t="s">
        <v>645</v>
      </c>
    </row>
    <row r="1124" spans="2:28" ht="15" customHeight="1" x14ac:dyDescent="0.4">
      <c r="B1124" s="43">
        <v>45800.439606481479</v>
      </c>
      <c r="C1124" s="34" t="s">
        <v>6</v>
      </c>
      <c r="D1124" s="35">
        <v>45800</v>
      </c>
      <c r="E1124" s="51" t="s">
        <v>30</v>
      </c>
      <c r="F1124" s="33">
        <v>1</v>
      </c>
      <c r="G1124" s="27">
        <f t="shared" si="23"/>
        <v>-1</v>
      </c>
      <c r="H1124" s="28" t="str">
        <f>VLOOKUP(E1124,'Cadastro Produtos (kiwkiw)'!C:E,3,0)</f>
        <v>Argola Organica Banho Ouro</v>
      </c>
      <c r="AB1124" s="33" t="s">
        <v>646</v>
      </c>
    </row>
    <row r="1125" spans="2:28" ht="15" customHeight="1" x14ac:dyDescent="0.4">
      <c r="C1125" s="34" t="s">
        <v>6</v>
      </c>
      <c r="D1125" s="35">
        <v>45800</v>
      </c>
      <c r="E1125" s="51" t="s">
        <v>91</v>
      </c>
      <c r="F1125" s="33">
        <v>1</v>
      </c>
      <c r="G1125" s="27">
        <f t="shared" si="23"/>
        <v>-1</v>
      </c>
      <c r="H1125" s="28" t="str">
        <f>VLOOKUP(E1125,'Cadastro Produtos (kiwkiw)'!C:E,3,0)</f>
        <v>Colar Rosa dos Ventos Banho Ouro</v>
      </c>
      <c r="AB1125" s="33" t="s">
        <v>646</v>
      </c>
    </row>
    <row r="1126" spans="2:28" ht="15" customHeight="1" x14ac:dyDescent="0.4">
      <c r="B1126" s="43">
        <v>45804.426620370374</v>
      </c>
      <c r="C1126" s="34" t="s">
        <v>6</v>
      </c>
      <c r="D1126" s="35">
        <v>45804</v>
      </c>
      <c r="E1126" s="51" t="s">
        <v>117</v>
      </c>
      <c r="F1126" s="33">
        <v>1</v>
      </c>
      <c r="G1126" s="27">
        <f t="shared" si="23"/>
        <v>-1</v>
      </c>
      <c r="H1126" s="28" t="str">
        <f>VLOOKUP(E1126,'Cadastro Produtos (kiwkiw)'!C:E,3,0)</f>
        <v>Gargantilha Minimal Banho Ouro</v>
      </c>
      <c r="AB1126" s="33" t="s">
        <v>647</v>
      </c>
    </row>
    <row r="1127" spans="2:28" ht="15" customHeight="1" x14ac:dyDescent="0.4">
      <c r="C1127" s="34" t="s">
        <v>6</v>
      </c>
      <c r="D1127" s="35">
        <v>45804</v>
      </c>
      <c r="E1127" s="51" t="s">
        <v>117</v>
      </c>
      <c r="F1127" s="33">
        <v>1</v>
      </c>
      <c r="G1127" s="27">
        <f t="shared" si="23"/>
        <v>-1</v>
      </c>
      <c r="H1127" s="28" t="str">
        <f>VLOOKUP(E1127,'Cadastro Produtos (kiwkiw)'!C:E,3,0)</f>
        <v>Gargantilha Minimal Banho Ouro</v>
      </c>
      <c r="AB1127" s="33" t="s">
        <v>648</v>
      </c>
    </row>
    <row r="1128" spans="2:28" ht="15" customHeight="1" x14ac:dyDescent="0.4">
      <c r="B1128" s="43">
        <v>45804.427152777775</v>
      </c>
      <c r="C1128" s="34" t="s">
        <v>6</v>
      </c>
      <c r="D1128" s="35">
        <v>45804</v>
      </c>
      <c r="E1128" s="51" t="s">
        <v>117</v>
      </c>
      <c r="F1128" s="33">
        <v>1</v>
      </c>
      <c r="G1128" s="27">
        <f t="shared" si="23"/>
        <v>-1</v>
      </c>
      <c r="H1128" s="28" t="str">
        <f>VLOOKUP(E1128,'Cadastro Produtos (kiwkiw)'!C:E,3,0)</f>
        <v>Gargantilha Minimal Banho Ouro</v>
      </c>
      <c r="AB1128" s="33" t="s">
        <v>647</v>
      </c>
    </row>
    <row r="1129" spans="2:28" ht="15" customHeight="1" x14ac:dyDescent="0.4">
      <c r="C1129" s="34" t="s">
        <v>6</v>
      </c>
      <c r="D1129" s="35">
        <v>45804</v>
      </c>
      <c r="E1129" s="51" t="s">
        <v>117</v>
      </c>
      <c r="F1129" s="33">
        <v>1</v>
      </c>
      <c r="G1129" s="27">
        <f t="shared" si="23"/>
        <v>-1</v>
      </c>
      <c r="H1129" s="28" t="str">
        <f>VLOOKUP(E1129,'Cadastro Produtos (kiwkiw)'!C:E,3,0)</f>
        <v>Gargantilha Minimal Banho Ouro</v>
      </c>
      <c r="AB1129" s="33" t="s">
        <v>648</v>
      </c>
    </row>
    <row r="1130" spans="2:28" ht="15" customHeight="1" x14ac:dyDescent="0.4">
      <c r="B1130" s="43">
        <v>45806.433379629627</v>
      </c>
      <c r="C1130" s="34" t="s">
        <v>6</v>
      </c>
      <c r="D1130" s="35">
        <v>45806</v>
      </c>
      <c r="E1130" s="51" t="s">
        <v>104</v>
      </c>
      <c r="F1130" s="33">
        <v>1</v>
      </c>
      <c r="G1130" s="27">
        <f t="shared" si="23"/>
        <v>-1</v>
      </c>
      <c r="H1130" s="28" t="str">
        <f>VLOOKUP(E1130,'Cadastro Produtos (kiwkiw)'!C:E,3,0)</f>
        <v>Colar Ivy Prateado</v>
      </c>
      <c r="AB1130" s="33" t="s">
        <v>649</v>
      </c>
    </row>
    <row r="1131" spans="2:28" ht="15" customHeight="1" x14ac:dyDescent="0.4">
      <c r="C1131" s="34" t="s">
        <v>6</v>
      </c>
      <c r="D1131" s="35">
        <v>45806</v>
      </c>
      <c r="E1131" s="51" t="s">
        <v>55</v>
      </c>
      <c r="F1131" s="33">
        <v>1</v>
      </c>
      <c r="G1131" s="27">
        <f t="shared" si="23"/>
        <v>-1</v>
      </c>
      <c r="H1131" s="28" t="str">
        <f>VLOOKUP(E1131,'Cadastro Produtos (kiwkiw)'!C:E,3,0)</f>
        <v>Brinco Ivy Prateado</v>
      </c>
      <c r="AB1131" s="33" t="s">
        <v>649</v>
      </c>
    </row>
    <row r="1132" spans="2:28" ht="15" customHeight="1" x14ac:dyDescent="0.4">
      <c r="C1132" s="34" t="s">
        <v>6</v>
      </c>
      <c r="D1132" s="35">
        <v>45806</v>
      </c>
      <c r="E1132" s="51" t="s">
        <v>90</v>
      </c>
      <c r="F1132" s="33">
        <v>1</v>
      </c>
      <c r="G1132" s="27">
        <f t="shared" si="23"/>
        <v>-1</v>
      </c>
      <c r="H1132" s="28" t="str">
        <f>VLOOKUP(E1132,'Cadastro Produtos (kiwkiw)'!C:E,3,0)</f>
        <v>Colar Dot Prateado</v>
      </c>
      <c r="AB1132" s="33" t="s">
        <v>649</v>
      </c>
    </row>
    <row r="1133" spans="2:28" ht="15" customHeight="1" x14ac:dyDescent="0.4">
      <c r="C1133" s="34" t="s">
        <v>6</v>
      </c>
      <c r="D1133" s="35">
        <v>45806</v>
      </c>
      <c r="E1133" s="51" t="s">
        <v>114</v>
      </c>
      <c r="F1133" s="33">
        <v>1</v>
      </c>
      <c r="G1133" s="27">
        <f t="shared" si="23"/>
        <v>-1</v>
      </c>
      <c r="H1133" s="28" t="str">
        <f>VLOOKUP(E1133,'Cadastro Produtos (kiwkiw)'!C:E,3,0)</f>
        <v>Gargantilha Fita Banho Ouro</v>
      </c>
      <c r="AB1133" s="33" t="s">
        <v>650</v>
      </c>
    </row>
    <row r="1134" spans="2:28" ht="15" customHeight="1" x14ac:dyDescent="0.4">
      <c r="C1134" s="34" t="s">
        <v>6</v>
      </c>
      <c r="D1134" s="35">
        <v>45806</v>
      </c>
      <c r="E1134" s="51" t="s">
        <v>117</v>
      </c>
      <c r="F1134" s="33">
        <v>1</v>
      </c>
      <c r="G1134" s="27">
        <f t="shared" si="23"/>
        <v>-1</v>
      </c>
      <c r="H1134" s="28" t="str">
        <f>VLOOKUP(E1134,'Cadastro Produtos (kiwkiw)'!C:E,3,0)</f>
        <v>Gargantilha Minimal Banho Ouro</v>
      </c>
      <c r="AB1134" s="33" t="s">
        <v>650</v>
      </c>
    </row>
    <row r="1135" spans="2:28" ht="15" customHeight="1" x14ac:dyDescent="0.4">
      <c r="C1135" s="34" t="s">
        <v>6</v>
      </c>
      <c r="D1135" s="35">
        <v>45806</v>
      </c>
      <c r="E1135" s="51" t="s">
        <v>127</v>
      </c>
      <c r="F1135" s="33">
        <v>1</v>
      </c>
      <c r="G1135" s="27">
        <f t="shared" si="23"/>
        <v>-1</v>
      </c>
      <c r="H1135" s="28" t="str">
        <f>VLOOKUP(E1135,'Cadastro Produtos (kiwkiw)'!C:E,3,0)</f>
        <v>Pulseira Minimal Banho Ouro</v>
      </c>
      <c r="AB1135" s="33" t="s">
        <v>650</v>
      </c>
    </row>
    <row r="1136" spans="2:28" ht="15" customHeight="1" x14ac:dyDescent="0.4">
      <c r="C1136" s="34" t="s">
        <v>6</v>
      </c>
      <c r="D1136" s="35">
        <v>45806</v>
      </c>
      <c r="E1136" s="51" t="s">
        <v>124</v>
      </c>
      <c r="F1136" s="33">
        <v>1</v>
      </c>
      <c r="G1136" s="27">
        <f t="shared" si="23"/>
        <v>-1</v>
      </c>
      <c r="H1136" s="28" t="str">
        <f>VLOOKUP(E1136,'Cadastro Produtos (kiwkiw)'!C:E,3,0)</f>
        <v>Pulseira Fita Textura Banho Ouro</v>
      </c>
      <c r="AB1136" s="33" t="s">
        <v>650</v>
      </c>
    </row>
    <row r="1137" spans="2:28" ht="15" customHeight="1" x14ac:dyDescent="0.4">
      <c r="B1137" s="43">
        <v>45807.432233796295</v>
      </c>
      <c r="C1137" s="34" t="s">
        <v>6</v>
      </c>
      <c r="D1137" s="35">
        <v>45807</v>
      </c>
      <c r="E1137" s="51" t="s">
        <v>77</v>
      </c>
      <c r="F1137" s="33">
        <v>1</v>
      </c>
      <c r="G1137" s="27">
        <f t="shared" si="23"/>
        <v>-1</v>
      </c>
      <c r="H1137" s="28" t="str">
        <f>VLOOKUP(E1137,'Cadastro Produtos (kiwkiw)'!C:E,3,0)</f>
        <v>EarHook Torcido Banho Ouro</v>
      </c>
      <c r="AB1137" s="33" t="s">
        <v>651</v>
      </c>
    </row>
    <row r="1138" spans="2:28" ht="15" customHeight="1" x14ac:dyDescent="0.4">
      <c r="B1138" s="43">
        <v>45810.426782407405</v>
      </c>
      <c r="C1138" s="34" t="s">
        <v>6</v>
      </c>
      <c r="D1138" s="35">
        <v>45810</v>
      </c>
      <c r="E1138" s="51" t="s">
        <v>117</v>
      </c>
      <c r="F1138" s="33">
        <v>1</v>
      </c>
      <c r="G1138" s="27">
        <f t="shared" si="23"/>
        <v>-1</v>
      </c>
      <c r="H1138" s="28" t="str">
        <f>VLOOKUP(E1138,'Cadastro Produtos (kiwkiw)'!C:E,3,0)</f>
        <v>Gargantilha Minimal Banho Ouro</v>
      </c>
      <c r="AB1138" s="33" t="s">
        <v>652</v>
      </c>
    </row>
    <row r="1139" spans="2:28" ht="15" customHeight="1" x14ac:dyDescent="0.4">
      <c r="C1139" s="34" t="s">
        <v>6</v>
      </c>
      <c r="D1139" s="35">
        <v>45810</v>
      </c>
      <c r="E1139" s="51" t="s">
        <v>117</v>
      </c>
      <c r="F1139" s="33">
        <v>1</v>
      </c>
      <c r="G1139" s="27">
        <f t="shared" si="23"/>
        <v>-1</v>
      </c>
      <c r="H1139" s="28" t="str">
        <f>VLOOKUP(E1139,'Cadastro Produtos (kiwkiw)'!C:E,3,0)</f>
        <v>Gargantilha Minimal Banho Ouro</v>
      </c>
      <c r="AB1139" s="33" t="s">
        <v>653</v>
      </c>
    </row>
    <row r="1140" spans="2:28" ht="15" customHeight="1" x14ac:dyDescent="0.4">
      <c r="C1140" s="34" t="s">
        <v>6</v>
      </c>
      <c r="D1140" s="35">
        <v>45810</v>
      </c>
      <c r="E1140" s="51" t="s">
        <v>117</v>
      </c>
      <c r="F1140" s="33">
        <v>1</v>
      </c>
      <c r="G1140" s="27">
        <f t="shared" si="23"/>
        <v>-1</v>
      </c>
      <c r="H1140" s="28" t="str">
        <f>VLOOKUP(E1140,'Cadastro Produtos (kiwkiw)'!C:E,3,0)</f>
        <v>Gargantilha Minimal Banho Ouro</v>
      </c>
      <c r="AB1140" s="33" t="s">
        <v>654</v>
      </c>
    </row>
    <row r="1141" spans="2:28" ht="15" customHeight="1" x14ac:dyDescent="0.4">
      <c r="C1141" s="34" t="s">
        <v>6</v>
      </c>
      <c r="D1141" s="35">
        <v>45810</v>
      </c>
      <c r="E1141" s="51" t="s">
        <v>117</v>
      </c>
      <c r="F1141" s="33">
        <v>1</v>
      </c>
      <c r="G1141" s="27">
        <f t="shared" si="23"/>
        <v>-1</v>
      </c>
      <c r="H1141" s="28" t="str">
        <f>VLOOKUP(E1141,'Cadastro Produtos (kiwkiw)'!C:E,3,0)</f>
        <v>Gargantilha Minimal Banho Ouro</v>
      </c>
      <c r="AB1141" s="33" t="s">
        <v>655</v>
      </c>
    </row>
    <row r="1142" spans="2:28" ht="15" customHeight="1" x14ac:dyDescent="0.4">
      <c r="C1142" s="34" t="s">
        <v>6</v>
      </c>
      <c r="D1142" s="35">
        <v>45810</v>
      </c>
      <c r="E1142" s="51" t="s">
        <v>117</v>
      </c>
      <c r="F1142" s="33">
        <v>1</v>
      </c>
      <c r="G1142" s="27">
        <f t="shared" si="23"/>
        <v>-1</v>
      </c>
      <c r="H1142" s="28" t="str">
        <f>VLOOKUP(E1142,'Cadastro Produtos (kiwkiw)'!C:E,3,0)</f>
        <v>Gargantilha Minimal Banho Ouro</v>
      </c>
      <c r="AB1142" s="33" t="s">
        <v>656</v>
      </c>
    </row>
    <row r="1143" spans="2:28" ht="15" customHeight="1" x14ac:dyDescent="0.4">
      <c r="C1143" s="34" t="s">
        <v>6</v>
      </c>
      <c r="D1143" s="35">
        <v>45810</v>
      </c>
      <c r="E1143" s="51" t="s">
        <v>117</v>
      </c>
      <c r="F1143" s="33">
        <v>1</v>
      </c>
      <c r="G1143" s="27">
        <f t="shared" si="23"/>
        <v>-1</v>
      </c>
      <c r="H1143" s="28" t="str">
        <f>VLOOKUP(E1143,'Cadastro Produtos (kiwkiw)'!C:E,3,0)</f>
        <v>Gargantilha Minimal Banho Ouro</v>
      </c>
      <c r="AB1143" s="33" t="s">
        <v>657</v>
      </c>
    </row>
    <row r="1144" spans="2:28" ht="15" customHeight="1" x14ac:dyDescent="0.4">
      <c r="C1144" s="34" t="s">
        <v>6</v>
      </c>
      <c r="D1144" s="35">
        <v>45810</v>
      </c>
      <c r="E1144" s="51" t="s">
        <v>117</v>
      </c>
      <c r="F1144" s="33">
        <v>1</v>
      </c>
      <c r="G1144" s="27">
        <f t="shared" si="23"/>
        <v>-1</v>
      </c>
      <c r="H1144" s="28" t="str">
        <f>VLOOKUP(E1144,'Cadastro Produtos (kiwkiw)'!C:E,3,0)</f>
        <v>Gargantilha Minimal Banho Ouro</v>
      </c>
      <c r="AB1144" s="33" t="s">
        <v>658</v>
      </c>
    </row>
    <row r="1145" spans="2:28" ht="15" customHeight="1" x14ac:dyDescent="0.4">
      <c r="C1145" s="34" t="s">
        <v>6</v>
      </c>
      <c r="D1145" s="35">
        <v>45810</v>
      </c>
      <c r="E1145" s="51" t="s">
        <v>117</v>
      </c>
      <c r="F1145" s="33">
        <v>3</v>
      </c>
      <c r="G1145" s="27">
        <f t="shared" si="23"/>
        <v>-3</v>
      </c>
      <c r="H1145" s="28" t="str">
        <f>VLOOKUP(E1145,'Cadastro Produtos (kiwkiw)'!C:E,3,0)</f>
        <v>Gargantilha Minimal Banho Ouro</v>
      </c>
      <c r="AB1145" s="33" t="s">
        <v>659</v>
      </c>
    </row>
    <row r="1146" spans="2:28" ht="15" customHeight="1" x14ac:dyDescent="0.4">
      <c r="C1146" s="34" t="s">
        <v>6</v>
      </c>
      <c r="D1146" s="35">
        <v>45810</v>
      </c>
      <c r="E1146" s="51" t="s">
        <v>43</v>
      </c>
      <c r="F1146" s="33">
        <v>1</v>
      </c>
      <c r="G1146" s="27">
        <f t="shared" si="23"/>
        <v>-1</v>
      </c>
      <c r="H1146" s="28" t="str">
        <f>VLOOKUP(E1146,'Cadastro Produtos (kiwkiw)'!C:E,3,0)</f>
        <v>Brinco Mini Aviao Banho Ouro</v>
      </c>
      <c r="AB1146" s="33" t="s">
        <v>660</v>
      </c>
    </row>
    <row r="1147" spans="2:28" ht="15" customHeight="1" x14ac:dyDescent="0.4">
      <c r="B1147" s="43"/>
      <c r="C1147" s="34" t="s">
        <v>6</v>
      </c>
      <c r="D1147" s="35">
        <v>45810</v>
      </c>
      <c r="E1147" s="51" t="s">
        <v>94</v>
      </c>
      <c r="F1147" s="33">
        <v>1</v>
      </c>
      <c r="G1147" s="27">
        <f t="shared" si="23"/>
        <v>-1</v>
      </c>
      <c r="H1147" s="28" t="str">
        <f>VLOOKUP(E1147,'Cadastro Produtos (kiwkiw)'!C:E,3,0)</f>
        <v>Colar Duplo Dots Banho Ouro</v>
      </c>
      <c r="AB1147" s="33" t="s">
        <v>661</v>
      </c>
    </row>
    <row r="1148" spans="2:28" ht="15" customHeight="1" x14ac:dyDescent="0.4">
      <c r="C1148" s="34" t="s">
        <v>6</v>
      </c>
      <c r="D1148" s="35">
        <v>45810</v>
      </c>
      <c r="E1148" s="51" t="s">
        <v>127</v>
      </c>
      <c r="F1148" s="33">
        <v>1</v>
      </c>
      <c r="G1148" s="27">
        <f t="shared" si="23"/>
        <v>-1</v>
      </c>
      <c r="H1148" s="28" t="str">
        <f>VLOOKUP(E1148,'Cadastro Produtos (kiwkiw)'!C:E,3,0)</f>
        <v>Pulseira Minimal Banho Ouro</v>
      </c>
      <c r="AB1148" s="33" t="s">
        <v>661</v>
      </c>
    </row>
    <row r="1149" spans="2:28" ht="15" customHeight="1" x14ac:dyDescent="0.4">
      <c r="C1149" s="34" t="s">
        <v>6</v>
      </c>
      <c r="D1149" s="35">
        <v>45810</v>
      </c>
      <c r="E1149" s="51" t="s">
        <v>29</v>
      </c>
      <c r="F1149" s="33">
        <v>1</v>
      </c>
      <c r="G1149" s="27">
        <f t="shared" si="23"/>
        <v>-1</v>
      </c>
      <c r="H1149" s="28" t="str">
        <f>VLOOKUP(E1149,'Cadastro Produtos (kiwkiw)'!C:E,3,0)</f>
        <v>Argola Click Diamond Banho Ouro</v>
      </c>
      <c r="AB1149" s="33" t="s">
        <v>654</v>
      </c>
    </row>
    <row r="1150" spans="2:28" ht="15" customHeight="1" x14ac:dyDescent="0.4">
      <c r="C1150" s="34" t="s">
        <v>6</v>
      </c>
      <c r="D1150" s="35">
        <v>45810</v>
      </c>
      <c r="E1150" s="51" t="s">
        <v>29</v>
      </c>
      <c r="F1150" s="33">
        <v>1</v>
      </c>
      <c r="G1150" s="27">
        <f t="shared" si="23"/>
        <v>-1</v>
      </c>
      <c r="H1150" s="28" t="str">
        <f>VLOOKUP(E1150,'Cadastro Produtos (kiwkiw)'!C:E,3,0)</f>
        <v>Argola Click Diamond Banho Ouro</v>
      </c>
      <c r="AB1150" s="33" t="s">
        <v>659</v>
      </c>
    </row>
    <row r="1151" spans="2:28" ht="15" customHeight="1" x14ac:dyDescent="0.4">
      <c r="B1151" s="43"/>
      <c r="C1151" s="34" t="s">
        <v>6</v>
      </c>
      <c r="D1151" s="35">
        <v>45810</v>
      </c>
      <c r="E1151" s="51" t="s">
        <v>91</v>
      </c>
      <c r="F1151" s="33">
        <v>1</v>
      </c>
      <c r="G1151" s="27">
        <f t="shared" si="23"/>
        <v>-1</v>
      </c>
      <c r="H1151" s="28" t="str">
        <f>VLOOKUP(E1151,'Cadastro Produtos (kiwkiw)'!C:E,3,0)</f>
        <v>Colar Rosa dos Ventos Banho Ouro</v>
      </c>
      <c r="AB1151" s="33" t="s">
        <v>655</v>
      </c>
    </row>
    <row r="1152" spans="2:28" ht="15" customHeight="1" x14ac:dyDescent="0.4">
      <c r="B1152" s="43"/>
      <c r="C1152" s="34" t="s">
        <v>6</v>
      </c>
      <c r="D1152" s="35">
        <v>45810</v>
      </c>
      <c r="E1152" s="51" t="s">
        <v>28</v>
      </c>
      <c r="F1152" s="33">
        <v>1</v>
      </c>
      <c r="G1152" s="27">
        <f t="shared" si="23"/>
        <v>-1</v>
      </c>
      <c r="H1152" s="28" t="str">
        <f>VLOOKUP(E1152,'Cadastro Produtos (kiwkiw)'!C:E,3,0)</f>
        <v>Argola Click Pequena Banho Ouro</v>
      </c>
      <c r="AB1152" s="33" t="s">
        <v>656</v>
      </c>
    </row>
    <row r="1153" spans="2:28" ht="15" customHeight="1" x14ac:dyDescent="0.4">
      <c r="C1153" s="34" t="s">
        <v>6</v>
      </c>
      <c r="D1153" s="35">
        <v>45810</v>
      </c>
      <c r="E1153" s="51" t="s">
        <v>114</v>
      </c>
      <c r="F1153" s="33">
        <v>1</v>
      </c>
      <c r="G1153" s="27">
        <f t="shared" si="23"/>
        <v>-1</v>
      </c>
      <c r="H1153" s="28" t="str">
        <f>VLOOKUP(E1153,'Cadastro Produtos (kiwkiw)'!C:E,3,0)</f>
        <v>Gargantilha Fita Banho Ouro</v>
      </c>
      <c r="AB1153" s="33" t="s">
        <v>658</v>
      </c>
    </row>
    <row r="1154" spans="2:28" ht="15" customHeight="1" x14ac:dyDescent="0.4">
      <c r="C1154" s="34" t="s">
        <v>6</v>
      </c>
      <c r="D1154" s="35">
        <v>45810</v>
      </c>
      <c r="E1154" s="51" t="s">
        <v>118</v>
      </c>
      <c r="F1154" s="33">
        <v>1</v>
      </c>
      <c r="G1154" s="27">
        <f t="shared" si="23"/>
        <v>-1</v>
      </c>
      <c r="H1154" s="28" t="str">
        <f>VLOOKUP(E1154,'Cadastro Produtos (kiwkiw)'!C:E,3,0)</f>
        <v>Gargantilha Minimal Prateada</v>
      </c>
      <c r="AB1154" s="33" t="s">
        <v>658</v>
      </c>
    </row>
    <row r="1155" spans="2:28" ht="15" customHeight="1" x14ac:dyDescent="0.4">
      <c r="B1155" s="43">
        <v>45811.435891203706</v>
      </c>
      <c r="C1155" s="34" t="s">
        <v>6</v>
      </c>
      <c r="D1155" s="35">
        <v>45811</v>
      </c>
      <c r="E1155" s="51" t="s">
        <v>86</v>
      </c>
      <c r="F1155" s="33">
        <v>1</v>
      </c>
      <c r="G1155" s="27">
        <f t="shared" si="23"/>
        <v>-1</v>
      </c>
      <c r="H1155" s="28" t="str">
        <f>VLOOKUP(E1155,'Cadastro Produtos (kiwkiw)'!C:E,3,0)</f>
        <v>Piercing Fake Minimal Banho Ouro</v>
      </c>
      <c r="AB1155" s="33" t="s">
        <v>662</v>
      </c>
    </row>
    <row r="1156" spans="2:28" ht="15" customHeight="1" x14ac:dyDescent="0.4">
      <c r="C1156" s="34" t="s">
        <v>6</v>
      </c>
      <c r="D1156" s="35">
        <v>45811</v>
      </c>
      <c r="E1156" s="51" t="s">
        <v>86</v>
      </c>
      <c r="F1156" s="33">
        <v>1</v>
      </c>
      <c r="G1156" s="27">
        <f t="shared" si="23"/>
        <v>-1</v>
      </c>
      <c r="H1156" s="28" t="str">
        <f>VLOOKUP(E1156,'Cadastro Produtos (kiwkiw)'!C:E,3,0)</f>
        <v>Piercing Fake Minimal Banho Ouro</v>
      </c>
      <c r="AB1156" s="33" t="s">
        <v>663</v>
      </c>
    </row>
    <row r="1157" spans="2:28" ht="15" customHeight="1" x14ac:dyDescent="0.4">
      <c r="C1157" s="34" t="s">
        <v>6</v>
      </c>
      <c r="D1157" s="35">
        <v>45811</v>
      </c>
      <c r="E1157" s="51" t="s">
        <v>35</v>
      </c>
      <c r="F1157" s="33">
        <v>1</v>
      </c>
      <c r="G1157" s="27">
        <f t="shared" si="23"/>
        <v>-1</v>
      </c>
      <c r="H1157" s="28" t="str">
        <f>VLOOKUP(E1157,'Cadastro Produtos (kiwkiw)'!C:E,3,0)</f>
        <v>Argola Classy Banho Ouro</v>
      </c>
      <c r="AB1157" s="33" t="s">
        <v>664</v>
      </c>
    </row>
    <row r="1158" spans="2:28" ht="15" customHeight="1" x14ac:dyDescent="0.4">
      <c r="C1158" s="34" t="s">
        <v>6</v>
      </c>
      <c r="D1158" s="35">
        <v>45811</v>
      </c>
      <c r="E1158" s="51" t="s">
        <v>83</v>
      </c>
      <c r="F1158" s="33">
        <v>1</v>
      </c>
      <c r="G1158" s="27">
        <f t="shared" si="23"/>
        <v>-1</v>
      </c>
      <c r="H1158" s="28" t="str">
        <f>VLOOKUP(E1158,'Cadastro Produtos (kiwkiw)'!C:E,3,0)</f>
        <v>Mini Argola Classy Banho Ouro</v>
      </c>
      <c r="AB1158" s="33" t="s">
        <v>664</v>
      </c>
    </row>
    <row r="1159" spans="2:28" ht="15" customHeight="1" x14ac:dyDescent="0.4">
      <c r="C1159" s="34" t="s">
        <v>6</v>
      </c>
      <c r="D1159" s="35">
        <v>45811</v>
      </c>
      <c r="E1159" s="51" t="s">
        <v>117</v>
      </c>
      <c r="F1159" s="33">
        <v>1</v>
      </c>
      <c r="G1159" s="27">
        <f t="shared" si="23"/>
        <v>-1</v>
      </c>
      <c r="H1159" s="28" t="str">
        <f>VLOOKUP(E1159,'Cadastro Produtos (kiwkiw)'!C:E,3,0)</f>
        <v>Gargantilha Minimal Banho Ouro</v>
      </c>
      <c r="AB1159" s="33" t="s">
        <v>663</v>
      </c>
    </row>
    <row r="1160" spans="2:28" ht="15" customHeight="1" x14ac:dyDescent="0.4">
      <c r="C1160" s="34" t="s">
        <v>6</v>
      </c>
      <c r="D1160" s="35">
        <v>45811</v>
      </c>
      <c r="E1160" s="51" t="s">
        <v>127</v>
      </c>
      <c r="F1160" s="33">
        <v>1</v>
      </c>
      <c r="G1160" s="27">
        <f t="shared" si="23"/>
        <v>-1</v>
      </c>
      <c r="H1160" s="28" t="str">
        <f>VLOOKUP(E1160,'Cadastro Produtos (kiwkiw)'!C:E,3,0)</f>
        <v>Pulseira Minimal Banho Ouro</v>
      </c>
      <c r="AB1160" s="33" t="s">
        <v>663</v>
      </c>
    </row>
    <row r="1161" spans="2:28" ht="15" customHeight="1" x14ac:dyDescent="0.4">
      <c r="C1161" s="34" t="s">
        <v>6</v>
      </c>
      <c r="D1161" s="35">
        <v>45811</v>
      </c>
      <c r="E1161" s="51" t="s">
        <v>27</v>
      </c>
      <c r="F1161" s="33">
        <v>1</v>
      </c>
      <c r="G1161" s="27">
        <f t="shared" si="23"/>
        <v>-1</v>
      </c>
      <c r="H1161" s="28" t="str">
        <f>VLOOKUP(E1161,'Cadastro Produtos (kiwkiw)'!C:E,3,0)</f>
        <v>Argola Click Media Banho Ouro</v>
      </c>
      <c r="AB1161" s="33" t="s">
        <v>663</v>
      </c>
    </row>
    <row r="1162" spans="2:28" ht="15" customHeight="1" x14ac:dyDescent="0.4">
      <c r="C1162" s="34" t="s">
        <v>6</v>
      </c>
      <c r="D1162" s="35">
        <v>45811</v>
      </c>
      <c r="E1162" s="51" t="s">
        <v>26</v>
      </c>
      <c r="F1162" s="33">
        <v>1</v>
      </c>
      <c r="G1162" s="27">
        <f t="shared" si="23"/>
        <v>-1</v>
      </c>
      <c r="H1162" s="28" t="str">
        <f>VLOOKUP(E1162,'Cadastro Produtos (kiwkiw)'!C:E,3,0)</f>
        <v>Argola Click Grande Banho Ouro</v>
      </c>
      <c r="AB1162" s="33" t="s">
        <v>663</v>
      </c>
    </row>
    <row r="1163" spans="2:28" ht="15" customHeight="1" x14ac:dyDescent="0.4">
      <c r="B1163" s="43">
        <v>45812.43072916667</v>
      </c>
      <c r="C1163" s="34" t="s">
        <v>6</v>
      </c>
      <c r="D1163" s="35">
        <v>45812</v>
      </c>
      <c r="E1163" s="51" t="s">
        <v>59</v>
      </c>
      <c r="F1163" s="33">
        <v>1</v>
      </c>
      <c r="G1163" s="27">
        <f t="shared" si="23"/>
        <v>-1</v>
      </c>
      <c r="H1163" s="28" t="str">
        <f>VLOOKUP(E1163,'Cadastro Produtos (kiwkiw)'!C:E,3,0)</f>
        <v>Brinco Oncinha Banho Ouro</v>
      </c>
      <c r="AB1163" s="33" t="s">
        <v>665</v>
      </c>
    </row>
    <row r="1164" spans="2:28" ht="15" customHeight="1" x14ac:dyDescent="0.4">
      <c r="C1164" s="34" t="s">
        <v>6</v>
      </c>
      <c r="D1164" s="35">
        <v>45812</v>
      </c>
      <c r="E1164" s="51" t="s">
        <v>92</v>
      </c>
      <c r="F1164" s="33">
        <v>1</v>
      </c>
      <c r="G1164" s="27">
        <f t="shared" si="23"/>
        <v>-1</v>
      </c>
      <c r="H1164" s="28" t="str">
        <f>VLOOKUP(E1164,'Cadastro Produtos (kiwkiw)'!C:E,3,0)</f>
        <v>Colar Coracao Banho Ouro</v>
      </c>
      <c r="AB1164" s="33" t="s">
        <v>666</v>
      </c>
    </row>
    <row r="1165" spans="2:28" ht="15" customHeight="1" x14ac:dyDescent="0.4">
      <c r="B1165" s="43">
        <v>45813.441562499997</v>
      </c>
      <c r="C1165" s="34" t="s">
        <v>6</v>
      </c>
      <c r="D1165" s="35">
        <v>45813</v>
      </c>
      <c r="E1165" s="51" t="s">
        <v>27</v>
      </c>
      <c r="F1165" s="33">
        <v>1</v>
      </c>
      <c r="G1165" s="27">
        <f t="shared" si="23"/>
        <v>-1</v>
      </c>
      <c r="H1165" s="28" t="str">
        <f>VLOOKUP(E1165,'Cadastro Produtos (kiwkiw)'!C:E,3,0)</f>
        <v>Argola Click Media Banho Ouro</v>
      </c>
      <c r="AB1165" s="33" t="s">
        <v>667</v>
      </c>
    </row>
    <row r="1166" spans="2:28" ht="15" customHeight="1" x14ac:dyDescent="0.4">
      <c r="C1166" s="34" t="s">
        <v>6</v>
      </c>
      <c r="D1166" s="35">
        <v>45813</v>
      </c>
      <c r="E1166" s="51" t="s">
        <v>59</v>
      </c>
      <c r="F1166" s="33">
        <v>1</v>
      </c>
      <c r="G1166" s="27">
        <f t="shared" si="23"/>
        <v>-1</v>
      </c>
      <c r="H1166" s="28" t="str">
        <f>VLOOKUP(E1166,'Cadastro Produtos (kiwkiw)'!C:E,3,0)</f>
        <v>Brinco Oncinha Banho Ouro</v>
      </c>
      <c r="AB1166" s="33" t="s">
        <v>667</v>
      </c>
    </row>
    <row r="1167" spans="2:28" ht="15" customHeight="1" x14ac:dyDescent="0.4">
      <c r="C1167" s="34" t="s">
        <v>6</v>
      </c>
      <c r="D1167" s="35">
        <v>45813</v>
      </c>
      <c r="E1167" s="51" t="s">
        <v>55</v>
      </c>
      <c r="F1167" s="33">
        <v>1</v>
      </c>
      <c r="G1167" s="27">
        <f t="shared" si="23"/>
        <v>-1</v>
      </c>
      <c r="H1167" s="28" t="str">
        <f>VLOOKUP(E1167,'Cadastro Produtos (kiwkiw)'!C:E,3,0)</f>
        <v>Brinco Ivy Prateado</v>
      </c>
      <c r="AB1167" s="33" t="s">
        <v>667</v>
      </c>
    </row>
    <row r="1168" spans="2:28" ht="15" customHeight="1" x14ac:dyDescent="0.4">
      <c r="C1168" s="34" t="s">
        <v>6</v>
      </c>
      <c r="D1168" s="35">
        <v>45813</v>
      </c>
      <c r="E1168" s="51" t="s">
        <v>58</v>
      </c>
      <c r="F1168" s="33">
        <v>1</v>
      </c>
      <c r="G1168" s="27">
        <f t="shared" si="23"/>
        <v>-1</v>
      </c>
      <c r="H1168" s="28" t="str">
        <f>VLOOKUP(E1168,'Cadastro Produtos (kiwkiw)'!C:E,3,0)</f>
        <v>Brinco Mini Triangulo Prateado</v>
      </c>
      <c r="AB1168" s="33" t="s">
        <v>667</v>
      </c>
    </row>
    <row r="1169" spans="2:28" ht="15" customHeight="1" x14ac:dyDescent="0.4">
      <c r="B1169" s="43">
        <v>45814.452581018515</v>
      </c>
      <c r="C1169" s="34" t="s">
        <v>6</v>
      </c>
      <c r="D1169" s="35">
        <v>45814</v>
      </c>
      <c r="E1169" s="51" t="s">
        <v>77</v>
      </c>
      <c r="F1169" s="33">
        <v>1</v>
      </c>
      <c r="G1169" s="27">
        <f t="shared" si="23"/>
        <v>-1</v>
      </c>
      <c r="H1169" s="28" t="str">
        <f>VLOOKUP(E1169,'Cadastro Produtos (kiwkiw)'!C:E,3,0)</f>
        <v>EarHook Torcido Banho Ouro</v>
      </c>
      <c r="AB1169" s="33" t="s">
        <v>668</v>
      </c>
    </row>
    <row r="1170" spans="2:28" ht="15" customHeight="1" x14ac:dyDescent="0.4">
      <c r="C1170" s="34" t="s">
        <v>6</v>
      </c>
      <c r="D1170" s="35">
        <v>45814</v>
      </c>
      <c r="E1170" s="51" t="s">
        <v>103</v>
      </c>
      <c r="F1170" s="33">
        <v>1</v>
      </c>
      <c r="G1170" s="27">
        <f t="shared" si="23"/>
        <v>-1</v>
      </c>
      <c r="H1170" s="28" t="str">
        <f>VLOOKUP(E1170,'Cadastro Produtos (kiwkiw)'!C:E,3,0)</f>
        <v>Colar Ivy Banho Ouro</v>
      </c>
      <c r="AB1170" s="33" t="s">
        <v>668</v>
      </c>
    </row>
    <row r="1171" spans="2:28" ht="15" customHeight="1" x14ac:dyDescent="0.4">
      <c r="C1171" s="34" t="s">
        <v>6</v>
      </c>
      <c r="D1171" s="35">
        <v>45814</v>
      </c>
      <c r="E1171" s="51" t="s">
        <v>117</v>
      </c>
      <c r="F1171" s="33">
        <v>1</v>
      </c>
      <c r="G1171" s="27">
        <f t="shared" ref="G1171:G1234" si="24">IF(C1171="Entrada",F1171,-F1171)</f>
        <v>-1</v>
      </c>
      <c r="H1171" s="28" t="str">
        <f>VLOOKUP(E1171,'Cadastro Produtos (kiwkiw)'!C:E,3,0)</f>
        <v>Gargantilha Minimal Banho Ouro</v>
      </c>
      <c r="AB1171" s="33" t="s">
        <v>669</v>
      </c>
    </row>
    <row r="1172" spans="2:28" ht="15" customHeight="1" x14ac:dyDescent="0.4">
      <c r="C1172" s="34" t="s">
        <v>6</v>
      </c>
      <c r="D1172" s="35">
        <v>45814</v>
      </c>
      <c r="E1172" s="51" t="s">
        <v>117</v>
      </c>
      <c r="F1172" s="33">
        <v>1</v>
      </c>
      <c r="G1172" s="27">
        <f t="shared" si="24"/>
        <v>-1</v>
      </c>
      <c r="H1172" s="28" t="str">
        <f>VLOOKUP(E1172,'Cadastro Produtos (kiwkiw)'!C:E,3,0)</f>
        <v>Gargantilha Minimal Banho Ouro</v>
      </c>
      <c r="AB1172" s="33" t="s">
        <v>670</v>
      </c>
    </row>
    <row r="1173" spans="2:28" ht="15" customHeight="1" x14ac:dyDescent="0.4">
      <c r="C1173" s="34" t="s">
        <v>6</v>
      </c>
      <c r="D1173" s="35">
        <v>45814</v>
      </c>
      <c r="E1173" s="51" t="s">
        <v>29</v>
      </c>
      <c r="F1173" s="33">
        <v>1</v>
      </c>
      <c r="G1173" s="27">
        <f t="shared" si="24"/>
        <v>-1</v>
      </c>
      <c r="H1173" s="28" t="str">
        <f>VLOOKUP(E1173,'Cadastro Produtos (kiwkiw)'!C:E,3,0)</f>
        <v>Argola Click Diamond Banho Ouro</v>
      </c>
      <c r="AB1173" s="33" t="s">
        <v>669</v>
      </c>
    </row>
    <row r="1174" spans="2:28" ht="15" customHeight="1" x14ac:dyDescent="0.4">
      <c r="B1174" s="43">
        <v>45817.423067129632</v>
      </c>
      <c r="C1174" s="34" t="s">
        <v>6</v>
      </c>
      <c r="D1174" s="35">
        <v>45817</v>
      </c>
      <c r="E1174" s="51" t="s">
        <v>112</v>
      </c>
      <c r="F1174" s="33">
        <v>1</v>
      </c>
      <c r="G1174" s="27">
        <f t="shared" si="24"/>
        <v>-1</v>
      </c>
      <c r="H1174" s="28" t="str">
        <f>VLOOKUP(E1174,'Cadastro Produtos (kiwkiw)'!C:E,3,0)</f>
        <v>Gargantilha Escama Banho Ouro</v>
      </c>
      <c r="AB1174" s="33" t="s">
        <v>671</v>
      </c>
    </row>
    <row r="1175" spans="2:28" ht="15" customHeight="1" x14ac:dyDescent="0.4">
      <c r="C1175" s="34" t="s">
        <v>6</v>
      </c>
      <c r="D1175" s="35">
        <v>45817</v>
      </c>
      <c r="E1175" s="51" t="s">
        <v>94</v>
      </c>
      <c r="F1175" s="33">
        <v>1</v>
      </c>
      <c r="G1175" s="27">
        <f t="shared" si="24"/>
        <v>-1</v>
      </c>
      <c r="H1175" s="28" t="str">
        <f>VLOOKUP(E1175,'Cadastro Produtos (kiwkiw)'!C:E,3,0)</f>
        <v>Colar Duplo Dots Banho Ouro</v>
      </c>
      <c r="AB1175" s="33" t="s">
        <v>671</v>
      </c>
    </row>
    <row r="1176" spans="2:28" ht="15" customHeight="1" x14ac:dyDescent="0.4">
      <c r="C1176" s="34" t="s">
        <v>6</v>
      </c>
      <c r="D1176" s="35">
        <v>45817</v>
      </c>
      <c r="E1176" s="51" t="s">
        <v>26</v>
      </c>
      <c r="F1176" s="33">
        <v>1</v>
      </c>
      <c r="G1176" s="27">
        <f t="shared" si="24"/>
        <v>-1</v>
      </c>
      <c r="H1176" s="28" t="str">
        <f>VLOOKUP(E1176,'Cadastro Produtos (kiwkiw)'!C:E,3,0)</f>
        <v>Argola Click Grande Banho Ouro</v>
      </c>
      <c r="AB1176" s="33" t="s">
        <v>671</v>
      </c>
    </row>
    <row r="1177" spans="2:28" ht="15" customHeight="1" x14ac:dyDescent="0.4">
      <c r="C1177" s="34" t="s">
        <v>6</v>
      </c>
      <c r="D1177" s="35">
        <v>45817</v>
      </c>
      <c r="E1177" s="51" t="s">
        <v>27</v>
      </c>
      <c r="F1177" s="33">
        <v>1</v>
      </c>
      <c r="G1177" s="27">
        <f t="shared" si="24"/>
        <v>-1</v>
      </c>
      <c r="H1177" s="28" t="str">
        <f>VLOOKUP(E1177,'Cadastro Produtos (kiwkiw)'!C:E,3,0)</f>
        <v>Argola Click Media Banho Ouro</v>
      </c>
      <c r="AB1177" s="33" t="s">
        <v>671</v>
      </c>
    </row>
    <row r="1178" spans="2:28" ht="15" customHeight="1" x14ac:dyDescent="0.4">
      <c r="C1178" s="34" t="s">
        <v>6</v>
      </c>
      <c r="D1178" s="35">
        <v>45817</v>
      </c>
      <c r="E1178" s="51" t="s">
        <v>121</v>
      </c>
      <c r="F1178" s="33">
        <v>1</v>
      </c>
      <c r="G1178" s="27">
        <f t="shared" si="24"/>
        <v>-1</v>
      </c>
      <c r="H1178" s="28" t="str">
        <f>VLOOKUP(E1178,'Cadastro Produtos (kiwkiw)'!C:E,3,0)</f>
        <v>Bracelete Wave Banho Ouro</v>
      </c>
      <c r="AB1178" s="33" t="s">
        <v>672</v>
      </c>
    </row>
    <row r="1179" spans="2:28" ht="15" customHeight="1" x14ac:dyDescent="0.4">
      <c r="C1179" s="34" t="s">
        <v>6</v>
      </c>
      <c r="D1179" s="35">
        <v>45817</v>
      </c>
      <c r="E1179" s="51" t="s">
        <v>124</v>
      </c>
      <c r="F1179" s="33">
        <v>1</v>
      </c>
      <c r="G1179" s="27">
        <f t="shared" si="24"/>
        <v>-1</v>
      </c>
      <c r="H1179" s="28" t="str">
        <f>VLOOKUP(E1179,'Cadastro Produtos (kiwkiw)'!C:E,3,0)</f>
        <v>Pulseira Fita Textura Banho Ouro</v>
      </c>
      <c r="AB1179" s="33" t="s">
        <v>673</v>
      </c>
    </row>
    <row r="1180" spans="2:28" ht="15" customHeight="1" x14ac:dyDescent="0.4">
      <c r="C1180" s="34" t="s">
        <v>6</v>
      </c>
      <c r="D1180" s="35">
        <v>45817</v>
      </c>
      <c r="E1180" s="51" t="s">
        <v>118</v>
      </c>
      <c r="F1180" s="33">
        <v>1</v>
      </c>
      <c r="G1180" s="27">
        <f t="shared" si="24"/>
        <v>-1</v>
      </c>
      <c r="H1180" s="28" t="str">
        <f>VLOOKUP(E1180,'Cadastro Produtos (kiwkiw)'!C:E,3,0)</f>
        <v>Gargantilha Minimal Prateada</v>
      </c>
      <c r="AB1180" s="33" t="s">
        <v>674</v>
      </c>
    </row>
    <row r="1181" spans="2:28" ht="15" customHeight="1" x14ac:dyDescent="0.4">
      <c r="C1181" s="34" t="s">
        <v>6</v>
      </c>
      <c r="D1181" s="35">
        <v>45817</v>
      </c>
      <c r="E1181" s="51" t="s">
        <v>59</v>
      </c>
      <c r="F1181" s="33">
        <v>1</v>
      </c>
      <c r="G1181" s="27">
        <f t="shared" si="24"/>
        <v>-1</v>
      </c>
      <c r="H1181" s="28" t="str">
        <f>VLOOKUP(E1181,'Cadastro Produtos (kiwkiw)'!C:E,3,0)</f>
        <v>Brinco Oncinha Banho Ouro</v>
      </c>
      <c r="AB1181" s="33" t="s">
        <v>675</v>
      </c>
    </row>
    <row r="1182" spans="2:28" ht="15" customHeight="1" x14ac:dyDescent="0.4">
      <c r="B1182" s="43"/>
      <c r="C1182" s="34" t="s">
        <v>6</v>
      </c>
      <c r="D1182" s="35">
        <v>45817</v>
      </c>
      <c r="E1182" s="51" t="s">
        <v>115</v>
      </c>
      <c r="F1182" s="33">
        <v>1</v>
      </c>
      <c r="G1182" s="27">
        <f t="shared" si="24"/>
        <v>-1</v>
      </c>
      <c r="H1182" s="28" t="str">
        <f>VLOOKUP(E1182,'Cadastro Produtos (kiwkiw)'!C:E,3,0)</f>
        <v>Gargantilha Fita Prateada</v>
      </c>
      <c r="AB1182" s="33" t="s">
        <v>676</v>
      </c>
    </row>
    <row r="1183" spans="2:28" ht="15" customHeight="1" x14ac:dyDescent="0.4">
      <c r="B1183" s="43">
        <v>45819.436851851853</v>
      </c>
      <c r="C1183" s="34" t="s">
        <v>6</v>
      </c>
      <c r="D1183" s="35">
        <v>45819</v>
      </c>
      <c r="E1183" s="51" t="s">
        <v>62</v>
      </c>
      <c r="F1183" s="33">
        <v>1</v>
      </c>
      <c r="G1183" s="27">
        <f t="shared" si="24"/>
        <v>-1</v>
      </c>
      <c r="H1183" s="28" t="str">
        <f>VLOOKUP(E1183,'Cadastro Produtos (kiwkiw)'!C:E,3,0)</f>
        <v>Brinco Sol Banho Ouro</v>
      </c>
      <c r="AB1183" s="33" t="s">
        <v>677</v>
      </c>
    </row>
    <row r="1184" spans="2:28" ht="15" customHeight="1" x14ac:dyDescent="0.4">
      <c r="B1184" s="43">
        <v>45820.423171296294</v>
      </c>
      <c r="C1184" s="34" t="s">
        <v>6</v>
      </c>
      <c r="D1184" s="35">
        <v>45820</v>
      </c>
      <c r="E1184" s="51" t="s">
        <v>31</v>
      </c>
      <c r="F1184" s="33">
        <v>1</v>
      </c>
      <c r="G1184" s="27">
        <f t="shared" si="24"/>
        <v>-1</v>
      </c>
      <c r="H1184" s="28" t="str">
        <f>VLOOKUP(E1184,'Cadastro Produtos (kiwkiw)'!C:E,3,0)</f>
        <v>Argola Reta Basic Banho Ouro</v>
      </c>
      <c r="AB1184" s="33" t="s">
        <v>678</v>
      </c>
    </row>
    <row r="1185" spans="2:28" ht="15" customHeight="1" x14ac:dyDescent="0.4">
      <c r="B1185" s="43"/>
      <c r="C1185" s="34" t="s">
        <v>6</v>
      </c>
      <c r="D1185" s="35">
        <v>45820</v>
      </c>
      <c r="E1185" s="51" t="s">
        <v>93</v>
      </c>
      <c r="F1185" s="33">
        <v>1</v>
      </c>
      <c r="G1185" s="27">
        <f t="shared" si="24"/>
        <v>-1</v>
      </c>
      <c r="H1185" s="28" t="str">
        <f>VLOOKUP(E1185,'Cadastro Produtos (kiwkiw)'!C:E,3,0)</f>
        <v>Colar Coracao Prateado</v>
      </c>
      <c r="AB1185" s="33" t="s">
        <v>679</v>
      </c>
    </row>
    <row r="1186" spans="2:28" ht="15" customHeight="1" x14ac:dyDescent="0.4">
      <c r="C1186" s="34" t="s">
        <v>6</v>
      </c>
      <c r="D1186" s="35">
        <v>45820</v>
      </c>
      <c r="E1186" s="51" t="s">
        <v>27</v>
      </c>
      <c r="F1186" s="33">
        <v>1</v>
      </c>
      <c r="G1186" s="27">
        <f t="shared" si="24"/>
        <v>-1</v>
      </c>
      <c r="H1186" s="28" t="str">
        <f>VLOOKUP(E1186,'Cadastro Produtos (kiwkiw)'!C:E,3,0)</f>
        <v>Argola Click Media Banho Ouro</v>
      </c>
      <c r="AB1186" s="33" t="s">
        <v>680</v>
      </c>
    </row>
    <row r="1187" spans="2:28" ht="15" customHeight="1" x14ac:dyDescent="0.4">
      <c r="C1187" s="34" t="s">
        <v>6</v>
      </c>
      <c r="D1187" s="35">
        <v>45820</v>
      </c>
      <c r="E1187" s="51" t="s">
        <v>67</v>
      </c>
      <c r="F1187" s="33">
        <v>1</v>
      </c>
      <c r="G1187" s="27">
        <f t="shared" si="24"/>
        <v>-1</v>
      </c>
      <c r="H1187" s="28" t="str">
        <f>VLOOKUP(E1187,'Cadastro Produtos (kiwkiw)'!C:E,3,0)</f>
        <v>Brinco Tubinho Grande Banho Ouro</v>
      </c>
      <c r="AB1187" s="33" t="s">
        <v>681</v>
      </c>
    </row>
    <row r="1188" spans="2:28" ht="15" customHeight="1" x14ac:dyDescent="0.4">
      <c r="B1188" s="43">
        <v>45824.424189814818</v>
      </c>
      <c r="C1188" s="34" t="s">
        <v>6</v>
      </c>
      <c r="D1188" s="35">
        <v>45824</v>
      </c>
      <c r="E1188" s="51" t="s">
        <v>33</v>
      </c>
      <c r="F1188" s="33">
        <v>1</v>
      </c>
      <c r="G1188" s="27">
        <f t="shared" si="24"/>
        <v>-1</v>
      </c>
      <c r="H1188" s="28" t="str">
        <f>VLOOKUP(E1188,'Cadastro Produtos (kiwkiw)'!C:E,3,0)</f>
        <v>Argola Torcida Banho Ouro</v>
      </c>
      <c r="AB1188" s="33" t="s">
        <v>682</v>
      </c>
    </row>
    <row r="1189" spans="2:28" ht="15" customHeight="1" x14ac:dyDescent="0.4">
      <c r="C1189" s="34" t="s">
        <v>6</v>
      </c>
      <c r="D1189" s="35">
        <v>45824</v>
      </c>
      <c r="E1189" s="51" t="s">
        <v>77</v>
      </c>
      <c r="F1189" s="33">
        <v>1</v>
      </c>
      <c r="G1189" s="27">
        <f t="shared" si="24"/>
        <v>-1</v>
      </c>
      <c r="H1189" s="28" t="str">
        <f>VLOOKUP(E1189,'Cadastro Produtos (kiwkiw)'!C:E,3,0)</f>
        <v>EarHook Torcido Banho Ouro</v>
      </c>
      <c r="AB1189" s="33" t="s">
        <v>683</v>
      </c>
    </row>
    <row r="1190" spans="2:28" ht="15" customHeight="1" x14ac:dyDescent="0.4">
      <c r="C1190" s="34" t="s">
        <v>6</v>
      </c>
      <c r="D1190" s="35">
        <v>45824</v>
      </c>
      <c r="E1190" s="51" t="s">
        <v>77</v>
      </c>
      <c r="F1190" s="33">
        <v>1</v>
      </c>
      <c r="G1190" s="27">
        <f t="shared" si="24"/>
        <v>-1</v>
      </c>
      <c r="H1190" s="28" t="str">
        <f>VLOOKUP(E1190,'Cadastro Produtos (kiwkiw)'!C:E,3,0)</f>
        <v>EarHook Torcido Banho Ouro</v>
      </c>
      <c r="AB1190" s="33" t="s">
        <v>684</v>
      </c>
    </row>
    <row r="1191" spans="2:28" ht="15" customHeight="1" x14ac:dyDescent="0.4">
      <c r="C1191" s="34" t="s">
        <v>6</v>
      </c>
      <c r="D1191" s="35">
        <v>45824</v>
      </c>
      <c r="E1191" s="51" t="s">
        <v>59</v>
      </c>
      <c r="F1191" s="33">
        <v>1</v>
      </c>
      <c r="G1191" s="27">
        <f t="shared" si="24"/>
        <v>-1</v>
      </c>
      <c r="H1191" s="28" t="str">
        <f>VLOOKUP(E1191,'Cadastro Produtos (kiwkiw)'!C:E,3,0)</f>
        <v>Brinco Oncinha Banho Ouro</v>
      </c>
      <c r="AB1191" s="33" t="s">
        <v>683</v>
      </c>
    </row>
    <row r="1192" spans="2:28" ht="15" customHeight="1" x14ac:dyDescent="0.4">
      <c r="C1192" s="34" t="s">
        <v>6</v>
      </c>
      <c r="D1192" s="35">
        <v>45824</v>
      </c>
      <c r="E1192" s="51" t="s">
        <v>67</v>
      </c>
      <c r="F1192" s="33">
        <v>1</v>
      </c>
      <c r="G1192" s="27">
        <f t="shared" si="24"/>
        <v>-1</v>
      </c>
      <c r="H1192" s="28" t="str">
        <f>VLOOKUP(E1192,'Cadastro Produtos (kiwkiw)'!C:E,3,0)</f>
        <v>Brinco Tubinho Grande Banho Ouro</v>
      </c>
      <c r="AB1192" s="33" t="s">
        <v>684</v>
      </c>
    </row>
    <row r="1193" spans="2:28" ht="15" customHeight="1" x14ac:dyDescent="0.4">
      <c r="B1193" s="43"/>
      <c r="C1193" s="34" t="s">
        <v>6</v>
      </c>
      <c r="D1193" s="35">
        <v>45824</v>
      </c>
      <c r="E1193" s="51" t="s">
        <v>55</v>
      </c>
      <c r="F1193" s="33">
        <v>1</v>
      </c>
      <c r="G1193" s="27">
        <f t="shared" si="24"/>
        <v>-1</v>
      </c>
      <c r="H1193" s="28" t="str">
        <f>VLOOKUP(E1193,'Cadastro Produtos (kiwkiw)'!C:E,3,0)</f>
        <v>Brinco Ivy Prateado</v>
      </c>
      <c r="AB1193" s="33" t="s">
        <v>684</v>
      </c>
    </row>
    <row r="1194" spans="2:28" ht="15" customHeight="1" x14ac:dyDescent="0.4">
      <c r="C1194" s="34" t="s">
        <v>6</v>
      </c>
      <c r="D1194" s="35">
        <v>45824</v>
      </c>
      <c r="E1194" s="51" t="s">
        <v>43</v>
      </c>
      <c r="F1194" s="33">
        <v>1</v>
      </c>
      <c r="G1194" s="27">
        <f t="shared" si="24"/>
        <v>-1</v>
      </c>
      <c r="H1194" s="28" t="str">
        <f>VLOOKUP(E1194,'Cadastro Produtos (kiwkiw)'!C:E,3,0)</f>
        <v>Brinco Mini Aviao Banho Ouro</v>
      </c>
      <c r="AB1194" s="33" t="s">
        <v>685</v>
      </c>
    </row>
    <row r="1195" spans="2:28" ht="15" customHeight="1" x14ac:dyDescent="0.4">
      <c r="B1195" s="43">
        <v>45825.421319444446</v>
      </c>
      <c r="C1195" s="34" t="s">
        <v>6</v>
      </c>
      <c r="D1195" s="35">
        <v>45825</v>
      </c>
      <c r="E1195" s="51" t="s">
        <v>117</v>
      </c>
      <c r="F1195" s="33">
        <v>1</v>
      </c>
      <c r="G1195" s="27">
        <f t="shared" si="24"/>
        <v>-1</v>
      </c>
      <c r="H1195" s="28" t="str">
        <f>VLOOKUP(E1195,'Cadastro Produtos (kiwkiw)'!C:E,3,0)</f>
        <v>Gargantilha Minimal Banho Ouro</v>
      </c>
      <c r="AB1195" s="33" t="s">
        <v>686</v>
      </c>
    </row>
    <row r="1196" spans="2:28" ht="15" customHeight="1" x14ac:dyDescent="0.4">
      <c r="C1196" s="34" t="s">
        <v>6</v>
      </c>
      <c r="D1196" s="35">
        <v>45825</v>
      </c>
      <c r="E1196" s="51" t="s">
        <v>118</v>
      </c>
      <c r="F1196" s="33">
        <v>1</v>
      </c>
      <c r="G1196" s="27">
        <f t="shared" si="24"/>
        <v>-1</v>
      </c>
      <c r="H1196" s="28" t="str">
        <f>VLOOKUP(E1196,'Cadastro Produtos (kiwkiw)'!C:E,3,0)</f>
        <v>Gargantilha Minimal Prateada</v>
      </c>
      <c r="AB1196" s="33" t="s">
        <v>686</v>
      </c>
    </row>
    <row r="1197" spans="2:28" ht="15" customHeight="1" x14ac:dyDescent="0.4">
      <c r="B1197" s="43">
        <v>45826.435578703706</v>
      </c>
      <c r="C1197" s="34" t="s">
        <v>6</v>
      </c>
      <c r="D1197" s="35">
        <v>45826</v>
      </c>
      <c r="E1197" s="51" t="s">
        <v>117</v>
      </c>
      <c r="F1197" s="33">
        <v>1</v>
      </c>
      <c r="G1197" s="27">
        <f t="shared" si="24"/>
        <v>-1</v>
      </c>
      <c r="H1197" s="28" t="str">
        <f>VLOOKUP(E1197,'Cadastro Produtos (kiwkiw)'!C:E,3,0)</f>
        <v>Gargantilha Minimal Banho Ouro</v>
      </c>
      <c r="AB1197" s="33" t="s">
        <v>687</v>
      </c>
    </row>
    <row r="1198" spans="2:28" ht="15" customHeight="1" x14ac:dyDescent="0.4">
      <c r="C1198" s="34" t="s">
        <v>6</v>
      </c>
      <c r="D1198" s="35">
        <v>45826</v>
      </c>
      <c r="E1198" s="51" t="s">
        <v>117</v>
      </c>
      <c r="F1198" s="33">
        <v>1</v>
      </c>
      <c r="G1198" s="27">
        <f t="shared" si="24"/>
        <v>-1</v>
      </c>
      <c r="H1198" s="28" t="str">
        <f>VLOOKUP(E1198,'Cadastro Produtos (kiwkiw)'!C:E,3,0)</f>
        <v>Gargantilha Minimal Banho Ouro</v>
      </c>
      <c r="AB1198" s="33" t="s">
        <v>688</v>
      </c>
    </row>
    <row r="1199" spans="2:28" ht="15" customHeight="1" x14ac:dyDescent="0.4">
      <c r="B1199" s="43">
        <v>45828.433680555558</v>
      </c>
      <c r="C1199" s="34" t="s">
        <v>6</v>
      </c>
      <c r="D1199" s="35">
        <v>45828</v>
      </c>
      <c r="E1199" s="51" t="s">
        <v>114</v>
      </c>
      <c r="F1199" s="33">
        <v>1</v>
      </c>
      <c r="G1199" s="27">
        <f t="shared" si="24"/>
        <v>-1</v>
      </c>
      <c r="H1199" s="28" t="str">
        <f>VLOOKUP(E1199,'Cadastro Produtos (kiwkiw)'!C:E,3,0)</f>
        <v>Gargantilha Fita Banho Ouro</v>
      </c>
      <c r="AB1199" s="33" t="s">
        <v>689</v>
      </c>
    </row>
    <row r="1200" spans="2:28" ht="15" customHeight="1" x14ac:dyDescent="0.4">
      <c r="C1200" s="34" t="s">
        <v>6</v>
      </c>
      <c r="D1200" s="35">
        <v>45828</v>
      </c>
      <c r="E1200" s="51" t="s">
        <v>92</v>
      </c>
      <c r="F1200" s="33">
        <v>1</v>
      </c>
      <c r="G1200" s="27">
        <f t="shared" si="24"/>
        <v>-1</v>
      </c>
      <c r="H1200" s="28" t="str">
        <f>VLOOKUP(E1200,'Cadastro Produtos (kiwkiw)'!C:E,3,0)</f>
        <v>Colar Coracao Banho Ouro</v>
      </c>
      <c r="AB1200" s="33" t="s">
        <v>690</v>
      </c>
    </row>
    <row r="1201" spans="2:28" ht="15" customHeight="1" x14ac:dyDescent="0.4">
      <c r="B1201" s="43"/>
      <c r="C1201" s="34" t="s">
        <v>6</v>
      </c>
      <c r="D1201" s="35">
        <v>45828</v>
      </c>
      <c r="E1201" s="51" t="s">
        <v>117</v>
      </c>
      <c r="F1201" s="33">
        <v>1</v>
      </c>
      <c r="G1201" s="27">
        <f t="shared" si="24"/>
        <v>-1</v>
      </c>
      <c r="H1201" s="28" t="str">
        <f>VLOOKUP(E1201,'Cadastro Produtos (kiwkiw)'!C:E,3,0)</f>
        <v>Gargantilha Minimal Banho Ouro</v>
      </c>
      <c r="AB1201" s="33" t="s">
        <v>690</v>
      </c>
    </row>
    <row r="1202" spans="2:28" ht="15" customHeight="1" x14ac:dyDescent="0.4">
      <c r="C1202" s="34" t="s">
        <v>6</v>
      </c>
      <c r="D1202" s="35">
        <v>45828</v>
      </c>
      <c r="E1202" s="51" t="s">
        <v>26</v>
      </c>
      <c r="F1202" s="33">
        <v>1</v>
      </c>
      <c r="G1202" s="27">
        <f t="shared" si="24"/>
        <v>-1</v>
      </c>
      <c r="H1202" s="28" t="str">
        <f>VLOOKUP(E1202,'Cadastro Produtos (kiwkiw)'!C:E,3,0)</f>
        <v>Argola Click Grande Banho Ouro</v>
      </c>
      <c r="AB1202" s="33" t="s">
        <v>690</v>
      </c>
    </row>
    <row r="1203" spans="2:28" ht="15" customHeight="1" x14ac:dyDescent="0.4">
      <c r="C1203" s="34" t="s">
        <v>6</v>
      </c>
      <c r="D1203" s="35">
        <v>45827</v>
      </c>
      <c r="E1203" s="51" t="s">
        <v>103</v>
      </c>
      <c r="F1203" s="33">
        <v>1</v>
      </c>
      <c r="G1203" s="27">
        <f t="shared" si="24"/>
        <v>-1</v>
      </c>
      <c r="H1203" s="28" t="str">
        <f>VLOOKUP(E1203,'Cadastro Produtos (kiwkiw)'!C:E,3,0)</f>
        <v>Colar Ivy Banho Ouro</v>
      </c>
      <c r="AB1203" s="33" t="s">
        <v>691</v>
      </c>
    </row>
    <row r="1204" spans="2:28" ht="15" customHeight="1" x14ac:dyDescent="0.4">
      <c r="C1204" s="34" t="s">
        <v>6</v>
      </c>
      <c r="D1204" s="35">
        <v>45827</v>
      </c>
      <c r="E1204" s="51" t="s">
        <v>121</v>
      </c>
      <c r="F1204" s="33">
        <v>1</v>
      </c>
      <c r="G1204" s="27">
        <f t="shared" si="24"/>
        <v>-1</v>
      </c>
      <c r="H1204" s="28" t="str">
        <f>VLOOKUP(E1204,'Cadastro Produtos (kiwkiw)'!C:E,3,0)</f>
        <v>Bracelete Wave Banho Ouro</v>
      </c>
      <c r="AB1204" s="33" t="s">
        <v>692</v>
      </c>
    </row>
    <row r="1205" spans="2:28" ht="15" customHeight="1" x14ac:dyDescent="0.4">
      <c r="B1205" s="43">
        <v>45831.441782407404</v>
      </c>
      <c r="C1205" s="34" t="s">
        <v>6</v>
      </c>
      <c r="D1205" s="35">
        <v>45831</v>
      </c>
      <c r="E1205" s="51" t="s">
        <v>117</v>
      </c>
      <c r="F1205" s="33">
        <v>1</v>
      </c>
      <c r="G1205" s="27">
        <f t="shared" si="24"/>
        <v>-1</v>
      </c>
      <c r="H1205" s="28" t="str">
        <f>VLOOKUP(E1205,'Cadastro Produtos (kiwkiw)'!C:E,3,0)</f>
        <v>Gargantilha Minimal Banho Ouro</v>
      </c>
      <c r="AB1205" s="33" t="s">
        <v>693</v>
      </c>
    </row>
    <row r="1206" spans="2:28" ht="15" customHeight="1" x14ac:dyDescent="0.4">
      <c r="C1206" s="34" t="s">
        <v>6</v>
      </c>
      <c r="D1206" s="35">
        <v>45831</v>
      </c>
      <c r="E1206" s="51" t="s">
        <v>50</v>
      </c>
      <c r="F1206" s="33">
        <v>1</v>
      </c>
      <c r="G1206" s="27">
        <f t="shared" si="24"/>
        <v>-1</v>
      </c>
      <c r="H1206" s="28" t="str">
        <f>VLOOKUP(E1206,'Cadastro Produtos (kiwkiw)'!C:E,3,0)</f>
        <v>Brinco Elos Banho Ouro</v>
      </c>
      <c r="AB1206" s="33" t="s">
        <v>694</v>
      </c>
    </row>
    <row r="1207" spans="2:28" ht="15" customHeight="1" x14ac:dyDescent="0.4">
      <c r="C1207" s="34" t="s">
        <v>6</v>
      </c>
      <c r="D1207" s="35">
        <v>45831</v>
      </c>
      <c r="E1207" s="51" t="s">
        <v>124</v>
      </c>
      <c r="F1207" s="33">
        <v>1</v>
      </c>
      <c r="G1207" s="27">
        <f t="shared" si="24"/>
        <v>-1</v>
      </c>
      <c r="H1207" s="28" t="str">
        <f>VLOOKUP(E1207,'Cadastro Produtos (kiwkiw)'!C:E,3,0)</f>
        <v>Pulseira Fita Textura Banho Ouro</v>
      </c>
      <c r="AB1207" s="33" t="s">
        <v>695</v>
      </c>
    </row>
    <row r="1208" spans="2:28" ht="15" customHeight="1" x14ac:dyDescent="0.4">
      <c r="C1208" s="34" t="s">
        <v>6</v>
      </c>
      <c r="D1208" s="35">
        <v>45831</v>
      </c>
      <c r="E1208" s="51" t="s">
        <v>35</v>
      </c>
      <c r="F1208" s="33">
        <v>1</v>
      </c>
      <c r="G1208" s="27">
        <f t="shared" si="24"/>
        <v>-1</v>
      </c>
      <c r="H1208" s="28" t="str">
        <f>VLOOKUP(E1208,'Cadastro Produtos (kiwkiw)'!C:E,3,0)</f>
        <v>Argola Classy Banho Ouro</v>
      </c>
      <c r="AB1208" s="33" t="s">
        <v>696</v>
      </c>
    </row>
    <row r="1209" spans="2:28" ht="15" customHeight="1" x14ac:dyDescent="0.4">
      <c r="C1209" s="34" t="s">
        <v>6</v>
      </c>
      <c r="D1209" s="35">
        <v>45831</v>
      </c>
      <c r="E1209" s="51" t="s">
        <v>54</v>
      </c>
      <c r="F1209" s="33">
        <v>1</v>
      </c>
      <c r="G1209" s="27">
        <f t="shared" si="24"/>
        <v>-1</v>
      </c>
      <c r="H1209" s="28" t="str">
        <f>VLOOKUP(E1209,'Cadastro Produtos (kiwkiw)'!C:E,3,0)</f>
        <v>Brinco Ivy Banho Ouro</v>
      </c>
      <c r="AB1209" s="33" t="s">
        <v>697</v>
      </c>
    </row>
    <row r="1210" spans="2:28" ht="15" customHeight="1" x14ac:dyDescent="0.4">
      <c r="C1210" s="34" t="s">
        <v>6</v>
      </c>
      <c r="D1210" s="35">
        <v>45831</v>
      </c>
      <c r="E1210" s="51" t="s">
        <v>104</v>
      </c>
      <c r="F1210" s="33">
        <v>1</v>
      </c>
      <c r="G1210" s="27">
        <f t="shared" si="24"/>
        <v>-1</v>
      </c>
      <c r="H1210" s="28" t="str">
        <f>VLOOKUP(E1210,'Cadastro Produtos (kiwkiw)'!C:E,3,0)</f>
        <v>Colar Ivy Prateado</v>
      </c>
      <c r="AB1210" s="33" t="s">
        <v>698</v>
      </c>
    </row>
    <row r="1211" spans="2:28" ht="15" customHeight="1" x14ac:dyDescent="0.4">
      <c r="C1211" s="34" t="s">
        <v>6</v>
      </c>
      <c r="D1211" s="35">
        <v>45831</v>
      </c>
      <c r="E1211" s="51" t="s">
        <v>90</v>
      </c>
      <c r="F1211" s="33">
        <v>1</v>
      </c>
      <c r="G1211" s="27">
        <f t="shared" si="24"/>
        <v>-1</v>
      </c>
      <c r="H1211" s="28" t="str">
        <f>VLOOKUP(E1211,'Cadastro Produtos (kiwkiw)'!C:E,3,0)</f>
        <v>Colar Dot Prateado</v>
      </c>
      <c r="AB1211" s="33" t="s">
        <v>698</v>
      </c>
    </row>
    <row r="1212" spans="2:28" ht="15" customHeight="1" x14ac:dyDescent="0.4">
      <c r="C1212" s="34" t="s">
        <v>6</v>
      </c>
      <c r="D1212" s="35">
        <v>45831</v>
      </c>
      <c r="E1212" s="51" t="s">
        <v>103</v>
      </c>
      <c r="F1212" s="33">
        <v>1</v>
      </c>
      <c r="G1212" s="27">
        <f t="shared" si="24"/>
        <v>-1</v>
      </c>
      <c r="H1212" s="28" t="str">
        <f>VLOOKUP(E1212,'Cadastro Produtos (kiwkiw)'!C:E,3,0)</f>
        <v>Colar Ivy Banho Ouro</v>
      </c>
      <c r="AB1212" s="33" t="s">
        <v>698</v>
      </c>
    </row>
    <row r="1213" spans="2:28" ht="15" customHeight="1" x14ac:dyDescent="0.4">
      <c r="B1213" s="43">
        <v>45832.426805555559</v>
      </c>
      <c r="C1213" s="34" t="s">
        <v>6</v>
      </c>
      <c r="D1213" s="35">
        <v>45832</v>
      </c>
      <c r="E1213" s="51" t="s">
        <v>70</v>
      </c>
      <c r="F1213" s="33">
        <v>1</v>
      </c>
      <c r="G1213" s="27">
        <f t="shared" si="24"/>
        <v>-1</v>
      </c>
      <c r="H1213" s="28" t="str">
        <f>VLOOKUP(E1213,'Cadastro Produtos (kiwkiw)'!C:E,3,0)</f>
        <v>Brinco Geometrico Banho Ouro</v>
      </c>
      <c r="AB1213" s="33" t="s">
        <v>699</v>
      </c>
    </row>
    <row r="1214" spans="2:28" ht="15" customHeight="1" x14ac:dyDescent="0.4">
      <c r="B1214" s="43">
        <v>45833.428159722222</v>
      </c>
      <c r="C1214" s="34" t="s">
        <v>6</v>
      </c>
      <c r="D1214" s="35">
        <v>45832</v>
      </c>
      <c r="E1214" s="51" t="s">
        <v>70</v>
      </c>
      <c r="F1214" s="33">
        <v>1</v>
      </c>
      <c r="G1214" s="27">
        <f t="shared" si="24"/>
        <v>-1</v>
      </c>
      <c r="H1214" s="28" t="str">
        <f>VLOOKUP(E1214,'Cadastro Produtos (kiwkiw)'!C:E,3,0)</f>
        <v>Brinco Geometrico Banho Ouro</v>
      </c>
      <c r="AB1214" s="33" t="s">
        <v>699</v>
      </c>
    </row>
    <row r="1215" spans="2:28" ht="15" customHeight="1" x14ac:dyDescent="0.4">
      <c r="B1215" s="43">
        <v>45834.41982638889</v>
      </c>
      <c r="C1215" s="34" t="s">
        <v>6</v>
      </c>
      <c r="D1215" s="35">
        <v>45834</v>
      </c>
      <c r="E1215" s="51" t="s">
        <v>103</v>
      </c>
      <c r="F1215" s="33">
        <v>1</v>
      </c>
      <c r="G1215" s="27">
        <f t="shared" si="24"/>
        <v>-1</v>
      </c>
      <c r="H1215" s="28" t="str">
        <f>VLOOKUP(E1215,'Cadastro Produtos (kiwkiw)'!C:E,3,0)</f>
        <v>Colar Ivy Banho Ouro</v>
      </c>
      <c r="AB1215" s="33" t="s">
        <v>700</v>
      </c>
    </row>
    <row r="1216" spans="2:28" ht="15" customHeight="1" x14ac:dyDescent="0.4">
      <c r="B1216" s="43">
        <v>45835.465069444443</v>
      </c>
      <c r="C1216" s="34" t="s">
        <v>6</v>
      </c>
      <c r="D1216" s="35">
        <v>45835</v>
      </c>
      <c r="E1216" s="51" t="s">
        <v>117</v>
      </c>
      <c r="F1216" s="33">
        <v>1</v>
      </c>
      <c r="G1216" s="27">
        <f t="shared" si="24"/>
        <v>-1</v>
      </c>
      <c r="H1216" s="28" t="str">
        <f>VLOOKUP(E1216,'Cadastro Produtos (kiwkiw)'!C:E,3,0)</f>
        <v>Gargantilha Minimal Banho Ouro</v>
      </c>
      <c r="AB1216" s="33" t="s">
        <v>701</v>
      </c>
    </row>
    <row r="1217" spans="2:28" ht="15" customHeight="1" x14ac:dyDescent="0.4">
      <c r="C1217" s="34" t="s">
        <v>6</v>
      </c>
      <c r="D1217" s="35">
        <v>45835</v>
      </c>
      <c r="E1217" s="51" t="s">
        <v>50</v>
      </c>
      <c r="F1217" s="33">
        <v>1</v>
      </c>
      <c r="G1217" s="27">
        <f t="shared" si="24"/>
        <v>-1</v>
      </c>
      <c r="H1217" s="28" t="str">
        <f>VLOOKUP(E1217,'Cadastro Produtos (kiwkiw)'!C:E,3,0)</f>
        <v>Brinco Elos Banho Ouro</v>
      </c>
      <c r="AB1217" s="33" t="s">
        <v>701</v>
      </c>
    </row>
    <row r="1218" spans="2:28" ht="15" customHeight="1" x14ac:dyDescent="0.4">
      <c r="B1218" s="43">
        <v>45838.45076388889</v>
      </c>
      <c r="C1218" s="34" t="s">
        <v>6</v>
      </c>
      <c r="D1218" s="35">
        <v>45838</v>
      </c>
      <c r="E1218" s="51" t="s">
        <v>92</v>
      </c>
      <c r="F1218" s="33">
        <v>1</v>
      </c>
      <c r="G1218" s="27">
        <f t="shared" si="24"/>
        <v>-1</v>
      </c>
      <c r="H1218" s="28" t="str">
        <f>VLOOKUP(E1218,'Cadastro Produtos (kiwkiw)'!C:E,3,0)</f>
        <v>Colar Coracao Banho Ouro</v>
      </c>
      <c r="AB1218" s="33" t="s">
        <v>702</v>
      </c>
    </row>
    <row r="1219" spans="2:28" ht="15" customHeight="1" x14ac:dyDescent="0.4">
      <c r="C1219" s="34" t="s">
        <v>6</v>
      </c>
      <c r="D1219" s="35">
        <v>45838</v>
      </c>
      <c r="E1219" s="51" t="s">
        <v>117</v>
      </c>
      <c r="F1219" s="33">
        <v>1</v>
      </c>
      <c r="G1219" s="27">
        <f t="shared" si="24"/>
        <v>-1</v>
      </c>
      <c r="H1219" s="28" t="str">
        <f>VLOOKUP(E1219,'Cadastro Produtos (kiwkiw)'!C:E,3,0)</f>
        <v>Gargantilha Minimal Banho Ouro</v>
      </c>
      <c r="AB1219" s="33" t="s">
        <v>702</v>
      </c>
    </row>
    <row r="1220" spans="2:28" ht="15" customHeight="1" x14ac:dyDescent="0.4">
      <c r="C1220" s="34" t="s">
        <v>6</v>
      </c>
      <c r="D1220" s="35">
        <v>45838</v>
      </c>
      <c r="E1220" s="51" t="s">
        <v>117</v>
      </c>
      <c r="F1220" s="33">
        <v>1</v>
      </c>
      <c r="G1220" s="27">
        <f t="shared" si="24"/>
        <v>-1</v>
      </c>
      <c r="H1220" s="28" t="str">
        <f>VLOOKUP(E1220,'Cadastro Produtos (kiwkiw)'!C:E,3,0)</f>
        <v>Gargantilha Minimal Banho Ouro</v>
      </c>
      <c r="AB1220" s="33" t="s">
        <v>703</v>
      </c>
    </row>
    <row r="1221" spans="2:28" ht="15" customHeight="1" x14ac:dyDescent="0.4">
      <c r="C1221" s="34" t="s">
        <v>6</v>
      </c>
      <c r="D1221" s="35">
        <v>45838</v>
      </c>
      <c r="E1221" s="51" t="s">
        <v>42</v>
      </c>
      <c r="F1221" s="33">
        <v>1</v>
      </c>
      <c r="G1221" s="27">
        <f t="shared" si="24"/>
        <v>-1</v>
      </c>
      <c r="H1221" s="28" t="str">
        <f>VLOOKUP(E1221,'Cadastro Produtos (kiwkiw)'!C:E,3,0)</f>
        <v>Brinco Arco Banho Ouro</v>
      </c>
      <c r="AB1221" s="33" t="s">
        <v>703</v>
      </c>
    </row>
    <row r="1222" spans="2:28" ht="15" customHeight="1" x14ac:dyDescent="0.4">
      <c r="C1222" s="34" t="s">
        <v>6</v>
      </c>
      <c r="D1222" s="35">
        <v>45838</v>
      </c>
      <c r="E1222" s="51" t="s">
        <v>55</v>
      </c>
      <c r="F1222" s="33">
        <v>1</v>
      </c>
      <c r="G1222" s="27">
        <f t="shared" si="24"/>
        <v>-1</v>
      </c>
      <c r="H1222" s="28" t="str">
        <f>VLOOKUP(E1222,'Cadastro Produtos (kiwkiw)'!C:E,3,0)</f>
        <v>Brinco Ivy Prateado</v>
      </c>
      <c r="AB1222" s="33" t="s">
        <v>703</v>
      </c>
    </row>
    <row r="1223" spans="2:28" ht="15" customHeight="1" x14ac:dyDescent="0.4">
      <c r="C1223" s="34" t="s">
        <v>6</v>
      </c>
      <c r="D1223" s="35">
        <v>45838</v>
      </c>
      <c r="E1223" s="51" t="s">
        <v>43</v>
      </c>
      <c r="F1223" s="33">
        <v>1</v>
      </c>
      <c r="G1223" s="27">
        <f t="shared" si="24"/>
        <v>-1</v>
      </c>
      <c r="H1223" s="28" t="str">
        <f>VLOOKUP(E1223,'Cadastro Produtos (kiwkiw)'!C:E,3,0)</f>
        <v>Brinco Mini Aviao Banho Ouro</v>
      </c>
      <c r="AB1223" s="33" t="s">
        <v>704</v>
      </c>
    </row>
    <row r="1224" spans="2:28" ht="15" customHeight="1" x14ac:dyDescent="0.4">
      <c r="B1224" s="43">
        <v>45839.431226851855</v>
      </c>
      <c r="C1224" s="34" t="s">
        <v>6</v>
      </c>
      <c r="D1224" s="35">
        <v>45839</v>
      </c>
      <c r="E1224" s="51" t="s">
        <v>91</v>
      </c>
      <c r="F1224" s="33">
        <v>1</v>
      </c>
      <c r="G1224" s="27">
        <f t="shared" si="24"/>
        <v>-1</v>
      </c>
      <c r="H1224" s="28" t="str">
        <f>VLOOKUP(E1224,'Cadastro Produtos (kiwkiw)'!C:E,3,0)</f>
        <v>Colar Rosa dos Ventos Banho Ouro</v>
      </c>
      <c r="AB1224" s="33" t="s">
        <v>705</v>
      </c>
    </row>
    <row r="1225" spans="2:28" ht="15" customHeight="1" x14ac:dyDescent="0.4">
      <c r="B1225" s="43">
        <v>45840.421689814815</v>
      </c>
      <c r="C1225" s="34" t="s">
        <v>6</v>
      </c>
      <c r="D1225" s="35">
        <v>45840</v>
      </c>
      <c r="E1225" s="51" t="s">
        <v>117</v>
      </c>
      <c r="F1225" s="33">
        <v>1</v>
      </c>
      <c r="G1225" s="27">
        <f t="shared" si="24"/>
        <v>-1</v>
      </c>
      <c r="H1225" s="28" t="str">
        <f>VLOOKUP(E1225,'Cadastro Produtos (kiwkiw)'!C:E,3,0)</f>
        <v>Gargantilha Minimal Banho Ouro</v>
      </c>
      <c r="AB1225" s="33" t="s">
        <v>706</v>
      </c>
    </row>
    <row r="1226" spans="2:28" ht="15" customHeight="1" x14ac:dyDescent="0.4">
      <c r="C1226" s="34" t="s">
        <v>6</v>
      </c>
      <c r="D1226" s="35">
        <v>45840</v>
      </c>
      <c r="E1226" s="51" t="s">
        <v>124</v>
      </c>
      <c r="F1226" s="33">
        <v>1</v>
      </c>
      <c r="G1226" s="27">
        <f t="shared" si="24"/>
        <v>-1</v>
      </c>
      <c r="H1226" s="28" t="str">
        <f>VLOOKUP(E1226,'Cadastro Produtos (kiwkiw)'!C:E,3,0)</f>
        <v>Pulseira Fita Textura Banho Ouro</v>
      </c>
      <c r="AB1226" s="33" t="s">
        <v>706</v>
      </c>
    </row>
    <row r="1227" spans="2:28" ht="15" customHeight="1" x14ac:dyDescent="0.4">
      <c r="C1227" s="34" t="s">
        <v>6</v>
      </c>
      <c r="D1227" s="35">
        <v>45840</v>
      </c>
      <c r="E1227" s="51" t="s">
        <v>91</v>
      </c>
      <c r="F1227" s="33">
        <v>1</v>
      </c>
      <c r="G1227" s="27">
        <f t="shared" si="24"/>
        <v>-1</v>
      </c>
      <c r="H1227" s="28" t="str">
        <f>VLOOKUP(E1227,'Cadastro Produtos (kiwkiw)'!C:E,3,0)</f>
        <v>Colar Rosa dos Ventos Banho Ouro</v>
      </c>
      <c r="AB1227" s="33" t="s">
        <v>706</v>
      </c>
    </row>
    <row r="1228" spans="2:28" ht="15" customHeight="1" x14ac:dyDescent="0.4">
      <c r="C1228" s="34" t="s">
        <v>6</v>
      </c>
      <c r="D1228" s="35">
        <v>45840</v>
      </c>
      <c r="E1228" s="51" t="s">
        <v>114</v>
      </c>
      <c r="F1228" s="33">
        <v>1</v>
      </c>
      <c r="G1228" s="27">
        <f t="shared" si="24"/>
        <v>-1</v>
      </c>
      <c r="H1228" s="28" t="str">
        <f>VLOOKUP(E1228,'Cadastro Produtos (kiwkiw)'!C:E,3,0)</f>
        <v>Gargantilha Fita Banho Ouro</v>
      </c>
      <c r="AB1228" s="33" t="s">
        <v>706</v>
      </c>
    </row>
    <row r="1229" spans="2:28" ht="15" customHeight="1" x14ac:dyDescent="0.4">
      <c r="B1229" s="43">
        <v>45845.419166666667</v>
      </c>
      <c r="C1229" s="34" t="s">
        <v>6</v>
      </c>
      <c r="D1229" s="35">
        <v>45845</v>
      </c>
      <c r="E1229" s="51" t="s">
        <v>86</v>
      </c>
      <c r="F1229" s="33">
        <v>1</v>
      </c>
      <c r="G1229" s="27">
        <f t="shared" si="24"/>
        <v>-1</v>
      </c>
      <c r="H1229" s="28" t="str">
        <f>VLOOKUP(E1229,'Cadastro Produtos (kiwkiw)'!C:E,3,0)</f>
        <v>Piercing Fake Minimal Banho Ouro</v>
      </c>
      <c r="AB1229" s="33" t="s">
        <v>707</v>
      </c>
    </row>
    <row r="1230" spans="2:28" ht="15" customHeight="1" x14ac:dyDescent="0.4">
      <c r="C1230" s="34" t="s">
        <v>6</v>
      </c>
      <c r="D1230" s="35">
        <v>45845</v>
      </c>
      <c r="E1230" s="51" t="s">
        <v>94</v>
      </c>
      <c r="F1230" s="33">
        <v>1</v>
      </c>
      <c r="G1230" s="27">
        <f t="shared" si="24"/>
        <v>-1</v>
      </c>
      <c r="H1230" s="28" t="str">
        <f>VLOOKUP(E1230,'Cadastro Produtos (kiwkiw)'!C:E,3,0)</f>
        <v>Colar Duplo Dots Banho Ouro</v>
      </c>
      <c r="AB1230" s="33" t="s">
        <v>708</v>
      </c>
    </row>
    <row r="1231" spans="2:28" ht="15" customHeight="1" x14ac:dyDescent="0.4">
      <c r="C1231" s="34" t="s">
        <v>6</v>
      </c>
      <c r="D1231" s="35">
        <v>45845</v>
      </c>
      <c r="E1231" s="51" t="s">
        <v>124</v>
      </c>
      <c r="F1231" s="33">
        <v>1</v>
      </c>
      <c r="G1231" s="27">
        <f t="shared" si="24"/>
        <v>-1</v>
      </c>
      <c r="H1231" s="28" t="str">
        <f>VLOOKUP(E1231,'Cadastro Produtos (kiwkiw)'!C:E,3,0)</f>
        <v>Pulseira Fita Textura Banho Ouro</v>
      </c>
      <c r="AB1231" s="33" t="s">
        <v>709</v>
      </c>
    </row>
    <row r="1232" spans="2:28" ht="15" customHeight="1" x14ac:dyDescent="0.4">
      <c r="B1232" s="43">
        <v>45846.416956018518</v>
      </c>
      <c r="C1232" s="34" t="s">
        <v>6</v>
      </c>
      <c r="D1232" s="35">
        <v>45846</v>
      </c>
      <c r="E1232" s="51" t="s">
        <v>95</v>
      </c>
      <c r="F1232" s="33">
        <v>1</v>
      </c>
      <c r="G1232" s="27">
        <f t="shared" si="24"/>
        <v>-1</v>
      </c>
      <c r="H1232" s="28" t="str">
        <f>VLOOKUP(E1232,'Cadastro Produtos (kiwkiw)'!C:E,3,0)</f>
        <v>Colar Duplo Dots Prateado</v>
      </c>
      <c r="AB1232" s="33" t="s">
        <v>710</v>
      </c>
    </row>
    <row r="1233" spans="2:28" ht="15" customHeight="1" x14ac:dyDescent="0.4">
      <c r="C1233" s="34" t="s">
        <v>6</v>
      </c>
      <c r="D1233" s="35">
        <v>45846</v>
      </c>
      <c r="E1233" s="51" t="s">
        <v>60</v>
      </c>
      <c r="F1233" s="33">
        <v>1</v>
      </c>
      <c r="G1233" s="27">
        <f t="shared" si="24"/>
        <v>-1</v>
      </c>
      <c r="H1233" s="28" t="str">
        <f>VLOOKUP(E1233,'Cadastro Produtos (kiwkiw)'!C:E,3,0)</f>
        <v>Brinco Oncinha Prateado</v>
      </c>
      <c r="AB1233" s="33" t="s">
        <v>710</v>
      </c>
    </row>
    <row r="1234" spans="2:28" ht="15" customHeight="1" x14ac:dyDescent="0.4">
      <c r="C1234" s="34" t="s">
        <v>6</v>
      </c>
      <c r="D1234" s="35">
        <v>45846</v>
      </c>
      <c r="E1234" s="51" t="s">
        <v>81</v>
      </c>
      <c r="F1234" s="33">
        <v>1</v>
      </c>
      <c r="G1234" s="27">
        <f t="shared" si="24"/>
        <v>-1</v>
      </c>
      <c r="H1234" s="28" t="str">
        <f>VLOOKUP(E1234,'Cadastro Produtos (kiwkiw)'!C:E,3,0)</f>
        <v>Meia Argola Croissant Prateada</v>
      </c>
      <c r="AB1234" s="33" t="s">
        <v>710</v>
      </c>
    </row>
    <row r="1235" spans="2:28" ht="15" customHeight="1" x14ac:dyDescent="0.4">
      <c r="B1235" s="43">
        <v>45848.433287037034</v>
      </c>
      <c r="C1235" s="34" t="s">
        <v>6</v>
      </c>
      <c r="D1235" s="35">
        <v>45846</v>
      </c>
      <c r="E1235" s="51" t="s">
        <v>94</v>
      </c>
      <c r="F1235" s="33">
        <v>1</v>
      </c>
      <c r="G1235" s="27">
        <f t="shared" ref="G1235:G1296" si="25">IF(C1235="Entrada",F1235,-F1235)</f>
        <v>-1</v>
      </c>
      <c r="H1235" s="28" t="str">
        <f>VLOOKUP(E1235,'Cadastro Produtos (kiwkiw)'!C:E,3,0)</f>
        <v>Colar Duplo Dots Banho Ouro</v>
      </c>
      <c r="AB1235" s="33" t="s">
        <v>711</v>
      </c>
    </row>
    <row r="1236" spans="2:28" ht="15" customHeight="1" x14ac:dyDescent="0.4">
      <c r="C1236" s="34" t="s">
        <v>6</v>
      </c>
      <c r="D1236" s="35">
        <v>45846</v>
      </c>
      <c r="E1236" s="51" t="s">
        <v>117</v>
      </c>
      <c r="F1236" s="33">
        <v>1</v>
      </c>
      <c r="G1236" s="27">
        <f t="shared" si="25"/>
        <v>-1</v>
      </c>
      <c r="H1236" s="28" t="str">
        <f>VLOOKUP(E1236,'Cadastro Produtos (kiwkiw)'!C:E,3,0)</f>
        <v>Gargantilha Minimal Banho Ouro</v>
      </c>
      <c r="AB1236" s="33" t="s">
        <v>711</v>
      </c>
    </row>
    <row r="1237" spans="2:28" ht="15" customHeight="1" x14ac:dyDescent="0.4">
      <c r="C1237" s="34" t="s">
        <v>6</v>
      </c>
      <c r="D1237" s="35">
        <v>45846</v>
      </c>
      <c r="E1237" s="51" t="s">
        <v>29</v>
      </c>
      <c r="F1237" s="33">
        <v>1</v>
      </c>
      <c r="G1237" s="27">
        <f t="shared" si="25"/>
        <v>-1</v>
      </c>
      <c r="H1237" s="28" t="str">
        <f>VLOOKUP(E1237,'Cadastro Produtos (kiwkiw)'!C:E,3,0)</f>
        <v>Argola Click Diamond Banho Ouro</v>
      </c>
      <c r="AB1237" s="33" t="s">
        <v>711</v>
      </c>
    </row>
    <row r="1238" spans="2:28" ht="15" customHeight="1" x14ac:dyDescent="0.4">
      <c r="C1238" s="34" t="s">
        <v>6</v>
      </c>
      <c r="D1238" s="35">
        <v>45848</v>
      </c>
      <c r="E1238" s="51" t="s">
        <v>26</v>
      </c>
      <c r="F1238" s="33">
        <v>1</v>
      </c>
      <c r="G1238" s="27">
        <f t="shared" si="25"/>
        <v>-1</v>
      </c>
      <c r="H1238" s="28" t="str">
        <f>VLOOKUP(E1238,'Cadastro Produtos (kiwkiw)'!C:E,3,0)</f>
        <v>Argola Click Grande Banho Ouro</v>
      </c>
      <c r="AB1238" s="33" t="s">
        <v>712</v>
      </c>
    </row>
    <row r="1239" spans="2:28" ht="15" customHeight="1" x14ac:dyDescent="0.4">
      <c r="B1239" s="43">
        <v>45849.445879629631</v>
      </c>
      <c r="C1239" s="34" t="s">
        <v>6</v>
      </c>
      <c r="D1239" s="35">
        <v>45849</v>
      </c>
      <c r="E1239" s="51" t="s">
        <v>117</v>
      </c>
      <c r="F1239" s="33">
        <v>1</v>
      </c>
      <c r="G1239" s="27">
        <f t="shared" si="25"/>
        <v>-1</v>
      </c>
      <c r="H1239" s="28" t="str">
        <f>VLOOKUP(E1239,'Cadastro Produtos (kiwkiw)'!C:E,3,0)</f>
        <v>Gargantilha Minimal Banho Ouro</v>
      </c>
      <c r="AB1239" s="33" t="s">
        <v>713</v>
      </c>
    </row>
    <row r="1240" spans="2:28" ht="15" customHeight="1" x14ac:dyDescent="0.4">
      <c r="B1240" s="43">
        <v>45852.442754629628</v>
      </c>
      <c r="C1240" s="34" t="s">
        <v>6</v>
      </c>
      <c r="D1240" s="35">
        <v>45852</v>
      </c>
      <c r="E1240" s="51" t="s">
        <v>95</v>
      </c>
      <c r="F1240" s="33">
        <v>1</v>
      </c>
      <c r="G1240" s="27">
        <f t="shared" si="25"/>
        <v>-1</v>
      </c>
      <c r="H1240" s="28" t="str">
        <f>VLOOKUP(E1240,'Cadastro Produtos (kiwkiw)'!C:E,3,0)</f>
        <v>Colar Duplo Dots Prateado</v>
      </c>
      <c r="AB1240" s="33" t="s">
        <v>714</v>
      </c>
    </row>
    <row r="1241" spans="2:28" ht="15" customHeight="1" x14ac:dyDescent="0.4">
      <c r="C1241" s="34" t="s">
        <v>6</v>
      </c>
      <c r="D1241" s="35">
        <v>45852</v>
      </c>
      <c r="E1241" s="51" t="s">
        <v>43</v>
      </c>
      <c r="F1241" s="33">
        <v>1</v>
      </c>
      <c r="G1241" s="27">
        <f t="shared" si="25"/>
        <v>-1</v>
      </c>
      <c r="H1241" s="28" t="str">
        <f>VLOOKUP(E1241,'Cadastro Produtos (kiwkiw)'!C:E,3,0)</f>
        <v>Brinco Mini Aviao Banho Ouro</v>
      </c>
      <c r="AB1241" s="33" t="s">
        <v>715</v>
      </c>
    </row>
    <row r="1242" spans="2:28" ht="15" customHeight="1" x14ac:dyDescent="0.4">
      <c r="C1242" s="34" t="s">
        <v>6</v>
      </c>
      <c r="D1242" s="35">
        <v>45852</v>
      </c>
      <c r="E1242" s="51" t="s">
        <v>38</v>
      </c>
      <c r="F1242" s="33">
        <v>1</v>
      </c>
      <c r="G1242" s="27">
        <f t="shared" si="25"/>
        <v>-1</v>
      </c>
      <c r="H1242" s="28" t="str">
        <f>VLOOKUP(E1242,'Cadastro Produtos (kiwkiw)'!C:E,3,0)</f>
        <v>Argolinha Click Dots Banho Ouro</v>
      </c>
      <c r="AB1242" s="33" t="s">
        <v>715</v>
      </c>
    </row>
    <row r="1243" spans="2:28" ht="15" customHeight="1" x14ac:dyDescent="0.4">
      <c r="C1243" s="34" t="s">
        <v>6</v>
      </c>
      <c r="D1243" s="35">
        <v>45852</v>
      </c>
      <c r="E1243" s="51" t="s">
        <v>117</v>
      </c>
      <c r="F1243" s="33">
        <v>1</v>
      </c>
      <c r="G1243" s="27">
        <f t="shared" si="25"/>
        <v>-1</v>
      </c>
      <c r="H1243" s="28" t="str">
        <f>VLOOKUP(E1243,'Cadastro Produtos (kiwkiw)'!C:E,3,0)</f>
        <v>Gargantilha Minimal Banho Ouro</v>
      </c>
      <c r="AB1243" s="33" t="s">
        <v>716</v>
      </c>
    </row>
    <row r="1244" spans="2:28" ht="15" customHeight="1" x14ac:dyDescent="0.4">
      <c r="C1244" s="34" t="s">
        <v>6</v>
      </c>
      <c r="D1244" s="35">
        <v>45852</v>
      </c>
      <c r="E1244" s="51" t="s">
        <v>117</v>
      </c>
      <c r="F1244" s="33">
        <v>1</v>
      </c>
      <c r="G1244" s="27">
        <f t="shared" si="25"/>
        <v>-1</v>
      </c>
      <c r="H1244" s="28" t="str">
        <f>VLOOKUP(E1244,'Cadastro Produtos (kiwkiw)'!C:E,3,0)</f>
        <v>Gargantilha Minimal Banho Ouro</v>
      </c>
      <c r="AB1244" s="33" t="s">
        <v>717</v>
      </c>
    </row>
    <row r="1245" spans="2:28" ht="15" customHeight="1" x14ac:dyDescent="0.4">
      <c r="C1245" s="34" t="s">
        <v>6</v>
      </c>
      <c r="D1245" s="35">
        <v>45852</v>
      </c>
      <c r="E1245" s="51" t="s">
        <v>92</v>
      </c>
      <c r="F1245" s="33">
        <v>1</v>
      </c>
      <c r="G1245" s="27">
        <f t="shared" si="25"/>
        <v>-1</v>
      </c>
      <c r="H1245" s="28" t="str">
        <f>VLOOKUP(E1245,'Cadastro Produtos (kiwkiw)'!C:E,3,0)</f>
        <v>Colar Coracao Banho Ouro</v>
      </c>
      <c r="AB1245" s="33" t="s">
        <v>718</v>
      </c>
    </row>
    <row r="1246" spans="2:28" ht="15" customHeight="1" x14ac:dyDescent="0.4">
      <c r="C1246" s="34" t="s">
        <v>6</v>
      </c>
      <c r="D1246" s="35">
        <v>45852</v>
      </c>
      <c r="E1246" s="51" t="s">
        <v>92</v>
      </c>
      <c r="F1246" s="33">
        <v>1</v>
      </c>
      <c r="G1246" s="27">
        <f t="shared" si="25"/>
        <v>-1</v>
      </c>
      <c r="H1246" s="28" t="str">
        <f>VLOOKUP(E1246,'Cadastro Produtos (kiwkiw)'!C:E,3,0)</f>
        <v>Colar Coracao Banho Ouro</v>
      </c>
      <c r="AB1246" s="33" t="s">
        <v>719</v>
      </c>
    </row>
    <row r="1247" spans="2:28" ht="15" customHeight="1" x14ac:dyDescent="0.4">
      <c r="B1247" s="43"/>
      <c r="C1247" s="34" t="s">
        <v>6</v>
      </c>
      <c r="D1247" s="35">
        <v>45852</v>
      </c>
      <c r="E1247" s="51" t="s">
        <v>102</v>
      </c>
      <c r="F1247" s="33">
        <v>1</v>
      </c>
      <c r="G1247" s="27">
        <f t="shared" si="25"/>
        <v>-1</v>
      </c>
      <c r="H1247" s="28" t="str">
        <f>VLOOKUP(E1247,'Cadastro Produtos (kiwkiw)'!C:E,3,0)</f>
        <v>Colar Longo Lua Banho Ouro</v>
      </c>
      <c r="AB1247" s="33" t="s">
        <v>719</v>
      </c>
    </row>
    <row r="1248" spans="2:28" ht="15" customHeight="1" x14ac:dyDescent="0.4">
      <c r="C1248" s="34" t="s">
        <v>6</v>
      </c>
      <c r="D1248" s="35">
        <v>45852</v>
      </c>
      <c r="E1248" s="51" t="s">
        <v>86</v>
      </c>
      <c r="F1248" s="33">
        <v>1</v>
      </c>
      <c r="G1248" s="27">
        <f t="shared" si="25"/>
        <v>-1</v>
      </c>
      <c r="H1248" s="28" t="str">
        <f>VLOOKUP(E1248,'Cadastro Produtos (kiwkiw)'!C:E,3,0)</f>
        <v>Piercing Fake Minimal Banho Ouro</v>
      </c>
      <c r="AB1248" s="33" t="s">
        <v>720</v>
      </c>
    </row>
    <row r="1249" spans="2:28" ht="15" customHeight="1" x14ac:dyDescent="0.4">
      <c r="B1249" s="43">
        <v>45855.430462962962</v>
      </c>
      <c r="C1249" s="34" t="s">
        <v>6</v>
      </c>
      <c r="D1249" s="35">
        <v>45855</v>
      </c>
      <c r="E1249" s="51" t="s">
        <v>95</v>
      </c>
      <c r="F1249" s="33">
        <v>1</v>
      </c>
      <c r="G1249" s="27">
        <f t="shared" si="25"/>
        <v>-1</v>
      </c>
      <c r="H1249" s="28" t="str">
        <f>VLOOKUP(E1249,'Cadastro Produtos (kiwkiw)'!C:E,3,0)</f>
        <v>Colar Duplo Dots Prateado</v>
      </c>
      <c r="AB1249" s="33" t="s">
        <v>721</v>
      </c>
    </row>
    <row r="1250" spans="2:28" ht="15" customHeight="1" x14ac:dyDescent="0.4">
      <c r="B1250" s="43">
        <v>45856.417488425926</v>
      </c>
      <c r="C1250" s="34" t="s">
        <v>6</v>
      </c>
      <c r="D1250" s="35">
        <v>45856</v>
      </c>
      <c r="E1250" s="51" t="s">
        <v>99</v>
      </c>
      <c r="F1250" s="33">
        <v>1</v>
      </c>
      <c r="G1250" s="27">
        <f t="shared" si="25"/>
        <v>-1</v>
      </c>
      <c r="H1250" s="28" t="str">
        <f>VLOOKUP(E1250,'Cadastro Produtos (kiwkiw)'!C:E,3,0)</f>
        <v>Colar Esfera Medio Banho Ouro</v>
      </c>
      <c r="AB1250" s="33" t="s">
        <v>722</v>
      </c>
    </row>
    <row r="1251" spans="2:28" ht="15" customHeight="1" x14ac:dyDescent="0.4">
      <c r="C1251" s="34" t="s">
        <v>6</v>
      </c>
      <c r="D1251" s="35">
        <v>45856</v>
      </c>
      <c r="E1251" s="51" t="s">
        <v>124</v>
      </c>
      <c r="F1251" s="33">
        <v>1</v>
      </c>
      <c r="G1251" s="27">
        <f t="shared" si="25"/>
        <v>-1</v>
      </c>
      <c r="H1251" s="28" t="str">
        <f>VLOOKUP(E1251,'Cadastro Produtos (kiwkiw)'!C:E,3,0)</f>
        <v>Pulseira Fita Textura Banho Ouro</v>
      </c>
      <c r="AB1251" s="33" t="s">
        <v>722</v>
      </c>
    </row>
    <row r="1252" spans="2:28" ht="15" customHeight="1" x14ac:dyDescent="0.4">
      <c r="C1252" s="34" t="s">
        <v>6</v>
      </c>
      <c r="D1252" s="35">
        <v>45856</v>
      </c>
      <c r="E1252" s="51" t="s">
        <v>127</v>
      </c>
      <c r="F1252" s="33">
        <v>1</v>
      </c>
      <c r="G1252" s="27">
        <f t="shared" si="25"/>
        <v>-1</v>
      </c>
      <c r="H1252" s="28" t="str">
        <f>VLOOKUP(E1252,'Cadastro Produtos (kiwkiw)'!C:E,3,0)</f>
        <v>Pulseira Minimal Banho Ouro</v>
      </c>
      <c r="AB1252" s="33" t="s">
        <v>722</v>
      </c>
    </row>
    <row r="1253" spans="2:28" ht="15" customHeight="1" x14ac:dyDescent="0.4">
      <c r="C1253" s="34" t="s">
        <v>6</v>
      </c>
      <c r="D1253" s="35">
        <v>45856</v>
      </c>
      <c r="E1253" s="51" t="s">
        <v>54</v>
      </c>
      <c r="F1253" s="33">
        <v>1</v>
      </c>
      <c r="G1253" s="27">
        <f t="shared" si="25"/>
        <v>-1</v>
      </c>
      <c r="H1253" s="28" t="str">
        <f>VLOOKUP(E1253,'Cadastro Produtos (kiwkiw)'!C:E,3,0)</f>
        <v>Brinco Ivy Banho Ouro</v>
      </c>
      <c r="AB1253" s="33" t="s">
        <v>722</v>
      </c>
    </row>
    <row r="1254" spans="2:28" ht="15" customHeight="1" x14ac:dyDescent="0.4">
      <c r="B1254" s="43">
        <v>45859.420555555553</v>
      </c>
      <c r="C1254" s="34" t="s">
        <v>6</v>
      </c>
      <c r="D1254" s="35">
        <v>45859</v>
      </c>
      <c r="E1254" s="51" t="s">
        <v>94</v>
      </c>
      <c r="F1254" s="33">
        <v>1</v>
      </c>
      <c r="G1254" s="27">
        <f t="shared" si="25"/>
        <v>-1</v>
      </c>
      <c r="H1254" s="28" t="str">
        <f>VLOOKUP(E1254,'Cadastro Produtos (kiwkiw)'!C:E,3,0)</f>
        <v>Colar Duplo Dots Banho Ouro</v>
      </c>
      <c r="AB1254" s="33" t="s">
        <v>723</v>
      </c>
    </row>
    <row r="1255" spans="2:28" ht="15" customHeight="1" x14ac:dyDescent="0.4">
      <c r="C1255" s="34" t="s">
        <v>6</v>
      </c>
      <c r="D1255" s="35">
        <v>45859</v>
      </c>
      <c r="E1255" s="51" t="s">
        <v>32</v>
      </c>
      <c r="F1255" s="33">
        <v>1</v>
      </c>
      <c r="G1255" s="27">
        <f t="shared" si="25"/>
        <v>-1</v>
      </c>
      <c r="H1255" s="28" t="str">
        <f>VLOOKUP(E1255,'Cadastro Produtos (kiwkiw)'!C:E,3,0)</f>
        <v>Argola Redonda Basic Banho Ouro</v>
      </c>
      <c r="AB1255" s="33" t="s">
        <v>723</v>
      </c>
    </row>
    <row r="1256" spans="2:28" ht="15" customHeight="1" x14ac:dyDescent="0.4">
      <c r="C1256" s="34" t="s">
        <v>6</v>
      </c>
      <c r="D1256" s="35">
        <v>45859</v>
      </c>
      <c r="E1256" s="51" t="s">
        <v>62</v>
      </c>
      <c r="F1256" s="33">
        <v>1</v>
      </c>
      <c r="G1256" s="27">
        <f t="shared" si="25"/>
        <v>-1</v>
      </c>
      <c r="H1256" s="28" t="str">
        <f>VLOOKUP(E1256,'Cadastro Produtos (kiwkiw)'!C:E,3,0)</f>
        <v>Brinco Sol Banho Ouro</v>
      </c>
      <c r="AB1256" s="33" t="s">
        <v>724</v>
      </c>
    </row>
    <row r="1257" spans="2:28" ht="15" customHeight="1" x14ac:dyDescent="0.4">
      <c r="C1257" s="34" t="s">
        <v>6</v>
      </c>
      <c r="D1257" s="35">
        <v>45859</v>
      </c>
      <c r="E1257" s="51" t="s">
        <v>86</v>
      </c>
      <c r="F1257" s="33">
        <v>2</v>
      </c>
      <c r="G1257" s="27">
        <f t="shared" si="25"/>
        <v>-2</v>
      </c>
      <c r="H1257" s="28" t="str">
        <f>VLOOKUP(E1257,'Cadastro Produtos (kiwkiw)'!C:E,3,0)</f>
        <v>Piercing Fake Minimal Banho Ouro</v>
      </c>
      <c r="AB1257" s="33" t="s">
        <v>725</v>
      </c>
    </row>
    <row r="1258" spans="2:28" ht="15" customHeight="1" x14ac:dyDescent="0.4">
      <c r="C1258" s="34" t="s">
        <v>6</v>
      </c>
      <c r="D1258" s="35">
        <v>45859</v>
      </c>
      <c r="E1258" s="51" t="s">
        <v>117</v>
      </c>
      <c r="F1258" s="33">
        <v>1</v>
      </c>
      <c r="G1258" s="27">
        <f t="shared" si="25"/>
        <v>-1</v>
      </c>
      <c r="H1258" s="28" t="str">
        <f>VLOOKUP(E1258,'Cadastro Produtos (kiwkiw)'!C:E,3,0)</f>
        <v>Gargantilha Minimal Banho Ouro</v>
      </c>
      <c r="AB1258" s="33" t="s">
        <v>726</v>
      </c>
    </row>
    <row r="1259" spans="2:28" ht="15" customHeight="1" x14ac:dyDescent="0.4">
      <c r="B1259" s="43"/>
      <c r="C1259" s="34" t="s">
        <v>6</v>
      </c>
      <c r="D1259" s="35">
        <v>45859</v>
      </c>
      <c r="E1259" s="51" t="s">
        <v>117</v>
      </c>
      <c r="F1259" s="33">
        <v>1</v>
      </c>
      <c r="G1259" s="27">
        <f t="shared" si="25"/>
        <v>-1</v>
      </c>
      <c r="H1259" s="28" t="str">
        <f>VLOOKUP(E1259,'Cadastro Produtos (kiwkiw)'!C:E,3,0)</f>
        <v>Gargantilha Minimal Banho Ouro</v>
      </c>
      <c r="AB1259" s="33" t="s">
        <v>727</v>
      </c>
    </row>
    <row r="1260" spans="2:28" ht="15" customHeight="1" x14ac:dyDescent="0.4">
      <c r="C1260" s="34" t="s">
        <v>6</v>
      </c>
      <c r="D1260" s="35">
        <v>45859</v>
      </c>
      <c r="E1260" s="51" t="s">
        <v>59</v>
      </c>
      <c r="F1260" s="33">
        <v>1</v>
      </c>
      <c r="G1260" s="27">
        <f t="shared" si="25"/>
        <v>-1</v>
      </c>
      <c r="H1260" s="28" t="str">
        <f>VLOOKUP(E1260,'Cadastro Produtos (kiwkiw)'!C:E,3,0)</f>
        <v>Brinco Oncinha Banho Ouro</v>
      </c>
      <c r="AB1260" s="33" t="s">
        <v>728</v>
      </c>
    </row>
    <row r="1261" spans="2:28" ht="15" customHeight="1" x14ac:dyDescent="0.4">
      <c r="C1261" s="34" t="s">
        <v>6</v>
      </c>
      <c r="D1261" s="35">
        <v>45859</v>
      </c>
      <c r="E1261" s="51" t="s">
        <v>59</v>
      </c>
      <c r="F1261" s="33">
        <v>1</v>
      </c>
      <c r="G1261" s="27">
        <f t="shared" si="25"/>
        <v>-1</v>
      </c>
      <c r="H1261" s="28" t="str">
        <f>VLOOKUP(E1261,'Cadastro Produtos (kiwkiw)'!C:E,3,0)</f>
        <v>Brinco Oncinha Banho Ouro</v>
      </c>
      <c r="AB1261" s="33" t="s">
        <v>727</v>
      </c>
    </row>
    <row r="1262" spans="2:28" ht="15" customHeight="1" x14ac:dyDescent="0.4">
      <c r="C1262" s="34" t="s">
        <v>6</v>
      </c>
      <c r="D1262" s="35">
        <v>45859</v>
      </c>
      <c r="E1262" s="51" t="s">
        <v>60</v>
      </c>
      <c r="F1262" s="33">
        <v>1</v>
      </c>
      <c r="G1262" s="27">
        <f t="shared" si="25"/>
        <v>-1</v>
      </c>
      <c r="H1262" s="28" t="str">
        <f>VLOOKUP(E1262,'Cadastro Produtos (kiwkiw)'!C:E,3,0)</f>
        <v>Brinco Oncinha Prateado</v>
      </c>
      <c r="AB1262" s="33" t="s">
        <v>728</v>
      </c>
    </row>
    <row r="1263" spans="2:28" ht="15" customHeight="1" x14ac:dyDescent="0.4">
      <c r="C1263" s="34" t="s">
        <v>6</v>
      </c>
      <c r="D1263" s="35">
        <v>45859</v>
      </c>
      <c r="E1263" s="51" t="s">
        <v>127</v>
      </c>
      <c r="F1263" s="33">
        <v>1</v>
      </c>
      <c r="G1263" s="27">
        <f t="shared" si="25"/>
        <v>-1</v>
      </c>
      <c r="H1263" s="28" t="str">
        <f>VLOOKUP(E1263,'Cadastro Produtos (kiwkiw)'!C:E,3,0)</f>
        <v>Pulseira Minimal Banho Ouro</v>
      </c>
      <c r="AB1263" s="33" t="s">
        <v>727</v>
      </c>
    </row>
    <row r="1264" spans="2:28" ht="15" customHeight="1" x14ac:dyDescent="0.4">
      <c r="C1264" s="34" t="s">
        <v>6</v>
      </c>
      <c r="D1264" s="35">
        <v>45859</v>
      </c>
      <c r="E1264" s="51" t="s">
        <v>82</v>
      </c>
      <c r="F1264" s="33">
        <v>1</v>
      </c>
      <c r="G1264" s="27">
        <f t="shared" si="25"/>
        <v>-1</v>
      </c>
      <c r="H1264" s="28" t="str">
        <f>VLOOKUP(E1264,'Cadastro Produtos (kiwkiw)'!C:E,3,0)</f>
        <v>Meia Argola Diamond Banho Ouro</v>
      </c>
      <c r="AB1264" s="33" t="s">
        <v>727</v>
      </c>
    </row>
    <row r="1265" spans="2:28" ht="15" customHeight="1" x14ac:dyDescent="0.4">
      <c r="B1265" s="43">
        <v>45860.425671296296</v>
      </c>
      <c r="C1265" s="34" t="s">
        <v>6</v>
      </c>
      <c r="D1265" s="35">
        <v>45860</v>
      </c>
      <c r="E1265" s="51" t="s">
        <v>117</v>
      </c>
      <c r="F1265" s="33">
        <v>1</v>
      </c>
      <c r="G1265" s="27">
        <f t="shared" si="25"/>
        <v>-1</v>
      </c>
      <c r="H1265" s="28" t="str">
        <f>VLOOKUP(E1265,'Cadastro Produtos (kiwkiw)'!C:E,3,0)</f>
        <v>Gargantilha Minimal Banho Ouro</v>
      </c>
      <c r="AB1265" s="33" t="s">
        <v>729</v>
      </c>
    </row>
    <row r="1266" spans="2:28" ht="15" customHeight="1" x14ac:dyDescent="0.4">
      <c r="C1266" s="34" t="s">
        <v>6</v>
      </c>
      <c r="D1266" s="35">
        <v>45860</v>
      </c>
      <c r="E1266" s="51" t="s">
        <v>114</v>
      </c>
      <c r="F1266" s="33">
        <v>1</v>
      </c>
      <c r="G1266" s="27">
        <f t="shared" si="25"/>
        <v>-1</v>
      </c>
      <c r="H1266" s="28" t="str">
        <f>VLOOKUP(E1266,'Cadastro Produtos (kiwkiw)'!C:E,3,0)</f>
        <v>Gargantilha Fita Banho Ouro</v>
      </c>
      <c r="AB1266" s="33" t="s">
        <v>729</v>
      </c>
    </row>
    <row r="1267" spans="2:28" ht="15" customHeight="1" x14ac:dyDescent="0.4">
      <c r="C1267" s="34" t="s">
        <v>6</v>
      </c>
      <c r="D1267" s="35">
        <v>45860</v>
      </c>
      <c r="E1267" s="51" t="s">
        <v>103</v>
      </c>
      <c r="F1267" s="33">
        <v>1</v>
      </c>
      <c r="G1267" s="27">
        <f t="shared" si="25"/>
        <v>-1</v>
      </c>
      <c r="H1267" s="28" t="str">
        <f>VLOOKUP(E1267,'Cadastro Produtos (kiwkiw)'!C:E,3,0)</f>
        <v>Colar Ivy Banho Ouro</v>
      </c>
      <c r="AB1267" s="33" t="s">
        <v>730</v>
      </c>
    </row>
    <row r="1268" spans="2:28" ht="15" customHeight="1" x14ac:dyDescent="0.4">
      <c r="B1268" s="43"/>
      <c r="C1268" s="34" t="s">
        <v>6</v>
      </c>
      <c r="D1268" s="35">
        <v>45860</v>
      </c>
      <c r="E1268" s="51" t="s">
        <v>32</v>
      </c>
      <c r="F1268" s="33">
        <v>1</v>
      </c>
      <c r="G1268" s="27">
        <f t="shared" si="25"/>
        <v>-1</v>
      </c>
      <c r="H1268" s="28" t="str">
        <f>VLOOKUP(E1268,'Cadastro Produtos (kiwkiw)'!C:E,3,0)</f>
        <v>Argola Redonda Basic Banho Ouro</v>
      </c>
      <c r="AB1268" s="33" t="s">
        <v>731</v>
      </c>
    </row>
    <row r="1269" spans="2:28" ht="15" customHeight="1" x14ac:dyDescent="0.4">
      <c r="C1269" s="34" t="s">
        <v>6</v>
      </c>
      <c r="D1269" s="35">
        <v>45860</v>
      </c>
      <c r="E1269" s="51" t="s">
        <v>77</v>
      </c>
      <c r="F1269" s="33">
        <v>1</v>
      </c>
      <c r="G1269" s="27">
        <f t="shared" si="25"/>
        <v>-1</v>
      </c>
      <c r="H1269" s="28" t="str">
        <f>VLOOKUP(E1269,'Cadastro Produtos (kiwkiw)'!C:E,3,0)</f>
        <v>EarHook Torcido Banho Ouro</v>
      </c>
      <c r="AB1269" s="33" t="s">
        <v>732</v>
      </c>
    </row>
    <row r="1270" spans="2:28" ht="15" customHeight="1" x14ac:dyDescent="0.4">
      <c r="C1270" s="34" t="s">
        <v>6</v>
      </c>
      <c r="D1270" s="35">
        <v>45860</v>
      </c>
      <c r="E1270" s="51" t="s">
        <v>54</v>
      </c>
      <c r="F1270" s="33">
        <v>1</v>
      </c>
      <c r="G1270" s="27">
        <f t="shared" si="25"/>
        <v>-1</v>
      </c>
      <c r="H1270" s="28" t="str">
        <f>VLOOKUP(E1270,'Cadastro Produtos (kiwkiw)'!C:E,3,0)</f>
        <v>Brinco Ivy Banho Ouro</v>
      </c>
      <c r="AB1270" s="33" t="s">
        <v>732</v>
      </c>
    </row>
    <row r="1271" spans="2:28" ht="15" customHeight="1" x14ac:dyDescent="0.4">
      <c r="B1271" s="43">
        <v>45861.428032407406</v>
      </c>
      <c r="C1271" s="34" t="s">
        <v>6</v>
      </c>
      <c r="D1271" s="35">
        <v>45861</v>
      </c>
      <c r="E1271" s="51" t="s">
        <v>94</v>
      </c>
      <c r="F1271" s="33">
        <v>1</v>
      </c>
      <c r="G1271" s="27">
        <f t="shared" si="25"/>
        <v>-1</v>
      </c>
      <c r="H1271" s="28" t="str">
        <f>VLOOKUP(E1271,'Cadastro Produtos (kiwkiw)'!C:E,3,0)</f>
        <v>Colar Duplo Dots Banho Ouro</v>
      </c>
      <c r="AB1271" s="33" t="s">
        <v>733</v>
      </c>
    </row>
    <row r="1272" spans="2:28" ht="15" customHeight="1" x14ac:dyDescent="0.4">
      <c r="C1272" s="34" t="s">
        <v>6</v>
      </c>
      <c r="D1272" s="35">
        <v>45861</v>
      </c>
      <c r="E1272" s="51" t="s">
        <v>127</v>
      </c>
      <c r="F1272" s="33">
        <v>1</v>
      </c>
      <c r="G1272" s="27">
        <f t="shared" si="25"/>
        <v>-1</v>
      </c>
      <c r="H1272" s="28" t="str">
        <f>VLOOKUP(E1272,'Cadastro Produtos (kiwkiw)'!C:E,3,0)</f>
        <v>Pulseira Minimal Banho Ouro</v>
      </c>
      <c r="AB1272" s="33" t="s">
        <v>733</v>
      </c>
    </row>
    <row r="1273" spans="2:28" ht="15" customHeight="1" x14ac:dyDescent="0.4">
      <c r="C1273" s="34" t="s">
        <v>6</v>
      </c>
      <c r="D1273" s="35">
        <v>45861</v>
      </c>
      <c r="E1273" s="51" t="s">
        <v>130</v>
      </c>
      <c r="F1273" s="33">
        <v>1</v>
      </c>
      <c r="G1273" s="27">
        <f t="shared" si="25"/>
        <v>-1</v>
      </c>
      <c r="H1273" s="28" t="str">
        <f>VLOOKUP(E1273,'Cadastro Produtos (kiwkiw)'!C:E,3,0)</f>
        <v>Pulseira Snake Prateada</v>
      </c>
      <c r="AB1273" s="33" t="s">
        <v>733</v>
      </c>
    </row>
    <row r="1274" spans="2:28" ht="15" customHeight="1" x14ac:dyDescent="0.4">
      <c r="C1274" s="34" t="s">
        <v>6</v>
      </c>
      <c r="D1274" s="35">
        <v>45861</v>
      </c>
      <c r="E1274" s="51" t="s">
        <v>97</v>
      </c>
      <c r="F1274" s="33">
        <v>1</v>
      </c>
      <c r="G1274" s="27">
        <f t="shared" si="25"/>
        <v>-1</v>
      </c>
      <c r="H1274" s="28" t="str">
        <f>VLOOKUP(E1274,'Cadastro Produtos (kiwkiw)'!C:E,3,0)</f>
        <v>Colar Duplo Minimal Prateado</v>
      </c>
      <c r="AB1274" s="33" t="s">
        <v>733</v>
      </c>
    </row>
    <row r="1275" spans="2:28" ht="15" customHeight="1" x14ac:dyDescent="0.4">
      <c r="C1275" s="34" t="s">
        <v>6</v>
      </c>
      <c r="D1275" s="35">
        <v>45861</v>
      </c>
      <c r="E1275" s="51" t="s">
        <v>117</v>
      </c>
      <c r="F1275" s="33">
        <v>1</v>
      </c>
      <c r="G1275" s="27">
        <f t="shared" si="25"/>
        <v>-1</v>
      </c>
      <c r="H1275" s="28" t="str">
        <f>VLOOKUP(E1275,'Cadastro Produtos (kiwkiw)'!C:E,3,0)</f>
        <v>Gargantilha Minimal Banho Ouro</v>
      </c>
      <c r="AB1275" s="33" t="s">
        <v>734</v>
      </c>
    </row>
    <row r="1276" spans="2:28" ht="15" customHeight="1" x14ac:dyDescent="0.4">
      <c r="C1276" s="34" t="s">
        <v>6</v>
      </c>
      <c r="D1276" s="35">
        <v>45861</v>
      </c>
      <c r="E1276" s="51" t="s">
        <v>118</v>
      </c>
      <c r="F1276" s="33">
        <v>1</v>
      </c>
      <c r="G1276" s="27">
        <f t="shared" si="25"/>
        <v>-1</v>
      </c>
      <c r="H1276" s="28" t="str">
        <f>VLOOKUP(E1276,'Cadastro Produtos (kiwkiw)'!C:E,3,0)</f>
        <v>Gargantilha Minimal Prateada</v>
      </c>
      <c r="AB1276" s="33" t="s">
        <v>734</v>
      </c>
    </row>
    <row r="1277" spans="2:28" ht="15" customHeight="1" x14ac:dyDescent="0.4">
      <c r="C1277" s="34" t="s">
        <v>6</v>
      </c>
      <c r="D1277" s="35">
        <v>45861</v>
      </c>
      <c r="E1277" s="51" t="s">
        <v>59</v>
      </c>
      <c r="F1277" s="33">
        <v>1</v>
      </c>
      <c r="G1277" s="27">
        <f t="shared" si="25"/>
        <v>-1</v>
      </c>
      <c r="H1277" s="28" t="str">
        <f>VLOOKUP(E1277,'Cadastro Produtos (kiwkiw)'!C:E,3,0)</f>
        <v>Brinco Oncinha Banho Ouro</v>
      </c>
      <c r="AB1277" s="33" t="s">
        <v>735</v>
      </c>
    </row>
    <row r="1278" spans="2:28" ht="15" customHeight="1" x14ac:dyDescent="0.4">
      <c r="B1278" s="43">
        <v>45862.421064814815</v>
      </c>
      <c r="C1278" s="34" t="s">
        <v>6</v>
      </c>
      <c r="D1278" s="35">
        <v>45862</v>
      </c>
      <c r="E1278" s="51" t="s">
        <v>62</v>
      </c>
      <c r="F1278" s="33">
        <v>1</v>
      </c>
      <c r="G1278" s="27">
        <f t="shared" si="25"/>
        <v>-1</v>
      </c>
      <c r="H1278" s="28" t="str">
        <f>VLOOKUP(E1278,'Cadastro Produtos (kiwkiw)'!C:E,3,0)</f>
        <v>Brinco Sol Banho Ouro</v>
      </c>
      <c r="AB1278" s="33" t="s">
        <v>736</v>
      </c>
    </row>
    <row r="1279" spans="2:28" ht="15" customHeight="1" x14ac:dyDescent="0.4">
      <c r="C1279" s="34" t="s">
        <v>6</v>
      </c>
      <c r="D1279" s="35">
        <v>45862</v>
      </c>
      <c r="E1279" s="51" t="s">
        <v>129</v>
      </c>
      <c r="F1279" s="33">
        <v>1</v>
      </c>
      <c r="G1279" s="27">
        <f t="shared" si="25"/>
        <v>-1</v>
      </c>
      <c r="H1279" s="28" t="str">
        <f>VLOOKUP(E1279,'Cadastro Produtos (kiwkiw)'!C:E,3,0)</f>
        <v>Pulseira Snake Banho Ouro</v>
      </c>
      <c r="AB1279" s="33" t="s">
        <v>737</v>
      </c>
    </row>
    <row r="1280" spans="2:28" ht="15" customHeight="1" x14ac:dyDescent="0.4">
      <c r="C1280" s="34" t="s">
        <v>6</v>
      </c>
      <c r="D1280" s="35">
        <v>45862</v>
      </c>
      <c r="E1280" s="51" t="s">
        <v>130</v>
      </c>
      <c r="F1280" s="33">
        <v>1</v>
      </c>
      <c r="G1280" s="27">
        <f t="shared" si="25"/>
        <v>-1</v>
      </c>
      <c r="H1280" s="28" t="str">
        <f>VLOOKUP(E1280,'Cadastro Produtos (kiwkiw)'!C:E,3,0)</f>
        <v>Pulseira Snake Prateada</v>
      </c>
      <c r="AB1280" s="33" t="s">
        <v>737</v>
      </c>
    </row>
    <row r="1281" spans="2:28" ht="15" customHeight="1" x14ac:dyDescent="0.4">
      <c r="B1281" s="43">
        <v>45866.428402777776</v>
      </c>
      <c r="C1281" s="34" t="s">
        <v>6</v>
      </c>
      <c r="D1281" s="35">
        <v>45866</v>
      </c>
      <c r="E1281" s="51" t="s">
        <v>92</v>
      </c>
      <c r="F1281" s="33">
        <v>1</v>
      </c>
      <c r="G1281" s="27">
        <f t="shared" si="25"/>
        <v>-1</v>
      </c>
      <c r="H1281" s="28" t="str">
        <f>VLOOKUP(E1281,'Cadastro Produtos (kiwkiw)'!C:E,3,0)</f>
        <v>Colar Coracao Banho Ouro</v>
      </c>
      <c r="AB1281" s="33" t="s">
        <v>738</v>
      </c>
    </row>
    <row r="1282" spans="2:28" ht="15" customHeight="1" x14ac:dyDescent="0.4">
      <c r="C1282" s="34" t="s">
        <v>6</v>
      </c>
      <c r="D1282" s="35">
        <v>45866</v>
      </c>
      <c r="E1282" s="51" t="s">
        <v>26</v>
      </c>
      <c r="F1282" s="33">
        <v>1</v>
      </c>
      <c r="G1282" s="27">
        <f t="shared" si="25"/>
        <v>-1</v>
      </c>
      <c r="H1282" s="28" t="str">
        <f>VLOOKUP(E1282,'Cadastro Produtos (kiwkiw)'!C:E,3,0)</f>
        <v>Argola Click Grande Banho Ouro</v>
      </c>
      <c r="AB1282" s="33" t="s">
        <v>738</v>
      </c>
    </row>
    <row r="1283" spans="2:28" ht="15" customHeight="1" x14ac:dyDescent="0.4">
      <c r="C1283" s="34" t="s">
        <v>6</v>
      </c>
      <c r="D1283" s="35">
        <v>45866</v>
      </c>
      <c r="E1283" s="51" t="s">
        <v>62</v>
      </c>
      <c r="F1283" s="33">
        <v>1</v>
      </c>
      <c r="G1283" s="27">
        <f t="shared" si="25"/>
        <v>-1</v>
      </c>
      <c r="H1283" s="28" t="str">
        <f>VLOOKUP(E1283,'Cadastro Produtos (kiwkiw)'!C:E,3,0)</f>
        <v>Brinco Sol Banho Ouro</v>
      </c>
      <c r="AB1283" s="33" t="s">
        <v>738</v>
      </c>
    </row>
    <row r="1284" spans="2:28" ht="15" customHeight="1" x14ac:dyDescent="0.4">
      <c r="B1284" s="43"/>
      <c r="C1284" s="34" t="s">
        <v>6</v>
      </c>
      <c r="D1284" s="35">
        <v>45866</v>
      </c>
      <c r="E1284" s="51" t="s">
        <v>70</v>
      </c>
      <c r="F1284" s="33">
        <v>1</v>
      </c>
      <c r="G1284" s="27">
        <f t="shared" si="25"/>
        <v>-1</v>
      </c>
      <c r="H1284" s="28" t="str">
        <f>VLOOKUP(E1284,'Cadastro Produtos (kiwkiw)'!C:E,3,0)</f>
        <v>Brinco Geometrico Banho Ouro</v>
      </c>
      <c r="AB1284" s="33" t="s">
        <v>738</v>
      </c>
    </row>
    <row r="1285" spans="2:28" ht="15" customHeight="1" x14ac:dyDescent="0.4">
      <c r="C1285" s="34" t="s">
        <v>6</v>
      </c>
      <c r="D1285" s="35">
        <v>45866</v>
      </c>
      <c r="E1285" s="51" t="s">
        <v>117</v>
      </c>
      <c r="F1285" s="33">
        <v>1</v>
      </c>
      <c r="G1285" s="27">
        <f t="shared" si="25"/>
        <v>-1</v>
      </c>
      <c r="H1285" s="28" t="str">
        <f>VLOOKUP(E1285,'Cadastro Produtos (kiwkiw)'!C:E,3,0)</f>
        <v>Gargantilha Minimal Banho Ouro</v>
      </c>
      <c r="AB1285" s="33" t="s">
        <v>738</v>
      </c>
    </row>
    <row r="1286" spans="2:28" ht="15" customHeight="1" x14ac:dyDescent="0.4">
      <c r="B1286" s="43">
        <v>45867.421481481484</v>
      </c>
      <c r="C1286" s="34" t="s">
        <v>6</v>
      </c>
      <c r="D1286" s="35">
        <v>45867</v>
      </c>
      <c r="E1286" s="51" t="s">
        <v>117</v>
      </c>
      <c r="F1286" s="33">
        <v>1</v>
      </c>
      <c r="G1286" s="27">
        <f t="shared" si="25"/>
        <v>-1</v>
      </c>
      <c r="H1286" s="28" t="str">
        <f>VLOOKUP(E1286,'Cadastro Produtos (kiwkiw)'!C:E,3,0)</f>
        <v>Gargantilha Minimal Banho Ouro</v>
      </c>
      <c r="AB1286" s="33" t="s">
        <v>739</v>
      </c>
    </row>
    <row r="1287" spans="2:28" ht="15" customHeight="1" x14ac:dyDescent="0.4">
      <c r="B1287" s="43">
        <v>45868.423032407409</v>
      </c>
      <c r="C1287" s="34" t="s">
        <v>6</v>
      </c>
      <c r="D1287" s="35">
        <v>45868</v>
      </c>
      <c r="E1287" s="51" t="s">
        <v>94</v>
      </c>
      <c r="F1287" s="33">
        <v>1</v>
      </c>
      <c r="G1287" s="27">
        <f t="shared" si="25"/>
        <v>-1</v>
      </c>
      <c r="H1287" s="28" t="str">
        <f>VLOOKUP(E1287,'Cadastro Produtos (kiwkiw)'!C:E,3,0)</f>
        <v>Colar Duplo Dots Banho Ouro</v>
      </c>
      <c r="AB1287" s="33" t="s">
        <v>740</v>
      </c>
    </row>
    <row r="1288" spans="2:28" ht="15" customHeight="1" x14ac:dyDescent="0.4">
      <c r="C1288" s="34" t="s">
        <v>6</v>
      </c>
      <c r="D1288" s="35">
        <v>45868</v>
      </c>
      <c r="E1288" s="51" t="s">
        <v>54</v>
      </c>
      <c r="F1288" s="33">
        <v>1</v>
      </c>
      <c r="G1288" s="27">
        <f t="shared" si="25"/>
        <v>-1</v>
      </c>
      <c r="H1288" s="28" t="str">
        <f>VLOOKUP(E1288,'Cadastro Produtos (kiwkiw)'!C:E,3,0)</f>
        <v>Brinco Ivy Banho Ouro</v>
      </c>
      <c r="AB1288" s="33" t="s">
        <v>740</v>
      </c>
    </row>
    <row r="1289" spans="2:28" ht="15" customHeight="1" x14ac:dyDescent="0.4">
      <c r="C1289" s="34" t="s">
        <v>6</v>
      </c>
      <c r="D1289" s="35">
        <v>45868</v>
      </c>
      <c r="E1289" s="51" t="s">
        <v>59</v>
      </c>
      <c r="F1289" s="33">
        <v>1</v>
      </c>
      <c r="G1289" s="27">
        <f t="shared" si="25"/>
        <v>-1</v>
      </c>
      <c r="H1289" s="28" t="str">
        <f>VLOOKUP(E1289,'Cadastro Produtos (kiwkiw)'!C:E,3,0)</f>
        <v>Brinco Oncinha Banho Ouro</v>
      </c>
      <c r="AB1289" s="33" t="s">
        <v>741</v>
      </c>
    </row>
    <row r="1290" spans="2:28" ht="15" customHeight="1" x14ac:dyDescent="0.4">
      <c r="C1290" s="34" t="s">
        <v>6</v>
      </c>
      <c r="D1290" s="35">
        <v>45867</v>
      </c>
      <c r="E1290" s="51" t="s">
        <v>92</v>
      </c>
      <c r="F1290" s="33">
        <v>1</v>
      </c>
      <c r="G1290" s="27">
        <f t="shared" si="25"/>
        <v>-1</v>
      </c>
      <c r="H1290" s="28" t="str">
        <f>VLOOKUP(E1290,'Cadastro Produtos (kiwkiw)'!C:E,3,0)</f>
        <v>Colar Coracao Banho Ouro</v>
      </c>
      <c r="AB1290" s="33" t="s">
        <v>742</v>
      </c>
    </row>
    <row r="1291" spans="2:28" ht="15" customHeight="1" x14ac:dyDescent="0.4">
      <c r="B1291" s="43">
        <v>45869.423437500001</v>
      </c>
      <c r="C1291" s="34" t="s">
        <v>6</v>
      </c>
      <c r="D1291" s="35">
        <v>45869</v>
      </c>
      <c r="E1291" s="51" t="s">
        <v>117</v>
      </c>
      <c r="F1291" s="33">
        <v>1</v>
      </c>
      <c r="G1291" s="27">
        <f t="shared" si="25"/>
        <v>-1</v>
      </c>
      <c r="H1291" s="28" t="str">
        <f>VLOOKUP(E1291,'Cadastro Produtos (kiwkiw)'!C:E,3,0)</f>
        <v>Gargantilha Minimal Banho Ouro</v>
      </c>
      <c r="AB1291" s="33" t="s">
        <v>743</v>
      </c>
    </row>
    <row r="1292" spans="2:28" ht="15" customHeight="1" x14ac:dyDescent="0.4">
      <c r="C1292" s="34" t="s">
        <v>6</v>
      </c>
      <c r="D1292" s="35">
        <v>45869</v>
      </c>
      <c r="E1292" s="51" t="s">
        <v>117</v>
      </c>
      <c r="F1292" s="33">
        <v>1</v>
      </c>
      <c r="G1292" s="27">
        <f t="shared" si="25"/>
        <v>-1</v>
      </c>
      <c r="H1292" s="28" t="str">
        <f>VLOOKUP(E1292,'Cadastro Produtos (kiwkiw)'!C:E,3,0)</f>
        <v>Gargantilha Minimal Banho Ouro</v>
      </c>
      <c r="AB1292" s="33" t="s">
        <v>744</v>
      </c>
    </row>
    <row r="1293" spans="2:28" ht="15" customHeight="1" x14ac:dyDescent="0.4">
      <c r="C1293" s="34" t="s">
        <v>6</v>
      </c>
      <c r="D1293" s="35">
        <v>45869</v>
      </c>
      <c r="E1293" s="51" t="s">
        <v>127</v>
      </c>
      <c r="F1293" s="33">
        <v>1</v>
      </c>
      <c r="G1293" s="27">
        <f t="shared" si="25"/>
        <v>-1</v>
      </c>
      <c r="H1293" s="28" t="str">
        <f>VLOOKUP(E1293,'Cadastro Produtos (kiwkiw)'!C:E,3,0)</f>
        <v>Pulseira Minimal Banho Ouro</v>
      </c>
      <c r="AB1293" s="33" t="s">
        <v>743</v>
      </c>
    </row>
    <row r="1294" spans="2:28" ht="15" customHeight="1" x14ac:dyDescent="0.4">
      <c r="B1294" s="43">
        <v>45873.428483796299</v>
      </c>
      <c r="C1294" s="34" t="s">
        <v>6</v>
      </c>
      <c r="D1294" s="35">
        <v>45873</v>
      </c>
      <c r="E1294" s="51" t="s">
        <v>117</v>
      </c>
      <c r="F1294" s="33">
        <v>1</v>
      </c>
      <c r="G1294" s="27">
        <f t="shared" si="25"/>
        <v>-1</v>
      </c>
      <c r="H1294" s="28" t="str">
        <f>VLOOKUP(E1294,'Cadastro Produtos (kiwkiw)'!C:E,3,0)</f>
        <v>Gargantilha Minimal Banho Ouro</v>
      </c>
      <c r="AB1294" s="33" t="s">
        <v>745</v>
      </c>
    </row>
    <row r="1295" spans="2:28" ht="15" customHeight="1" x14ac:dyDescent="0.4">
      <c r="C1295" s="34" t="s">
        <v>6</v>
      </c>
      <c r="D1295" s="35">
        <v>45873</v>
      </c>
      <c r="E1295" s="51" t="s">
        <v>117</v>
      </c>
      <c r="F1295" s="33">
        <v>1</v>
      </c>
      <c r="G1295" s="27">
        <f t="shared" si="25"/>
        <v>-1</v>
      </c>
      <c r="H1295" s="28" t="str">
        <f>VLOOKUP(E1295,'Cadastro Produtos (kiwkiw)'!C:E,3,0)</f>
        <v>Gargantilha Minimal Banho Ouro</v>
      </c>
      <c r="AB1295" s="33" t="s">
        <v>746</v>
      </c>
    </row>
    <row r="1296" spans="2:28" ht="15" customHeight="1" x14ac:dyDescent="0.4">
      <c r="C1296" s="34" t="s">
        <v>6</v>
      </c>
      <c r="D1296" s="35">
        <v>45873</v>
      </c>
      <c r="E1296" s="51" t="s">
        <v>59</v>
      </c>
      <c r="F1296" s="33">
        <v>1</v>
      </c>
      <c r="G1296" s="27">
        <f t="shared" si="25"/>
        <v>-1</v>
      </c>
      <c r="H1296" s="28" t="str">
        <f>VLOOKUP(E1296,'Cadastro Produtos (kiwkiw)'!C:E,3,0)</f>
        <v>Brinco Oncinha Banho Ouro</v>
      </c>
      <c r="AB1296" s="33" t="s">
        <v>747</v>
      </c>
    </row>
    <row r="1297" spans="2:28" ht="15" customHeight="1" x14ac:dyDescent="0.4">
      <c r="B1297" s="43">
        <v>45874.423530092594</v>
      </c>
      <c r="C1297" s="34" t="s">
        <v>6</v>
      </c>
      <c r="D1297" s="35">
        <v>45874</v>
      </c>
      <c r="E1297" s="51" t="s">
        <v>94</v>
      </c>
      <c r="F1297" s="33">
        <v>1</v>
      </c>
      <c r="G1297" s="27">
        <f t="shared" ref="G1297:G1360" si="26">IF(C1297="Entrada",F1297,-F1297)</f>
        <v>-1</v>
      </c>
      <c r="H1297" s="28" t="str">
        <f>VLOOKUP(E1297,'Cadastro Produtos (kiwkiw)'!C:E,3,0)</f>
        <v>Colar Duplo Dots Banho Ouro</v>
      </c>
      <c r="AB1297" s="33" t="s">
        <v>748</v>
      </c>
    </row>
    <row r="1298" spans="2:28" ht="15" customHeight="1" x14ac:dyDescent="0.4">
      <c r="C1298" s="34" t="s">
        <v>6</v>
      </c>
      <c r="D1298" s="35">
        <v>45874</v>
      </c>
      <c r="E1298" s="51" t="s">
        <v>124</v>
      </c>
      <c r="F1298" s="33">
        <v>1</v>
      </c>
      <c r="G1298" s="27">
        <f t="shared" si="26"/>
        <v>-1</v>
      </c>
      <c r="H1298" s="28" t="str">
        <f>VLOOKUP(E1298,'Cadastro Produtos (kiwkiw)'!C:E,3,0)</f>
        <v>Pulseira Fita Textura Banho Ouro</v>
      </c>
      <c r="AB1298" s="33" t="s">
        <v>749</v>
      </c>
    </row>
    <row r="1299" spans="2:28" ht="15" customHeight="1" x14ac:dyDescent="0.4">
      <c r="B1299" s="43">
        <v>45875.42659722222</v>
      </c>
      <c r="C1299" s="34" t="s">
        <v>6</v>
      </c>
      <c r="D1299" s="35">
        <v>45875</v>
      </c>
      <c r="E1299" s="51" t="s">
        <v>129</v>
      </c>
      <c r="F1299" s="33">
        <v>1</v>
      </c>
      <c r="G1299" s="27">
        <f t="shared" si="26"/>
        <v>-1</v>
      </c>
      <c r="H1299" s="28" t="str">
        <f>VLOOKUP(E1299,'Cadastro Produtos (kiwkiw)'!C:E,3,0)</f>
        <v>Pulseira Snake Banho Ouro</v>
      </c>
      <c r="AB1299" s="33" t="s">
        <v>750</v>
      </c>
    </row>
    <row r="1300" spans="2:28" ht="15" customHeight="1" x14ac:dyDescent="0.4">
      <c r="C1300" s="34" t="s">
        <v>6</v>
      </c>
      <c r="D1300" s="35">
        <v>45875</v>
      </c>
      <c r="E1300" s="51" t="s">
        <v>117</v>
      </c>
      <c r="F1300" s="33">
        <v>1</v>
      </c>
      <c r="G1300" s="27">
        <f t="shared" si="26"/>
        <v>-1</v>
      </c>
      <c r="H1300" s="28" t="str">
        <f>VLOOKUP(E1300,'Cadastro Produtos (kiwkiw)'!C:E,3,0)</f>
        <v>Gargantilha Minimal Banho Ouro</v>
      </c>
      <c r="AB1300" s="33" t="s">
        <v>751</v>
      </c>
    </row>
    <row r="1301" spans="2:28" ht="15" customHeight="1" x14ac:dyDescent="0.4">
      <c r="C1301" s="34" t="s">
        <v>6</v>
      </c>
      <c r="D1301" s="35">
        <v>45875</v>
      </c>
      <c r="E1301" s="51" t="s">
        <v>132</v>
      </c>
      <c r="F1301" s="33">
        <v>1</v>
      </c>
      <c r="G1301" s="27">
        <f t="shared" si="26"/>
        <v>-1</v>
      </c>
      <c r="H1301" s="28" t="str">
        <f>VLOOKUP(E1301,'Cadastro Produtos (kiwkiw)'!C:E,3,0)</f>
        <v>Colar Brave Preto Banho Ouro</v>
      </c>
      <c r="AB1301" s="33" t="s">
        <v>752</v>
      </c>
    </row>
    <row r="1302" spans="2:28" ht="15" customHeight="1" x14ac:dyDescent="0.4">
      <c r="B1302" s="43">
        <v>45876.445752314816</v>
      </c>
      <c r="C1302" s="34" t="s">
        <v>6</v>
      </c>
      <c r="D1302" s="35">
        <v>45876</v>
      </c>
      <c r="E1302" s="51" t="s">
        <v>54</v>
      </c>
      <c r="F1302" s="33">
        <v>1</v>
      </c>
      <c r="G1302" s="27">
        <f t="shared" si="26"/>
        <v>-1</v>
      </c>
      <c r="H1302" s="28" t="str">
        <f>VLOOKUP(E1302,'Cadastro Produtos (kiwkiw)'!C:E,3,0)</f>
        <v>Brinco Ivy Banho Ouro</v>
      </c>
      <c r="AB1302" s="33" t="s">
        <v>753</v>
      </c>
    </row>
    <row r="1303" spans="2:28" ht="15" customHeight="1" x14ac:dyDescent="0.4">
      <c r="C1303" s="34" t="s">
        <v>6</v>
      </c>
      <c r="D1303" s="35">
        <v>45876</v>
      </c>
      <c r="E1303" s="51" t="s">
        <v>92</v>
      </c>
      <c r="F1303" s="33">
        <v>1</v>
      </c>
      <c r="G1303" s="27">
        <f t="shared" si="26"/>
        <v>-1</v>
      </c>
      <c r="H1303" s="28" t="str">
        <f>VLOOKUP(E1303,'Cadastro Produtos (kiwkiw)'!C:E,3,0)</f>
        <v>Colar Coracao Banho Ouro</v>
      </c>
      <c r="AB1303" s="33" t="s">
        <v>754</v>
      </c>
    </row>
    <row r="1304" spans="2:28" ht="15" customHeight="1" x14ac:dyDescent="0.4">
      <c r="C1304" s="34" t="s">
        <v>6</v>
      </c>
      <c r="D1304" s="35">
        <v>45876</v>
      </c>
      <c r="E1304" s="51" t="s">
        <v>102</v>
      </c>
      <c r="F1304" s="33">
        <v>1</v>
      </c>
      <c r="G1304" s="27">
        <f t="shared" si="26"/>
        <v>-1</v>
      </c>
      <c r="H1304" s="28" t="str">
        <f>VLOOKUP(E1304,'Cadastro Produtos (kiwkiw)'!C:E,3,0)</f>
        <v>Colar Longo Lua Banho Ouro</v>
      </c>
      <c r="AB1304" s="33" t="s">
        <v>754</v>
      </c>
    </row>
    <row r="1305" spans="2:28" ht="15" customHeight="1" x14ac:dyDescent="0.4">
      <c r="B1305" s="43"/>
      <c r="C1305" s="34" t="s">
        <v>6</v>
      </c>
      <c r="D1305" s="35">
        <v>45876</v>
      </c>
      <c r="E1305" s="51" t="s">
        <v>32</v>
      </c>
      <c r="F1305" s="33">
        <v>1</v>
      </c>
      <c r="G1305" s="27">
        <f t="shared" si="26"/>
        <v>-1</v>
      </c>
      <c r="H1305" s="28" t="str">
        <f>VLOOKUP(E1305,'Cadastro Produtos (kiwkiw)'!C:E,3,0)</f>
        <v>Argola Redonda Basic Banho Ouro</v>
      </c>
      <c r="AB1305" s="33" t="s">
        <v>755</v>
      </c>
    </row>
    <row r="1306" spans="2:28" ht="15" customHeight="1" x14ac:dyDescent="0.4">
      <c r="C1306" s="34" t="s">
        <v>6</v>
      </c>
      <c r="D1306" s="35">
        <v>45876</v>
      </c>
      <c r="E1306" s="51" t="s">
        <v>38</v>
      </c>
      <c r="F1306" s="33">
        <v>1</v>
      </c>
      <c r="G1306" s="27">
        <f t="shared" si="26"/>
        <v>-1</v>
      </c>
      <c r="H1306" s="28" t="str">
        <f>VLOOKUP(E1306,'Cadastro Produtos (kiwkiw)'!C:E,3,0)</f>
        <v>Argolinha Click Dots Banho Ouro</v>
      </c>
      <c r="AB1306" s="33" t="s">
        <v>755</v>
      </c>
    </row>
    <row r="1307" spans="2:28" ht="15" customHeight="1" x14ac:dyDescent="0.4">
      <c r="B1307" s="43">
        <v>45877.428553240738</v>
      </c>
      <c r="C1307" s="34" t="s">
        <v>6</v>
      </c>
      <c r="D1307" s="35">
        <v>45877</v>
      </c>
      <c r="E1307" s="51" t="s">
        <v>92</v>
      </c>
      <c r="F1307" s="33">
        <v>1</v>
      </c>
      <c r="G1307" s="27">
        <f t="shared" si="26"/>
        <v>-1</v>
      </c>
      <c r="H1307" s="28" t="str">
        <f>VLOOKUP(E1307,'Cadastro Produtos (kiwkiw)'!C:E,3,0)</f>
        <v>Colar Coracao Banho Ouro</v>
      </c>
      <c r="AB1307" s="33" t="s">
        <v>756</v>
      </c>
    </row>
    <row r="1308" spans="2:28" ht="15" customHeight="1" x14ac:dyDescent="0.4">
      <c r="C1308" s="34" t="s">
        <v>6</v>
      </c>
      <c r="D1308" s="35">
        <v>45877</v>
      </c>
      <c r="E1308" s="51" t="s">
        <v>117</v>
      </c>
      <c r="F1308" s="33">
        <v>1</v>
      </c>
      <c r="G1308" s="27">
        <f t="shared" si="26"/>
        <v>-1</v>
      </c>
      <c r="H1308" s="28" t="str">
        <f>VLOOKUP(E1308,'Cadastro Produtos (kiwkiw)'!C:E,3,0)</f>
        <v>Gargantilha Minimal Banho Ouro</v>
      </c>
      <c r="AB1308" s="33" t="s">
        <v>757</v>
      </c>
    </row>
    <row r="1309" spans="2:28" ht="15" customHeight="1" x14ac:dyDescent="0.4">
      <c r="C1309" s="34" t="s">
        <v>6</v>
      </c>
      <c r="D1309" s="35">
        <v>45877</v>
      </c>
      <c r="E1309" s="51" t="s">
        <v>114</v>
      </c>
      <c r="F1309" s="33">
        <v>1</v>
      </c>
      <c r="G1309" s="27">
        <f t="shared" si="26"/>
        <v>-1</v>
      </c>
      <c r="H1309" s="28" t="str">
        <f>VLOOKUP(E1309,'Cadastro Produtos (kiwkiw)'!C:E,3,0)</f>
        <v>Gargantilha Fita Banho Ouro</v>
      </c>
      <c r="AB1309" s="33" t="s">
        <v>757</v>
      </c>
    </row>
    <row r="1310" spans="2:28" ht="15" customHeight="1" x14ac:dyDescent="0.4">
      <c r="C1310" s="34" t="s">
        <v>6</v>
      </c>
      <c r="D1310" s="35">
        <v>45877</v>
      </c>
      <c r="E1310" s="51" t="s">
        <v>127</v>
      </c>
      <c r="F1310" s="33">
        <v>1</v>
      </c>
      <c r="G1310" s="27">
        <f t="shared" si="26"/>
        <v>-1</v>
      </c>
      <c r="H1310" s="28" t="str">
        <f>VLOOKUP(E1310,'Cadastro Produtos (kiwkiw)'!C:E,3,0)</f>
        <v>Pulseira Minimal Banho Ouro</v>
      </c>
      <c r="AB1310" s="33" t="s">
        <v>757</v>
      </c>
    </row>
    <row r="1311" spans="2:28" ht="15" customHeight="1" x14ac:dyDescent="0.4">
      <c r="B1311" s="43">
        <v>45880.425868055558</v>
      </c>
      <c r="C1311" s="34" t="s">
        <v>6</v>
      </c>
      <c r="D1311" s="35">
        <v>45880</v>
      </c>
      <c r="E1311" s="51" t="s">
        <v>117</v>
      </c>
      <c r="F1311" s="33">
        <v>1</v>
      </c>
      <c r="G1311" s="27">
        <f t="shared" si="26"/>
        <v>-1</v>
      </c>
      <c r="H1311" s="28" t="str">
        <f>VLOOKUP(E1311,'Cadastro Produtos (kiwkiw)'!C:E,3,0)</f>
        <v>Gargantilha Minimal Banho Ouro</v>
      </c>
      <c r="AB1311" s="33" t="s">
        <v>758</v>
      </c>
    </row>
    <row r="1312" spans="2:28" ht="15" customHeight="1" x14ac:dyDescent="0.4">
      <c r="C1312" s="34" t="s">
        <v>6</v>
      </c>
      <c r="D1312" s="35">
        <v>45880</v>
      </c>
      <c r="E1312" s="51" t="s">
        <v>117</v>
      </c>
      <c r="F1312" s="33">
        <v>1</v>
      </c>
      <c r="G1312" s="27">
        <f t="shared" si="26"/>
        <v>-1</v>
      </c>
      <c r="H1312" s="28" t="str">
        <f>VLOOKUP(E1312,'Cadastro Produtos (kiwkiw)'!C:E,3,0)</f>
        <v>Gargantilha Minimal Banho Ouro</v>
      </c>
      <c r="AB1312" s="33" t="s">
        <v>759</v>
      </c>
    </row>
    <row r="1313" spans="2:28" ht="15" customHeight="1" x14ac:dyDescent="0.4">
      <c r="C1313" s="34" t="s">
        <v>6</v>
      </c>
      <c r="D1313" s="35">
        <v>45880</v>
      </c>
      <c r="E1313" s="51" t="s">
        <v>70</v>
      </c>
      <c r="F1313" s="33">
        <v>1</v>
      </c>
      <c r="G1313" s="27">
        <f t="shared" si="26"/>
        <v>-1</v>
      </c>
      <c r="H1313" s="28" t="str">
        <f>VLOOKUP(E1313,'Cadastro Produtos (kiwkiw)'!C:E,3,0)</f>
        <v>Brinco Geometrico Banho Ouro</v>
      </c>
      <c r="AB1313" s="33" t="s">
        <v>758</v>
      </c>
    </row>
    <row r="1314" spans="2:28" ht="15" customHeight="1" x14ac:dyDescent="0.4">
      <c r="C1314" s="34" t="s">
        <v>6</v>
      </c>
      <c r="D1314" s="35">
        <v>45880</v>
      </c>
      <c r="E1314" s="51" t="s">
        <v>26</v>
      </c>
      <c r="F1314" s="33">
        <v>1</v>
      </c>
      <c r="G1314" s="27">
        <f t="shared" si="26"/>
        <v>-1</v>
      </c>
      <c r="H1314" s="28" t="str">
        <f>VLOOKUP(E1314,'Cadastro Produtos (kiwkiw)'!C:E,3,0)</f>
        <v>Argola Click Grande Banho Ouro</v>
      </c>
      <c r="AB1314" s="33" t="s">
        <v>760</v>
      </c>
    </row>
    <row r="1315" spans="2:28" ht="15" customHeight="1" x14ac:dyDescent="0.4">
      <c r="B1315" s="43">
        <v>45881.423379629632</v>
      </c>
      <c r="C1315" s="34" t="s">
        <v>6</v>
      </c>
      <c r="D1315" s="35">
        <v>45881</v>
      </c>
      <c r="E1315" s="51" t="s">
        <v>92</v>
      </c>
      <c r="F1315" s="33">
        <v>1</v>
      </c>
      <c r="G1315" s="27">
        <f t="shared" si="26"/>
        <v>-1</v>
      </c>
      <c r="H1315" s="28" t="str">
        <f>VLOOKUP(E1315,'Cadastro Produtos (kiwkiw)'!C:E,3,0)</f>
        <v>Colar Coracao Banho Ouro</v>
      </c>
      <c r="AB1315" s="33" t="s">
        <v>761</v>
      </c>
    </row>
    <row r="1316" spans="2:28" ht="15" customHeight="1" x14ac:dyDescent="0.4">
      <c r="B1316" s="43">
        <v>45882.424375000002</v>
      </c>
      <c r="C1316" s="34" t="s">
        <v>6</v>
      </c>
      <c r="D1316" s="35">
        <v>45882</v>
      </c>
      <c r="E1316" s="51" t="s">
        <v>117</v>
      </c>
      <c r="F1316" s="33">
        <v>1</v>
      </c>
      <c r="G1316" s="27">
        <f t="shared" si="26"/>
        <v>-1</v>
      </c>
      <c r="H1316" s="28" t="str">
        <f>VLOOKUP(E1316,'Cadastro Produtos (kiwkiw)'!C:E,3,0)</f>
        <v>Gargantilha Minimal Banho Ouro</v>
      </c>
      <c r="AB1316" s="33" t="s">
        <v>762</v>
      </c>
    </row>
    <row r="1317" spans="2:28" ht="15" customHeight="1" x14ac:dyDescent="0.4">
      <c r="C1317" s="34" t="s">
        <v>6</v>
      </c>
      <c r="D1317" s="35">
        <v>45882</v>
      </c>
      <c r="E1317" s="51" t="s">
        <v>62</v>
      </c>
      <c r="F1317" s="33">
        <v>1</v>
      </c>
      <c r="G1317" s="27">
        <f t="shared" si="26"/>
        <v>-1</v>
      </c>
      <c r="H1317" s="28" t="str">
        <f>VLOOKUP(E1317,'Cadastro Produtos (kiwkiw)'!C:E,3,0)</f>
        <v>Brinco Sol Banho Ouro</v>
      </c>
      <c r="AB1317" s="33" t="s">
        <v>763</v>
      </c>
    </row>
    <row r="1318" spans="2:28" ht="15" customHeight="1" x14ac:dyDescent="0.4">
      <c r="B1318" s="43">
        <v>45883.421539351853</v>
      </c>
      <c r="C1318" s="34" t="s">
        <v>6</v>
      </c>
      <c r="D1318" s="35">
        <v>45882</v>
      </c>
      <c r="E1318" s="51" t="s">
        <v>95</v>
      </c>
      <c r="F1318" s="33">
        <v>1</v>
      </c>
      <c r="G1318" s="27">
        <f t="shared" si="26"/>
        <v>-1</v>
      </c>
      <c r="H1318" s="28" t="str">
        <f>VLOOKUP(E1318,'Cadastro Produtos (kiwkiw)'!C:E,3,0)</f>
        <v>Colar Duplo Dots Prateado</v>
      </c>
      <c r="AB1318" s="33" t="s">
        <v>764</v>
      </c>
    </row>
    <row r="1319" spans="2:28" ht="15" customHeight="1" x14ac:dyDescent="0.4">
      <c r="C1319" s="34" t="s">
        <v>6</v>
      </c>
      <c r="D1319" s="35">
        <v>45882</v>
      </c>
      <c r="E1319" s="51" t="s">
        <v>94</v>
      </c>
      <c r="F1319" s="33">
        <v>1</v>
      </c>
      <c r="G1319" s="27">
        <f t="shared" si="26"/>
        <v>-1</v>
      </c>
      <c r="H1319" s="28" t="str">
        <f>VLOOKUP(E1319,'Cadastro Produtos (kiwkiw)'!C:E,3,0)</f>
        <v>Colar Duplo Dots Banho Ouro</v>
      </c>
      <c r="AB1319" s="33" t="s">
        <v>764</v>
      </c>
    </row>
    <row r="1320" spans="2:28" ht="15" customHeight="1" x14ac:dyDescent="0.4">
      <c r="C1320" s="34" t="s">
        <v>6</v>
      </c>
      <c r="D1320" s="35">
        <v>45882</v>
      </c>
      <c r="E1320" s="51" t="s">
        <v>54</v>
      </c>
      <c r="F1320" s="33">
        <v>1</v>
      </c>
      <c r="G1320" s="27">
        <f t="shared" si="26"/>
        <v>-1</v>
      </c>
      <c r="H1320" s="28" t="str">
        <f>VLOOKUP(E1320,'Cadastro Produtos (kiwkiw)'!C:E,3,0)</f>
        <v>Brinco Ivy Banho Ouro</v>
      </c>
      <c r="AB1320" s="33" t="s">
        <v>764</v>
      </c>
    </row>
    <row r="1321" spans="2:28" ht="15" customHeight="1" x14ac:dyDescent="0.4">
      <c r="C1321" s="34" t="s">
        <v>6</v>
      </c>
      <c r="D1321" s="35">
        <v>45882</v>
      </c>
      <c r="E1321" s="51" t="s">
        <v>55</v>
      </c>
      <c r="F1321" s="33">
        <v>1</v>
      </c>
      <c r="G1321" s="27">
        <f t="shared" si="26"/>
        <v>-1</v>
      </c>
      <c r="H1321" s="28" t="str">
        <f>VLOOKUP(E1321,'Cadastro Produtos (kiwkiw)'!C:E,3,0)</f>
        <v>Brinco Ivy Prateado</v>
      </c>
      <c r="AB1321" s="33" t="s">
        <v>764</v>
      </c>
    </row>
    <row r="1322" spans="2:28" ht="15" customHeight="1" x14ac:dyDescent="0.4">
      <c r="C1322" s="34" t="s">
        <v>6</v>
      </c>
      <c r="D1322" s="35">
        <v>45882</v>
      </c>
      <c r="E1322" s="51" t="s">
        <v>103</v>
      </c>
      <c r="F1322" s="33">
        <v>1</v>
      </c>
      <c r="G1322" s="27">
        <f t="shared" si="26"/>
        <v>-1</v>
      </c>
      <c r="H1322" s="28" t="str">
        <f>VLOOKUP(E1322,'Cadastro Produtos (kiwkiw)'!C:E,3,0)</f>
        <v>Colar Ivy Banho Ouro</v>
      </c>
      <c r="AB1322" s="33" t="s">
        <v>764</v>
      </c>
    </row>
    <row r="1323" spans="2:28" ht="15" customHeight="1" x14ac:dyDescent="0.4">
      <c r="C1323" s="34" t="s">
        <v>6</v>
      </c>
      <c r="D1323" s="35">
        <v>45882</v>
      </c>
      <c r="E1323" s="51" t="s">
        <v>104</v>
      </c>
      <c r="F1323" s="33">
        <v>1</v>
      </c>
      <c r="G1323" s="27">
        <f t="shared" si="26"/>
        <v>-1</v>
      </c>
      <c r="H1323" s="28" t="str">
        <f>VLOOKUP(E1323,'Cadastro Produtos (kiwkiw)'!C:E,3,0)</f>
        <v>Colar Ivy Prateado</v>
      </c>
      <c r="AB1323" s="33" t="s">
        <v>764</v>
      </c>
    </row>
    <row r="1324" spans="2:28" ht="15" customHeight="1" x14ac:dyDescent="0.4">
      <c r="C1324" s="34" t="s">
        <v>6</v>
      </c>
      <c r="D1324" s="35">
        <v>45882</v>
      </c>
      <c r="E1324" s="51" t="s">
        <v>117</v>
      </c>
      <c r="F1324" s="33">
        <v>1</v>
      </c>
      <c r="G1324" s="27">
        <f t="shared" si="26"/>
        <v>-1</v>
      </c>
      <c r="H1324" s="28" t="str">
        <f>VLOOKUP(E1324,'Cadastro Produtos (kiwkiw)'!C:E,3,0)</f>
        <v>Gargantilha Minimal Banho Ouro</v>
      </c>
      <c r="AB1324" s="33" t="s">
        <v>765</v>
      </c>
    </row>
    <row r="1325" spans="2:28" ht="15" customHeight="1" x14ac:dyDescent="0.4">
      <c r="C1325" s="34" t="s">
        <v>6</v>
      </c>
      <c r="D1325" s="35">
        <v>45882</v>
      </c>
      <c r="E1325" s="51" t="s">
        <v>117</v>
      </c>
      <c r="F1325" s="33">
        <v>1</v>
      </c>
      <c r="G1325" s="27">
        <f t="shared" si="26"/>
        <v>-1</v>
      </c>
      <c r="H1325" s="28" t="str">
        <f>VLOOKUP(E1325,'Cadastro Produtos (kiwkiw)'!C:E,3,0)</f>
        <v>Gargantilha Minimal Banho Ouro</v>
      </c>
      <c r="AB1325" s="33" t="s">
        <v>766</v>
      </c>
    </row>
    <row r="1326" spans="2:28" ht="15" customHeight="1" x14ac:dyDescent="0.4">
      <c r="B1326" s="43">
        <v>45884.42392361111</v>
      </c>
      <c r="C1326" s="34" t="s">
        <v>6</v>
      </c>
      <c r="D1326" s="35">
        <v>45884</v>
      </c>
      <c r="E1326" s="51" t="s">
        <v>59</v>
      </c>
      <c r="F1326" s="33">
        <v>1</v>
      </c>
      <c r="G1326" s="27">
        <f t="shared" si="26"/>
        <v>-1</v>
      </c>
      <c r="H1326" s="28" t="str">
        <f>VLOOKUP(E1326,'Cadastro Produtos (kiwkiw)'!C:E,3,0)</f>
        <v>Brinco Oncinha Banho Ouro</v>
      </c>
      <c r="AB1326" s="33" t="s">
        <v>767</v>
      </c>
    </row>
    <row r="1327" spans="2:28" ht="15" customHeight="1" x14ac:dyDescent="0.4">
      <c r="C1327" s="34" t="s">
        <v>6</v>
      </c>
      <c r="D1327" s="35">
        <v>45884</v>
      </c>
      <c r="E1327" s="51" t="s">
        <v>117</v>
      </c>
      <c r="F1327" s="33">
        <v>1</v>
      </c>
      <c r="G1327" s="27">
        <f t="shared" si="26"/>
        <v>-1</v>
      </c>
      <c r="H1327" s="28" t="str">
        <f>VLOOKUP(E1327,'Cadastro Produtos (kiwkiw)'!C:E,3,0)</f>
        <v>Gargantilha Minimal Banho Ouro</v>
      </c>
      <c r="AB1327" s="33" t="s">
        <v>768</v>
      </c>
    </row>
    <row r="1328" spans="2:28" ht="15" customHeight="1" x14ac:dyDescent="0.4">
      <c r="B1328" s="43">
        <v>45887.425219907411</v>
      </c>
      <c r="C1328" s="34" t="s">
        <v>6</v>
      </c>
      <c r="D1328" s="35">
        <v>45887</v>
      </c>
      <c r="E1328" s="51" t="s">
        <v>117</v>
      </c>
      <c r="F1328" s="33">
        <v>1</v>
      </c>
      <c r="G1328" s="27">
        <f t="shared" si="26"/>
        <v>-1</v>
      </c>
      <c r="H1328" s="28" t="str">
        <f>VLOOKUP(E1328,'Cadastro Produtos (kiwkiw)'!C:E,3,0)</f>
        <v>Gargantilha Minimal Banho Ouro</v>
      </c>
      <c r="AB1328" s="33" t="s">
        <v>769</v>
      </c>
    </row>
    <row r="1329" spans="2:28" ht="15" customHeight="1" x14ac:dyDescent="0.4">
      <c r="B1329" s="43">
        <v>45888.749652777777</v>
      </c>
      <c r="C1329" s="34" t="s">
        <v>5</v>
      </c>
      <c r="D1329" s="35">
        <v>45885</v>
      </c>
      <c r="E1329" s="51" t="s">
        <v>89</v>
      </c>
      <c r="F1329" s="33">
        <v>1</v>
      </c>
      <c r="G1329" s="27">
        <f t="shared" si="26"/>
        <v>1</v>
      </c>
      <c r="H1329" s="28" t="str">
        <f>VLOOKUP(E1329,'Cadastro Produtos (kiwkiw)'!C:E,3,0)</f>
        <v>Colar Dot Banho Ouro</v>
      </c>
      <c r="AB1329" s="33" t="s">
        <v>835</v>
      </c>
    </row>
    <row r="1330" spans="2:28" ht="15" customHeight="1" x14ac:dyDescent="0.4">
      <c r="C1330" s="34" t="s">
        <v>5</v>
      </c>
      <c r="D1330" s="35">
        <v>45885</v>
      </c>
      <c r="E1330" s="51" t="s">
        <v>770</v>
      </c>
      <c r="F1330" s="33">
        <v>7</v>
      </c>
      <c r="G1330" s="27">
        <f t="shared" si="26"/>
        <v>7</v>
      </c>
      <c r="H1330" s="28" t="str">
        <f>VLOOKUP(E1330,'Cadastro Produtos (kiwkiw)'!C:E,3,0)</f>
        <v>Colar Fita Maxi Medalha Banho Ouro</v>
      </c>
      <c r="AB1330" s="33" t="s">
        <v>835</v>
      </c>
    </row>
    <row r="1331" spans="2:28" ht="15" customHeight="1" x14ac:dyDescent="0.4">
      <c r="C1331" s="34" t="s">
        <v>5</v>
      </c>
      <c r="D1331" s="35">
        <v>45885</v>
      </c>
      <c r="E1331" s="51" t="s">
        <v>771</v>
      </c>
      <c r="F1331" s="33">
        <v>9</v>
      </c>
      <c r="G1331" s="27">
        <f t="shared" si="26"/>
        <v>9</v>
      </c>
      <c r="H1331" s="28" t="str">
        <f>VLOOKUP(E1331,'Cadastro Produtos (kiwkiw)'!C:E,3,0)</f>
        <v>Brinco Organico Prateado</v>
      </c>
      <c r="AB1331" s="33" t="s">
        <v>835</v>
      </c>
    </row>
    <row r="1332" spans="2:28" ht="15" customHeight="1" x14ac:dyDescent="0.4">
      <c r="C1332" s="34" t="s">
        <v>5</v>
      </c>
      <c r="D1332" s="35">
        <v>45885</v>
      </c>
      <c r="E1332" s="51" t="s">
        <v>772</v>
      </c>
      <c r="F1332" s="33">
        <v>10</v>
      </c>
      <c r="G1332" s="27">
        <f t="shared" si="26"/>
        <v>10</v>
      </c>
      <c r="H1332" s="28" t="str">
        <f>VLOOKUP(E1332,'Cadastro Produtos (kiwkiw)'!C:E,3,0)</f>
        <v>Argolinha Click Bambu Prateada</v>
      </c>
      <c r="AB1332" s="33" t="s">
        <v>835</v>
      </c>
    </row>
    <row r="1333" spans="2:28" ht="15" customHeight="1" x14ac:dyDescent="0.4">
      <c r="C1333" s="34" t="s">
        <v>5</v>
      </c>
      <c r="D1333" s="35">
        <v>45885</v>
      </c>
      <c r="E1333" s="51" t="s">
        <v>773</v>
      </c>
      <c r="F1333" s="33">
        <v>10</v>
      </c>
      <c r="G1333" s="27">
        <f t="shared" si="26"/>
        <v>10</v>
      </c>
      <c r="H1333" s="28" t="str">
        <f>VLOOKUP(E1333,'Cadastro Produtos (kiwkiw)'!C:E,3,0)</f>
        <v>Brinco Boho Prateado</v>
      </c>
      <c r="AB1333" s="33" t="s">
        <v>835</v>
      </c>
    </row>
    <row r="1334" spans="2:28" ht="15" customHeight="1" x14ac:dyDescent="0.4">
      <c r="C1334" s="34" t="s">
        <v>5</v>
      </c>
      <c r="D1334" s="35">
        <v>45885</v>
      </c>
      <c r="E1334" s="51" t="s">
        <v>774</v>
      </c>
      <c r="F1334" s="33">
        <v>10</v>
      </c>
      <c r="G1334" s="27">
        <f t="shared" si="26"/>
        <v>10</v>
      </c>
      <c r="H1334" s="28" t="str">
        <f>VLOOKUP(E1334,'Cadastro Produtos (kiwkiw)'!C:E,3,0)</f>
        <v>Brinco Leque Prateado</v>
      </c>
      <c r="AB1334" s="33" t="s">
        <v>835</v>
      </c>
    </row>
    <row r="1335" spans="2:28" ht="15" customHeight="1" x14ac:dyDescent="0.4">
      <c r="C1335" s="34" t="s">
        <v>5</v>
      </c>
      <c r="D1335" s="35">
        <v>45885</v>
      </c>
      <c r="E1335" s="51" t="s">
        <v>775</v>
      </c>
      <c r="F1335" s="33">
        <v>10</v>
      </c>
      <c r="G1335" s="27">
        <f t="shared" si="26"/>
        <v>10</v>
      </c>
      <c r="H1335" s="28" t="str">
        <f>VLOOKUP(E1335,'Cadastro Produtos (kiwkiw)'!C:E,3,0)</f>
        <v>Ear Hook Organico Prateado</v>
      </c>
      <c r="AB1335" s="33" t="s">
        <v>835</v>
      </c>
    </row>
    <row r="1336" spans="2:28" ht="15" customHeight="1" x14ac:dyDescent="0.4">
      <c r="C1336" s="34" t="s">
        <v>5</v>
      </c>
      <c r="D1336" s="35">
        <v>45885</v>
      </c>
      <c r="E1336" s="51" t="s">
        <v>776</v>
      </c>
      <c r="F1336" s="33">
        <v>10</v>
      </c>
      <c r="G1336" s="27">
        <f t="shared" si="26"/>
        <v>10</v>
      </c>
      <c r="H1336" s="28" t="str">
        <f>VLOOKUP(E1336,'Cadastro Produtos (kiwkiw)'!C:E,3,0)</f>
        <v>Gargantilha Groumet Prateada</v>
      </c>
      <c r="AB1336" s="33" t="s">
        <v>835</v>
      </c>
    </row>
    <row r="1337" spans="2:28" ht="15" customHeight="1" x14ac:dyDescent="0.4">
      <c r="C1337" s="34" t="s">
        <v>5</v>
      </c>
      <c r="D1337" s="35">
        <v>45885</v>
      </c>
      <c r="E1337" s="51" t="s">
        <v>777</v>
      </c>
      <c r="F1337" s="33">
        <v>10</v>
      </c>
      <c r="G1337" s="27">
        <f t="shared" si="26"/>
        <v>10</v>
      </c>
      <c r="H1337" s="28" t="str">
        <f>VLOOKUP(E1337,'Cadastro Produtos (kiwkiw)'!C:E,3,0)</f>
        <v>Gargantilha Line Prateada</v>
      </c>
      <c r="AB1337" s="33" t="s">
        <v>835</v>
      </c>
    </row>
    <row r="1338" spans="2:28" ht="15" customHeight="1" x14ac:dyDescent="0.4">
      <c r="C1338" s="34" t="s">
        <v>5</v>
      </c>
      <c r="D1338" s="35">
        <v>45885</v>
      </c>
      <c r="E1338" s="51" t="s">
        <v>778</v>
      </c>
      <c r="F1338" s="33">
        <v>10</v>
      </c>
      <c r="G1338" s="27">
        <f t="shared" si="26"/>
        <v>10</v>
      </c>
      <c r="H1338" s="28" t="str">
        <f>VLOOKUP(E1338,'Cadastro Produtos (kiwkiw)'!C:E,3,0)</f>
        <v>Piercing Fake No Prateado</v>
      </c>
      <c r="AB1338" s="33" t="s">
        <v>835</v>
      </c>
    </row>
    <row r="1339" spans="2:28" ht="15" customHeight="1" x14ac:dyDescent="0.4">
      <c r="C1339" s="34" t="s">
        <v>5</v>
      </c>
      <c r="D1339" s="35">
        <v>45885</v>
      </c>
      <c r="E1339" s="51" t="s">
        <v>779</v>
      </c>
      <c r="F1339" s="33">
        <v>10</v>
      </c>
      <c r="G1339" s="27">
        <f t="shared" si="26"/>
        <v>10</v>
      </c>
      <c r="H1339" s="28" t="str">
        <f>VLOOKUP(E1339,'Cadastro Produtos (kiwkiw)'!C:E,3,0)</f>
        <v>Pulseira Fita 3mm Prateada</v>
      </c>
      <c r="AB1339" s="33" t="s">
        <v>835</v>
      </c>
    </row>
    <row r="1340" spans="2:28" ht="15" customHeight="1" x14ac:dyDescent="0.4">
      <c r="C1340" s="34" t="s">
        <v>5</v>
      </c>
      <c r="D1340" s="35">
        <v>45885</v>
      </c>
      <c r="E1340" s="51" t="s">
        <v>95</v>
      </c>
      <c r="F1340" s="33">
        <v>10</v>
      </c>
      <c r="G1340" s="27">
        <f t="shared" si="26"/>
        <v>10</v>
      </c>
      <c r="H1340" s="28" t="str">
        <f>VLOOKUP(E1340,'Cadastro Produtos (kiwkiw)'!C:E,3,0)</f>
        <v>Colar Duplo Dots Prateado</v>
      </c>
      <c r="AB1340" s="33" t="s">
        <v>835</v>
      </c>
    </row>
    <row r="1341" spans="2:28" ht="15" customHeight="1" x14ac:dyDescent="0.4">
      <c r="C1341" s="34" t="s">
        <v>5</v>
      </c>
      <c r="D1341" s="35">
        <v>45885</v>
      </c>
      <c r="E1341" s="51" t="s">
        <v>780</v>
      </c>
      <c r="F1341" s="33">
        <v>11</v>
      </c>
      <c r="G1341" s="27">
        <f t="shared" si="26"/>
        <v>11</v>
      </c>
      <c r="H1341" s="28" t="str">
        <f>VLOOKUP(E1341,'Cadastro Produtos (kiwkiw)'!C:E,3,0)</f>
        <v>Gargantilha Crystal Banho Ouro</v>
      </c>
      <c r="AB1341" s="33" t="s">
        <v>835</v>
      </c>
    </row>
    <row r="1342" spans="2:28" ht="15" customHeight="1" x14ac:dyDescent="0.4">
      <c r="C1342" s="34" t="s">
        <v>5</v>
      </c>
      <c r="D1342" s="35">
        <v>45885</v>
      </c>
      <c r="E1342" s="51" t="s">
        <v>781</v>
      </c>
      <c r="F1342" s="33">
        <v>13</v>
      </c>
      <c r="G1342" s="27">
        <f t="shared" si="26"/>
        <v>13</v>
      </c>
      <c r="H1342" s="28" t="str">
        <f>VLOOKUP(E1342,'Cadastro Produtos (kiwkiw)'!C:E,3,0)</f>
        <v>Brinco Palito Prateado</v>
      </c>
      <c r="AB1342" s="33" t="s">
        <v>835</v>
      </c>
    </row>
    <row r="1343" spans="2:28" ht="15" customHeight="1" x14ac:dyDescent="0.4">
      <c r="C1343" s="34" t="s">
        <v>5</v>
      </c>
      <c r="D1343" s="35">
        <v>45885</v>
      </c>
      <c r="E1343" s="51" t="s">
        <v>782</v>
      </c>
      <c r="F1343" s="33">
        <v>13</v>
      </c>
      <c r="G1343" s="27">
        <f t="shared" si="26"/>
        <v>13</v>
      </c>
      <c r="H1343" s="28" t="str">
        <f>VLOOKUP(E1343,'Cadastro Produtos (kiwkiw)'!C:E,3,0)</f>
        <v>Pulseira Chain Banho Ouro</v>
      </c>
      <c r="AB1343" s="33" t="s">
        <v>835</v>
      </c>
    </row>
    <row r="1344" spans="2:28" ht="15" customHeight="1" x14ac:dyDescent="0.4">
      <c r="B1344" s="43"/>
      <c r="C1344" s="34" t="s">
        <v>5</v>
      </c>
      <c r="D1344" s="35">
        <v>45885</v>
      </c>
      <c r="E1344" s="51" t="s">
        <v>783</v>
      </c>
      <c r="F1344" s="33">
        <v>14</v>
      </c>
      <c r="G1344" s="27">
        <f t="shared" si="26"/>
        <v>14</v>
      </c>
      <c r="H1344" s="28" t="str">
        <f>VLOOKUP(E1344,'Cadastro Produtos (kiwkiw)'!C:E,3,0)</f>
        <v>Bracelete Dots Banho Ouro</v>
      </c>
      <c r="AB1344" s="33" t="s">
        <v>835</v>
      </c>
    </row>
    <row r="1345" spans="2:28" ht="15" customHeight="1" x14ac:dyDescent="0.4">
      <c r="C1345" s="34" t="s">
        <v>5</v>
      </c>
      <c r="D1345" s="35">
        <v>45885</v>
      </c>
      <c r="E1345" s="51" t="s">
        <v>784</v>
      </c>
      <c r="F1345" s="33">
        <v>14</v>
      </c>
      <c r="G1345" s="27">
        <f t="shared" si="26"/>
        <v>14</v>
      </c>
      <c r="H1345" s="28" t="str">
        <f>VLOOKUP(E1345,'Cadastro Produtos (kiwkiw)'!C:E,3,0)</f>
        <v>Brinco Drop G Banho Ouro</v>
      </c>
      <c r="AB1345" s="33" t="s">
        <v>835</v>
      </c>
    </row>
    <row r="1346" spans="2:28" ht="15" customHeight="1" x14ac:dyDescent="0.4">
      <c r="B1346" s="43"/>
      <c r="C1346" s="34" t="s">
        <v>5</v>
      </c>
      <c r="D1346" s="35">
        <v>45885</v>
      </c>
      <c r="E1346" s="51" t="s">
        <v>785</v>
      </c>
      <c r="F1346" s="33">
        <v>14</v>
      </c>
      <c r="G1346" s="27">
        <f t="shared" si="26"/>
        <v>14</v>
      </c>
      <c r="H1346" s="28" t="str">
        <f>VLOOKUP(E1346,'Cadastro Produtos (kiwkiw)'!C:E,3,0)</f>
        <v>Colar Gravatinha Banho Ouro</v>
      </c>
      <c r="AB1346" s="33" t="s">
        <v>835</v>
      </c>
    </row>
    <row r="1347" spans="2:28" ht="15" customHeight="1" x14ac:dyDescent="0.4">
      <c r="C1347" s="34" t="s">
        <v>5</v>
      </c>
      <c r="D1347" s="35">
        <v>45885</v>
      </c>
      <c r="E1347" s="51" t="s">
        <v>786</v>
      </c>
      <c r="F1347" s="33">
        <v>14</v>
      </c>
      <c r="G1347" s="27">
        <f t="shared" si="26"/>
        <v>14</v>
      </c>
      <c r="H1347" s="28" t="str">
        <f>VLOOKUP(E1347,'Cadastro Produtos (kiwkiw)'!C:E,3,0)</f>
        <v>Colar Sao Bento Banho Ouro</v>
      </c>
      <c r="AB1347" s="33" t="s">
        <v>835</v>
      </c>
    </row>
    <row r="1348" spans="2:28" ht="15" customHeight="1" x14ac:dyDescent="0.4">
      <c r="B1348" s="43"/>
      <c r="C1348" s="34" t="s">
        <v>5</v>
      </c>
      <c r="D1348" s="35">
        <v>45885</v>
      </c>
      <c r="E1348" s="51" t="s">
        <v>787</v>
      </c>
      <c r="F1348" s="33">
        <v>14</v>
      </c>
      <c r="G1348" s="27">
        <f t="shared" si="26"/>
        <v>14</v>
      </c>
      <c r="H1348" s="28" t="str">
        <f>VLOOKUP(E1348,'Cadastro Produtos (kiwkiw)'!C:E,3,0)</f>
        <v>Ear Hook Encaixe Triplo Banho Ouro</v>
      </c>
      <c r="AB1348" s="33" t="s">
        <v>835</v>
      </c>
    </row>
    <row r="1349" spans="2:28" ht="15" customHeight="1" x14ac:dyDescent="0.4">
      <c r="C1349" s="34" t="s">
        <v>5</v>
      </c>
      <c r="D1349" s="35">
        <v>45885</v>
      </c>
      <c r="E1349" s="51" t="s">
        <v>788</v>
      </c>
      <c r="F1349" s="33">
        <v>16</v>
      </c>
      <c r="G1349" s="27">
        <f t="shared" si="26"/>
        <v>16</v>
      </c>
      <c r="H1349" s="28" t="str">
        <f>VLOOKUP(E1349,'Cadastro Produtos (kiwkiw)'!C:E,3,0)</f>
        <v>Brinco Organico Banho Ouro</v>
      </c>
      <c r="AB1349" s="33" t="s">
        <v>835</v>
      </c>
    </row>
    <row r="1350" spans="2:28" ht="15" customHeight="1" x14ac:dyDescent="0.4">
      <c r="C1350" s="34" t="s">
        <v>5</v>
      </c>
      <c r="D1350" s="35">
        <v>45885</v>
      </c>
      <c r="E1350" s="51" t="s">
        <v>72</v>
      </c>
      <c r="F1350" s="33">
        <v>16</v>
      </c>
      <c r="G1350" s="27">
        <f t="shared" si="26"/>
        <v>16</v>
      </c>
      <c r="H1350" s="28" t="str">
        <f>VLOOKUP(E1350,'Cadastro Produtos (kiwkiw)'!C:E,3,0)</f>
        <v>Ear Hook Line Banho Ouro</v>
      </c>
      <c r="AB1350" s="33" t="s">
        <v>835</v>
      </c>
    </row>
    <row r="1351" spans="2:28" ht="15" customHeight="1" x14ac:dyDescent="0.4">
      <c r="C1351" s="34" t="s">
        <v>5</v>
      </c>
      <c r="D1351" s="35">
        <v>45885</v>
      </c>
      <c r="E1351" s="51" t="s">
        <v>789</v>
      </c>
      <c r="F1351" s="33">
        <v>17</v>
      </c>
      <c r="G1351" s="27">
        <f t="shared" si="26"/>
        <v>17</v>
      </c>
      <c r="H1351" s="28" t="str">
        <f>VLOOKUP(E1351,'Cadastro Produtos (kiwkiw)'!C:E,3,0)</f>
        <v>Brinco Flor Gardenia Banho Ouro</v>
      </c>
      <c r="AB1351" s="33" t="s">
        <v>835</v>
      </c>
    </row>
    <row r="1352" spans="2:28" ht="15" customHeight="1" x14ac:dyDescent="0.4">
      <c r="C1352" s="34" t="s">
        <v>5</v>
      </c>
      <c r="D1352" s="35">
        <v>45885</v>
      </c>
      <c r="E1352" s="51" t="s">
        <v>790</v>
      </c>
      <c r="F1352" s="33">
        <v>17</v>
      </c>
      <c r="G1352" s="27">
        <f t="shared" si="26"/>
        <v>17</v>
      </c>
      <c r="H1352" s="28" t="str">
        <f>VLOOKUP(E1352,'Cadastro Produtos (kiwkiw)'!C:E,3,0)</f>
        <v>Brinco Pimentinha Banho Ouro</v>
      </c>
      <c r="AB1352" s="33" t="s">
        <v>835</v>
      </c>
    </row>
    <row r="1353" spans="2:28" ht="15" customHeight="1" x14ac:dyDescent="0.4">
      <c r="C1353" s="34" t="s">
        <v>5</v>
      </c>
      <c r="D1353" s="35">
        <v>45885</v>
      </c>
      <c r="E1353" s="51" t="s">
        <v>791</v>
      </c>
      <c r="F1353" s="33">
        <v>17</v>
      </c>
      <c r="G1353" s="27">
        <f t="shared" si="26"/>
        <v>17</v>
      </c>
      <c r="H1353" s="28" t="str">
        <f>VLOOKUP(E1353,'Cadastro Produtos (kiwkiw)'!C:E,3,0)</f>
        <v>Colar Duplo Ponto de Luz Banho Ouro</v>
      </c>
      <c r="AB1353" s="33" t="s">
        <v>835</v>
      </c>
    </row>
    <row r="1354" spans="2:28" ht="15" customHeight="1" x14ac:dyDescent="0.4">
      <c r="C1354" s="34" t="s">
        <v>5</v>
      </c>
      <c r="D1354" s="35">
        <v>45885</v>
      </c>
      <c r="E1354" s="51" t="s">
        <v>792</v>
      </c>
      <c r="F1354" s="33">
        <v>17</v>
      </c>
      <c r="G1354" s="27">
        <f t="shared" si="26"/>
        <v>17</v>
      </c>
      <c r="H1354" s="28" t="str">
        <f>VLOOKUP(E1354,'Cadastro Produtos (kiwkiw)'!C:E,3,0)</f>
        <v>Colar Gardenia Banho Ouro</v>
      </c>
      <c r="AB1354" s="33" t="s">
        <v>835</v>
      </c>
    </row>
    <row r="1355" spans="2:28" ht="15" customHeight="1" x14ac:dyDescent="0.4">
      <c r="C1355" s="34" t="s">
        <v>5</v>
      </c>
      <c r="D1355" s="35">
        <v>45885</v>
      </c>
      <c r="E1355" s="51" t="s">
        <v>793</v>
      </c>
      <c r="F1355" s="33">
        <v>18</v>
      </c>
      <c r="G1355" s="27">
        <f t="shared" si="26"/>
        <v>18</v>
      </c>
      <c r="H1355" s="28" t="str">
        <f>VLOOKUP(E1355,'Cadastro Produtos (kiwkiw)'!C:E,3,0)</f>
        <v>Argolinha Click Bambu Banho Ouro</v>
      </c>
      <c r="AB1355" s="33" t="s">
        <v>835</v>
      </c>
    </row>
    <row r="1356" spans="2:28" ht="15" customHeight="1" x14ac:dyDescent="0.4">
      <c r="C1356" s="34" t="s">
        <v>5</v>
      </c>
      <c r="D1356" s="35">
        <v>45885</v>
      </c>
      <c r="E1356" s="51" t="s">
        <v>794</v>
      </c>
      <c r="F1356" s="33">
        <v>18</v>
      </c>
      <c r="G1356" s="27">
        <f t="shared" si="26"/>
        <v>18</v>
      </c>
      <c r="H1356" s="28" t="str">
        <f>VLOOKUP(E1356,'Cadastro Produtos (kiwkiw)'!C:E,3,0)</f>
        <v>Brinco Maxi Disco 2 em 1 Banho Ouro</v>
      </c>
      <c r="AB1356" s="33" t="s">
        <v>835</v>
      </c>
    </row>
    <row r="1357" spans="2:28" ht="15" customHeight="1" x14ac:dyDescent="0.4">
      <c r="C1357" s="34" t="s">
        <v>5</v>
      </c>
      <c r="D1357" s="35">
        <v>45885</v>
      </c>
      <c r="E1357" s="51" t="s">
        <v>795</v>
      </c>
      <c r="F1357" s="33">
        <v>18</v>
      </c>
      <c r="G1357" s="27">
        <f t="shared" si="26"/>
        <v>18</v>
      </c>
      <c r="H1357" s="28" t="str">
        <f>VLOOKUP(E1357,'Cadastro Produtos (kiwkiw)'!C:E,3,0)</f>
        <v>Colar Boho Diamantado Banho Ouro</v>
      </c>
      <c r="AB1357" s="33" t="s">
        <v>835</v>
      </c>
    </row>
    <row r="1358" spans="2:28" ht="15" customHeight="1" x14ac:dyDescent="0.4">
      <c r="C1358" s="34" t="s">
        <v>5</v>
      </c>
      <c r="D1358" s="35">
        <v>45885</v>
      </c>
      <c r="E1358" s="51" t="s">
        <v>796</v>
      </c>
      <c r="F1358" s="33">
        <v>18</v>
      </c>
      <c r="G1358" s="27">
        <f t="shared" si="26"/>
        <v>18</v>
      </c>
      <c r="H1358" s="28" t="str">
        <f>VLOOKUP(E1358,'Cadastro Produtos (kiwkiw)'!C:E,3,0)</f>
        <v>Colar Longo Minimal Banho Ouro</v>
      </c>
      <c r="AB1358" s="33" t="s">
        <v>835</v>
      </c>
    </row>
    <row r="1359" spans="2:28" ht="15" customHeight="1" x14ac:dyDescent="0.4">
      <c r="C1359" s="34" t="s">
        <v>5</v>
      </c>
      <c r="D1359" s="35">
        <v>45885</v>
      </c>
      <c r="E1359" s="51" t="s">
        <v>797</v>
      </c>
      <c r="F1359" s="33">
        <v>18</v>
      </c>
      <c r="G1359" s="27">
        <f t="shared" si="26"/>
        <v>18</v>
      </c>
      <c r="H1359" s="28" t="str">
        <f>VLOOKUP(E1359,'Cadastro Produtos (kiwkiw)'!C:E,3,0)</f>
        <v>Colar Ponto de Luz Banho Ouro</v>
      </c>
      <c r="AB1359" s="33" t="s">
        <v>835</v>
      </c>
    </row>
    <row r="1360" spans="2:28" ht="15" customHeight="1" x14ac:dyDescent="0.4">
      <c r="C1360" s="34" t="s">
        <v>5</v>
      </c>
      <c r="D1360" s="35">
        <v>45885</v>
      </c>
      <c r="E1360" s="51" t="s">
        <v>798</v>
      </c>
      <c r="F1360" s="33">
        <v>18</v>
      </c>
      <c r="G1360" s="27">
        <f t="shared" si="26"/>
        <v>18</v>
      </c>
      <c r="H1360" s="28" t="str">
        <f>VLOOKUP(E1360,'Cadastro Produtos (kiwkiw)'!C:E,3,0)</f>
        <v>Ear Hook Organico Banho Ouro</v>
      </c>
      <c r="AB1360" s="33" t="s">
        <v>835</v>
      </c>
    </row>
    <row r="1361" spans="2:28" ht="15" customHeight="1" x14ac:dyDescent="0.4">
      <c r="C1361" s="34" t="s">
        <v>5</v>
      </c>
      <c r="D1361" s="35">
        <v>45885</v>
      </c>
      <c r="E1361" s="51" t="s">
        <v>799</v>
      </c>
      <c r="F1361" s="33">
        <v>18</v>
      </c>
      <c r="G1361" s="27">
        <f t="shared" ref="G1361:G1424" si="27">IF(C1361="Entrada",F1361,-F1361)</f>
        <v>18</v>
      </c>
      <c r="H1361" s="28" t="str">
        <f>VLOOKUP(E1361,'Cadastro Produtos (kiwkiw)'!C:E,3,0)</f>
        <v>Gargantilha Fita Textura Banho Ouro</v>
      </c>
      <c r="AB1361" s="33" t="s">
        <v>835</v>
      </c>
    </row>
    <row r="1362" spans="2:28" ht="15" customHeight="1" x14ac:dyDescent="0.4">
      <c r="C1362" s="34" t="s">
        <v>5</v>
      </c>
      <c r="D1362" s="35">
        <v>45885</v>
      </c>
      <c r="E1362" s="51" t="s">
        <v>800</v>
      </c>
      <c r="F1362" s="33">
        <v>17</v>
      </c>
      <c r="G1362" s="27">
        <f t="shared" si="27"/>
        <v>17</v>
      </c>
      <c r="H1362" s="28" t="str">
        <f>VLOOKUP(E1362,'Cadastro Produtos (kiwkiw)'!C:E,3,0)</f>
        <v>Gargantilha Groumet Banho Ouro</v>
      </c>
      <c r="I1362" s="32" t="s">
        <v>905</v>
      </c>
      <c r="AB1362" s="33" t="s">
        <v>835</v>
      </c>
    </row>
    <row r="1363" spans="2:28" ht="15" customHeight="1" x14ac:dyDescent="0.4">
      <c r="C1363" s="34" t="s">
        <v>5</v>
      </c>
      <c r="D1363" s="35">
        <v>45885</v>
      </c>
      <c r="E1363" s="51" t="s">
        <v>801</v>
      </c>
      <c r="F1363" s="33">
        <v>18</v>
      </c>
      <c r="G1363" s="27">
        <f t="shared" si="27"/>
        <v>18</v>
      </c>
      <c r="H1363" s="28" t="str">
        <f>VLOOKUP(E1363,'Cadastro Produtos (kiwkiw)'!C:E,3,0)</f>
        <v>Gargantilha Line Banho Ouro</v>
      </c>
      <c r="AB1363" s="33" t="s">
        <v>835</v>
      </c>
    </row>
    <row r="1364" spans="2:28" ht="15" customHeight="1" x14ac:dyDescent="0.4">
      <c r="C1364" s="34" t="s">
        <v>5</v>
      </c>
      <c r="D1364" s="35">
        <v>45885</v>
      </c>
      <c r="E1364" s="51" t="s">
        <v>802</v>
      </c>
      <c r="F1364" s="33">
        <v>18</v>
      </c>
      <c r="G1364" s="27">
        <f t="shared" si="27"/>
        <v>18</v>
      </c>
      <c r="H1364" s="28" t="str">
        <f>VLOOKUP(E1364,'Cadastro Produtos (kiwkiw)'!C:E,3,0)</f>
        <v>Piercing Fake No Banho Ouro</v>
      </c>
      <c r="AB1364" s="33" t="s">
        <v>835</v>
      </c>
    </row>
    <row r="1365" spans="2:28" ht="15" customHeight="1" x14ac:dyDescent="0.4">
      <c r="C1365" s="34" t="s">
        <v>5</v>
      </c>
      <c r="D1365" s="35">
        <v>45885</v>
      </c>
      <c r="E1365" s="51" t="s">
        <v>803</v>
      </c>
      <c r="F1365" s="33">
        <v>18</v>
      </c>
      <c r="G1365" s="27">
        <f t="shared" si="27"/>
        <v>18</v>
      </c>
      <c r="H1365" s="28" t="str">
        <f>VLOOKUP(E1365,'Cadastro Produtos (kiwkiw)'!C:E,3,0)</f>
        <v>Pulseira Fita 3mm Banho Ouro</v>
      </c>
      <c r="AB1365" s="33" t="s">
        <v>835</v>
      </c>
    </row>
    <row r="1366" spans="2:28" ht="15" customHeight="1" x14ac:dyDescent="0.4">
      <c r="C1366" s="34" t="s">
        <v>5</v>
      </c>
      <c r="D1366" s="35">
        <v>45885</v>
      </c>
      <c r="E1366" s="51" t="s">
        <v>26</v>
      </c>
      <c r="F1366" s="33">
        <v>18</v>
      </c>
      <c r="G1366" s="27">
        <f t="shared" si="27"/>
        <v>18</v>
      </c>
      <c r="H1366" s="28" t="str">
        <f>VLOOKUP(E1366,'Cadastro Produtos (kiwkiw)'!C:E,3,0)</f>
        <v>Argola Click Grande Banho Ouro</v>
      </c>
      <c r="AB1366" s="33" t="s">
        <v>835</v>
      </c>
    </row>
    <row r="1367" spans="2:28" ht="15" customHeight="1" x14ac:dyDescent="0.4">
      <c r="C1367" s="34" t="s">
        <v>5</v>
      </c>
      <c r="D1367" s="35">
        <v>45885</v>
      </c>
      <c r="E1367" s="51" t="s">
        <v>804</v>
      </c>
      <c r="F1367" s="33">
        <v>19</v>
      </c>
      <c r="G1367" s="27">
        <f t="shared" si="27"/>
        <v>19</v>
      </c>
      <c r="H1367" s="28" t="str">
        <f>VLOOKUP(E1367,'Cadastro Produtos (kiwkiw)'!C:E,3,0)</f>
        <v>Anel Drop Banho Ouro</v>
      </c>
      <c r="AB1367" s="33" t="s">
        <v>835</v>
      </c>
    </row>
    <row r="1368" spans="2:28" ht="15" customHeight="1" x14ac:dyDescent="0.4">
      <c r="C1368" s="34" t="s">
        <v>5</v>
      </c>
      <c r="D1368" s="35">
        <v>45885</v>
      </c>
      <c r="E1368" s="51" t="s">
        <v>805</v>
      </c>
      <c r="F1368" s="33">
        <v>19</v>
      </c>
      <c r="G1368" s="27">
        <f t="shared" si="27"/>
        <v>19</v>
      </c>
      <c r="H1368" s="28" t="str">
        <f>VLOOKUP(E1368,'Cadastro Produtos (kiwkiw)'!C:E,3,0)</f>
        <v>Anel No Banho Ouro</v>
      </c>
      <c r="AB1368" s="33" t="s">
        <v>835</v>
      </c>
    </row>
    <row r="1369" spans="2:28" ht="15" customHeight="1" x14ac:dyDescent="0.4">
      <c r="B1369" s="43"/>
      <c r="C1369" s="34" t="s">
        <v>5</v>
      </c>
      <c r="D1369" s="35">
        <v>45885</v>
      </c>
      <c r="E1369" s="51" t="s">
        <v>806</v>
      </c>
      <c r="F1369" s="33">
        <v>19</v>
      </c>
      <c r="G1369" s="27">
        <f t="shared" si="27"/>
        <v>19</v>
      </c>
      <c r="H1369" s="28" t="str">
        <f>VLOOKUP(E1369,'Cadastro Produtos (kiwkiw)'!C:E,3,0)</f>
        <v>Anel Roll Banho Ouro</v>
      </c>
      <c r="AB1369" s="33" t="s">
        <v>835</v>
      </c>
    </row>
    <row r="1370" spans="2:28" ht="15" customHeight="1" x14ac:dyDescent="0.4">
      <c r="C1370" s="34" t="s">
        <v>5</v>
      </c>
      <c r="D1370" s="35">
        <v>45885</v>
      </c>
      <c r="E1370" s="51" t="s">
        <v>807</v>
      </c>
      <c r="F1370" s="33">
        <v>19</v>
      </c>
      <c r="G1370" s="27">
        <f t="shared" si="27"/>
        <v>19</v>
      </c>
      <c r="H1370" s="28" t="str">
        <f>VLOOKUP(E1370,'Cadastro Produtos (kiwkiw)'!C:E,3,0)</f>
        <v>Argolinha Pepita Banho Ouro</v>
      </c>
      <c r="AB1370" s="33" t="s">
        <v>835</v>
      </c>
    </row>
    <row r="1371" spans="2:28" ht="15" customHeight="1" x14ac:dyDescent="0.4">
      <c r="C1371" s="34" t="s">
        <v>5</v>
      </c>
      <c r="D1371" s="35">
        <v>45885</v>
      </c>
      <c r="E1371" s="51" t="s">
        <v>808</v>
      </c>
      <c r="F1371" s="33">
        <v>19</v>
      </c>
      <c r="G1371" s="27">
        <f t="shared" si="27"/>
        <v>19</v>
      </c>
      <c r="H1371" s="28" t="str">
        <f>VLOOKUP(E1371,'Cadastro Produtos (kiwkiw)'!C:E,3,0)</f>
        <v>Bracelete Curves Banho Ouro</v>
      </c>
      <c r="AB1371" s="33" t="s">
        <v>835</v>
      </c>
    </row>
    <row r="1372" spans="2:28" ht="15" customHeight="1" x14ac:dyDescent="0.4">
      <c r="C1372" s="34" t="s">
        <v>5</v>
      </c>
      <c r="D1372" s="35">
        <v>45885</v>
      </c>
      <c r="E1372" s="51" t="s">
        <v>809</v>
      </c>
      <c r="F1372" s="33">
        <v>19</v>
      </c>
      <c r="G1372" s="27">
        <f t="shared" si="27"/>
        <v>19</v>
      </c>
      <c r="H1372" s="28" t="str">
        <f>VLOOKUP(E1372,'Cadastro Produtos (kiwkiw)'!C:E,3,0)</f>
        <v>Bracelete Roll Banho Ouro</v>
      </c>
      <c r="AB1372" s="33" t="s">
        <v>835</v>
      </c>
    </row>
    <row r="1373" spans="2:28" ht="15" customHeight="1" x14ac:dyDescent="0.4">
      <c r="C1373" s="34" t="s">
        <v>5</v>
      </c>
      <c r="D1373" s="35">
        <v>45885</v>
      </c>
      <c r="E1373" s="51" t="s">
        <v>810</v>
      </c>
      <c r="F1373" s="33">
        <v>19</v>
      </c>
      <c r="G1373" s="27">
        <f t="shared" si="27"/>
        <v>19</v>
      </c>
      <c r="H1373" s="28" t="str">
        <f>VLOOKUP(E1373,'Cadastro Produtos (kiwkiw)'!C:E,3,0)</f>
        <v>Brinco Disco Banho Ouro</v>
      </c>
      <c r="AB1373" s="33" t="s">
        <v>835</v>
      </c>
    </row>
    <row r="1374" spans="2:28" ht="15" customHeight="1" x14ac:dyDescent="0.4">
      <c r="C1374" s="34" t="s">
        <v>5</v>
      </c>
      <c r="D1374" s="35">
        <v>45885</v>
      </c>
      <c r="E1374" s="51" t="s">
        <v>811</v>
      </c>
      <c r="F1374" s="33">
        <v>19</v>
      </c>
      <c r="G1374" s="27">
        <f t="shared" si="27"/>
        <v>19</v>
      </c>
      <c r="H1374" s="28" t="str">
        <f>VLOOKUP(E1374,'Cadastro Produtos (kiwkiw)'!C:E,3,0)</f>
        <v>Brinco Drop P Banho Ouro</v>
      </c>
      <c r="AB1374" s="33" t="s">
        <v>835</v>
      </c>
    </row>
    <row r="1375" spans="2:28" ht="15" customHeight="1" x14ac:dyDescent="0.4">
      <c r="C1375" s="34" t="s">
        <v>5</v>
      </c>
      <c r="D1375" s="35">
        <v>45885</v>
      </c>
      <c r="E1375" s="51" t="s">
        <v>812</v>
      </c>
      <c r="F1375" s="33">
        <v>19</v>
      </c>
      <c r="G1375" s="27">
        <f t="shared" si="27"/>
        <v>19</v>
      </c>
      <c r="H1375" s="28" t="str">
        <f>VLOOKUP(E1375,'Cadastro Produtos (kiwkiw)'!C:E,3,0)</f>
        <v>Brinco Leque Banho Ouro</v>
      </c>
      <c r="AB1375" s="33" t="s">
        <v>835</v>
      </c>
    </row>
    <row r="1376" spans="2:28" ht="15" customHeight="1" x14ac:dyDescent="0.4">
      <c r="C1376" s="34" t="s">
        <v>5</v>
      </c>
      <c r="D1376" s="35">
        <v>45885</v>
      </c>
      <c r="E1376" s="51" t="s">
        <v>813</v>
      </c>
      <c r="F1376" s="33">
        <v>19</v>
      </c>
      <c r="G1376" s="27">
        <f t="shared" si="27"/>
        <v>19</v>
      </c>
      <c r="H1376" s="28" t="str">
        <f>VLOOKUP(E1376,'Cadastro Produtos (kiwkiw)'!C:E,3,0)</f>
        <v>Brinco Mini Arabesco Banho Ouro</v>
      </c>
      <c r="AB1376" s="33" t="s">
        <v>835</v>
      </c>
    </row>
    <row r="1377" spans="3:28" ht="15" customHeight="1" x14ac:dyDescent="0.4">
      <c r="C1377" s="34" t="s">
        <v>5</v>
      </c>
      <c r="D1377" s="35">
        <v>45885</v>
      </c>
      <c r="E1377" s="51" t="s">
        <v>814</v>
      </c>
      <c r="F1377" s="33">
        <v>19</v>
      </c>
      <c r="G1377" s="27">
        <f t="shared" si="27"/>
        <v>19</v>
      </c>
      <c r="H1377" s="28" t="str">
        <f>VLOOKUP(E1377,'Cadastro Produtos (kiwkiw)'!C:E,3,0)</f>
        <v>Brinco Ponto de Luz Banho Ouro</v>
      </c>
      <c r="AB1377" s="33" t="s">
        <v>835</v>
      </c>
    </row>
    <row r="1378" spans="3:28" ht="15" customHeight="1" x14ac:dyDescent="0.4">
      <c r="C1378" s="34" t="s">
        <v>5</v>
      </c>
      <c r="D1378" s="35">
        <v>45885</v>
      </c>
      <c r="E1378" s="51" t="s">
        <v>815</v>
      </c>
      <c r="F1378" s="33">
        <v>19</v>
      </c>
      <c r="G1378" s="27">
        <f t="shared" si="27"/>
        <v>19</v>
      </c>
      <c r="H1378" s="28" t="str">
        <f>VLOOKUP(E1378,'Cadastro Produtos (kiwkiw)'!C:E,3,0)</f>
        <v>Colar Boho Banho Ouro</v>
      </c>
      <c r="AB1378" s="33" t="s">
        <v>835</v>
      </c>
    </row>
    <row r="1379" spans="3:28" ht="15" customHeight="1" x14ac:dyDescent="0.4">
      <c r="C1379" s="34" t="s">
        <v>5</v>
      </c>
      <c r="D1379" s="35">
        <v>45885</v>
      </c>
      <c r="E1379" s="51" t="s">
        <v>816</v>
      </c>
      <c r="F1379" s="33">
        <v>19</v>
      </c>
      <c r="G1379" s="27">
        <f t="shared" si="27"/>
        <v>19</v>
      </c>
      <c r="H1379" s="28" t="str">
        <f>VLOOKUP(E1379,'Cadastro Produtos (kiwkiw)'!C:E,3,0)</f>
        <v>Colar Duplo Fita Banho Ouro</v>
      </c>
      <c r="AB1379" s="33" t="s">
        <v>835</v>
      </c>
    </row>
    <row r="1380" spans="3:28" ht="15" customHeight="1" x14ac:dyDescent="0.4">
      <c r="C1380" s="34" t="s">
        <v>5</v>
      </c>
      <c r="D1380" s="35">
        <v>45885</v>
      </c>
      <c r="E1380" s="51" t="s">
        <v>817</v>
      </c>
      <c r="F1380" s="33">
        <v>19</v>
      </c>
      <c r="G1380" s="27">
        <f t="shared" si="27"/>
        <v>19</v>
      </c>
      <c r="H1380" s="28" t="str">
        <f>VLOOKUP(E1380,'Cadastro Produtos (kiwkiw)'!C:E,3,0)</f>
        <v>Colar Longo Figa Banho Ouro</v>
      </c>
      <c r="AB1380" s="33" t="s">
        <v>835</v>
      </c>
    </row>
    <row r="1381" spans="3:28" ht="15" customHeight="1" x14ac:dyDescent="0.4">
      <c r="C1381" s="34" t="s">
        <v>5</v>
      </c>
      <c r="D1381" s="35">
        <v>45885</v>
      </c>
      <c r="E1381" s="51" t="s">
        <v>818</v>
      </c>
      <c r="F1381" s="33">
        <v>19</v>
      </c>
      <c r="G1381" s="27">
        <f t="shared" si="27"/>
        <v>19</v>
      </c>
      <c r="H1381" s="28" t="str">
        <f>VLOOKUP(E1381,'Cadastro Produtos (kiwkiw)'!C:E,3,0)</f>
        <v>Colar Longo Medalhinhas Banho Ouro</v>
      </c>
      <c r="AB1381" s="33" t="s">
        <v>835</v>
      </c>
    </row>
    <row r="1382" spans="3:28" ht="15" customHeight="1" x14ac:dyDescent="0.4">
      <c r="C1382" s="34" t="s">
        <v>5</v>
      </c>
      <c r="D1382" s="35">
        <v>45885</v>
      </c>
      <c r="E1382" s="51" t="s">
        <v>819</v>
      </c>
      <c r="F1382" s="33">
        <v>19</v>
      </c>
      <c r="G1382" s="27">
        <f t="shared" si="27"/>
        <v>19</v>
      </c>
      <c r="H1382" s="28" t="str">
        <f>VLOOKUP(E1382,'Cadastro Produtos (kiwkiw)'!C:E,3,0)</f>
        <v>Colar Pearl Fecho Frontal Banho Ouro</v>
      </c>
      <c r="AB1382" s="33" t="s">
        <v>835</v>
      </c>
    </row>
    <row r="1383" spans="3:28" ht="15" customHeight="1" x14ac:dyDescent="0.4">
      <c r="C1383" s="34" t="s">
        <v>5</v>
      </c>
      <c r="D1383" s="35">
        <v>45885</v>
      </c>
      <c r="E1383" s="51" t="s">
        <v>820</v>
      </c>
      <c r="F1383" s="33">
        <v>19</v>
      </c>
      <c r="G1383" s="27">
        <f t="shared" si="27"/>
        <v>19</v>
      </c>
      <c r="H1383" s="28" t="str">
        <f>VLOOKUP(E1383,'Cadastro Produtos (kiwkiw)'!C:E,3,0)</f>
        <v>Colar Sol Banho Ouro</v>
      </c>
      <c r="AB1383" s="33" t="s">
        <v>835</v>
      </c>
    </row>
    <row r="1384" spans="3:28" ht="15" customHeight="1" x14ac:dyDescent="0.4">
      <c r="C1384" s="34" t="s">
        <v>5</v>
      </c>
      <c r="D1384" s="35">
        <v>45885</v>
      </c>
      <c r="E1384" s="51" t="s">
        <v>821</v>
      </c>
      <c r="F1384" s="33">
        <v>19</v>
      </c>
      <c r="G1384" s="27">
        <f t="shared" si="27"/>
        <v>19</v>
      </c>
      <c r="H1384" s="28" t="str">
        <f>VLOOKUP(E1384,'Cadastro Produtos (kiwkiw)'!C:E,3,0)</f>
        <v>Ear Cuff Snake Banho Ouro</v>
      </c>
      <c r="AB1384" s="33" t="s">
        <v>835</v>
      </c>
    </row>
    <row r="1385" spans="3:28" ht="15" customHeight="1" x14ac:dyDescent="0.4">
      <c r="C1385" s="34" t="s">
        <v>5</v>
      </c>
      <c r="D1385" s="35">
        <v>45885</v>
      </c>
      <c r="E1385" s="51" t="s">
        <v>822</v>
      </c>
      <c r="F1385" s="33">
        <v>19</v>
      </c>
      <c r="G1385" s="27">
        <f t="shared" si="27"/>
        <v>19</v>
      </c>
      <c r="H1385" s="28" t="str">
        <f>VLOOKUP(E1385,'Cadastro Produtos (kiwkiw)'!C:E,3,0)</f>
        <v>Gargantilha Pearl Banho Ouro</v>
      </c>
      <c r="AB1385" s="33" t="s">
        <v>835</v>
      </c>
    </row>
    <row r="1386" spans="3:28" ht="15" customHeight="1" x14ac:dyDescent="0.4">
      <c r="C1386" s="34" t="s">
        <v>5</v>
      </c>
      <c r="D1386" s="35">
        <v>45885</v>
      </c>
      <c r="E1386" s="51" t="s">
        <v>823</v>
      </c>
      <c r="F1386" s="33">
        <v>19</v>
      </c>
      <c r="G1386" s="27">
        <f t="shared" si="27"/>
        <v>19</v>
      </c>
      <c r="H1386" s="28" t="str">
        <f>VLOOKUP(E1386,'Cadastro Produtos (kiwkiw)'!C:E,3,0)</f>
        <v>Meia Argola Wave Banho Ouro</v>
      </c>
      <c r="AB1386" s="33" t="s">
        <v>835</v>
      </c>
    </row>
    <row r="1387" spans="3:28" ht="15" customHeight="1" x14ac:dyDescent="0.4">
      <c r="C1387" s="34" t="s">
        <v>5</v>
      </c>
      <c r="D1387" s="35">
        <v>45885</v>
      </c>
      <c r="E1387" s="51" t="s">
        <v>824</v>
      </c>
      <c r="F1387" s="33">
        <v>19</v>
      </c>
      <c r="G1387" s="27">
        <f t="shared" si="27"/>
        <v>19</v>
      </c>
      <c r="H1387" s="28" t="str">
        <f>VLOOKUP(E1387,'Cadastro Produtos (kiwkiw)'!C:E,3,0)</f>
        <v>Pulseira Delicate Banho Ouro</v>
      </c>
      <c r="AB1387" s="33" t="s">
        <v>835</v>
      </c>
    </row>
    <row r="1388" spans="3:28" ht="15" customHeight="1" x14ac:dyDescent="0.4">
      <c r="C1388" s="34" t="s">
        <v>5</v>
      </c>
      <c r="D1388" s="35">
        <v>45885</v>
      </c>
      <c r="E1388" s="51" t="s">
        <v>825</v>
      </c>
      <c r="F1388" s="33">
        <v>19</v>
      </c>
      <c r="G1388" s="27">
        <f t="shared" si="27"/>
        <v>19</v>
      </c>
      <c r="H1388" s="28" t="str">
        <f>VLOOKUP(E1388,'Cadastro Produtos (kiwkiw)'!C:E,3,0)</f>
        <v>Pulseira Fita 2mm Banho Ouro</v>
      </c>
      <c r="AB1388" s="33" t="s">
        <v>835</v>
      </c>
    </row>
    <row r="1389" spans="3:28" ht="15" customHeight="1" x14ac:dyDescent="0.4">
      <c r="C1389" s="34" t="s">
        <v>5</v>
      </c>
      <c r="D1389" s="35">
        <v>45885</v>
      </c>
      <c r="E1389" s="51" t="s">
        <v>826</v>
      </c>
      <c r="F1389" s="33">
        <v>19</v>
      </c>
      <c r="G1389" s="27">
        <f t="shared" si="27"/>
        <v>19</v>
      </c>
      <c r="H1389" s="28" t="str">
        <f>VLOOKUP(E1389,'Cadastro Produtos (kiwkiw)'!C:E,3,0)</f>
        <v>Pulseira Torcida Banho Ouro</v>
      </c>
      <c r="AB1389" s="33" t="s">
        <v>835</v>
      </c>
    </row>
    <row r="1390" spans="3:28" ht="15" customHeight="1" x14ac:dyDescent="0.4">
      <c r="C1390" s="34" t="s">
        <v>5</v>
      </c>
      <c r="D1390" s="35">
        <v>45885</v>
      </c>
      <c r="E1390" s="51" t="s">
        <v>118</v>
      </c>
      <c r="F1390" s="33">
        <v>19</v>
      </c>
      <c r="G1390" s="27">
        <f t="shared" si="27"/>
        <v>19</v>
      </c>
      <c r="H1390" s="28" t="str">
        <f>VLOOKUP(E1390,'Cadastro Produtos (kiwkiw)'!C:E,3,0)</f>
        <v>Gargantilha Minimal Prateada</v>
      </c>
      <c r="AB1390" s="33" t="s">
        <v>835</v>
      </c>
    </row>
    <row r="1391" spans="3:28" ht="15" customHeight="1" x14ac:dyDescent="0.4">
      <c r="C1391" s="34" t="s">
        <v>5</v>
      </c>
      <c r="D1391" s="35">
        <v>45885</v>
      </c>
      <c r="E1391" s="51" t="s">
        <v>827</v>
      </c>
      <c r="F1391" s="33">
        <v>20</v>
      </c>
      <c r="G1391" s="27">
        <f t="shared" si="27"/>
        <v>20</v>
      </c>
      <c r="H1391" s="28" t="str">
        <f>VLOOKUP(E1391,'Cadastro Produtos (kiwkiw)'!C:E,3,0)</f>
        <v>Argola Click Croissant Banho Ouro</v>
      </c>
      <c r="AB1391" s="33" t="s">
        <v>835</v>
      </c>
    </row>
    <row r="1392" spans="3:28" ht="15" customHeight="1" x14ac:dyDescent="0.4">
      <c r="C1392" s="34" t="s">
        <v>5</v>
      </c>
      <c r="D1392" s="35">
        <v>45885</v>
      </c>
      <c r="E1392" s="51" t="s">
        <v>828</v>
      </c>
      <c r="F1392" s="33">
        <v>20</v>
      </c>
      <c r="G1392" s="27">
        <f t="shared" si="27"/>
        <v>20</v>
      </c>
      <c r="H1392" s="28" t="str">
        <f>VLOOKUP(E1392,'Cadastro Produtos (kiwkiw)'!C:E,3,0)</f>
        <v>Brinco Jout Banho Ouro</v>
      </c>
      <c r="AB1392" s="33" t="s">
        <v>835</v>
      </c>
    </row>
    <row r="1393" spans="2:28" ht="15" customHeight="1" x14ac:dyDescent="0.4">
      <c r="C1393" s="34" t="s">
        <v>5</v>
      </c>
      <c r="D1393" s="35">
        <v>45885</v>
      </c>
      <c r="E1393" s="51" t="s">
        <v>829</v>
      </c>
      <c r="F1393" s="33">
        <v>20</v>
      </c>
      <c r="G1393" s="27">
        <f t="shared" si="27"/>
        <v>20</v>
      </c>
      <c r="H1393" s="28" t="str">
        <f>VLOOKUP(E1393,'Cadastro Produtos (kiwkiw)'!C:E,3,0)</f>
        <v>Ear Hook Fio Banho Ouro</v>
      </c>
      <c r="AB1393" s="33" t="s">
        <v>835</v>
      </c>
    </row>
    <row r="1394" spans="2:28" ht="15" customHeight="1" x14ac:dyDescent="0.4">
      <c r="C1394" s="34" t="s">
        <v>5</v>
      </c>
      <c r="D1394" s="35">
        <v>45885</v>
      </c>
      <c r="E1394" s="51" t="s">
        <v>49</v>
      </c>
      <c r="F1394" s="33">
        <v>20</v>
      </c>
      <c r="G1394" s="27">
        <f t="shared" si="27"/>
        <v>20</v>
      </c>
      <c r="H1394" s="28" t="str">
        <f>VLOOKUP(E1394,'Cadastro Produtos (kiwkiw)'!C:E,3,0)</f>
        <v>Brinco Coracao Diamond Banho Ouro</v>
      </c>
      <c r="AB1394" s="33" t="s">
        <v>835</v>
      </c>
    </row>
    <row r="1395" spans="2:28" ht="15" customHeight="1" x14ac:dyDescent="0.4">
      <c r="C1395" s="34" t="s">
        <v>5</v>
      </c>
      <c r="D1395" s="35">
        <v>45885</v>
      </c>
      <c r="E1395" s="51" t="s">
        <v>116</v>
      </c>
      <c r="F1395" s="33">
        <v>20</v>
      </c>
      <c r="G1395" s="27">
        <f t="shared" si="27"/>
        <v>20</v>
      </c>
      <c r="H1395" s="28" t="str">
        <f>VLOOKUP(E1395,'Cadastro Produtos (kiwkiw)'!C:E,3,0)</f>
        <v>Gargantilha Dots Banho Ouro</v>
      </c>
      <c r="AB1395" s="33" t="s">
        <v>835</v>
      </c>
    </row>
    <row r="1396" spans="2:28" ht="15" customHeight="1" x14ac:dyDescent="0.4">
      <c r="C1396" s="34" t="s">
        <v>5</v>
      </c>
      <c r="D1396" s="35">
        <v>45885</v>
      </c>
      <c r="E1396" s="51" t="s">
        <v>105</v>
      </c>
      <c r="F1396" s="33">
        <v>20</v>
      </c>
      <c r="G1396" s="27">
        <f t="shared" si="27"/>
        <v>20</v>
      </c>
      <c r="H1396" s="28" t="str">
        <f>VLOOKUP(E1396,'Cadastro Produtos (kiwkiw)'!C:E,3,0)</f>
        <v>Colar Rosa Banho Ouro</v>
      </c>
      <c r="AB1396" s="33" t="s">
        <v>835</v>
      </c>
    </row>
    <row r="1397" spans="2:28" ht="15" customHeight="1" x14ac:dyDescent="0.4">
      <c r="C1397" s="34" t="s">
        <v>5</v>
      </c>
      <c r="D1397" s="35">
        <v>45885</v>
      </c>
      <c r="E1397" s="51" t="s">
        <v>123</v>
      </c>
      <c r="F1397" s="33">
        <v>20</v>
      </c>
      <c r="G1397" s="27">
        <f t="shared" si="27"/>
        <v>20</v>
      </c>
      <c r="H1397" s="28" t="str">
        <f>VLOOKUP(E1397,'Cadastro Produtos (kiwkiw)'!C:E,3,0)</f>
        <v>Pulseira Dots Banho Ouro</v>
      </c>
      <c r="AB1397" s="33" t="s">
        <v>835</v>
      </c>
    </row>
    <row r="1398" spans="2:28" ht="15" customHeight="1" x14ac:dyDescent="0.4">
      <c r="C1398" s="34" t="s">
        <v>5</v>
      </c>
      <c r="D1398" s="35">
        <v>45885</v>
      </c>
      <c r="E1398" s="51" t="s">
        <v>73</v>
      </c>
      <c r="F1398" s="33">
        <v>20</v>
      </c>
      <c r="G1398" s="27">
        <f t="shared" si="27"/>
        <v>20</v>
      </c>
      <c r="H1398" s="28" t="str">
        <f>VLOOKUP(E1398,'Cadastro Produtos (kiwkiw)'!C:E,3,0)</f>
        <v>Ear Hook Line Prateado</v>
      </c>
      <c r="AB1398" s="33" t="s">
        <v>835</v>
      </c>
    </row>
    <row r="1399" spans="2:28" ht="15" customHeight="1" x14ac:dyDescent="0.4">
      <c r="C1399" s="34" t="s">
        <v>5</v>
      </c>
      <c r="D1399" s="35">
        <v>45885</v>
      </c>
      <c r="E1399" s="51" t="s">
        <v>76</v>
      </c>
      <c r="F1399" s="33">
        <v>21</v>
      </c>
      <c r="G1399" s="27">
        <f t="shared" si="27"/>
        <v>21</v>
      </c>
      <c r="H1399" s="28" t="str">
        <f>VLOOKUP(E1399,'Cadastro Produtos (kiwkiw)'!C:E,3,0)</f>
        <v>EarHook Dots Banho Ouro</v>
      </c>
      <c r="AB1399" s="33" t="s">
        <v>835</v>
      </c>
    </row>
    <row r="1400" spans="2:28" ht="15" customHeight="1" x14ac:dyDescent="0.4">
      <c r="C1400" s="34" t="s">
        <v>5</v>
      </c>
      <c r="D1400" s="35">
        <v>45885</v>
      </c>
      <c r="E1400" s="51" t="s">
        <v>54</v>
      </c>
      <c r="F1400" s="33">
        <v>21</v>
      </c>
      <c r="G1400" s="27">
        <f t="shared" si="27"/>
        <v>21</v>
      </c>
      <c r="H1400" s="28" t="str">
        <f>VLOOKUP(E1400,'Cadastro Produtos (kiwkiw)'!C:E,3,0)</f>
        <v>Brinco Ivy Banho Ouro</v>
      </c>
      <c r="AB1400" s="33" t="s">
        <v>835</v>
      </c>
    </row>
    <row r="1401" spans="2:28" ht="15" customHeight="1" x14ac:dyDescent="0.4">
      <c r="C1401" s="34" t="s">
        <v>5</v>
      </c>
      <c r="D1401" s="35">
        <v>45885</v>
      </c>
      <c r="E1401" s="51" t="s">
        <v>830</v>
      </c>
      <c r="F1401" s="33">
        <v>22</v>
      </c>
      <c r="G1401" s="27">
        <f t="shared" si="27"/>
        <v>22</v>
      </c>
      <c r="H1401" s="28" t="str">
        <f>VLOOKUP(E1401,'Cadastro Produtos (kiwkiw)'!C:E,3,0)</f>
        <v>Brinco Flor 2 em 1 Banho Ouro</v>
      </c>
      <c r="AB1401" s="33" t="s">
        <v>835</v>
      </c>
    </row>
    <row r="1402" spans="2:28" ht="15" customHeight="1" x14ac:dyDescent="0.4">
      <c r="C1402" s="34" t="s">
        <v>5</v>
      </c>
      <c r="D1402" s="35">
        <v>45885</v>
      </c>
      <c r="E1402" s="51" t="s">
        <v>27</v>
      </c>
      <c r="F1402" s="33">
        <v>22</v>
      </c>
      <c r="G1402" s="27">
        <f t="shared" si="27"/>
        <v>22</v>
      </c>
      <c r="H1402" s="28" t="str">
        <f>VLOOKUP(E1402,'Cadastro Produtos (kiwkiw)'!C:E,3,0)</f>
        <v>Argola Click Media Banho Ouro</v>
      </c>
      <c r="AB1402" s="33" t="s">
        <v>835</v>
      </c>
    </row>
    <row r="1403" spans="2:28" ht="15" customHeight="1" x14ac:dyDescent="0.4">
      <c r="C1403" s="34" t="s">
        <v>5</v>
      </c>
      <c r="D1403" s="35">
        <v>45885</v>
      </c>
      <c r="E1403" s="51" t="s">
        <v>28</v>
      </c>
      <c r="F1403" s="33">
        <v>23</v>
      </c>
      <c r="G1403" s="27">
        <f t="shared" si="27"/>
        <v>23</v>
      </c>
      <c r="H1403" s="28" t="str">
        <f>VLOOKUP(E1403,'Cadastro Produtos (kiwkiw)'!C:E,3,0)</f>
        <v>Argola Click Pequena Banho Ouro</v>
      </c>
      <c r="AB1403" s="33" t="s">
        <v>835</v>
      </c>
    </row>
    <row r="1404" spans="2:28" ht="15" customHeight="1" x14ac:dyDescent="0.4">
      <c r="C1404" s="34" t="s">
        <v>5</v>
      </c>
      <c r="D1404" s="35">
        <v>45885</v>
      </c>
      <c r="E1404" s="51" t="s">
        <v>831</v>
      </c>
      <c r="F1404" s="33">
        <v>24</v>
      </c>
      <c r="G1404" s="27">
        <f t="shared" si="27"/>
        <v>24</v>
      </c>
      <c r="H1404" s="28" t="str">
        <f>VLOOKUP(E1404,'Cadastro Produtos (kiwkiw)'!C:E,3,0)</f>
        <v>Brinco Palito Banho Ouro</v>
      </c>
      <c r="AB1404" s="33" t="s">
        <v>835</v>
      </c>
    </row>
    <row r="1405" spans="2:28" ht="15" customHeight="1" x14ac:dyDescent="0.4">
      <c r="C1405" s="34" t="s">
        <v>5</v>
      </c>
      <c r="D1405" s="35">
        <v>45885</v>
      </c>
      <c r="E1405" s="51" t="s">
        <v>45</v>
      </c>
      <c r="F1405" s="33">
        <v>25</v>
      </c>
      <c r="G1405" s="27">
        <f t="shared" si="27"/>
        <v>25</v>
      </c>
      <c r="H1405" s="28" t="str">
        <f>VLOOKUP(E1405,'Cadastro Produtos (kiwkiw)'!C:E,3,0)</f>
        <v>Brinco Bubble Medio Banho Ouro</v>
      </c>
      <c r="AB1405" s="33" t="s">
        <v>835</v>
      </c>
    </row>
    <row r="1406" spans="2:28" ht="15" customHeight="1" x14ac:dyDescent="0.4">
      <c r="B1406" s="43"/>
      <c r="C1406" s="34" t="s">
        <v>5</v>
      </c>
      <c r="D1406" s="35">
        <v>45885</v>
      </c>
      <c r="E1406" s="51" t="s">
        <v>117</v>
      </c>
      <c r="F1406" s="33">
        <v>25</v>
      </c>
      <c r="G1406" s="27">
        <f t="shared" si="27"/>
        <v>25</v>
      </c>
      <c r="H1406" s="28" t="str">
        <f>VLOOKUP(E1406,'Cadastro Produtos (kiwkiw)'!C:E,3,0)</f>
        <v>Gargantilha Minimal Banho Ouro</v>
      </c>
      <c r="AB1406" s="33" t="s">
        <v>835</v>
      </c>
    </row>
    <row r="1407" spans="2:28" ht="15" customHeight="1" x14ac:dyDescent="0.4">
      <c r="C1407" s="34" t="s">
        <v>5</v>
      </c>
      <c r="D1407" s="35">
        <v>45885</v>
      </c>
      <c r="E1407" s="51" t="s">
        <v>46</v>
      </c>
      <c r="F1407" s="33">
        <v>26</v>
      </c>
      <c r="G1407" s="27">
        <f t="shared" si="27"/>
        <v>26</v>
      </c>
      <c r="H1407" s="28" t="str">
        <f>VLOOKUP(E1407,'Cadastro Produtos (kiwkiw)'!C:E,3,0)</f>
        <v>Brinco Bubble Pequeno Banho Ouro</v>
      </c>
      <c r="AB1407" s="33" t="s">
        <v>835</v>
      </c>
    </row>
    <row r="1408" spans="2:28" ht="15" customHeight="1" x14ac:dyDescent="0.4">
      <c r="C1408" s="34" t="s">
        <v>5</v>
      </c>
      <c r="D1408" s="35">
        <v>45885</v>
      </c>
      <c r="E1408" s="51" t="s">
        <v>104</v>
      </c>
      <c r="F1408" s="33">
        <v>27</v>
      </c>
      <c r="G1408" s="27">
        <f t="shared" si="27"/>
        <v>27</v>
      </c>
      <c r="H1408" s="28" t="str">
        <f>VLOOKUP(E1408,'Cadastro Produtos (kiwkiw)'!C:E,3,0)</f>
        <v>Colar Ivy Prateado</v>
      </c>
      <c r="AB1408" s="33" t="s">
        <v>835</v>
      </c>
    </row>
    <row r="1409" spans="2:28" ht="15" customHeight="1" x14ac:dyDescent="0.4">
      <c r="C1409" s="34" t="s">
        <v>5</v>
      </c>
      <c r="D1409" s="35">
        <v>45885</v>
      </c>
      <c r="E1409" s="51" t="s">
        <v>832</v>
      </c>
      <c r="F1409" s="33">
        <v>28</v>
      </c>
      <c r="G1409" s="27">
        <f t="shared" si="27"/>
        <v>28</v>
      </c>
      <c r="H1409" s="28" t="str">
        <f>VLOOKUP(E1409,'Cadastro Produtos (kiwkiw)'!C:E,3,0)</f>
        <v>Brinco Boho Banho Ouro</v>
      </c>
      <c r="AB1409" s="33" t="s">
        <v>835</v>
      </c>
    </row>
    <row r="1410" spans="2:28" ht="15" customHeight="1" x14ac:dyDescent="0.4">
      <c r="C1410" s="34" t="s">
        <v>5</v>
      </c>
      <c r="D1410" s="35">
        <v>45885</v>
      </c>
      <c r="E1410" s="51" t="s">
        <v>94</v>
      </c>
      <c r="F1410" s="33">
        <v>28</v>
      </c>
      <c r="G1410" s="27">
        <f t="shared" si="27"/>
        <v>28</v>
      </c>
      <c r="H1410" s="28" t="str">
        <f>VLOOKUP(E1410,'Cadastro Produtos (kiwkiw)'!C:E,3,0)</f>
        <v>Colar Duplo Dots Banho Ouro</v>
      </c>
      <c r="AB1410" s="33" t="s">
        <v>835</v>
      </c>
    </row>
    <row r="1411" spans="2:28" ht="15" customHeight="1" x14ac:dyDescent="0.4">
      <c r="C1411" s="34" t="s">
        <v>5</v>
      </c>
      <c r="D1411" s="35">
        <v>45885</v>
      </c>
      <c r="E1411" s="51" t="s">
        <v>103</v>
      </c>
      <c r="F1411" s="33">
        <v>28</v>
      </c>
      <c r="G1411" s="27">
        <f t="shared" si="27"/>
        <v>28</v>
      </c>
      <c r="H1411" s="28" t="str">
        <f>VLOOKUP(E1411,'Cadastro Produtos (kiwkiw)'!C:E,3,0)</f>
        <v>Colar Ivy Banho Ouro</v>
      </c>
      <c r="AB1411" s="33" t="s">
        <v>835</v>
      </c>
    </row>
    <row r="1412" spans="2:28" ht="15" customHeight="1" x14ac:dyDescent="0.4">
      <c r="C1412" s="34" t="s">
        <v>5</v>
      </c>
      <c r="D1412" s="35">
        <v>45885</v>
      </c>
      <c r="E1412" s="51" t="s">
        <v>833</v>
      </c>
      <c r="F1412" s="33">
        <v>29</v>
      </c>
      <c r="G1412" s="27">
        <f t="shared" si="27"/>
        <v>29</v>
      </c>
      <c r="H1412" s="28" t="str">
        <f>VLOOKUP(E1412,'Cadastro Produtos (kiwkiw)'!C:E,3,0)</f>
        <v>Ear Hook Encaixe Cruzado Banho Ouro</v>
      </c>
      <c r="AB1412" s="33" t="s">
        <v>835</v>
      </c>
    </row>
    <row r="1413" spans="2:28" ht="15" customHeight="1" x14ac:dyDescent="0.4">
      <c r="C1413" s="34" t="s">
        <v>5</v>
      </c>
      <c r="D1413" s="35">
        <v>45885</v>
      </c>
      <c r="E1413" s="51" t="s">
        <v>29</v>
      </c>
      <c r="F1413" s="33">
        <v>29</v>
      </c>
      <c r="G1413" s="27">
        <f t="shared" si="27"/>
        <v>29</v>
      </c>
      <c r="H1413" s="28" t="str">
        <f>VLOOKUP(E1413,'Cadastro Produtos (kiwkiw)'!C:E,3,0)</f>
        <v>Argola Click Diamond Banho Ouro</v>
      </c>
      <c r="AB1413" s="33" t="s">
        <v>835</v>
      </c>
    </row>
    <row r="1414" spans="2:28" ht="15" customHeight="1" x14ac:dyDescent="0.4">
      <c r="C1414" s="34" t="s">
        <v>5</v>
      </c>
      <c r="D1414" s="35">
        <v>45885</v>
      </c>
      <c r="E1414" s="51" t="s">
        <v>40</v>
      </c>
      <c r="F1414" s="33">
        <v>39</v>
      </c>
      <c r="G1414" s="27">
        <f t="shared" si="27"/>
        <v>39</v>
      </c>
      <c r="H1414" s="28" t="str">
        <f>VLOOKUP(E1414,'Cadastro Produtos (kiwkiw)'!C:E,3,0)</f>
        <v>Argolinha Folha Banho Ouro</v>
      </c>
      <c r="AB1414" s="33" t="s">
        <v>835</v>
      </c>
    </row>
    <row r="1415" spans="2:28" ht="15" customHeight="1" x14ac:dyDescent="0.4">
      <c r="C1415" s="34" t="s">
        <v>5</v>
      </c>
      <c r="D1415" s="35">
        <v>45885</v>
      </c>
      <c r="E1415" s="51" t="s">
        <v>834</v>
      </c>
      <c r="F1415" s="33">
        <v>40</v>
      </c>
      <c r="G1415" s="27">
        <f t="shared" si="27"/>
        <v>40</v>
      </c>
      <c r="H1415" s="28" t="str">
        <f>VLOOKUP(E1415,'Cadastro Produtos (kiwkiw)'!C:E,3,0)</f>
        <v>Ear Hook Triplo Dot Banho Ouro</v>
      </c>
      <c r="AB1415" s="33" t="s">
        <v>835</v>
      </c>
    </row>
    <row r="1416" spans="2:28" ht="15" customHeight="1" x14ac:dyDescent="0.4">
      <c r="C1416" s="34" t="s">
        <v>5</v>
      </c>
      <c r="D1416" s="35">
        <v>45885</v>
      </c>
      <c r="E1416" s="51" t="s">
        <v>114</v>
      </c>
      <c r="F1416" s="33">
        <v>47</v>
      </c>
      <c r="G1416" s="27">
        <f t="shared" si="27"/>
        <v>47</v>
      </c>
      <c r="H1416" s="28" t="str">
        <f>VLOOKUP(E1416,'Cadastro Produtos (kiwkiw)'!C:E,3,0)</f>
        <v>Gargantilha Fita Banho Ouro</v>
      </c>
      <c r="AB1416" s="33" t="s">
        <v>835</v>
      </c>
    </row>
    <row r="1417" spans="2:28" ht="15" customHeight="1" x14ac:dyDescent="0.4">
      <c r="B1417" s="43">
        <v>45889.422199074077</v>
      </c>
      <c r="C1417" s="34" t="s">
        <v>6</v>
      </c>
      <c r="D1417" s="35">
        <v>45889</v>
      </c>
      <c r="E1417" s="51" t="s">
        <v>61</v>
      </c>
      <c r="F1417" s="33">
        <v>1</v>
      </c>
      <c r="G1417" s="27">
        <f t="shared" si="27"/>
        <v>-1</v>
      </c>
      <c r="H1417" s="28" t="str">
        <f>VLOOKUP(E1417,'Cadastro Produtos (kiwkiw)'!C:E,3,0)</f>
        <v>Brinco Setas Banho Ouro</v>
      </c>
      <c r="AB1417" s="33" t="s">
        <v>836</v>
      </c>
    </row>
    <row r="1418" spans="2:28" ht="15" customHeight="1" x14ac:dyDescent="0.4">
      <c r="B1418" s="43">
        <v>45890.452418981484</v>
      </c>
      <c r="C1418" s="34" t="s">
        <v>6</v>
      </c>
      <c r="D1418" s="35">
        <v>45890</v>
      </c>
      <c r="E1418" s="51" t="s">
        <v>118</v>
      </c>
      <c r="F1418" s="33">
        <v>1</v>
      </c>
      <c r="G1418" s="27">
        <f t="shared" si="27"/>
        <v>-1</v>
      </c>
      <c r="H1418" s="28" t="str">
        <f>VLOOKUP(E1418,'Cadastro Produtos (kiwkiw)'!C:E,3,0)</f>
        <v>Gargantilha Minimal Prateada</v>
      </c>
      <c r="AB1418" s="33" t="s">
        <v>837</v>
      </c>
    </row>
    <row r="1419" spans="2:28" ht="15" customHeight="1" x14ac:dyDescent="0.4">
      <c r="C1419" s="34" t="s">
        <v>6</v>
      </c>
      <c r="D1419" s="35">
        <v>45890</v>
      </c>
      <c r="E1419" s="51" t="s">
        <v>114</v>
      </c>
      <c r="F1419" s="33">
        <v>1</v>
      </c>
      <c r="G1419" s="27">
        <f t="shared" si="27"/>
        <v>-1</v>
      </c>
      <c r="H1419" s="28" t="str">
        <f>VLOOKUP(E1419,'Cadastro Produtos (kiwkiw)'!C:E,3,0)</f>
        <v>Gargantilha Fita Banho Ouro</v>
      </c>
      <c r="AB1419" s="33" t="s">
        <v>837</v>
      </c>
    </row>
    <row r="1420" spans="2:28" ht="15" customHeight="1" x14ac:dyDescent="0.4">
      <c r="B1420" s="43">
        <v>45894.429178240738</v>
      </c>
      <c r="C1420" s="34" t="s">
        <v>6</v>
      </c>
      <c r="D1420" s="35">
        <v>45894</v>
      </c>
      <c r="E1420" s="51" t="s">
        <v>90</v>
      </c>
      <c r="F1420" s="33">
        <v>1</v>
      </c>
      <c r="G1420" s="27">
        <f t="shared" si="27"/>
        <v>-1</v>
      </c>
      <c r="H1420" s="28" t="str">
        <f>VLOOKUP(E1420,'Cadastro Produtos (kiwkiw)'!C:E,3,0)</f>
        <v>Colar Dot Prateado</v>
      </c>
      <c r="AB1420" s="33" t="s">
        <v>838</v>
      </c>
    </row>
    <row r="1421" spans="2:28" ht="15" customHeight="1" x14ac:dyDescent="0.4">
      <c r="C1421" s="34" t="s">
        <v>6</v>
      </c>
      <c r="D1421" s="35">
        <v>45894</v>
      </c>
      <c r="E1421" s="51" t="s">
        <v>99</v>
      </c>
      <c r="F1421" s="33">
        <v>1</v>
      </c>
      <c r="G1421" s="27">
        <f t="shared" si="27"/>
        <v>-1</v>
      </c>
      <c r="H1421" s="28" t="str">
        <f>VLOOKUP(E1421,'Cadastro Produtos (kiwkiw)'!C:E,3,0)</f>
        <v>Colar Esfera Medio Banho Ouro</v>
      </c>
      <c r="AB1421" s="33" t="s">
        <v>838</v>
      </c>
    </row>
    <row r="1422" spans="2:28" ht="15" customHeight="1" x14ac:dyDescent="0.4">
      <c r="C1422" s="34" t="s">
        <v>6</v>
      </c>
      <c r="D1422" s="35">
        <v>45894</v>
      </c>
      <c r="E1422" s="51" t="s">
        <v>104</v>
      </c>
      <c r="F1422" s="33">
        <v>1</v>
      </c>
      <c r="G1422" s="27">
        <f t="shared" si="27"/>
        <v>-1</v>
      </c>
      <c r="H1422" s="28" t="str">
        <f>VLOOKUP(E1422,'Cadastro Produtos (kiwkiw)'!C:E,3,0)</f>
        <v>Colar Ivy Prateado</v>
      </c>
      <c r="AB1422" s="33" t="s">
        <v>838</v>
      </c>
    </row>
    <row r="1423" spans="2:28" ht="15" customHeight="1" x14ac:dyDescent="0.4">
      <c r="C1423" s="34" t="s">
        <v>6</v>
      </c>
      <c r="D1423" s="35">
        <v>45894</v>
      </c>
      <c r="E1423" s="51" t="s">
        <v>28</v>
      </c>
      <c r="F1423" s="33">
        <v>1</v>
      </c>
      <c r="G1423" s="27">
        <f t="shared" si="27"/>
        <v>-1</v>
      </c>
      <c r="H1423" s="28" t="str">
        <f>VLOOKUP(E1423,'Cadastro Produtos (kiwkiw)'!C:E,3,0)</f>
        <v>Argola Click Pequena Banho Ouro</v>
      </c>
      <c r="AB1423" s="33" t="s">
        <v>838</v>
      </c>
    </row>
    <row r="1424" spans="2:28" ht="15" customHeight="1" x14ac:dyDescent="0.4">
      <c r="C1424" s="34" t="s">
        <v>6</v>
      </c>
      <c r="D1424" s="35">
        <v>45894</v>
      </c>
      <c r="E1424" s="51" t="s">
        <v>127</v>
      </c>
      <c r="F1424" s="33">
        <v>1</v>
      </c>
      <c r="G1424" s="27">
        <f t="shared" si="27"/>
        <v>-1</v>
      </c>
      <c r="H1424" s="28" t="str">
        <f>VLOOKUP(E1424,'Cadastro Produtos (kiwkiw)'!C:E,3,0)</f>
        <v>Pulseira Minimal Banho Ouro</v>
      </c>
      <c r="AB1424" s="33" t="s">
        <v>838</v>
      </c>
    </row>
    <row r="1425" spans="2:28" ht="15" customHeight="1" x14ac:dyDescent="0.4">
      <c r="B1425" s="43">
        <v>45896.429490740738</v>
      </c>
      <c r="C1425" s="34" t="s">
        <v>6</v>
      </c>
      <c r="D1425" s="35">
        <v>45896</v>
      </c>
      <c r="E1425" s="51" t="s">
        <v>92</v>
      </c>
      <c r="F1425" s="33">
        <v>1</v>
      </c>
      <c r="G1425" s="27">
        <f t="shared" ref="G1425:G1488" si="28">IF(C1425="Entrada",F1425,-F1425)</f>
        <v>-1</v>
      </c>
      <c r="H1425" s="28" t="str">
        <f>VLOOKUP(E1425,'Cadastro Produtos (kiwkiw)'!C:E,3,0)</f>
        <v>Colar Coracao Banho Ouro</v>
      </c>
      <c r="AB1425" s="33" t="s">
        <v>839</v>
      </c>
    </row>
    <row r="1426" spans="2:28" ht="15" customHeight="1" x14ac:dyDescent="0.4">
      <c r="B1426" s="43">
        <v>45897.422488425924</v>
      </c>
      <c r="C1426" s="34" t="s">
        <v>6</v>
      </c>
      <c r="D1426" s="35">
        <v>45897</v>
      </c>
      <c r="E1426" s="51" t="s">
        <v>43</v>
      </c>
      <c r="F1426" s="33">
        <v>1</v>
      </c>
      <c r="G1426" s="27">
        <f t="shared" si="28"/>
        <v>-1</v>
      </c>
      <c r="H1426" s="28" t="str">
        <f>VLOOKUP(E1426,'Cadastro Produtos (kiwkiw)'!C:E,3,0)</f>
        <v>Brinco Mini Aviao Banho Ouro</v>
      </c>
      <c r="AB1426" s="33" t="s">
        <v>840</v>
      </c>
    </row>
    <row r="1427" spans="2:28" ht="15" customHeight="1" x14ac:dyDescent="0.4">
      <c r="B1427" s="43">
        <v>45898.42050925926</v>
      </c>
      <c r="C1427" s="34" t="s">
        <v>6</v>
      </c>
      <c r="D1427" s="35">
        <v>45898</v>
      </c>
      <c r="E1427" s="51" t="s">
        <v>129</v>
      </c>
      <c r="F1427" s="33">
        <v>1</v>
      </c>
      <c r="G1427" s="27">
        <f t="shared" si="28"/>
        <v>-1</v>
      </c>
      <c r="H1427" s="28" t="str">
        <f>VLOOKUP(E1427,'Cadastro Produtos (kiwkiw)'!C:E,3,0)</f>
        <v>Pulseira Snake Banho Ouro</v>
      </c>
      <c r="AB1427" s="33" t="s">
        <v>906</v>
      </c>
    </row>
    <row r="1428" spans="2:28" ht="15" customHeight="1" x14ac:dyDescent="0.4">
      <c r="C1428" s="34" t="s">
        <v>6</v>
      </c>
      <c r="D1428" s="35">
        <v>45898</v>
      </c>
      <c r="E1428" s="51" t="s">
        <v>114</v>
      </c>
      <c r="F1428" s="33">
        <v>1</v>
      </c>
      <c r="G1428" s="27">
        <f t="shared" si="28"/>
        <v>-1</v>
      </c>
      <c r="H1428" s="28" t="str">
        <f>VLOOKUP(E1428,'Cadastro Produtos (kiwkiw)'!C:E,3,0)</f>
        <v>Gargantilha Fita Banho Ouro</v>
      </c>
      <c r="AB1428" s="33" t="s">
        <v>906</v>
      </c>
    </row>
    <row r="1429" spans="2:28" ht="15" customHeight="1" x14ac:dyDescent="0.4">
      <c r="C1429" s="34" t="s">
        <v>6</v>
      </c>
      <c r="D1429" s="35">
        <v>45898</v>
      </c>
      <c r="E1429" s="51" t="s">
        <v>124</v>
      </c>
      <c r="F1429" s="33">
        <v>1</v>
      </c>
      <c r="G1429" s="27">
        <f t="shared" si="28"/>
        <v>-1</v>
      </c>
      <c r="H1429" s="28" t="str">
        <f>VLOOKUP(E1429,'Cadastro Produtos (kiwkiw)'!C:E,3,0)</f>
        <v>Pulseira Fita Textura Banho Ouro</v>
      </c>
      <c r="AB1429" s="33" t="s">
        <v>906</v>
      </c>
    </row>
    <row r="1430" spans="2:28" ht="15" customHeight="1" x14ac:dyDescent="0.4">
      <c r="B1430" s="43">
        <v>45901.43346064815</v>
      </c>
      <c r="C1430" s="34" t="s">
        <v>6</v>
      </c>
      <c r="D1430" s="35">
        <v>45901</v>
      </c>
      <c r="E1430" s="51" t="s">
        <v>35</v>
      </c>
      <c r="F1430" s="33">
        <v>1</v>
      </c>
      <c r="G1430" s="27">
        <f t="shared" si="28"/>
        <v>-1</v>
      </c>
      <c r="H1430" s="28" t="str">
        <f>VLOOKUP(E1430,'Cadastro Produtos (kiwkiw)'!C:E,3,0)</f>
        <v>Argola Classy Banho Ouro</v>
      </c>
      <c r="AB1430" s="33" t="s">
        <v>907</v>
      </c>
    </row>
    <row r="1431" spans="2:28" ht="15" customHeight="1" x14ac:dyDescent="0.4">
      <c r="C1431" s="34" t="s">
        <v>6</v>
      </c>
      <c r="D1431" s="35">
        <v>45901</v>
      </c>
      <c r="E1431" s="51" t="s">
        <v>117</v>
      </c>
      <c r="F1431" s="33">
        <v>1</v>
      </c>
      <c r="G1431" s="27">
        <f t="shared" si="28"/>
        <v>-1</v>
      </c>
      <c r="H1431" s="28" t="str">
        <f>VLOOKUP(E1431,'Cadastro Produtos (kiwkiw)'!C:E,3,0)</f>
        <v>Gargantilha Minimal Banho Ouro</v>
      </c>
      <c r="AB1431" s="33" t="s">
        <v>908</v>
      </c>
    </row>
    <row r="1432" spans="2:28" ht="15" customHeight="1" x14ac:dyDescent="0.4">
      <c r="B1432" s="43">
        <v>45902.427777777775</v>
      </c>
      <c r="C1432" s="34" t="s">
        <v>6</v>
      </c>
      <c r="D1432" s="35">
        <v>45902</v>
      </c>
      <c r="E1432" s="51" t="s">
        <v>35</v>
      </c>
      <c r="F1432" s="33">
        <v>1</v>
      </c>
      <c r="G1432" s="27">
        <f t="shared" si="28"/>
        <v>-1</v>
      </c>
      <c r="H1432" s="28" t="str">
        <f>VLOOKUP(E1432,'Cadastro Produtos (kiwkiw)'!C:E,3,0)</f>
        <v>Argola Classy Banho Ouro</v>
      </c>
      <c r="AB1432" s="33" t="s">
        <v>909</v>
      </c>
    </row>
    <row r="1433" spans="2:28" ht="15" customHeight="1" x14ac:dyDescent="0.4">
      <c r="B1433" s="43">
        <v>45903.425798611112</v>
      </c>
      <c r="C1433" s="34" t="s">
        <v>6</v>
      </c>
      <c r="D1433" s="35">
        <v>45903</v>
      </c>
      <c r="E1433" s="51" t="s">
        <v>117</v>
      </c>
      <c r="F1433" s="33">
        <v>1</v>
      </c>
      <c r="G1433" s="27">
        <f t="shared" si="28"/>
        <v>-1</v>
      </c>
      <c r="H1433" s="28" t="str">
        <f>VLOOKUP(E1433,'Cadastro Produtos (kiwkiw)'!C:E,3,0)</f>
        <v>Gargantilha Minimal Banho Ouro</v>
      </c>
      <c r="AB1433" s="33" t="s">
        <v>910</v>
      </c>
    </row>
    <row r="1434" spans="2:28" ht="15" customHeight="1" x14ac:dyDescent="0.4">
      <c r="C1434" s="34" t="s">
        <v>6</v>
      </c>
      <c r="D1434" s="35">
        <v>45903</v>
      </c>
      <c r="E1434" s="51" t="s">
        <v>117</v>
      </c>
      <c r="F1434" s="33">
        <v>1</v>
      </c>
      <c r="G1434" s="27">
        <f t="shared" si="28"/>
        <v>-1</v>
      </c>
      <c r="H1434" s="28" t="str">
        <f>VLOOKUP(E1434,'Cadastro Produtos (kiwkiw)'!C:E,3,0)</f>
        <v>Gargantilha Minimal Banho Ouro</v>
      </c>
      <c r="AB1434" s="33" t="s">
        <v>911</v>
      </c>
    </row>
    <row r="1435" spans="2:28" ht="15" customHeight="1" x14ac:dyDescent="0.4">
      <c r="C1435" s="34" t="s">
        <v>6</v>
      </c>
      <c r="D1435" s="35">
        <v>45903</v>
      </c>
      <c r="E1435" s="51" t="s">
        <v>38</v>
      </c>
      <c r="F1435" s="33">
        <v>1</v>
      </c>
      <c r="G1435" s="27">
        <f t="shared" si="28"/>
        <v>-1</v>
      </c>
      <c r="H1435" s="28" t="str">
        <f>VLOOKUP(E1435,'Cadastro Produtos (kiwkiw)'!C:E,3,0)</f>
        <v>Argolinha Click Dots Banho Ouro</v>
      </c>
      <c r="AB1435" s="33" t="s">
        <v>912</v>
      </c>
    </row>
    <row r="1436" spans="2:28" ht="15" customHeight="1" x14ac:dyDescent="0.4">
      <c r="C1436" s="34" t="s">
        <v>6</v>
      </c>
      <c r="D1436" s="35">
        <v>45903</v>
      </c>
      <c r="E1436" s="51" t="s">
        <v>114</v>
      </c>
      <c r="F1436" s="33">
        <v>1</v>
      </c>
      <c r="G1436" s="27">
        <f t="shared" si="28"/>
        <v>-1</v>
      </c>
      <c r="H1436" s="28" t="str">
        <f>VLOOKUP(E1436,'Cadastro Produtos (kiwkiw)'!C:E,3,0)</f>
        <v>Gargantilha Fita Banho Ouro</v>
      </c>
      <c r="AB1436" s="33" t="s">
        <v>912</v>
      </c>
    </row>
    <row r="1437" spans="2:28" ht="15" customHeight="1" x14ac:dyDescent="0.4">
      <c r="B1437" s="43">
        <v>45908.431180555555</v>
      </c>
      <c r="C1437" s="34" t="s">
        <v>6</v>
      </c>
      <c r="D1437" s="35">
        <v>45908</v>
      </c>
      <c r="E1437" s="51" t="s">
        <v>105</v>
      </c>
      <c r="F1437" s="33">
        <v>1</v>
      </c>
      <c r="G1437" s="27">
        <f t="shared" si="28"/>
        <v>-1</v>
      </c>
      <c r="H1437" s="28" t="str">
        <f>VLOOKUP(E1437,'Cadastro Produtos (kiwkiw)'!C:E,3,0)</f>
        <v>Colar Rosa Banho Ouro</v>
      </c>
      <c r="AB1437" s="33" t="s">
        <v>913</v>
      </c>
    </row>
    <row r="1438" spans="2:28" ht="15" customHeight="1" x14ac:dyDescent="0.4">
      <c r="C1438" s="34" t="s">
        <v>6</v>
      </c>
      <c r="D1438" s="35">
        <v>45908</v>
      </c>
      <c r="E1438" s="51" t="s">
        <v>117</v>
      </c>
      <c r="F1438" s="33">
        <v>1</v>
      </c>
      <c r="G1438" s="27">
        <f t="shared" si="28"/>
        <v>-1</v>
      </c>
      <c r="H1438" s="28" t="str">
        <f>VLOOKUP(E1438,'Cadastro Produtos (kiwkiw)'!C:E,3,0)</f>
        <v>Gargantilha Minimal Banho Ouro</v>
      </c>
      <c r="AB1438" s="33" t="s">
        <v>914</v>
      </c>
    </row>
    <row r="1439" spans="2:28" ht="15" customHeight="1" x14ac:dyDescent="0.4">
      <c r="C1439" s="34" t="s">
        <v>6</v>
      </c>
      <c r="D1439" s="35">
        <v>45908</v>
      </c>
      <c r="E1439" s="51" t="s">
        <v>90</v>
      </c>
      <c r="F1439" s="33">
        <v>1</v>
      </c>
      <c r="G1439" s="27">
        <f t="shared" si="28"/>
        <v>-1</v>
      </c>
      <c r="H1439" s="28" t="str">
        <f>VLOOKUP(E1439,'Cadastro Produtos (kiwkiw)'!C:E,3,0)</f>
        <v>Colar Dot Prateado</v>
      </c>
      <c r="AB1439" s="33" t="s">
        <v>915</v>
      </c>
    </row>
    <row r="1440" spans="2:28" ht="15" customHeight="1" x14ac:dyDescent="0.4">
      <c r="B1440" s="43">
        <v>45909.421782407408</v>
      </c>
      <c r="C1440" s="34" t="s">
        <v>6</v>
      </c>
      <c r="D1440" s="35">
        <v>45909</v>
      </c>
      <c r="E1440" s="51" t="s">
        <v>117</v>
      </c>
      <c r="F1440" s="33">
        <v>1</v>
      </c>
      <c r="G1440" s="27">
        <f t="shared" si="28"/>
        <v>-1</v>
      </c>
      <c r="H1440" s="28" t="str">
        <f>VLOOKUP(E1440,'Cadastro Produtos (kiwkiw)'!C:E,3,0)</f>
        <v>Gargantilha Minimal Banho Ouro</v>
      </c>
      <c r="AB1440" s="33" t="s">
        <v>916</v>
      </c>
    </row>
    <row r="1441" spans="2:28" ht="15" customHeight="1" x14ac:dyDescent="0.4">
      <c r="C1441" s="34" t="s">
        <v>6</v>
      </c>
      <c r="D1441" s="35">
        <v>45909</v>
      </c>
      <c r="E1441" s="51" t="s">
        <v>117</v>
      </c>
      <c r="F1441" s="33">
        <v>1</v>
      </c>
      <c r="G1441" s="27">
        <f t="shared" si="28"/>
        <v>-1</v>
      </c>
      <c r="H1441" s="28" t="str">
        <f>VLOOKUP(E1441,'Cadastro Produtos (kiwkiw)'!C:E,3,0)</f>
        <v>Gargantilha Minimal Banho Ouro</v>
      </c>
      <c r="AB1441" s="33" t="s">
        <v>917</v>
      </c>
    </row>
    <row r="1442" spans="2:28" ht="15" customHeight="1" x14ac:dyDescent="0.4">
      <c r="C1442" s="34" t="s">
        <v>6</v>
      </c>
      <c r="D1442" s="35">
        <v>45909</v>
      </c>
      <c r="E1442" s="51" t="s">
        <v>51</v>
      </c>
      <c r="F1442" s="33">
        <v>1</v>
      </c>
      <c r="G1442" s="27">
        <f t="shared" si="28"/>
        <v>-1</v>
      </c>
      <c r="H1442" s="28" t="str">
        <f>VLOOKUP(E1442,'Cadastro Produtos (kiwkiw)'!C:E,3,0)</f>
        <v>Brinco Mini Flecha Banho Ouro</v>
      </c>
      <c r="AB1442" s="33" t="s">
        <v>916</v>
      </c>
    </row>
    <row r="1443" spans="2:28" ht="15" customHeight="1" x14ac:dyDescent="0.4">
      <c r="C1443" s="34" t="s">
        <v>6</v>
      </c>
      <c r="D1443" s="35">
        <v>45909</v>
      </c>
      <c r="E1443" s="51" t="s">
        <v>49</v>
      </c>
      <c r="F1443" s="33">
        <v>1</v>
      </c>
      <c r="G1443" s="27">
        <f t="shared" si="28"/>
        <v>-1</v>
      </c>
      <c r="H1443" s="28" t="str">
        <f>VLOOKUP(E1443,'Cadastro Produtos (kiwkiw)'!C:E,3,0)</f>
        <v>Brinco Coracao Diamond Banho Ouro</v>
      </c>
      <c r="AB1443" s="33" t="s">
        <v>916</v>
      </c>
    </row>
    <row r="1444" spans="2:28" ht="15" customHeight="1" x14ac:dyDescent="0.4">
      <c r="C1444" s="34" t="s">
        <v>6</v>
      </c>
      <c r="D1444" s="35">
        <v>45909</v>
      </c>
      <c r="E1444" s="51" t="s">
        <v>27</v>
      </c>
      <c r="F1444" s="33">
        <v>1</v>
      </c>
      <c r="G1444" s="27">
        <f t="shared" si="28"/>
        <v>-1</v>
      </c>
      <c r="H1444" s="28" t="str">
        <f>VLOOKUP(E1444,'Cadastro Produtos (kiwkiw)'!C:E,3,0)</f>
        <v>Argola Click Media Banho Ouro</v>
      </c>
      <c r="AB1444" s="33" t="s">
        <v>917</v>
      </c>
    </row>
    <row r="1445" spans="2:28" ht="15" customHeight="1" x14ac:dyDescent="0.4">
      <c r="B1445" s="43">
        <v>45911.437604166669</v>
      </c>
      <c r="C1445" s="34" t="s">
        <v>6</v>
      </c>
      <c r="D1445" s="35">
        <v>45911</v>
      </c>
      <c r="E1445" s="51" t="s">
        <v>117</v>
      </c>
      <c r="F1445" s="33">
        <v>1</v>
      </c>
      <c r="G1445" s="27">
        <f t="shared" si="28"/>
        <v>-1</v>
      </c>
      <c r="H1445" s="28" t="str">
        <f>VLOOKUP(E1445,'Cadastro Produtos (kiwkiw)'!C:E,3,0)</f>
        <v>Gargantilha Minimal Banho Ouro</v>
      </c>
      <c r="AB1445" s="33" t="s">
        <v>918</v>
      </c>
    </row>
    <row r="1446" spans="2:28" ht="15" customHeight="1" x14ac:dyDescent="0.4">
      <c r="C1446" s="34" t="s">
        <v>6</v>
      </c>
      <c r="D1446" s="35">
        <v>45911</v>
      </c>
      <c r="E1446" s="51" t="s">
        <v>118</v>
      </c>
      <c r="F1446" s="33">
        <v>1</v>
      </c>
      <c r="G1446" s="27">
        <f t="shared" si="28"/>
        <v>-1</v>
      </c>
      <c r="H1446" s="28" t="str">
        <f>VLOOKUP(E1446,'Cadastro Produtos (kiwkiw)'!C:E,3,0)</f>
        <v>Gargantilha Minimal Prateada</v>
      </c>
      <c r="AB1446" s="33" t="s">
        <v>918</v>
      </c>
    </row>
    <row r="1447" spans="2:28" ht="15" customHeight="1" x14ac:dyDescent="0.4">
      <c r="B1447" s="43">
        <v>45911.438900462963</v>
      </c>
      <c r="C1447" s="34" t="s">
        <v>6</v>
      </c>
      <c r="D1447" s="35">
        <v>45911</v>
      </c>
      <c r="E1447" s="51" t="s">
        <v>117</v>
      </c>
      <c r="F1447" s="33">
        <v>1</v>
      </c>
      <c r="G1447" s="27">
        <f t="shared" si="28"/>
        <v>-1</v>
      </c>
      <c r="H1447" s="28" t="str">
        <f>VLOOKUP(E1447,'Cadastro Produtos (kiwkiw)'!C:E,3,0)</f>
        <v>Gargantilha Minimal Banho Ouro</v>
      </c>
      <c r="AB1447" s="33" t="s">
        <v>918</v>
      </c>
    </row>
    <row r="1448" spans="2:28" ht="15" customHeight="1" x14ac:dyDescent="0.4">
      <c r="C1448" s="34" t="s">
        <v>6</v>
      </c>
      <c r="D1448" s="35">
        <v>45911</v>
      </c>
      <c r="E1448" s="51" t="s">
        <v>118</v>
      </c>
      <c r="F1448" s="33">
        <v>1</v>
      </c>
      <c r="G1448" s="27">
        <f t="shared" si="28"/>
        <v>-1</v>
      </c>
      <c r="H1448" s="28" t="str">
        <f>VLOOKUP(E1448,'Cadastro Produtos (kiwkiw)'!C:E,3,0)</f>
        <v>Gargantilha Minimal Prateada</v>
      </c>
      <c r="AB1448" s="33" t="s">
        <v>918</v>
      </c>
    </row>
    <row r="1449" spans="2:28" ht="15" customHeight="1" x14ac:dyDescent="0.4">
      <c r="B1449" s="43">
        <v>45912.43109953704</v>
      </c>
      <c r="C1449" s="34" t="s">
        <v>6</v>
      </c>
      <c r="D1449" s="35">
        <v>45912</v>
      </c>
      <c r="E1449" s="51" t="s">
        <v>59</v>
      </c>
      <c r="F1449" s="33">
        <v>1</v>
      </c>
      <c r="G1449" s="27">
        <f t="shared" si="28"/>
        <v>-1</v>
      </c>
      <c r="H1449" s="28" t="str">
        <f>VLOOKUP(E1449,'Cadastro Produtos (kiwkiw)'!C:E,3,0)</f>
        <v>Brinco Oncinha Banho Ouro</v>
      </c>
      <c r="AB1449" s="33" t="s">
        <v>919</v>
      </c>
    </row>
    <row r="1450" spans="2:28" ht="15" customHeight="1" x14ac:dyDescent="0.4">
      <c r="C1450" s="34" t="s">
        <v>6</v>
      </c>
      <c r="D1450" s="35">
        <v>45912</v>
      </c>
      <c r="E1450" s="51" t="s">
        <v>61</v>
      </c>
      <c r="F1450" s="33">
        <v>1</v>
      </c>
      <c r="G1450" s="27">
        <f t="shared" si="28"/>
        <v>-1</v>
      </c>
      <c r="H1450" s="28" t="str">
        <f>VLOOKUP(E1450,'Cadastro Produtos (kiwkiw)'!C:E,3,0)</f>
        <v>Brinco Setas Banho Ouro</v>
      </c>
      <c r="AB1450" s="33" t="s">
        <v>919</v>
      </c>
    </row>
    <row r="1451" spans="2:28" ht="15" customHeight="1" x14ac:dyDescent="0.4">
      <c r="C1451" s="34" t="s">
        <v>6</v>
      </c>
      <c r="D1451" s="35">
        <v>45912</v>
      </c>
      <c r="E1451" s="51" t="s">
        <v>72</v>
      </c>
      <c r="F1451" s="33">
        <v>1</v>
      </c>
      <c r="G1451" s="27">
        <f t="shared" si="28"/>
        <v>-1</v>
      </c>
      <c r="H1451" s="28" t="str">
        <f>VLOOKUP(E1451,'Cadastro Produtos (kiwkiw)'!C:E,3,0)</f>
        <v>Ear Hook Line Banho Ouro</v>
      </c>
      <c r="AB1451" s="33" t="s">
        <v>919</v>
      </c>
    </row>
    <row r="1452" spans="2:28" ht="15" customHeight="1" x14ac:dyDescent="0.4">
      <c r="B1452" s="43">
        <v>45915.421979166669</v>
      </c>
      <c r="C1452" s="34" t="s">
        <v>6</v>
      </c>
      <c r="D1452" s="35">
        <v>45915</v>
      </c>
      <c r="E1452" s="51" t="s">
        <v>117</v>
      </c>
      <c r="F1452" s="33">
        <v>1</v>
      </c>
      <c r="G1452" s="27">
        <f t="shared" si="28"/>
        <v>-1</v>
      </c>
      <c r="H1452" s="28" t="str">
        <f>VLOOKUP(E1452,'Cadastro Produtos (kiwkiw)'!C:E,3,0)</f>
        <v>Gargantilha Minimal Banho Ouro</v>
      </c>
      <c r="AB1452" s="33" t="s">
        <v>920</v>
      </c>
    </row>
    <row r="1453" spans="2:28" ht="15" customHeight="1" x14ac:dyDescent="0.4">
      <c r="C1453" s="34" t="s">
        <v>6</v>
      </c>
      <c r="D1453" s="35">
        <v>45915</v>
      </c>
      <c r="E1453" s="51" t="s">
        <v>117</v>
      </c>
      <c r="F1453" s="33">
        <v>1</v>
      </c>
      <c r="G1453" s="27">
        <f t="shared" si="28"/>
        <v>-1</v>
      </c>
      <c r="H1453" s="28" t="str">
        <f>VLOOKUP(E1453,'Cadastro Produtos (kiwkiw)'!C:E,3,0)</f>
        <v>Gargantilha Minimal Banho Ouro</v>
      </c>
      <c r="AB1453" s="33" t="s">
        <v>921</v>
      </c>
    </row>
    <row r="1454" spans="2:28" ht="15" customHeight="1" x14ac:dyDescent="0.4">
      <c r="C1454" s="34" t="s">
        <v>6</v>
      </c>
      <c r="D1454" s="35">
        <v>45915</v>
      </c>
      <c r="E1454" s="51" t="s">
        <v>118</v>
      </c>
      <c r="F1454" s="33">
        <v>1</v>
      </c>
      <c r="G1454" s="27">
        <f t="shared" si="28"/>
        <v>-1</v>
      </c>
      <c r="H1454" s="28" t="str">
        <f>VLOOKUP(E1454,'Cadastro Produtos (kiwkiw)'!C:E,3,0)</f>
        <v>Gargantilha Minimal Prateada</v>
      </c>
      <c r="AB1454" s="33" t="s">
        <v>921</v>
      </c>
    </row>
    <row r="1455" spans="2:28" ht="15" customHeight="1" x14ac:dyDescent="0.4">
      <c r="C1455" s="34" t="s">
        <v>6</v>
      </c>
      <c r="D1455" s="35">
        <v>45915</v>
      </c>
      <c r="E1455" s="51" t="s">
        <v>114</v>
      </c>
      <c r="F1455" s="33">
        <v>1</v>
      </c>
      <c r="G1455" s="27">
        <f t="shared" si="28"/>
        <v>-1</v>
      </c>
      <c r="H1455" s="28" t="str">
        <f>VLOOKUP(E1455,'Cadastro Produtos (kiwkiw)'!C:E,3,0)</f>
        <v>Gargantilha Fita Banho Ouro</v>
      </c>
      <c r="AB1455" s="33" t="s">
        <v>921</v>
      </c>
    </row>
    <row r="1456" spans="2:28" ht="15" customHeight="1" x14ac:dyDescent="0.4">
      <c r="C1456" s="34" t="s">
        <v>6</v>
      </c>
      <c r="D1456" s="35">
        <v>45915</v>
      </c>
      <c r="E1456" s="51" t="s">
        <v>43</v>
      </c>
      <c r="F1456" s="33">
        <v>1</v>
      </c>
      <c r="G1456" s="27">
        <f t="shared" si="28"/>
        <v>-1</v>
      </c>
      <c r="H1456" s="28" t="str">
        <f>VLOOKUP(E1456,'Cadastro Produtos (kiwkiw)'!C:E,3,0)</f>
        <v>Brinco Mini Aviao Banho Ouro</v>
      </c>
      <c r="AB1456" s="33" t="s">
        <v>921</v>
      </c>
    </row>
    <row r="1457" spans="2:28" ht="15" customHeight="1" x14ac:dyDescent="0.4">
      <c r="B1457" s="43">
        <v>45915.755011574074</v>
      </c>
      <c r="C1457" s="34" t="s">
        <v>5</v>
      </c>
      <c r="D1457" s="35">
        <v>45910</v>
      </c>
      <c r="E1457" s="51" t="s">
        <v>93</v>
      </c>
      <c r="F1457" s="33">
        <v>3</v>
      </c>
      <c r="G1457" s="27">
        <f t="shared" si="28"/>
        <v>3</v>
      </c>
      <c r="H1457" s="28" t="str">
        <f>VLOOKUP(E1457,'Cadastro Produtos (kiwkiw)'!C:E,3,0)</f>
        <v>Colar Coracao Prateado</v>
      </c>
      <c r="AB1457" s="33" t="s">
        <v>922</v>
      </c>
    </row>
    <row r="1458" spans="2:28" ht="15" customHeight="1" x14ac:dyDescent="0.4">
      <c r="C1458" s="34" t="s">
        <v>5</v>
      </c>
      <c r="D1458" s="35">
        <v>45910</v>
      </c>
      <c r="E1458" s="51" t="s">
        <v>110</v>
      </c>
      <c r="F1458" s="33">
        <v>2</v>
      </c>
      <c r="G1458" s="27">
        <f t="shared" si="28"/>
        <v>2</v>
      </c>
      <c r="H1458" s="28" t="str">
        <f>VLOOKUP(E1458,'Cadastro Produtos (kiwkiw)'!C:E,3,0)</f>
        <v>Colar Corrente Groumet Banho Ouro</v>
      </c>
      <c r="AB1458" s="33" t="s">
        <v>922</v>
      </c>
    </row>
    <row r="1459" spans="2:28" ht="15" customHeight="1" x14ac:dyDescent="0.4">
      <c r="C1459" s="34" t="s">
        <v>5</v>
      </c>
      <c r="D1459" s="35">
        <v>45910</v>
      </c>
      <c r="E1459" s="51" t="s">
        <v>90</v>
      </c>
      <c r="F1459" s="33">
        <v>5</v>
      </c>
      <c r="G1459" s="27">
        <f t="shared" si="28"/>
        <v>5</v>
      </c>
      <c r="H1459" s="28" t="str">
        <f>VLOOKUP(E1459,'Cadastro Produtos (kiwkiw)'!C:E,3,0)</f>
        <v>Colar Dot Prateado</v>
      </c>
      <c r="AB1459" s="33" t="s">
        <v>922</v>
      </c>
    </row>
    <row r="1460" spans="2:28" ht="15" customHeight="1" x14ac:dyDescent="0.4">
      <c r="C1460" s="34" t="s">
        <v>5</v>
      </c>
      <c r="D1460" s="35">
        <v>45910</v>
      </c>
      <c r="E1460" s="51" t="s">
        <v>95</v>
      </c>
      <c r="F1460" s="33">
        <v>4</v>
      </c>
      <c r="G1460" s="27">
        <f t="shared" si="28"/>
        <v>4</v>
      </c>
      <c r="H1460" s="28" t="str">
        <f>VLOOKUP(E1460,'Cadastro Produtos (kiwkiw)'!C:E,3,0)</f>
        <v>Colar Duplo Dots Prateado</v>
      </c>
      <c r="AB1460" s="33" t="s">
        <v>922</v>
      </c>
    </row>
    <row r="1461" spans="2:28" ht="15" customHeight="1" x14ac:dyDescent="0.4">
      <c r="B1461" s="43"/>
      <c r="C1461" s="34" t="s">
        <v>5</v>
      </c>
      <c r="D1461" s="35">
        <v>45910</v>
      </c>
      <c r="E1461" s="51" t="s">
        <v>22</v>
      </c>
      <c r="F1461" s="33">
        <v>1</v>
      </c>
      <c r="G1461" s="27">
        <f t="shared" si="28"/>
        <v>1</v>
      </c>
      <c r="H1461" s="28" t="str">
        <f>VLOOKUP(E1461,'Cadastro Produtos (kiwkiw)'!C:E,3,0)</f>
        <v>Argola Bold Grande Banho Ouro</v>
      </c>
      <c r="AB1461" s="33" t="s">
        <v>922</v>
      </c>
    </row>
    <row r="1462" spans="2:28" ht="15" customHeight="1" x14ac:dyDescent="0.4">
      <c r="C1462" s="34" t="s">
        <v>5</v>
      </c>
      <c r="D1462" s="35">
        <v>45910</v>
      </c>
      <c r="E1462" s="51" t="s">
        <v>99</v>
      </c>
      <c r="F1462" s="33">
        <v>5</v>
      </c>
      <c r="G1462" s="27">
        <f t="shared" si="28"/>
        <v>5</v>
      </c>
      <c r="H1462" s="28" t="str">
        <f>VLOOKUP(E1462,'Cadastro Produtos (kiwkiw)'!C:E,3,0)</f>
        <v>Colar Esfera Medio Banho Ouro</v>
      </c>
      <c r="AB1462" s="33" t="s">
        <v>922</v>
      </c>
    </row>
    <row r="1463" spans="2:28" ht="15" customHeight="1" x14ac:dyDescent="0.4">
      <c r="C1463" s="34" t="s">
        <v>5</v>
      </c>
      <c r="D1463" s="35">
        <v>45910</v>
      </c>
      <c r="E1463" s="51" t="s">
        <v>35</v>
      </c>
      <c r="F1463" s="33">
        <v>11</v>
      </c>
      <c r="G1463" s="27">
        <f t="shared" si="28"/>
        <v>11</v>
      </c>
      <c r="H1463" s="28" t="str">
        <f>VLOOKUP(E1463,'Cadastro Produtos (kiwkiw)'!C:E,3,0)</f>
        <v>Argola Classy Banho Ouro</v>
      </c>
      <c r="AB1463" s="33" t="s">
        <v>922</v>
      </c>
    </row>
    <row r="1464" spans="2:28" ht="15" customHeight="1" x14ac:dyDescent="0.4">
      <c r="C1464" s="34" t="s">
        <v>5</v>
      </c>
      <c r="D1464" s="35">
        <v>45910</v>
      </c>
      <c r="E1464" s="51" t="s">
        <v>103</v>
      </c>
      <c r="F1464" s="33">
        <v>1</v>
      </c>
      <c r="G1464" s="27">
        <f t="shared" si="28"/>
        <v>1</v>
      </c>
      <c r="H1464" s="28" t="str">
        <f>VLOOKUP(E1464,'Cadastro Produtos (kiwkiw)'!C:E,3,0)</f>
        <v>Colar Ivy Banho Ouro</v>
      </c>
      <c r="AB1464" s="33" t="s">
        <v>922</v>
      </c>
    </row>
    <row r="1465" spans="2:28" ht="15" customHeight="1" x14ac:dyDescent="0.4">
      <c r="C1465" s="34" t="s">
        <v>5</v>
      </c>
      <c r="D1465" s="35">
        <v>45910</v>
      </c>
      <c r="E1465" s="51" t="s">
        <v>36</v>
      </c>
      <c r="F1465" s="33">
        <v>5</v>
      </c>
      <c r="G1465" s="27">
        <f t="shared" si="28"/>
        <v>5</v>
      </c>
      <c r="H1465" s="28" t="str">
        <f>VLOOKUP(E1465,'Cadastro Produtos (kiwkiw)'!C:E,3,0)</f>
        <v>Argola Classy Prateada</v>
      </c>
      <c r="AB1465" s="33" t="s">
        <v>922</v>
      </c>
    </row>
    <row r="1466" spans="2:28" ht="15" customHeight="1" x14ac:dyDescent="0.4">
      <c r="B1466" s="43"/>
      <c r="C1466" s="34" t="s">
        <v>5</v>
      </c>
      <c r="D1466" s="35">
        <v>45910</v>
      </c>
      <c r="E1466" s="51" t="s">
        <v>26</v>
      </c>
      <c r="F1466" s="33">
        <v>1</v>
      </c>
      <c r="G1466" s="27">
        <f t="shared" si="28"/>
        <v>1</v>
      </c>
      <c r="H1466" s="28" t="str">
        <f>VLOOKUP(E1466,'Cadastro Produtos (kiwkiw)'!C:E,3,0)</f>
        <v>Argola Click Grande Banho Ouro</v>
      </c>
      <c r="AB1466" s="33" t="s">
        <v>922</v>
      </c>
    </row>
    <row r="1467" spans="2:28" ht="15" customHeight="1" x14ac:dyDescent="0.4">
      <c r="C1467" s="34" t="s">
        <v>5</v>
      </c>
      <c r="D1467" s="35">
        <v>45910</v>
      </c>
      <c r="E1467" s="51" t="s">
        <v>102</v>
      </c>
      <c r="F1467" s="33">
        <v>3</v>
      </c>
      <c r="G1467" s="27">
        <f t="shared" si="28"/>
        <v>3</v>
      </c>
      <c r="H1467" s="28" t="str">
        <f>VLOOKUP(E1467,'Cadastro Produtos (kiwkiw)'!C:E,3,0)</f>
        <v>Colar Longo Lua Banho Ouro</v>
      </c>
      <c r="AB1467" s="33" t="s">
        <v>922</v>
      </c>
    </row>
    <row r="1468" spans="2:28" ht="15" customHeight="1" x14ac:dyDescent="0.4">
      <c r="C1468" s="34" t="s">
        <v>5</v>
      </c>
      <c r="D1468" s="35">
        <v>45910</v>
      </c>
      <c r="E1468" s="51" t="s">
        <v>31</v>
      </c>
      <c r="F1468" s="33">
        <v>4</v>
      </c>
      <c r="G1468" s="27">
        <f t="shared" si="28"/>
        <v>4</v>
      </c>
      <c r="H1468" s="28" t="str">
        <f>VLOOKUP(E1468,'Cadastro Produtos (kiwkiw)'!C:E,3,0)</f>
        <v>Argola Reta Basic Banho Ouro</v>
      </c>
      <c r="AB1468" s="33" t="s">
        <v>922</v>
      </c>
    </row>
    <row r="1469" spans="2:28" ht="15" customHeight="1" x14ac:dyDescent="0.4">
      <c r="C1469" s="34" t="s">
        <v>5</v>
      </c>
      <c r="D1469" s="35">
        <v>45910</v>
      </c>
      <c r="E1469" s="51" t="s">
        <v>33</v>
      </c>
      <c r="F1469" s="33">
        <v>2</v>
      </c>
      <c r="G1469" s="27">
        <f t="shared" si="28"/>
        <v>2</v>
      </c>
      <c r="H1469" s="28" t="str">
        <f>VLOOKUP(E1469,'Cadastro Produtos (kiwkiw)'!C:E,3,0)</f>
        <v>Argola Torcida Banho Ouro</v>
      </c>
      <c r="AB1469" s="33" t="s">
        <v>922</v>
      </c>
    </row>
    <row r="1470" spans="2:28" ht="15" customHeight="1" x14ac:dyDescent="0.4">
      <c r="C1470" s="34" t="s">
        <v>5</v>
      </c>
      <c r="D1470" s="35">
        <v>45910</v>
      </c>
      <c r="E1470" s="51" t="s">
        <v>105</v>
      </c>
      <c r="F1470" s="33">
        <v>1</v>
      </c>
      <c r="G1470" s="27">
        <f t="shared" si="28"/>
        <v>1</v>
      </c>
      <c r="H1470" s="28" t="str">
        <f>VLOOKUP(E1470,'Cadastro Produtos (kiwkiw)'!C:E,3,0)</f>
        <v>Colar Rosa Banho Ouro</v>
      </c>
      <c r="AB1470" s="33" t="s">
        <v>922</v>
      </c>
    </row>
    <row r="1471" spans="2:28" ht="15" customHeight="1" x14ac:dyDescent="0.4">
      <c r="C1471" s="34" t="s">
        <v>5</v>
      </c>
      <c r="D1471" s="35">
        <v>45910</v>
      </c>
      <c r="E1471" s="51" t="s">
        <v>38</v>
      </c>
      <c r="F1471" s="33">
        <v>4</v>
      </c>
      <c r="G1471" s="27">
        <f t="shared" si="28"/>
        <v>4</v>
      </c>
      <c r="H1471" s="28" t="str">
        <f>VLOOKUP(E1471,'Cadastro Produtos (kiwkiw)'!C:E,3,0)</f>
        <v>Argolinha Click Dots Banho Ouro</v>
      </c>
      <c r="AB1471" s="33" t="s">
        <v>922</v>
      </c>
    </row>
    <row r="1472" spans="2:28" ht="15" customHeight="1" x14ac:dyDescent="0.4">
      <c r="C1472" s="34" t="s">
        <v>5</v>
      </c>
      <c r="D1472" s="35">
        <v>45910</v>
      </c>
      <c r="E1472" s="51" t="s">
        <v>91</v>
      </c>
      <c r="F1472" s="33">
        <v>5</v>
      </c>
      <c r="G1472" s="27">
        <f t="shared" si="28"/>
        <v>5</v>
      </c>
      <c r="H1472" s="28" t="str">
        <f>VLOOKUP(E1472,'Cadastro Produtos (kiwkiw)'!C:E,3,0)</f>
        <v>Colar Rosa dos Ventos Banho Ouro</v>
      </c>
      <c r="AB1472" s="33" t="s">
        <v>922</v>
      </c>
    </row>
    <row r="1473" spans="2:28" ht="15" customHeight="1" x14ac:dyDescent="0.4">
      <c r="B1473" s="43"/>
      <c r="C1473" s="34" t="s">
        <v>5</v>
      </c>
      <c r="D1473" s="35">
        <v>45910</v>
      </c>
      <c r="E1473" s="51" t="s">
        <v>40</v>
      </c>
      <c r="F1473" s="33">
        <v>1</v>
      </c>
      <c r="G1473" s="27">
        <f t="shared" si="28"/>
        <v>1</v>
      </c>
      <c r="H1473" s="28" t="str">
        <f>VLOOKUP(E1473,'Cadastro Produtos (kiwkiw)'!C:E,3,0)</f>
        <v>Argolinha Folha Banho Ouro</v>
      </c>
      <c r="AB1473" s="33" t="s">
        <v>922</v>
      </c>
    </row>
    <row r="1474" spans="2:28" ht="15" customHeight="1" x14ac:dyDescent="0.4">
      <c r="C1474" s="34" t="s">
        <v>5</v>
      </c>
      <c r="D1474" s="35">
        <v>45910</v>
      </c>
      <c r="E1474" s="51" t="s">
        <v>41</v>
      </c>
      <c r="F1474" s="33">
        <v>1</v>
      </c>
      <c r="G1474" s="27">
        <f t="shared" si="28"/>
        <v>1</v>
      </c>
      <c r="H1474" s="28" t="str">
        <f>VLOOKUP(E1474,'Cadastro Produtos (kiwkiw)'!C:E,3,0)</f>
        <v>Argolinha Sol Banho Ouro</v>
      </c>
      <c r="AB1474" s="33" t="s">
        <v>922</v>
      </c>
    </row>
    <row r="1475" spans="2:28" ht="15" customHeight="1" x14ac:dyDescent="0.4">
      <c r="C1475" s="34" t="s">
        <v>5</v>
      </c>
      <c r="D1475" s="35">
        <v>45910</v>
      </c>
      <c r="E1475" s="51" t="s">
        <v>120</v>
      </c>
      <c r="F1475" s="33">
        <v>1</v>
      </c>
      <c r="G1475" s="27">
        <f t="shared" si="28"/>
        <v>1</v>
      </c>
      <c r="H1475" s="28" t="str">
        <f>VLOOKUP(E1475,'Cadastro Produtos (kiwkiw)'!C:E,3,0)</f>
        <v>Bracelete Ivy Banho Ouro</v>
      </c>
      <c r="AB1475" s="33" t="s">
        <v>922</v>
      </c>
    </row>
    <row r="1476" spans="2:28" ht="15" customHeight="1" x14ac:dyDescent="0.4">
      <c r="C1476" s="34" t="s">
        <v>5</v>
      </c>
      <c r="D1476" s="35">
        <v>45910</v>
      </c>
      <c r="E1476" s="51" t="s">
        <v>75</v>
      </c>
      <c r="F1476" s="33">
        <v>1</v>
      </c>
      <c r="G1476" s="27">
        <f t="shared" si="28"/>
        <v>1</v>
      </c>
      <c r="H1476" s="28" t="str">
        <f>VLOOKUP(E1476,'Cadastro Produtos (kiwkiw)'!C:E,3,0)</f>
        <v>Ear Hook Diamond Banho Ouro</v>
      </c>
      <c r="AB1476" s="33" t="s">
        <v>922</v>
      </c>
    </row>
    <row r="1477" spans="2:28" ht="15" customHeight="1" x14ac:dyDescent="0.4">
      <c r="B1477" s="43"/>
      <c r="C1477" s="34" t="s">
        <v>5</v>
      </c>
      <c r="D1477" s="35">
        <v>45910</v>
      </c>
      <c r="E1477" s="51" t="s">
        <v>76</v>
      </c>
      <c r="F1477" s="33">
        <v>3</v>
      </c>
      <c r="G1477" s="27">
        <f t="shared" si="28"/>
        <v>3</v>
      </c>
      <c r="H1477" s="28" t="str">
        <f>VLOOKUP(E1477,'Cadastro Produtos (kiwkiw)'!C:E,3,0)</f>
        <v>EarHook Dots Banho Ouro</v>
      </c>
      <c r="AB1477" s="33" t="s">
        <v>922</v>
      </c>
    </row>
    <row r="1478" spans="2:28" ht="15" customHeight="1" x14ac:dyDescent="0.4">
      <c r="C1478" s="34" t="s">
        <v>5</v>
      </c>
      <c r="D1478" s="35">
        <v>45910</v>
      </c>
      <c r="E1478" s="51" t="s">
        <v>42</v>
      </c>
      <c r="F1478" s="33">
        <v>3</v>
      </c>
      <c r="G1478" s="27">
        <f t="shared" si="28"/>
        <v>3</v>
      </c>
      <c r="H1478" s="28" t="str">
        <f>VLOOKUP(E1478,'Cadastro Produtos (kiwkiw)'!C:E,3,0)</f>
        <v>Brinco Arco Banho Ouro</v>
      </c>
      <c r="AB1478" s="33" t="s">
        <v>922</v>
      </c>
    </row>
    <row r="1479" spans="2:28" ht="15" customHeight="1" x14ac:dyDescent="0.4">
      <c r="C1479" s="34" t="s">
        <v>5</v>
      </c>
      <c r="D1479" s="35">
        <v>45910</v>
      </c>
      <c r="E1479" s="51" t="s">
        <v>49</v>
      </c>
      <c r="F1479" s="33">
        <v>2</v>
      </c>
      <c r="G1479" s="27">
        <f t="shared" si="28"/>
        <v>2</v>
      </c>
      <c r="H1479" s="28" t="str">
        <f>VLOOKUP(E1479,'Cadastro Produtos (kiwkiw)'!C:E,3,0)</f>
        <v>Brinco Coracao Diamond Banho Ouro</v>
      </c>
      <c r="AB1479" s="33" t="s">
        <v>922</v>
      </c>
    </row>
    <row r="1480" spans="2:28" ht="15" customHeight="1" x14ac:dyDescent="0.4">
      <c r="C1480" s="34" t="s">
        <v>5</v>
      </c>
      <c r="D1480" s="35">
        <v>45910</v>
      </c>
      <c r="E1480" s="51" t="s">
        <v>50</v>
      </c>
      <c r="F1480" s="33">
        <v>2</v>
      </c>
      <c r="G1480" s="27">
        <f t="shared" si="28"/>
        <v>2</v>
      </c>
      <c r="H1480" s="28" t="str">
        <f>VLOOKUP(E1480,'Cadastro Produtos (kiwkiw)'!C:E,3,0)</f>
        <v>Brinco Elos Banho Ouro</v>
      </c>
      <c r="AB1480" s="33" t="s">
        <v>922</v>
      </c>
    </row>
    <row r="1481" spans="2:28" ht="15" customHeight="1" x14ac:dyDescent="0.4">
      <c r="C1481" s="34" t="s">
        <v>5</v>
      </c>
      <c r="D1481" s="35">
        <v>45910</v>
      </c>
      <c r="E1481" s="51" t="s">
        <v>78</v>
      </c>
      <c r="F1481" s="33">
        <v>2</v>
      </c>
      <c r="G1481" s="27">
        <f t="shared" si="28"/>
        <v>2</v>
      </c>
      <c r="H1481" s="28" t="str">
        <f>VLOOKUP(E1481,'Cadastro Produtos (kiwkiw)'!C:E,3,0)</f>
        <v>EarHook Torcido Prateado</v>
      </c>
      <c r="AB1481" s="33" t="s">
        <v>922</v>
      </c>
    </row>
    <row r="1482" spans="2:28" ht="15" customHeight="1" x14ac:dyDescent="0.4">
      <c r="C1482" s="34" t="s">
        <v>5</v>
      </c>
      <c r="D1482" s="35">
        <v>45910</v>
      </c>
      <c r="E1482" s="51" t="s">
        <v>70</v>
      </c>
      <c r="F1482" s="33">
        <v>1</v>
      </c>
      <c r="G1482" s="27">
        <f t="shared" si="28"/>
        <v>1</v>
      </c>
      <c r="H1482" s="28" t="str">
        <f>VLOOKUP(E1482,'Cadastro Produtos (kiwkiw)'!C:E,3,0)</f>
        <v>Brinco Geometrico Banho Ouro</v>
      </c>
      <c r="AB1482" s="33" t="s">
        <v>922</v>
      </c>
    </row>
    <row r="1483" spans="2:28" ht="15" customHeight="1" x14ac:dyDescent="0.4">
      <c r="C1483" s="34" t="s">
        <v>5</v>
      </c>
      <c r="D1483" s="35">
        <v>45910</v>
      </c>
      <c r="E1483" s="51" t="s">
        <v>53</v>
      </c>
      <c r="F1483" s="33">
        <v>2</v>
      </c>
      <c r="G1483" s="27">
        <f t="shared" si="28"/>
        <v>2</v>
      </c>
      <c r="H1483" s="28" t="str">
        <f>VLOOKUP(E1483,'Cadastro Produtos (kiwkiw)'!C:E,3,0)</f>
        <v>Brinco Infinito Banho Ouro</v>
      </c>
      <c r="AB1483" s="33" t="s">
        <v>922</v>
      </c>
    </row>
    <row r="1484" spans="2:28" ht="15" customHeight="1" x14ac:dyDescent="0.4">
      <c r="C1484" s="34" t="s">
        <v>5</v>
      </c>
      <c r="D1484" s="35">
        <v>45910</v>
      </c>
      <c r="E1484" s="51" t="s">
        <v>54</v>
      </c>
      <c r="F1484" s="33">
        <v>15</v>
      </c>
      <c r="G1484" s="27">
        <f t="shared" si="28"/>
        <v>15</v>
      </c>
      <c r="H1484" s="28" t="str">
        <f>VLOOKUP(E1484,'Cadastro Produtos (kiwkiw)'!C:E,3,0)</f>
        <v>Brinco Ivy Banho Ouro</v>
      </c>
      <c r="AB1484" s="33" t="s">
        <v>922</v>
      </c>
    </row>
    <row r="1485" spans="2:28" ht="15" customHeight="1" x14ac:dyDescent="0.4">
      <c r="C1485" s="34" t="s">
        <v>5</v>
      </c>
      <c r="D1485" s="35">
        <v>45910</v>
      </c>
      <c r="E1485" s="51" t="s">
        <v>113</v>
      </c>
      <c r="F1485" s="33">
        <v>2</v>
      </c>
      <c r="G1485" s="27">
        <f t="shared" si="28"/>
        <v>2</v>
      </c>
      <c r="H1485" s="28" t="str">
        <f>VLOOKUP(E1485,'Cadastro Produtos (kiwkiw)'!C:E,3,0)</f>
        <v>Gargantilha Escama Prateada</v>
      </c>
      <c r="AB1485" s="33" t="s">
        <v>922</v>
      </c>
    </row>
    <row r="1486" spans="2:28" ht="15" customHeight="1" x14ac:dyDescent="0.4">
      <c r="C1486" s="34" t="s">
        <v>5</v>
      </c>
      <c r="D1486" s="35">
        <v>45910</v>
      </c>
      <c r="E1486" s="51" t="s">
        <v>115</v>
      </c>
      <c r="F1486" s="33">
        <v>2</v>
      </c>
      <c r="G1486" s="27">
        <f t="shared" si="28"/>
        <v>2</v>
      </c>
      <c r="H1486" s="28" t="str">
        <f>VLOOKUP(E1486,'Cadastro Produtos (kiwkiw)'!C:E,3,0)</f>
        <v>Gargantilha Fita Prateada</v>
      </c>
      <c r="AB1486" s="33" t="s">
        <v>922</v>
      </c>
    </row>
    <row r="1487" spans="2:28" ht="15" customHeight="1" x14ac:dyDescent="0.4">
      <c r="C1487" s="34" t="s">
        <v>5</v>
      </c>
      <c r="D1487" s="35">
        <v>45910</v>
      </c>
      <c r="E1487" s="51" t="s">
        <v>118</v>
      </c>
      <c r="F1487" s="33">
        <v>8</v>
      </c>
      <c r="G1487" s="27">
        <f t="shared" si="28"/>
        <v>8</v>
      </c>
      <c r="H1487" s="28" t="str">
        <f>VLOOKUP(E1487,'Cadastro Produtos (kiwkiw)'!C:E,3,0)</f>
        <v>Gargantilha Minimal Prateada</v>
      </c>
      <c r="AB1487" s="33" t="s">
        <v>922</v>
      </c>
    </row>
    <row r="1488" spans="2:28" ht="15" customHeight="1" x14ac:dyDescent="0.4">
      <c r="C1488" s="34" t="s">
        <v>5</v>
      </c>
      <c r="D1488" s="35">
        <v>45910</v>
      </c>
      <c r="E1488" s="51" t="s">
        <v>56</v>
      </c>
      <c r="F1488" s="33">
        <v>5</v>
      </c>
      <c r="G1488" s="27">
        <f t="shared" si="28"/>
        <v>5</v>
      </c>
      <c r="H1488" s="28" t="str">
        <f>VLOOKUP(E1488,'Cadastro Produtos (kiwkiw)'!C:E,3,0)</f>
        <v>Brinco Mini Raio Banho Ouro</v>
      </c>
      <c r="AB1488" s="33" t="s">
        <v>922</v>
      </c>
    </row>
    <row r="1489" spans="3:28" ht="15" customHeight="1" x14ac:dyDescent="0.4">
      <c r="C1489" s="34" t="s">
        <v>5</v>
      </c>
      <c r="D1489" s="35">
        <v>45910</v>
      </c>
      <c r="E1489" s="51" t="s">
        <v>57</v>
      </c>
      <c r="F1489" s="33">
        <v>3</v>
      </c>
      <c r="G1489" s="27">
        <f t="shared" ref="G1489:G1553" si="29">IF(C1489="Entrada",F1489,-F1489)</f>
        <v>3</v>
      </c>
      <c r="H1489" s="28" t="str">
        <f>VLOOKUP(E1489,'Cadastro Produtos (kiwkiw)'!C:E,3,0)</f>
        <v>Brinco Mini Raio Prateado</v>
      </c>
      <c r="AB1489" s="33" t="s">
        <v>922</v>
      </c>
    </row>
    <row r="1490" spans="3:28" ht="15" customHeight="1" x14ac:dyDescent="0.4">
      <c r="C1490" s="34" t="s">
        <v>5</v>
      </c>
      <c r="D1490" s="35">
        <v>45910</v>
      </c>
      <c r="E1490" s="51" t="s">
        <v>79</v>
      </c>
      <c r="F1490" s="33">
        <v>1</v>
      </c>
      <c r="G1490" s="27">
        <f t="shared" si="29"/>
        <v>1</v>
      </c>
      <c r="H1490" s="28" t="str">
        <f>VLOOKUP(E1490,'Cadastro Produtos (kiwkiw)'!C:E,3,0)</f>
        <v>Kit Brincos Coracao e Triangulo Banho Ouro</v>
      </c>
      <c r="AB1490" s="33" t="s">
        <v>922</v>
      </c>
    </row>
    <row r="1491" spans="3:28" ht="15" customHeight="1" x14ac:dyDescent="0.4">
      <c r="C1491" s="34" t="s">
        <v>5</v>
      </c>
      <c r="D1491" s="35">
        <v>45910</v>
      </c>
      <c r="E1491" s="51" t="s">
        <v>59</v>
      </c>
      <c r="F1491" s="33">
        <v>1</v>
      </c>
      <c r="G1491" s="27">
        <f t="shared" si="29"/>
        <v>1</v>
      </c>
      <c r="H1491" s="28" t="str">
        <f>VLOOKUP(E1491,'Cadastro Produtos (kiwkiw)'!C:E,3,0)</f>
        <v>Brinco Oncinha Banho Ouro</v>
      </c>
      <c r="AB1491" s="33" t="s">
        <v>922</v>
      </c>
    </row>
    <row r="1492" spans="3:28" ht="15" customHeight="1" x14ac:dyDescent="0.4">
      <c r="C1492" s="34" t="s">
        <v>5</v>
      </c>
      <c r="D1492" s="35">
        <v>45910</v>
      </c>
      <c r="E1492" s="51" t="s">
        <v>80</v>
      </c>
      <c r="F1492" s="33">
        <v>3</v>
      </c>
      <c r="G1492" s="27">
        <f t="shared" si="29"/>
        <v>3</v>
      </c>
      <c r="H1492" s="28" t="str">
        <f>VLOOKUP(E1492,'Cadastro Produtos (kiwkiw)'!C:E,3,0)</f>
        <v>Meia Argola Croissant Banho Ouro</v>
      </c>
      <c r="AB1492" s="33" t="s">
        <v>922</v>
      </c>
    </row>
    <row r="1493" spans="3:28" ht="15" customHeight="1" x14ac:dyDescent="0.4">
      <c r="C1493" s="34" t="s">
        <v>5</v>
      </c>
      <c r="D1493" s="35">
        <v>45910</v>
      </c>
      <c r="E1493" s="51" t="s">
        <v>60</v>
      </c>
      <c r="F1493" s="33">
        <v>2</v>
      </c>
      <c r="G1493" s="27">
        <f t="shared" si="29"/>
        <v>2</v>
      </c>
      <c r="H1493" s="28" t="str">
        <f>VLOOKUP(E1493,'Cadastro Produtos (kiwkiw)'!C:E,3,0)</f>
        <v>Brinco Oncinha Prateado</v>
      </c>
      <c r="AB1493" s="33" t="s">
        <v>922</v>
      </c>
    </row>
    <row r="1494" spans="3:28" ht="15" customHeight="1" x14ac:dyDescent="0.4">
      <c r="C1494" s="34" t="s">
        <v>5</v>
      </c>
      <c r="D1494" s="35">
        <v>45910</v>
      </c>
      <c r="E1494" s="51" t="s">
        <v>61</v>
      </c>
      <c r="F1494" s="33">
        <v>4</v>
      </c>
      <c r="G1494" s="27">
        <f t="shared" si="29"/>
        <v>4</v>
      </c>
      <c r="H1494" s="28" t="str">
        <f>VLOOKUP(E1494,'Cadastro Produtos (kiwkiw)'!C:E,3,0)</f>
        <v>Brinco Setas Banho Ouro</v>
      </c>
      <c r="AB1494" s="33" t="s">
        <v>922</v>
      </c>
    </row>
    <row r="1495" spans="3:28" ht="15" customHeight="1" x14ac:dyDescent="0.4">
      <c r="C1495" s="34" t="s">
        <v>5</v>
      </c>
      <c r="D1495" s="35">
        <v>45910</v>
      </c>
      <c r="E1495" s="51" t="s">
        <v>64</v>
      </c>
      <c r="F1495" s="33">
        <v>2</v>
      </c>
      <c r="G1495" s="27">
        <f t="shared" si="29"/>
        <v>2</v>
      </c>
      <c r="H1495" s="28" t="str">
        <f>VLOOKUP(E1495,'Cadastro Produtos (kiwkiw)'!C:E,3,0)</f>
        <v>Brinco Spike Prateado</v>
      </c>
      <c r="AB1495" s="33" t="s">
        <v>922</v>
      </c>
    </row>
    <row r="1496" spans="3:28" ht="15" customHeight="1" x14ac:dyDescent="0.4">
      <c r="C1496" s="34" t="s">
        <v>5</v>
      </c>
      <c r="D1496" s="35">
        <v>45910</v>
      </c>
      <c r="E1496" s="51" t="s">
        <v>68</v>
      </c>
      <c r="F1496" s="33">
        <v>2</v>
      </c>
      <c r="G1496" s="27">
        <f t="shared" si="29"/>
        <v>2</v>
      </c>
      <c r="H1496" s="28" t="str">
        <f>VLOOKUP(E1496,'Cadastro Produtos (kiwkiw)'!C:E,3,0)</f>
        <v>Brinco Tubinho Medio Banho Ouro</v>
      </c>
      <c r="AB1496" s="33" t="s">
        <v>922</v>
      </c>
    </row>
    <row r="1497" spans="3:28" ht="15" customHeight="1" x14ac:dyDescent="0.4">
      <c r="C1497" s="34" t="s">
        <v>5</v>
      </c>
      <c r="D1497" s="35">
        <v>45910</v>
      </c>
      <c r="E1497" s="51" t="s">
        <v>86</v>
      </c>
      <c r="F1497" s="33">
        <v>5</v>
      </c>
      <c r="G1497" s="27">
        <f t="shared" si="29"/>
        <v>5</v>
      </c>
      <c r="H1497" s="28" t="str">
        <f>VLOOKUP(E1497,'Cadastro Produtos (kiwkiw)'!C:E,3,0)</f>
        <v>Piercing Fake Minimal Banho Ouro</v>
      </c>
      <c r="AB1497" s="33" t="s">
        <v>922</v>
      </c>
    </row>
    <row r="1498" spans="3:28" ht="15" customHeight="1" x14ac:dyDescent="0.4">
      <c r="C1498" s="34" t="s">
        <v>5</v>
      </c>
      <c r="D1498" s="35">
        <v>45910</v>
      </c>
      <c r="E1498" s="51" t="s">
        <v>123</v>
      </c>
      <c r="F1498" s="33">
        <v>5</v>
      </c>
      <c r="G1498" s="27">
        <f t="shared" si="29"/>
        <v>5</v>
      </c>
      <c r="H1498" s="28" t="str">
        <f>VLOOKUP(E1498,'Cadastro Produtos (kiwkiw)'!C:E,3,0)</f>
        <v>Pulseira Dots Banho Ouro</v>
      </c>
      <c r="AB1498" s="33" t="s">
        <v>922</v>
      </c>
    </row>
    <row r="1499" spans="3:28" ht="15" customHeight="1" x14ac:dyDescent="0.4">
      <c r="C1499" s="34" t="s">
        <v>5</v>
      </c>
      <c r="D1499" s="35">
        <v>45910</v>
      </c>
      <c r="E1499" s="51" t="s">
        <v>124</v>
      </c>
      <c r="F1499" s="33">
        <v>2</v>
      </c>
      <c r="G1499" s="27">
        <f t="shared" si="29"/>
        <v>2</v>
      </c>
      <c r="H1499" s="28" t="str">
        <f>VLOOKUP(E1499,'Cadastro Produtos (kiwkiw)'!C:E,3,0)</f>
        <v>Pulseira Fita Textura Banho Ouro</v>
      </c>
      <c r="AB1499" s="33" t="s">
        <v>922</v>
      </c>
    </row>
    <row r="1500" spans="3:28" ht="15" customHeight="1" x14ac:dyDescent="0.4">
      <c r="C1500" s="34" t="s">
        <v>5</v>
      </c>
      <c r="D1500" s="35">
        <v>45910</v>
      </c>
      <c r="E1500" s="51" t="s">
        <v>127</v>
      </c>
      <c r="F1500" s="33">
        <v>6</v>
      </c>
      <c r="G1500" s="27">
        <f t="shared" si="29"/>
        <v>6</v>
      </c>
      <c r="H1500" s="28" t="str">
        <f>VLOOKUP(E1500,'Cadastro Produtos (kiwkiw)'!C:E,3,0)</f>
        <v>Pulseira Minimal Banho Ouro</v>
      </c>
      <c r="AB1500" s="33" t="s">
        <v>922</v>
      </c>
    </row>
    <row r="1501" spans="3:28" ht="15" customHeight="1" x14ac:dyDescent="0.4">
      <c r="C1501" s="34" t="s">
        <v>5</v>
      </c>
      <c r="D1501" s="35">
        <v>45910</v>
      </c>
      <c r="E1501" s="51" t="s">
        <v>128</v>
      </c>
      <c r="F1501" s="33">
        <v>3</v>
      </c>
      <c r="G1501" s="27">
        <f t="shared" si="29"/>
        <v>3</v>
      </c>
      <c r="H1501" s="28" t="str">
        <f>VLOOKUP(E1501,'Cadastro Produtos (kiwkiw)'!C:E,3,0)</f>
        <v>Pulseira Minimal Prateada</v>
      </c>
      <c r="AB1501" s="33" t="s">
        <v>922</v>
      </c>
    </row>
    <row r="1502" spans="3:28" ht="15" customHeight="1" x14ac:dyDescent="0.4">
      <c r="C1502" s="34" t="s">
        <v>5</v>
      </c>
      <c r="D1502" s="35">
        <v>45910</v>
      </c>
      <c r="E1502" s="51" t="s">
        <v>129</v>
      </c>
      <c r="F1502" s="33">
        <v>1</v>
      </c>
      <c r="G1502" s="27">
        <f t="shared" si="29"/>
        <v>1</v>
      </c>
      <c r="H1502" s="28" t="str">
        <f>VLOOKUP(E1502,'Cadastro Produtos (kiwkiw)'!C:E,3,0)</f>
        <v>Pulseira Snake Banho Ouro</v>
      </c>
      <c r="AB1502" s="33" t="s">
        <v>922</v>
      </c>
    </row>
    <row r="1503" spans="3:28" ht="15" customHeight="1" x14ac:dyDescent="0.4">
      <c r="C1503" s="34" t="s">
        <v>5</v>
      </c>
      <c r="D1503" s="35">
        <v>45910</v>
      </c>
      <c r="E1503" s="51" t="s">
        <v>130</v>
      </c>
      <c r="F1503" s="33">
        <v>6</v>
      </c>
      <c r="G1503" s="27">
        <f t="shared" si="29"/>
        <v>6</v>
      </c>
      <c r="H1503" s="28" t="str">
        <f>VLOOKUP(E1503,'Cadastro Produtos (kiwkiw)'!C:E,3,0)</f>
        <v>Pulseira Snake Prateada</v>
      </c>
      <c r="AB1503" s="33" t="s">
        <v>922</v>
      </c>
    </row>
    <row r="1504" spans="3:28" ht="15" customHeight="1" x14ac:dyDescent="0.4">
      <c r="C1504" s="34" t="s">
        <v>5</v>
      </c>
      <c r="D1504" s="35">
        <v>45910</v>
      </c>
      <c r="E1504" s="51" t="s">
        <v>87</v>
      </c>
      <c r="F1504" s="33">
        <v>1</v>
      </c>
      <c r="G1504" s="27">
        <f t="shared" si="29"/>
        <v>1</v>
      </c>
      <c r="H1504" s="28" t="str">
        <f>VLOOKUP(E1504,'Cadastro Produtos (kiwkiw)'!C:E,3,0)</f>
        <v>Piercing Fake Classy Banho Ouro</v>
      </c>
      <c r="AB1504" s="33" t="s">
        <v>922</v>
      </c>
    </row>
    <row r="1505" spans="2:28" ht="15" customHeight="1" x14ac:dyDescent="0.4">
      <c r="C1505" s="34" t="s">
        <v>5</v>
      </c>
      <c r="D1505" s="35">
        <v>45910</v>
      </c>
      <c r="E1505" s="51" t="s">
        <v>88</v>
      </c>
      <c r="F1505" s="33">
        <v>1</v>
      </c>
      <c r="G1505" s="27">
        <f t="shared" si="29"/>
        <v>1</v>
      </c>
      <c r="H1505" s="28" t="str">
        <f>VLOOKUP(E1505,'Cadastro Produtos (kiwkiw)'!C:E,3,0)</f>
        <v>Piercing Fake Classy Prateado</v>
      </c>
      <c r="AB1505" s="33" t="s">
        <v>922</v>
      </c>
    </row>
    <row r="1506" spans="2:28" ht="15" customHeight="1" x14ac:dyDescent="0.4">
      <c r="C1506" s="34" t="s">
        <v>5</v>
      </c>
      <c r="D1506" s="35">
        <v>45910</v>
      </c>
      <c r="E1506" s="51" t="s">
        <v>32</v>
      </c>
      <c r="F1506" s="33">
        <v>3</v>
      </c>
      <c r="G1506" s="27">
        <f t="shared" si="29"/>
        <v>3</v>
      </c>
      <c r="H1506" s="28" t="str">
        <f>VLOOKUP(E1506,'Cadastro Produtos (kiwkiw)'!C:E,3,0)</f>
        <v>Argola Redonda Basic Banho Ouro</v>
      </c>
      <c r="AB1506" s="33" t="s">
        <v>922</v>
      </c>
    </row>
    <row r="1507" spans="2:28" ht="15" customHeight="1" x14ac:dyDescent="0.4">
      <c r="C1507" s="34" t="s">
        <v>5</v>
      </c>
      <c r="D1507" s="35">
        <v>45910</v>
      </c>
      <c r="E1507" s="51" t="s">
        <v>47</v>
      </c>
      <c r="F1507" s="33">
        <v>1</v>
      </c>
      <c r="G1507" s="27">
        <f t="shared" si="29"/>
        <v>1</v>
      </c>
      <c r="H1507" s="28" t="str">
        <f>VLOOKUP(E1507,'Cadastro Produtos (kiwkiw)'!C:E,3,0)</f>
        <v>Brinco Circle Banho Ouro</v>
      </c>
      <c r="AB1507" s="33" t="s">
        <v>922</v>
      </c>
    </row>
    <row r="1508" spans="2:28" ht="15" customHeight="1" x14ac:dyDescent="0.4">
      <c r="C1508" s="34" t="s">
        <v>5</v>
      </c>
      <c r="D1508" s="35">
        <v>45910</v>
      </c>
      <c r="E1508" s="51" t="s">
        <v>92</v>
      </c>
      <c r="F1508" s="33">
        <v>3</v>
      </c>
      <c r="G1508" s="27">
        <f t="shared" si="29"/>
        <v>3</v>
      </c>
      <c r="H1508" s="28" t="str">
        <f>VLOOKUP(E1508,'Cadastro Produtos (kiwkiw)'!C:E,3,0)</f>
        <v>Colar Coracao Banho Ouro</v>
      </c>
      <c r="AB1508" s="33" t="s">
        <v>922</v>
      </c>
    </row>
    <row r="1509" spans="2:28" ht="15" customHeight="1" x14ac:dyDescent="0.4">
      <c r="C1509" s="34" t="s">
        <v>5</v>
      </c>
      <c r="D1509" s="35">
        <v>45910</v>
      </c>
      <c r="E1509" s="51" t="s">
        <v>100</v>
      </c>
      <c r="F1509" s="33">
        <v>3</v>
      </c>
      <c r="G1509" s="27">
        <f t="shared" si="29"/>
        <v>3</v>
      </c>
      <c r="H1509" s="28" t="str">
        <f>VLOOKUP(E1509,'Cadastro Produtos (kiwkiw)'!C:E,3,0)</f>
        <v>Colar Esfera Pequeno Banho Ouro</v>
      </c>
      <c r="AB1509" s="33" t="s">
        <v>922</v>
      </c>
    </row>
    <row r="1510" spans="2:28" ht="15" customHeight="1" x14ac:dyDescent="0.4">
      <c r="C1510" s="34" t="s">
        <v>5</v>
      </c>
      <c r="D1510" s="35">
        <v>45910</v>
      </c>
      <c r="E1510" s="51" t="s">
        <v>108</v>
      </c>
      <c r="F1510" s="33">
        <v>6</v>
      </c>
      <c r="G1510" s="27">
        <f t="shared" si="29"/>
        <v>6</v>
      </c>
      <c r="H1510" s="28" t="str">
        <f>VLOOKUP(E1510,'Cadastro Produtos (kiwkiw)'!C:E,3,0)</f>
        <v>Colar Line Banho Ouro</v>
      </c>
      <c r="AB1510" s="33" t="s">
        <v>922</v>
      </c>
    </row>
    <row r="1511" spans="2:28" ht="15" customHeight="1" x14ac:dyDescent="0.4">
      <c r="C1511" s="34" t="s">
        <v>5</v>
      </c>
      <c r="D1511" s="35">
        <v>45910</v>
      </c>
      <c r="E1511" s="51" t="s">
        <v>101</v>
      </c>
      <c r="F1511" s="33">
        <v>4</v>
      </c>
      <c r="G1511" s="27">
        <f t="shared" si="29"/>
        <v>4</v>
      </c>
      <c r="H1511" s="28" t="str">
        <f>VLOOKUP(E1511,'Cadastro Produtos (kiwkiw)'!C:E,3,0)</f>
        <v>Colar Longo Medalha Coracao Banho Ouro</v>
      </c>
      <c r="AB1511" s="33" t="s">
        <v>922</v>
      </c>
    </row>
    <row r="1512" spans="2:28" ht="15" customHeight="1" x14ac:dyDescent="0.4">
      <c r="C1512" s="34" t="s">
        <v>5</v>
      </c>
      <c r="D1512" s="35">
        <v>45910</v>
      </c>
      <c r="E1512" s="51" t="s">
        <v>71</v>
      </c>
      <c r="F1512" s="33">
        <v>3</v>
      </c>
      <c r="G1512" s="27">
        <f t="shared" si="29"/>
        <v>3</v>
      </c>
      <c r="H1512" s="28" t="str">
        <f>VLOOKUP(E1512,'Cadastro Produtos (kiwkiw)'!C:E,3,0)</f>
        <v>Ear Cuff Minimal Banho Ouro</v>
      </c>
      <c r="AB1512" s="33" t="s">
        <v>922</v>
      </c>
    </row>
    <row r="1513" spans="2:28" ht="15" customHeight="1" x14ac:dyDescent="0.4">
      <c r="C1513" s="34" t="s">
        <v>5</v>
      </c>
      <c r="D1513" s="35">
        <v>45910</v>
      </c>
      <c r="E1513" s="51" t="s">
        <v>77</v>
      </c>
      <c r="F1513" s="33">
        <v>8</v>
      </c>
      <c r="G1513" s="27">
        <f t="shared" si="29"/>
        <v>8</v>
      </c>
      <c r="H1513" s="28" t="str">
        <f>VLOOKUP(E1513,'Cadastro Produtos (kiwkiw)'!C:E,3,0)</f>
        <v>EarHook Torcido Banho Ouro</v>
      </c>
      <c r="AB1513" s="33" t="s">
        <v>922</v>
      </c>
    </row>
    <row r="1514" spans="2:28" ht="15" customHeight="1" x14ac:dyDescent="0.4">
      <c r="C1514" s="34" t="s">
        <v>5</v>
      </c>
      <c r="D1514" s="35">
        <v>45910</v>
      </c>
      <c r="E1514" s="51" t="s">
        <v>112</v>
      </c>
      <c r="F1514" s="33">
        <v>3</v>
      </c>
      <c r="G1514" s="27">
        <f t="shared" si="29"/>
        <v>3</v>
      </c>
      <c r="H1514" s="28" t="str">
        <f>VLOOKUP(E1514,'Cadastro Produtos (kiwkiw)'!C:E,3,0)</f>
        <v>Gargantilha Escama Banho Ouro</v>
      </c>
      <c r="AB1514" s="33" t="s">
        <v>922</v>
      </c>
    </row>
    <row r="1515" spans="2:28" ht="15" customHeight="1" x14ac:dyDescent="0.4">
      <c r="B1515" s="43"/>
      <c r="C1515" s="34" t="s">
        <v>5</v>
      </c>
      <c r="D1515" s="35">
        <v>45910</v>
      </c>
      <c r="E1515" s="51" t="s">
        <v>114</v>
      </c>
      <c r="F1515" s="33">
        <v>3</v>
      </c>
      <c r="G1515" s="27">
        <f t="shared" si="29"/>
        <v>3</v>
      </c>
      <c r="H1515" s="28" t="str">
        <f>VLOOKUP(E1515,'Cadastro Produtos (kiwkiw)'!C:E,3,0)</f>
        <v>Gargantilha Fita Banho Ouro</v>
      </c>
      <c r="AB1515" s="33" t="s">
        <v>922</v>
      </c>
    </row>
    <row r="1516" spans="2:28" ht="15" customHeight="1" x14ac:dyDescent="0.4">
      <c r="C1516" s="34" t="s">
        <v>5</v>
      </c>
      <c r="D1516" s="35">
        <v>45910</v>
      </c>
      <c r="E1516" s="51" t="s">
        <v>121</v>
      </c>
      <c r="F1516" s="33">
        <v>4</v>
      </c>
      <c r="G1516" s="27">
        <f t="shared" si="29"/>
        <v>4</v>
      </c>
      <c r="H1516" s="28" t="str">
        <f>VLOOKUP(E1516,'Cadastro Produtos (kiwkiw)'!C:E,3,0)</f>
        <v>Bracelete Wave Banho Ouro</v>
      </c>
      <c r="AB1516" s="33" t="s">
        <v>922</v>
      </c>
    </row>
    <row r="1517" spans="2:28" ht="15" customHeight="1" x14ac:dyDescent="0.4">
      <c r="C1517" s="34" t="s">
        <v>5</v>
      </c>
      <c r="D1517" s="35">
        <v>45910</v>
      </c>
      <c r="E1517" s="51" t="s">
        <v>117</v>
      </c>
      <c r="F1517" s="33">
        <v>7</v>
      </c>
      <c r="G1517" s="27">
        <f t="shared" si="29"/>
        <v>7</v>
      </c>
      <c r="H1517" s="28" t="str">
        <f>VLOOKUP(E1517,'Cadastro Produtos (kiwkiw)'!C:E,3,0)</f>
        <v>Gargantilha Minimal Banho Ouro</v>
      </c>
      <c r="AB1517" s="33" t="s">
        <v>922</v>
      </c>
    </row>
    <row r="1518" spans="2:28" ht="15" customHeight="1" x14ac:dyDescent="0.4">
      <c r="B1518" s="43"/>
      <c r="C1518" s="34" t="s">
        <v>5</v>
      </c>
      <c r="D1518" s="35">
        <v>45910</v>
      </c>
      <c r="E1518" s="51" t="s">
        <v>83</v>
      </c>
      <c r="F1518" s="33">
        <v>12</v>
      </c>
      <c r="G1518" s="27">
        <f t="shared" si="29"/>
        <v>12</v>
      </c>
      <c r="H1518" s="28" t="str">
        <f>VLOOKUP(E1518,'Cadastro Produtos (kiwkiw)'!C:E,3,0)</f>
        <v>Mini Argola Classy Banho Ouro</v>
      </c>
      <c r="AB1518" s="33" t="s">
        <v>922</v>
      </c>
    </row>
    <row r="1519" spans="2:28" ht="15" customHeight="1" x14ac:dyDescent="0.4">
      <c r="C1519" s="34" t="s">
        <v>5</v>
      </c>
      <c r="D1519" s="35">
        <v>45910</v>
      </c>
      <c r="E1519" s="51" t="s">
        <v>55</v>
      </c>
      <c r="F1519" s="33">
        <v>4</v>
      </c>
      <c r="G1519" s="27">
        <f t="shared" si="29"/>
        <v>4</v>
      </c>
      <c r="H1519" s="28" t="str">
        <f>VLOOKUP(E1519,'Cadastro Produtos (kiwkiw)'!C:E,3,0)</f>
        <v>Brinco Ivy Prateado</v>
      </c>
      <c r="AB1519" s="33" t="s">
        <v>922</v>
      </c>
    </row>
    <row r="1520" spans="2:28" ht="15" customHeight="1" x14ac:dyDescent="0.4">
      <c r="C1520" s="34" t="s">
        <v>5</v>
      </c>
      <c r="D1520" s="35">
        <v>45910</v>
      </c>
      <c r="E1520" s="51" t="s">
        <v>116</v>
      </c>
      <c r="F1520" s="33">
        <v>4</v>
      </c>
      <c r="G1520" s="27">
        <f t="shared" si="29"/>
        <v>4</v>
      </c>
      <c r="H1520" s="28" t="str">
        <f>VLOOKUP(E1520,'Cadastro Produtos (kiwkiw)'!C:E,3,0)</f>
        <v>Gargantilha Dots Banho Ouro</v>
      </c>
      <c r="AB1520" s="33" t="s">
        <v>922</v>
      </c>
    </row>
    <row r="1521" spans="2:28" ht="15" customHeight="1" x14ac:dyDescent="0.4">
      <c r="B1521" s="43"/>
      <c r="C1521" s="34" t="s">
        <v>5</v>
      </c>
      <c r="D1521" s="35">
        <v>45910</v>
      </c>
      <c r="E1521" s="51" t="s">
        <v>74</v>
      </c>
      <c r="F1521" s="33">
        <v>1</v>
      </c>
      <c r="G1521" s="27">
        <f t="shared" si="29"/>
        <v>1</v>
      </c>
      <c r="H1521" s="28" t="str">
        <f>VLOOKUP(E1521,'Cadastro Produtos (kiwkiw)'!C:E,3,0)</f>
        <v>Ear Hook Hug Banho Ouro</v>
      </c>
      <c r="AB1521" s="33" t="s">
        <v>922</v>
      </c>
    </row>
    <row r="1522" spans="2:28" ht="15" customHeight="1" x14ac:dyDescent="0.4">
      <c r="B1522" s="43">
        <v>45916.430613425924</v>
      </c>
      <c r="C1522" s="34" t="s">
        <v>6</v>
      </c>
      <c r="D1522" s="35">
        <v>45916</v>
      </c>
      <c r="E1522" s="51" t="s">
        <v>91</v>
      </c>
      <c r="F1522" s="33">
        <v>1</v>
      </c>
      <c r="G1522" s="27">
        <f t="shared" si="29"/>
        <v>-1</v>
      </c>
      <c r="H1522" s="28" t="str">
        <f>VLOOKUP(E1522,'Cadastro Produtos (kiwkiw)'!C:E,3,0)</f>
        <v>Colar Rosa dos Ventos Banho Ouro</v>
      </c>
      <c r="AB1522" s="33" t="s">
        <v>923</v>
      </c>
    </row>
    <row r="1523" spans="2:28" ht="15" customHeight="1" x14ac:dyDescent="0.4">
      <c r="C1523" s="34" t="s">
        <v>6</v>
      </c>
      <c r="D1523" s="35">
        <v>45916</v>
      </c>
      <c r="E1523" s="51" t="s">
        <v>94</v>
      </c>
      <c r="F1523" s="33">
        <v>1</v>
      </c>
      <c r="G1523" s="27">
        <f t="shared" si="29"/>
        <v>-1</v>
      </c>
      <c r="H1523" s="28" t="str">
        <f>VLOOKUP(E1523,'Cadastro Produtos (kiwkiw)'!C:E,3,0)</f>
        <v>Colar Duplo Dots Banho Ouro</v>
      </c>
      <c r="AB1523" s="33" t="s">
        <v>924</v>
      </c>
    </row>
    <row r="1524" spans="2:28" ht="15" customHeight="1" x14ac:dyDescent="0.4">
      <c r="C1524" s="34" t="s">
        <v>6</v>
      </c>
      <c r="D1524" s="35">
        <v>45916</v>
      </c>
      <c r="E1524" s="51" t="s">
        <v>94</v>
      </c>
      <c r="F1524" s="33">
        <v>1</v>
      </c>
      <c r="G1524" s="27">
        <f t="shared" si="29"/>
        <v>-1</v>
      </c>
      <c r="H1524" s="28" t="str">
        <f>VLOOKUP(E1524,'Cadastro Produtos (kiwkiw)'!C:E,3,0)</f>
        <v>Colar Duplo Dots Banho Ouro</v>
      </c>
      <c r="AB1524" s="33" t="s">
        <v>925</v>
      </c>
    </row>
    <row r="1525" spans="2:28" ht="15" customHeight="1" x14ac:dyDescent="0.4">
      <c r="C1525" s="34" t="s">
        <v>6</v>
      </c>
      <c r="D1525" s="35">
        <v>45916</v>
      </c>
      <c r="E1525" s="51" t="s">
        <v>92</v>
      </c>
      <c r="F1525" s="33">
        <v>1</v>
      </c>
      <c r="G1525" s="27">
        <f t="shared" si="29"/>
        <v>-1</v>
      </c>
      <c r="H1525" s="28" t="str">
        <f>VLOOKUP(E1525,'Cadastro Produtos (kiwkiw)'!C:E,3,0)</f>
        <v>Colar Coracao Banho Ouro</v>
      </c>
      <c r="AB1525" s="33" t="s">
        <v>926</v>
      </c>
    </row>
    <row r="1526" spans="2:28" ht="15" customHeight="1" x14ac:dyDescent="0.4">
      <c r="C1526" s="34" t="s">
        <v>6</v>
      </c>
      <c r="D1526" s="35">
        <v>45916</v>
      </c>
      <c r="E1526" s="51" t="s">
        <v>92</v>
      </c>
      <c r="F1526" s="33">
        <v>1</v>
      </c>
      <c r="G1526" s="27">
        <f t="shared" si="29"/>
        <v>-1</v>
      </c>
      <c r="H1526" s="28" t="str">
        <f>VLOOKUP(E1526,'Cadastro Produtos (kiwkiw)'!C:E,3,0)</f>
        <v>Colar Coracao Banho Ouro</v>
      </c>
      <c r="AB1526" s="33" t="s">
        <v>925</v>
      </c>
    </row>
    <row r="1527" spans="2:28" ht="15" customHeight="1" x14ac:dyDescent="0.4">
      <c r="C1527" s="34" t="s">
        <v>6</v>
      </c>
      <c r="D1527" s="35">
        <v>45916</v>
      </c>
      <c r="E1527" s="51" t="s">
        <v>114</v>
      </c>
      <c r="F1527" s="33">
        <v>1</v>
      </c>
      <c r="G1527" s="27">
        <f t="shared" si="29"/>
        <v>-1</v>
      </c>
      <c r="H1527" s="28" t="str">
        <f>VLOOKUP(E1527,'Cadastro Produtos (kiwkiw)'!C:E,3,0)</f>
        <v>Gargantilha Fita Banho Ouro</v>
      </c>
      <c r="AB1527" s="33" t="s">
        <v>926</v>
      </c>
    </row>
    <row r="1528" spans="2:28" ht="15" customHeight="1" x14ac:dyDescent="0.4">
      <c r="C1528" s="34" t="s">
        <v>6</v>
      </c>
      <c r="D1528" s="35">
        <v>45916</v>
      </c>
      <c r="E1528" s="51" t="s">
        <v>49</v>
      </c>
      <c r="F1528" s="33">
        <v>1</v>
      </c>
      <c r="G1528" s="27">
        <f t="shared" si="29"/>
        <v>-1</v>
      </c>
      <c r="H1528" s="28" t="str">
        <f>VLOOKUP(E1528,'Cadastro Produtos (kiwkiw)'!C:E,3,0)</f>
        <v>Brinco Coracao Diamond Banho Ouro</v>
      </c>
      <c r="AB1528" s="33" t="s">
        <v>926</v>
      </c>
    </row>
    <row r="1529" spans="2:28" ht="15" customHeight="1" x14ac:dyDescent="0.4">
      <c r="C1529" s="34" t="s">
        <v>6</v>
      </c>
      <c r="D1529" s="35">
        <v>45916</v>
      </c>
      <c r="E1529" s="51" t="s">
        <v>117</v>
      </c>
      <c r="F1529" s="33">
        <v>1</v>
      </c>
      <c r="G1529" s="27">
        <f t="shared" si="29"/>
        <v>-1</v>
      </c>
      <c r="H1529" s="28" t="str">
        <f>VLOOKUP(E1529,'Cadastro Produtos (kiwkiw)'!C:E,3,0)</f>
        <v>Gargantilha Minimal Banho Ouro</v>
      </c>
      <c r="AB1529" s="33" t="s">
        <v>926</v>
      </c>
    </row>
    <row r="1530" spans="2:28" ht="15" customHeight="1" x14ac:dyDescent="0.4">
      <c r="B1530" s="43"/>
      <c r="C1530" s="34" t="s">
        <v>6</v>
      </c>
      <c r="D1530" s="35">
        <v>45916</v>
      </c>
      <c r="E1530" s="51" t="s">
        <v>40</v>
      </c>
      <c r="F1530" s="33">
        <v>1</v>
      </c>
      <c r="G1530" s="27">
        <f t="shared" si="29"/>
        <v>-1</v>
      </c>
      <c r="H1530" s="28" t="str">
        <f>VLOOKUP(E1530,'Cadastro Produtos (kiwkiw)'!C:E,3,0)</f>
        <v>Argolinha Folha Banho Ouro</v>
      </c>
      <c r="AB1530" s="33" t="s">
        <v>927</v>
      </c>
    </row>
    <row r="1531" spans="2:28" ht="15" customHeight="1" x14ac:dyDescent="0.4">
      <c r="C1531" s="34" t="s">
        <v>6</v>
      </c>
      <c r="D1531" s="35">
        <v>45916</v>
      </c>
      <c r="E1531" s="51" t="s">
        <v>105</v>
      </c>
      <c r="F1531" s="33">
        <v>1</v>
      </c>
      <c r="G1531" s="27">
        <f t="shared" si="29"/>
        <v>-1</v>
      </c>
      <c r="H1531" s="28" t="str">
        <f>VLOOKUP(E1531,'Cadastro Produtos (kiwkiw)'!C:E,3,0)</f>
        <v>Colar Rosa Banho Ouro</v>
      </c>
      <c r="AB1531" s="33" t="s">
        <v>927</v>
      </c>
    </row>
    <row r="1532" spans="2:28" ht="15" customHeight="1" x14ac:dyDescent="0.4">
      <c r="C1532" s="34" t="s">
        <v>6</v>
      </c>
      <c r="D1532" s="35">
        <v>45916</v>
      </c>
      <c r="E1532" s="51" t="s">
        <v>53</v>
      </c>
      <c r="F1532" s="33">
        <v>1</v>
      </c>
      <c r="G1532" s="27">
        <f t="shared" si="29"/>
        <v>-1</v>
      </c>
      <c r="H1532" s="28" t="str">
        <f>VLOOKUP(E1532,'Cadastro Produtos (kiwkiw)'!C:E,3,0)</f>
        <v>Brinco Infinito Banho Ouro</v>
      </c>
      <c r="AB1532" s="33" t="s">
        <v>927</v>
      </c>
    </row>
    <row r="1533" spans="2:28" ht="15" customHeight="1" x14ac:dyDescent="0.4">
      <c r="C1533" s="34" t="s">
        <v>6</v>
      </c>
      <c r="D1533" s="35">
        <v>45916</v>
      </c>
      <c r="E1533" s="51" t="s">
        <v>59</v>
      </c>
      <c r="F1533" s="33">
        <v>1</v>
      </c>
      <c r="G1533" s="27">
        <f t="shared" si="29"/>
        <v>-1</v>
      </c>
      <c r="H1533" s="28" t="str">
        <f>VLOOKUP(E1533,'Cadastro Produtos (kiwkiw)'!C:E,3,0)</f>
        <v>Brinco Oncinha Banho Ouro</v>
      </c>
      <c r="AB1533" s="33" t="s">
        <v>925</v>
      </c>
    </row>
    <row r="1534" spans="2:28" ht="15" customHeight="1" x14ac:dyDescent="0.4">
      <c r="C1534" s="34" t="s">
        <v>6</v>
      </c>
      <c r="D1534" s="35">
        <v>45916</v>
      </c>
      <c r="E1534" s="51" t="s">
        <v>33</v>
      </c>
      <c r="F1534" s="33">
        <v>1</v>
      </c>
      <c r="G1534" s="27">
        <f t="shared" si="29"/>
        <v>-1</v>
      </c>
      <c r="H1534" s="28" t="str">
        <f>VLOOKUP(E1534,'Cadastro Produtos (kiwkiw)'!C:E,3,0)</f>
        <v>Argola Torcida Banho Ouro</v>
      </c>
      <c r="AB1534" s="33" t="s">
        <v>925</v>
      </c>
    </row>
    <row r="1535" spans="2:28" ht="15" customHeight="1" x14ac:dyDescent="0.4">
      <c r="C1535" s="34" t="s">
        <v>6</v>
      </c>
      <c r="D1535" s="35">
        <v>45916</v>
      </c>
      <c r="E1535" s="51" t="s">
        <v>99</v>
      </c>
      <c r="F1535" s="33">
        <v>1</v>
      </c>
      <c r="G1535" s="27">
        <f t="shared" si="29"/>
        <v>-1</v>
      </c>
      <c r="H1535" s="28" t="str">
        <f>VLOOKUP(E1535,'Cadastro Produtos (kiwkiw)'!C:E,3,0)</f>
        <v>Colar Esfera Medio Banho Ouro</v>
      </c>
      <c r="AB1535" s="33" t="s">
        <v>925</v>
      </c>
    </row>
    <row r="1536" spans="2:28" ht="15" customHeight="1" x14ac:dyDescent="0.4">
      <c r="C1536" s="34" t="s">
        <v>6</v>
      </c>
      <c r="D1536" s="35">
        <v>45916</v>
      </c>
      <c r="E1536" s="51" t="s">
        <v>104</v>
      </c>
      <c r="F1536" s="33">
        <v>1</v>
      </c>
      <c r="G1536" s="27">
        <f t="shared" si="29"/>
        <v>-1</v>
      </c>
      <c r="H1536" s="28" t="str">
        <f>VLOOKUP(E1536,'Cadastro Produtos (kiwkiw)'!C:E,3,0)</f>
        <v>Colar Ivy Prateado</v>
      </c>
      <c r="AB1536" s="33" t="s">
        <v>928</v>
      </c>
    </row>
    <row r="1537" spans="2:28" ht="15" customHeight="1" x14ac:dyDescent="0.4">
      <c r="C1537" s="34" t="s">
        <v>6</v>
      </c>
      <c r="D1537" s="35">
        <v>45916</v>
      </c>
      <c r="E1537" s="51" t="s">
        <v>118</v>
      </c>
      <c r="F1537" s="33">
        <v>1</v>
      </c>
      <c r="G1537" s="27">
        <f t="shared" si="29"/>
        <v>-1</v>
      </c>
      <c r="H1537" s="28" t="str">
        <f>VLOOKUP(E1537,'Cadastro Produtos (kiwkiw)'!C:E,3,0)</f>
        <v>Gargantilha Minimal Prateada</v>
      </c>
      <c r="AB1537" s="33" t="s">
        <v>928</v>
      </c>
    </row>
    <row r="1538" spans="2:28" ht="15" customHeight="1" x14ac:dyDescent="0.4">
      <c r="B1538" s="43">
        <v>45917.422314814816</v>
      </c>
      <c r="C1538" s="34" t="s">
        <v>6</v>
      </c>
      <c r="D1538" s="35">
        <v>45917</v>
      </c>
      <c r="E1538" s="51" t="s">
        <v>94</v>
      </c>
      <c r="F1538" s="33">
        <v>1</v>
      </c>
      <c r="G1538" s="27">
        <f t="shared" ref="G1538" si="30">IF(C1538="Entrada",F1538,-F1538)</f>
        <v>-1</v>
      </c>
      <c r="H1538" s="28" t="str">
        <f>VLOOKUP(E1538,'Cadastro Produtos (kiwkiw)'!C:E,3,0)</f>
        <v>Colar Duplo Dots Banho Ouro</v>
      </c>
      <c r="AB1538" s="33" t="s">
        <v>929</v>
      </c>
    </row>
    <row r="1539" spans="2:28" ht="15" customHeight="1" x14ac:dyDescent="0.4">
      <c r="C1539" s="34" t="s">
        <v>6</v>
      </c>
      <c r="D1539" s="35">
        <v>45917</v>
      </c>
      <c r="E1539" s="51" t="s">
        <v>94</v>
      </c>
      <c r="F1539" s="33">
        <v>1</v>
      </c>
      <c r="G1539" s="27">
        <f t="shared" si="29"/>
        <v>-1</v>
      </c>
      <c r="H1539" s="28" t="str">
        <f>VLOOKUP(E1539,'Cadastro Produtos (kiwkiw)'!C:E,3,0)</f>
        <v>Colar Duplo Dots Banho Ouro</v>
      </c>
      <c r="AB1539" s="33" t="s">
        <v>930</v>
      </c>
    </row>
    <row r="1540" spans="2:28" ht="15" customHeight="1" x14ac:dyDescent="0.4">
      <c r="C1540" s="34" t="s">
        <v>6</v>
      </c>
      <c r="D1540" s="35">
        <v>45917</v>
      </c>
      <c r="E1540" s="51" t="s">
        <v>93</v>
      </c>
      <c r="F1540" s="33">
        <v>1</v>
      </c>
      <c r="G1540" s="27">
        <f t="shared" si="29"/>
        <v>-1</v>
      </c>
      <c r="H1540" s="28" t="str">
        <f>VLOOKUP(E1540,'Cadastro Produtos (kiwkiw)'!C:E,3,0)</f>
        <v>Colar Coracao Prateado</v>
      </c>
      <c r="AB1540" s="33" t="s">
        <v>931</v>
      </c>
    </row>
    <row r="1541" spans="2:28" ht="15" customHeight="1" x14ac:dyDescent="0.4">
      <c r="C1541" s="34" t="s">
        <v>6</v>
      </c>
      <c r="D1541" s="35">
        <v>45917</v>
      </c>
      <c r="E1541" s="51" t="s">
        <v>92</v>
      </c>
      <c r="F1541" s="33">
        <v>1</v>
      </c>
      <c r="G1541" s="27">
        <f t="shared" si="29"/>
        <v>-1</v>
      </c>
      <c r="H1541" s="28" t="str">
        <f>VLOOKUP(E1541,'Cadastro Produtos (kiwkiw)'!C:E,3,0)</f>
        <v>Colar Coracao Banho Ouro</v>
      </c>
      <c r="AB1541" s="33" t="s">
        <v>931</v>
      </c>
    </row>
    <row r="1542" spans="2:28" ht="15" customHeight="1" x14ac:dyDescent="0.4">
      <c r="C1542" s="34" t="s">
        <v>6</v>
      </c>
      <c r="D1542" s="35">
        <v>45917</v>
      </c>
      <c r="E1542" s="51" t="s">
        <v>117</v>
      </c>
      <c r="F1542" s="33">
        <v>1</v>
      </c>
      <c r="G1542" s="27">
        <f t="shared" si="29"/>
        <v>-1</v>
      </c>
      <c r="H1542" s="28" t="str">
        <f>VLOOKUP(E1542,'Cadastro Produtos (kiwkiw)'!C:E,3,0)</f>
        <v>Gargantilha Minimal Banho Ouro</v>
      </c>
      <c r="AB1542" s="33" t="s">
        <v>932</v>
      </c>
    </row>
    <row r="1543" spans="2:28" ht="15" customHeight="1" x14ac:dyDescent="0.4">
      <c r="C1543" s="34" t="s">
        <v>6</v>
      </c>
      <c r="D1543" s="35">
        <v>45917</v>
      </c>
      <c r="E1543" s="51" t="s">
        <v>70</v>
      </c>
      <c r="F1543" s="33">
        <v>1</v>
      </c>
      <c r="G1543" s="27">
        <f t="shared" si="29"/>
        <v>-1</v>
      </c>
      <c r="H1543" s="28" t="str">
        <f>VLOOKUP(E1543,'Cadastro Produtos (kiwkiw)'!C:E,3,0)</f>
        <v>Brinco Geometrico Banho Ouro</v>
      </c>
      <c r="AB1543" s="33" t="s">
        <v>932</v>
      </c>
    </row>
    <row r="1544" spans="2:28" ht="15" customHeight="1" x14ac:dyDescent="0.4">
      <c r="C1544" s="34" t="s">
        <v>6</v>
      </c>
      <c r="D1544" s="35">
        <v>45917</v>
      </c>
      <c r="E1544" s="51" t="s">
        <v>89</v>
      </c>
      <c r="F1544" s="33">
        <v>1</v>
      </c>
      <c r="G1544" s="27">
        <f t="shared" si="29"/>
        <v>-1</v>
      </c>
      <c r="H1544" s="28" t="str">
        <f>VLOOKUP(E1544,'Cadastro Produtos (kiwkiw)'!C:E,3,0)</f>
        <v>Colar Dot Banho Ouro</v>
      </c>
      <c r="AB1544" s="33" t="s">
        <v>930</v>
      </c>
    </row>
    <row r="1545" spans="2:28" ht="15" customHeight="1" x14ac:dyDescent="0.4">
      <c r="B1545" s="43">
        <v>45918.421342592592</v>
      </c>
      <c r="C1545" s="34" t="s">
        <v>6</v>
      </c>
      <c r="D1545" s="35">
        <v>45918</v>
      </c>
      <c r="E1545" s="51" t="s">
        <v>92</v>
      </c>
      <c r="F1545" s="33">
        <v>1</v>
      </c>
      <c r="G1545" s="27">
        <f t="shared" si="29"/>
        <v>-1</v>
      </c>
      <c r="H1545" s="28" t="str">
        <f>VLOOKUP(E1545,'Cadastro Produtos (kiwkiw)'!C:E,3,0)</f>
        <v>Colar Coracao Banho Ouro</v>
      </c>
      <c r="AB1545" s="33" t="s">
        <v>933</v>
      </c>
    </row>
    <row r="1546" spans="2:28" ht="15" customHeight="1" x14ac:dyDescent="0.4">
      <c r="B1546" s="43"/>
      <c r="C1546" s="34" t="s">
        <v>6</v>
      </c>
      <c r="D1546" s="35">
        <v>45918</v>
      </c>
      <c r="E1546" s="51" t="s">
        <v>117</v>
      </c>
      <c r="F1546" s="33">
        <v>1</v>
      </c>
      <c r="G1546" s="27">
        <f t="shared" si="29"/>
        <v>-1</v>
      </c>
      <c r="H1546" s="28" t="str">
        <f>VLOOKUP(E1546,'Cadastro Produtos (kiwkiw)'!C:E,3,0)</f>
        <v>Gargantilha Minimal Banho Ouro</v>
      </c>
      <c r="AB1546" s="33" t="s">
        <v>934</v>
      </c>
    </row>
    <row r="1547" spans="2:28" ht="15" customHeight="1" x14ac:dyDescent="0.4">
      <c r="B1547" s="43">
        <v>45919.452650462961</v>
      </c>
      <c r="C1547" s="34" t="s">
        <v>6</v>
      </c>
      <c r="D1547" s="35">
        <v>45919</v>
      </c>
      <c r="E1547" s="51" t="s">
        <v>42</v>
      </c>
      <c r="F1547" s="33">
        <v>1</v>
      </c>
      <c r="G1547" s="27">
        <f t="shared" ref="G1547" si="31">IF(C1547="Entrada",F1547,-F1547)</f>
        <v>-1</v>
      </c>
      <c r="H1547" s="28" t="str">
        <f>VLOOKUP(E1547,'Cadastro Produtos (kiwkiw)'!C:E,3,0)</f>
        <v>Brinco Arco Banho Ouro</v>
      </c>
      <c r="AB1547" s="33" t="s">
        <v>935</v>
      </c>
    </row>
    <row r="1548" spans="2:28" ht="15" customHeight="1" x14ac:dyDescent="0.4">
      <c r="C1548" s="34" t="s">
        <v>6</v>
      </c>
      <c r="D1548" s="35">
        <v>45919</v>
      </c>
      <c r="E1548" s="51" t="s">
        <v>116</v>
      </c>
      <c r="F1548" s="33">
        <v>1</v>
      </c>
      <c r="G1548" s="27">
        <f>IF(C1548="Entrada",F1548,-F1548)</f>
        <v>-1</v>
      </c>
      <c r="H1548" s="28" t="str">
        <f>VLOOKUP(E1548,'Cadastro Produtos (kiwkiw)'!C:E,3,0)</f>
        <v>Gargantilha Dots Banho Ouro</v>
      </c>
      <c r="AB1548" s="33" t="s">
        <v>935</v>
      </c>
    </row>
    <row r="1549" spans="2:28" ht="15" customHeight="1" x14ac:dyDescent="0.4">
      <c r="B1549" s="43"/>
      <c r="C1549" s="34" t="s">
        <v>6</v>
      </c>
      <c r="D1549" s="35">
        <v>45919</v>
      </c>
      <c r="E1549" s="51" t="s">
        <v>117</v>
      </c>
      <c r="F1549" s="33">
        <v>1</v>
      </c>
      <c r="G1549" s="27">
        <f t="shared" si="29"/>
        <v>-1</v>
      </c>
      <c r="H1549" s="28" t="str">
        <f>VLOOKUP(E1549,'Cadastro Produtos (kiwkiw)'!C:E,3,0)</f>
        <v>Gargantilha Minimal Banho Ouro</v>
      </c>
      <c r="AB1549" s="33" t="s">
        <v>936</v>
      </c>
    </row>
    <row r="1550" spans="2:28" ht="15" customHeight="1" x14ac:dyDescent="0.4">
      <c r="C1550" s="34" t="s">
        <v>5</v>
      </c>
      <c r="D1550" s="35">
        <v>45919</v>
      </c>
      <c r="E1550" s="51" t="s">
        <v>117</v>
      </c>
      <c r="F1550" s="33">
        <v>1</v>
      </c>
      <c r="G1550" s="27">
        <f t="shared" si="29"/>
        <v>1</v>
      </c>
      <c r="H1550" s="28" t="str">
        <f>VLOOKUP(E1550,'Cadastro Produtos (kiwkiw)'!C:E,3,0)</f>
        <v>Gargantilha Minimal Banho Ouro</v>
      </c>
      <c r="I1550" s="32" t="s">
        <v>937</v>
      </c>
    </row>
    <row r="1551" spans="2:28" ht="15" customHeight="1" x14ac:dyDescent="0.4">
      <c r="B1551" s="43">
        <v>45922.421527777777</v>
      </c>
      <c r="C1551" s="34" t="s">
        <v>6</v>
      </c>
      <c r="D1551" s="35">
        <v>45922</v>
      </c>
      <c r="E1551" s="51" t="s">
        <v>117</v>
      </c>
      <c r="F1551" s="33">
        <v>1</v>
      </c>
      <c r="G1551" s="27">
        <f t="shared" si="29"/>
        <v>-1</v>
      </c>
      <c r="H1551" s="28" t="str">
        <f>VLOOKUP(E1551,'Cadastro Produtos (kiwkiw)'!C:E,3,0)</f>
        <v>Gargantilha Minimal Banho Ouro</v>
      </c>
      <c r="AB1551" s="33" t="s">
        <v>938</v>
      </c>
    </row>
    <row r="1552" spans="2:28" ht="15" customHeight="1" x14ac:dyDescent="0.4">
      <c r="C1552" s="34" t="s">
        <v>6</v>
      </c>
      <c r="D1552" s="35">
        <v>45922</v>
      </c>
      <c r="E1552" s="51" t="s">
        <v>117</v>
      </c>
      <c r="F1552" s="33">
        <v>1</v>
      </c>
      <c r="G1552" s="27">
        <f t="shared" si="29"/>
        <v>-1</v>
      </c>
      <c r="H1552" s="28" t="str">
        <f>VLOOKUP(E1552,'Cadastro Produtos (kiwkiw)'!C:E,3,0)</f>
        <v>Gargantilha Minimal Banho Ouro</v>
      </c>
      <c r="AB1552" s="33" t="s">
        <v>939</v>
      </c>
    </row>
    <row r="1553" spans="3:28" ht="15" customHeight="1" x14ac:dyDescent="0.4">
      <c r="C1553" s="34" t="s">
        <v>6</v>
      </c>
      <c r="D1553" s="35">
        <v>45922</v>
      </c>
      <c r="E1553" s="51" t="s">
        <v>117</v>
      </c>
      <c r="F1553" s="33">
        <v>1</v>
      </c>
      <c r="G1553" s="27">
        <f t="shared" si="29"/>
        <v>-1</v>
      </c>
      <c r="H1553" s="28" t="str">
        <f>VLOOKUP(E1553,'Cadastro Produtos (kiwkiw)'!C:E,3,0)</f>
        <v>Gargantilha Minimal Banho Ouro</v>
      </c>
      <c r="AB1553" s="33" t="s">
        <v>940</v>
      </c>
    </row>
    <row r="1554" spans="3:28" ht="15" customHeight="1" x14ac:dyDescent="0.4">
      <c r="C1554" s="34" t="s">
        <v>6</v>
      </c>
      <c r="D1554" s="35">
        <v>45922</v>
      </c>
      <c r="E1554" s="51" t="s">
        <v>127</v>
      </c>
      <c r="F1554" s="33">
        <v>1</v>
      </c>
      <c r="G1554" s="27">
        <f t="shared" ref="G1554:G1617" si="32">IF(C1554="Entrada",F1554,-F1554)</f>
        <v>-1</v>
      </c>
      <c r="H1554" s="28" t="str">
        <f>VLOOKUP(E1554,'Cadastro Produtos (kiwkiw)'!C:E,3,0)</f>
        <v>Pulseira Minimal Banho Ouro</v>
      </c>
      <c r="AB1554" s="33" t="s">
        <v>941</v>
      </c>
    </row>
    <row r="1555" spans="3:28" ht="15" customHeight="1" x14ac:dyDescent="0.4">
      <c r="C1555" s="34" t="s">
        <v>6</v>
      </c>
      <c r="D1555" s="35">
        <v>45922</v>
      </c>
      <c r="E1555" s="51" t="s">
        <v>112</v>
      </c>
      <c r="F1555" s="33">
        <v>1</v>
      </c>
      <c r="G1555" s="27">
        <f t="shared" si="32"/>
        <v>-1</v>
      </c>
      <c r="H1555" s="28" t="str">
        <f>VLOOKUP(E1555,'Cadastro Produtos (kiwkiw)'!C:E,3,0)</f>
        <v>Gargantilha Escama Banho Ouro</v>
      </c>
      <c r="AB1555" s="33" t="s">
        <v>941</v>
      </c>
    </row>
    <row r="1556" spans="3:28" ht="15" customHeight="1" x14ac:dyDescent="0.4">
      <c r="C1556" s="34" t="s">
        <v>6</v>
      </c>
      <c r="D1556" s="35">
        <v>45922</v>
      </c>
      <c r="E1556" s="51" t="s">
        <v>79</v>
      </c>
      <c r="F1556" s="33">
        <v>1</v>
      </c>
      <c r="G1556" s="27">
        <f t="shared" si="32"/>
        <v>-1</v>
      </c>
      <c r="H1556" s="28" t="str">
        <f>VLOOKUP(E1556,'Cadastro Produtos (kiwkiw)'!C:E,3,0)</f>
        <v>Kit Brincos Coracao e Triangulo Banho Ouro</v>
      </c>
      <c r="AB1556" s="33" t="s">
        <v>941</v>
      </c>
    </row>
    <row r="1557" spans="3:28" ht="15" customHeight="1" x14ac:dyDescent="0.4">
      <c r="C1557" s="34" t="s">
        <v>6</v>
      </c>
      <c r="D1557" s="35">
        <v>45922</v>
      </c>
      <c r="E1557" s="51" t="s">
        <v>74</v>
      </c>
      <c r="F1557" s="33">
        <v>1</v>
      </c>
      <c r="G1557" s="27">
        <f t="shared" si="32"/>
        <v>-1</v>
      </c>
      <c r="H1557" s="28" t="str">
        <f>VLOOKUP(E1557,'Cadastro Produtos (kiwkiw)'!C:E,3,0)</f>
        <v>Ear Hook Hug Banho Ouro</v>
      </c>
      <c r="AB1557" s="33" t="s">
        <v>941</v>
      </c>
    </row>
    <row r="1558" spans="3:28" ht="15" customHeight="1" x14ac:dyDescent="0.4">
      <c r="C1558" s="34" t="s">
        <v>6</v>
      </c>
      <c r="D1558" s="35">
        <v>45922</v>
      </c>
      <c r="E1558" s="51" t="s">
        <v>58</v>
      </c>
      <c r="F1558" s="33">
        <v>1</v>
      </c>
      <c r="G1558" s="27">
        <f t="shared" si="32"/>
        <v>-1</v>
      </c>
      <c r="H1558" s="28" t="str">
        <f>VLOOKUP(E1558,'Cadastro Produtos (kiwkiw)'!C:E,3,0)</f>
        <v>Brinco Mini Triangulo Prateado</v>
      </c>
      <c r="AB1558" s="33" t="s">
        <v>941</v>
      </c>
    </row>
    <row r="1559" spans="3:28" ht="15" customHeight="1" x14ac:dyDescent="0.4">
      <c r="C1559" s="34" t="s">
        <v>6</v>
      </c>
      <c r="D1559" s="35">
        <v>45922</v>
      </c>
      <c r="E1559" s="51" t="s">
        <v>88</v>
      </c>
      <c r="F1559" s="33">
        <v>1</v>
      </c>
      <c r="G1559" s="27">
        <f t="shared" si="32"/>
        <v>-1</v>
      </c>
      <c r="H1559" s="28" t="str">
        <f>VLOOKUP(E1559,'Cadastro Produtos (kiwkiw)'!C:E,3,0)</f>
        <v>Piercing Fake Classy Prateado</v>
      </c>
      <c r="AB1559" s="33" t="s">
        <v>941</v>
      </c>
    </row>
    <row r="1560" spans="3:28" ht="15" customHeight="1" x14ac:dyDescent="0.4">
      <c r="C1560" s="34" t="s">
        <v>6</v>
      </c>
      <c r="D1560" s="35">
        <v>45922</v>
      </c>
      <c r="E1560" s="51" t="s">
        <v>92</v>
      </c>
      <c r="F1560" s="33">
        <v>1</v>
      </c>
      <c r="G1560" s="27">
        <f t="shared" si="32"/>
        <v>-1</v>
      </c>
      <c r="H1560" s="28" t="str">
        <f>VLOOKUP(E1560,'Cadastro Produtos (kiwkiw)'!C:E,3,0)</f>
        <v>Colar Coracao Banho Ouro</v>
      </c>
      <c r="AB1560" s="33" t="s">
        <v>942</v>
      </c>
    </row>
    <row r="1561" spans="3:28" ht="15" customHeight="1" x14ac:dyDescent="0.4">
      <c r="C1561" s="34" t="s">
        <v>6</v>
      </c>
      <c r="D1561" s="35">
        <v>45922</v>
      </c>
      <c r="E1561" s="51" t="s">
        <v>91</v>
      </c>
      <c r="F1561" s="33">
        <v>1</v>
      </c>
      <c r="G1561" s="27">
        <f t="shared" si="32"/>
        <v>-1</v>
      </c>
      <c r="H1561" s="28" t="str">
        <f>VLOOKUP(E1561,'Cadastro Produtos (kiwkiw)'!C:E,3,0)</f>
        <v>Colar Rosa dos Ventos Banho Ouro</v>
      </c>
      <c r="AB1561" s="33" t="s">
        <v>942</v>
      </c>
    </row>
    <row r="1562" spans="3:28" ht="15" customHeight="1" x14ac:dyDescent="0.4">
      <c r="C1562" s="34" t="s">
        <v>6</v>
      </c>
      <c r="D1562" s="35">
        <v>45922</v>
      </c>
      <c r="E1562" s="51" t="s">
        <v>104</v>
      </c>
      <c r="F1562" s="33">
        <v>1</v>
      </c>
      <c r="G1562" s="27">
        <f t="shared" si="32"/>
        <v>-1</v>
      </c>
      <c r="H1562" s="28" t="str">
        <f>VLOOKUP(E1562,'Cadastro Produtos (kiwkiw)'!C:E,3,0)</f>
        <v>Colar Ivy Prateado</v>
      </c>
      <c r="AB1562" s="33" t="s">
        <v>943</v>
      </c>
    </row>
    <row r="1563" spans="3:28" ht="15" customHeight="1" x14ac:dyDescent="0.4">
      <c r="C1563" s="34" t="s">
        <v>6</v>
      </c>
      <c r="D1563" s="35">
        <v>45922</v>
      </c>
      <c r="E1563" s="51" t="s">
        <v>90</v>
      </c>
      <c r="F1563" s="33">
        <v>1</v>
      </c>
      <c r="G1563" s="27">
        <f t="shared" si="32"/>
        <v>-1</v>
      </c>
      <c r="H1563" s="28" t="str">
        <f>VLOOKUP(E1563,'Cadastro Produtos (kiwkiw)'!C:E,3,0)</f>
        <v>Colar Dot Prateado</v>
      </c>
      <c r="AB1563" s="33" t="s">
        <v>943</v>
      </c>
    </row>
    <row r="1564" spans="3:28" ht="15" customHeight="1" x14ac:dyDescent="0.4">
      <c r="C1564" s="34" t="s">
        <v>6</v>
      </c>
      <c r="D1564" s="35">
        <v>45922</v>
      </c>
      <c r="E1564" s="51" t="s">
        <v>55</v>
      </c>
      <c r="F1564" s="33">
        <v>1</v>
      </c>
      <c r="G1564" s="27">
        <f t="shared" si="32"/>
        <v>-1</v>
      </c>
      <c r="H1564" s="28" t="str">
        <f>VLOOKUP(E1564,'Cadastro Produtos (kiwkiw)'!C:E,3,0)</f>
        <v>Brinco Ivy Prateado</v>
      </c>
      <c r="AB1564" s="33" t="s">
        <v>943</v>
      </c>
    </row>
    <row r="1565" spans="3:28" ht="15" customHeight="1" x14ac:dyDescent="0.4">
      <c r="C1565" s="34" t="s">
        <v>6</v>
      </c>
      <c r="D1565" s="35">
        <v>45922</v>
      </c>
      <c r="E1565" s="51" t="s">
        <v>116</v>
      </c>
      <c r="F1565" s="33">
        <v>1</v>
      </c>
      <c r="G1565" s="27">
        <f t="shared" si="32"/>
        <v>-1</v>
      </c>
      <c r="H1565" s="28" t="str">
        <f>VLOOKUP(E1565,'Cadastro Produtos (kiwkiw)'!C:E,3,0)</f>
        <v>Gargantilha Dots Banho Ouro</v>
      </c>
      <c r="AB1565" s="33" t="s">
        <v>944</v>
      </c>
    </row>
    <row r="1566" spans="3:28" ht="15" customHeight="1" x14ac:dyDescent="0.4">
      <c r="C1566" s="34" t="s">
        <v>6</v>
      </c>
      <c r="D1566" s="35">
        <v>45922</v>
      </c>
      <c r="E1566" s="51" t="s">
        <v>77</v>
      </c>
      <c r="F1566" s="33">
        <v>1</v>
      </c>
      <c r="G1566" s="27">
        <f t="shared" si="32"/>
        <v>-1</v>
      </c>
      <c r="H1566" s="28" t="str">
        <f>VLOOKUP(E1566,'Cadastro Produtos (kiwkiw)'!C:E,3,0)</f>
        <v>EarHook Torcido Banho Ouro</v>
      </c>
      <c r="AB1566" s="33" t="s">
        <v>945</v>
      </c>
    </row>
    <row r="1567" spans="3:28" ht="15" customHeight="1" x14ac:dyDescent="0.4">
      <c r="C1567" s="34" t="s">
        <v>6</v>
      </c>
      <c r="D1567" s="35">
        <v>45922</v>
      </c>
      <c r="E1567" s="51" t="s">
        <v>51</v>
      </c>
      <c r="F1567" s="33">
        <v>1</v>
      </c>
      <c r="G1567" s="27">
        <f t="shared" si="32"/>
        <v>-1</v>
      </c>
      <c r="H1567" s="28" t="str">
        <f>VLOOKUP(E1567,'Cadastro Produtos (kiwkiw)'!C:E,3,0)</f>
        <v>Brinco Mini Flecha Banho Ouro</v>
      </c>
      <c r="AB1567" s="33" t="s">
        <v>945</v>
      </c>
    </row>
    <row r="1568" spans="3:28" ht="15" customHeight="1" x14ac:dyDescent="0.4">
      <c r="C1568" s="34" t="s">
        <v>6</v>
      </c>
      <c r="D1568" s="35">
        <v>45922</v>
      </c>
      <c r="E1568" s="51" t="s">
        <v>38</v>
      </c>
      <c r="F1568" s="33">
        <v>1</v>
      </c>
      <c r="G1568" s="27">
        <f t="shared" si="32"/>
        <v>-1</v>
      </c>
      <c r="H1568" s="28" t="str">
        <f>VLOOKUP(E1568,'Cadastro Produtos (kiwkiw)'!C:E,3,0)</f>
        <v>Argolinha Click Dots Banho Ouro</v>
      </c>
      <c r="AB1568" s="33" t="s">
        <v>945</v>
      </c>
    </row>
    <row r="1569" spans="2:28" ht="15" customHeight="1" x14ac:dyDescent="0.4">
      <c r="C1569" s="34" t="s">
        <v>6</v>
      </c>
      <c r="D1569" s="35">
        <v>45922</v>
      </c>
      <c r="E1569" s="51" t="s">
        <v>41</v>
      </c>
      <c r="F1569" s="33">
        <v>1</v>
      </c>
      <c r="G1569" s="27">
        <f t="shared" si="32"/>
        <v>-1</v>
      </c>
      <c r="H1569" s="28" t="str">
        <f>VLOOKUP(E1569,'Cadastro Produtos (kiwkiw)'!C:E,3,0)</f>
        <v>Argolinha Sol Banho Ouro</v>
      </c>
      <c r="AB1569" s="33" t="s">
        <v>946</v>
      </c>
    </row>
    <row r="1570" spans="2:28" ht="15" customHeight="1" x14ac:dyDescent="0.4">
      <c r="B1570" s="43">
        <v>45924.419409722221</v>
      </c>
      <c r="C1570" s="34" t="s">
        <v>6</v>
      </c>
      <c r="D1570" s="35">
        <v>45924</v>
      </c>
      <c r="E1570" s="51" t="s">
        <v>68</v>
      </c>
      <c r="F1570" s="33">
        <v>1</v>
      </c>
      <c r="G1570" s="27">
        <f t="shared" si="32"/>
        <v>-1</v>
      </c>
      <c r="H1570" s="28" t="str">
        <f>VLOOKUP(E1570,'Cadastro Produtos (kiwkiw)'!C:E,3,0)</f>
        <v>Brinco Tubinho Medio Banho Ouro</v>
      </c>
      <c r="AB1570" s="33" t="s">
        <v>947</v>
      </c>
    </row>
    <row r="1571" spans="2:28" ht="15" customHeight="1" x14ac:dyDescent="0.4">
      <c r="C1571" s="34" t="s">
        <v>6</v>
      </c>
      <c r="D1571" s="35">
        <v>45924</v>
      </c>
      <c r="E1571" s="51" t="s">
        <v>71</v>
      </c>
      <c r="F1571" s="33">
        <v>1</v>
      </c>
      <c r="G1571" s="27">
        <f t="shared" si="32"/>
        <v>-1</v>
      </c>
      <c r="H1571" s="28" t="str">
        <f>VLOOKUP(E1571,'Cadastro Produtos (kiwkiw)'!C:E,3,0)</f>
        <v>Ear Cuff Minimal Banho Ouro</v>
      </c>
      <c r="AB1571" s="33" t="s">
        <v>947</v>
      </c>
    </row>
    <row r="1572" spans="2:28" ht="15" customHeight="1" x14ac:dyDescent="0.4">
      <c r="C1572" s="34" t="s">
        <v>6</v>
      </c>
      <c r="D1572" s="35">
        <v>45924</v>
      </c>
      <c r="E1572" s="51" t="s">
        <v>127</v>
      </c>
      <c r="F1572" s="33">
        <v>1</v>
      </c>
      <c r="G1572" s="27">
        <f t="shared" si="32"/>
        <v>-1</v>
      </c>
      <c r="H1572" s="28" t="str">
        <f>VLOOKUP(E1572,'Cadastro Produtos (kiwkiw)'!C:E,3,0)</f>
        <v>Pulseira Minimal Banho Ouro</v>
      </c>
      <c r="AB1572" s="33" t="s">
        <v>947</v>
      </c>
    </row>
    <row r="1573" spans="2:28" ht="15" customHeight="1" x14ac:dyDescent="0.4">
      <c r="C1573" s="34" t="s">
        <v>6</v>
      </c>
      <c r="D1573" s="35">
        <v>45924</v>
      </c>
      <c r="E1573" s="51" t="s">
        <v>123</v>
      </c>
      <c r="F1573" s="33">
        <v>1</v>
      </c>
      <c r="G1573" s="27">
        <f t="shared" si="32"/>
        <v>-1</v>
      </c>
      <c r="H1573" s="28" t="str">
        <f>VLOOKUP(E1573,'Cadastro Produtos (kiwkiw)'!C:E,3,0)</f>
        <v>Pulseira Dots Banho Ouro</v>
      </c>
      <c r="AB1573" s="33" t="s">
        <v>947</v>
      </c>
    </row>
    <row r="1574" spans="2:28" ht="15" customHeight="1" x14ac:dyDescent="0.4">
      <c r="C1574" s="34" t="s">
        <v>6</v>
      </c>
      <c r="D1574" s="35">
        <v>45924</v>
      </c>
      <c r="E1574" s="51" t="s">
        <v>117</v>
      </c>
      <c r="F1574" s="33">
        <v>1</v>
      </c>
      <c r="G1574" s="27">
        <f t="shared" si="32"/>
        <v>-1</v>
      </c>
      <c r="H1574" s="28" t="str">
        <f>VLOOKUP(E1574,'Cadastro Produtos (kiwkiw)'!C:E,3,0)</f>
        <v>Gargantilha Minimal Banho Ouro</v>
      </c>
      <c r="AB1574" s="33" t="s">
        <v>947</v>
      </c>
    </row>
    <row r="1575" spans="2:28" ht="15" customHeight="1" x14ac:dyDescent="0.4">
      <c r="C1575" s="34" t="s">
        <v>6</v>
      </c>
      <c r="D1575" s="35">
        <v>45924</v>
      </c>
      <c r="E1575" s="51" t="s">
        <v>117</v>
      </c>
      <c r="F1575" s="33">
        <v>1</v>
      </c>
      <c r="G1575" s="27">
        <f t="shared" si="32"/>
        <v>-1</v>
      </c>
      <c r="H1575" s="28" t="str">
        <f>VLOOKUP(E1575,'Cadastro Produtos (kiwkiw)'!C:E,3,0)</f>
        <v>Gargantilha Minimal Banho Ouro</v>
      </c>
      <c r="AB1575" s="33" t="s">
        <v>948</v>
      </c>
    </row>
    <row r="1576" spans="2:28" ht="15" customHeight="1" x14ac:dyDescent="0.4">
      <c r="C1576" s="34" t="s">
        <v>6</v>
      </c>
      <c r="D1576" s="35">
        <v>45924</v>
      </c>
      <c r="E1576" s="51" t="s">
        <v>117</v>
      </c>
      <c r="F1576" s="33">
        <v>1</v>
      </c>
      <c r="G1576" s="27">
        <f t="shared" si="32"/>
        <v>-1</v>
      </c>
      <c r="H1576" s="28" t="str">
        <f>VLOOKUP(E1576,'Cadastro Produtos (kiwkiw)'!C:E,3,0)</f>
        <v>Gargantilha Minimal Banho Ouro</v>
      </c>
      <c r="AB1576" s="33" t="s">
        <v>949</v>
      </c>
    </row>
    <row r="1577" spans="2:28" ht="15" customHeight="1" x14ac:dyDescent="0.4">
      <c r="C1577" s="34" t="s">
        <v>6</v>
      </c>
      <c r="D1577" s="35">
        <v>45924</v>
      </c>
      <c r="E1577" s="51" t="s">
        <v>116</v>
      </c>
      <c r="F1577" s="33">
        <v>1</v>
      </c>
      <c r="G1577" s="27">
        <f t="shared" si="32"/>
        <v>-1</v>
      </c>
      <c r="H1577" s="28" t="str">
        <f>VLOOKUP(E1577,'Cadastro Produtos (kiwkiw)'!C:E,3,0)</f>
        <v>Gargantilha Dots Banho Ouro</v>
      </c>
      <c r="AB1577" s="33" t="s">
        <v>947</v>
      </c>
    </row>
    <row r="1578" spans="2:28" ht="15" customHeight="1" x14ac:dyDescent="0.4">
      <c r="C1578" s="34" t="s">
        <v>6</v>
      </c>
      <c r="D1578" s="35">
        <v>45924</v>
      </c>
      <c r="E1578" s="51" t="s">
        <v>784</v>
      </c>
      <c r="F1578" s="33">
        <v>1</v>
      </c>
      <c r="G1578" s="27">
        <f t="shared" si="32"/>
        <v>-1</v>
      </c>
      <c r="H1578" s="28" t="str">
        <f>VLOOKUP(E1578,'Cadastro Produtos (kiwkiw)'!C:E,3,0)</f>
        <v>Brinco Drop G Banho Ouro</v>
      </c>
      <c r="AB1578" s="33" t="s">
        <v>950</v>
      </c>
    </row>
    <row r="1579" spans="2:28" ht="15" customHeight="1" x14ac:dyDescent="0.4">
      <c r="C1579" s="34" t="s">
        <v>6</v>
      </c>
      <c r="D1579" s="35">
        <v>45924</v>
      </c>
      <c r="E1579" s="51" t="s">
        <v>830</v>
      </c>
      <c r="F1579" s="33">
        <v>1</v>
      </c>
      <c r="G1579" s="27">
        <f t="shared" si="32"/>
        <v>-1</v>
      </c>
      <c r="H1579" s="28" t="str">
        <f>VLOOKUP(E1579,'Cadastro Produtos (kiwkiw)'!C:E,3,0)</f>
        <v>Brinco Flor 2 em 1 Banho Ouro</v>
      </c>
      <c r="AB1579" s="33" t="s">
        <v>950</v>
      </c>
    </row>
    <row r="1580" spans="2:28" ht="15" customHeight="1" x14ac:dyDescent="0.4">
      <c r="C1580" s="34" t="s">
        <v>6</v>
      </c>
      <c r="D1580" s="35">
        <v>45924</v>
      </c>
      <c r="E1580" s="51" t="s">
        <v>794</v>
      </c>
      <c r="F1580" s="33">
        <v>1</v>
      </c>
      <c r="G1580" s="27">
        <f t="shared" si="32"/>
        <v>-1</v>
      </c>
      <c r="H1580" s="28" t="str">
        <f>VLOOKUP(E1580,'Cadastro Produtos (kiwkiw)'!C:E,3,0)</f>
        <v>Brinco Maxi Disco 2 em 1 Banho Ouro</v>
      </c>
      <c r="AB1580" s="33" t="s">
        <v>950</v>
      </c>
    </row>
    <row r="1581" spans="2:28" ht="15" customHeight="1" x14ac:dyDescent="0.4">
      <c r="C1581" s="34" t="s">
        <v>6</v>
      </c>
      <c r="D1581" s="35">
        <v>45924</v>
      </c>
      <c r="E1581" s="51" t="s">
        <v>819</v>
      </c>
      <c r="F1581" s="33">
        <v>1</v>
      </c>
      <c r="G1581" s="27">
        <f t="shared" si="32"/>
        <v>-1</v>
      </c>
      <c r="H1581" s="28" t="str">
        <f>VLOOKUP(E1581,'Cadastro Produtos (kiwkiw)'!C:E,3,0)</f>
        <v>Colar Pearl Fecho Frontal Banho Ouro</v>
      </c>
      <c r="AB1581" s="33" t="s">
        <v>950</v>
      </c>
    </row>
    <row r="1582" spans="2:28" ht="15" customHeight="1" x14ac:dyDescent="0.4">
      <c r="C1582" s="34" t="s">
        <v>6</v>
      </c>
      <c r="D1582" s="35">
        <v>45924</v>
      </c>
      <c r="E1582" s="51" t="s">
        <v>833</v>
      </c>
      <c r="F1582" s="33">
        <v>1</v>
      </c>
      <c r="G1582" s="27">
        <f t="shared" si="32"/>
        <v>-1</v>
      </c>
      <c r="H1582" s="28" t="str">
        <f>VLOOKUP(E1582,'Cadastro Produtos (kiwkiw)'!C:E,3,0)</f>
        <v>Ear Hook Encaixe Cruzado Banho Ouro</v>
      </c>
      <c r="AB1582" s="33" t="s">
        <v>950</v>
      </c>
    </row>
    <row r="1583" spans="2:28" ht="15" customHeight="1" x14ac:dyDescent="0.4">
      <c r="C1583" s="34" t="s">
        <v>6</v>
      </c>
      <c r="D1583" s="35">
        <v>45924</v>
      </c>
      <c r="E1583" s="51" t="s">
        <v>787</v>
      </c>
      <c r="F1583" s="33">
        <v>1</v>
      </c>
      <c r="G1583" s="27">
        <f t="shared" si="32"/>
        <v>-1</v>
      </c>
      <c r="H1583" s="28" t="str">
        <f>VLOOKUP(E1583,'Cadastro Produtos (kiwkiw)'!C:E,3,0)</f>
        <v>Ear Hook Encaixe Triplo Banho Ouro</v>
      </c>
      <c r="AB1583" s="33" t="s">
        <v>950</v>
      </c>
    </row>
    <row r="1584" spans="2:28" ht="15" customHeight="1" x14ac:dyDescent="0.4">
      <c r="C1584" s="34" t="s">
        <v>6</v>
      </c>
      <c r="D1584" s="35">
        <v>45924</v>
      </c>
      <c r="E1584" s="51" t="s">
        <v>829</v>
      </c>
      <c r="F1584" s="33">
        <v>1</v>
      </c>
      <c r="G1584" s="27">
        <f t="shared" si="32"/>
        <v>-1</v>
      </c>
      <c r="H1584" s="28" t="str">
        <f>VLOOKUP(E1584,'Cadastro Produtos (kiwkiw)'!C:E,3,0)</f>
        <v>Ear Hook Fio Banho Ouro</v>
      </c>
      <c r="AB1584" s="33" t="s">
        <v>950</v>
      </c>
    </row>
    <row r="1585" spans="2:28" ht="15" customHeight="1" x14ac:dyDescent="0.4">
      <c r="B1585" s="43">
        <v>45925.419374999998</v>
      </c>
      <c r="C1585" s="34" t="s">
        <v>6</v>
      </c>
      <c r="D1585" s="35">
        <v>45925</v>
      </c>
      <c r="E1585" s="51" t="s">
        <v>26</v>
      </c>
      <c r="F1585" s="33">
        <v>1</v>
      </c>
      <c r="G1585" s="27">
        <f t="shared" si="32"/>
        <v>-1</v>
      </c>
      <c r="H1585" s="28" t="str">
        <f>VLOOKUP(E1585,'Cadastro Produtos (kiwkiw)'!C:E,3,0)</f>
        <v>Argola Click Grande Banho Ouro</v>
      </c>
      <c r="AB1585" s="33" t="s">
        <v>951</v>
      </c>
    </row>
    <row r="1586" spans="2:28" ht="15" customHeight="1" x14ac:dyDescent="0.4">
      <c r="C1586" s="34" t="s">
        <v>6</v>
      </c>
      <c r="D1586" s="35">
        <v>45925</v>
      </c>
      <c r="E1586" s="51" t="s">
        <v>118</v>
      </c>
      <c r="F1586" s="33">
        <v>1</v>
      </c>
      <c r="G1586" s="27">
        <f t="shared" si="32"/>
        <v>-1</v>
      </c>
      <c r="H1586" s="28" t="str">
        <f>VLOOKUP(E1586,'Cadastro Produtos (kiwkiw)'!C:E,3,0)</f>
        <v>Gargantilha Minimal Prateada</v>
      </c>
      <c r="AB1586" s="33" t="s">
        <v>952</v>
      </c>
    </row>
    <row r="1587" spans="2:28" ht="15" customHeight="1" x14ac:dyDescent="0.4">
      <c r="C1587" s="34" t="s">
        <v>6</v>
      </c>
      <c r="D1587" s="35">
        <v>45925</v>
      </c>
      <c r="E1587" s="51" t="s">
        <v>130</v>
      </c>
      <c r="F1587" s="33">
        <v>1</v>
      </c>
      <c r="G1587" s="27">
        <f t="shared" si="32"/>
        <v>-1</v>
      </c>
      <c r="H1587" s="28" t="str">
        <f>VLOOKUP(E1587,'Cadastro Produtos (kiwkiw)'!C:E,3,0)</f>
        <v>Pulseira Snake Prateada</v>
      </c>
      <c r="AB1587" s="33" t="s">
        <v>953</v>
      </c>
    </row>
    <row r="1588" spans="2:28" ht="15" customHeight="1" x14ac:dyDescent="0.4">
      <c r="C1588" s="34" t="s">
        <v>6</v>
      </c>
      <c r="D1588" s="35">
        <v>45925</v>
      </c>
      <c r="E1588" s="51" t="s">
        <v>40</v>
      </c>
      <c r="F1588" s="33">
        <v>1</v>
      </c>
      <c r="G1588" s="27">
        <f t="shared" si="32"/>
        <v>-1</v>
      </c>
      <c r="H1588" s="28" t="str">
        <f>VLOOKUP(E1588,'Cadastro Produtos (kiwkiw)'!C:E,3,0)</f>
        <v>Argolinha Folha Banho Ouro</v>
      </c>
      <c r="AB1588" s="33" t="s">
        <v>954</v>
      </c>
    </row>
    <row r="1589" spans="2:28" ht="15" customHeight="1" x14ac:dyDescent="0.4">
      <c r="C1589" s="34" t="s">
        <v>6</v>
      </c>
      <c r="D1589" s="35">
        <v>45925</v>
      </c>
      <c r="E1589" s="51" t="s">
        <v>104</v>
      </c>
      <c r="F1589" s="33">
        <v>1</v>
      </c>
      <c r="G1589" s="27">
        <f t="shared" si="32"/>
        <v>-1</v>
      </c>
      <c r="H1589" s="28" t="str">
        <f>VLOOKUP(E1589,'Cadastro Produtos (kiwkiw)'!C:E,3,0)</f>
        <v>Colar Ivy Prateado</v>
      </c>
      <c r="AB1589" s="33" t="s">
        <v>955</v>
      </c>
    </row>
    <row r="1590" spans="2:28" ht="15" customHeight="1" x14ac:dyDescent="0.4">
      <c r="C1590" s="34" t="s">
        <v>6</v>
      </c>
      <c r="D1590" s="35">
        <v>45925</v>
      </c>
      <c r="E1590" s="51" t="s">
        <v>90</v>
      </c>
      <c r="F1590" s="33">
        <v>1</v>
      </c>
      <c r="G1590" s="27">
        <f t="shared" si="32"/>
        <v>-1</v>
      </c>
      <c r="H1590" s="28" t="str">
        <f>VLOOKUP(E1590,'Cadastro Produtos (kiwkiw)'!C:E,3,0)</f>
        <v>Colar Dot Prateado</v>
      </c>
      <c r="AB1590" s="33" t="s">
        <v>955</v>
      </c>
    </row>
    <row r="1591" spans="2:28" ht="15" customHeight="1" x14ac:dyDescent="0.4">
      <c r="B1591" s="43">
        <v>45926.419270833336</v>
      </c>
      <c r="C1591" s="34" t="s">
        <v>6</v>
      </c>
      <c r="D1591" s="35">
        <v>45926</v>
      </c>
      <c r="E1591" s="51" t="s">
        <v>92</v>
      </c>
      <c r="F1591" s="33">
        <v>1</v>
      </c>
      <c r="G1591" s="27">
        <f t="shared" si="32"/>
        <v>-1</v>
      </c>
      <c r="H1591" s="28" t="str">
        <f>VLOOKUP(E1591,'Cadastro Produtos (kiwkiw)'!C:E,3,0)</f>
        <v>Colar Coracao Banho Ouro</v>
      </c>
      <c r="AB1591" s="33" t="s">
        <v>956</v>
      </c>
    </row>
    <row r="1592" spans="2:28" ht="15" customHeight="1" x14ac:dyDescent="0.4">
      <c r="B1592" s="43">
        <v>45926.461504629631</v>
      </c>
      <c r="C1592" s="34" t="s">
        <v>6</v>
      </c>
      <c r="D1592" s="35">
        <v>45926</v>
      </c>
      <c r="E1592" s="51" t="s">
        <v>117</v>
      </c>
      <c r="F1592" s="33">
        <v>1</v>
      </c>
      <c r="G1592" s="27">
        <f t="shared" si="32"/>
        <v>-1</v>
      </c>
      <c r="H1592" s="28" t="str">
        <f>VLOOKUP(E1592,'Cadastro Produtos (kiwkiw)'!C:E,3,0)</f>
        <v>Gargantilha Minimal Banho Ouro</v>
      </c>
      <c r="AB1592" s="33" t="s">
        <v>957</v>
      </c>
    </row>
    <row r="1593" spans="2:28" ht="15" customHeight="1" x14ac:dyDescent="0.4">
      <c r="B1593" s="43">
        <v>45929.422962962963</v>
      </c>
      <c r="C1593" s="34" t="s">
        <v>6</v>
      </c>
      <c r="D1593" s="35">
        <v>45929</v>
      </c>
      <c r="E1593" s="51" t="s">
        <v>117</v>
      </c>
      <c r="F1593" s="33">
        <v>1</v>
      </c>
      <c r="G1593" s="27">
        <f t="shared" si="32"/>
        <v>-1</v>
      </c>
      <c r="H1593" s="28" t="str">
        <f>VLOOKUP(E1593,'Cadastro Produtos (kiwkiw)'!C:E,3,0)</f>
        <v>Gargantilha Minimal Banho Ouro</v>
      </c>
      <c r="AB1593" s="33" t="s">
        <v>958</v>
      </c>
    </row>
    <row r="1594" spans="2:28" ht="15" customHeight="1" x14ac:dyDescent="0.4">
      <c r="C1594" s="34" t="s">
        <v>6</v>
      </c>
      <c r="D1594" s="35">
        <v>45929</v>
      </c>
      <c r="E1594" s="51" t="s">
        <v>117</v>
      </c>
      <c r="F1594" s="33">
        <v>1</v>
      </c>
      <c r="G1594" s="27">
        <f t="shared" si="32"/>
        <v>-1</v>
      </c>
      <c r="H1594" s="28" t="str">
        <f>VLOOKUP(E1594,'Cadastro Produtos (kiwkiw)'!C:E,3,0)</f>
        <v>Gargantilha Minimal Banho Ouro</v>
      </c>
      <c r="AB1594" s="33" t="s">
        <v>959</v>
      </c>
    </row>
    <row r="1595" spans="2:28" ht="15" customHeight="1" x14ac:dyDescent="0.4">
      <c r="C1595" s="34" t="s">
        <v>6</v>
      </c>
      <c r="D1595" s="35">
        <v>45929</v>
      </c>
      <c r="E1595" s="51" t="s">
        <v>117</v>
      </c>
      <c r="F1595" s="33">
        <v>1</v>
      </c>
      <c r="G1595" s="27">
        <f t="shared" si="32"/>
        <v>-1</v>
      </c>
      <c r="H1595" s="28" t="str">
        <f>VLOOKUP(E1595,'Cadastro Produtos (kiwkiw)'!C:E,3,0)</f>
        <v>Gargantilha Minimal Banho Ouro</v>
      </c>
      <c r="AB1595" s="33" t="s">
        <v>960</v>
      </c>
    </row>
    <row r="1596" spans="2:28" ht="15" customHeight="1" x14ac:dyDescent="0.4">
      <c r="C1596" s="34" t="s">
        <v>6</v>
      </c>
      <c r="D1596" s="35">
        <v>45929</v>
      </c>
      <c r="E1596" s="51" t="s">
        <v>117</v>
      </c>
      <c r="F1596" s="33">
        <v>1</v>
      </c>
      <c r="G1596" s="27">
        <f t="shared" si="32"/>
        <v>-1</v>
      </c>
      <c r="H1596" s="28" t="str">
        <f>VLOOKUP(E1596,'Cadastro Produtos (kiwkiw)'!C:E,3,0)</f>
        <v>Gargantilha Minimal Banho Ouro</v>
      </c>
      <c r="AB1596" s="33" t="s">
        <v>961</v>
      </c>
    </row>
    <row r="1597" spans="2:28" ht="15" customHeight="1" x14ac:dyDescent="0.4">
      <c r="C1597" s="34" t="s">
        <v>6</v>
      </c>
      <c r="D1597" s="35">
        <v>45929</v>
      </c>
      <c r="E1597" s="51" t="s">
        <v>104</v>
      </c>
      <c r="F1597" s="33">
        <v>1</v>
      </c>
      <c r="G1597" s="27">
        <f t="shared" si="32"/>
        <v>-1</v>
      </c>
      <c r="H1597" s="28" t="str">
        <f>VLOOKUP(E1597,'Cadastro Produtos (kiwkiw)'!C:E,3,0)</f>
        <v>Colar Ivy Prateado</v>
      </c>
      <c r="AB1597" s="33" t="s">
        <v>958</v>
      </c>
    </row>
    <row r="1598" spans="2:28" ht="15" customHeight="1" x14ac:dyDescent="0.4">
      <c r="B1598" s="43"/>
      <c r="C1598" s="34" t="s">
        <v>6</v>
      </c>
      <c r="D1598" s="35">
        <v>45929</v>
      </c>
      <c r="E1598" s="51" t="s">
        <v>118</v>
      </c>
      <c r="F1598" s="33">
        <v>1</v>
      </c>
      <c r="G1598" s="27">
        <f t="shared" si="32"/>
        <v>-1</v>
      </c>
      <c r="H1598" s="28" t="str">
        <f>VLOOKUP(E1598,'Cadastro Produtos (kiwkiw)'!C:E,3,0)</f>
        <v>Gargantilha Minimal Prateada</v>
      </c>
      <c r="AB1598" s="33" t="s">
        <v>959</v>
      </c>
    </row>
    <row r="1599" spans="2:28" ht="15" customHeight="1" x14ac:dyDescent="0.4">
      <c r="C1599" s="34" t="s">
        <v>6</v>
      </c>
      <c r="D1599" s="35">
        <v>45929</v>
      </c>
      <c r="E1599" s="51" t="s">
        <v>29</v>
      </c>
      <c r="F1599" s="33">
        <v>1</v>
      </c>
      <c r="G1599" s="27">
        <f t="shared" si="32"/>
        <v>-1</v>
      </c>
      <c r="H1599" s="28" t="str">
        <f>VLOOKUP(E1599,'Cadastro Produtos (kiwkiw)'!C:E,3,0)</f>
        <v>Argola Click Diamond Banho Ouro</v>
      </c>
      <c r="AB1599" s="33" t="s">
        <v>959</v>
      </c>
    </row>
    <row r="1600" spans="2:28" ht="15" customHeight="1" x14ac:dyDescent="0.4">
      <c r="C1600" s="34" t="s">
        <v>6</v>
      </c>
      <c r="D1600" s="35">
        <v>45929</v>
      </c>
      <c r="E1600" s="51" t="s">
        <v>84</v>
      </c>
      <c r="F1600" s="33">
        <v>1</v>
      </c>
      <c r="G1600" s="27">
        <f t="shared" si="32"/>
        <v>-1</v>
      </c>
      <c r="H1600" s="28" t="str">
        <f>VLOOKUP(E1600,'Cadastro Produtos (kiwkiw)'!C:E,3,0)</f>
        <v>Mini Argola Classy Prateada</v>
      </c>
      <c r="AB1600" s="33" t="s">
        <v>959</v>
      </c>
    </row>
    <row r="1601" spans="2:28" ht="15" customHeight="1" x14ac:dyDescent="0.4">
      <c r="C1601" s="34" t="s">
        <v>6</v>
      </c>
      <c r="D1601" s="35">
        <v>45929</v>
      </c>
      <c r="E1601" s="51" t="s">
        <v>818</v>
      </c>
      <c r="F1601" s="33">
        <v>1</v>
      </c>
      <c r="G1601" s="27">
        <f t="shared" si="32"/>
        <v>-1</v>
      </c>
      <c r="H1601" s="28" t="str">
        <f>VLOOKUP(E1601,'Cadastro Produtos (kiwkiw)'!C:E,3,0)</f>
        <v>Colar Longo Medalhinhas Banho Ouro</v>
      </c>
      <c r="AB1601" s="33" t="s">
        <v>962</v>
      </c>
    </row>
    <row r="1602" spans="2:28" ht="15" customHeight="1" x14ac:dyDescent="0.4">
      <c r="C1602" s="34" t="s">
        <v>6</v>
      </c>
      <c r="D1602" s="35">
        <v>45929</v>
      </c>
      <c r="E1602" s="51" t="s">
        <v>38</v>
      </c>
      <c r="F1602" s="33">
        <v>1</v>
      </c>
      <c r="G1602" s="27">
        <f t="shared" si="32"/>
        <v>-1</v>
      </c>
      <c r="H1602" s="28" t="str">
        <f>VLOOKUP(E1602,'Cadastro Produtos (kiwkiw)'!C:E,3,0)</f>
        <v>Argolinha Click Dots Banho Ouro</v>
      </c>
      <c r="AB1602" s="33" t="s">
        <v>962</v>
      </c>
    </row>
    <row r="1603" spans="2:28" ht="15" customHeight="1" x14ac:dyDescent="0.4">
      <c r="C1603" s="34" t="s">
        <v>6</v>
      </c>
      <c r="D1603" s="35">
        <v>45929</v>
      </c>
      <c r="E1603" s="51" t="s">
        <v>76</v>
      </c>
      <c r="F1603" s="33">
        <v>1</v>
      </c>
      <c r="G1603" s="27">
        <f t="shared" si="32"/>
        <v>-1</v>
      </c>
      <c r="H1603" s="28" t="str">
        <f>VLOOKUP(E1603,'Cadastro Produtos (kiwkiw)'!C:E,3,0)</f>
        <v>EarHook Dots Banho Ouro</v>
      </c>
      <c r="AB1603" s="33" t="s">
        <v>962</v>
      </c>
    </row>
    <row r="1604" spans="2:28" ht="15" customHeight="1" x14ac:dyDescent="0.4">
      <c r="C1604" s="34" t="s">
        <v>6</v>
      </c>
      <c r="D1604" s="35">
        <v>45929</v>
      </c>
      <c r="E1604" s="51" t="s">
        <v>127</v>
      </c>
      <c r="F1604" s="33">
        <v>1</v>
      </c>
      <c r="G1604" s="27">
        <f t="shared" si="32"/>
        <v>-1</v>
      </c>
      <c r="H1604" s="28" t="str">
        <f>VLOOKUP(E1604,'Cadastro Produtos (kiwkiw)'!C:E,3,0)</f>
        <v>Pulseira Minimal Banho Ouro</v>
      </c>
      <c r="AB1604" s="33" t="s">
        <v>961</v>
      </c>
    </row>
    <row r="1605" spans="2:28" ht="15" customHeight="1" x14ac:dyDescent="0.4">
      <c r="C1605" s="34" t="s">
        <v>6</v>
      </c>
      <c r="D1605" s="35">
        <v>45929</v>
      </c>
      <c r="E1605" s="51" t="s">
        <v>804</v>
      </c>
      <c r="F1605" s="33">
        <v>1</v>
      </c>
      <c r="G1605" s="27">
        <f t="shared" si="32"/>
        <v>-1</v>
      </c>
      <c r="H1605" s="28" t="str">
        <f>VLOOKUP(E1605,'Cadastro Produtos (kiwkiw)'!C:E,3,0)</f>
        <v>Anel Drop Banho Ouro</v>
      </c>
      <c r="AB1605" s="33" t="s">
        <v>963</v>
      </c>
    </row>
    <row r="1606" spans="2:28" ht="15" customHeight="1" x14ac:dyDescent="0.4">
      <c r="C1606" s="34" t="s">
        <v>6</v>
      </c>
      <c r="D1606" s="35">
        <v>45929</v>
      </c>
      <c r="E1606" s="51" t="s">
        <v>95</v>
      </c>
      <c r="F1606" s="33">
        <v>1</v>
      </c>
      <c r="G1606" s="27">
        <f t="shared" si="32"/>
        <v>-1</v>
      </c>
      <c r="H1606" s="28" t="str">
        <f>VLOOKUP(E1606,'Cadastro Produtos (kiwkiw)'!C:E,3,0)</f>
        <v>Colar Duplo Dots Prateado</v>
      </c>
      <c r="AB1606" s="33" t="s">
        <v>964</v>
      </c>
    </row>
    <row r="1607" spans="2:28" ht="15" customHeight="1" x14ac:dyDescent="0.4">
      <c r="C1607" s="34" t="s">
        <v>6</v>
      </c>
      <c r="D1607" s="35">
        <v>45929</v>
      </c>
      <c r="E1607" s="51" t="s">
        <v>90</v>
      </c>
      <c r="F1607" s="33">
        <v>1</v>
      </c>
      <c r="G1607" s="27">
        <f t="shared" si="32"/>
        <v>-1</v>
      </c>
      <c r="H1607" s="28" t="str">
        <f>VLOOKUP(E1607,'Cadastro Produtos (kiwkiw)'!C:E,3,0)</f>
        <v>Colar Dot Prateado</v>
      </c>
      <c r="AB1607" s="33" t="s">
        <v>964</v>
      </c>
    </row>
    <row r="1608" spans="2:28" ht="15" customHeight="1" x14ac:dyDescent="0.4">
      <c r="C1608" s="34" t="s">
        <v>6</v>
      </c>
      <c r="D1608" s="35">
        <v>45929</v>
      </c>
      <c r="E1608" s="51" t="s">
        <v>128</v>
      </c>
      <c r="F1608" s="33">
        <v>1</v>
      </c>
      <c r="G1608" s="27">
        <f t="shared" si="32"/>
        <v>-1</v>
      </c>
      <c r="H1608" s="28" t="str">
        <f>VLOOKUP(E1608,'Cadastro Produtos (kiwkiw)'!C:E,3,0)</f>
        <v>Pulseira Minimal Prateada</v>
      </c>
      <c r="AB1608" s="33" t="s">
        <v>964</v>
      </c>
    </row>
    <row r="1609" spans="2:28" ht="15" customHeight="1" x14ac:dyDescent="0.4">
      <c r="B1609" s="43">
        <v>45930.421354166669</v>
      </c>
      <c r="C1609" s="34" t="s">
        <v>6</v>
      </c>
      <c r="D1609" s="35">
        <v>45930</v>
      </c>
      <c r="E1609" s="51" t="s">
        <v>28</v>
      </c>
      <c r="F1609" s="33">
        <v>1</v>
      </c>
      <c r="G1609" s="27">
        <f t="shared" si="32"/>
        <v>-1</v>
      </c>
      <c r="H1609" s="28" t="str">
        <f>VLOOKUP(E1609,'Cadastro Produtos (kiwkiw)'!C:E,3,0)</f>
        <v>Argola Click Pequena Banho Ouro</v>
      </c>
      <c r="AB1609" s="33" t="s">
        <v>965</v>
      </c>
    </row>
    <row r="1610" spans="2:28" ht="15" customHeight="1" x14ac:dyDescent="0.4">
      <c r="B1610" s="43"/>
      <c r="C1610" s="34" t="s">
        <v>6</v>
      </c>
      <c r="D1610" s="35">
        <v>45930</v>
      </c>
      <c r="E1610" s="51" t="s">
        <v>117</v>
      </c>
      <c r="F1610" s="33">
        <v>1</v>
      </c>
      <c r="G1610" s="27">
        <f t="shared" si="32"/>
        <v>-1</v>
      </c>
      <c r="H1610" s="28" t="str">
        <f>VLOOKUP(E1610,'Cadastro Produtos (kiwkiw)'!C:E,3,0)</f>
        <v>Gargantilha Minimal Banho Ouro</v>
      </c>
      <c r="AB1610" s="33" t="s">
        <v>966</v>
      </c>
    </row>
    <row r="1611" spans="2:28" ht="15" customHeight="1" x14ac:dyDescent="0.4">
      <c r="C1611" s="34" t="s">
        <v>6</v>
      </c>
      <c r="D1611" s="35">
        <v>45930</v>
      </c>
      <c r="E1611" s="51" t="s">
        <v>117</v>
      </c>
      <c r="F1611" s="33">
        <v>1</v>
      </c>
      <c r="G1611" s="27">
        <f t="shared" si="32"/>
        <v>-1</v>
      </c>
      <c r="H1611" s="28" t="str">
        <f>VLOOKUP(E1611,'Cadastro Produtos (kiwkiw)'!C:E,3,0)</f>
        <v>Gargantilha Minimal Banho Ouro</v>
      </c>
      <c r="AB1611" s="33" t="s">
        <v>967</v>
      </c>
    </row>
    <row r="1612" spans="2:28" ht="15" customHeight="1" x14ac:dyDescent="0.4">
      <c r="C1612" s="34" t="s">
        <v>6</v>
      </c>
      <c r="D1612" s="35">
        <v>45930</v>
      </c>
      <c r="E1612" s="51" t="s">
        <v>127</v>
      </c>
      <c r="F1612" s="33">
        <v>1</v>
      </c>
      <c r="G1612" s="27">
        <f t="shared" si="32"/>
        <v>-1</v>
      </c>
      <c r="H1612" s="28" t="str">
        <f>VLOOKUP(E1612,'Cadastro Produtos (kiwkiw)'!C:E,3,0)</f>
        <v>Pulseira Minimal Banho Ouro</v>
      </c>
      <c r="AB1612" s="33" t="s">
        <v>966</v>
      </c>
    </row>
    <row r="1613" spans="2:28" ht="15" customHeight="1" x14ac:dyDescent="0.4">
      <c r="C1613" s="34" t="s">
        <v>6</v>
      </c>
      <c r="D1613" s="35">
        <v>45930</v>
      </c>
      <c r="E1613" s="51" t="s">
        <v>53</v>
      </c>
      <c r="F1613" s="33">
        <v>1</v>
      </c>
      <c r="G1613" s="27">
        <f t="shared" si="32"/>
        <v>-1</v>
      </c>
      <c r="H1613" s="28" t="str">
        <f>VLOOKUP(E1613,'Cadastro Produtos (kiwkiw)'!C:E,3,0)</f>
        <v>Brinco Infinito Banho Ouro</v>
      </c>
      <c r="AB1613" s="33" t="s">
        <v>968</v>
      </c>
    </row>
    <row r="1614" spans="2:28" ht="15" customHeight="1" x14ac:dyDescent="0.4">
      <c r="B1614" s="43">
        <v>45931.437164351853</v>
      </c>
      <c r="C1614" s="34" t="s">
        <v>6</v>
      </c>
      <c r="D1614" s="35">
        <v>45931</v>
      </c>
      <c r="E1614" s="51" t="s">
        <v>93</v>
      </c>
      <c r="F1614" s="33">
        <v>1</v>
      </c>
      <c r="G1614" s="27">
        <f t="shared" si="32"/>
        <v>-1</v>
      </c>
      <c r="H1614" s="28" t="str">
        <f>VLOOKUP(E1614,'Cadastro Produtos (kiwkiw)'!C:E,3,0)</f>
        <v>Colar Coracao Prateado</v>
      </c>
      <c r="AB1614" s="33" t="s">
        <v>969</v>
      </c>
    </row>
    <row r="1615" spans="2:28" ht="15" customHeight="1" x14ac:dyDescent="0.4">
      <c r="C1615" s="34" t="s">
        <v>6</v>
      </c>
      <c r="D1615" s="35">
        <v>45931</v>
      </c>
      <c r="E1615" s="51" t="s">
        <v>773</v>
      </c>
      <c r="F1615" s="33">
        <v>1</v>
      </c>
      <c r="G1615" s="27">
        <f t="shared" si="32"/>
        <v>-1</v>
      </c>
      <c r="H1615" s="28" t="str">
        <f>VLOOKUP(E1615,'Cadastro Produtos (kiwkiw)'!C:E,3,0)</f>
        <v>Brinco Boho Prateado</v>
      </c>
      <c r="AB1615" s="33" t="s">
        <v>970</v>
      </c>
    </row>
    <row r="1616" spans="2:28" ht="15" customHeight="1" x14ac:dyDescent="0.4">
      <c r="C1616" s="34" t="s">
        <v>6</v>
      </c>
      <c r="D1616" s="35">
        <v>45931</v>
      </c>
      <c r="E1616" s="51" t="s">
        <v>36</v>
      </c>
      <c r="F1616" s="33">
        <v>1</v>
      </c>
      <c r="G1616" s="27">
        <f t="shared" si="32"/>
        <v>-1</v>
      </c>
      <c r="H1616" s="28" t="str">
        <f>VLOOKUP(E1616,'Cadastro Produtos (kiwkiw)'!C:E,3,0)</f>
        <v>Argola Classy Prateada</v>
      </c>
      <c r="AB1616" s="33" t="s">
        <v>970</v>
      </c>
    </row>
    <row r="1617" spans="2:28" ht="15" customHeight="1" x14ac:dyDescent="0.4">
      <c r="B1617" s="43"/>
      <c r="C1617" s="34" t="s">
        <v>6</v>
      </c>
      <c r="D1617" s="35">
        <v>45931</v>
      </c>
      <c r="E1617" s="51" t="s">
        <v>78</v>
      </c>
      <c r="F1617" s="33">
        <v>1</v>
      </c>
      <c r="G1617" s="27">
        <f t="shared" si="32"/>
        <v>-1</v>
      </c>
      <c r="H1617" s="28" t="str">
        <f>VLOOKUP(E1617,'Cadastro Produtos (kiwkiw)'!C:E,3,0)</f>
        <v>EarHook Torcido Prateado</v>
      </c>
      <c r="AB1617" s="33" t="s">
        <v>970</v>
      </c>
    </row>
    <row r="1618" spans="2:28" ht="15" customHeight="1" x14ac:dyDescent="0.4">
      <c r="B1618" s="43">
        <v>45932.426168981481</v>
      </c>
      <c r="C1618" s="34" t="s">
        <v>6</v>
      </c>
      <c r="D1618" s="35">
        <v>45932</v>
      </c>
      <c r="E1618" s="51" t="s">
        <v>38</v>
      </c>
      <c r="F1618" s="33">
        <v>1</v>
      </c>
      <c r="G1618" s="27">
        <f t="shared" ref="G1618:G1681" si="33">IF(C1618="Entrada",F1618,-F1618)</f>
        <v>-1</v>
      </c>
      <c r="H1618" s="28" t="str">
        <f>VLOOKUP(E1618,'Cadastro Produtos (kiwkiw)'!C:E,3,0)</f>
        <v>Argolinha Click Dots Banho Ouro</v>
      </c>
      <c r="AB1618" s="33" t="s">
        <v>971</v>
      </c>
    </row>
    <row r="1619" spans="2:28" ht="15" customHeight="1" x14ac:dyDescent="0.4">
      <c r="B1619" s="43"/>
      <c r="C1619" s="34" t="s">
        <v>6</v>
      </c>
      <c r="D1619" s="35">
        <v>45932</v>
      </c>
      <c r="E1619" s="51" t="s">
        <v>32</v>
      </c>
      <c r="F1619" s="33">
        <v>1</v>
      </c>
      <c r="G1619" s="27">
        <f t="shared" si="33"/>
        <v>-1</v>
      </c>
      <c r="H1619" s="28" t="str">
        <f>VLOOKUP(E1619,'Cadastro Produtos (kiwkiw)'!C:E,3,0)</f>
        <v>Argola Redonda Basic Banho Ouro</v>
      </c>
      <c r="AB1619" s="33" t="s">
        <v>971</v>
      </c>
    </row>
    <row r="1620" spans="2:28" ht="15" customHeight="1" x14ac:dyDescent="0.4">
      <c r="B1620" s="43">
        <v>45933.426689814813</v>
      </c>
      <c r="C1620" s="34" t="s">
        <v>6</v>
      </c>
      <c r="D1620" s="35">
        <v>45933</v>
      </c>
      <c r="E1620" s="51" t="s">
        <v>116</v>
      </c>
      <c r="F1620" s="33">
        <v>1</v>
      </c>
      <c r="G1620" s="27">
        <f t="shared" si="33"/>
        <v>-1</v>
      </c>
      <c r="H1620" s="28" t="str">
        <f>VLOOKUP(E1620,'Cadastro Produtos (kiwkiw)'!C:E,3,0)</f>
        <v>Gargantilha Dots Banho Ouro</v>
      </c>
      <c r="AB1620" s="33" t="s">
        <v>972</v>
      </c>
    </row>
    <row r="1621" spans="2:28" ht="15" customHeight="1" x14ac:dyDescent="0.4">
      <c r="C1621" s="34" t="s">
        <v>6</v>
      </c>
      <c r="D1621" s="35">
        <v>45933</v>
      </c>
      <c r="E1621" s="51" t="s">
        <v>117</v>
      </c>
      <c r="F1621" s="33">
        <v>1</v>
      </c>
      <c r="G1621" s="27">
        <f t="shared" si="33"/>
        <v>-1</v>
      </c>
      <c r="H1621" s="28" t="str">
        <f>VLOOKUP(E1621,'Cadastro Produtos (kiwkiw)'!C:E,3,0)</f>
        <v>Gargantilha Minimal Banho Ouro</v>
      </c>
      <c r="AB1621" s="33" t="s">
        <v>973</v>
      </c>
    </row>
    <row r="1622" spans="2:28" ht="15" customHeight="1" x14ac:dyDescent="0.4">
      <c r="C1622" s="34" t="s">
        <v>6</v>
      </c>
      <c r="D1622" s="35">
        <v>45933</v>
      </c>
      <c r="E1622" s="51" t="s">
        <v>117</v>
      </c>
      <c r="F1622" s="33">
        <v>1</v>
      </c>
      <c r="G1622" s="27">
        <f t="shared" si="33"/>
        <v>-1</v>
      </c>
      <c r="H1622" s="28" t="str">
        <f>VLOOKUP(E1622,'Cadastro Produtos (kiwkiw)'!C:E,3,0)</f>
        <v>Gargantilha Minimal Banho Ouro</v>
      </c>
      <c r="AB1622" s="33" t="s">
        <v>974</v>
      </c>
    </row>
    <row r="1623" spans="2:28" ht="15" customHeight="1" x14ac:dyDescent="0.4">
      <c r="C1623" s="34" t="s">
        <v>6</v>
      </c>
      <c r="D1623" s="35">
        <v>45933</v>
      </c>
      <c r="E1623" s="51" t="s">
        <v>127</v>
      </c>
      <c r="F1623" s="33">
        <v>1</v>
      </c>
      <c r="G1623" s="27">
        <f t="shared" si="33"/>
        <v>-1</v>
      </c>
      <c r="H1623" s="28" t="str">
        <f>VLOOKUP(E1623,'Cadastro Produtos (kiwkiw)'!C:E,3,0)</f>
        <v>Pulseira Minimal Banho Ouro</v>
      </c>
      <c r="AB1623" s="33" t="s">
        <v>974</v>
      </c>
    </row>
    <row r="1624" spans="2:28" ht="15" customHeight="1" x14ac:dyDescent="0.4">
      <c r="C1624" s="34" t="s">
        <v>6</v>
      </c>
      <c r="D1624" s="35">
        <v>45933</v>
      </c>
      <c r="E1624" s="51" t="s">
        <v>828</v>
      </c>
      <c r="F1624" s="33">
        <v>1</v>
      </c>
      <c r="G1624" s="27">
        <f t="shared" si="33"/>
        <v>-1</v>
      </c>
      <c r="H1624" s="28" t="str">
        <f>VLOOKUP(E1624,'Cadastro Produtos (kiwkiw)'!C:E,3,0)</f>
        <v>Brinco Jout Banho Ouro</v>
      </c>
      <c r="AB1624" s="33" t="s">
        <v>974</v>
      </c>
    </row>
    <row r="1625" spans="2:28" ht="15" customHeight="1" x14ac:dyDescent="0.4">
      <c r="C1625" s="34" t="s">
        <v>6</v>
      </c>
      <c r="D1625" s="35">
        <v>45933</v>
      </c>
      <c r="E1625" s="51" t="s">
        <v>804</v>
      </c>
      <c r="F1625" s="33">
        <v>1</v>
      </c>
      <c r="G1625" s="27">
        <f t="shared" si="33"/>
        <v>-1</v>
      </c>
      <c r="H1625" s="28" t="str">
        <f>VLOOKUP(E1625,'Cadastro Produtos (kiwkiw)'!C:E,3,0)</f>
        <v>Anel Drop Banho Ouro</v>
      </c>
      <c r="AB1625" s="33" t="s">
        <v>974</v>
      </c>
    </row>
    <row r="1626" spans="2:28" ht="15" customHeight="1" x14ac:dyDescent="0.4">
      <c r="B1626" s="43">
        <v>45936.422627314816</v>
      </c>
      <c r="C1626" s="34" t="s">
        <v>6</v>
      </c>
      <c r="D1626" s="35">
        <v>45936</v>
      </c>
      <c r="E1626" s="51" t="s">
        <v>832</v>
      </c>
      <c r="F1626" s="33">
        <v>1</v>
      </c>
      <c r="G1626" s="27">
        <f t="shared" si="33"/>
        <v>-1</v>
      </c>
      <c r="H1626" s="28" t="str">
        <f>VLOOKUP(E1626,'Cadastro Produtos (kiwkiw)'!C:E,3,0)</f>
        <v>Brinco Boho Banho Ouro</v>
      </c>
      <c r="AB1626" s="33" t="s">
        <v>975</v>
      </c>
    </row>
    <row r="1627" spans="2:28" ht="15" customHeight="1" x14ac:dyDescent="0.4">
      <c r="C1627" s="34" t="s">
        <v>6</v>
      </c>
      <c r="D1627" s="35">
        <v>45936</v>
      </c>
      <c r="E1627" s="51" t="s">
        <v>795</v>
      </c>
      <c r="F1627" s="33">
        <v>1</v>
      </c>
      <c r="G1627" s="27">
        <f t="shared" si="33"/>
        <v>-1</v>
      </c>
      <c r="H1627" s="28" t="str">
        <f>VLOOKUP(E1627,'Cadastro Produtos (kiwkiw)'!C:E,3,0)</f>
        <v>Colar Boho Diamantado Banho Ouro</v>
      </c>
      <c r="AB1627" s="33" t="s">
        <v>975</v>
      </c>
    </row>
    <row r="1628" spans="2:28" ht="15" customHeight="1" x14ac:dyDescent="0.4">
      <c r="C1628" s="34" t="s">
        <v>6</v>
      </c>
      <c r="D1628" s="35">
        <v>45936</v>
      </c>
      <c r="E1628" s="51" t="s">
        <v>773</v>
      </c>
      <c r="F1628" s="33">
        <v>1</v>
      </c>
      <c r="G1628" s="27">
        <f t="shared" si="33"/>
        <v>-1</v>
      </c>
      <c r="H1628" s="28" t="str">
        <f>VLOOKUP(E1628,'Cadastro Produtos (kiwkiw)'!C:E,3,0)</f>
        <v>Brinco Boho Prateado</v>
      </c>
      <c r="AB1628" s="33" t="s">
        <v>975</v>
      </c>
    </row>
    <row r="1629" spans="2:28" ht="15" customHeight="1" x14ac:dyDescent="0.4">
      <c r="C1629" s="34" t="s">
        <v>6</v>
      </c>
      <c r="D1629" s="35">
        <v>45936</v>
      </c>
      <c r="E1629" s="51" t="s">
        <v>831</v>
      </c>
      <c r="F1629" s="33">
        <v>1</v>
      </c>
      <c r="G1629" s="27">
        <f t="shared" si="33"/>
        <v>-1</v>
      </c>
      <c r="H1629" s="28" t="str">
        <f>VLOOKUP(E1629,'Cadastro Produtos (kiwkiw)'!C:E,3,0)</f>
        <v>Brinco Palito Banho Ouro</v>
      </c>
      <c r="AB1629" s="33" t="s">
        <v>975</v>
      </c>
    </row>
    <row r="1630" spans="2:28" ht="15" customHeight="1" x14ac:dyDescent="0.4">
      <c r="C1630" s="34" t="s">
        <v>6</v>
      </c>
      <c r="D1630" s="35">
        <v>45936</v>
      </c>
      <c r="E1630" s="51" t="s">
        <v>780</v>
      </c>
      <c r="F1630" s="33">
        <v>1</v>
      </c>
      <c r="G1630" s="27">
        <f t="shared" si="33"/>
        <v>-1</v>
      </c>
      <c r="H1630" s="28" t="str">
        <f>VLOOKUP(E1630,'Cadastro Produtos (kiwkiw)'!C:E,3,0)</f>
        <v>Gargantilha Crystal Banho Ouro</v>
      </c>
      <c r="AB1630" s="33" t="s">
        <v>975</v>
      </c>
    </row>
    <row r="1631" spans="2:28" ht="15" customHeight="1" x14ac:dyDescent="0.4">
      <c r="C1631" s="34" t="s">
        <v>6</v>
      </c>
      <c r="D1631" s="35">
        <v>45936</v>
      </c>
      <c r="E1631" s="51" t="s">
        <v>796</v>
      </c>
      <c r="F1631" s="33">
        <v>1</v>
      </c>
      <c r="G1631" s="27">
        <f t="shared" si="33"/>
        <v>-1</v>
      </c>
      <c r="H1631" s="28" t="str">
        <f>VLOOKUP(E1631,'Cadastro Produtos (kiwkiw)'!C:E,3,0)</f>
        <v>Colar Longo Minimal Banho Ouro</v>
      </c>
      <c r="AB1631" s="33" t="s">
        <v>975</v>
      </c>
    </row>
    <row r="1632" spans="2:28" ht="15" customHeight="1" x14ac:dyDescent="0.4">
      <c r="C1632" s="34" t="s">
        <v>6</v>
      </c>
      <c r="D1632" s="35">
        <v>45936</v>
      </c>
      <c r="E1632" s="51" t="s">
        <v>117</v>
      </c>
      <c r="F1632" s="33">
        <v>1</v>
      </c>
      <c r="G1632" s="27">
        <f t="shared" si="33"/>
        <v>-1</v>
      </c>
      <c r="H1632" s="28" t="str">
        <f>VLOOKUP(E1632,'Cadastro Produtos (kiwkiw)'!C:E,3,0)</f>
        <v>Gargantilha Minimal Banho Ouro</v>
      </c>
      <c r="AB1632" s="33" t="s">
        <v>976</v>
      </c>
    </row>
    <row r="1633" spans="2:28" ht="15" customHeight="1" x14ac:dyDescent="0.4">
      <c r="C1633" s="34" t="s">
        <v>6</v>
      </c>
      <c r="D1633" s="35">
        <v>45936</v>
      </c>
      <c r="E1633" s="51" t="s">
        <v>26</v>
      </c>
      <c r="F1633" s="33">
        <v>1</v>
      </c>
      <c r="G1633" s="27">
        <f t="shared" si="33"/>
        <v>-1</v>
      </c>
      <c r="H1633" s="28" t="str">
        <f>VLOOKUP(E1633,'Cadastro Produtos (kiwkiw)'!C:E,3,0)</f>
        <v>Argola Click Grande Banho Ouro</v>
      </c>
      <c r="AB1633" s="33" t="s">
        <v>977</v>
      </c>
    </row>
    <row r="1634" spans="2:28" ht="15" customHeight="1" x14ac:dyDescent="0.4">
      <c r="C1634" s="34" t="s">
        <v>6</v>
      </c>
      <c r="D1634" s="35">
        <v>45936</v>
      </c>
      <c r="E1634" s="51" t="s">
        <v>54</v>
      </c>
      <c r="F1634" s="33">
        <v>1</v>
      </c>
      <c r="G1634" s="27">
        <f t="shared" si="33"/>
        <v>-1</v>
      </c>
      <c r="H1634" s="28" t="str">
        <f>VLOOKUP(E1634,'Cadastro Produtos (kiwkiw)'!C:E,3,0)</f>
        <v>Brinco Ivy Banho Ouro</v>
      </c>
      <c r="AB1634" s="33" t="s">
        <v>978</v>
      </c>
    </row>
    <row r="1635" spans="2:28" ht="15" customHeight="1" x14ac:dyDescent="0.4">
      <c r="C1635" s="34" t="s">
        <v>6</v>
      </c>
      <c r="D1635" s="35">
        <v>45936</v>
      </c>
      <c r="E1635" s="51" t="s">
        <v>828</v>
      </c>
      <c r="F1635" s="33">
        <v>1</v>
      </c>
      <c r="G1635" s="27">
        <f t="shared" si="33"/>
        <v>-1</v>
      </c>
      <c r="H1635" s="28" t="str">
        <f>VLOOKUP(E1635,'Cadastro Produtos (kiwkiw)'!C:E,3,0)</f>
        <v>Brinco Jout Banho Ouro</v>
      </c>
      <c r="AB1635" s="33" t="s">
        <v>979</v>
      </c>
    </row>
    <row r="1636" spans="2:28" ht="15" customHeight="1" x14ac:dyDescent="0.4">
      <c r="C1636" s="34" t="s">
        <v>6</v>
      </c>
      <c r="D1636" s="35">
        <v>45936</v>
      </c>
      <c r="E1636" s="51" t="s">
        <v>804</v>
      </c>
      <c r="F1636" s="33">
        <v>1</v>
      </c>
      <c r="G1636" s="27">
        <f t="shared" si="33"/>
        <v>-1</v>
      </c>
      <c r="H1636" s="28" t="str">
        <f>VLOOKUP(E1636,'Cadastro Produtos (kiwkiw)'!C:E,3,0)</f>
        <v>Anel Drop Banho Ouro</v>
      </c>
      <c r="AB1636" s="33" t="s">
        <v>980</v>
      </c>
    </row>
    <row r="1637" spans="2:28" ht="15" customHeight="1" x14ac:dyDescent="0.4">
      <c r="B1637" s="43"/>
      <c r="C1637" s="34" t="s">
        <v>6</v>
      </c>
      <c r="D1637" s="35">
        <v>45936</v>
      </c>
      <c r="E1637" s="51" t="s">
        <v>772</v>
      </c>
      <c r="F1637" s="33">
        <v>1</v>
      </c>
      <c r="G1637" s="27">
        <f t="shared" si="33"/>
        <v>-1</v>
      </c>
      <c r="H1637" s="28" t="str">
        <f>VLOOKUP(E1637,'Cadastro Produtos (kiwkiw)'!C:E,3,0)</f>
        <v>Argolinha Click Bambu Prateada</v>
      </c>
      <c r="AB1637" s="33" t="s">
        <v>980</v>
      </c>
    </row>
    <row r="1638" spans="2:28" ht="15" customHeight="1" x14ac:dyDescent="0.4">
      <c r="C1638" s="34" t="s">
        <v>6</v>
      </c>
      <c r="D1638" s="35">
        <v>45936</v>
      </c>
      <c r="E1638" s="51" t="s">
        <v>93</v>
      </c>
      <c r="F1638" s="33">
        <v>1</v>
      </c>
      <c r="G1638" s="27">
        <f t="shared" si="33"/>
        <v>-1</v>
      </c>
      <c r="H1638" s="28" t="str">
        <f>VLOOKUP(E1638,'Cadastro Produtos (kiwkiw)'!C:E,3,0)</f>
        <v>Colar Coracao Prateado</v>
      </c>
      <c r="AB1638" s="33" t="s">
        <v>980</v>
      </c>
    </row>
    <row r="1639" spans="2:28" ht="15" customHeight="1" x14ac:dyDescent="0.4">
      <c r="C1639" s="34" t="s">
        <v>6</v>
      </c>
      <c r="D1639" s="35">
        <v>45936</v>
      </c>
      <c r="E1639" s="51" t="s">
        <v>93</v>
      </c>
      <c r="F1639" s="33">
        <v>1</v>
      </c>
      <c r="G1639" s="27">
        <f t="shared" si="33"/>
        <v>-1</v>
      </c>
      <c r="H1639" s="28" t="str">
        <f>VLOOKUP(E1639,'Cadastro Produtos (kiwkiw)'!C:E,3,0)</f>
        <v>Colar Coracao Prateado</v>
      </c>
      <c r="AB1639" s="33" t="s">
        <v>981</v>
      </c>
    </row>
    <row r="1640" spans="2:28" ht="15" customHeight="1" x14ac:dyDescent="0.4">
      <c r="C1640" s="34" t="s">
        <v>6</v>
      </c>
      <c r="D1640" s="35">
        <v>45936</v>
      </c>
      <c r="E1640" s="51" t="s">
        <v>92</v>
      </c>
      <c r="F1640" s="33">
        <v>1</v>
      </c>
      <c r="G1640" s="27">
        <f t="shared" si="33"/>
        <v>-1</v>
      </c>
      <c r="H1640" s="28" t="str">
        <f>VLOOKUP(E1640,'Cadastro Produtos (kiwkiw)'!C:E,3,0)</f>
        <v>Colar Coracao Banho Ouro</v>
      </c>
      <c r="AB1640" s="33" t="s">
        <v>982</v>
      </c>
    </row>
    <row r="1641" spans="2:28" ht="15" customHeight="1" x14ac:dyDescent="0.4">
      <c r="B1641" s="43">
        <v>45938.427164351851</v>
      </c>
      <c r="C1641" s="34" t="s">
        <v>6</v>
      </c>
      <c r="D1641" s="35">
        <v>45938</v>
      </c>
      <c r="E1641" s="51" t="s">
        <v>117</v>
      </c>
      <c r="F1641" s="33">
        <v>1</v>
      </c>
      <c r="G1641" s="27">
        <f t="shared" si="33"/>
        <v>-1</v>
      </c>
      <c r="H1641" s="28" t="str">
        <f>VLOOKUP(E1641,'Cadastro Produtos (kiwkiw)'!C:E,3,0)</f>
        <v>Gargantilha Minimal Banho Ouro</v>
      </c>
      <c r="AB1641" s="33" t="s">
        <v>983</v>
      </c>
    </row>
    <row r="1642" spans="2:28" ht="15" customHeight="1" x14ac:dyDescent="0.4">
      <c r="C1642" s="34" t="s">
        <v>6</v>
      </c>
      <c r="D1642" s="35">
        <v>45938</v>
      </c>
      <c r="E1642" s="51" t="s">
        <v>127</v>
      </c>
      <c r="F1642" s="33">
        <v>1</v>
      </c>
      <c r="G1642" s="27">
        <f t="shared" si="33"/>
        <v>-1</v>
      </c>
      <c r="H1642" s="28" t="str">
        <f>VLOOKUP(E1642,'Cadastro Produtos (kiwkiw)'!C:E,3,0)</f>
        <v>Pulseira Minimal Banho Ouro</v>
      </c>
      <c r="AB1642" s="33" t="s">
        <v>983</v>
      </c>
    </row>
    <row r="1643" spans="2:28" ht="15" customHeight="1" x14ac:dyDescent="0.4">
      <c r="C1643" s="34" t="s">
        <v>6</v>
      </c>
      <c r="D1643" s="35">
        <v>45938</v>
      </c>
      <c r="E1643" s="51" t="s">
        <v>56</v>
      </c>
      <c r="F1643" s="33">
        <v>1</v>
      </c>
      <c r="G1643" s="27">
        <f t="shared" si="33"/>
        <v>-1</v>
      </c>
      <c r="H1643" s="28" t="str">
        <f>VLOOKUP(E1643,'Cadastro Produtos (kiwkiw)'!C:E,3,0)</f>
        <v>Brinco Mini Raio Banho Ouro</v>
      </c>
      <c r="AB1643" s="33" t="s">
        <v>984</v>
      </c>
    </row>
    <row r="1644" spans="2:28" ht="15" customHeight="1" x14ac:dyDescent="0.4">
      <c r="C1644" s="34" t="s">
        <v>6</v>
      </c>
      <c r="D1644" s="35">
        <v>45938</v>
      </c>
      <c r="E1644" s="51" t="s">
        <v>831</v>
      </c>
      <c r="F1644" s="33">
        <v>1</v>
      </c>
      <c r="G1644" s="27">
        <f t="shared" si="33"/>
        <v>-1</v>
      </c>
      <c r="H1644" s="28" t="str">
        <f>VLOOKUP(E1644,'Cadastro Produtos (kiwkiw)'!C:E,3,0)</f>
        <v>Brinco Palito Banho Ouro</v>
      </c>
      <c r="AB1644" s="33" t="s">
        <v>984</v>
      </c>
    </row>
    <row r="1645" spans="2:28" ht="15" customHeight="1" x14ac:dyDescent="0.4">
      <c r="C1645" s="34" t="s">
        <v>6</v>
      </c>
      <c r="D1645" s="35">
        <v>45938</v>
      </c>
      <c r="E1645" s="51" t="s">
        <v>90</v>
      </c>
      <c r="F1645" s="33">
        <v>1</v>
      </c>
      <c r="G1645" s="27">
        <f t="shared" si="33"/>
        <v>-1</v>
      </c>
      <c r="H1645" s="28" t="str">
        <f>VLOOKUP(E1645,'Cadastro Produtos (kiwkiw)'!C:E,3,0)</f>
        <v>Colar Dot Prateado</v>
      </c>
      <c r="AB1645" s="33" t="s">
        <v>984</v>
      </c>
    </row>
    <row r="1646" spans="2:28" ht="15" customHeight="1" x14ac:dyDescent="0.4">
      <c r="B1646" s="43">
        <v>45939.421377314815</v>
      </c>
      <c r="C1646" s="34" t="s">
        <v>6</v>
      </c>
      <c r="D1646" s="35">
        <v>45938</v>
      </c>
      <c r="E1646" s="51" t="s">
        <v>118</v>
      </c>
      <c r="F1646" s="33">
        <v>2</v>
      </c>
      <c r="G1646" s="27">
        <f t="shared" si="33"/>
        <v>-2</v>
      </c>
      <c r="H1646" s="28" t="str">
        <f>VLOOKUP(E1646,'Cadastro Produtos (kiwkiw)'!C:E,3,0)</f>
        <v>Gargantilha Minimal Prateada</v>
      </c>
      <c r="AB1646" s="33" t="s">
        <v>985</v>
      </c>
    </row>
    <row r="1647" spans="2:28" ht="15" customHeight="1" x14ac:dyDescent="0.4">
      <c r="C1647" s="34" t="s">
        <v>6</v>
      </c>
      <c r="D1647" s="35">
        <v>45938</v>
      </c>
      <c r="E1647" s="51" t="s">
        <v>92</v>
      </c>
      <c r="F1647" s="33">
        <v>1</v>
      </c>
      <c r="G1647" s="27">
        <f t="shared" si="33"/>
        <v>-1</v>
      </c>
      <c r="H1647" s="28" t="str">
        <f>VLOOKUP(E1647,'Cadastro Produtos (kiwkiw)'!C:E,3,0)</f>
        <v>Colar Coracao Banho Ouro</v>
      </c>
      <c r="AB1647" s="33" t="s">
        <v>986</v>
      </c>
    </row>
    <row r="1648" spans="2:28" ht="15" customHeight="1" x14ac:dyDescent="0.4">
      <c r="C1648" s="34" t="s">
        <v>6</v>
      </c>
      <c r="D1648" s="35">
        <v>45939</v>
      </c>
      <c r="E1648" s="51" t="s">
        <v>117</v>
      </c>
      <c r="F1648" s="33">
        <v>1</v>
      </c>
      <c r="G1648" s="27">
        <f t="shared" si="33"/>
        <v>-1</v>
      </c>
      <c r="H1648" s="28" t="str">
        <f>VLOOKUP(E1648,'Cadastro Produtos (kiwkiw)'!C:E,3,0)</f>
        <v>Gargantilha Minimal Banho Ouro</v>
      </c>
      <c r="AB1648" s="33" t="s">
        <v>987</v>
      </c>
    </row>
    <row r="1649" spans="2:28" ht="15" customHeight="1" x14ac:dyDescent="0.4">
      <c r="C1649" s="34" t="s">
        <v>6</v>
      </c>
      <c r="D1649" s="35">
        <v>45939</v>
      </c>
      <c r="E1649" s="51" t="s">
        <v>118</v>
      </c>
      <c r="F1649" s="33">
        <v>1</v>
      </c>
      <c r="G1649" s="27">
        <f t="shared" si="33"/>
        <v>-1</v>
      </c>
      <c r="H1649" s="28" t="str">
        <f>VLOOKUP(E1649,'Cadastro Produtos (kiwkiw)'!C:E,3,0)</f>
        <v>Gargantilha Minimal Prateada</v>
      </c>
      <c r="AB1649" s="33" t="s">
        <v>987</v>
      </c>
    </row>
    <row r="1650" spans="2:28" ht="15" customHeight="1" x14ac:dyDescent="0.4">
      <c r="C1650" s="34" t="s">
        <v>6</v>
      </c>
      <c r="D1650" s="35">
        <v>45939</v>
      </c>
      <c r="E1650" s="51" t="s">
        <v>796</v>
      </c>
      <c r="F1650" s="33">
        <v>1</v>
      </c>
      <c r="G1650" s="27">
        <f t="shared" si="33"/>
        <v>-1</v>
      </c>
      <c r="H1650" s="28" t="str">
        <f>VLOOKUP(E1650,'Cadastro Produtos (kiwkiw)'!C:E,3,0)</f>
        <v>Colar Longo Minimal Banho Ouro</v>
      </c>
      <c r="AB1650" s="33" t="s">
        <v>988</v>
      </c>
    </row>
    <row r="1651" spans="2:28" ht="15" customHeight="1" x14ac:dyDescent="0.4">
      <c r="C1651" s="34" t="s">
        <v>6</v>
      </c>
      <c r="D1651" s="35">
        <v>45939</v>
      </c>
      <c r="E1651" s="51" t="s">
        <v>116</v>
      </c>
      <c r="F1651" s="33">
        <v>1</v>
      </c>
      <c r="G1651" s="27">
        <f t="shared" si="33"/>
        <v>-1</v>
      </c>
      <c r="H1651" s="28" t="str">
        <f>VLOOKUP(E1651,'Cadastro Produtos (kiwkiw)'!C:E,3,0)</f>
        <v>Gargantilha Dots Banho Ouro</v>
      </c>
      <c r="AB1651" s="33" t="s">
        <v>988</v>
      </c>
    </row>
    <row r="1652" spans="2:28" ht="15" customHeight="1" x14ac:dyDescent="0.4">
      <c r="C1652" s="34" t="s">
        <v>6</v>
      </c>
      <c r="D1652" s="35">
        <v>45939</v>
      </c>
      <c r="E1652" s="51" t="s">
        <v>103</v>
      </c>
      <c r="F1652" s="33">
        <v>1</v>
      </c>
      <c r="G1652" s="27">
        <f t="shared" si="33"/>
        <v>-1</v>
      </c>
      <c r="H1652" s="28" t="str">
        <f>VLOOKUP(E1652,'Cadastro Produtos (kiwkiw)'!C:E,3,0)</f>
        <v>Colar Ivy Banho Ouro</v>
      </c>
      <c r="AB1652" s="33" t="s">
        <v>988</v>
      </c>
    </row>
    <row r="1653" spans="2:28" ht="15" customHeight="1" x14ac:dyDescent="0.4">
      <c r="C1653" s="34" t="s">
        <v>6</v>
      </c>
      <c r="D1653" s="35">
        <v>45939</v>
      </c>
      <c r="E1653" s="51" t="s">
        <v>77</v>
      </c>
      <c r="F1653" s="33">
        <v>1</v>
      </c>
      <c r="G1653" s="27">
        <f t="shared" si="33"/>
        <v>-1</v>
      </c>
      <c r="H1653" s="28" t="str">
        <f>VLOOKUP(E1653,'Cadastro Produtos (kiwkiw)'!C:E,3,0)</f>
        <v>EarHook Torcido Banho Ouro</v>
      </c>
      <c r="AB1653" s="33" t="s">
        <v>988</v>
      </c>
    </row>
    <row r="1654" spans="2:28" ht="15" customHeight="1" x14ac:dyDescent="0.4">
      <c r="B1654" s="43"/>
      <c r="C1654" s="34" t="s">
        <v>6</v>
      </c>
      <c r="D1654" s="35">
        <v>45939</v>
      </c>
      <c r="E1654" s="51" t="s">
        <v>38</v>
      </c>
      <c r="F1654" s="33">
        <v>1</v>
      </c>
      <c r="G1654" s="27">
        <f t="shared" si="33"/>
        <v>-1</v>
      </c>
      <c r="H1654" s="28" t="str">
        <f>VLOOKUP(E1654,'Cadastro Produtos (kiwkiw)'!C:E,3,0)</f>
        <v>Argolinha Click Dots Banho Ouro</v>
      </c>
      <c r="AB1654" s="33" t="s">
        <v>988</v>
      </c>
    </row>
    <row r="1655" spans="2:28" ht="15" customHeight="1" x14ac:dyDescent="0.4">
      <c r="C1655" s="34" t="s">
        <v>6</v>
      </c>
      <c r="D1655" s="35">
        <v>45939</v>
      </c>
      <c r="E1655" s="51" t="s">
        <v>72</v>
      </c>
      <c r="F1655" s="33">
        <v>1</v>
      </c>
      <c r="G1655" s="27">
        <f t="shared" si="33"/>
        <v>-1</v>
      </c>
      <c r="H1655" s="28" t="str">
        <f>VLOOKUP(E1655,'Cadastro Produtos (kiwkiw)'!C:E,3,0)</f>
        <v>Ear Hook Line Banho Ouro</v>
      </c>
      <c r="AB1655" s="33" t="s">
        <v>989</v>
      </c>
    </row>
    <row r="1656" spans="2:28" ht="15" customHeight="1" x14ac:dyDescent="0.4">
      <c r="B1656" s="43">
        <v>45940.424618055556</v>
      </c>
      <c r="C1656" s="34" t="s">
        <v>6</v>
      </c>
      <c r="D1656" s="35">
        <v>45940</v>
      </c>
      <c r="E1656" s="51" t="s">
        <v>117</v>
      </c>
      <c r="F1656" s="33">
        <v>1</v>
      </c>
      <c r="G1656" s="27">
        <f t="shared" si="33"/>
        <v>-1</v>
      </c>
      <c r="H1656" s="28" t="str">
        <f>VLOOKUP(E1656,'Cadastro Produtos (kiwkiw)'!C:E,3,0)</f>
        <v>Gargantilha Minimal Banho Ouro</v>
      </c>
      <c r="AB1656" s="33" t="s">
        <v>990</v>
      </c>
    </row>
    <row r="1657" spans="2:28" ht="15" customHeight="1" x14ac:dyDescent="0.4">
      <c r="C1657" s="34" t="s">
        <v>6</v>
      </c>
      <c r="D1657" s="35">
        <v>45940</v>
      </c>
      <c r="E1657" s="51" t="s">
        <v>117</v>
      </c>
      <c r="F1657" s="33">
        <v>1</v>
      </c>
      <c r="G1657" s="27">
        <f t="shared" si="33"/>
        <v>-1</v>
      </c>
      <c r="H1657" s="28" t="str">
        <f>VLOOKUP(E1657,'Cadastro Produtos (kiwkiw)'!C:E,3,0)</f>
        <v>Gargantilha Minimal Banho Ouro</v>
      </c>
      <c r="AB1657" s="33" t="s">
        <v>991</v>
      </c>
    </row>
    <row r="1658" spans="2:28" ht="15" customHeight="1" x14ac:dyDescent="0.4">
      <c r="C1658" s="34" t="s">
        <v>6</v>
      </c>
      <c r="D1658" s="35">
        <v>45940</v>
      </c>
      <c r="E1658" s="51" t="s">
        <v>95</v>
      </c>
      <c r="F1658" s="33">
        <v>1</v>
      </c>
      <c r="G1658" s="27">
        <f t="shared" si="33"/>
        <v>-1</v>
      </c>
      <c r="H1658" s="28" t="str">
        <f>VLOOKUP(E1658,'Cadastro Produtos (kiwkiw)'!C:E,3,0)</f>
        <v>Colar Duplo Dots Prateado</v>
      </c>
      <c r="AB1658" s="33" t="s">
        <v>990</v>
      </c>
    </row>
    <row r="1659" spans="2:28" ht="15" customHeight="1" x14ac:dyDescent="0.4">
      <c r="C1659" s="34" t="s">
        <v>6</v>
      </c>
      <c r="D1659" s="35">
        <v>45940</v>
      </c>
      <c r="E1659" s="51" t="s">
        <v>123</v>
      </c>
      <c r="F1659" s="33">
        <v>1</v>
      </c>
      <c r="G1659" s="27">
        <f t="shared" si="33"/>
        <v>-1</v>
      </c>
      <c r="H1659" s="28" t="str">
        <f>VLOOKUP(E1659,'Cadastro Produtos (kiwkiw)'!C:E,3,0)</f>
        <v>Pulseira Dots Banho Ouro</v>
      </c>
      <c r="AB1659" s="33" t="s">
        <v>991</v>
      </c>
    </row>
    <row r="1660" spans="2:28" ht="15" customHeight="1" x14ac:dyDescent="0.4">
      <c r="C1660" s="34" t="s">
        <v>6</v>
      </c>
      <c r="D1660" s="35">
        <v>45940</v>
      </c>
      <c r="E1660" s="51" t="s">
        <v>94</v>
      </c>
      <c r="F1660" s="33">
        <v>1</v>
      </c>
      <c r="G1660" s="27">
        <f t="shared" si="33"/>
        <v>-1</v>
      </c>
      <c r="H1660" s="28" t="str">
        <f>VLOOKUP(E1660,'Cadastro Produtos (kiwkiw)'!C:E,3,0)</f>
        <v>Colar Duplo Dots Banho Ouro</v>
      </c>
      <c r="AB1660" s="33" t="s">
        <v>992</v>
      </c>
    </row>
    <row r="1661" spans="2:28" ht="15" customHeight="1" x14ac:dyDescent="0.4">
      <c r="B1661" s="43">
        <v>45943.445706018516</v>
      </c>
      <c r="C1661" s="34" t="s">
        <v>6</v>
      </c>
      <c r="D1661" s="35">
        <v>45943</v>
      </c>
      <c r="E1661" s="51" t="s">
        <v>805</v>
      </c>
      <c r="F1661" s="33">
        <v>1</v>
      </c>
      <c r="G1661" s="27">
        <f t="shared" si="33"/>
        <v>-1</v>
      </c>
      <c r="H1661" s="28" t="str">
        <f>VLOOKUP(E1661,'Cadastro Produtos (kiwkiw)'!C:E,3,0)</f>
        <v>Anel No Banho Ouro</v>
      </c>
      <c r="AB1661" s="33" t="s">
        <v>993</v>
      </c>
    </row>
    <row r="1662" spans="2:28" ht="15" customHeight="1" x14ac:dyDescent="0.4">
      <c r="C1662" s="34" t="s">
        <v>6</v>
      </c>
      <c r="D1662" s="35">
        <v>45943</v>
      </c>
      <c r="E1662" s="51" t="s">
        <v>102</v>
      </c>
      <c r="F1662" s="33">
        <v>1</v>
      </c>
      <c r="G1662" s="27">
        <f t="shared" si="33"/>
        <v>-1</v>
      </c>
      <c r="H1662" s="28" t="str">
        <f>VLOOKUP(E1662,'Cadastro Produtos (kiwkiw)'!C:E,3,0)</f>
        <v>Colar Longo Lua Banho Ouro</v>
      </c>
      <c r="AB1662" s="33" t="s">
        <v>994</v>
      </c>
    </row>
    <row r="1663" spans="2:28" ht="15" customHeight="1" x14ac:dyDescent="0.4">
      <c r="C1663" s="34" t="s">
        <v>6</v>
      </c>
      <c r="D1663" s="35">
        <v>45943</v>
      </c>
      <c r="E1663" s="51" t="s">
        <v>117</v>
      </c>
      <c r="F1663" s="33">
        <v>1</v>
      </c>
      <c r="G1663" s="27">
        <f t="shared" si="33"/>
        <v>-1</v>
      </c>
      <c r="H1663" s="28" t="str">
        <f>VLOOKUP(E1663,'Cadastro Produtos (kiwkiw)'!C:E,3,0)</f>
        <v>Gargantilha Minimal Banho Ouro</v>
      </c>
      <c r="AB1663" s="33" t="s">
        <v>995</v>
      </c>
    </row>
    <row r="1664" spans="2:28" ht="15" customHeight="1" x14ac:dyDescent="0.4">
      <c r="C1664" s="34" t="s">
        <v>6</v>
      </c>
      <c r="D1664" s="35">
        <v>45943</v>
      </c>
      <c r="E1664" s="51" t="s">
        <v>68</v>
      </c>
      <c r="F1664" s="33">
        <v>1</v>
      </c>
      <c r="G1664" s="27">
        <f t="shared" si="33"/>
        <v>-1</v>
      </c>
      <c r="H1664" s="28" t="str">
        <f>VLOOKUP(E1664,'Cadastro Produtos (kiwkiw)'!C:E,3,0)</f>
        <v>Brinco Tubinho Medio Banho Ouro</v>
      </c>
      <c r="AB1664" s="33" t="s">
        <v>996</v>
      </c>
    </row>
    <row r="1665" spans="2:28" ht="15" customHeight="1" x14ac:dyDescent="0.4">
      <c r="B1665" s="43">
        <v>45945.423344907409</v>
      </c>
      <c r="C1665" s="34" t="s">
        <v>6</v>
      </c>
      <c r="D1665" s="35">
        <v>45945</v>
      </c>
      <c r="E1665" s="51" t="s">
        <v>112</v>
      </c>
      <c r="F1665" s="33">
        <v>1</v>
      </c>
      <c r="G1665" s="27">
        <f t="shared" si="33"/>
        <v>-1</v>
      </c>
      <c r="H1665" s="28" t="str">
        <f>VLOOKUP(E1665,'Cadastro Produtos (kiwkiw)'!C:E,3,0)</f>
        <v>Gargantilha Escama Banho Ouro</v>
      </c>
      <c r="AB1665" s="33" t="s">
        <v>997</v>
      </c>
    </row>
    <row r="1666" spans="2:28" ht="15" customHeight="1" x14ac:dyDescent="0.4">
      <c r="B1666" s="43">
        <v>45946.425185185188</v>
      </c>
      <c r="C1666" s="34" t="s">
        <v>6</v>
      </c>
      <c r="D1666" s="35">
        <v>45946</v>
      </c>
      <c r="E1666" s="51" t="s">
        <v>796</v>
      </c>
      <c r="F1666" s="33">
        <v>1</v>
      </c>
      <c r="G1666" s="27">
        <f t="shared" si="33"/>
        <v>-1</v>
      </c>
      <c r="H1666" s="28" t="str">
        <f>VLOOKUP(E1666,'Cadastro Produtos (kiwkiw)'!C:E,3,0)</f>
        <v>Colar Longo Minimal Banho Ouro</v>
      </c>
      <c r="AB1666" s="33" t="s">
        <v>998</v>
      </c>
    </row>
    <row r="1667" spans="2:28" ht="15" customHeight="1" x14ac:dyDescent="0.4">
      <c r="B1667" s="43">
        <v>45947.447280092594</v>
      </c>
      <c r="C1667" s="34" t="s">
        <v>6</v>
      </c>
      <c r="D1667" s="35">
        <v>45947</v>
      </c>
      <c r="E1667" s="51" t="s">
        <v>32</v>
      </c>
      <c r="F1667" s="33">
        <v>1</v>
      </c>
      <c r="G1667" s="27">
        <f t="shared" si="33"/>
        <v>-1</v>
      </c>
      <c r="H1667" s="28" t="str">
        <f>VLOOKUP(E1667,'Cadastro Produtos (kiwkiw)'!C:E,3,0)</f>
        <v>Argola Redonda Basic Banho Ouro</v>
      </c>
      <c r="AB1667" s="33" t="s">
        <v>999</v>
      </c>
    </row>
    <row r="1668" spans="2:28" ht="15" customHeight="1" x14ac:dyDescent="0.4">
      <c r="C1668" s="34" t="s">
        <v>6</v>
      </c>
      <c r="D1668" s="35">
        <v>45947</v>
      </c>
      <c r="E1668" s="51" t="s">
        <v>26</v>
      </c>
      <c r="F1668" s="33">
        <v>1</v>
      </c>
      <c r="G1668" s="27">
        <f t="shared" si="33"/>
        <v>-1</v>
      </c>
      <c r="H1668" s="28" t="str">
        <f>VLOOKUP(E1668,'Cadastro Produtos (kiwkiw)'!C:E,3,0)</f>
        <v>Argola Click Grande Banho Ouro</v>
      </c>
      <c r="AB1668" s="33" t="s">
        <v>999</v>
      </c>
    </row>
    <row r="1669" spans="2:28" ht="15" customHeight="1" x14ac:dyDescent="0.4">
      <c r="C1669" s="34" t="s">
        <v>6</v>
      </c>
      <c r="D1669" s="35">
        <v>45947</v>
      </c>
      <c r="E1669" s="51" t="s">
        <v>28</v>
      </c>
      <c r="F1669" s="33">
        <v>1</v>
      </c>
      <c r="G1669" s="27">
        <f t="shared" si="33"/>
        <v>-1</v>
      </c>
      <c r="H1669" s="28" t="str">
        <f>VLOOKUP(E1669,'Cadastro Produtos (kiwkiw)'!C:E,3,0)</f>
        <v>Argola Click Pequena Banho Ouro</v>
      </c>
      <c r="AB1669" s="33" t="s">
        <v>999</v>
      </c>
    </row>
    <row r="1670" spans="2:28" ht="15" customHeight="1" x14ac:dyDescent="0.4">
      <c r="C1670" s="34" t="s">
        <v>6</v>
      </c>
      <c r="D1670" s="35">
        <v>45947</v>
      </c>
      <c r="E1670" s="51" t="s">
        <v>814</v>
      </c>
      <c r="F1670" s="33">
        <v>1</v>
      </c>
      <c r="G1670" s="27">
        <f t="shared" si="33"/>
        <v>-1</v>
      </c>
      <c r="H1670" s="28" t="str">
        <f>VLOOKUP(E1670,'Cadastro Produtos (kiwkiw)'!C:E,3,0)</f>
        <v>Brinco Ponto de Luz Banho Ouro</v>
      </c>
      <c r="AB1670" s="33" t="s">
        <v>999</v>
      </c>
    </row>
    <row r="1671" spans="2:28" ht="15" customHeight="1" x14ac:dyDescent="0.4">
      <c r="C1671" s="34" t="s">
        <v>6</v>
      </c>
      <c r="D1671" s="35">
        <v>45947</v>
      </c>
      <c r="E1671" s="51" t="s">
        <v>831</v>
      </c>
      <c r="F1671" s="33">
        <v>1</v>
      </c>
      <c r="G1671" s="27">
        <f t="shared" si="33"/>
        <v>-1</v>
      </c>
      <c r="H1671" s="28" t="str">
        <f>VLOOKUP(E1671,'Cadastro Produtos (kiwkiw)'!C:E,3,0)</f>
        <v>Brinco Palito Banho Ouro</v>
      </c>
      <c r="AB1671" s="33" t="s">
        <v>999</v>
      </c>
    </row>
    <row r="1672" spans="2:28" ht="15" customHeight="1" x14ac:dyDescent="0.4">
      <c r="C1672" s="34" t="s">
        <v>6</v>
      </c>
      <c r="D1672" s="35">
        <v>45947</v>
      </c>
      <c r="E1672" s="51" t="s">
        <v>77</v>
      </c>
      <c r="F1672" s="33">
        <v>1</v>
      </c>
      <c r="G1672" s="27">
        <f t="shared" si="33"/>
        <v>-1</v>
      </c>
      <c r="H1672" s="28" t="str">
        <f>VLOOKUP(E1672,'Cadastro Produtos (kiwkiw)'!C:E,3,0)</f>
        <v>EarHook Torcido Banho Ouro</v>
      </c>
      <c r="AB1672" s="33" t="s">
        <v>999</v>
      </c>
    </row>
    <row r="1673" spans="2:28" ht="15" customHeight="1" x14ac:dyDescent="0.4">
      <c r="C1673" s="34" t="s">
        <v>5</v>
      </c>
      <c r="D1673" s="35">
        <v>45947</v>
      </c>
      <c r="E1673" s="51" t="s">
        <v>117</v>
      </c>
      <c r="F1673" s="33">
        <v>1</v>
      </c>
      <c r="G1673" s="27">
        <f t="shared" si="33"/>
        <v>1</v>
      </c>
      <c r="H1673" s="28" t="str">
        <f>VLOOKUP(E1673,'Cadastro Produtos (kiwkiw)'!C:E,3,0)</f>
        <v>Gargantilha Minimal Banho Ouro</v>
      </c>
      <c r="I1673" s="32" t="s">
        <v>1000</v>
      </c>
    </row>
    <row r="1674" spans="2:28" ht="15" customHeight="1" x14ac:dyDescent="0.4">
      <c r="B1674" s="43">
        <v>45950.526863425926</v>
      </c>
      <c r="C1674" s="34" t="s">
        <v>6</v>
      </c>
      <c r="D1674" s="35">
        <v>45950</v>
      </c>
      <c r="E1674" s="51" t="s">
        <v>821</v>
      </c>
      <c r="F1674" s="33">
        <v>1</v>
      </c>
      <c r="G1674" s="27">
        <f t="shared" si="33"/>
        <v>-1</v>
      </c>
      <c r="H1674" s="28" t="str">
        <f>VLOOKUP(E1674,'Cadastro Produtos (kiwkiw)'!C:E,3,0)</f>
        <v>Ear Cuff Snake Banho Ouro</v>
      </c>
      <c r="AB1674" s="33" t="s">
        <v>1001</v>
      </c>
    </row>
    <row r="1675" spans="2:28" ht="15" customHeight="1" x14ac:dyDescent="0.4">
      <c r="C1675" s="34" t="s">
        <v>6</v>
      </c>
      <c r="D1675" s="35">
        <v>45950</v>
      </c>
      <c r="E1675" s="51" t="s">
        <v>834</v>
      </c>
      <c r="F1675" s="33">
        <v>1</v>
      </c>
      <c r="G1675" s="27">
        <f t="shared" si="33"/>
        <v>-1</v>
      </c>
      <c r="H1675" s="28" t="str">
        <f>VLOOKUP(E1675,'Cadastro Produtos (kiwkiw)'!C:E,3,0)</f>
        <v>Ear Hook Triplo Dot Banho Ouro</v>
      </c>
      <c r="AB1675" s="33" t="s">
        <v>1001</v>
      </c>
    </row>
    <row r="1676" spans="2:28" ht="15" customHeight="1" x14ac:dyDescent="0.4">
      <c r="C1676" s="34" t="s">
        <v>6</v>
      </c>
      <c r="D1676" s="35">
        <v>45950</v>
      </c>
      <c r="E1676" s="51" t="s">
        <v>116</v>
      </c>
      <c r="F1676" s="33">
        <v>1</v>
      </c>
      <c r="G1676" s="27">
        <f t="shared" si="33"/>
        <v>-1</v>
      </c>
      <c r="H1676" s="28" t="str">
        <f>VLOOKUP(E1676,'Cadastro Produtos (kiwkiw)'!C:E,3,0)</f>
        <v>Gargantilha Dots Banho Ouro</v>
      </c>
      <c r="AB1676" s="33" t="s">
        <v>1001</v>
      </c>
    </row>
    <row r="1677" spans="2:28" ht="15" customHeight="1" x14ac:dyDescent="0.4">
      <c r="C1677" s="34" t="s">
        <v>6</v>
      </c>
      <c r="D1677" s="35">
        <v>45950</v>
      </c>
      <c r="E1677" s="51" t="s">
        <v>116</v>
      </c>
      <c r="F1677" s="33">
        <v>1</v>
      </c>
      <c r="G1677" s="27">
        <f t="shared" si="33"/>
        <v>-1</v>
      </c>
      <c r="H1677" s="28" t="str">
        <f>VLOOKUP(E1677,'Cadastro Produtos (kiwkiw)'!C:E,3,0)</f>
        <v>Gargantilha Dots Banho Ouro</v>
      </c>
      <c r="AB1677" s="33" t="s">
        <v>1002</v>
      </c>
    </row>
    <row r="1678" spans="2:28" ht="15" customHeight="1" x14ac:dyDescent="0.4">
      <c r="C1678" s="34" t="s">
        <v>6</v>
      </c>
      <c r="D1678" s="35">
        <v>45950</v>
      </c>
      <c r="E1678" s="51" t="s">
        <v>114</v>
      </c>
      <c r="F1678" s="33">
        <v>1</v>
      </c>
      <c r="G1678" s="27">
        <f t="shared" si="33"/>
        <v>-1</v>
      </c>
      <c r="H1678" s="28" t="str">
        <f>VLOOKUP(E1678,'Cadastro Produtos (kiwkiw)'!C:E,3,0)</f>
        <v>Gargantilha Fita Banho Ouro</v>
      </c>
      <c r="AB1678" s="33" t="s">
        <v>1001</v>
      </c>
    </row>
    <row r="1679" spans="2:28" ht="15" customHeight="1" x14ac:dyDescent="0.4">
      <c r="C1679" s="34" t="s">
        <v>6</v>
      </c>
      <c r="D1679" s="35">
        <v>45950</v>
      </c>
      <c r="E1679" s="51" t="s">
        <v>62</v>
      </c>
      <c r="F1679" s="33">
        <v>1</v>
      </c>
      <c r="G1679" s="27">
        <f t="shared" si="33"/>
        <v>-1</v>
      </c>
      <c r="H1679" s="28" t="str">
        <f>VLOOKUP(E1679,'Cadastro Produtos (kiwkiw)'!C:E,3,0)</f>
        <v>Brinco Sol Banho Ouro</v>
      </c>
      <c r="AB1679" s="33" t="s">
        <v>1001</v>
      </c>
    </row>
    <row r="1680" spans="2:28" ht="15" customHeight="1" x14ac:dyDescent="0.4">
      <c r="C1680" s="34" t="s">
        <v>6</v>
      </c>
      <c r="D1680" s="35">
        <v>45950</v>
      </c>
      <c r="E1680" s="51" t="s">
        <v>62</v>
      </c>
      <c r="F1680" s="33">
        <v>1</v>
      </c>
      <c r="G1680" s="27">
        <f t="shared" si="33"/>
        <v>-1</v>
      </c>
      <c r="H1680" s="28" t="str">
        <f>VLOOKUP(E1680,'Cadastro Produtos (kiwkiw)'!C:E,3,0)</f>
        <v>Brinco Sol Banho Ouro</v>
      </c>
      <c r="AB1680" s="33" t="s">
        <v>1003</v>
      </c>
    </row>
    <row r="1681" spans="2:28" ht="15" customHeight="1" x14ac:dyDescent="0.4">
      <c r="C1681" s="34" t="s">
        <v>6</v>
      </c>
      <c r="D1681" s="35">
        <v>45950</v>
      </c>
      <c r="E1681" s="51" t="s">
        <v>118</v>
      </c>
      <c r="F1681" s="33">
        <v>1</v>
      </c>
      <c r="G1681" s="27">
        <f t="shared" si="33"/>
        <v>-1</v>
      </c>
      <c r="H1681" s="28" t="str">
        <f>VLOOKUP(E1681,'Cadastro Produtos (kiwkiw)'!C:E,3,0)</f>
        <v>Gargantilha Minimal Prateada</v>
      </c>
      <c r="AB1681" s="33" t="s">
        <v>1004</v>
      </c>
    </row>
    <row r="1682" spans="2:28" ht="15" customHeight="1" x14ac:dyDescent="0.4">
      <c r="C1682" s="34" t="s">
        <v>6</v>
      </c>
      <c r="D1682" s="35">
        <v>45950</v>
      </c>
      <c r="E1682" s="51" t="s">
        <v>31</v>
      </c>
      <c r="F1682" s="33">
        <v>1</v>
      </c>
      <c r="G1682" s="27">
        <f t="shared" ref="G1682:G1745" si="34">IF(C1682="Entrada",F1682,-F1682)</f>
        <v>-1</v>
      </c>
      <c r="H1682" s="28" t="str">
        <f>VLOOKUP(E1682,'Cadastro Produtos (kiwkiw)'!C:E,3,0)</f>
        <v>Argola Reta Basic Banho Ouro</v>
      </c>
      <c r="AB1682" s="33" t="s">
        <v>1005</v>
      </c>
    </row>
    <row r="1683" spans="2:28" ht="15" customHeight="1" x14ac:dyDescent="0.4">
      <c r="C1683" s="34" t="s">
        <v>6</v>
      </c>
      <c r="D1683" s="35">
        <v>45950</v>
      </c>
      <c r="E1683" s="51" t="s">
        <v>800</v>
      </c>
      <c r="F1683" s="33">
        <v>1</v>
      </c>
      <c r="G1683" s="27">
        <f t="shared" si="34"/>
        <v>-1</v>
      </c>
      <c r="H1683" s="28" t="str">
        <f>VLOOKUP(E1683,'Cadastro Produtos (kiwkiw)'!C:E,3,0)</f>
        <v>Gargantilha Groumet Banho Ouro</v>
      </c>
      <c r="AB1683" s="33" t="s">
        <v>1002</v>
      </c>
    </row>
    <row r="1684" spans="2:28" ht="15" customHeight="1" x14ac:dyDescent="0.4">
      <c r="C1684" s="34" t="s">
        <v>6</v>
      </c>
      <c r="D1684" s="35">
        <v>45950</v>
      </c>
      <c r="E1684" s="51" t="s">
        <v>35</v>
      </c>
      <c r="F1684" s="33">
        <v>1</v>
      </c>
      <c r="G1684" s="27">
        <f t="shared" si="34"/>
        <v>-1</v>
      </c>
      <c r="H1684" s="28" t="str">
        <f>VLOOKUP(E1684,'Cadastro Produtos (kiwkiw)'!C:E,3,0)</f>
        <v>Argola Classy Banho Ouro</v>
      </c>
      <c r="AB1684" s="33" t="s">
        <v>1006</v>
      </c>
    </row>
    <row r="1685" spans="2:28" ht="15" customHeight="1" x14ac:dyDescent="0.4">
      <c r="C1685" s="34" t="s">
        <v>6</v>
      </c>
      <c r="D1685" s="35">
        <v>45950</v>
      </c>
      <c r="E1685" s="51" t="s">
        <v>83</v>
      </c>
      <c r="F1685" s="33">
        <v>1</v>
      </c>
      <c r="G1685" s="27">
        <f t="shared" si="34"/>
        <v>-1</v>
      </c>
      <c r="H1685" s="28" t="str">
        <f>VLOOKUP(E1685,'Cadastro Produtos (kiwkiw)'!C:E,3,0)</f>
        <v>Mini Argola Classy Banho Ouro</v>
      </c>
      <c r="AB1685" s="33" t="s">
        <v>1006</v>
      </c>
    </row>
    <row r="1686" spans="2:28" ht="15" customHeight="1" x14ac:dyDescent="0.4">
      <c r="C1686" s="34" t="s">
        <v>6</v>
      </c>
      <c r="D1686" s="35">
        <v>45950</v>
      </c>
      <c r="E1686" s="51" t="s">
        <v>809</v>
      </c>
      <c r="F1686" s="33">
        <v>1</v>
      </c>
      <c r="G1686" s="27">
        <f t="shared" si="34"/>
        <v>-1</v>
      </c>
      <c r="H1686" s="28" t="str">
        <f>VLOOKUP(E1686,'Cadastro Produtos (kiwkiw)'!C:E,3,0)</f>
        <v>Bracelete Roll Banho Ouro</v>
      </c>
      <c r="AB1686" s="33" t="s">
        <v>1007</v>
      </c>
    </row>
    <row r="1687" spans="2:28" ht="15" customHeight="1" x14ac:dyDescent="0.4">
      <c r="B1687" s="43">
        <v>45951.425127314818</v>
      </c>
      <c r="C1687" s="34" t="s">
        <v>6</v>
      </c>
      <c r="D1687" s="35">
        <v>45951</v>
      </c>
      <c r="E1687" s="51" t="s">
        <v>54</v>
      </c>
      <c r="F1687" s="33">
        <v>1</v>
      </c>
      <c r="G1687" s="27">
        <f t="shared" si="34"/>
        <v>-1</v>
      </c>
      <c r="H1687" s="28" t="str">
        <f>VLOOKUP(E1687,'Cadastro Produtos (kiwkiw)'!C:E,3,0)</f>
        <v>Brinco Ivy Banho Ouro</v>
      </c>
      <c r="AB1687" s="33" t="s">
        <v>1008</v>
      </c>
    </row>
    <row r="1688" spans="2:28" ht="15" customHeight="1" x14ac:dyDescent="0.4">
      <c r="C1688" s="34" t="s">
        <v>6</v>
      </c>
      <c r="D1688" s="35">
        <v>45951</v>
      </c>
      <c r="E1688" s="51" t="s">
        <v>55</v>
      </c>
      <c r="F1688" s="33">
        <v>1</v>
      </c>
      <c r="G1688" s="27">
        <f t="shared" si="34"/>
        <v>-1</v>
      </c>
      <c r="H1688" s="28" t="str">
        <f>VLOOKUP(E1688,'Cadastro Produtos (kiwkiw)'!C:E,3,0)</f>
        <v>Brinco Ivy Prateado</v>
      </c>
      <c r="AB1688" s="33" t="s">
        <v>1008</v>
      </c>
    </row>
    <row r="1689" spans="2:28" ht="15" customHeight="1" x14ac:dyDescent="0.4">
      <c r="B1689" s="43">
        <v>45957.448298611111</v>
      </c>
      <c r="C1689" s="34" t="s">
        <v>6</v>
      </c>
      <c r="D1689" s="35">
        <v>45957</v>
      </c>
      <c r="E1689" s="51" t="s">
        <v>811</v>
      </c>
      <c r="F1689" s="33">
        <v>1</v>
      </c>
      <c r="G1689" s="27">
        <f t="shared" si="34"/>
        <v>-1</v>
      </c>
      <c r="H1689" s="28" t="str">
        <f>VLOOKUP(E1689,'Cadastro Produtos (kiwkiw)'!C:E,3,0)</f>
        <v>Brinco Drop P Banho Ouro</v>
      </c>
      <c r="AB1689" s="33" t="s">
        <v>1009</v>
      </c>
    </row>
    <row r="1690" spans="2:28" ht="15" customHeight="1" x14ac:dyDescent="0.4">
      <c r="C1690" s="34" t="s">
        <v>6</v>
      </c>
      <c r="D1690" s="35">
        <v>45957</v>
      </c>
      <c r="E1690" s="51" t="s">
        <v>114</v>
      </c>
      <c r="F1690" s="33">
        <v>1</v>
      </c>
      <c r="G1690" s="27">
        <f t="shared" si="34"/>
        <v>-1</v>
      </c>
      <c r="H1690" s="28" t="str">
        <f>VLOOKUP(E1690,'Cadastro Produtos (kiwkiw)'!C:E,3,0)</f>
        <v>Gargantilha Fita Banho Ouro</v>
      </c>
      <c r="AB1690" s="33" t="s">
        <v>1010</v>
      </c>
    </row>
    <row r="1691" spans="2:28" ht="15" customHeight="1" x14ac:dyDescent="0.4">
      <c r="B1691" s="43">
        <v>45959.424398148149</v>
      </c>
      <c r="C1691" s="34" t="s">
        <v>6</v>
      </c>
      <c r="D1691" s="35">
        <v>45959</v>
      </c>
      <c r="E1691" s="51" t="s">
        <v>798</v>
      </c>
      <c r="F1691" s="33">
        <v>1</v>
      </c>
      <c r="G1691" s="27">
        <f t="shared" si="34"/>
        <v>-1</v>
      </c>
      <c r="H1691" s="28" t="str">
        <f>VLOOKUP(E1691,'Cadastro Produtos (kiwkiw)'!C:E,3,0)</f>
        <v>Ear Hook Organico Banho Ouro</v>
      </c>
      <c r="AB1691" s="33" t="s">
        <v>1011</v>
      </c>
    </row>
    <row r="1692" spans="2:28" ht="15" customHeight="1" x14ac:dyDescent="0.4">
      <c r="C1692" s="34" t="s">
        <v>6</v>
      </c>
      <c r="D1692" s="35">
        <v>45959</v>
      </c>
      <c r="E1692" s="51" t="s">
        <v>86</v>
      </c>
      <c r="F1692" s="33">
        <v>1</v>
      </c>
      <c r="G1692" s="27">
        <f t="shared" si="34"/>
        <v>-1</v>
      </c>
      <c r="H1692" s="28" t="str">
        <f>VLOOKUP(E1692,'Cadastro Produtos (kiwkiw)'!C:E,3,0)</f>
        <v>Piercing Fake Minimal Banho Ouro</v>
      </c>
      <c r="AB1692" s="33" t="s">
        <v>1012</v>
      </c>
    </row>
    <row r="1693" spans="2:28" ht="15" customHeight="1" x14ac:dyDescent="0.4">
      <c r="C1693" s="34" t="s">
        <v>6</v>
      </c>
      <c r="D1693" s="35">
        <v>45959</v>
      </c>
      <c r="E1693" s="51" t="s">
        <v>129</v>
      </c>
      <c r="F1693" s="33">
        <v>1</v>
      </c>
      <c r="G1693" s="27">
        <f t="shared" si="34"/>
        <v>-1</v>
      </c>
      <c r="H1693" s="28" t="str">
        <f>VLOOKUP(E1693,'Cadastro Produtos (kiwkiw)'!C:E,3,0)</f>
        <v>Pulseira Snake Banho Ouro</v>
      </c>
      <c r="AB1693" s="33" t="s">
        <v>1013</v>
      </c>
    </row>
    <row r="1694" spans="2:28" ht="15" customHeight="1" x14ac:dyDescent="0.4">
      <c r="B1694" s="43">
        <v>45961.428356481483</v>
      </c>
      <c r="C1694" s="34" t="s">
        <v>6</v>
      </c>
      <c r="D1694" s="35">
        <v>45961</v>
      </c>
      <c r="E1694" s="51" t="s">
        <v>821</v>
      </c>
      <c r="F1694" s="33">
        <v>1</v>
      </c>
      <c r="G1694" s="27">
        <f t="shared" si="34"/>
        <v>-1</v>
      </c>
      <c r="H1694" s="28" t="str">
        <f>VLOOKUP(E1694,'Cadastro Produtos (kiwkiw)'!C:E,3,0)</f>
        <v>Ear Cuff Snake Banho Ouro</v>
      </c>
      <c r="AB1694" s="33" t="s">
        <v>1014</v>
      </c>
    </row>
    <row r="1695" spans="2:28" ht="15" customHeight="1" x14ac:dyDescent="0.4">
      <c r="C1695" s="34" t="s">
        <v>6</v>
      </c>
      <c r="D1695" s="35">
        <v>45961</v>
      </c>
      <c r="E1695" s="51" t="s">
        <v>802</v>
      </c>
      <c r="F1695" s="33">
        <v>1</v>
      </c>
      <c r="G1695" s="27">
        <f t="shared" si="34"/>
        <v>-1</v>
      </c>
      <c r="H1695" s="28" t="str">
        <f>VLOOKUP(E1695,'Cadastro Produtos (kiwkiw)'!C:E,3,0)</f>
        <v>Piercing Fake No Banho Ouro</v>
      </c>
      <c r="AB1695" s="33" t="s">
        <v>1014</v>
      </c>
    </row>
    <row r="1696" spans="2:28" ht="15" customHeight="1" x14ac:dyDescent="0.4">
      <c r="C1696" s="34" t="s">
        <v>6</v>
      </c>
      <c r="D1696" s="35">
        <v>45961</v>
      </c>
      <c r="E1696" s="51" t="s">
        <v>86</v>
      </c>
      <c r="F1696" s="33">
        <v>1</v>
      </c>
      <c r="G1696" s="27">
        <f t="shared" si="34"/>
        <v>-1</v>
      </c>
      <c r="H1696" s="28" t="str">
        <f>VLOOKUP(E1696,'Cadastro Produtos (kiwkiw)'!C:E,3,0)</f>
        <v>Piercing Fake Minimal Banho Ouro</v>
      </c>
      <c r="AB1696" s="33" t="s">
        <v>1014</v>
      </c>
    </row>
    <row r="1697" spans="2:28" ht="15" customHeight="1" x14ac:dyDescent="0.4">
      <c r="C1697" s="34" t="s">
        <v>6</v>
      </c>
      <c r="D1697" s="35">
        <v>45961</v>
      </c>
      <c r="E1697" s="51" t="s">
        <v>71</v>
      </c>
      <c r="F1697" s="33">
        <v>1</v>
      </c>
      <c r="G1697" s="27">
        <f t="shared" si="34"/>
        <v>-1</v>
      </c>
      <c r="H1697" s="28" t="str">
        <f>VLOOKUP(E1697,'Cadastro Produtos (kiwkiw)'!C:E,3,0)</f>
        <v>Ear Cuff Minimal Banho Ouro</v>
      </c>
      <c r="AB1697" s="33" t="s">
        <v>1014</v>
      </c>
    </row>
    <row r="1698" spans="2:28" ht="15" customHeight="1" x14ac:dyDescent="0.4">
      <c r="C1698" s="34" t="s">
        <v>6</v>
      </c>
      <c r="D1698" s="35">
        <v>45961</v>
      </c>
      <c r="E1698" s="51" t="s">
        <v>826</v>
      </c>
      <c r="F1698" s="33">
        <v>1</v>
      </c>
      <c r="G1698" s="27">
        <f t="shared" si="34"/>
        <v>-1</v>
      </c>
      <c r="H1698" s="28" t="str">
        <f>VLOOKUP(E1698,'Cadastro Produtos (kiwkiw)'!C:E,3,0)</f>
        <v>Pulseira Torcida Banho Ouro</v>
      </c>
      <c r="AB1698" s="33" t="s">
        <v>1014</v>
      </c>
    </row>
    <row r="1699" spans="2:28" ht="15" customHeight="1" x14ac:dyDescent="0.4">
      <c r="C1699" s="34" t="s">
        <v>6</v>
      </c>
      <c r="D1699" s="35">
        <v>45961</v>
      </c>
      <c r="E1699" s="51" t="s">
        <v>808</v>
      </c>
      <c r="F1699" s="33">
        <v>1</v>
      </c>
      <c r="G1699" s="27">
        <f t="shared" si="34"/>
        <v>-1</v>
      </c>
      <c r="H1699" s="28" t="str">
        <f>VLOOKUP(E1699,'Cadastro Produtos (kiwkiw)'!C:E,3,0)</f>
        <v>Bracelete Curves Banho Ouro</v>
      </c>
      <c r="AB1699" s="33" t="s">
        <v>1015</v>
      </c>
    </row>
    <row r="1700" spans="2:28" ht="15" customHeight="1" x14ac:dyDescent="0.4">
      <c r="C1700" s="34" t="s">
        <v>6</v>
      </c>
      <c r="D1700" s="35">
        <v>45961</v>
      </c>
      <c r="E1700" s="51" t="s">
        <v>124</v>
      </c>
      <c r="F1700" s="33">
        <v>1</v>
      </c>
      <c r="G1700" s="27">
        <f t="shared" si="34"/>
        <v>-1</v>
      </c>
      <c r="H1700" s="28" t="str">
        <f>VLOOKUP(E1700,'Cadastro Produtos (kiwkiw)'!C:E,3,0)</f>
        <v>Pulseira Fita Textura Banho Ouro</v>
      </c>
      <c r="AB1700" s="33" t="s">
        <v>1016</v>
      </c>
    </row>
    <row r="1701" spans="2:28" ht="15" customHeight="1" x14ac:dyDescent="0.4">
      <c r="C1701" s="34" t="s">
        <v>5</v>
      </c>
      <c r="D1701" s="35">
        <v>45961</v>
      </c>
      <c r="E1701" s="51" t="s">
        <v>829</v>
      </c>
      <c r="F1701" s="33">
        <v>1</v>
      </c>
      <c r="G1701" s="27">
        <f t="shared" si="34"/>
        <v>1</v>
      </c>
      <c r="H1701" s="28" t="str">
        <f>VLOOKUP(E1701,'Cadastro Produtos (kiwkiw)'!C:E,3,0)</f>
        <v>Ear Hook Fio Banho Ouro</v>
      </c>
      <c r="I1701" s="32" t="s">
        <v>1017</v>
      </c>
    </row>
    <row r="1702" spans="2:28" ht="15" customHeight="1" x14ac:dyDescent="0.4">
      <c r="C1702" s="34" t="s">
        <v>5</v>
      </c>
      <c r="D1702" s="35">
        <v>45961</v>
      </c>
      <c r="E1702" s="51" t="s">
        <v>784</v>
      </c>
      <c r="F1702" s="33">
        <v>1</v>
      </c>
      <c r="G1702" s="27">
        <f t="shared" si="34"/>
        <v>1</v>
      </c>
      <c r="H1702" s="28" t="str">
        <f>VLOOKUP(E1702,'Cadastro Produtos (kiwkiw)'!C:E,3,0)</f>
        <v>Brinco Drop G Banho Ouro</v>
      </c>
      <c r="I1702" s="32" t="s">
        <v>1017</v>
      </c>
    </row>
    <row r="1703" spans="2:28" ht="15" customHeight="1" x14ac:dyDescent="0.4">
      <c r="C1703" s="34" t="s">
        <v>5</v>
      </c>
      <c r="D1703" s="35">
        <v>45961</v>
      </c>
      <c r="E1703" s="51" t="s">
        <v>830</v>
      </c>
      <c r="F1703" s="33">
        <v>1</v>
      </c>
      <c r="G1703" s="27">
        <f t="shared" si="34"/>
        <v>1</v>
      </c>
      <c r="H1703" s="28" t="str">
        <f>VLOOKUP(E1703,'Cadastro Produtos (kiwkiw)'!C:E,3,0)</f>
        <v>Brinco Flor 2 em 1 Banho Ouro</v>
      </c>
      <c r="I1703" s="32" t="s">
        <v>1017</v>
      </c>
    </row>
    <row r="1704" spans="2:28" ht="15" customHeight="1" x14ac:dyDescent="0.4">
      <c r="C1704" s="34" t="s">
        <v>5</v>
      </c>
      <c r="D1704" s="35">
        <v>45961</v>
      </c>
      <c r="E1704" s="51" t="s">
        <v>794</v>
      </c>
      <c r="F1704" s="33">
        <v>1</v>
      </c>
      <c r="G1704" s="27">
        <f t="shared" si="34"/>
        <v>1</v>
      </c>
      <c r="H1704" s="28" t="str">
        <f>VLOOKUP(E1704,'Cadastro Produtos (kiwkiw)'!C:E,3,0)</f>
        <v>Brinco Maxi Disco 2 em 1 Banho Ouro</v>
      </c>
      <c r="I1704" s="32" t="s">
        <v>1017</v>
      </c>
    </row>
    <row r="1705" spans="2:28" ht="15" customHeight="1" x14ac:dyDescent="0.4">
      <c r="B1705" s="43">
        <v>45964.42696759259</v>
      </c>
      <c r="C1705" s="34" t="s">
        <v>6</v>
      </c>
      <c r="D1705" s="35">
        <v>45964</v>
      </c>
      <c r="E1705" s="51" t="s">
        <v>26</v>
      </c>
      <c r="F1705" s="33">
        <v>1</v>
      </c>
      <c r="G1705" s="27">
        <f t="shared" si="34"/>
        <v>-1</v>
      </c>
      <c r="H1705" s="28" t="str">
        <f>VLOOKUP(E1705,'Cadastro Produtos (kiwkiw)'!C:E,3,0)</f>
        <v>Argola Click Grande Banho Ouro</v>
      </c>
      <c r="AB1705" s="33" t="s">
        <v>1018</v>
      </c>
    </row>
    <row r="1706" spans="2:28" ht="15" customHeight="1" x14ac:dyDescent="0.4">
      <c r="C1706" s="34" t="s">
        <v>6</v>
      </c>
      <c r="D1706" s="35">
        <v>45964</v>
      </c>
      <c r="E1706" s="51" t="s">
        <v>827</v>
      </c>
      <c r="F1706" s="33">
        <v>1</v>
      </c>
      <c r="G1706" s="27">
        <f t="shared" si="34"/>
        <v>-1</v>
      </c>
      <c r="H1706" s="28" t="str">
        <f>VLOOKUP(E1706,'Cadastro Produtos (kiwkiw)'!C:E,3,0)</f>
        <v>Argola Click Croissant Banho Ouro</v>
      </c>
      <c r="AB1706" s="33" t="s">
        <v>1018</v>
      </c>
    </row>
    <row r="1707" spans="2:28" ht="15" customHeight="1" x14ac:dyDescent="0.4">
      <c r="C1707" s="34" t="s">
        <v>6</v>
      </c>
      <c r="D1707" s="35">
        <v>45964</v>
      </c>
      <c r="E1707" s="51" t="s">
        <v>796</v>
      </c>
      <c r="F1707" s="33">
        <v>1</v>
      </c>
      <c r="G1707" s="27">
        <f t="shared" si="34"/>
        <v>-1</v>
      </c>
      <c r="H1707" s="28" t="str">
        <f>VLOOKUP(E1707,'Cadastro Produtos (kiwkiw)'!C:E,3,0)</f>
        <v>Colar Longo Minimal Banho Ouro</v>
      </c>
      <c r="AB1707" s="33" t="s">
        <v>1019</v>
      </c>
    </row>
    <row r="1708" spans="2:28" ht="15" customHeight="1" x14ac:dyDescent="0.4">
      <c r="B1708" s="43">
        <v>45966.427060185182</v>
      </c>
      <c r="C1708" s="34" t="s">
        <v>6</v>
      </c>
      <c r="D1708" s="35">
        <v>45965</v>
      </c>
      <c r="E1708" s="51" t="s">
        <v>112</v>
      </c>
      <c r="F1708" s="33">
        <v>1</v>
      </c>
      <c r="G1708" s="27">
        <f t="shared" si="34"/>
        <v>-1</v>
      </c>
      <c r="H1708" s="28" t="str">
        <f>VLOOKUP(E1708,'Cadastro Produtos (kiwkiw)'!C:E,3,0)</f>
        <v>Gargantilha Escama Banho Ouro</v>
      </c>
      <c r="AB1708" s="33" t="s">
        <v>1020</v>
      </c>
    </row>
    <row r="1709" spans="2:28" ht="15" customHeight="1" x14ac:dyDescent="0.4">
      <c r="C1709" s="34" t="s">
        <v>6</v>
      </c>
      <c r="D1709" s="35">
        <v>45965</v>
      </c>
      <c r="E1709" s="51" t="s">
        <v>827</v>
      </c>
      <c r="F1709" s="33">
        <v>1</v>
      </c>
      <c r="G1709" s="27">
        <f t="shared" si="34"/>
        <v>-1</v>
      </c>
      <c r="H1709" s="28" t="str">
        <f>VLOOKUP(E1709,'Cadastro Produtos (kiwkiw)'!C:E,3,0)</f>
        <v>Argola Click Croissant Banho Ouro</v>
      </c>
      <c r="AB1709" s="33" t="s">
        <v>1020</v>
      </c>
    </row>
    <row r="1710" spans="2:28" ht="15" customHeight="1" x14ac:dyDescent="0.4">
      <c r="C1710" s="34" t="s">
        <v>6</v>
      </c>
      <c r="D1710" s="35">
        <v>45965</v>
      </c>
      <c r="E1710" s="51" t="s">
        <v>54</v>
      </c>
      <c r="F1710" s="33">
        <v>1</v>
      </c>
      <c r="G1710" s="27">
        <f t="shared" si="34"/>
        <v>-1</v>
      </c>
      <c r="H1710" s="28" t="str">
        <f>VLOOKUP(E1710,'Cadastro Produtos (kiwkiw)'!C:E,3,0)</f>
        <v>Brinco Ivy Banho Ouro</v>
      </c>
      <c r="AB1710" s="33" t="s">
        <v>1021</v>
      </c>
    </row>
    <row r="1711" spans="2:28" ht="15" customHeight="1" x14ac:dyDescent="0.4">
      <c r="B1711" s="43">
        <v>45967.426087962966</v>
      </c>
      <c r="C1711" s="34" t="s">
        <v>6</v>
      </c>
      <c r="D1711" s="35">
        <v>45967</v>
      </c>
      <c r="E1711" s="51" t="s">
        <v>71</v>
      </c>
      <c r="F1711" s="33">
        <v>1</v>
      </c>
      <c r="G1711" s="27">
        <f t="shared" si="34"/>
        <v>-1</v>
      </c>
      <c r="H1711" s="28" t="str">
        <f>VLOOKUP(E1711,'Cadastro Produtos (kiwkiw)'!C:E,3,0)</f>
        <v>Ear Cuff Minimal Banho Ouro</v>
      </c>
      <c r="AB1711" s="33" t="s">
        <v>1022</v>
      </c>
    </row>
    <row r="1712" spans="2:28" ht="15" customHeight="1" x14ac:dyDescent="0.4">
      <c r="C1712" s="34" t="s">
        <v>6</v>
      </c>
      <c r="D1712" s="35">
        <v>45967</v>
      </c>
      <c r="E1712" s="51" t="s">
        <v>93</v>
      </c>
      <c r="F1712" s="33">
        <v>1</v>
      </c>
      <c r="G1712" s="27">
        <f t="shared" si="34"/>
        <v>-1</v>
      </c>
      <c r="H1712" s="28" t="str">
        <f>VLOOKUP(E1712,'Cadastro Produtos (kiwkiw)'!C:E,3,0)</f>
        <v>Colar Coracao Prateado</v>
      </c>
      <c r="AB1712" s="33" t="s">
        <v>1023</v>
      </c>
    </row>
    <row r="1713" spans="2:28" ht="15" customHeight="1" x14ac:dyDescent="0.4">
      <c r="C1713" s="34" t="s">
        <v>6</v>
      </c>
      <c r="D1713" s="35">
        <v>45967</v>
      </c>
      <c r="E1713" s="51" t="s">
        <v>118</v>
      </c>
      <c r="F1713" s="33">
        <v>1</v>
      </c>
      <c r="G1713" s="27">
        <f t="shared" si="34"/>
        <v>-1</v>
      </c>
      <c r="H1713" s="28" t="str">
        <f>VLOOKUP(E1713,'Cadastro Produtos (kiwkiw)'!C:E,3,0)</f>
        <v>Gargantilha Minimal Prateada</v>
      </c>
      <c r="AB1713" s="33" t="s">
        <v>1023</v>
      </c>
    </row>
    <row r="1714" spans="2:28" ht="15" customHeight="1" x14ac:dyDescent="0.4">
      <c r="C1714" s="34" t="s">
        <v>6</v>
      </c>
      <c r="D1714" s="35">
        <v>45967</v>
      </c>
      <c r="E1714" s="51" t="s">
        <v>128</v>
      </c>
      <c r="F1714" s="33">
        <v>1</v>
      </c>
      <c r="G1714" s="27">
        <f t="shared" si="34"/>
        <v>-1</v>
      </c>
      <c r="H1714" s="28" t="str">
        <f>VLOOKUP(E1714,'Cadastro Produtos (kiwkiw)'!C:E,3,0)</f>
        <v>Pulseira Minimal Prateada</v>
      </c>
      <c r="AB1714" s="33" t="s">
        <v>1023</v>
      </c>
    </row>
    <row r="1715" spans="2:28" ht="15" customHeight="1" x14ac:dyDescent="0.4">
      <c r="C1715" s="34" t="s">
        <v>6</v>
      </c>
      <c r="D1715" s="35">
        <v>45967</v>
      </c>
      <c r="E1715" s="51" t="s">
        <v>114</v>
      </c>
      <c r="F1715" s="33">
        <v>1</v>
      </c>
      <c r="G1715" s="27">
        <f t="shared" si="34"/>
        <v>-1</v>
      </c>
      <c r="H1715" s="28" t="str">
        <f>VLOOKUP(E1715,'Cadastro Produtos (kiwkiw)'!C:E,3,0)</f>
        <v>Gargantilha Fita Banho Ouro</v>
      </c>
      <c r="AB1715" s="33" t="s">
        <v>1024</v>
      </c>
    </row>
    <row r="1716" spans="2:28" ht="15" customHeight="1" x14ac:dyDescent="0.4">
      <c r="B1716" s="43">
        <v>45968.437777777777</v>
      </c>
      <c r="C1716" s="34" t="s">
        <v>6</v>
      </c>
      <c r="D1716" s="35">
        <v>45968</v>
      </c>
      <c r="E1716" s="51" t="s">
        <v>72</v>
      </c>
      <c r="F1716" s="33">
        <v>1</v>
      </c>
      <c r="G1716" s="27">
        <f t="shared" si="34"/>
        <v>-1</v>
      </c>
      <c r="H1716" s="28" t="str">
        <f>VLOOKUP(E1716,'Cadastro Produtos (kiwkiw)'!C:E,3,0)</f>
        <v>Ear Hook Line Banho Ouro</v>
      </c>
      <c r="AB1716" s="33" t="s">
        <v>1025</v>
      </c>
    </row>
    <row r="1717" spans="2:28" ht="15" customHeight="1" x14ac:dyDescent="0.4">
      <c r="B1717" s="43">
        <v>45971.434849537036</v>
      </c>
      <c r="C1717" s="34" t="s">
        <v>6</v>
      </c>
      <c r="D1717" s="35">
        <v>45971</v>
      </c>
      <c r="E1717" s="51" t="s">
        <v>785</v>
      </c>
      <c r="F1717" s="33">
        <v>1</v>
      </c>
      <c r="G1717" s="27">
        <f t="shared" si="34"/>
        <v>-1</v>
      </c>
      <c r="H1717" s="28" t="str">
        <f>VLOOKUP(E1717,'Cadastro Produtos (kiwkiw)'!C:E,3,0)</f>
        <v>Colar Gravatinha Banho Ouro</v>
      </c>
      <c r="AB1717" s="33" t="s">
        <v>1026</v>
      </c>
    </row>
    <row r="1718" spans="2:28" ht="15" customHeight="1" x14ac:dyDescent="0.4">
      <c r="C1718" s="34" t="s">
        <v>6</v>
      </c>
      <c r="D1718" s="35">
        <v>45971</v>
      </c>
      <c r="E1718" s="51" t="s">
        <v>94</v>
      </c>
      <c r="F1718" s="33">
        <v>1</v>
      </c>
      <c r="G1718" s="27">
        <f t="shared" si="34"/>
        <v>-1</v>
      </c>
      <c r="H1718" s="28" t="str">
        <f>VLOOKUP(E1718,'Cadastro Produtos (kiwkiw)'!C:E,3,0)</f>
        <v>Colar Duplo Dots Banho Ouro</v>
      </c>
      <c r="AB1718" s="33" t="s">
        <v>1026</v>
      </c>
    </row>
    <row r="1719" spans="2:28" ht="15" customHeight="1" x14ac:dyDescent="0.4">
      <c r="C1719" s="34" t="s">
        <v>6</v>
      </c>
      <c r="D1719" s="35">
        <v>45971</v>
      </c>
      <c r="E1719" s="51" t="s">
        <v>796</v>
      </c>
      <c r="F1719" s="33">
        <v>1</v>
      </c>
      <c r="G1719" s="27">
        <f t="shared" si="34"/>
        <v>-1</v>
      </c>
      <c r="H1719" s="28" t="str">
        <f>VLOOKUP(E1719,'Cadastro Produtos (kiwkiw)'!C:E,3,0)</f>
        <v>Colar Longo Minimal Banho Ouro</v>
      </c>
      <c r="AB1719" s="33" t="s">
        <v>1026</v>
      </c>
    </row>
    <row r="1720" spans="2:28" ht="15" customHeight="1" x14ac:dyDescent="0.4">
      <c r="C1720" s="34" t="s">
        <v>6</v>
      </c>
      <c r="D1720" s="35">
        <v>45971</v>
      </c>
      <c r="E1720" s="51" t="s">
        <v>801</v>
      </c>
      <c r="F1720" s="33">
        <v>1</v>
      </c>
      <c r="G1720" s="27">
        <f t="shared" si="34"/>
        <v>-1</v>
      </c>
      <c r="H1720" s="28" t="str">
        <f>VLOOKUP(E1720,'Cadastro Produtos (kiwkiw)'!C:E,3,0)</f>
        <v>Gargantilha Line Banho Ouro</v>
      </c>
      <c r="AB1720" s="33" t="s">
        <v>1026</v>
      </c>
    </row>
    <row r="1721" spans="2:28" ht="15" customHeight="1" x14ac:dyDescent="0.4">
      <c r="C1721" s="34" t="s">
        <v>6</v>
      </c>
      <c r="D1721" s="35">
        <v>45971</v>
      </c>
      <c r="E1721" s="51" t="s">
        <v>114</v>
      </c>
      <c r="F1721" s="33">
        <v>1</v>
      </c>
      <c r="G1721" s="27">
        <f t="shared" si="34"/>
        <v>-1</v>
      </c>
      <c r="H1721" s="28" t="str">
        <f>VLOOKUP(E1721,'Cadastro Produtos (kiwkiw)'!C:E,3,0)</f>
        <v>Gargantilha Fita Banho Ouro</v>
      </c>
      <c r="AB1721" s="33" t="s">
        <v>1027</v>
      </c>
    </row>
    <row r="1722" spans="2:28" ht="15" customHeight="1" x14ac:dyDescent="0.4">
      <c r="B1722" s="43">
        <v>45972.431527777779</v>
      </c>
      <c r="C1722" s="34" t="s">
        <v>6</v>
      </c>
      <c r="D1722" s="35">
        <v>45972</v>
      </c>
      <c r="E1722" s="51" t="s">
        <v>831</v>
      </c>
      <c r="F1722" s="33">
        <v>1</v>
      </c>
      <c r="G1722" s="27">
        <f t="shared" si="34"/>
        <v>-1</v>
      </c>
      <c r="H1722" s="28" t="str">
        <f>VLOOKUP(E1722,'Cadastro Produtos (kiwkiw)'!C:E,3,0)</f>
        <v>Brinco Palito Banho Ouro</v>
      </c>
      <c r="AB1722" s="33" t="s">
        <v>1028</v>
      </c>
    </row>
    <row r="1723" spans="2:28" ht="15" customHeight="1" x14ac:dyDescent="0.4">
      <c r="C1723" s="34" t="s">
        <v>6</v>
      </c>
      <c r="D1723" s="35">
        <v>45972</v>
      </c>
      <c r="E1723" s="51" t="s">
        <v>830</v>
      </c>
      <c r="F1723" s="33">
        <v>1</v>
      </c>
      <c r="G1723" s="27">
        <f t="shared" si="34"/>
        <v>-1</v>
      </c>
      <c r="H1723" s="28" t="str">
        <f>VLOOKUP(E1723,'Cadastro Produtos (kiwkiw)'!C:E,3,0)</f>
        <v>Brinco Flor 2 em 1 Banho Ouro</v>
      </c>
      <c r="AB1723" s="33" t="s">
        <v>1029</v>
      </c>
    </row>
    <row r="1724" spans="2:28" ht="15" customHeight="1" x14ac:dyDescent="0.4">
      <c r="C1724" s="34" t="s">
        <v>6</v>
      </c>
      <c r="D1724" s="35">
        <v>45972</v>
      </c>
      <c r="E1724" s="51" t="s">
        <v>811</v>
      </c>
      <c r="F1724" s="33">
        <v>1</v>
      </c>
      <c r="G1724" s="27">
        <f t="shared" si="34"/>
        <v>-1</v>
      </c>
      <c r="H1724" s="28" t="str">
        <f>VLOOKUP(E1724,'Cadastro Produtos (kiwkiw)'!C:E,3,0)</f>
        <v>Brinco Drop P Banho Ouro</v>
      </c>
      <c r="AB1724" s="33" t="s">
        <v>1029</v>
      </c>
    </row>
    <row r="1725" spans="2:28" ht="15" customHeight="1" x14ac:dyDescent="0.4">
      <c r="C1725" s="34" t="s">
        <v>6</v>
      </c>
      <c r="D1725" s="35">
        <v>45972</v>
      </c>
      <c r="E1725" s="51" t="s">
        <v>811</v>
      </c>
      <c r="F1725" s="33">
        <v>1</v>
      </c>
      <c r="G1725" s="27">
        <f t="shared" si="34"/>
        <v>-1</v>
      </c>
      <c r="H1725" s="28" t="str">
        <f>VLOOKUP(E1725,'Cadastro Produtos (kiwkiw)'!C:E,3,0)</f>
        <v>Brinco Drop P Banho Ouro</v>
      </c>
      <c r="AB1725" s="33" t="s">
        <v>1030</v>
      </c>
    </row>
    <row r="1726" spans="2:28" ht="15" customHeight="1" x14ac:dyDescent="0.4">
      <c r="C1726" s="34" t="s">
        <v>6</v>
      </c>
      <c r="D1726" s="35">
        <v>45972</v>
      </c>
      <c r="E1726" s="51" t="s">
        <v>82</v>
      </c>
      <c r="F1726" s="33">
        <v>1</v>
      </c>
      <c r="G1726" s="27">
        <f t="shared" si="34"/>
        <v>-1</v>
      </c>
      <c r="H1726" s="28" t="str">
        <f>VLOOKUP(E1726,'Cadastro Produtos (kiwkiw)'!C:E,3,0)</f>
        <v>Meia Argola Diamond Banho Ouro</v>
      </c>
      <c r="AB1726" s="33" t="s">
        <v>1029</v>
      </c>
    </row>
    <row r="1727" spans="2:28" ht="15" customHeight="1" x14ac:dyDescent="0.4">
      <c r="C1727" s="34" t="s">
        <v>6</v>
      </c>
      <c r="D1727" s="35">
        <v>45972</v>
      </c>
      <c r="E1727" s="51" t="s">
        <v>40</v>
      </c>
      <c r="F1727" s="33">
        <v>1</v>
      </c>
      <c r="G1727" s="27">
        <f t="shared" si="34"/>
        <v>-1</v>
      </c>
      <c r="H1727" s="28" t="str">
        <f>VLOOKUP(E1727,'Cadastro Produtos (kiwkiw)'!C:E,3,0)</f>
        <v>Argolinha Folha Banho Ouro</v>
      </c>
      <c r="AB1727" s="33" t="s">
        <v>1031</v>
      </c>
    </row>
    <row r="1728" spans="2:28" ht="15" customHeight="1" x14ac:dyDescent="0.4">
      <c r="C1728" s="34" t="s">
        <v>6</v>
      </c>
      <c r="D1728" s="35">
        <v>45972</v>
      </c>
      <c r="E1728" s="51" t="s">
        <v>105</v>
      </c>
      <c r="F1728" s="33">
        <v>1</v>
      </c>
      <c r="G1728" s="27">
        <f t="shared" si="34"/>
        <v>-1</v>
      </c>
      <c r="H1728" s="28" t="str">
        <f>VLOOKUP(E1728,'Cadastro Produtos (kiwkiw)'!C:E,3,0)</f>
        <v>Colar Rosa Banho Ouro</v>
      </c>
      <c r="AB1728" s="33" t="s">
        <v>1031</v>
      </c>
    </row>
    <row r="1729" spans="3:28" ht="15" customHeight="1" x14ac:dyDescent="0.4">
      <c r="C1729" s="34" t="s">
        <v>6</v>
      </c>
      <c r="D1729" s="35">
        <v>45972</v>
      </c>
      <c r="E1729" s="51" t="s">
        <v>53</v>
      </c>
      <c r="F1729" s="33">
        <v>1</v>
      </c>
      <c r="G1729" s="27">
        <f t="shared" si="34"/>
        <v>-1</v>
      </c>
      <c r="H1729" s="28" t="str">
        <f>VLOOKUP(E1729,'Cadastro Produtos (kiwkiw)'!C:E,3,0)</f>
        <v>Brinco Infinito Banho Ouro</v>
      </c>
      <c r="AB1729" s="33" t="s">
        <v>1031</v>
      </c>
    </row>
    <row r="1730" spans="3:28" ht="15" customHeight="1" x14ac:dyDescent="0.4">
      <c r="C1730" s="34" t="s">
        <v>6</v>
      </c>
      <c r="D1730" s="35">
        <v>45972</v>
      </c>
      <c r="E1730" s="51" t="s">
        <v>43</v>
      </c>
      <c r="F1730" s="33">
        <v>1</v>
      </c>
      <c r="G1730" s="27">
        <f t="shared" si="34"/>
        <v>-1</v>
      </c>
      <c r="H1730" s="28" t="str">
        <f>VLOOKUP(E1730,'Cadastro Produtos (kiwkiw)'!C:E,3,0)</f>
        <v>Brinco Mini Aviao Banho Ouro</v>
      </c>
      <c r="AB1730" s="33" t="s">
        <v>1031</v>
      </c>
    </row>
    <row r="1731" spans="3:28" ht="15" customHeight="1" x14ac:dyDescent="0.4">
      <c r="C1731" s="34" t="s">
        <v>6</v>
      </c>
      <c r="D1731" s="35">
        <v>45972</v>
      </c>
      <c r="E1731" s="51" t="s">
        <v>116</v>
      </c>
      <c r="F1731" s="33">
        <v>1</v>
      </c>
      <c r="G1731" s="27">
        <f t="shared" si="34"/>
        <v>-1</v>
      </c>
      <c r="H1731" s="28" t="str">
        <f>VLOOKUP(E1731,'Cadastro Produtos (kiwkiw)'!C:E,3,0)</f>
        <v>Gargantilha Dots Banho Ouro</v>
      </c>
      <c r="AB1731" s="33" t="s">
        <v>1031</v>
      </c>
    </row>
    <row r="1732" spans="3:28" ht="15" customHeight="1" x14ac:dyDescent="0.4">
      <c r="C1732" s="34" t="s">
        <v>6</v>
      </c>
      <c r="D1732" s="35">
        <v>45972</v>
      </c>
      <c r="E1732" s="51" t="s">
        <v>829</v>
      </c>
      <c r="F1732" s="33">
        <v>1</v>
      </c>
      <c r="G1732" s="27">
        <f t="shared" si="34"/>
        <v>-1</v>
      </c>
      <c r="H1732" s="28" t="str">
        <f>VLOOKUP(E1732,'Cadastro Produtos (kiwkiw)'!C:E,3,0)</f>
        <v>Ear Hook Fio Banho Ouro</v>
      </c>
      <c r="AB1732" s="33" t="s">
        <v>1030</v>
      </c>
    </row>
    <row r="1733" spans="3:28" ht="15" customHeight="1" x14ac:dyDescent="0.4">
      <c r="C1733" s="34" t="s">
        <v>6</v>
      </c>
      <c r="D1733" s="35">
        <v>45972</v>
      </c>
      <c r="E1733" s="51" t="s">
        <v>833</v>
      </c>
      <c r="F1733" s="33">
        <v>1</v>
      </c>
      <c r="G1733" s="27">
        <f t="shared" si="34"/>
        <v>-1</v>
      </c>
      <c r="H1733" s="28" t="str">
        <f>VLOOKUP(E1733,'Cadastro Produtos (kiwkiw)'!C:E,3,0)</f>
        <v>Ear Hook Encaixe Cruzado Banho Ouro</v>
      </c>
      <c r="AB1733" s="33" t="s">
        <v>1030</v>
      </c>
    </row>
    <row r="1734" spans="3:28" ht="15" customHeight="1" x14ac:dyDescent="0.4">
      <c r="C1734" s="34" t="s">
        <v>6</v>
      </c>
      <c r="D1734" s="35">
        <v>45972</v>
      </c>
      <c r="E1734" s="51" t="s">
        <v>788</v>
      </c>
      <c r="F1734" s="33">
        <v>1</v>
      </c>
      <c r="G1734" s="27">
        <f t="shared" si="34"/>
        <v>-1</v>
      </c>
      <c r="H1734" s="28" t="str">
        <f>VLOOKUP(E1734,'Cadastro Produtos (kiwkiw)'!C:E,3,0)</f>
        <v>Brinco Organico Banho Ouro</v>
      </c>
      <c r="AB1734" s="33" t="s">
        <v>1030</v>
      </c>
    </row>
    <row r="1735" spans="3:28" ht="15" customHeight="1" x14ac:dyDescent="0.4">
      <c r="C1735" s="34" t="s">
        <v>6</v>
      </c>
      <c r="D1735" s="35">
        <v>45972</v>
      </c>
      <c r="E1735" s="51" t="s">
        <v>798</v>
      </c>
      <c r="F1735" s="33">
        <v>1</v>
      </c>
      <c r="G1735" s="27">
        <f t="shared" si="34"/>
        <v>-1</v>
      </c>
      <c r="H1735" s="28" t="str">
        <f>VLOOKUP(E1735,'Cadastro Produtos (kiwkiw)'!C:E,3,0)</f>
        <v>Ear Hook Organico Banho Ouro</v>
      </c>
      <c r="AB1735" s="33" t="s">
        <v>1030</v>
      </c>
    </row>
    <row r="1736" spans="3:28" ht="15" customHeight="1" x14ac:dyDescent="0.4">
      <c r="C1736" s="34" t="s">
        <v>6</v>
      </c>
      <c r="D1736" s="35">
        <v>45972</v>
      </c>
      <c r="E1736" s="51" t="s">
        <v>828</v>
      </c>
      <c r="F1736" s="33">
        <v>1</v>
      </c>
      <c r="G1736" s="27">
        <f t="shared" si="34"/>
        <v>-1</v>
      </c>
      <c r="H1736" s="28" t="str">
        <f>VLOOKUP(E1736,'Cadastro Produtos (kiwkiw)'!C:E,3,0)</f>
        <v>Brinco Jout Banho Ouro</v>
      </c>
      <c r="AB1736" s="33" t="s">
        <v>1030</v>
      </c>
    </row>
    <row r="1737" spans="3:28" ht="15" customHeight="1" x14ac:dyDescent="0.4">
      <c r="C1737" s="34" t="s">
        <v>6</v>
      </c>
      <c r="D1737" s="35">
        <v>45972</v>
      </c>
      <c r="E1737" s="51" t="s">
        <v>77</v>
      </c>
      <c r="F1737" s="33">
        <v>1</v>
      </c>
      <c r="G1737" s="27">
        <f t="shared" si="34"/>
        <v>-1</v>
      </c>
      <c r="H1737" s="28" t="str">
        <f>VLOOKUP(E1737,'Cadastro Produtos (kiwkiw)'!C:E,3,0)</f>
        <v>EarHook Torcido Banho Ouro</v>
      </c>
      <c r="AB1737" s="33" t="s">
        <v>1030</v>
      </c>
    </row>
    <row r="1738" spans="3:28" ht="15" customHeight="1" x14ac:dyDescent="0.4">
      <c r="C1738" s="34" t="s">
        <v>6</v>
      </c>
      <c r="D1738" s="35">
        <v>45972</v>
      </c>
      <c r="E1738" s="51" t="s">
        <v>129</v>
      </c>
      <c r="F1738" s="33">
        <v>1</v>
      </c>
      <c r="G1738" s="27">
        <f t="shared" si="34"/>
        <v>-1</v>
      </c>
      <c r="H1738" s="28" t="str">
        <f>VLOOKUP(E1738,'Cadastro Produtos (kiwkiw)'!C:E,3,0)</f>
        <v>Pulseira Snake Banho Ouro</v>
      </c>
      <c r="AB1738" s="33" t="s">
        <v>1032</v>
      </c>
    </row>
    <row r="1739" spans="3:28" ht="15" customHeight="1" x14ac:dyDescent="0.4">
      <c r="C1739" s="34" t="s">
        <v>6</v>
      </c>
      <c r="D1739" s="35">
        <v>45972</v>
      </c>
      <c r="E1739" s="51" t="s">
        <v>124</v>
      </c>
      <c r="F1739" s="33">
        <v>1</v>
      </c>
      <c r="G1739" s="27">
        <f t="shared" si="34"/>
        <v>-1</v>
      </c>
      <c r="H1739" s="28" t="str">
        <f>VLOOKUP(E1739,'Cadastro Produtos (kiwkiw)'!C:E,3,0)</f>
        <v>Pulseira Fita Textura Banho Ouro</v>
      </c>
      <c r="AB1739" s="33" t="s">
        <v>1032</v>
      </c>
    </row>
    <row r="1740" spans="3:28" ht="15" customHeight="1" x14ac:dyDescent="0.4">
      <c r="C1740" s="34" t="s">
        <v>6</v>
      </c>
      <c r="D1740" s="35">
        <v>45972</v>
      </c>
      <c r="E1740" s="51" t="s">
        <v>800</v>
      </c>
      <c r="F1740" s="33">
        <v>1</v>
      </c>
      <c r="G1740" s="27">
        <f t="shared" si="34"/>
        <v>-1</v>
      </c>
      <c r="H1740" s="28" t="str">
        <f>VLOOKUP(E1740,'Cadastro Produtos (kiwkiw)'!C:E,3,0)</f>
        <v>Gargantilha Groumet Banho Ouro</v>
      </c>
      <c r="AB1740" s="33" t="s">
        <v>1032</v>
      </c>
    </row>
    <row r="1741" spans="3:28" ht="15" customHeight="1" x14ac:dyDescent="0.4">
      <c r="C1741" s="34" t="s">
        <v>6</v>
      </c>
      <c r="D1741" s="35">
        <v>45972</v>
      </c>
      <c r="E1741" s="51" t="s">
        <v>816</v>
      </c>
      <c r="F1741" s="33">
        <v>1</v>
      </c>
      <c r="G1741" s="27">
        <f t="shared" si="34"/>
        <v>-1</v>
      </c>
      <c r="H1741" s="28" t="str">
        <f>VLOOKUP(E1741,'Cadastro Produtos (kiwkiw)'!C:E,3,0)</f>
        <v>Colar Duplo Fita Banho Ouro</v>
      </c>
      <c r="AB1741" s="33" t="s">
        <v>1032</v>
      </c>
    </row>
    <row r="1742" spans="3:28" ht="15" customHeight="1" x14ac:dyDescent="0.4">
      <c r="C1742" s="34" t="s">
        <v>6</v>
      </c>
      <c r="D1742" s="35">
        <v>45972</v>
      </c>
      <c r="E1742" s="51" t="s">
        <v>86</v>
      </c>
      <c r="F1742" s="33">
        <v>1</v>
      </c>
      <c r="G1742" s="27">
        <f t="shared" si="34"/>
        <v>-1</v>
      </c>
      <c r="H1742" s="28" t="str">
        <f>VLOOKUP(E1742,'Cadastro Produtos (kiwkiw)'!C:E,3,0)</f>
        <v>Piercing Fake Minimal Banho Ouro</v>
      </c>
      <c r="AB1742" s="33" t="s">
        <v>1032</v>
      </c>
    </row>
    <row r="1743" spans="3:28" ht="15" customHeight="1" x14ac:dyDescent="0.4">
      <c r="C1743" s="34" t="s">
        <v>6</v>
      </c>
      <c r="D1743" s="35">
        <v>45972</v>
      </c>
      <c r="E1743" s="51" t="s">
        <v>50</v>
      </c>
      <c r="F1743" s="33">
        <v>1</v>
      </c>
      <c r="G1743" s="27">
        <f t="shared" si="34"/>
        <v>-1</v>
      </c>
      <c r="H1743" s="28" t="str">
        <f>VLOOKUP(E1743,'Cadastro Produtos (kiwkiw)'!C:E,3,0)</f>
        <v>Brinco Elos Banho Ouro</v>
      </c>
      <c r="AB1743" s="33" t="s">
        <v>1032</v>
      </c>
    </row>
    <row r="1744" spans="3:28" ht="15" customHeight="1" x14ac:dyDescent="0.4">
      <c r="C1744" s="34" t="s">
        <v>6</v>
      </c>
      <c r="D1744" s="35">
        <v>45972</v>
      </c>
      <c r="E1744" s="51" t="s">
        <v>27</v>
      </c>
      <c r="F1744" s="33">
        <v>1</v>
      </c>
      <c r="G1744" s="27">
        <f t="shared" si="34"/>
        <v>-1</v>
      </c>
      <c r="H1744" s="28" t="str">
        <f>VLOOKUP(E1744,'Cadastro Produtos (kiwkiw)'!C:E,3,0)</f>
        <v>Argola Click Media Banho Ouro</v>
      </c>
      <c r="AB1744" s="33" t="s">
        <v>1032</v>
      </c>
    </row>
    <row r="1745" spans="2:28" ht="15" customHeight="1" x14ac:dyDescent="0.4">
      <c r="C1745" s="34" t="s">
        <v>6</v>
      </c>
      <c r="D1745" s="35">
        <v>45972</v>
      </c>
      <c r="E1745" s="51" t="s">
        <v>26</v>
      </c>
      <c r="F1745" s="33">
        <v>1</v>
      </c>
      <c r="G1745" s="27">
        <f t="shared" si="34"/>
        <v>-1</v>
      </c>
      <c r="H1745" s="28" t="str">
        <f>VLOOKUP(E1745,'Cadastro Produtos (kiwkiw)'!C:E,3,0)</f>
        <v>Argola Click Grande Banho Ouro</v>
      </c>
      <c r="AB1745" s="33" t="s">
        <v>1032</v>
      </c>
    </row>
    <row r="1746" spans="2:28" ht="15" customHeight="1" x14ac:dyDescent="0.4">
      <c r="B1746" s="43">
        <v>45973.343946759262</v>
      </c>
      <c r="C1746" s="34" t="s">
        <v>6</v>
      </c>
      <c r="D1746" s="35">
        <v>45973</v>
      </c>
      <c r="E1746" s="51" t="s">
        <v>114</v>
      </c>
      <c r="F1746" s="33">
        <v>1</v>
      </c>
      <c r="G1746" s="27">
        <f t="shared" ref="G1746:G1809" si="35">IF(C1746="Entrada",F1746,-F1746)</f>
        <v>-1</v>
      </c>
      <c r="H1746" s="28" t="str">
        <f>VLOOKUP(E1746,'Cadastro Produtos (kiwkiw)'!C:E,3,0)</f>
        <v>Gargantilha Fita Banho Ouro</v>
      </c>
      <c r="AB1746" s="33" t="s">
        <v>1033</v>
      </c>
    </row>
    <row r="1747" spans="2:28" ht="15" customHeight="1" x14ac:dyDescent="0.4">
      <c r="C1747" s="34" t="s">
        <v>6</v>
      </c>
      <c r="D1747" s="35">
        <v>45973</v>
      </c>
      <c r="E1747" s="51" t="s">
        <v>94</v>
      </c>
      <c r="F1747" s="33">
        <v>1</v>
      </c>
      <c r="G1747" s="27">
        <f t="shared" si="35"/>
        <v>-1</v>
      </c>
      <c r="H1747" s="28" t="str">
        <f>VLOOKUP(E1747,'Cadastro Produtos (kiwkiw)'!C:E,3,0)</f>
        <v>Colar Duplo Dots Banho Ouro</v>
      </c>
      <c r="AB1747" s="33" t="s">
        <v>1033</v>
      </c>
    </row>
    <row r="1748" spans="2:28" ht="15" customHeight="1" x14ac:dyDescent="0.4">
      <c r="C1748" s="34" t="s">
        <v>6</v>
      </c>
      <c r="D1748" s="35">
        <v>45973</v>
      </c>
      <c r="E1748" s="51" t="s">
        <v>811</v>
      </c>
      <c r="F1748" s="33">
        <v>1</v>
      </c>
      <c r="G1748" s="27">
        <f t="shared" si="35"/>
        <v>-1</v>
      </c>
      <c r="H1748" s="28" t="str">
        <f>VLOOKUP(E1748,'Cadastro Produtos (kiwkiw)'!C:E,3,0)</f>
        <v>Brinco Drop P Banho Ouro</v>
      </c>
      <c r="AB1748" s="33" t="s">
        <v>1033</v>
      </c>
    </row>
    <row r="1749" spans="2:28" ht="15" customHeight="1" x14ac:dyDescent="0.4">
      <c r="C1749" s="34" t="s">
        <v>6</v>
      </c>
      <c r="D1749" s="35">
        <v>45973</v>
      </c>
      <c r="E1749" s="51" t="s">
        <v>99</v>
      </c>
      <c r="F1749" s="33">
        <v>1</v>
      </c>
      <c r="G1749" s="27">
        <f t="shared" si="35"/>
        <v>-1</v>
      </c>
      <c r="H1749" s="28" t="str">
        <f>VLOOKUP(E1749,'Cadastro Produtos (kiwkiw)'!C:E,3,0)</f>
        <v>Colar Esfera Medio Banho Ouro</v>
      </c>
      <c r="AB1749" s="33" t="s">
        <v>1033</v>
      </c>
    </row>
    <row r="1750" spans="2:28" ht="15" customHeight="1" x14ac:dyDescent="0.4">
      <c r="C1750" s="34" t="s">
        <v>6</v>
      </c>
      <c r="D1750" s="35">
        <v>45973</v>
      </c>
      <c r="E1750" s="51" t="s">
        <v>83</v>
      </c>
      <c r="F1750" s="33">
        <v>1</v>
      </c>
      <c r="G1750" s="27">
        <f t="shared" si="35"/>
        <v>-1</v>
      </c>
      <c r="H1750" s="28" t="str">
        <f>VLOOKUP(E1750,'Cadastro Produtos (kiwkiw)'!C:E,3,0)</f>
        <v>Mini Argola Classy Banho Ouro</v>
      </c>
      <c r="AB1750" s="33" t="s">
        <v>1033</v>
      </c>
    </row>
    <row r="1751" spans="2:28" ht="15" customHeight="1" x14ac:dyDescent="0.4">
      <c r="C1751" s="34" t="s">
        <v>6</v>
      </c>
      <c r="D1751" s="35">
        <v>45973</v>
      </c>
      <c r="E1751" s="51" t="s">
        <v>115</v>
      </c>
      <c r="F1751" s="33">
        <v>1</v>
      </c>
      <c r="G1751" s="27">
        <f t="shared" si="35"/>
        <v>-1</v>
      </c>
      <c r="H1751" s="28" t="str">
        <f>VLOOKUP(E1751,'Cadastro Produtos (kiwkiw)'!C:E,3,0)</f>
        <v>Gargantilha Fita Prateada</v>
      </c>
      <c r="AB1751" s="33" t="s">
        <v>1033</v>
      </c>
    </row>
    <row r="1752" spans="2:28" ht="15" customHeight="1" x14ac:dyDescent="0.4">
      <c r="C1752" s="34" t="s">
        <v>6</v>
      </c>
      <c r="D1752" s="35">
        <v>45973</v>
      </c>
      <c r="E1752" s="51" t="s">
        <v>116</v>
      </c>
      <c r="F1752" s="33">
        <v>1</v>
      </c>
      <c r="G1752" s="27">
        <f t="shared" si="35"/>
        <v>-1</v>
      </c>
      <c r="H1752" s="28" t="str">
        <f>VLOOKUP(E1752,'Cadastro Produtos (kiwkiw)'!C:E,3,0)</f>
        <v>Gargantilha Dots Banho Ouro</v>
      </c>
      <c r="AB1752" s="33" t="s">
        <v>1033</v>
      </c>
    </row>
    <row r="1753" spans="2:28" ht="15" customHeight="1" x14ac:dyDescent="0.4">
      <c r="C1753" s="34" t="s">
        <v>6</v>
      </c>
      <c r="D1753" s="35">
        <v>45973</v>
      </c>
      <c r="E1753" s="51" t="s">
        <v>87</v>
      </c>
      <c r="F1753" s="33">
        <v>1</v>
      </c>
      <c r="G1753" s="27">
        <f t="shared" si="35"/>
        <v>-1</v>
      </c>
      <c r="H1753" s="28" t="str">
        <f>VLOOKUP(E1753,'Cadastro Produtos (kiwkiw)'!C:E,3,0)</f>
        <v>Piercing Fake Classy Banho Ouro</v>
      </c>
      <c r="AB1753" s="33" t="s">
        <v>1033</v>
      </c>
    </row>
    <row r="1754" spans="2:28" ht="15" customHeight="1" x14ac:dyDescent="0.4">
      <c r="C1754" s="34" t="s">
        <v>6</v>
      </c>
      <c r="D1754" s="35">
        <v>45973</v>
      </c>
      <c r="E1754" s="51" t="s">
        <v>823</v>
      </c>
      <c r="F1754" s="33">
        <v>1</v>
      </c>
      <c r="G1754" s="27">
        <f t="shared" si="35"/>
        <v>-1</v>
      </c>
      <c r="H1754" s="28" t="str">
        <f>VLOOKUP(E1754,'Cadastro Produtos (kiwkiw)'!C:E,3,0)</f>
        <v>Meia Argola Wave Banho Ouro</v>
      </c>
      <c r="AB1754" s="33" t="s">
        <v>1034</v>
      </c>
    </row>
    <row r="1755" spans="2:28" ht="15" customHeight="1" x14ac:dyDescent="0.4">
      <c r="C1755" s="34" t="s">
        <v>6</v>
      </c>
      <c r="D1755" s="35">
        <v>45973</v>
      </c>
      <c r="E1755" s="51" t="s">
        <v>813</v>
      </c>
      <c r="F1755" s="33">
        <v>1</v>
      </c>
      <c r="G1755" s="27">
        <f t="shared" si="35"/>
        <v>-1</v>
      </c>
      <c r="H1755" s="28" t="str">
        <f>VLOOKUP(E1755,'Cadastro Produtos (kiwkiw)'!C:E,3,0)</f>
        <v>Brinco Mini Arabesco Banho Ouro</v>
      </c>
      <c r="AB1755" s="33" t="s">
        <v>1034</v>
      </c>
    </row>
    <row r="1756" spans="2:28" ht="15" customHeight="1" x14ac:dyDescent="0.4">
      <c r="C1756" s="34" t="s">
        <v>6</v>
      </c>
      <c r="D1756" s="35">
        <v>45973</v>
      </c>
      <c r="E1756" s="51" t="s">
        <v>46</v>
      </c>
      <c r="F1756" s="33">
        <v>1</v>
      </c>
      <c r="G1756" s="27">
        <f t="shared" si="35"/>
        <v>-1</v>
      </c>
      <c r="H1756" s="28" t="str">
        <f>VLOOKUP(E1756,'Cadastro Produtos (kiwkiw)'!C:E,3,0)</f>
        <v>Brinco Bubble Pequeno Banho Ouro</v>
      </c>
      <c r="AB1756" s="33" t="s">
        <v>1034</v>
      </c>
    </row>
    <row r="1757" spans="2:28" ht="15" customHeight="1" x14ac:dyDescent="0.4">
      <c r="C1757" s="34" t="s">
        <v>6</v>
      </c>
      <c r="D1757" s="35">
        <v>45973</v>
      </c>
      <c r="E1757" s="51" t="s">
        <v>38</v>
      </c>
      <c r="F1757" s="33">
        <v>2</v>
      </c>
      <c r="G1757" s="27">
        <f t="shared" si="35"/>
        <v>-2</v>
      </c>
      <c r="H1757" s="28" t="str">
        <f>VLOOKUP(E1757,'Cadastro Produtos (kiwkiw)'!C:E,3,0)</f>
        <v>Argolinha Click Dots Banho Ouro</v>
      </c>
      <c r="AB1757" s="33" t="s">
        <v>1034</v>
      </c>
    </row>
    <row r="1758" spans="2:28" ht="15" customHeight="1" x14ac:dyDescent="0.4">
      <c r="B1758" s="43">
        <v>45974.436388888891</v>
      </c>
      <c r="C1758" s="34" t="s">
        <v>6</v>
      </c>
      <c r="D1758" s="35">
        <v>45974</v>
      </c>
      <c r="E1758" s="51" t="s">
        <v>82</v>
      </c>
      <c r="F1758" s="33">
        <v>1</v>
      </c>
      <c r="G1758" s="27">
        <f t="shared" si="35"/>
        <v>-1</v>
      </c>
      <c r="H1758" s="28" t="str">
        <f>VLOOKUP(E1758,'Cadastro Produtos (kiwkiw)'!C:E,3,0)</f>
        <v>Meia Argola Diamond Banho Ouro</v>
      </c>
      <c r="AB1758" s="33" t="s">
        <v>1035</v>
      </c>
    </row>
    <row r="1759" spans="2:28" ht="15" customHeight="1" x14ac:dyDescent="0.4">
      <c r="C1759" s="34" t="s">
        <v>6</v>
      </c>
      <c r="D1759" s="35">
        <v>45974</v>
      </c>
      <c r="E1759" s="51" t="s">
        <v>826</v>
      </c>
      <c r="F1759" s="33">
        <v>1</v>
      </c>
      <c r="G1759" s="27">
        <f t="shared" si="35"/>
        <v>-1</v>
      </c>
      <c r="H1759" s="28" t="str">
        <f>VLOOKUP(E1759,'Cadastro Produtos (kiwkiw)'!C:E,3,0)</f>
        <v>Pulseira Torcida Banho Ouro</v>
      </c>
      <c r="AB1759" s="33" t="s">
        <v>1035</v>
      </c>
    </row>
    <row r="1760" spans="2:28" ht="15" customHeight="1" x14ac:dyDescent="0.4">
      <c r="C1760" s="34" t="s">
        <v>6</v>
      </c>
      <c r="D1760" s="35">
        <v>45974</v>
      </c>
      <c r="E1760" s="51" t="s">
        <v>129</v>
      </c>
      <c r="F1760" s="33">
        <v>1</v>
      </c>
      <c r="G1760" s="27">
        <f t="shared" si="35"/>
        <v>-1</v>
      </c>
      <c r="H1760" s="28" t="str">
        <f>VLOOKUP(E1760,'Cadastro Produtos (kiwkiw)'!C:E,3,0)</f>
        <v>Pulseira Snake Banho Ouro</v>
      </c>
      <c r="AB1760" s="33" t="s">
        <v>1035</v>
      </c>
    </row>
    <row r="1761" spans="2:28" ht="15" customHeight="1" x14ac:dyDescent="0.4">
      <c r="C1761" s="34" t="s">
        <v>6</v>
      </c>
      <c r="D1761" s="35">
        <v>45974</v>
      </c>
      <c r="E1761" s="51" t="s">
        <v>59</v>
      </c>
      <c r="F1761" s="33">
        <v>1</v>
      </c>
      <c r="G1761" s="27">
        <f t="shared" si="35"/>
        <v>-1</v>
      </c>
      <c r="H1761" s="28" t="str">
        <f>VLOOKUP(E1761,'Cadastro Produtos (kiwkiw)'!C:E,3,0)</f>
        <v>Brinco Oncinha Banho Ouro</v>
      </c>
      <c r="AB1761" s="33" t="s">
        <v>1036</v>
      </c>
    </row>
    <row r="1762" spans="2:28" ht="15" customHeight="1" x14ac:dyDescent="0.4">
      <c r="B1762" s="43">
        <v>45975.435578703706</v>
      </c>
      <c r="C1762" s="34" t="s">
        <v>6</v>
      </c>
      <c r="D1762" s="35">
        <v>45974</v>
      </c>
      <c r="E1762" s="51" t="s">
        <v>825</v>
      </c>
      <c r="F1762" s="33">
        <v>1</v>
      </c>
      <c r="G1762" s="27">
        <f t="shared" si="35"/>
        <v>-1</v>
      </c>
      <c r="H1762" s="28" t="str">
        <f>VLOOKUP(E1762,'Cadastro Produtos (kiwkiw)'!C:E,3,0)</f>
        <v>Pulseira Fita 2mm Banho Ouro</v>
      </c>
      <c r="AB1762" s="33" t="s">
        <v>1037</v>
      </c>
    </row>
    <row r="1763" spans="2:28" ht="15" customHeight="1" x14ac:dyDescent="0.4">
      <c r="C1763" s="34" t="s">
        <v>6</v>
      </c>
      <c r="D1763" s="35">
        <v>45974</v>
      </c>
      <c r="E1763" s="51" t="s">
        <v>124</v>
      </c>
      <c r="F1763" s="33">
        <v>1</v>
      </c>
      <c r="G1763" s="27">
        <f t="shared" si="35"/>
        <v>-1</v>
      </c>
      <c r="H1763" s="28" t="str">
        <f>VLOOKUP(E1763,'Cadastro Produtos (kiwkiw)'!C:E,3,0)</f>
        <v>Pulseira Fita Textura Banho Ouro</v>
      </c>
      <c r="AB1763" s="33" t="s">
        <v>1037</v>
      </c>
    </row>
    <row r="1764" spans="2:28" ht="15" customHeight="1" x14ac:dyDescent="0.4">
      <c r="C1764" s="34" t="s">
        <v>6</v>
      </c>
      <c r="D1764" s="35">
        <v>45974</v>
      </c>
      <c r="E1764" s="51" t="s">
        <v>824</v>
      </c>
      <c r="F1764" s="33">
        <v>1</v>
      </c>
      <c r="G1764" s="27">
        <f t="shared" si="35"/>
        <v>-1</v>
      </c>
      <c r="H1764" s="28" t="str">
        <f>VLOOKUP(E1764,'Cadastro Produtos (kiwkiw)'!C:E,3,0)</f>
        <v>Pulseira Delicate Banho Ouro</v>
      </c>
      <c r="AB1764" s="33" t="s">
        <v>1037</v>
      </c>
    </row>
    <row r="1765" spans="2:28" ht="15" customHeight="1" x14ac:dyDescent="0.4">
      <c r="C1765" s="34" t="s">
        <v>6</v>
      </c>
      <c r="D1765" s="35">
        <v>45974</v>
      </c>
      <c r="E1765" s="51" t="s">
        <v>28</v>
      </c>
      <c r="F1765" s="33">
        <v>1</v>
      </c>
      <c r="G1765" s="27">
        <f t="shared" si="35"/>
        <v>-1</v>
      </c>
      <c r="H1765" s="28" t="str">
        <f>VLOOKUP(E1765,'Cadastro Produtos (kiwkiw)'!C:E,3,0)</f>
        <v>Argola Click Pequena Banho Ouro</v>
      </c>
      <c r="AB1765" s="33" t="s">
        <v>1037</v>
      </c>
    </row>
    <row r="1766" spans="2:28" ht="15" customHeight="1" x14ac:dyDescent="0.4">
      <c r="C1766" s="34" t="s">
        <v>6</v>
      </c>
      <c r="D1766" s="35">
        <v>45974</v>
      </c>
      <c r="E1766" s="51" t="s">
        <v>114</v>
      </c>
      <c r="F1766" s="33">
        <v>1</v>
      </c>
      <c r="G1766" s="27">
        <f t="shared" si="35"/>
        <v>-1</v>
      </c>
      <c r="H1766" s="28" t="str">
        <f>VLOOKUP(E1766,'Cadastro Produtos (kiwkiw)'!C:E,3,0)</f>
        <v>Gargantilha Fita Banho Ouro</v>
      </c>
      <c r="AB1766" s="33" t="s">
        <v>1038</v>
      </c>
    </row>
    <row r="1767" spans="2:28" ht="15" customHeight="1" x14ac:dyDescent="0.4">
      <c r="C1767" s="34" t="s">
        <v>6</v>
      </c>
      <c r="D1767" s="35">
        <v>45974</v>
      </c>
      <c r="E1767" s="51" t="s">
        <v>812</v>
      </c>
      <c r="F1767" s="33">
        <v>1</v>
      </c>
      <c r="G1767" s="27">
        <f t="shared" si="35"/>
        <v>-1</v>
      </c>
      <c r="H1767" s="28" t="str">
        <f>VLOOKUP(E1767,'Cadastro Produtos (kiwkiw)'!C:E,3,0)</f>
        <v>Brinco Leque Banho Ouro</v>
      </c>
      <c r="AB1767" s="33" t="s">
        <v>1038</v>
      </c>
    </row>
    <row r="1768" spans="2:28" ht="15" customHeight="1" x14ac:dyDescent="0.4">
      <c r="C1768" s="34" t="s">
        <v>6</v>
      </c>
      <c r="D1768" s="35">
        <v>45974</v>
      </c>
      <c r="E1768" s="51" t="s">
        <v>121</v>
      </c>
      <c r="F1768" s="33">
        <v>1</v>
      </c>
      <c r="G1768" s="27">
        <f t="shared" si="35"/>
        <v>-1</v>
      </c>
      <c r="H1768" s="28" t="str">
        <f>VLOOKUP(E1768,'Cadastro Produtos (kiwkiw)'!C:E,3,0)</f>
        <v>Bracelete Wave Banho Ouro</v>
      </c>
      <c r="AB1768" s="33" t="s">
        <v>1038</v>
      </c>
    </row>
    <row r="1769" spans="2:28" ht="15" customHeight="1" x14ac:dyDescent="0.4">
      <c r="C1769" s="34" t="s">
        <v>6</v>
      </c>
      <c r="D1769" s="35">
        <v>45974</v>
      </c>
      <c r="E1769" s="51" t="s">
        <v>118</v>
      </c>
      <c r="F1769" s="33">
        <v>1</v>
      </c>
      <c r="G1769" s="27">
        <f t="shared" si="35"/>
        <v>-1</v>
      </c>
      <c r="H1769" s="28" t="str">
        <f>VLOOKUP(E1769,'Cadastro Produtos (kiwkiw)'!C:E,3,0)</f>
        <v>Gargantilha Minimal Prateada</v>
      </c>
      <c r="AB1769" s="33" t="s">
        <v>1038</v>
      </c>
    </row>
    <row r="1770" spans="2:28" ht="15" customHeight="1" x14ac:dyDescent="0.4">
      <c r="C1770" s="34" t="s">
        <v>6</v>
      </c>
      <c r="D1770" s="35">
        <v>45974</v>
      </c>
      <c r="E1770" s="51" t="s">
        <v>70</v>
      </c>
      <c r="F1770" s="33">
        <v>1</v>
      </c>
      <c r="G1770" s="27">
        <f t="shared" si="35"/>
        <v>-1</v>
      </c>
      <c r="H1770" s="28" t="str">
        <f>VLOOKUP(E1770,'Cadastro Produtos (kiwkiw)'!C:E,3,0)</f>
        <v>Brinco Geometrico Banho Ouro</v>
      </c>
      <c r="AB1770" s="33" t="s">
        <v>1039</v>
      </c>
    </row>
    <row r="1771" spans="2:28" ht="15" customHeight="1" x14ac:dyDescent="0.4">
      <c r="B1771" s="43">
        <v>45978.425636574073</v>
      </c>
      <c r="C1771" s="34" t="s">
        <v>6</v>
      </c>
      <c r="D1771" s="35">
        <v>45978</v>
      </c>
      <c r="E1771" s="51" t="s">
        <v>31</v>
      </c>
      <c r="F1771" s="33">
        <v>1</v>
      </c>
      <c r="G1771" s="27">
        <f t="shared" si="35"/>
        <v>-1</v>
      </c>
      <c r="H1771" s="28" t="str">
        <f>VLOOKUP(E1771,'Cadastro Produtos (kiwkiw)'!C:E,3,0)</f>
        <v>Argola Reta Basic Banho Ouro</v>
      </c>
      <c r="AB1771" s="33" t="s">
        <v>1040</v>
      </c>
    </row>
    <row r="1772" spans="2:28" ht="15" customHeight="1" x14ac:dyDescent="0.4">
      <c r="C1772" s="34" t="s">
        <v>6</v>
      </c>
      <c r="D1772" s="35">
        <v>45978</v>
      </c>
      <c r="E1772" s="51" t="s">
        <v>40</v>
      </c>
      <c r="F1772" s="33">
        <v>1</v>
      </c>
      <c r="G1772" s="27">
        <f t="shared" si="35"/>
        <v>-1</v>
      </c>
      <c r="H1772" s="28" t="str">
        <f>VLOOKUP(E1772,'Cadastro Produtos (kiwkiw)'!C:E,3,0)</f>
        <v>Argolinha Folha Banho Ouro</v>
      </c>
      <c r="AB1772" s="33" t="s">
        <v>1040</v>
      </c>
    </row>
    <row r="1773" spans="2:28" ht="15" customHeight="1" x14ac:dyDescent="0.4">
      <c r="C1773" s="34" t="s">
        <v>6</v>
      </c>
      <c r="D1773" s="35">
        <v>45978</v>
      </c>
      <c r="E1773" s="51" t="s">
        <v>797</v>
      </c>
      <c r="F1773" s="33">
        <v>1</v>
      </c>
      <c r="G1773" s="27">
        <f t="shared" si="35"/>
        <v>-1</v>
      </c>
      <c r="H1773" s="28" t="str">
        <f>VLOOKUP(E1773,'Cadastro Produtos (kiwkiw)'!C:E,3,0)</f>
        <v>Colar Ponto de Luz Banho Ouro</v>
      </c>
      <c r="AB1773" s="33" t="s">
        <v>1040</v>
      </c>
    </row>
    <row r="1774" spans="2:28" ht="15" customHeight="1" x14ac:dyDescent="0.4">
      <c r="C1774" s="34" t="s">
        <v>6</v>
      </c>
      <c r="D1774" s="35">
        <v>45978</v>
      </c>
      <c r="E1774" s="51" t="s">
        <v>77</v>
      </c>
      <c r="F1774" s="33">
        <v>1</v>
      </c>
      <c r="G1774" s="27">
        <f t="shared" si="35"/>
        <v>-1</v>
      </c>
      <c r="H1774" s="28" t="str">
        <f>VLOOKUP(E1774,'Cadastro Produtos (kiwkiw)'!C:E,3,0)</f>
        <v>EarHook Torcido Banho Ouro</v>
      </c>
      <c r="AB1774" s="33" t="s">
        <v>1041</v>
      </c>
    </row>
    <row r="1775" spans="2:28" ht="15" customHeight="1" x14ac:dyDescent="0.4">
      <c r="C1775" s="34" t="s">
        <v>6</v>
      </c>
      <c r="D1775" s="35">
        <v>45978</v>
      </c>
      <c r="E1775" s="51" t="s">
        <v>59</v>
      </c>
      <c r="F1775" s="33">
        <v>1</v>
      </c>
      <c r="G1775" s="27">
        <f t="shared" si="35"/>
        <v>-1</v>
      </c>
      <c r="H1775" s="28" t="str">
        <f>VLOOKUP(E1775,'Cadastro Produtos (kiwkiw)'!C:E,3,0)</f>
        <v>Brinco Oncinha Banho Ouro</v>
      </c>
      <c r="AB1775" s="33" t="s">
        <v>1041</v>
      </c>
    </row>
    <row r="1776" spans="2:28" ht="15" customHeight="1" x14ac:dyDescent="0.4">
      <c r="C1776" s="34" t="s">
        <v>6</v>
      </c>
      <c r="D1776" s="35">
        <v>45978</v>
      </c>
      <c r="E1776" s="51" t="s">
        <v>130</v>
      </c>
      <c r="F1776" s="33">
        <v>1</v>
      </c>
      <c r="G1776" s="27">
        <f t="shared" si="35"/>
        <v>-1</v>
      </c>
      <c r="H1776" s="28" t="str">
        <f>VLOOKUP(E1776,'Cadastro Produtos (kiwkiw)'!C:E,3,0)</f>
        <v>Pulseira Snake Prateada</v>
      </c>
      <c r="AB1776" s="33" t="s">
        <v>1042</v>
      </c>
    </row>
    <row r="1777" spans="3:28" ht="15" customHeight="1" x14ac:dyDescent="0.4">
      <c r="C1777" s="34" t="s">
        <v>6</v>
      </c>
      <c r="D1777" s="35">
        <v>45978</v>
      </c>
      <c r="E1777" s="51" t="s">
        <v>128</v>
      </c>
      <c r="F1777" s="33">
        <v>1</v>
      </c>
      <c r="G1777" s="27">
        <f t="shared" si="35"/>
        <v>-1</v>
      </c>
      <c r="H1777" s="28" t="str">
        <f>VLOOKUP(E1777,'Cadastro Produtos (kiwkiw)'!C:E,3,0)</f>
        <v>Pulseira Minimal Prateada</v>
      </c>
      <c r="AB1777" s="33" t="s">
        <v>1042</v>
      </c>
    </row>
    <row r="1778" spans="3:28" ht="15" customHeight="1" x14ac:dyDescent="0.4">
      <c r="C1778" s="34" t="s">
        <v>6</v>
      </c>
      <c r="D1778" s="35">
        <v>45978</v>
      </c>
      <c r="E1778" s="51" t="s">
        <v>53</v>
      </c>
      <c r="F1778" s="33">
        <v>1</v>
      </c>
      <c r="G1778" s="27">
        <f t="shared" si="35"/>
        <v>-1</v>
      </c>
      <c r="H1778" s="28" t="str">
        <f>VLOOKUP(E1778,'Cadastro Produtos (kiwkiw)'!C:E,3,0)</f>
        <v>Brinco Infinito Banho Ouro</v>
      </c>
      <c r="AB1778" s="33" t="s">
        <v>1042</v>
      </c>
    </row>
    <row r="1779" spans="3:28" ht="15" customHeight="1" x14ac:dyDescent="0.4">
      <c r="C1779" s="34" t="s">
        <v>6</v>
      </c>
      <c r="D1779" s="35">
        <v>45978</v>
      </c>
      <c r="E1779" s="51" t="s">
        <v>58</v>
      </c>
      <c r="F1779" s="33">
        <v>1</v>
      </c>
      <c r="G1779" s="27">
        <f t="shared" si="35"/>
        <v>-1</v>
      </c>
      <c r="H1779" s="28" t="str">
        <f>VLOOKUP(E1779,'Cadastro Produtos (kiwkiw)'!C:E,3,0)</f>
        <v>Brinco Mini Triangulo Prateado</v>
      </c>
      <c r="AB1779" s="33" t="s">
        <v>1043</v>
      </c>
    </row>
    <row r="1780" spans="3:28" ht="15" customHeight="1" x14ac:dyDescent="0.4">
      <c r="C1780" s="34" t="s">
        <v>6</v>
      </c>
      <c r="D1780" s="35">
        <v>45978</v>
      </c>
      <c r="E1780" s="51" t="s">
        <v>78</v>
      </c>
      <c r="F1780" s="33">
        <v>1</v>
      </c>
      <c r="G1780" s="27">
        <f t="shared" si="35"/>
        <v>-1</v>
      </c>
      <c r="H1780" s="28" t="str">
        <f>VLOOKUP(E1780,'Cadastro Produtos (kiwkiw)'!C:E,3,0)</f>
        <v>EarHook Torcido Prateado</v>
      </c>
      <c r="AB1780" s="33" t="s">
        <v>1043</v>
      </c>
    </row>
    <row r="1781" spans="3:28" ht="15" customHeight="1" x14ac:dyDescent="0.4">
      <c r="C1781" s="34" t="s">
        <v>6</v>
      </c>
      <c r="D1781" s="35">
        <v>45978</v>
      </c>
      <c r="E1781" s="51" t="s">
        <v>118</v>
      </c>
      <c r="F1781" s="33">
        <v>1</v>
      </c>
      <c r="G1781" s="27">
        <f t="shared" si="35"/>
        <v>-1</v>
      </c>
      <c r="H1781" s="28" t="str">
        <f>VLOOKUP(E1781,'Cadastro Produtos (kiwkiw)'!C:E,3,0)</f>
        <v>Gargantilha Minimal Prateada</v>
      </c>
      <c r="AB1781" s="33" t="s">
        <v>1043</v>
      </c>
    </row>
    <row r="1782" spans="3:28" ht="15" customHeight="1" x14ac:dyDescent="0.4">
      <c r="C1782" s="34" t="s">
        <v>6</v>
      </c>
      <c r="D1782" s="35">
        <v>45978</v>
      </c>
      <c r="E1782" s="51" t="s">
        <v>90</v>
      </c>
      <c r="F1782" s="33">
        <v>1</v>
      </c>
      <c r="G1782" s="27">
        <f t="shared" si="35"/>
        <v>-1</v>
      </c>
      <c r="H1782" s="28" t="str">
        <f>VLOOKUP(E1782,'Cadastro Produtos (kiwkiw)'!C:E,3,0)</f>
        <v>Colar Dot Prateado</v>
      </c>
      <c r="AB1782" s="33" t="s">
        <v>1043</v>
      </c>
    </row>
    <row r="1783" spans="3:28" ht="15" customHeight="1" x14ac:dyDescent="0.4">
      <c r="C1783" s="34" t="s">
        <v>6</v>
      </c>
      <c r="D1783" s="35">
        <v>45978</v>
      </c>
      <c r="E1783" s="51" t="s">
        <v>778</v>
      </c>
      <c r="F1783" s="33">
        <v>1</v>
      </c>
      <c r="G1783" s="27">
        <f t="shared" si="35"/>
        <v>-1</v>
      </c>
      <c r="H1783" s="28" t="str">
        <f>VLOOKUP(E1783,'Cadastro Produtos (kiwkiw)'!C:E,3,0)</f>
        <v>Piercing Fake No Prateado</v>
      </c>
      <c r="AB1783" s="33" t="s">
        <v>1043</v>
      </c>
    </row>
    <row r="1784" spans="3:28" ht="15" customHeight="1" x14ac:dyDescent="0.4">
      <c r="C1784" s="34" t="s">
        <v>6</v>
      </c>
      <c r="D1784" s="35">
        <v>45978</v>
      </c>
      <c r="E1784" s="51" t="s">
        <v>94</v>
      </c>
      <c r="F1784" s="33">
        <v>1</v>
      </c>
      <c r="G1784" s="27">
        <f t="shared" si="35"/>
        <v>-1</v>
      </c>
      <c r="H1784" s="28" t="str">
        <f>VLOOKUP(E1784,'Cadastro Produtos (kiwkiw)'!C:E,3,0)</f>
        <v>Colar Duplo Dots Banho Ouro</v>
      </c>
      <c r="AB1784" s="33" t="s">
        <v>1043</v>
      </c>
    </row>
    <row r="1785" spans="3:28" ht="15" customHeight="1" x14ac:dyDescent="0.4">
      <c r="C1785" s="34" t="s">
        <v>6</v>
      </c>
      <c r="D1785" s="35">
        <v>45978</v>
      </c>
      <c r="E1785" s="51" t="s">
        <v>94</v>
      </c>
      <c r="F1785" s="33">
        <v>1</v>
      </c>
      <c r="G1785" s="27">
        <f t="shared" si="35"/>
        <v>-1</v>
      </c>
      <c r="H1785" s="28" t="str">
        <f>VLOOKUP(E1785,'Cadastro Produtos (kiwkiw)'!C:E,3,0)</f>
        <v>Colar Duplo Dots Banho Ouro</v>
      </c>
      <c r="AB1785" s="33" t="s">
        <v>1044</v>
      </c>
    </row>
    <row r="1786" spans="3:28" ht="15" customHeight="1" x14ac:dyDescent="0.4">
      <c r="C1786" s="34" t="s">
        <v>6</v>
      </c>
      <c r="D1786" s="35">
        <v>45978</v>
      </c>
      <c r="E1786" s="51" t="s">
        <v>805</v>
      </c>
      <c r="F1786" s="33">
        <v>1</v>
      </c>
      <c r="G1786" s="27">
        <f t="shared" si="35"/>
        <v>-1</v>
      </c>
      <c r="H1786" s="28" t="str">
        <f>VLOOKUP(E1786,'Cadastro Produtos (kiwkiw)'!C:E,3,0)</f>
        <v>Anel No Banho Ouro</v>
      </c>
      <c r="AB1786" s="33" t="s">
        <v>1045</v>
      </c>
    </row>
    <row r="1787" spans="3:28" ht="15" customHeight="1" x14ac:dyDescent="0.4">
      <c r="C1787" s="34" t="s">
        <v>6</v>
      </c>
      <c r="D1787" s="35">
        <v>45978</v>
      </c>
      <c r="E1787" s="51" t="s">
        <v>108</v>
      </c>
      <c r="F1787" s="33">
        <v>1</v>
      </c>
      <c r="G1787" s="27">
        <f t="shared" si="35"/>
        <v>-1</v>
      </c>
      <c r="H1787" s="28" t="str">
        <f>VLOOKUP(E1787,'Cadastro Produtos (kiwkiw)'!C:E,3,0)</f>
        <v>Colar Line Banho Ouro</v>
      </c>
      <c r="AB1787" s="33" t="s">
        <v>1045</v>
      </c>
    </row>
    <row r="1788" spans="3:28" ht="15" customHeight="1" x14ac:dyDescent="0.4">
      <c r="C1788" s="34" t="s">
        <v>6</v>
      </c>
      <c r="D1788" s="35">
        <v>45978</v>
      </c>
      <c r="E1788" s="51" t="s">
        <v>103</v>
      </c>
      <c r="F1788" s="33">
        <v>1</v>
      </c>
      <c r="G1788" s="27">
        <f t="shared" si="35"/>
        <v>-1</v>
      </c>
      <c r="H1788" s="28" t="str">
        <f>VLOOKUP(E1788,'Cadastro Produtos (kiwkiw)'!C:E,3,0)</f>
        <v>Colar Ivy Banho Ouro</v>
      </c>
      <c r="AB1788" s="33" t="s">
        <v>1045</v>
      </c>
    </row>
    <row r="1789" spans="3:28" ht="15" customHeight="1" x14ac:dyDescent="0.4">
      <c r="C1789" s="34" t="s">
        <v>6</v>
      </c>
      <c r="D1789" s="35">
        <v>45978</v>
      </c>
      <c r="E1789" s="51" t="s">
        <v>829</v>
      </c>
      <c r="F1789" s="33">
        <v>1</v>
      </c>
      <c r="G1789" s="27">
        <f t="shared" si="35"/>
        <v>-1</v>
      </c>
      <c r="H1789" s="28" t="str">
        <f>VLOOKUP(E1789,'Cadastro Produtos (kiwkiw)'!C:E,3,0)</f>
        <v>Ear Hook Fio Banho Ouro</v>
      </c>
      <c r="AB1789" s="33" t="s">
        <v>1045</v>
      </c>
    </row>
    <row r="1790" spans="3:28" ht="15" customHeight="1" x14ac:dyDescent="0.4">
      <c r="C1790" s="34" t="s">
        <v>6</v>
      </c>
      <c r="D1790" s="35">
        <v>45978</v>
      </c>
      <c r="E1790" s="51" t="s">
        <v>833</v>
      </c>
      <c r="F1790" s="33">
        <v>1</v>
      </c>
      <c r="G1790" s="27">
        <f t="shared" si="35"/>
        <v>-1</v>
      </c>
      <c r="H1790" s="28" t="str">
        <f>VLOOKUP(E1790,'Cadastro Produtos (kiwkiw)'!C:E,3,0)</f>
        <v>Ear Hook Encaixe Cruzado Banho Ouro</v>
      </c>
      <c r="AB1790" s="33" t="s">
        <v>1045</v>
      </c>
    </row>
    <row r="1791" spans="3:28" ht="15" customHeight="1" x14ac:dyDescent="0.4">
      <c r="C1791" s="34" t="s">
        <v>6</v>
      </c>
      <c r="D1791" s="35">
        <v>45978</v>
      </c>
      <c r="E1791" s="51" t="s">
        <v>54</v>
      </c>
      <c r="F1791" s="33">
        <v>1</v>
      </c>
      <c r="G1791" s="27">
        <f t="shared" si="35"/>
        <v>-1</v>
      </c>
      <c r="H1791" s="28" t="str">
        <f>VLOOKUP(E1791,'Cadastro Produtos (kiwkiw)'!C:E,3,0)</f>
        <v>Brinco Ivy Banho Ouro</v>
      </c>
      <c r="AB1791" s="33" t="s">
        <v>1045</v>
      </c>
    </row>
    <row r="1792" spans="3:28" ht="15" customHeight="1" x14ac:dyDescent="0.4">
      <c r="C1792" s="34" t="s">
        <v>6</v>
      </c>
      <c r="D1792" s="35">
        <v>45978</v>
      </c>
      <c r="E1792" s="51" t="s">
        <v>64</v>
      </c>
      <c r="F1792" s="33">
        <v>1</v>
      </c>
      <c r="G1792" s="27">
        <f t="shared" si="35"/>
        <v>-1</v>
      </c>
      <c r="H1792" s="28" t="str">
        <f>VLOOKUP(E1792,'Cadastro Produtos (kiwkiw)'!C:E,3,0)</f>
        <v>Brinco Spike Prateado</v>
      </c>
      <c r="AB1792" s="33" t="s">
        <v>1045</v>
      </c>
    </row>
    <row r="1793" spans="3:28" ht="15" customHeight="1" x14ac:dyDescent="0.4">
      <c r="C1793" s="34" t="s">
        <v>6</v>
      </c>
      <c r="D1793" s="35">
        <v>45978</v>
      </c>
      <c r="E1793" s="51" t="s">
        <v>47</v>
      </c>
      <c r="F1793" s="33">
        <v>1</v>
      </c>
      <c r="G1793" s="27">
        <f t="shared" si="35"/>
        <v>-1</v>
      </c>
      <c r="H1793" s="28" t="str">
        <f>VLOOKUP(E1793,'Cadastro Produtos (kiwkiw)'!C:E,3,0)</f>
        <v>Brinco Circle Banho Ouro</v>
      </c>
      <c r="AB1793" s="33" t="s">
        <v>1046</v>
      </c>
    </row>
    <row r="1794" spans="3:28" ht="15" customHeight="1" x14ac:dyDescent="0.4">
      <c r="C1794" s="34" t="s">
        <v>6</v>
      </c>
      <c r="D1794" s="35">
        <v>45978</v>
      </c>
      <c r="E1794" s="51" t="s">
        <v>798</v>
      </c>
      <c r="F1794" s="33">
        <v>1</v>
      </c>
      <c r="G1794" s="27">
        <f t="shared" si="35"/>
        <v>-1</v>
      </c>
      <c r="H1794" s="28" t="str">
        <f>VLOOKUP(E1794,'Cadastro Produtos (kiwkiw)'!C:E,3,0)</f>
        <v>Ear Hook Organico Banho Ouro</v>
      </c>
      <c r="AB1794" s="33" t="s">
        <v>1046</v>
      </c>
    </row>
    <row r="1795" spans="3:28" ht="15" customHeight="1" x14ac:dyDescent="0.4">
      <c r="C1795" s="34" t="s">
        <v>6</v>
      </c>
      <c r="D1795" s="35">
        <v>45978</v>
      </c>
      <c r="E1795" s="51" t="s">
        <v>790</v>
      </c>
      <c r="F1795" s="33">
        <v>1</v>
      </c>
      <c r="G1795" s="27">
        <f t="shared" si="35"/>
        <v>-1</v>
      </c>
      <c r="H1795" s="28" t="str">
        <f>VLOOKUP(E1795,'Cadastro Produtos (kiwkiw)'!C:E,3,0)</f>
        <v>Brinco Pimentinha Banho Ouro</v>
      </c>
      <c r="AB1795" s="33" t="s">
        <v>1047</v>
      </c>
    </row>
    <row r="1796" spans="3:28" ht="15" customHeight="1" x14ac:dyDescent="0.4">
      <c r="C1796" s="34" t="s">
        <v>6</v>
      </c>
      <c r="D1796" s="35">
        <v>45978</v>
      </c>
      <c r="E1796" s="51" t="s">
        <v>807</v>
      </c>
      <c r="F1796" s="33">
        <v>1</v>
      </c>
      <c r="G1796" s="27">
        <f t="shared" si="35"/>
        <v>-1</v>
      </c>
      <c r="H1796" s="28" t="str">
        <f>VLOOKUP(E1796,'Cadastro Produtos (kiwkiw)'!C:E,3,0)</f>
        <v>Argolinha Pepita Banho Ouro</v>
      </c>
      <c r="AB1796" s="33" t="s">
        <v>1048</v>
      </c>
    </row>
    <row r="1797" spans="3:28" ht="15" customHeight="1" x14ac:dyDescent="0.4">
      <c r="C1797" s="34" t="s">
        <v>6</v>
      </c>
      <c r="D1797" s="35">
        <v>45978</v>
      </c>
      <c r="E1797" s="51" t="s">
        <v>814</v>
      </c>
      <c r="F1797" s="33">
        <v>1</v>
      </c>
      <c r="G1797" s="27">
        <f t="shared" si="35"/>
        <v>-1</v>
      </c>
      <c r="H1797" s="28" t="str">
        <f>VLOOKUP(E1797,'Cadastro Produtos (kiwkiw)'!C:E,3,0)</f>
        <v>Brinco Ponto de Luz Banho Ouro</v>
      </c>
      <c r="AB1797" s="33" t="s">
        <v>1048</v>
      </c>
    </row>
    <row r="1798" spans="3:28" ht="15" customHeight="1" x14ac:dyDescent="0.4">
      <c r="C1798" s="34" t="s">
        <v>6</v>
      </c>
      <c r="D1798" s="35">
        <v>45978</v>
      </c>
      <c r="E1798" s="51" t="s">
        <v>814</v>
      </c>
      <c r="F1798" s="33">
        <v>1</v>
      </c>
      <c r="G1798" s="27">
        <f t="shared" si="35"/>
        <v>-1</v>
      </c>
      <c r="H1798" s="28" t="str">
        <f>VLOOKUP(E1798,'Cadastro Produtos (kiwkiw)'!C:E,3,0)</f>
        <v>Brinco Ponto de Luz Banho Ouro</v>
      </c>
      <c r="AB1798" s="33" t="s">
        <v>1049</v>
      </c>
    </row>
    <row r="1799" spans="3:28" ht="15" customHeight="1" x14ac:dyDescent="0.4">
      <c r="C1799" s="34" t="s">
        <v>6</v>
      </c>
      <c r="D1799" s="35">
        <v>45978</v>
      </c>
      <c r="E1799" s="51" t="s">
        <v>827</v>
      </c>
      <c r="F1799" s="33">
        <v>1</v>
      </c>
      <c r="G1799" s="27">
        <f t="shared" si="35"/>
        <v>-1</v>
      </c>
      <c r="H1799" s="28" t="str">
        <f>VLOOKUP(E1799,'Cadastro Produtos (kiwkiw)'!C:E,3,0)</f>
        <v>Argola Click Croissant Banho Ouro</v>
      </c>
      <c r="AB1799" s="33" t="s">
        <v>1048</v>
      </c>
    </row>
    <row r="1800" spans="3:28" ht="15" customHeight="1" x14ac:dyDescent="0.4">
      <c r="C1800" s="34" t="s">
        <v>6</v>
      </c>
      <c r="D1800" s="35">
        <v>45978</v>
      </c>
      <c r="E1800" s="51" t="s">
        <v>70</v>
      </c>
      <c r="F1800" s="33">
        <v>1</v>
      </c>
      <c r="G1800" s="27">
        <f t="shared" si="35"/>
        <v>-1</v>
      </c>
      <c r="H1800" s="28" t="str">
        <f>VLOOKUP(E1800,'Cadastro Produtos (kiwkiw)'!C:E,3,0)</f>
        <v>Brinco Geometrico Banho Ouro</v>
      </c>
      <c r="AB1800" s="33" t="s">
        <v>1050</v>
      </c>
    </row>
    <row r="1801" spans="3:28" ht="15" customHeight="1" x14ac:dyDescent="0.4">
      <c r="C1801" s="34" t="s">
        <v>6</v>
      </c>
      <c r="D1801" s="35">
        <v>45978</v>
      </c>
      <c r="E1801" s="51" t="s">
        <v>831</v>
      </c>
      <c r="F1801" s="33">
        <v>1</v>
      </c>
      <c r="G1801" s="27">
        <f t="shared" si="35"/>
        <v>-1</v>
      </c>
      <c r="H1801" s="28" t="str">
        <f>VLOOKUP(E1801,'Cadastro Produtos (kiwkiw)'!C:E,3,0)</f>
        <v>Brinco Palito Banho Ouro</v>
      </c>
      <c r="AB1801" s="33" t="s">
        <v>1050</v>
      </c>
    </row>
    <row r="1802" spans="3:28" ht="15" customHeight="1" x14ac:dyDescent="0.4">
      <c r="C1802" s="34" t="s">
        <v>6</v>
      </c>
      <c r="D1802" s="35">
        <v>45978</v>
      </c>
      <c r="E1802" s="51" t="s">
        <v>86</v>
      </c>
      <c r="F1802" s="33">
        <v>1</v>
      </c>
      <c r="G1802" s="27">
        <f t="shared" si="35"/>
        <v>-1</v>
      </c>
      <c r="H1802" s="28" t="str">
        <f>VLOOKUP(E1802,'Cadastro Produtos (kiwkiw)'!C:E,3,0)</f>
        <v>Piercing Fake Minimal Banho Ouro</v>
      </c>
      <c r="AB1802" s="33" t="s">
        <v>1044</v>
      </c>
    </row>
    <row r="1803" spans="3:28" ht="15" customHeight="1" x14ac:dyDescent="0.4">
      <c r="C1803" s="34" t="s">
        <v>6</v>
      </c>
      <c r="D1803" s="35">
        <v>45978</v>
      </c>
      <c r="E1803" s="51" t="s">
        <v>789</v>
      </c>
      <c r="F1803" s="33">
        <v>1</v>
      </c>
      <c r="G1803" s="27">
        <f t="shared" si="35"/>
        <v>-1</v>
      </c>
      <c r="H1803" s="28" t="str">
        <f>VLOOKUP(E1803,'Cadastro Produtos (kiwkiw)'!C:E,3,0)</f>
        <v>Brinco Flor Gardenia Banho Ouro</v>
      </c>
      <c r="AB1803" s="33" t="s">
        <v>1044</v>
      </c>
    </row>
    <row r="1804" spans="3:28" ht="15" customHeight="1" x14ac:dyDescent="0.4">
      <c r="C1804" s="34" t="s">
        <v>6</v>
      </c>
      <c r="D1804" s="35">
        <v>45978</v>
      </c>
      <c r="E1804" s="51" t="s">
        <v>114</v>
      </c>
      <c r="F1804" s="33">
        <v>1</v>
      </c>
      <c r="G1804" s="27">
        <f t="shared" si="35"/>
        <v>-1</v>
      </c>
      <c r="H1804" s="28" t="str">
        <f>VLOOKUP(E1804,'Cadastro Produtos (kiwkiw)'!C:E,3,0)</f>
        <v>Gargantilha Fita Banho Ouro</v>
      </c>
      <c r="AB1804" s="33" t="s">
        <v>1044</v>
      </c>
    </row>
    <row r="1805" spans="3:28" ht="15" customHeight="1" x14ac:dyDescent="0.4">
      <c r="C1805" s="34" t="s">
        <v>6</v>
      </c>
      <c r="D1805" s="35">
        <v>45978</v>
      </c>
      <c r="E1805" s="51" t="s">
        <v>826</v>
      </c>
      <c r="F1805" s="33">
        <v>1</v>
      </c>
      <c r="G1805" s="27">
        <f t="shared" si="35"/>
        <v>-1</v>
      </c>
      <c r="H1805" s="28" t="str">
        <f>VLOOKUP(E1805,'Cadastro Produtos (kiwkiw)'!C:E,3,0)</f>
        <v>Pulseira Torcida Banho Ouro</v>
      </c>
      <c r="AB1805" s="33" t="s">
        <v>1044</v>
      </c>
    </row>
    <row r="1806" spans="3:28" ht="15" customHeight="1" x14ac:dyDescent="0.4">
      <c r="C1806" s="34" t="s">
        <v>6</v>
      </c>
      <c r="D1806" s="35">
        <v>45978</v>
      </c>
      <c r="E1806" s="51" t="s">
        <v>825</v>
      </c>
      <c r="F1806" s="33">
        <v>1</v>
      </c>
      <c r="G1806" s="27">
        <f t="shared" si="35"/>
        <v>-1</v>
      </c>
      <c r="H1806" s="28" t="str">
        <f>VLOOKUP(E1806,'Cadastro Produtos (kiwkiw)'!C:E,3,0)</f>
        <v>Pulseira Fita 2mm Banho Ouro</v>
      </c>
      <c r="AB1806" s="33" t="s">
        <v>1044</v>
      </c>
    </row>
    <row r="1807" spans="3:28" ht="15" customHeight="1" x14ac:dyDescent="0.4">
      <c r="C1807" s="34" t="s">
        <v>6</v>
      </c>
      <c r="D1807" s="35">
        <v>45978</v>
      </c>
      <c r="E1807" s="51" t="s">
        <v>121</v>
      </c>
      <c r="F1807" s="33">
        <v>1</v>
      </c>
      <c r="G1807" s="27">
        <f t="shared" si="35"/>
        <v>-1</v>
      </c>
      <c r="H1807" s="28" t="str">
        <f>VLOOKUP(E1807,'Cadastro Produtos (kiwkiw)'!C:E,3,0)</f>
        <v>Bracelete Wave Banho Ouro</v>
      </c>
      <c r="AB1807" s="33" t="s">
        <v>1044</v>
      </c>
    </row>
    <row r="1808" spans="3:28" ht="15" customHeight="1" x14ac:dyDescent="0.4">
      <c r="C1808" s="34" t="s">
        <v>6</v>
      </c>
      <c r="D1808" s="35">
        <v>45978</v>
      </c>
      <c r="E1808" s="51" t="s">
        <v>26</v>
      </c>
      <c r="F1808" s="33">
        <v>1</v>
      </c>
      <c r="G1808" s="27">
        <f t="shared" si="35"/>
        <v>-1</v>
      </c>
      <c r="H1808" s="28" t="str">
        <f>VLOOKUP(E1808,'Cadastro Produtos (kiwkiw)'!C:E,3,0)</f>
        <v>Argola Click Grande Banho Ouro</v>
      </c>
      <c r="AB1808" s="33" t="s">
        <v>1049</v>
      </c>
    </row>
    <row r="1809" spans="2:28" ht="15" customHeight="1" x14ac:dyDescent="0.4">
      <c r="C1809" s="34" t="s">
        <v>6</v>
      </c>
      <c r="D1809" s="35">
        <v>45978</v>
      </c>
      <c r="E1809" s="51" t="s">
        <v>27</v>
      </c>
      <c r="F1809" s="33">
        <v>1</v>
      </c>
      <c r="G1809" s="27">
        <f t="shared" si="35"/>
        <v>-1</v>
      </c>
      <c r="H1809" s="28" t="str">
        <f>VLOOKUP(E1809,'Cadastro Produtos (kiwkiw)'!C:E,3,0)</f>
        <v>Argola Click Media Banho Ouro</v>
      </c>
      <c r="AB1809" s="33" t="s">
        <v>1049</v>
      </c>
    </row>
    <row r="1810" spans="2:28" ht="15" customHeight="1" x14ac:dyDescent="0.4">
      <c r="C1810" s="34" t="s">
        <v>6</v>
      </c>
      <c r="D1810" s="35">
        <v>45978</v>
      </c>
      <c r="E1810" s="51" t="s">
        <v>28</v>
      </c>
      <c r="F1810" s="33">
        <v>1</v>
      </c>
      <c r="G1810" s="27">
        <f t="shared" ref="G1810:G1873" si="36">IF(C1810="Entrada",F1810,-F1810)</f>
        <v>-1</v>
      </c>
      <c r="H1810" s="28" t="str">
        <f>VLOOKUP(E1810,'Cadastro Produtos (kiwkiw)'!C:E,3,0)</f>
        <v>Argola Click Pequena Banho Ouro</v>
      </c>
      <c r="AB1810" s="33" t="s">
        <v>1049</v>
      </c>
    </row>
    <row r="1811" spans="2:28" ht="15" customHeight="1" x14ac:dyDescent="0.4">
      <c r="C1811" s="34" t="s">
        <v>6</v>
      </c>
      <c r="D1811" s="35">
        <v>45978</v>
      </c>
      <c r="E1811" s="51" t="s">
        <v>131</v>
      </c>
      <c r="F1811" s="33">
        <v>1</v>
      </c>
      <c r="G1811" s="27">
        <f t="shared" si="36"/>
        <v>-1</v>
      </c>
      <c r="H1811" s="28" t="str">
        <f>VLOOKUP(E1811,'Cadastro Produtos (kiwkiw)'!C:E,3,0)</f>
        <v>Colar Brave Perolado Banho Ouro</v>
      </c>
      <c r="AB1811" s="33" t="s">
        <v>1049</v>
      </c>
    </row>
    <row r="1812" spans="2:28" ht="15" customHeight="1" x14ac:dyDescent="0.4">
      <c r="B1812" s="43">
        <v>45979.358298611114</v>
      </c>
      <c r="C1812" s="34" t="s">
        <v>6</v>
      </c>
      <c r="D1812" s="35">
        <v>45978</v>
      </c>
      <c r="E1812" s="51" t="s">
        <v>91</v>
      </c>
      <c r="F1812" s="33">
        <v>1</v>
      </c>
      <c r="G1812" s="27">
        <f t="shared" si="36"/>
        <v>-1</v>
      </c>
      <c r="H1812" s="28" t="str">
        <f>VLOOKUP(E1812,'Cadastro Produtos (kiwkiw)'!C:E,3,0)</f>
        <v>Colar Rosa dos Ventos Banho Ouro</v>
      </c>
      <c r="AB1812" s="33" t="s">
        <v>1051</v>
      </c>
    </row>
    <row r="1813" spans="2:28" ht="15" customHeight="1" x14ac:dyDescent="0.4">
      <c r="C1813" s="34" t="s">
        <v>6</v>
      </c>
      <c r="D1813" s="35">
        <v>45978</v>
      </c>
      <c r="E1813" s="51" t="s">
        <v>116</v>
      </c>
      <c r="F1813" s="33">
        <v>1</v>
      </c>
      <c r="G1813" s="27">
        <f t="shared" si="36"/>
        <v>-1</v>
      </c>
      <c r="H1813" s="28" t="str">
        <f>VLOOKUP(E1813,'Cadastro Produtos (kiwkiw)'!C:E,3,0)</f>
        <v>Gargantilha Dots Banho Ouro</v>
      </c>
      <c r="AB1813" s="33" t="s">
        <v>1051</v>
      </c>
    </row>
    <row r="1814" spans="2:28" ht="15" customHeight="1" x14ac:dyDescent="0.4">
      <c r="C1814" s="34" t="s">
        <v>6</v>
      </c>
      <c r="D1814" s="35">
        <v>45978</v>
      </c>
      <c r="E1814" s="51" t="s">
        <v>38</v>
      </c>
      <c r="F1814" s="33">
        <v>1</v>
      </c>
      <c r="G1814" s="27">
        <f t="shared" si="36"/>
        <v>-1</v>
      </c>
      <c r="H1814" s="28" t="str">
        <f>VLOOKUP(E1814,'Cadastro Produtos (kiwkiw)'!C:E,3,0)</f>
        <v>Argolinha Click Dots Banho Ouro</v>
      </c>
      <c r="AB1814" s="33" t="s">
        <v>1051</v>
      </c>
    </row>
    <row r="1815" spans="2:28" ht="15" customHeight="1" x14ac:dyDescent="0.4">
      <c r="C1815" s="34" t="s">
        <v>6</v>
      </c>
      <c r="D1815" s="35">
        <v>45978</v>
      </c>
      <c r="E1815" s="51" t="s">
        <v>131</v>
      </c>
      <c r="F1815" s="33">
        <v>1</v>
      </c>
      <c r="G1815" s="27">
        <f t="shared" si="36"/>
        <v>-1</v>
      </c>
      <c r="H1815" s="28" t="str">
        <f>VLOOKUP(E1815,'Cadastro Produtos (kiwkiw)'!C:E,3,0)</f>
        <v>Colar Brave Perolado Banho Ouro</v>
      </c>
      <c r="AB1815" s="33" t="s">
        <v>1052</v>
      </c>
    </row>
    <row r="1816" spans="2:28" ht="15" customHeight="1" x14ac:dyDescent="0.4">
      <c r="C1816" s="34" t="s">
        <v>6</v>
      </c>
      <c r="D1816" s="35">
        <v>45978</v>
      </c>
      <c r="E1816" s="51" t="s">
        <v>833</v>
      </c>
      <c r="F1816" s="33">
        <v>1</v>
      </c>
      <c r="G1816" s="27">
        <f t="shared" si="36"/>
        <v>-1</v>
      </c>
      <c r="H1816" s="28" t="str">
        <f>VLOOKUP(E1816,'Cadastro Produtos (kiwkiw)'!C:E,3,0)</f>
        <v>Ear Hook Encaixe Cruzado Banho Ouro</v>
      </c>
      <c r="AB1816" s="33" t="s">
        <v>1052</v>
      </c>
    </row>
    <row r="1817" spans="2:28" ht="15" customHeight="1" x14ac:dyDescent="0.4">
      <c r="C1817" s="34" t="s">
        <v>6</v>
      </c>
      <c r="D1817" s="35">
        <v>45978</v>
      </c>
      <c r="E1817" s="51" t="s">
        <v>102</v>
      </c>
      <c r="F1817" s="33">
        <v>1</v>
      </c>
      <c r="G1817" s="27">
        <f t="shared" si="36"/>
        <v>-1</v>
      </c>
      <c r="H1817" s="28" t="str">
        <f>VLOOKUP(E1817,'Cadastro Produtos (kiwkiw)'!C:E,3,0)</f>
        <v>Colar Longo Lua Banho Ouro</v>
      </c>
      <c r="AB1817" s="33" t="s">
        <v>1052</v>
      </c>
    </row>
    <row r="1818" spans="2:28" ht="15" customHeight="1" x14ac:dyDescent="0.4">
      <c r="C1818" s="34" t="s">
        <v>6</v>
      </c>
      <c r="D1818" s="35">
        <v>45978</v>
      </c>
      <c r="E1818" s="51" t="s">
        <v>94</v>
      </c>
      <c r="F1818" s="33">
        <v>1</v>
      </c>
      <c r="G1818" s="27">
        <f t="shared" si="36"/>
        <v>-1</v>
      </c>
      <c r="H1818" s="28" t="str">
        <f>VLOOKUP(E1818,'Cadastro Produtos (kiwkiw)'!C:E,3,0)</f>
        <v>Colar Duplo Dots Banho Ouro</v>
      </c>
      <c r="AB1818" s="33" t="s">
        <v>1053</v>
      </c>
    </row>
    <row r="1819" spans="2:28" ht="15" customHeight="1" x14ac:dyDescent="0.4">
      <c r="C1819" s="34" t="s">
        <v>6</v>
      </c>
      <c r="D1819" s="35">
        <v>45978</v>
      </c>
      <c r="E1819" s="51" t="s">
        <v>831</v>
      </c>
      <c r="F1819" s="33">
        <v>1</v>
      </c>
      <c r="G1819" s="27">
        <f t="shared" si="36"/>
        <v>-1</v>
      </c>
      <c r="H1819" s="28" t="str">
        <f>VLOOKUP(E1819,'Cadastro Produtos (kiwkiw)'!C:E,3,0)</f>
        <v>Brinco Palito Banho Ouro</v>
      </c>
      <c r="AB1819" s="33" t="s">
        <v>1053</v>
      </c>
    </row>
    <row r="1820" spans="2:28" ht="15" customHeight="1" x14ac:dyDescent="0.4">
      <c r="C1820" s="34" t="s">
        <v>6</v>
      </c>
      <c r="D1820" s="35">
        <v>45978</v>
      </c>
      <c r="E1820" s="51" t="s">
        <v>77</v>
      </c>
      <c r="F1820" s="33">
        <v>1</v>
      </c>
      <c r="G1820" s="27">
        <f t="shared" si="36"/>
        <v>-1</v>
      </c>
      <c r="H1820" s="28" t="str">
        <f>VLOOKUP(E1820,'Cadastro Produtos (kiwkiw)'!C:E,3,0)</f>
        <v>EarHook Torcido Banho Ouro</v>
      </c>
      <c r="AB1820" s="33" t="s">
        <v>1053</v>
      </c>
    </row>
    <row r="1821" spans="2:28" ht="15" customHeight="1" x14ac:dyDescent="0.4">
      <c r="C1821" s="34" t="s">
        <v>6</v>
      </c>
      <c r="D1821" s="35">
        <v>45978</v>
      </c>
      <c r="E1821" s="51" t="s">
        <v>822</v>
      </c>
      <c r="F1821" s="33">
        <v>1</v>
      </c>
      <c r="G1821" s="27">
        <f t="shared" si="36"/>
        <v>-1</v>
      </c>
      <c r="H1821" s="28" t="str">
        <f>VLOOKUP(E1821,'Cadastro Produtos (kiwkiw)'!C:E,3,0)</f>
        <v>Gargantilha Pearl Banho Ouro</v>
      </c>
      <c r="AB1821" s="33" t="s">
        <v>1054</v>
      </c>
    </row>
    <row r="1822" spans="2:28" ht="15" customHeight="1" x14ac:dyDescent="0.4">
      <c r="C1822" s="34" t="s">
        <v>6</v>
      </c>
      <c r="D1822" s="35">
        <v>45978</v>
      </c>
      <c r="E1822" s="51" t="s">
        <v>796</v>
      </c>
      <c r="F1822" s="33">
        <v>1</v>
      </c>
      <c r="G1822" s="27">
        <f t="shared" si="36"/>
        <v>-1</v>
      </c>
      <c r="H1822" s="28" t="str">
        <f>VLOOKUP(E1822,'Cadastro Produtos (kiwkiw)'!C:E,3,0)</f>
        <v>Colar Longo Minimal Banho Ouro</v>
      </c>
      <c r="AB1822" s="33" t="s">
        <v>1054</v>
      </c>
    </row>
    <row r="1823" spans="2:28" ht="15" customHeight="1" x14ac:dyDescent="0.4">
      <c r="C1823" s="34" t="s">
        <v>6</v>
      </c>
      <c r="D1823" s="35">
        <v>45978</v>
      </c>
      <c r="E1823" s="51" t="s">
        <v>114</v>
      </c>
      <c r="F1823" s="33">
        <v>1</v>
      </c>
      <c r="G1823" s="27">
        <f t="shared" si="36"/>
        <v>-1</v>
      </c>
      <c r="H1823" s="28" t="str">
        <f>VLOOKUP(E1823,'Cadastro Produtos (kiwkiw)'!C:E,3,0)</f>
        <v>Gargantilha Fita Banho Ouro</v>
      </c>
      <c r="AB1823" s="33" t="s">
        <v>1054</v>
      </c>
    </row>
    <row r="1824" spans="2:28" ht="15" customHeight="1" x14ac:dyDescent="0.4">
      <c r="C1824" s="34" t="s">
        <v>6</v>
      </c>
      <c r="D1824" s="35">
        <v>45978</v>
      </c>
      <c r="E1824" s="51" t="s">
        <v>100</v>
      </c>
      <c r="F1824" s="33">
        <v>1</v>
      </c>
      <c r="G1824" s="27">
        <f t="shared" si="36"/>
        <v>-1</v>
      </c>
      <c r="H1824" s="28" t="str">
        <f>VLOOKUP(E1824,'Cadastro Produtos (kiwkiw)'!C:E,3,0)</f>
        <v>Colar Esfera Pequeno Banho Ouro</v>
      </c>
      <c r="AB1824" s="33" t="s">
        <v>1054</v>
      </c>
    </row>
    <row r="1825" spans="2:28" ht="15" customHeight="1" x14ac:dyDescent="0.4">
      <c r="C1825" s="34" t="s">
        <v>6</v>
      </c>
      <c r="D1825" s="35">
        <v>45978</v>
      </c>
      <c r="E1825" s="51" t="s">
        <v>46</v>
      </c>
      <c r="F1825" s="33">
        <v>1</v>
      </c>
      <c r="G1825" s="27">
        <f t="shared" si="36"/>
        <v>-1</v>
      </c>
      <c r="H1825" s="28" t="str">
        <f>VLOOKUP(E1825,'Cadastro Produtos (kiwkiw)'!C:E,3,0)</f>
        <v>Brinco Bubble Pequeno Banho Ouro</v>
      </c>
      <c r="AB1825" s="33" t="s">
        <v>1054</v>
      </c>
    </row>
    <row r="1826" spans="2:28" ht="15" customHeight="1" x14ac:dyDescent="0.4">
      <c r="C1826" s="34" t="s">
        <v>6</v>
      </c>
      <c r="D1826" s="35">
        <v>45978</v>
      </c>
      <c r="E1826" s="51" t="s">
        <v>83</v>
      </c>
      <c r="F1826" s="33">
        <v>1</v>
      </c>
      <c r="G1826" s="27">
        <f t="shared" si="36"/>
        <v>-1</v>
      </c>
      <c r="H1826" s="28" t="str">
        <f>VLOOKUP(E1826,'Cadastro Produtos (kiwkiw)'!C:E,3,0)</f>
        <v>Mini Argola Classy Banho Ouro</v>
      </c>
      <c r="AB1826" s="33" t="s">
        <v>1054</v>
      </c>
    </row>
    <row r="1827" spans="2:28" ht="15" customHeight="1" x14ac:dyDescent="0.4">
      <c r="C1827" s="34" t="s">
        <v>6</v>
      </c>
      <c r="D1827" s="35">
        <v>45978</v>
      </c>
      <c r="E1827" s="51" t="s">
        <v>35</v>
      </c>
      <c r="F1827" s="33">
        <v>1</v>
      </c>
      <c r="G1827" s="27">
        <f t="shared" si="36"/>
        <v>-1</v>
      </c>
      <c r="H1827" s="28" t="str">
        <f>VLOOKUP(E1827,'Cadastro Produtos (kiwkiw)'!C:E,3,0)</f>
        <v>Argola Classy Banho Ouro</v>
      </c>
      <c r="AB1827" s="33" t="s">
        <v>1054</v>
      </c>
    </row>
    <row r="1828" spans="2:28" ht="15" customHeight="1" x14ac:dyDescent="0.4">
      <c r="C1828" s="34" t="s">
        <v>6</v>
      </c>
      <c r="D1828" s="35">
        <v>45979</v>
      </c>
      <c r="E1828" s="51" t="s">
        <v>72</v>
      </c>
      <c r="F1828" s="33">
        <v>1</v>
      </c>
      <c r="G1828" s="27">
        <f t="shared" si="36"/>
        <v>-1</v>
      </c>
      <c r="H1828" s="28" t="str">
        <f>VLOOKUP(E1828,'Cadastro Produtos (kiwkiw)'!C:E,3,0)</f>
        <v>Ear Hook Line Banho Ouro</v>
      </c>
      <c r="AB1828" s="33" t="s">
        <v>1055</v>
      </c>
    </row>
    <row r="1829" spans="2:28" ht="15" customHeight="1" x14ac:dyDescent="0.4">
      <c r="C1829" s="34" t="s">
        <v>6</v>
      </c>
      <c r="D1829" s="35">
        <v>45979</v>
      </c>
      <c r="E1829" s="51" t="s">
        <v>59</v>
      </c>
      <c r="F1829" s="33">
        <v>1</v>
      </c>
      <c r="G1829" s="27">
        <f t="shared" si="36"/>
        <v>-1</v>
      </c>
      <c r="H1829" s="28" t="str">
        <f>VLOOKUP(E1829,'Cadastro Produtos (kiwkiw)'!C:E,3,0)</f>
        <v>Brinco Oncinha Banho Ouro</v>
      </c>
      <c r="AB1829" s="33" t="s">
        <v>1055</v>
      </c>
    </row>
    <row r="1830" spans="2:28" ht="15" customHeight="1" x14ac:dyDescent="0.4">
      <c r="C1830" s="34" t="s">
        <v>6</v>
      </c>
      <c r="D1830" s="35">
        <v>45979</v>
      </c>
      <c r="E1830" s="51" t="s">
        <v>56</v>
      </c>
      <c r="F1830" s="33">
        <v>1</v>
      </c>
      <c r="G1830" s="27">
        <f t="shared" si="36"/>
        <v>-1</v>
      </c>
      <c r="H1830" s="28" t="str">
        <f>VLOOKUP(E1830,'Cadastro Produtos (kiwkiw)'!C:E,3,0)</f>
        <v>Brinco Mini Raio Banho Ouro</v>
      </c>
      <c r="AB1830" s="33" t="s">
        <v>1055</v>
      </c>
    </row>
    <row r="1831" spans="2:28" ht="15" customHeight="1" x14ac:dyDescent="0.4">
      <c r="C1831" s="34" t="s">
        <v>6</v>
      </c>
      <c r="D1831" s="35">
        <v>45979</v>
      </c>
      <c r="E1831" s="51" t="s">
        <v>86</v>
      </c>
      <c r="F1831" s="33">
        <v>1</v>
      </c>
      <c r="G1831" s="27">
        <f t="shared" si="36"/>
        <v>-1</v>
      </c>
      <c r="H1831" s="28" t="str">
        <f>VLOOKUP(E1831,'Cadastro Produtos (kiwkiw)'!C:E,3,0)</f>
        <v>Piercing Fake Minimal Banho Ouro</v>
      </c>
      <c r="AB1831" s="33" t="s">
        <v>1055</v>
      </c>
    </row>
    <row r="1832" spans="2:28" ht="15" customHeight="1" x14ac:dyDescent="0.4">
      <c r="B1832" s="43">
        <v>45980.441562499997</v>
      </c>
      <c r="C1832" s="34" t="s">
        <v>6</v>
      </c>
      <c r="D1832" s="35">
        <v>45980</v>
      </c>
      <c r="E1832" s="51" t="s">
        <v>94</v>
      </c>
      <c r="F1832" s="33">
        <v>1</v>
      </c>
      <c r="G1832" s="27">
        <f t="shared" si="36"/>
        <v>-1</v>
      </c>
      <c r="H1832" s="28" t="str">
        <f>VLOOKUP(E1832,'Cadastro Produtos (kiwkiw)'!C:E,3,0)</f>
        <v>Colar Duplo Dots Banho Ouro</v>
      </c>
      <c r="AB1832" s="33" t="s">
        <v>1056</v>
      </c>
    </row>
    <row r="1833" spans="2:28" ht="15" customHeight="1" x14ac:dyDescent="0.4">
      <c r="C1833" s="34" t="s">
        <v>6</v>
      </c>
      <c r="D1833" s="35">
        <v>45980</v>
      </c>
      <c r="E1833" s="51" t="s">
        <v>45</v>
      </c>
      <c r="F1833" s="33">
        <v>1</v>
      </c>
      <c r="G1833" s="27">
        <f t="shared" si="36"/>
        <v>-1</v>
      </c>
      <c r="H1833" s="28" t="str">
        <f>VLOOKUP(E1833,'Cadastro Produtos (kiwkiw)'!C:E,3,0)</f>
        <v>Brinco Bubble Medio Banho Ouro</v>
      </c>
      <c r="AB1833" s="33" t="s">
        <v>1056</v>
      </c>
    </row>
    <row r="1834" spans="2:28" ht="15" customHeight="1" x14ac:dyDescent="0.4">
      <c r="C1834" s="34" t="s">
        <v>6</v>
      </c>
      <c r="D1834" s="35">
        <v>45980</v>
      </c>
      <c r="E1834" s="51" t="s">
        <v>72</v>
      </c>
      <c r="F1834" s="33">
        <v>1</v>
      </c>
      <c r="G1834" s="27">
        <f t="shared" si="36"/>
        <v>-1</v>
      </c>
      <c r="H1834" s="28" t="str">
        <f>VLOOKUP(E1834,'Cadastro Produtos (kiwkiw)'!C:E,3,0)</f>
        <v>Ear Hook Line Banho Ouro</v>
      </c>
      <c r="AB1834" s="33" t="s">
        <v>1056</v>
      </c>
    </row>
    <row r="1835" spans="2:28" ht="15" customHeight="1" x14ac:dyDescent="0.4">
      <c r="C1835" s="34" t="s">
        <v>6</v>
      </c>
      <c r="D1835" s="35">
        <v>45980</v>
      </c>
      <c r="E1835" s="51" t="s">
        <v>116</v>
      </c>
      <c r="F1835" s="33">
        <v>1</v>
      </c>
      <c r="G1835" s="27">
        <f t="shared" si="36"/>
        <v>-1</v>
      </c>
      <c r="H1835" s="28" t="str">
        <f>VLOOKUP(E1835,'Cadastro Produtos (kiwkiw)'!C:E,3,0)</f>
        <v>Gargantilha Dots Banho Ouro</v>
      </c>
      <c r="AB1835" s="33" t="s">
        <v>1057</v>
      </c>
    </row>
    <row r="1836" spans="2:28" ht="15" customHeight="1" x14ac:dyDescent="0.4">
      <c r="C1836" s="34" t="s">
        <v>6</v>
      </c>
      <c r="D1836" s="35">
        <v>45980</v>
      </c>
      <c r="E1836" s="51" t="s">
        <v>121</v>
      </c>
      <c r="F1836" s="33">
        <v>1</v>
      </c>
      <c r="G1836" s="27">
        <f t="shared" si="36"/>
        <v>-1</v>
      </c>
      <c r="H1836" s="28" t="str">
        <f>VLOOKUP(E1836,'Cadastro Produtos (kiwkiw)'!C:E,3,0)</f>
        <v>Bracelete Wave Banho Ouro</v>
      </c>
      <c r="AB1836" s="33" t="s">
        <v>1058</v>
      </c>
    </row>
    <row r="1837" spans="2:28" ht="15" customHeight="1" x14ac:dyDescent="0.4">
      <c r="B1837" s="43">
        <v>45982.46465277778</v>
      </c>
      <c r="C1837" s="34" t="s">
        <v>6</v>
      </c>
      <c r="D1837" s="35">
        <v>45982</v>
      </c>
      <c r="E1837" s="51" t="s">
        <v>45</v>
      </c>
      <c r="F1837" s="33">
        <v>1</v>
      </c>
      <c r="G1837" s="27">
        <f t="shared" si="36"/>
        <v>-1</v>
      </c>
      <c r="H1837" s="28" t="str">
        <f>VLOOKUP(E1837,'Cadastro Produtos (kiwkiw)'!C:E,3,0)</f>
        <v>Brinco Bubble Medio Banho Ouro</v>
      </c>
      <c r="AB1837" s="33" t="s">
        <v>1059</v>
      </c>
    </row>
    <row r="1838" spans="2:28" ht="15" customHeight="1" x14ac:dyDescent="0.4">
      <c r="C1838" s="34" t="s">
        <v>6</v>
      </c>
      <c r="D1838" s="35">
        <v>45982</v>
      </c>
      <c r="E1838" s="51" t="s">
        <v>61</v>
      </c>
      <c r="F1838" s="33">
        <v>1</v>
      </c>
      <c r="G1838" s="27">
        <f t="shared" si="36"/>
        <v>-1</v>
      </c>
      <c r="H1838" s="28" t="str">
        <f>VLOOKUP(E1838,'Cadastro Produtos (kiwkiw)'!C:E,3,0)</f>
        <v>Brinco Setas Banho Ouro</v>
      </c>
      <c r="AB1838" s="33" t="s">
        <v>1059</v>
      </c>
    </row>
    <row r="1839" spans="2:28" ht="15" customHeight="1" x14ac:dyDescent="0.4">
      <c r="C1839" s="34" t="s">
        <v>6</v>
      </c>
      <c r="D1839" s="35">
        <v>45982</v>
      </c>
      <c r="E1839" s="51" t="s">
        <v>59</v>
      </c>
      <c r="F1839" s="33">
        <v>1</v>
      </c>
      <c r="G1839" s="27">
        <f t="shared" si="36"/>
        <v>-1</v>
      </c>
      <c r="H1839" s="28" t="str">
        <f>VLOOKUP(E1839,'Cadastro Produtos (kiwkiw)'!C:E,3,0)</f>
        <v>Brinco Oncinha Banho Ouro</v>
      </c>
      <c r="AB1839" s="33" t="s">
        <v>1059</v>
      </c>
    </row>
    <row r="1840" spans="2:28" ht="15" customHeight="1" x14ac:dyDescent="0.4">
      <c r="B1840" s="43">
        <v>45985.439363425925</v>
      </c>
      <c r="C1840" s="34" t="s">
        <v>6</v>
      </c>
      <c r="D1840" s="35">
        <v>45985</v>
      </c>
      <c r="E1840" s="51" t="s">
        <v>91</v>
      </c>
      <c r="F1840" s="33">
        <v>1</v>
      </c>
      <c r="G1840" s="27">
        <f t="shared" si="36"/>
        <v>-1</v>
      </c>
      <c r="H1840" s="28" t="str">
        <f>VLOOKUP(E1840,'Cadastro Produtos (kiwkiw)'!C:E,3,0)</f>
        <v>Colar Rosa dos Ventos Banho Ouro</v>
      </c>
      <c r="AB1840" s="33" t="s">
        <v>1060</v>
      </c>
    </row>
    <row r="1841" spans="3:28" ht="15" customHeight="1" x14ac:dyDescent="0.4">
      <c r="C1841" s="34" t="s">
        <v>6</v>
      </c>
      <c r="D1841" s="35">
        <v>45985</v>
      </c>
      <c r="E1841" s="51" t="s">
        <v>822</v>
      </c>
      <c r="F1841" s="33">
        <v>2</v>
      </c>
      <c r="G1841" s="27">
        <f t="shared" si="36"/>
        <v>-2</v>
      </c>
      <c r="H1841" s="28" t="str">
        <f>VLOOKUP(E1841,'Cadastro Produtos (kiwkiw)'!C:E,3,0)</f>
        <v>Gargantilha Pearl Banho Ouro</v>
      </c>
      <c r="AB1841" s="33" t="s">
        <v>1060</v>
      </c>
    </row>
    <row r="1842" spans="3:28" ht="15" customHeight="1" x14ac:dyDescent="0.4">
      <c r="C1842" s="34" t="s">
        <v>6</v>
      </c>
      <c r="D1842" s="35">
        <v>45985</v>
      </c>
      <c r="E1842" s="51" t="s">
        <v>820</v>
      </c>
      <c r="F1842" s="33">
        <v>1</v>
      </c>
      <c r="G1842" s="27">
        <f t="shared" si="36"/>
        <v>-1</v>
      </c>
      <c r="H1842" s="28" t="str">
        <f>VLOOKUP(E1842,'Cadastro Produtos (kiwkiw)'!C:E,3,0)</f>
        <v>Colar Sol Banho Ouro</v>
      </c>
      <c r="AB1842" s="33" t="s">
        <v>1061</v>
      </c>
    </row>
    <row r="1843" spans="3:28" ht="15" customHeight="1" x14ac:dyDescent="0.4">
      <c r="C1843" s="34" t="s">
        <v>6</v>
      </c>
      <c r="D1843" s="35">
        <v>45985</v>
      </c>
      <c r="E1843" s="51" t="s">
        <v>829</v>
      </c>
      <c r="F1843" s="33">
        <v>1</v>
      </c>
      <c r="G1843" s="27">
        <f t="shared" si="36"/>
        <v>-1</v>
      </c>
      <c r="H1843" s="28" t="str">
        <f>VLOOKUP(E1843,'Cadastro Produtos (kiwkiw)'!C:E,3,0)</f>
        <v>Ear Hook Fio Banho Ouro</v>
      </c>
      <c r="AB1843" s="33" t="s">
        <v>1062</v>
      </c>
    </row>
    <row r="1844" spans="3:28" ht="15" customHeight="1" x14ac:dyDescent="0.4">
      <c r="C1844" s="34" t="s">
        <v>6</v>
      </c>
      <c r="D1844" s="35">
        <v>45985</v>
      </c>
      <c r="E1844" s="51" t="s">
        <v>811</v>
      </c>
      <c r="F1844" s="33">
        <v>1</v>
      </c>
      <c r="G1844" s="27">
        <f t="shared" si="36"/>
        <v>-1</v>
      </c>
      <c r="H1844" s="28" t="str">
        <f>VLOOKUP(E1844,'Cadastro Produtos (kiwkiw)'!C:E,3,0)</f>
        <v>Brinco Drop P Banho Ouro</v>
      </c>
      <c r="AB1844" s="33" t="s">
        <v>1062</v>
      </c>
    </row>
    <row r="1845" spans="3:28" ht="15" customHeight="1" x14ac:dyDescent="0.4">
      <c r="C1845" s="34" t="s">
        <v>6</v>
      </c>
      <c r="D1845" s="35">
        <v>45985</v>
      </c>
      <c r="E1845" s="51" t="s">
        <v>61</v>
      </c>
      <c r="F1845" s="33">
        <v>1</v>
      </c>
      <c r="G1845" s="27">
        <f t="shared" si="36"/>
        <v>-1</v>
      </c>
      <c r="H1845" s="28" t="str">
        <f>VLOOKUP(E1845,'Cadastro Produtos (kiwkiw)'!C:E,3,0)</f>
        <v>Brinco Setas Banho Ouro</v>
      </c>
      <c r="AB1845" s="33" t="s">
        <v>1062</v>
      </c>
    </row>
    <row r="1846" spans="3:28" ht="15" customHeight="1" x14ac:dyDescent="0.4">
      <c r="C1846" s="34" t="s">
        <v>6</v>
      </c>
      <c r="D1846" s="35">
        <v>45985</v>
      </c>
      <c r="E1846" s="51" t="s">
        <v>27</v>
      </c>
      <c r="F1846" s="33">
        <v>1</v>
      </c>
      <c r="G1846" s="27">
        <f t="shared" si="36"/>
        <v>-1</v>
      </c>
      <c r="H1846" s="28" t="str">
        <f>VLOOKUP(E1846,'Cadastro Produtos (kiwkiw)'!C:E,3,0)</f>
        <v>Argola Click Media Banho Ouro</v>
      </c>
      <c r="AB1846" s="33" t="s">
        <v>1062</v>
      </c>
    </row>
    <row r="1847" spans="3:28" ht="15" customHeight="1" x14ac:dyDescent="0.4">
      <c r="C1847" s="34" t="s">
        <v>6</v>
      </c>
      <c r="D1847" s="35">
        <v>45985</v>
      </c>
      <c r="E1847" s="51" t="s">
        <v>804</v>
      </c>
      <c r="F1847" s="33">
        <v>1</v>
      </c>
      <c r="G1847" s="27">
        <f t="shared" si="36"/>
        <v>-1</v>
      </c>
      <c r="H1847" s="28" t="str">
        <f>VLOOKUP(E1847,'Cadastro Produtos (kiwkiw)'!C:E,3,0)</f>
        <v>Anel Drop Banho Ouro</v>
      </c>
      <c r="AB1847" s="33" t="s">
        <v>1062</v>
      </c>
    </row>
    <row r="1848" spans="3:28" ht="15" customHeight="1" x14ac:dyDescent="0.4">
      <c r="C1848" s="34" t="s">
        <v>6</v>
      </c>
      <c r="D1848" s="35">
        <v>45985</v>
      </c>
      <c r="E1848" s="51" t="s">
        <v>799</v>
      </c>
      <c r="F1848" s="33">
        <v>1</v>
      </c>
      <c r="G1848" s="27">
        <f t="shared" si="36"/>
        <v>-1</v>
      </c>
      <c r="H1848" s="28" t="str">
        <f>VLOOKUP(E1848,'Cadastro Produtos (kiwkiw)'!C:E,3,0)</f>
        <v>Gargantilha Fita Textura Banho Ouro</v>
      </c>
      <c r="AB1848" s="33" t="s">
        <v>1062</v>
      </c>
    </row>
    <row r="1849" spans="3:28" ht="15" customHeight="1" x14ac:dyDescent="0.4">
      <c r="C1849" s="34" t="s">
        <v>6</v>
      </c>
      <c r="D1849" s="35">
        <v>45985</v>
      </c>
      <c r="E1849" s="51" t="s">
        <v>786</v>
      </c>
      <c r="F1849" s="33">
        <v>1</v>
      </c>
      <c r="G1849" s="27">
        <f t="shared" si="36"/>
        <v>-1</v>
      </c>
      <c r="H1849" s="28" t="str">
        <f>VLOOKUP(E1849,'Cadastro Produtos (kiwkiw)'!C:E,3,0)</f>
        <v>Colar Sao Bento Banho Ouro</v>
      </c>
      <c r="AB1849" s="33" t="s">
        <v>1063</v>
      </c>
    </row>
    <row r="1850" spans="3:28" ht="15" customHeight="1" x14ac:dyDescent="0.4">
      <c r="C1850" s="34" t="s">
        <v>6</v>
      </c>
      <c r="D1850" s="35">
        <v>45985</v>
      </c>
      <c r="E1850" s="51" t="s">
        <v>789</v>
      </c>
      <c r="F1850" s="33">
        <v>1</v>
      </c>
      <c r="G1850" s="27">
        <f t="shared" si="36"/>
        <v>-1</v>
      </c>
      <c r="H1850" s="28" t="str">
        <f>VLOOKUP(E1850,'Cadastro Produtos (kiwkiw)'!C:E,3,0)</f>
        <v>Brinco Flor Gardenia Banho Ouro</v>
      </c>
      <c r="AB1850" s="33" t="s">
        <v>1063</v>
      </c>
    </row>
    <row r="1851" spans="3:28" ht="15" customHeight="1" x14ac:dyDescent="0.4">
      <c r="C1851" s="34" t="s">
        <v>6</v>
      </c>
      <c r="D1851" s="35">
        <v>45985</v>
      </c>
      <c r="E1851" s="51" t="s">
        <v>120</v>
      </c>
      <c r="F1851" s="33">
        <v>1</v>
      </c>
      <c r="G1851" s="27">
        <f t="shared" si="36"/>
        <v>-1</v>
      </c>
      <c r="H1851" s="28" t="str">
        <f>VLOOKUP(E1851,'Cadastro Produtos (kiwkiw)'!C:E,3,0)</f>
        <v>Bracelete Ivy Banho Ouro</v>
      </c>
      <c r="AB1851" s="33" t="s">
        <v>1063</v>
      </c>
    </row>
    <row r="1852" spans="3:28" ht="15" customHeight="1" x14ac:dyDescent="0.4">
      <c r="C1852" s="34" t="s">
        <v>6</v>
      </c>
      <c r="D1852" s="35">
        <v>45985</v>
      </c>
      <c r="E1852" s="51" t="s">
        <v>831</v>
      </c>
      <c r="F1852" s="33">
        <v>1</v>
      </c>
      <c r="G1852" s="27">
        <f t="shared" si="36"/>
        <v>-1</v>
      </c>
      <c r="H1852" s="28" t="str">
        <f>VLOOKUP(E1852,'Cadastro Produtos (kiwkiw)'!C:E,3,0)</f>
        <v>Brinco Palito Banho Ouro</v>
      </c>
      <c r="AB1852" s="33" t="s">
        <v>1064</v>
      </c>
    </row>
    <row r="1853" spans="3:28" ht="15" customHeight="1" x14ac:dyDescent="0.4">
      <c r="C1853" s="34" t="s">
        <v>6</v>
      </c>
      <c r="D1853" s="35">
        <v>45985</v>
      </c>
      <c r="E1853" s="51" t="s">
        <v>778</v>
      </c>
      <c r="F1853" s="33">
        <v>1</v>
      </c>
      <c r="G1853" s="27">
        <f t="shared" si="36"/>
        <v>-1</v>
      </c>
      <c r="H1853" s="28" t="str">
        <f>VLOOKUP(E1853,'Cadastro Produtos (kiwkiw)'!C:E,3,0)</f>
        <v>Piercing Fake No Prateado</v>
      </c>
      <c r="AB1853" s="33" t="s">
        <v>1064</v>
      </c>
    </row>
    <row r="1854" spans="3:28" ht="15" customHeight="1" x14ac:dyDescent="0.4">
      <c r="C1854" s="34" t="s">
        <v>6</v>
      </c>
      <c r="D1854" s="35">
        <v>45985</v>
      </c>
      <c r="E1854" s="51" t="s">
        <v>781</v>
      </c>
      <c r="F1854" s="33">
        <v>1</v>
      </c>
      <c r="G1854" s="27">
        <f t="shared" si="36"/>
        <v>-1</v>
      </c>
      <c r="H1854" s="28" t="str">
        <f>VLOOKUP(E1854,'Cadastro Produtos (kiwkiw)'!C:E,3,0)</f>
        <v>Brinco Palito Prateado</v>
      </c>
      <c r="AB1854" s="33" t="s">
        <v>1064</v>
      </c>
    </row>
    <row r="1855" spans="3:28" ht="15" customHeight="1" x14ac:dyDescent="0.4">
      <c r="C1855" s="34" t="s">
        <v>6</v>
      </c>
      <c r="D1855" s="35">
        <v>45985</v>
      </c>
      <c r="E1855" s="51" t="s">
        <v>104</v>
      </c>
      <c r="F1855" s="33">
        <v>2</v>
      </c>
      <c r="G1855" s="27">
        <f t="shared" si="36"/>
        <v>-2</v>
      </c>
      <c r="H1855" s="28" t="str">
        <f>VLOOKUP(E1855,'Cadastro Produtos (kiwkiw)'!C:E,3,0)</f>
        <v>Colar Ivy Prateado</v>
      </c>
      <c r="AB1855" s="33" t="s">
        <v>1064</v>
      </c>
    </row>
    <row r="1856" spans="3:28" ht="15" customHeight="1" x14ac:dyDescent="0.4">
      <c r="C1856" s="34" t="s">
        <v>6</v>
      </c>
      <c r="D1856" s="35">
        <v>45985</v>
      </c>
      <c r="E1856" s="51" t="s">
        <v>90</v>
      </c>
      <c r="F1856" s="33">
        <v>2</v>
      </c>
      <c r="G1856" s="27">
        <f t="shared" si="36"/>
        <v>-2</v>
      </c>
      <c r="H1856" s="28" t="str">
        <f>VLOOKUP(E1856,'Cadastro Produtos (kiwkiw)'!C:E,3,0)</f>
        <v>Colar Dot Prateado</v>
      </c>
      <c r="AB1856" s="33" t="s">
        <v>1064</v>
      </c>
    </row>
    <row r="1857" spans="2:28" ht="15" customHeight="1" x14ac:dyDescent="0.4">
      <c r="C1857" s="34" t="s">
        <v>6</v>
      </c>
      <c r="D1857" s="35">
        <v>45985</v>
      </c>
      <c r="E1857" s="51" t="s">
        <v>113</v>
      </c>
      <c r="F1857" s="33">
        <v>1</v>
      </c>
      <c r="G1857" s="27">
        <f t="shared" si="36"/>
        <v>-1</v>
      </c>
      <c r="H1857" s="28" t="str">
        <f>VLOOKUP(E1857,'Cadastro Produtos (kiwkiw)'!C:E,3,0)</f>
        <v>Gargantilha Escama Prateada</v>
      </c>
      <c r="AB1857" s="33" t="s">
        <v>1064</v>
      </c>
    </row>
    <row r="1858" spans="2:28" ht="15" customHeight="1" x14ac:dyDescent="0.4">
      <c r="C1858" s="34" t="s">
        <v>6</v>
      </c>
      <c r="D1858" s="35">
        <v>45985</v>
      </c>
      <c r="E1858" s="51" t="s">
        <v>774</v>
      </c>
      <c r="F1858" s="33">
        <v>1</v>
      </c>
      <c r="G1858" s="27">
        <f t="shared" si="36"/>
        <v>-1</v>
      </c>
      <c r="H1858" s="28" t="str">
        <f>VLOOKUP(E1858,'Cadastro Produtos (kiwkiw)'!C:E,3,0)</f>
        <v>Brinco Leque Prateado</v>
      </c>
      <c r="AB1858" s="33" t="s">
        <v>1065</v>
      </c>
    </row>
    <row r="1859" spans="2:28" ht="15" customHeight="1" x14ac:dyDescent="0.4">
      <c r="C1859" s="34" t="s">
        <v>6</v>
      </c>
      <c r="D1859" s="35">
        <v>45985</v>
      </c>
      <c r="E1859" s="51" t="s">
        <v>36</v>
      </c>
      <c r="F1859" s="33">
        <v>1</v>
      </c>
      <c r="G1859" s="27">
        <f t="shared" si="36"/>
        <v>-1</v>
      </c>
      <c r="H1859" s="28" t="str">
        <f>VLOOKUP(E1859,'Cadastro Produtos (kiwkiw)'!C:E,3,0)</f>
        <v>Argola Classy Prateada</v>
      </c>
      <c r="AB1859" s="33" t="s">
        <v>1065</v>
      </c>
    </row>
    <row r="1860" spans="2:28" ht="15" customHeight="1" x14ac:dyDescent="0.4">
      <c r="C1860" s="34" t="s">
        <v>6</v>
      </c>
      <c r="D1860" s="35">
        <v>45985</v>
      </c>
      <c r="E1860" s="51" t="s">
        <v>62</v>
      </c>
      <c r="F1860" s="33">
        <v>1</v>
      </c>
      <c r="G1860" s="27">
        <f t="shared" si="36"/>
        <v>-1</v>
      </c>
      <c r="H1860" s="28" t="str">
        <f>VLOOKUP(E1860,'Cadastro Produtos (kiwkiw)'!C:E,3,0)</f>
        <v>Brinco Sol Banho Ouro</v>
      </c>
      <c r="AB1860" s="33" t="s">
        <v>1065</v>
      </c>
    </row>
    <row r="1861" spans="2:28" ht="15" customHeight="1" x14ac:dyDescent="0.4">
      <c r="B1861" s="43">
        <v>45986.429155092592</v>
      </c>
      <c r="C1861" s="34" t="s">
        <v>6</v>
      </c>
      <c r="D1861" s="35">
        <v>45986</v>
      </c>
      <c r="E1861" s="51" t="s">
        <v>40</v>
      </c>
      <c r="F1861" s="33">
        <v>1</v>
      </c>
      <c r="G1861" s="27">
        <f t="shared" si="36"/>
        <v>-1</v>
      </c>
      <c r="H1861" s="28" t="str">
        <f>VLOOKUP(E1861,'Cadastro Produtos (kiwkiw)'!C:E,3,0)</f>
        <v>Argolinha Folha Banho Ouro</v>
      </c>
      <c r="AB1861" s="33" t="s">
        <v>1066</v>
      </c>
    </row>
    <row r="1862" spans="2:28" ht="15" customHeight="1" x14ac:dyDescent="0.4">
      <c r="C1862" s="34" t="s">
        <v>6</v>
      </c>
      <c r="D1862" s="35">
        <v>45986</v>
      </c>
      <c r="E1862" s="51" t="s">
        <v>38</v>
      </c>
      <c r="F1862" s="33">
        <v>1</v>
      </c>
      <c r="G1862" s="27">
        <f t="shared" si="36"/>
        <v>-1</v>
      </c>
      <c r="H1862" s="28" t="str">
        <f>VLOOKUP(E1862,'Cadastro Produtos (kiwkiw)'!C:E,3,0)</f>
        <v>Argolinha Click Dots Banho Ouro</v>
      </c>
      <c r="AB1862" s="33" t="s">
        <v>1066</v>
      </c>
    </row>
    <row r="1863" spans="2:28" ht="15" customHeight="1" x14ac:dyDescent="0.4">
      <c r="C1863" s="34" t="s">
        <v>6</v>
      </c>
      <c r="D1863" s="35">
        <v>45986</v>
      </c>
      <c r="E1863" s="51" t="s">
        <v>777</v>
      </c>
      <c r="F1863" s="33">
        <v>1</v>
      </c>
      <c r="G1863" s="27">
        <f t="shared" si="36"/>
        <v>-1</v>
      </c>
      <c r="H1863" s="28" t="str">
        <f>VLOOKUP(E1863,'Cadastro Produtos (kiwkiw)'!C:E,3,0)</f>
        <v>Gargantilha Line Prateada</v>
      </c>
      <c r="AB1863" s="33" t="s">
        <v>1066</v>
      </c>
    </row>
    <row r="1864" spans="2:28" ht="15" customHeight="1" x14ac:dyDescent="0.4">
      <c r="C1864" s="34" t="s">
        <v>6</v>
      </c>
      <c r="D1864" s="35">
        <v>45986</v>
      </c>
      <c r="E1864" s="51" t="s">
        <v>108</v>
      </c>
      <c r="F1864" s="33">
        <v>1</v>
      </c>
      <c r="G1864" s="27">
        <f t="shared" si="36"/>
        <v>-1</v>
      </c>
      <c r="H1864" s="28" t="str">
        <f>VLOOKUP(E1864,'Cadastro Produtos (kiwkiw)'!C:E,3,0)</f>
        <v>Colar Line Banho Ouro</v>
      </c>
      <c r="AB1864" s="33" t="s">
        <v>1066</v>
      </c>
    </row>
    <row r="1865" spans="2:28" ht="15" customHeight="1" x14ac:dyDescent="0.4">
      <c r="C1865" s="34" t="s">
        <v>6</v>
      </c>
      <c r="D1865" s="35">
        <v>45986</v>
      </c>
      <c r="E1865" s="51" t="s">
        <v>121</v>
      </c>
      <c r="F1865" s="33">
        <v>1</v>
      </c>
      <c r="G1865" s="27">
        <f t="shared" si="36"/>
        <v>-1</v>
      </c>
      <c r="H1865" s="28" t="str">
        <f>VLOOKUP(E1865,'Cadastro Produtos (kiwkiw)'!C:E,3,0)</f>
        <v>Bracelete Wave Banho Ouro</v>
      </c>
      <c r="AB1865" s="33" t="s">
        <v>1066</v>
      </c>
    </row>
    <row r="1866" spans="2:28" ht="15" customHeight="1" x14ac:dyDescent="0.4">
      <c r="B1866" s="43">
        <v>45987.432222222225</v>
      </c>
      <c r="C1866" s="34" t="s">
        <v>6</v>
      </c>
      <c r="D1866" s="35">
        <v>45987</v>
      </c>
      <c r="E1866" s="51" t="s">
        <v>826</v>
      </c>
      <c r="F1866" s="33">
        <v>1</v>
      </c>
      <c r="G1866" s="27">
        <f t="shared" si="36"/>
        <v>-1</v>
      </c>
      <c r="H1866" s="28" t="str">
        <f>VLOOKUP(E1866,'Cadastro Produtos (kiwkiw)'!C:E,3,0)</f>
        <v>Pulseira Torcida Banho Ouro</v>
      </c>
      <c r="AB1866" s="33" t="s">
        <v>1067</v>
      </c>
    </row>
    <row r="1867" spans="2:28" ht="15" customHeight="1" x14ac:dyDescent="0.4">
      <c r="C1867" s="34" t="s">
        <v>6</v>
      </c>
      <c r="D1867" s="35">
        <v>45987</v>
      </c>
      <c r="E1867" s="51" t="s">
        <v>105</v>
      </c>
      <c r="F1867" s="33">
        <v>1</v>
      </c>
      <c r="G1867" s="27">
        <f t="shared" si="36"/>
        <v>-1</v>
      </c>
      <c r="H1867" s="28" t="str">
        <f>VLOOKUP(E1867,'Cadastro Produtos (kiwkiw)'!C:E,3,0)</f>
        <v>Colar Rosa Banho Ouro</v>
      </c>
      <c r="AB1867" s="33" t="s">
        <v>1067</v>
      </c>
    </row>
    <row r="1868" spans="2:28" ht="15" customHeight="1" x14ac:dyDescent="0.4">
      <c r="C1868" s="34" t="s">
        <v>6</v>
      </c>
      <c r="D1868" s="35">
        <v>45987</v>
      </c>
      <c r="E1868" s="51" t="s">
        <v>33</v>
      </c>
      <c r="F1868" s="33">
        <v>1</v>
      </c>
      <c r="G1868" s="27">
        <f t="shared" si="36"/>
        <v>-1</v>
      </c>
      <c r="H1868" s="28" t="str">
        <f>VLOOKUP(E1868,'Cadastro Produtos (kiwkiw)'!C:E,3,0)</f>
        <v>Argola Torcida Banho Ouro</v>
      </c>
      <c r="AB1868" s="33" t="s">
        <v>1067</v>
      </c>
    </row>
    <row r="1869" spans="2:28" ht="15" customHeight="1" x14ac:dyDescent="0.4">
      <c r="C1869" s="34" t="s">
        <v>6</v>
      </c>
      <c r="D1869" s="35">
        <v>45987</v>
      </c>
      <c r="E1869" s="51" t="s">
        <v>824</v>
      </c>
      <c r="F1869" s="33">
        <v>1</v>
      </c>
      <c r="G1869" s="27">
        <f t="shared" si="36"/>
        <v>-1</v>
      </c>
      <c r="H1869" s="28" t="str">
        <f>VLOOKUP(E1869,'Cadastro Produtos (kiwkiw)'!C:E,3,0)</f>
        <v>Pulseira Delicate Banho Ouro</v>
      </c>
      <c r="AB1869" s="33" t="s">
        <v>1067</v>
      </c>
    </row>
    <row r="1870" spans="2:28" ht="15" customHeight="1" x14ac:dyDescent="0.4">
      <c r="C1870" s="34" t="s">
        <v>6</v>
      </c>
      <c r="D1870" s="35">
        <v>45987</v>
      </c>
      <c r="E1870" s="51" t="s">
        <v>800</v>
      </c>
      <c r="F1870" s="33">
        <v>1</v>
      </c>
      <c r="G1870" s="27">
        <f t="shared" si="36"/>
        <v>-1</v>
      </c>
      <c r="H1870" s="28" t="str">
        <f>VLOOKUP(E1870,'Cadastro Produtos (kiwkiw)'!C:E,3,0)</f>
        <v>Gargantilha Groumet Banho Ouro</v>
      </c>
      <c r="AB1870" s="33" t="s">
        <v>1068</v>
      </c>
    </row>
    <row r="1871" spans="2:28" ht="15" customHeight="1" x14ac:dyDescent="0.4">
      <c r="C1871" s="34" t="s">
        <v>6</v>
      </c>
      <c r="D1871" s="35">
        <v>45987</v>
      </c>
      <c r="E1871" s="51" t="s">
        <v>801</v>
      </c>
      <c r="F1871" s="33">
        <v>1</v>
      </c>
      <c r="G1871" s="27">
        <f t="shared" si="36"/>
        <v>-1</v>
      </c>
      <c r="H1871" s="28" t="str">
        <f>VLOOKUP(E1871,'Cadastro Produtos (kiwkiw)'!C:E,3,0)</f>
        <v>Gargantilha Line Banho Ouro</v>
      </c>
      <c r="AB1871" s="33" t="s">
        <v>1068</v>
      </c>
    </row>
    <row r="1872" spans="2:28" ht="15" customHeight="1" x14ac:dyDescent="0.4">
      <c r="B1872" s="43">
        <v>45988.426064814812</v>
      </c>
      <c r="C1872" s="34" t="s">
        <v>6</v>
      </c>
      <c r="D1872" s="35">
        <v>45988</v>
      </c>
      <c r="E1872" s="51" t="s">
        <v>775</v>
      </c>
      <c r="F1872" s="33">
        <v>1</v>
      </c>
      <c r="G1872" s="27">
        <f t="shared" si="36"/>
        <v>-1</v>
      </c>
      <c r="H1872" s="28" t="str">
        <f>VLOOKUP(E1872,'Cadastro Produtos (kiwkiw)'!C:E,3,0)</f>
        <v>Ear Hook Organico Prateado</v>
      </c>
      <c r="AB1872" s="33" t="s">
        <v>1069</v>
      </c>
    </row>
    <row r="1873" spans="2:28" ht="15" customHeight="1" x14ac:dyDescent="0.4">
      <c r="C1873" s="34" t="s">
        <v>6</v>
      </c>
      <c r="D1873" s="35">
        <v>45988</v>
      </c>
      <c r="E1873" s="51" t="s">
        <v>73</v>
      </c>
      <c r="F1873" s="33">
        <v>1</v>
      </c>
      <c r="G1873" s="27">
        <f t="shared" si="36"/>
        <v>-1</v>
      </c>
      <c r="H1873" s="28" t="str">
        <f>VLOOKUP(E1873,'Cadastro Produtos (kiwkiw)'!C:E,3,0)</f>
        <v>Ear Hook Line Prateado</v>
      </c>
      <c r="AB1873" s="33" t="s">
        <v>1069</v>
      </c>
    </row>
    <row r="1874" spans="2:28" ht="15" customHeight="1" x14ac:dyDescent="0.4">
      <c r="C1874" s="34" t="s">
        <v>6</v>
      </c>
      <c r="D1874" s="35">
        <v>45988</v>
      </c>
      <c r="E1874" s="51" t="s">
        <v>73</v>
      </c>
      <c r="F1874" s="33">
        <v>1</v>
      </c>
      <c r="G1874" s="27">
        <f t="shared" ref="G1874:G1890" si="37">IF(C1874="Entrada",F1874,-F1874)</f>
        <v>-1</v>
      </c>
      <c r="H1874" s="28" t="str">
        <f>VLOOKUP(E1874,'Cadastro Produtos (kiwkiw)'!C:E,3,0)</f>
        <v>Ear Hook Line Prateado</v>
      </c>
      <c r="AB1874" s="33" t="s">
        <v>1070</v>
      </c>
    </row>
    <row r="1875" spans="2:28" ht="15" customHeight="1" x14ac:dyDescent="0.4">
      <c r="C1875" s="34" t="s">
        <v>6</v>
      </c>
      <c r="D1875" s="35">
        <v>45988</v>
      </c>
      <c r="E1875" s="51" t="s">
        <v>58</v>
      </c>
      <c r="F1875" s="33">
        <v>2</v>
      </c>
      <c r="G1875" s="27">
        <f t="shared" si="37"/>
        <v>-2</v>
      </c>
      <c r="H1875" s="28" t="str">
        <f>VLOOKUP(E1875,'Cadastro Produtos (kiwkiw)'!C:E,3,0)</f>
        <v>Brinco Mini Triangulo Prateado</v>
      </c>
      <c r="AB1875" s="33" t="s">
        <v>1069</v>
      </c>
    </row>
    <row r="1876" spans="2:28" ht="15" customHeight="1" x14ac:dyDescent="0.4">
      <c r="C1876" s="34" t="s">
        <v>6</v>
      </c>
      <c r="D1876" s="35">
        <v>45988</v>
      </c>
      <c r="E1876" s="51" t="s">
        <v>796</v>
      </c>
      <c r="F1876" s="33">
        <v>1</v>
      </c>
      <c r="G1876" s="27">
        <f t="shared" si="37"/>
        <v>-1</v>
      </c>
      <c r="H1876" s="28" t="str">
        <f>VLOOKUP(E1876,'Cadastro Produtos (kiwkiw)'!C:E,3,0)</f>
        <v>Colar Longo Minimal Banho Ouro</v>
      </c>
      <c r="AB1876" s="33" t="s">
        <v>1070</v>
      </c>
    </row>
    <row r="1877" spans="2:28" ht="15" customHeight="1" x14ac:dyDescent="0.4">
      <c r="C1877" s="34" t="s">
        <v>6</v>
      </c>
      <c r="D1877" s="35">
        <v>45988</v>
      </c>
      <c r="E1877" s="51" t="s">
        <v>114</v>
      </c>
      <c r="F1877" s="33">
        <v>2</v>
      </c>
      <c r="G1877" s="27">
        <f t="shared" si="37"/>
        <v>-2</v>
      </c>
      <c r="H1877" s="28" t="str">
        <f>VLOOKUP(E1877,'Cadastro Produtos (kiwkiw)'!C:E,3,0)</f>
        <v>Gargantilha Fita Banho Ouro</v>
      </c>
      <c r="AB1877" s="33" t="s">
        <v>1070</v>
      </c>
    </row>
    <row r="1878" spans="2:28" ht="15" customHeight="1" x14ac:dyDescent="0.4">
      <c r="C1878" s="34" t="s">
        <v>6</v>
      </c>
      <c r="D1878" s="35">
        <v>45988</v>
      </c>
      <c r="E1878" s="51" t="s">
        <v>97</v>
      </c>
      <c r="F1878" s="33">
        <v>1</v>
      </c>
      <c r="G1878" s="27">
        <f t="shared" si="37"/>
        <v>-1</v>
      </c>
      <c r="H1878" s="28" t="str">
        <f>VLOOKUP(E1878,'Cadastro Produtos (kiwkiw)'!C:E,3,0)</f>
        <v>Colar Duplo Minimal Prateado</v>
      </c>
      <c r="AB1878" s="33" t="s">
        <v>1070</v>
      </c>
    </row>
    <row r="1879" spans="2:28" ht="15" customHeight="1" x14ac:dyDescent="0.4">
      <c r="C1879" s="34" t="s">
        <v>6</v>
      </c>
      <c r="D1879" s="35">
        <v>45988</v>
      </c>
      <c r="E1879" s="51" t="s">
        <v>45</v>
      </c>
      <c r="F1879" s="33">
        <v>1</v>
      </c>
      <c r="G1879" s="27">
        <f t="shared" si="37"/>
        <v>-1</v>
      </c>
      <c r="H1879" s="28" t="str">
        <f>VLOOKUP(E1879,'Cadastro Produtos (kiwkiw)'!C:E,3,0)</f>
        <v>Brinco Bubble Medio Banho Ouro</v>
      </c>
      <c r="AB1879" s="33" t="s">
        <v>1070</v>
      </c>
    </row>
    <row r="1880" spans="2:28" ht="15" customHeight="1" x14ac:dyDescent="0.4">
      <c r="C1880" s="34" t="s">
        <v>6</v>
      </c>
      <c r="D1880" s="35">
        <v>45988</v>
      </c>
      <c r="E1880" s="51" t="s">
        <v>104</v>
      </c>
      <c r="F1880" s="33">
        <v>1</v>
      </c>
      <c r="G1880" s="27">
        <f t="shared" si="37"/>
        <v>-1</v>
      </c>
      <c r="H1880" s="28" t="str">
        <f>VLOOKUP(E1880,'Cadastro Produtos (kiwkiw)'!C:E,3,0)</f>
        <v>Colar Ivy Prateado</v>
      </c>
      <c r="AB1880" s="33" t="s">
        <v>1070</v>
      </c>
    </row>
    <row r="1881" spans="2:28" ht="15" customHeight="1" x14ac:dyDescent="0.4">
      <c r="C1881" s="34" t="s">
        <v>6</v>
      </c>
      <c r="D1881" s="35">
        <v>45988</v>
      </c>
      <c r="E1881" s="51" t="s">
        <v>59</v>
      </c>
      <c r="F1881" s="33">
        <v>1</v>
      </c>
      <c r="G1881" s="27">
        <f t="shared" si="37"/>
        <v>-1</v>
      </c>
      <c r="H1881" s="28" t="str">
        <f>VLOOKUP(E1881,'Cadastro Produtos (kiwkiw)'!C:E,3,0)</f>
        <v>Brinco Oncinha Banho Ouro</v>
      </c>
      <c r="AB1881" s="33" t="s">
        <v>1070</v>
      </c>
    </row>
    <row r="1882" spans="2:28" ht="15" customHeight="1" x14ac:dyDescent="0.4">
      <c r="C1882" s="34" t="s">
        <v>6</v>
      </c>
      <c r="D1882" s="35">
        <v>45988</v>
      </c>
      <c r="E1882" s="51" t="s">
        <v>55</v>
      </c>
      <c r="F1882" s="33">
        <v>1</v>
      </c>
      <c r="G1882" s="27">
        <f t="shared" si="37"/>
        <v>-1</v>
      </c>
      <c r="H1882" s="28" t="str">
        <f>VLOOKUP(E1882,'Cadastro Produtos (kiwkiw)'!C:E,3,0)</f>
        <v>Brinco Ivy Prateado</v>
      </c>
      <c r="AB1882" s="33" t="s">
        <v>1070</v>
      </c>
    </row>
    <row r="1883" spans="2:28" ht="15" customHeight="1" x14ac:dyDescent="0.4">
      <c r="C1883" s="34" t="s">
        <v>6</v>
      </c>
      <c r="D1883" s="35">
        <v>45988</v>
      </c>
      <c r="E1883" s="51" t="s">
        <v>22</v>
      </c>
      <c r="F1883" s="33">
        <v>1</v>
      </c>
      <c r="G1883" s="27">
        <f t="shared" si="37"/>
        <v>-1</v>
      </c>
      <c r="H1883" s="28" t="str">
        <f>VLOOKUP(E1883,'Cadastro Produtos (kiwkiw)'!C:E,3,0)</f>
        <v>Argola Bold Grande Banho Ouro</v>
      </c>
      <c r="AB1883" s="33" t="s">
        <v>1070</v>
      </c>
    </row>
    <row r="1884" spans="2:28" ht="15" customHeight="1" x14ac:dyDescent="0.4">
      <c r="C1884" s="34" t="s">
        <v>6</v>
      </c>
      <c r="D1884" s="35">
        <v>45988</v>
      </c>
      <c r="E1884" s="51" t="s">
        <v>778</v>
      </c>
      <c r="F1884" s="33">
        <v>1</v>
      </c>
      <c r="G1884" s="27">
        <f t="shared" si="37"/>
        <v>-1</v>
      </c>
      <c r="H1884" s="28" t="str">
        <f>VLOOKUP(E1884,'Cadastro Produtos (kiwkiw)'!C:E,3,0)</f>
        <v>Piercing Fake No Prateado</v>
      </c>
      <c r="AB1884" s="33" t="s">
        <v>1070</v>
      </c>
    </row>
    <row r="1885" spans="2:28" ht="15" customHeight="1" x14ac:dyDescent="0.4">
      <c r="C1885" s="34" t="s">
        <v>6</v>
      </c>
      <c r="D1885" s="35">
        <v>45988</v>
      </c>
      <c r="E1885" s="51" t="s">
        <v>771</v>
      </c>
      <c r="F1885" s="33">
        <v>1</v>
      </c>
      <c r="G1885" s="27">
        <f t="shared" si="37"/>
        <v>-1</v>
      </c>
      <c r="H1885" s="28" t="str">
        <f>VLOOKUP(E1885,'Cadastro Produtos (kiwkiw)'!C:E,3,0)</f>
        <v>Brinco Organico Prateado</v>
      </c>
      <c r="AB1885" s="33" t="s">
        <v>1070</v>
      </c>
    </row>
    <row r="1886" spans="2:28" ht="15" customHeight="1" x14ac:dyDescent="0.4">
      <c r="B1886" s="43">
        <v>45989.433611111112</v>
      </c>
      <c r="C1886" s="34" t="s">
        <v>6</v>
      </c>
      <c r="D1886" s="35">
        <v>45989</v>
      </c>
      <c r="E1886" s="51" t="s">
        <v>796</v>
      </c>
      <c r="F1886" s="33">
        <v>1</v>
      </c>
      <c r="G1886" s="27">
        <f t="shared" si="37"/>
        <v>-1</v>
      </c>
      <c r="H1886" s="28" t="str">
        <f>VLOOKUP(E1886,'Cadastro Produtos (kiwkiw)'!C:E,3,0)</f>
        <v>Colar Longo Minimal Banho Ouro</v>
      </c>
      <c r="AB1886" s="33" t="s">
        <v>1071</v>
      </c>
    </row>
    <row r="1887" spans="2:28" ht="15" customHeight="1" x14ac:dyDescent="0.4">
      <c r="C1887" s="34" t="s">
        <v>6</v>
      </c>
      <c r="D1887" s="35">
        <v>45989</v>
      </c>
      <c r="E1887" s="51" t="s">
        <v>801</v>
      </c>
      <c r="F1887" s="33">
        <v>1</v>
      </c>
      <c r="G1887" s="27">
        <f t="shared" si="37"/>
        <v>-1</v>
      </c>
      <c r="H1887" s="28" t="str">
        <f>VLOOKUP(E1887,'Cadastro Produtos (kiwkiw)'!C:E,3,0)</f>
        <v>Gargantilha Line Banho Ouro</v>
      </c>
      <c r="AB1887" s="33" t="s">
        <v>1072</v>
      </c>
    </row>
    <row r="1888" spans="2:28" ht="15" customHeight="1" x14ac:dyDescent="0.4">
      <c r="C1888" s="34" t="s">
        <v>6</v>
      </c>
      <c r="D1888" s="35">
        <v>45989</v>
      </c>
      <c r="E1888" s="51" t="s">
        <v>801</v>
      </c>
      <c r="F1888" s="33">
        <v>1</v>
      </c>
      <c r="G1888" s="27">
        <f t="shared" si="37"/>
        <v>-1</v>
      </c>
      <c r="H1888" s="28" t="str">
        <f>VLOOKUP(E1888,'Cadastro Produtos (kiwkiw)'!C:E,3,0)</f>
        <v>Gargantilha Line Banho Ouro</v>
      </c>
      <c r="AB1888" s="33" t="s">
        <v>1073</v>
      </c>
    </row>
    <row r="1889" spans="2:28" ht="15" customHeight="1" x14ac:dyDescent="0.4">
      <c r="C1889" s="34" t="s">
        <v>6</v>
      </c>
      <c r="D1889" s="35">
        <v>45989</v>
      </c>
      <c r="E1889" s="51" t="s">
        <v>780</v>
      </c>
      <c r="F1889" s="33">
        <v>1</v>
      </c>
      <c r="G1889" s="27">
        <f t="shared" si="37"/>
        <v>-1</v>
      </c>
      <c r="H1889" s="28" t="str">
        <f>VLOOKUP(E1889,'Cadastro Produtos (kiwkiw)'!C:E,3,0)</f>
        <v>Gargantilha Crystal Banho Ouro</v>
      </c>
      <c r="AB1889" s="33" t="s">
        <v>1072</v>
      </c>
    </row>
    <row r="1890" spans="2:28" ht="15" customHeight="1" x14ac:dyDescent="0.4">
      <c r="C1890" s="34" t="s">
        <v>6</v>
      </c>
      <c r="D1890" s="35">
        <v>45989</v>
      </c>
      <c r="E1890" s="51" t="s">
        <v>822</v>
      </c>
      <c r="F1890" s="33">
        <v>1</v>
      </c>
      <c r="G1890" s="27">
        <f t="shared" si="37"/>
        <v>-1</v>
      </c>
      <c r="H1890" s="28" t="str">
        <f>VLOOKUP(E1890,'Cadastro Produtos (kiwkiw)'!C:E,3,0)</f>
        <v>Gargantilha Pearl Banho Ouro</v>
      </c>
      <c r="AB1890" s="33" t="s">
        <v>1072</v>
      </c>
    </row>
    <row r="1891" spans="2:28" ht="15" customHeight="1" x14ac:dyDescent="0.4">
      <c r="C1891" s="34" t="s">
        <v>6</v>
      </c>
      <c r="D1891" s="35">
        <v>45989</v>
      </c>
      <c r="E1891" s="51" t="s">
        <v>114</v>
      </c>
      <c r="F1891" s="33">
        <v>1</v>
      </c>
      <c r="G1891" s="27">
        <f t="shared" ref="G1891:G1910" si="38">IF(C1891="Entrada",F1891,-F1891)</f>
        <v>-1</v>
      </c>
      <c r="H1891" s="28" t="str">
        <f>VLOOKUP(E1891,'Cadastro Produtos (kiwkiw)'!C:E,3,0)</f>
        <v>Gargantilha Fita Banho Ouro</v>
      </c>
      <c r="AB1891" s="33" t="s">
        <v>1073</v>
      </c>
    </row>
    <row r="1892" spans="2:28" ht="15" customHeight="1" x14ac:dyDescent="0.4">
      <c r="C1892" s="34" t="s">
        <v>6</v>
      </c>
      <c r="D1892" s="35">
        <v>45989</v>
      </c>
      <c r="E1892" s="51" t="s">
        <v>823</v>
      </c>
      <c r="F1892" s="33">
        <v>1</v>
      </c>
      <c r="G1892" s="27">
        <f t="shared" si="38"/>
        <v>-1</v>
      </c>
      <c r="H1892" s="28" t="str">
        <f>VLOOKUP(E1892,'Cadastro Produtos (kiwkiw)'!C:E,3,0)</f>
        <v>Meia Argola Wave Banho Ouro</v>
      </c>
      <c r="AB1892" s="33" t="s">
        <v>1073</v>
      </c>
    </row>
    <row r="1893" spans="2:28" ht="15" customHeight="1" x14ac:dyDescent="0.4">
      <c r="B1893" s="43">
        <v>45992.436736111114</v>
      </c>
      <c r="C1893" s="34" t="s">
        <v>6</v>
      </c>
      <c r="D1893" s="35">
        <v>45992</v>
      </c>
      <c r="E1893" s="51" t="s">
        <v>117</v>
      </c>
      <c r="F1893" s="33">
        <v>1</v>
      </c>
      <c r="G1893" s="27">
        <f t="shared" si="38"/>
        <v>-1</v>
      </c>
      <c r="H1893" s="28" t="str">
        <f>VLOOKUP(E1893,'Cadastro Produtos (kiwkiw)'!C:E,3,0)</f>
        <v>Gargantilha Minimal Banho Ouro</v>
      </c>
      <c r="AB1893" s="33" t="s">
        <v>1074</v>
      </c>
    </row>
    <row r="1894" spans="2:28" ht="15" customHeight="1" x14ac:dyDescent="0.4">
      <c r="C1894" s="34" t="s">
        <v>6</v>
      </c>
      <c r="D1894" s="35">
        <v>45992</v>
      </c>
      <c r="E1894" s="51" t="s">
        <v>117</v>
      </c>
      <c r="F1894" s="33">
        <v>1</v>
      </c>
      <c r="G1894" s="27">
        <f t="shared" si="38"/>
        <v>-1</v>
      </c>
      <c r="H1894" s="28" t="str">
        <f>VLOOKUP(E1894,'Cadastro Produtos (kiwkiw)'!C:E,3,0)</f>
        <v>Gargantilha Minimal Banho Ouro</v>
      </c>
      <c r="AB1894" s="33" t="s">
        <v>1075</v>
      </c>
    </row>
    <row r="1895" spans="2:28" ht="15" customHeight="1" x14ac:dyDescent="0.4">
      <c r="C1895" s="34" t="s">
        <v>6</v>
      </c>
      <c r="D1895" s="35">
        <v>45992</v>
      </c>
      <c r="E1895" s="51" t="s">
        <v>117</v>
      </c>
      <c r="F1895" s="33">
        <v>1</v>
      </c>
      <c r="G1895" s="27">
        <f t="shared" si="38"/>
        <v>-1</v>
      </c>
      <c r="H1895" s="28" t="str">
        <f>VLOOKUP(E1895,'Cadastro Produtos (kiwkiw)'!C:E,3,0)</f>
        <v>Gargantilha Minimal Banho Ouro</v>
      </c>
      <c r="AB1895" s="33" t="s">
        <v>1076</v>
      </c>
    </row>
    <row r="1896" spans="2:28" ht="15" customHeight="1" x14ac:dyDescent="0.4">
      <c r="C1896" s="34" t="s">
        <v>6</v>
      </c>
      <c r="D1896" s="35">
        <v>45992</v>
      </c>
      <c r="E1896" s="51" t="s">
        <v>94</v>
      </c>
      <c r="F1896" s="33">
        <v>1</v>
      </c>
      <c r="G1896" s="27">
        <f t="shared" si="38"/>
        <v>-1</v>
      </c>
      <c r="H1896" s="28" t="str">
        <f>VLOOKUP(E1896,'Cadastro Produtos (kiwkiw)'!C:E,3,0)</f>
        <v>Colar Duplo Dots Banho Ouro</v>
      </c>
      <c r="AB1896" s="33" t="s">
        <v>1077</v>
      </c>
    </row>
    <row r="1897" spans="2:28" ht="15" customHeight="1" x14ac:dyDescent="0.4">
      <c r="C1897" s="34" t="s">
        <v>6</v>
      </c>
      <c r="D1897" s="35">
        <v>45992</v>
      </c>
      <c r="E1897" s="51" t="s">
        <v>94</v>
      </c>
      <c r="F1897" s="33">
        <v>1</v>
      </c>
      <c r="G1897" s="27">
        <f t="shared" si="38"/>
        <v>-1</v>
      </c>
      <c r="H1897" s="28" t="str">
        <f>VLOOKUP(E1897,'Cadastro Produtos (kiwkiw)'!C:E,3,0)</f>
        <v>Colar Duplo Dots Banho Ouro</v>
      </c>
      <c r="AB1897" s="33" t="s">
        <v>1078</v>
      </c>
    </row>
    <row r="1898" spans="2:28" ht="15" customHeight="1" x14ac:dyDescent="0.4">
      <c r="C1898" s="34" t="s">
        <v>6</v>
      </c>
      <c r="D1898" s="35">
        <v>45992</v>
      </c>
      <c r="E1898" s="51" t="s">
        <v>94</v>
      </c>
      <c r="F1898" s="33">
        <v>1</v>
      </c>
      <c r="G1898" s="27">
        <f t="shared" si="38"/>
        <v>-1</v>
      </c>
      <c r="H1898" s="28" t="str">
        <f>VLOOKUP(E1898,'Cadastro Produtos (kiwkiw)'!C:E,3,0)</f>
        <v>Colar Duplo Dots Banho Ouro</v>
      </c>
      <c r="AB1898" s="33" t="s">
        <v>1079</v>
      </c>
    </row>
    <row r="1899" spans="2:28" ht="15" customHeight="1" x14ac:dyDescent="0.4">
      <c r="C1899" s="34" t="s">
        <v>6</v>
      </c>
      <c r="D1899" s="35">
        <v>45992</v>
      </c>
      <c r="E1899" s="51" t="s">
        <v>116</v>
      </c>
      <c r="F1899" s="33">
        <v>1</v>
      </c>
      <c r="G1899" s="27">
        <f t="shared" si="38"/>
        <v>-1</v>
      </c>
      <c r="H1899" s="28" t="str">
        <f>VLOOKUP(E1899,'Cadastro Produtos (kiwkiw)'!C:E,3,0)</f>
        <v>Gargantilha Dots Banho Ouro</v>
      </c>
      <c r="AB1899" s="33" t="s">
        <v>1080</v>
      </c>
    </row>
    <row r="1900" spans="2:28" ht="15" customHeight="1" x14ac:dyDescent="0.4">
      <c r="C1900" s="34" t="s">
        <v>6</v>
      </c>
      <c r="D1900" s="35">
        <v>45992</v>
      </c>
      <c r="E1900" s="51" t="s">
        <v>116</v>
      </c>
      <c r="F1900" s="33">
        <v>1</v>
      </c>
      <c r="G1900" s="27">
        <f t="shared" si="38"/>
        <v>-1</v>
      </c>
      <c r="H1900" s="28" t="str">
        <f>VLOOKUP(E1900,'Cadastro Produtos (kiwkiw)'!C:E,3,0)</f>
        <v>Gargantilha Dots Banho Ouro</v>
      </c>
      <c r="AB1900" s="33" t="s">
        <v>1081</v>
      </c>
    </row>
    <row r="1901" spans="2:28" ht="15" customHeight="1" x14ac:dyDescent="0.4">
      <c r="C1901" s="34" t="s">
        <v>6</v>
      </c>
      <c r="D1901" s="35">
        <v>45992</v>
      </c>
      <c r="E1901" s="51" t="s">
        <v>26</v>
      </c>
      <c r="F1901" s="33">
        <v>1</v>
      </c>
      <c r="G1901" s="27">
        <f t="shared" si="38"/>
        <v>-1</v>
      </c>
      <c r="H1901" s="28" t="str">
        <f>VLOOKUP(E1901,'Cadastro Produtos (kiwkiw)'!C:E,3,0)</f>
        <v>Argola Click Grande Banho Ouro</v>
      </c>
      <c r="AB1901" s="33" t="s">
        <v>1078</v>
      </c>
    </row>
    <row r="1902" spans="2:28" ht="15" customHeight="1" x14ac:dyDescent="0.4">
      <c r="C1902" s="34" t="s">
        <v>6</v>
      </c>
      <c r="D1902" s="35">
        <v>45992</v>
      </c>
      <c r="E1902" s="51" t="s">
        <v>26</v>
      </c>
      <c r="F1902" s="33">
        <v>1</v>
      </c>
      <c r="G1902" s="27">
        <f t="shared" si="38"/>
        <v>-1</v>
      </c>
      <c r="H1902" s="28" t="str">
        <f>VLOOKUP(E1902,'Cadastro Produtos (kiwkiw)'!C:E,3,0)</f>
        <v>Argola Click Grande Banho Ouro</v>
      </c>
      <c r="AB1902" s="33" t="s">
        <v>1082</v>
      </c>
    </row>
    <row r="1903" spans="2:28" ht="15" customHeight="1" x14ac:dyDescent="0.4">
      <c r="C1903" s="34" t="s">
        <v>6</v>
      </c>
      <c r="D1903" s="35">
        <v>45992</v>
      </c>
      <c r="E1903" s="51" t="s">
        <v>38</v>
      </c>
      <c r="F1903" s="33">
        <v>1</v>
      </c>
      <c r="G1903" s="27">
        <f t="shared" si="38"/>
        <v>-1</v>
      </c>
      <c r="H1903" s="28" t="str">
        <f>VLOOKUP(E1903,'Cadastro Produtos (kiwkiw)'!C:E,3,0)</f>
        <v>Argolinha Click Dots Banho Ouro</v>
      </c>
      <c r="AB1903" s="33" t="s">
        <v>1078</v>
      </c>
    </row>
    <row r="1904" spans="2:28" ht="15" customHeight="1" x14ac:dyDescent="0.4">
      <c r="C1904" s="34" t="s">
        <v>6</v>
      </c>
      <c r="D1904" s="35">
        <v>45992</v>
      </c>
      <c r="E1904" s="51" t="s">
        <v>38</v>
      </c>
      <c r="F1904" s="33">
        <v>1</v>
      </c>
      <c r="G1904" s="27">
        <f t="shared" si="38"/>
        <v>-1</v>
      </c>
      <c r="H1904" s="28" t="str">
        <f>VLOOKUP(E1904,'Cadastro Produtos (kiwkiw)'!C:E,3,0)</f>
        <v>Argolinha Click Dots Banho Ouro</v>
      </c>
      <c r="AB1904" s="33" t="s">
        <v>1083</v>
      </c>
    </row>
    <row r="1905" spans="3:28" ht="15" customHeight="1" x14ac:dyDescent="0.4">
      <c r="C1905" s="34" t="s">
        <v>6</v>
      </c>
      <c r="D1905" s="35">
        <v>45992</v>
      </c>
      <c r="E1905" s="51" t="s">
        <v>38</v>
      </c>
      <c r="F1905" s="33">
        <v>1</v>
      </c>
      <c r="G1905" s="27">
        <f t="shared" si="38"/>
        <v>-1</v>
      </c>
      <c r="H1905" s="28" t="str">
        <f>VLOOKUP(E1905,'Cadastro Produtos (kiwkiw)'!C:E,3,0)</f>
        <v>Argolinha Click Dots Banho Ouro</v>
      </c>
      <c r="AB1905" s="33" t="s">
        <v>1082</v>
      </c>
    </row>
    <row r="1906" spans="3:28" ht="15" customHeight="1" x14ac:dyDescent="0.4">
      <c r="C1906" s="34" t="s">
        <v>6</v>
      </c>
      <c r="D1906" s="35">
        <v>45992</v>
      </c>
      <c r="E1906" s="51" t="s">
        <v>33</v>
      </c>
      <c r="F1906" s="33">
        <v>1</v>
      </c>
      <c r="G1906" s="27">
        <f t="shared" si="38"/>
        <v>-1</v>
      </c>
      <c r="H1906" s="28" t="str">
        <f>VLOOKUP(E1906,'Cadastro Produtos (kiwkiw)'!C:E,3,0)</f>
        <v>Argola Torcida Banho Ouro</v>
      </c>
      <c r="AB1906" s="33" t="s">
        <v>1083</v>
      </c>
    </row>
    <row r="1907" spans="3:28" ht="15" customHeight="1" x14ac:dyDescent="0.4">
      <c r="C1907" s="34" t="s">
        <v>6</v>
      </c>
      <c r="D1907" s="35">
        <v>45992</v>
      </c>
      <c r="E1907" s="51" t="s">
        <v>797</v>
      </c>
      <c r="F1907" s="33">
        <v>1</v>
      </c>
      <c r="G1907" s="27">
        <f t="shared" si="38"/>
        <v>-1</v>
      </c>
      <c r="H1907" s="28" t="str">
        <f>VLOOKUP(E1907,'Cadastro Produtos (kiwkiw)'!C:E,3,0)</f>
        <v>Colar Ponto de Luz Banho Ouro</v>
      </c>
      <c r="AB1907" s="33" t="s">
        <v>1083</v>
      </c>
    </row>
    <row r="1908" spans="3:28" ht="15" customHeight="1" x14ac:dyDescent="0.4">
      <c r="C1908" s="34" t="s">
        <v>6</v>
      </c>
      <c r="D1908" s="35">
        <v>45992</v>
      </c>
      <c r="E1908" s="51" t="s">
        <v>797</v>
      </c>
      <c r="F1908" s="33">
        <v>1</v>
      </c>
      <c r="G1908" s="27">
        <f t="shared" si="38"/>
        <v>-1</v>
      </c>
      <c r="H1908" s="28" t="str">
        <f>VLOOKUP(E1908,'Cadastro Produtos (kiwkiw)'!C:E,3,0)</f>
        <v>Colar Ponto de Luz Banho Ouro</v>
      </c>
      <c r="AB1908" s="33" t="s">
        <v>1084</v>
      </c>
    </row>
    <row r="1909" spans="3:28" ht="15" customHeight="1" x14ac:dyDescent="0.4">
      <c r="C1909" s="34" t="s">
        <v>6</v>
      </c>
      <c r="D1909" s="35">
        <v>45992</v>
      </c>
      <c r="E1909" s="51" t="s">
        <v>773</v>
      </c>
      <c r="F1909" s="33">
        <v>1</v>
      </c>
      <c r="G1909" s="27">
        <f t="shared" si="38"/>
        <v>-1</v>
      </c>
      <c r="H1909" s="28" t="str">
        <f>VLOOKUP(E1909,'Cadastro Produtos (kiwkiw)'!C:E,3,0)</f>
        <v>Brinco Boho Prateado</v>
      </c>
      <c r="AB1909" s="33" t="s">
        <v>1083</v>
      </c>
    </row>
    <row r="1910" spans="3:28" ht="15" customHeight="1" x14ac:dyDescent="0.4">
      <c r="C1910" s="34" t="s">
        <v>6</v>
      </c>
      <c r="D1910" s="35">
        <v>45992</v>
      </c>
      <c r="E1910" s="51" t="s">
        <v>773</v>
      </c>
      <c r="F1910" s="33">
        <v>1</v>
      </c>
      <c r="G1910" s="27">
        <f t="shared" si="38"/>
        <v>-1</v>
      </c>
      <c r="H1910" s="28" t="str">
        <f>VLOOKUP(E1910,'Cadastro Produtos (kiwkiw)'!C:E,3,0)</f>
        <v>Brinco Boho Prateado</v>
      </c>
      <c r="AB1910" s="33" t="s">
        <v>1084</v>
      </c>
    </row>
    <row r="1911" spans="3:28" ht="15" customHeight="1" x14ac:dyDescent="0.4">
      <c r="C1911" s="34" t="s">
        <v>6</v>
      </c>
      <c r="D1911" s="35">
        <v>45992</v>
      </c>
      <c r="E1911" s="51" t="s">
        <v>90</v>
      </c>
      <c r="F1911" s="33">
        <v>1</v>
      </c>
      <c r="G1911" s="27">
        <f t="shared" ref="G1911:G1974" si="39">IF(C1911="Entrada",F1911,-F1911)</f>
        <v>-1</v>
      </c>
      <c r="H1911" s="28" t="str">
        <f>VLOOKUP(E1911,'Cadastro Produtos (kiwkiw)'!C:E,3,0)</f>
        <v>Colar Dot Prateado</v>
      </c>
      <c r="AB1911" s="33" t="s">
        <v>1084</v>
      </c>
    </row>
    <row r="1912" spans="3:28" ht="15" customHeight="1" x14ac:dyDescent="0.4">
      <c r="C1912" s="34" t="s">
        <v>6</v>
      </c>
      <c r="D1912" s="35">
        <v>45992</v>
      </c>
      <c r="E1912" s="51" t="s">
        <v>90</v>
      </c>
      <c r="F1912" s="33">
        <v>1</v>
      </c>
      <c r="G1912" s="27">
        <f t="shared" si="39"/>
        <v>-1</v>
      </c>
      <c r="H1912" s="28" t="str">
        <f>VLOOKUP(E1912,'Cadastro Produtos (kiwkiw)'!C:E,3,0)</f>
        <v>Colar Dot Prateado</v>
      </c>
      <c r="AB1912" s="33" t="s">
        <v>1075</v>
      </c>
    </row>
    <row r="1913" spans="3:28" ht="15" customHeight="1" x14ac:dyDescent="0.4">
      <c r="C1913" s="34" t="s">
        <v>6</v>
      </c>
      <c r="D1913" s="35">
        <v>45992</v>
      </c>
      <c r="E1913" s="51" t="s">
        <v>814</v>
      </c>
      <c r="F1913" s="33">
        <v>1</v>
      </c>
      <c r="G1913" s="27">
        <f t="shared" si="39"/>
        <v>-1</v>
      </c>
      <c r="H1913" s="28" t="str">
        <f>VLOOKUP(E1913,'Cadastro Produtos (kiwkiw)'!C:E,3,0)</f>
        <v>Brinco Ponto de Luz Banho Ouro</v>
      </c>
      <c r="AB1913" s="33" t="s">
        <v>1084</v>
      </c>
    </row>
    <row r="1914" spans="3:28" ht="15" customHeight="1" x14ac:dyDescent="0.4">
      <c r="C1914" s="34" t="s">
        <v>6</v>
      </c>
      <c r="D1914" s="35">
        <v>45992</v>
      </c>
      <c r="E1914" s="51" t="s">
        <v>61</v>
      </c>
      <c r="F1914" s="33">
        <v>1</v>
      </c>
      <c r="G1914" s="27">
        <f t="shared" si="39"/>
        <v>-1</v>
      </c>
      <c r="H1914" s="28" t="str">
        <f>VLOOKUP(E1914,'Cadastro Produtos (kiwkiw)'!C:E,3,0)</f>
        <v>Brinco Setas Banho Ouro</v>
      </c>
      <c r="AB1914" s="33" t="s">
        <v>1075</v>
      </c>
    </row>
    <row r="1915" spans="3:28" ht="15" customHeight="1" x14ac:dyDescent="0.4">
      <c r="C1915" s="34" t="s">
        <v>6</v>
      </c>
      <c r="D1915" s="35">
        <v>45992</v>
      </c>
      <c r="E1915" s="51" t="s">
        <v>61</v>
      </c>
      <c r="F1915" s="33">
        <v>1</v>
      </c>
      <c r="G1915" s="27">
        <f t="shared" si="39"/>
        <v>-1</v>
      </c>
      <c r="H1915" s="28" t="str">
        <f>VLOOKUP(E1915,'Cadastro Produtos (kiwkiw)'!C:E,3,0)</f>
        <v>Brinco Setas Banho Ouro</v>
      </c>
      <c r="AB1915" s="33" t="s">
        <v>1085</v>
      </c>
    </row>
    <row r="1916" spans="3:28" ht="15" customHeight="1" x14ac:dyDescent="0.4">
      <c r="C1916" s="34" t="s">
        <v>6</v>
      </c>
      <c r="D1916" s="35">
        <v>45992</v>
      </c>
      <c r="E1916" s="51" t="s">
        <v>95</v>
      </c>
      <c r="F1916" s="33">
        <v>1</v>
      </c>
      <c r="G1916" s="27">
        <f t="shared" si="39"/>
        <v>-1</v>
      </c>
      <c r="H1916" s="28" t="str">
        <f>VLOOKUP(E1916,'Cadastro Produtos (kiwkiw)'!C:E,3,0)</f>
        <v>Colar Duplo Dots Prateado</v>
      </c>
      <c r="AB1916" s="33" t="s">
        <v>1075</v>
      </c>
    </row>
    <row r="1917" spans="3:28" ht="15" customHeight="1" x14ac:dyDescent="0.4">
      <c r="C1917" s="34" t="s">
        <v>6</v>
      </c>
      <c r="D1917" s="35">
        <v>45992</v>
      </c>
      <c r="E1917" s="51" t="s">
        <v>118</v>
      </c>
      <c r="F1917" s="33">
        <v>1</v>
      </c>
      <c r="G1917" s="27">
        <f t="shared" si="39"/>
        <v>-1</v>
      </c>
      <c r="H1917" s="28" t="str">
        <f>VLOOKUP(E1917,'Cadastro Produtos (kiwkiw)'!C:E,3,0)</f>
        <v>Gargantilha Minimal Prateada</v>
      </c>
      <c r="AB1917" s="33" t="s">
        <v>1076</v>
      </c>
    </row>
    <row r="1918" spans="3:28" ht="15" customHeight="1" x14ac:dyDescent="0.4">
      <c r="C1918" s="34" t="s">
        <v>6</v>
      </c>
      <c r="D1918" s="35">
        <v>45992</v>
      </c>
      <c r="E1918" s="51" t="s">
        <v>827</v>
      </c>
      <c r="F1918" s="33">
        <v>1</v>
      </c>
      <c r="G1918" s="27">
        <f t="shared" si="39"/>
        <v>-1</v>
      </c>
      <c r="H1918" s="28" t="str">
        <f>VLOOKUP(E1918,'Cadastro Produtos (kiwkiw)'!C:E,3,0)</f>
        <v>Argola Click Croissant Banho Ouro</v>
      </c>
      <c r="AB1918" s="33" t="s">
        <v>1082</v>
      </c>
    </row>
    <row r="1919" spans="3:28" ht="15" customHeight="1" x14ac:dyDescent="0.4">
      <c r="C1919" s="34" t="s">
        <v>6</v>
      </c>
      <c r="D1919" s="35">
        <v>45992</v>
      </c>
      <c r="E1919" s="51" t="s">
        <v>62</v>
      </c>
      <c r="F1919" s="33">
        <v>1</v>
      </c>
      <c r="G1919" s="27">
        <f t="shared" si="39"/>
        <v>-1</v>
      </c>
      <c r="H1919" s="28" t="str">
        <f>VLOOKUP(E1919,'Cadastro Produtos (kiwkiw)'!C:E,3,0)</f>
        <v>Brinco Sol Banho Ouro</v>
      </c>
      <c r="AB1919" s="33" t="s">
        <v>1086</v>
      </c>
    </row>
    <row r="1920" spans="3:28" ht="15" customHeight="1" x14ac:dyDescent="0.4">
      <c r="C1920" s="34" t="s">
        <v>6</v>
      </c>
      <c r="D1920" s="35">
        <v>45992</v>
      </c>
      <c r="E1920" s="51" t="s">
        <v>62</v>
      </c>
      <c r="F1920" s="33">
        <v>1</v>
      </c>
      <c r="G1920" s="27">
        <f t="shared" si="39"/>
        <v>-1</v>
      </c>
      <c r="H1920" s="28" t="str">
        <f>VLOOKUP(E1920,'Cadastro Produtos (kiwkiw)'!C:E,3,0)</f>
        <v>Brinco Sol Banho Ouro</v>
      </c>
      <c r="AB1920" s="33" t="s">
        <v>1087</v>
      </c>
    </row>
    <row r="1921" spans="3:28" ht="15" customHeight="1" x14ac:dyDescent="0.4">
      <c r="C1921" s="34" t="s">
        <v>6</v>
      </c>
      <c r="D1921" s="35">
        <v>45992</v>
      </c>
      <c r="E1921" s="51" t="s">
        <v>108</v>
      </c>
      <c r="F1921" s="33">
        <v>1</v>
      </c>
      <c r="G1921" s="27">
        <f t="shared" si="39"/>
        <v>-1</v>
      </c>
      <c r="H1921" s="28" t="str">
        <f>VLOOKUP(E1921,'Cadastro Produtos (kiwkiw)'!C:E,3,0)</f>
        <v>Colar Line Banho Ouro</v>
      </c>
      <c r="AB1921" s="33" t="s">
        <v>1088</v>
      </c>
    </row>
    <row r="1922" spans="3:28" ht="15" customHeight="1" x14ac:dyDescent="0.4">
      <c r="C1922" s="34" t="s">
        <v>6</v>
      </c>
      <c r="D1922" s="35">
        <v>45992</v>
      </c>
      <c r="E1922" s="51" t="s">
        <v>793</v>
      </c>
      <c r="F1922" s="33">
        <v>1</v>
      </c>
      <c r="G1922" s="27">
        <f t="shared" si="39"/>
        <v>-1</v>
      </c>
      <c r="H1922" s="28" t="str">
        <f>VLOOKUP(E1922,'Cadastro Produtos (kiwkiw)'!C:E,3,0)</f>
        <v>Argolinha Click Bambu Banho Ouro</v>
      </c>
      <c r="AB1922" s="33" t="s">
        <v>1088</v>
      </c>
    </row>
    <row r="1923" spans="3:28" ht="15" customHeight="1" x14ac:dyDescent="0.4">
      <c r="C1923" s="34" t="s">
        <v>6</v>
      </c>
      <c r="D1923" s="35">
        <v>45992</v>
      </c>
      <c r="E1923" s="51" t="s">
        <v>781</v>
      </c>
      <c r="F1923" s="33">
        <v>1</v>
      </c>
      <c r="G1923" s="27">
        <f t="shared" si="39"/>
        <v>-1</v>
      </c>
      <c r="H1923" s="28" t="str">
        <f>VLOOKUP(E1923,'Cadastro Produtos (kiwkiw)'!C:E,3,0)</f>
        <v>Brinco Palito Prateado</v>
      </c>
      <c r="AB1923" s="33" t="s">
        <v>1089</v>
      </c>
    </row>
    <row r="1924" spans="3:28" ht="15" customHeight="1" x14ac:dyDescent="0.4">
      <c r="C1924" s="34" t="s">
        <v>6</v>
      </c>
      <c r="D1924" s="35">
        <v>45992</v>
      </c>
      <c r="E1924" s="51" t="s">
        <v>831</v>
      </c>
      <c r="F1924" s="33">
        <v>1</v>
      </c>
      <c r="G1924" s="27">
        <f t="shared" si="39"/>
        <v>-1</v>
      </c>
      <c r="H1924" s="28" t="str">
        <f>VLOOKUP(E1924,'Cadastro Produtos (kiwkiw)'!C:E,3,0)</f>
        <v>Brinco Palito Banho Ouro</v>
      </c>
      <c r="AB1924" s="33" t="s">
        <v>1089</v>
      </c>
    </row>
    <row r="1925" spans="3:28" ht="15" customHeight="1" x14ac:dyDescent="0.4">
      <c r="C1925" s="34" t="s">
        <v>6</v>
      </c>
      <c r="D1925" s="35">
        <v>45992</v>
      </c>
      <c r="E1925" s="51" t="s">
        <v>58</v>
      </c>
      <c r="F1925" s="33">
        <v>1</v>
      </c>
      <c r="G1925" s="27">
        <f t="shared" si="39"/>
        <v>-1</v>
      </c>
      <c r="H1925" s="28" t="str">
        <f>VLOOKUP(E1925,'Cadastro Produtos (kiwkiw)'!C:E,3,0)</f>
        <v>Brinco Mini Triangulo Prateado</v>
      </c>
      <c r="AB1925" s="33" t="s">
        <v>1089</v>
      </c>
    </row>
    <row r="1926" spans="3:28" ht="15" customHeight="1" x14ac:dyDescent="0.4">
      <c r="C1926" s="34" t="s">
        <v>6</v>
      </c>
      <c r="D1926" s="35">
        <v>45992</v>
      </c>
      <c r="E1926" s="51" t="s">
        <v>57</v>
      </c>
      <c r="F1926" s="33">
        <v>1</v>
      </c>
      <c r="G1926" s="27">
        <f t="shared" si="39"/>
        <v>-1</v>
      </c>
      <c r="H1926" s="28" t="str">
        <f>VLOOKUP(E1926,'Cadastro Produtos (kiwkiw)'!C:E,3,0)</f>
        <v>Brinco Mini Raio Prateado</v>
      </c>
      <c r="AB1926" s="33" t="s">
        <v>1089</v>
      </c>
    </row>
    <row r="1927" spans="3:28" ht="15" customHeight="1" x14ac:dyDescent="0.4">
      <c r="C1927" s="34" t="s">
        <v>6</v>
      </c>
      <c r="D1927" s="35">
        <v>45992</v>
      </c>
      <c r="E1927" s="51" t="s">
        <v>823</v>
      </c>
      <c r="F1927" s="33">
        <v>1</v>
      </c>
      <c r="G1927" s="27">
        <f t="shared" si="39"/>
        <v>-1</v>
      </c>
      <c r="H1927" s="28" t="str">
        <f>VLOOKUP(E1927,'Cadastro Produtos (kiwkiw)'!C:E,3,0)</f>
        <v>Meia Argola Wave Banho Ouro</v>
      </c>
      <c r="AB1927" s="33" t="s">
        <v>1089</v>
      </c>
    </row>
    <row r="1928" spans="3:28" ht="15" customHeight="1" x14ac:dyDescent="0.4">
      <c r="C1928" s="34" t="s">
        <v>6</v>
      </c>
      <c r="D1928" s="35">
        <v>45992</v>
      </c>
      <c r="E1928" s="51" t="s">
        <v>64</v>
      </c>
      <c r="F1928" s="33">
        <v>1</v>
      </c>
      <c r="G1928" s="27">
        <f t="shared" si="39"/>
        <v>-1</v>
      </c>
      <c r="H1928" s="28" t="str">
        <f>VLOOKUP(E1928,'Cadastro Produtos (kiwkiw)'!C:E,3,0)</f>
        <v>Brinco Spike Prateado</v>
      </c>
      <c r="AB1928" s="33" t="s">
        <v>1089</v>
      </c>
    </row>
    <row r="1929" spans="3:28" ht="15" customHeight="1" x14ac:dyDescent="0.4">
      <c r="C1929" s="34" t="s">
        <v>6</v>
      </c>
      <c r="D1929" s="35">
        <v>45992</v>
      </c>
      <c r="E1929" s="51" t="s">
        <v>92</v>
      </c>
      <c r="F1929" s="33">
        <v>1</v>
      </c>
      <c r="G1929" s="27">
        <f t="shared" si="39"/>
        <v>-1</v>
      </c>
      <c r="H1929" s="28" t="str">
        <f>VLOOKUP(E1929,'Cadastro Produtos (kiwkiw)'!C:E,3,0)</f>
        <v>Colar Coracao Banho Ouro</v>
      </c>
      <c r="AB1929" s="33" t="s">
        <v>1081</v>
      </c>
    </row>
    <row r="1930" spans="3:28" ht="15" customHeight="1" x14ac:dyDescent="0.4">
      <c r="C1930" s="34" t="s">
        <v>6</v>
      </c>
      <c r="D1930" s="35">
        <v>45992</v>
      </c>
      <c r="E1930" s="51" t="s">
        <v>92</v>
      </c>
      <c r="F1930" s="33">
        <v>1</v>
      </c>
      <c r="G1930" s="27">
        <f t="shared" si="39"/>
        <v>-1</v>
      </c>
      <c r="H1930" s="28" t="str">
        <f>VLOOKUP(E1930,'Cadastro Produtos (kiwkiw)'!C:E,3,0)</f>
        <v>Colar Coracao Banho Ouro</v>
      </c>
      <c r="AB1930" s="33" t="s">
        <v>1090</v>
      </c>
    </row>
    <row r="1931" spans="3:28" ht="15" customHeight="1" x14ac:dyDescent="0.4">
      <c r="C1931" s="34" t="s">
        <v>6</v>
      </c>
      <c r="D1931" s="35">
        <v>45992</v>
      </c>
      <c r="E1931" s="51" t="s">
        <v>92</v>
      </c>
      <c r="F1931" s="33">
        <v>1</v>
      </c>
      <c r="G1931" s="27">
        <f t="shared" si="39"/>
        <v>-1</v>
      </c>
      <c r="H1931" s="28" t="str">
        <f>VLOOKUP(E1931,'Cadastro Produtos (kiwkiw)'!C:E,3,0)</f>
        <v>Colar Coracao Banho Ouro</v>
      </c>
      <c r="AB1931" s="33" t="s">
        <v>1085</v>
      </c>
    </row>
    <row r="1932" spans="3:28" ht="15" customHeight="1" x14ac:dyDescent="0.4">
      <c r="C1932" s="34" t="s">
        <v>6</v>
      </c>
      <c r="D1932" s="35">
        <v>45992</v>
      </c>
      <c r="E1932" s="51" t="s">
        <v>123</v>
      </c>
      <c r="F1932" s="33">
        <v>1</v>
      </c>
      <c r="G1932" s="27">
        <f t="shared" si="39"/>
        <v>-1</v>
      </c>
      <c r="H1932" s="28" t="str">
        <f>VLOOKUP(E1932,'Cadastro Produtos (kiwkiw)'!C:E,3,0)</f>
        <v>Pulseira Dots Banho Ouro</v>
      </c>
      <c r="AB1932" s="33" t="s">
        <v>1081</v>
      </c>
    </row>
    <row r="1933" spans="3:28" ht="15" customHeight="1" x14ac:dyDescent="0.4">
      <c r="C1933" s="34" t="s">
        <v>6</v>
      </c>
      <c r="D1933" s="35">
        <v>45992</v>
      </c>
      <c r="E1933" s="51" t="s">
        <v>103</v>
      </c>
      <c r="F1933" s="33">
        <v>1</v>
      </c>
      <c r="G1933" s="27">
        <f t="shared" si="39"/>
        <v>-1</v>
      </c>
      <c r="H1933" s="28" t="str">
        <f>VLOOKUP(E1933,'Cadastro Produtos (kiwkiw)'!C:E,3,0)</f>
        <v>Colar Ivy Banho Ouro</v>
      </c>
      <c r="AB1933" s="33" t="s">
        <v>1090</v>
      </c>
    </row>
    <row r="1934" spans="3:28" ht="15" customHeight="1" x14ac:dyDescent="0.4">
      <c r="C1934" s="34" t="s">
        <v>6</v>
      </c>
      <c r="D1934" s="35">
        <v>45992</v>
      </c>
      <c r="E1934" s="51" t="s">
        <v>45</v>
      </c>
      <c r="F1934" s="33">
        <v>1</v>
      </c>
      <c r="G1934" s="27">
        <f t="shared" si="39"/>
        <v>-1</v>
      </c>
      <c r="H1934" s="28" t="str">
        <f>VLOOKUP(E1934,'Cadastro Produtos (kiwkiw)'!C:E,3,0)</f>
        <v>Brinco Bubble Medio Banho Ouro</v>
      </c>
      <c r="AB1934" s="33" t="s">
        <v>1090</v>
      </c>
    </row>
    <row r="1935" spans="3:28" ht="15" customHeight="1" x14ac:dyDescent="0.4">
      <c r="C1935" s="34" t="s">
        <v>6</v>
      </c>
      <c r="D1935" s="35">
        <v>45992</v>
      </c>
      <c r="E1935" s="51" t="s">
        <v>45</v>
      </c>
      <c r="F1935" s="33">
        <v>1</v>
      </c>
      <c r="G1935" s="27">
        <f t="shared" si="39"/>
        <v>-1</v>
      </c>
      <c r="H1935" s="28" t="str">
        <f>VLOOKUP(E1935,'Cadastro Produtos (kiwkiw)'!C:E,3,0)</f>
        <v>Brinco Bubble Medio Banho Ouro</v>
      </c>
      <c r="AB1935" s="33" t="s">
        <v>1079</v>
      </c>
    </row>
    <row r="1936" spans="3:28" ht="15" customHeight="1" x14ac:dyDescent="0.4">
      <c r="C1936" s="34" t="s">
        <v>6</v>
      </c>
      <c r="D1936" s="35">
        <v>45992</v>
      </c>
      <c r="E1936" s="51" t="s">
        <v>54</v>
      </c>
      <c r="F1936" s="33">
        <v>1</v>
      </c>
      <c r="G1936" s="27">
        <f t="shared" si="39"/>
        <v>-1</v>
      </c>
      <c r="H1936" s="28" t="str">
        <f>VLOOKUP(E1936,'Cadastro Produtos (kiwkiw)'!C:E,3,0)</f>
        <v>Brinco Ivy Banho Ouro</v>
      </c>
      <c r="AB1936" s="33" t="s">
        <v>1090</v>
      </c>
    </row>
    <row r="1937" spans="3:28" ht="15" customHeight="1" x14ac:dyDescent="0.4">
      <c r="C1937" s="34" t="s">
        <v>6</v>
      </c>
      <c r="D1937" s="35">
        <v>45992</v>
      </c>
      <c r="E1937" s="51" t="s">
        <v>54</v>
      </c>
      <c r="F1937" s="33">
        <v>1</v>
      </c>
      <c r="G1937" s="27">
        <f t="shared" si="39"/>
        <v>-1</v>
      </c>
      <c r="H1937" s="28" t="str">
        <f>VLOOKUP(E1937,'Cadastro Produtos (kiwkiw)'!C:E,3,0)</f>
        <v>Brinco Ivy Banho Ouro</v>
      </c>
      <c r="AB1937" s="33" t="s">
        <v>1091</v>
      </c>
    </row>
    <row r="1938" spans="3:28" ht="15" customHeight="1" x14ac:dyDescent="0.4">
      <c r="C1938" s="34" t="s">
        <v>6</v>
      </c>
      <c r="D1938" s="35">
        <v>45992</v>
      </c>
      <c r="E1938" s="51" t="s">
        <v>810</v>
      </c>
      <c r="F1938" s="33">
        <v>1</v>
      </c>
      <c r="G1938" s="27">
        <f t="shared" si="39"/>
        <v>-1</v>
      </c>
      <c r="H1938" s="28" t="str">
        <f>VLOOKUP(E1938,'Cadastro Produtos (kiwkiw)'!C:E,3,0)</f>
        <v>Brinco Disco Banho Ouro</v>
      </c>
      <c r="AB1938" s="33" t="s">
        <v>1090</v>
      </c>
    </row>
    <row r="1939" spans="3:28" ht="15" customHeight="1" x14ac:dyDescent="0.4">
      <c r="C1939" s="34" t="s">
        <v>6</v>
      </c>
      <c r="D1939" s="35">
        <v>45992</v>
      </c>
      <c r="E1939" s="51" t="s">
        <v>784</v>
      </c>
      <c r="F1939" s="33">
        <v>1</v>
      </c>
      <c r="G1939" s="27">
        <f t="shared" si="39"/>
        <v>-1</v>
      </c>
      <c r="H1939" s="28" t="str">
        <f>VLOOKUP(E1939,'Cadastro Produtos (kiwkiw)'!C:E,3,0)</f>
        <v>Brinco Drop G Banho Ouro</v>
      </c>
      <c r="AB1939" s="33" t="s">
        <v>1090</v>
      </c>
    </row>
    <row r="1940" spans="3:28" ht="15" customHeight="1" x14ac:dyDescent="0.4">
      <c r="C1940" s="34" t="s">
        <v>6</v>
      </c>
      <c r="D1940" s="35">
        <v>45992</v>
      </c>
      <c r="E1940" s="51" t="s">
        <v>830</v>
      </c>
      <c r="F1940" s="33">
        <v>1</v>
      </c>
      <c r="G1940" s="27">
        <f t="shared" si="39"/>
        <v>-1</v>
      </c>
      <c r="H1940" s="28" t="str">
        <f>VLOOKUP(E1940,'Cadastro Produtos (kiwkiw)'!C:E,3,0)</f>
        <v>Brinco Flor 2 em 1 Banho Ouro</v>
      </c>
      <c r="AB1940" s="33" t="s">
        <v>1090</v>
      </c>
    </row>
    <row r="1941" spans="3:28" ht="15" customHeight="1" x14ac:dyDescent="0.4">
      <c r="C1941" s="34" t="s">
        <v>6</v>
      </c>
      <c r="D1941" s="35">
        <v>45992</v>
      </c>
      <c r="E1941" s="51" t="s">
        <v>822</v>
      </c>
      <c r="F1941" s="33">
        <v>1</v>
      </c>
      <c r="G1941" s="27">
        <f t="shared" si="39"/>
        <v>-1</v>
      </c>
      <c r="H1941" s="28" t="str">
        <f>VLOOKUP(E1941,'Cadastro Produtos (kiwkiw)'!C:E,3,0)</f>
        <v>Gargantilha Pearl Banho Ouro</v>
      </c>
      <c r="AB1941" s="33" t="s">
        <v>1090</v>
      </c>
    </row>
    <row r="1942" spans="3:28" ht="15" customHeight="1" x14ac:dyDescent="0.4">
      <c r="C1942" s="34" t="s">
        <v>6</v>
      </c>
      <c r="D1942" s="35">
        <v>45992</v>
      </c>
      <c r="E1942" s="51" t="s">
        <v>112</v>
      </c>
      <c r="F1942" s="33">
        <v>1</v>
      </c>
      <c r="G1942" s="27">
        <f t="shared" si="39"/>
        <v>-1</v>
      </c>
      <c r="H1942" s="28" t="str">
        <f>VLOOKUP(E1942,'Cadastro Produtos (kiwkiw)'!C:E,3,0)</f>
        <v>Gargantilha Escama Banho Ouro</v>
      </c>
      <c r="AB1942" s="33" t="s">
        <v>1090</v>
      </c>
    </row>
    <row r="1943" spans="3:28" ht="15" customHeight="1" x14ac:dyDescent="0.4">
      <c r="C1943" s="34" t="s">
        <v>6</v>
      </c>
      <c r="D1943" s="35">
        <v>45992</v>
      </c>
      <c r="E1943" s="51" t="s">
        <v>112</v>
      </c>
      <c r="F1943" s="33">
        <v>1</v>
      </c>
      <c r="G1943" s="27">
        <f t="shared" si="39"/>
        <v>-1</v>
      </c>
      <c r="H1943" s="28" t="str">
        <f>VLOOKUP(E1943,'Cadastro Produtos (kiwkiw)'!C:E,3,0)</f>
        <v>Gargantilha Escama Banho Ouro</v>
      </c>
      <c r="AB1943" s="33" t="s">
        <v>1079</v>
      </c>
    </row>
    <row r="1944" spans="3:28" ht="15" customHeight="1" x14ac:dyDescent="0.4">
      <c r="C1944" s="34" t="s">
        <v>6</v>
      </c>
      <c r="D1944" s="35">
        <v>45992</v>
      </c>
      <c r="E1944" s="51" t="s">
        <v>804</v>
      </c>
      <c r="F1944" s="33">
        <v>1</v>
      </c>
      <c r="G1944" s="27">
        <f t="shared" si="39"/>
        <v>-1</v>
      </c>
      <c r="H1944" s="28" t="str">
        <f>VLOOKUP(E1944,'Cadastro Produtos (kiwkiw)'!C:E,3,0)</f>
        <v>Anel Drop Banho Ouro</v>
      </c>
      <c r="AB1944" s="33" t="s">
        <v>1090</v>
      </c>
    </row>
    <row r="1945" spans="3:28" ht="15" customHeight="1" x14ac:dyDescent="0.4">
      <c r="C1945" s="34" t="s">
        <v>6</v>
      </c>
      <c r="D1945" s="35">
        <v>45992</v>
      </c>
      <c r="E1945" s="51" t="s">
        <v>804</v>
      </c>
      <c r="F1945" s="33">
        <v>1</v>
      </c>
      <c r="G1945" s="27">
        <f t="shared" si="39"/>
        <v>-1</v>
      </c>
      <c r="H1945" s="28" t="str">
        <f>VLOOKUP(E1945,'Cadastro Produtos (kiwkiw)'!C:E,3,0)</f>
        <v>Anel Drop Banho Ouro</v>
      </c>
      <c r="AB1945" s="33" t="s">
        <v>1092</v>
      </c>
    </row>
    <row r="1946" spans="3:28" ht="15" customHeight="1" x14ac:dyDescent="0.4">
      <c r="C1946" s="34" t="s">
        <v>6</v>
      </c>
      <c r="D1946" s="35">
        <v>45992</v>
      </c>
      <c r="E1946" s="51" t="s">
        <v>806</v>
      </c>
      <c r="F1946" s="33">
        <v>1</v>
      </c>
      <c r="G1946" s="27">
        <f t="shared" si="39"/>
        <v>-1</v>
      </c>
      <c r="H1946" s="28" t="str">
        <f>VLOOKUP(E1946,'Cadastro Produtos (kiwkiw)'!C:E,3,0)</f>
        <v>Anel Roll Banho Ouro</v>
      </c>
      <c r="AB1946" s="33" t="s">
        <v>1090</v>
      </c>
    </row>
    <row r="1947" spans="3:28" ht="15" customHeight="1" x14ac:dyDescent="0.4">
      <c r="C1947" s="34" t="s">
        <v>6</v>
      </c>
      <c r="D1947" s="35">
        <v>45992</v>
      </c>
      <c r="E1947" s="51" t="s">
        <v>806</v>
      </c>
      <c r="F1947" s="33">
        <v>1</v>
      </c>
      <c r="G1947" s="27">
        <f t="shared" si="39"/>
        <v>-1</v>
      </c>
      <c r="H1947" s="28" t="str">
        <f>VLOOKUP(E1947,'Cadastro Produtos (kiwkiw)'!C:E,3,0)</f>
        <v>Anel Roll Banho Ouro</v>
      </c>
      <c r="AB1947" s="33" t="s">
        <v>1092</v>
      </c>
    </row>
    <row r="1948" spans="3:28" ht="15" customHeight="1" x14ac:dyDescent="0.4">
      <c r="C1948" s="34" t="s">
        <v>6</v>
      </c>
      <c r="D1948" s="35">
        <v>45992</v>
      </c>
      <c r="E1948" s="51" t="s">
        <v>788</v>
      </c>
      <c r="F1948" s="33">
        <v>1</v>
      </c>
      <c r="G1948" s="27">
        <f t="shared" si="39"/>
        <v>-1</v>
      </c>
      <c r="H1948" s="28" t="str">
        <f>VLOOKUP(E1948,'Cadastro Produtos (kiwkiw)'!C:E,3,0)</f>
        <v>Brinco Organico Banho Ouro</v>
      </c>
      <c r="AB1948" s="33" t="s">
        <v>1092</v>
      </c>
    </row>
    <row r="1949" spans="3:28" ht="15" customHeight="1" x14ac:dyDescent="0.4">
      <c r="C1949" s="34" t="s">
        <v>6</v>
      </c>
      <c r="D1949" s="35">
        <v>45992</v>
      </c>
      <c r="E1949" s="51" t="s">
        <v>788</v>
      </c>
      <c r="F1949" s="33">
        <v>1</v>
      </c>
      <c r="G1949" s="27">
        <f t="shared" si="39"/>
        <v>-1</v>
      </c>
      <c r="H1949" s="28" t="str">
        <f>VLOOKUP(E1949,'Cadastro Produtos (kiwkiw)'!C:E,3,0)</f>
        <v>Brinco Organico Banho Ouro</v>
      </c>
      <c r="AB1949" s="33" t="s">
        <v>1091</v>
      </c>
    </row>
    <row r="1950" spans="3:28" ht="15" customHeight="1" x14ac:dyDescent="0.4">
      <c r="C1950" s="34" t="s">
        <v>6</v>
      </c>
      <c r="D1950" s="35">
        <v>45992</v>
      </c>
      <c r="E1950" s="51" t="s">
        <v>805</v>
      </c>
      <c r="F1950" s="33">
        <v>1</v>
      </c>
      <c r="G1950" s="27">
        <f t="shared" si="39"/>
        <v>-1</v>
      </c>
      <c r="H1950" s="28" t="str">
        <f>VLOOKUP(E1950,'Cadastro Produtos (kiwkiw)'!C:E,3,0)</f>
        <v>Anel No Banho Ouro</v>
      </c>
      <c r="AB1950" s="33" t="s">
        <v>1092</v>
      </c>
    </row>
    <row r="1951" spans="3:28" ht="15" customHeight="1" x14ac:dyDescent="0.4">
      <c r="C1951" s="34" t="s">
        <v>6</v>
      </c>
      <c r="D1951" s="35">
        <v>45992</v>
      </c>
      <c r="E1951" s="51" t="s">
        <v>49</v>
      </c>
      <c r="F1951" s="33">
        <v>1</v>
      </c>
      <c r="G1951" s="27">
        <f t="shared" si="39"/>
        <v>-1</v>
      </c>
      <c r="H1951" s="28" t="str">
        <f>VLOOKUP(E1951,'Cadastro Produtos (kiwkiw)'!C:E,3,0)</f>
        <v>Brinco Coracao Diamond Banho Ouro</v>
      </c>
      <c r="AB1951" s="33" t="s">
        <v>1079</v>
      </c>
    </row>
    <row r="1952" spans="3:28" ht="15" customHeight="1" x14ac:dyDescent="0.4">
      <c r="C1952" s="34" t="s">
        <v>6</v>
      </c>
      <c r="D1952" s="35">
        <v>45992</v>
      </c>
      <c r="E1952" s="51" t="s">
        <v>802</v>
      </c>
      <c r="F1952" s="33">
        <v>1</v>
      </c>
      <c r="G1952" s="27">
        <f t="shared" si="39"/>
        <v>-1</v>
      </c>
      <c r="H1952" s="28" t="str">
        <f>VLOOKUP(E1952,'Cadastro Produtos (kiwkiw)'!C:E,3,0)</f>
        <v>Piercing Fake No Banho Ouro</v>
      </c>
      <c r="AB1952" s="33" t="s">
        <v>1079</v>
      </c>
    </row>
    <row r="1953" spans="2:28" ht="15" customHeight="1" x14ac:dyDescent="0.4">
      <c r="C1953" s="34" t="s">
        <v>6</v>
      </c>
      <c r="D1953" s="35">
        <v>45992</v>
      </c>
      <c r="E1953" s="51" t="s">
        <v>29</v>
      </c>
      <c r="F1953" s="33">
        <v>1</v>
      </c>
      <c r="G1953" s="27">
        <f t="shared" si="39"/>
        <v>-1</v>
      </c>
      <c r="H1953" s="28" t="str">
        <f>VLOOKUP(E1953,'Cadastro Produtos (kiwkiw)'!C:E,3,0)</f>
        <v>Argola Click Diamond Banho Ouro</v>
      </c>
      <c r="AB1953" s="33" t="s">
        <v>1079</v>
      </c>
    </row>
    <row r="1954" spans="2:28" ht="15" customHeight="1" x14ac:dyDescent="0.4">
      <c r="C1954" s="34" t="s">
        <v>6</v>
      </c>
      <c r="D1954" s="35">
        <v>45992</v>
      </c>
      <c r="E1954" s="51" t="s">
        <v>82</v>
      </c>
      <c r="F1954" s="33">
        <v>1</v>
      </c>
      <c r="G1954" s="27">
        <f t="shared" si="39"/>
        <v>-1</v>
      </c>
      <c r="H1954" s="28" t="str">
        <f>VLOOKUP(E1954,'Cadastro Produtos (kiwkiw)'!C:E,3,0)</f>
        <v>Meia Argola Diamond Banho Ouro</v>
      </c>
      <c r="AB1954" s="33" t="s">
        <v>1079</v>
      </c>
    </row>
    <row r="1955" spans="2:28" ht="15" customHeight="1" x14ac:dyDescent="0.4">
      <c r="C1955" s="34" t="s">
        <v>6</v>
      </c>
      <c r="D1955" s="35">
        <v>45992</v>
      </c>
      <c r="E1955" s="51" t="s">
        <v>821</v>
      </c>
      <c r="F1955" s="33">
        <v>1</v>
      </c>
      <c r="G1955" s="27">
        <f t="shared" si="39"/>
        <v>-1</v>
      </c>
      <c r="H1955" s="28" t="str">
        <f>VLOOKUP(E1955,'Cadastro Produtos (kiwkiw)'!C:E,3,0)</f>
        <v>Ear Cuff Snake Banho Ouro</v>
      </c>
      <c r="AB1955" s="33" t="s">
        <v>1079</v>
      </c>
    </row>
    <row r="1956" spans="2:28" ht="15" customHeight="1" x14ac:dyDescent="0.4">
      <c r="C1956" s="34" t="s">
        <v>6</v>
      </c>
      <c r="D1956" s="35">
        <v>45992</v>
      </c>
      <c r="E1956" s="51" t="s">
        <v>51</v>
      </c>
      <c r="F1956" s="33">
        <v>1</v>
      </c>
      <c r="G1956" s="27">
        <f t="shared" si="39"/>
        <v>-1</v>
      </c>
      <c r="H1956" s="28" t="str">
        <f>VLOOKUP(E1956,'Cadastro Produtos (kiwkiw)'!C:E,3,0)</f>
        <v>Brinco Mini Flecha Banho Ouro</v>
      </c>
      <c r="AB1956" s="33" t="s">
        <v>1079</v>
      </c>
    </row>
    <row r="1957" spans="2:28" ht="15" customHeight="1" x14ac:dyDescent="0.4">
      <c r="C1957" s="34" t="s">
        <v>6</v>
      </c>
      <c r="D1957" s="35">
        <v>45992</v>
      </c>
      <c r="E1957" s="51" t="s">
        <v>51</v>
      </c>
      <c r="F1957" s="33">
        <v>1</v>
      </c>
      <c r="G1957" s="27">
        <f t="shared" si="39"/>
        <v>-1</v>
      </c>
      <c r="H1957" s="28" t="str">
        <f>VLOOKUP(E1957,'Cadastro Produtos (kiwkiw)'!C:E,3,0)</f>
        <v>Brinco Mini Flecha Banho Ouro</v>
      </c>
      <c r="AB1957" s="33" t="s">
        <v>1085</v>
      </c>
    </row>
    <row r="1958" spans="2:28" ht="15" customHeight="1" x14ac:dyDescent="0.4">
      <c r="C1958" s="34" t="s">
        <v>6</v>
      </c>
      <c r="D1958" s="35">
        <v>45992</v>
      </c>
      <c r="E1958" s="51" t="s">
        <v>799</v>
      </c>
      <c r="F1958" s="33">
        <v>1</v>
      </c>
      <c r="G1958" s="27">
        <f t="shared" si="39"/>
        <v>-1</v>
      </c>
      <c r="H1958" s="28" t="str">
        <f>VLOOKUP(E1958,'Cadastro Produtos (kiwkiw)'!C:E,3,0)</f>
        <v>Gargantilha Fita Textura Banho Ouro</v>
      </c>
      <c r="AB1958" s="33" t="s">
        <v>1079</v>
      </c>
    </row>
    <row r="1959" spans="2:28" ht="15" customHeight="1" x14ac:dyDescent="0.4">
      <c r="C1959" s="34" t="s">
        <v>6</v>
      </c>
      <c r="D1959" s="35">
        <v>45992</v>
      </c>
      <c r="E1959" s="51" t="s">
        <v>44</v>
      </c>
      <c r="F1959" s="33">
        <v>1</v>
      </c>
      <c r="G1959" s="27">
        <f t="shared" si="39"/>
        <v>-1</v>
      </c>
      <c r="H1959" s="28" t="str">
        <f>VLOOKUP(E1959,'Cadastro Produtos (kiwkiw)'!C:E,3,0)</f>
        <v>Brinco Bossa Banho Ouro</v>
      </c>
      <c r="AB1959" s="33" t="s">
        <v>1085</v>
      </c>
    </row>
    <row r="1960" spans="2:28" ht="15" customHeight="1" x14ac:dyDescent="0.4">
      <c r="C1960" s="34" t="s">
        <v>6</v>
      </c>
      <c r="D1960" s="35">
        <v>45992</v>
      </c>
      <c r="E1960" s="51" t="s">
        <v>813</v>
      </c>
      <c r="F1960" s="33">
        <v>1</v>
      </c>
      <c r="G1960" s="27">
        <f t="shared" si="39"/>
        <v>-1</v>
      </c>
      <c r="H1960" s="28" t="str">
        <f>VLOOKUP(E1960,'Cadastro Produtos (kiwkiw)'!C:E,3,0)</f>
        <v>Brinco Mini Arabesco Banho Ouro</v>
      </c>
      <c r="AB1960" s="33" t="s">
        <v>1085</v>
      </c>
    </row>
    <row r="1961" spans="2:28" ht="15" customHeight="1" x14ac:dyDescent="0.4">
      <c r="C1961" s="34" t="s">
        <v>6</v>
      </c>
      <c r="D1961" s="35">
        <v>45992</v>
      </c>
      <c r="E1961" s="51" t="s">
        <v>829</v>
      </c>
      <c r="F1961" s="33">
        <v>1</v>
      </c>
      <c r="G1961" s="27">
        <f t="shared" si="39"/>
        <v>-1</v>
      </c>
      <c r="H1961" s="28" t="str">
        <f>VLOOKUP(E1961,'Cadastro Produtos (kiwkiw)'!C:E,3,0)</f>
        <v>Ear Hook Fio Banho Ouro</v>
      </c>
      <c r="AB1961" s="33" t="s">
        <v>1091</v>
      </c>
    </row>
    <row r="1962" spans="2:28" ht="15" customHeight="1" x14ac:dyDescent="0.4">
      <c r="C1962" s="34" t="s">
        <v>6</v>
      </c>
      <c r="D1962" s="35">
        <v>45992</v>
      </c>
      <c r="E1962" s="51" t="s">
        <v>812</v>
      </c>
      <c r="F1962" s="33">
        <v>1</v>
      </c>
      <c r="G1962" s="27">
        <f t="shared" si="39"/>
        <v>-1</v>
      </c>
      <c r="H1962" s="28" t="str">
        <f>VLOOKUP(E1962,'Cadastro Produtos (kiwkiw)'!C:E,3,0)</f>
        <v>Brinco Leque Banho Ouro</v>
      </c>
      <c r="AB1962" s="33" t="s">
        <v>1091</v>
      </c>
    </row>
    <row r="1963" spans="2:28" ht="15" customHeight="1" x14ac:dyDescent="0.4">
      <c r="C1963" s="34" t="s">
        <v>6</v>
      </c>
      <c r="D1963" s="35">
        <v>45992</v>
      </c>
      <c r="E1963" s="51" t="s">
        <v>811</v>
      </c>
      <c r="F1963" s="33">
        <v>1</v>
      </c>
      <c r="G1963" s="27">
        <f t="shared" si="39"/>
        <v>-1</v>
      </c>
      <c r="H1963" s="28" t="str">
        <f>VLOOKUP(E1963,'Cadastro Produtos (kiwkiw)'!C:E,3,0)</f>
        <v>Brinco Drop P Banho Ouro</v>
      </c>
      <c r="AB1963" s="33" t="s">
        <v>1091</v>
      </c>
    </row>
    <row r="1964" spans="2:28" ht="15" customHeight="1" x14ac:dyDescent="0.4">
      <c r="C1964" s="34" t="s">
        <v>6</v>
      </c>
      <c r="D1964" s="35">
        <v>45992</v>
      </c>
      <c r="E1964" s="51" t="s">
        <v>70</v>
      </c>
      <c r="F1964" s="33">
        <v>1</v>
      </c>
      <c r="G1964" s="27">
        <f t="shared" si="39"/>
        <v>-1</v>
      </c>
      <c r="H1964" s="28" t="str">
        <f>VLOOKUP(E1964,'Cadastro Produtos (kiwkiw)'!C:E,3,0)</f>
        <v>Brinco Geometrico Banho Ouro</v>
      </c>
      <c r="AB1964" s="33" t="s">
        <v>1091</v>
      </c>
    </row>
    <row r="1965" spans="2:28" ht="15" customHeight="1" x14ac:dyDescent="0.4">
      <c r="C1965" s="34" t="s">
        <v>6</v>
      </c>
      <c r="D1965" s="35">
        <v>45992</v>
      </c>
      <c r="E1965" s="51" t="s">
        <v>115</v>
      </c>
      <c r="F1965" s="33">
        <v>1</v>
      </c>
      <c r="G1965" s="27">
        <f t="shared" si="39"/>
        <v>-1</v>
      </c>
      <c r="H1965" s="28" t="str">
        <f>VLOOKUP(E1965,'Cadastro Produtos (kiwkiw)'!C:E,3,0)</f>
        <v>Gargantilha Fita Prateada</v>
      </c>
      <c r="AB1965" s="33" t="s">
        <v>1093</v>
      </c>
    </row>
    <row r="1966" spans="2:28" ht="15" customHeight="1" x14ac:dyDescent="0.4">
      <c r="C1966" s="34" t="s">
        <v>6</v>
      </c>
      <c r="D1966" s="35">
        <v>45992</v>
      </c>
      <c r="E1966" s="51" t="s">
        <v>32</v>
      </c>
      <c r="F1966" s="33">
        <v>1</v>
      </c>
      <c r="G1966" s="27">
        <f t="shared" si="39"/>
        <v>-1</v>
      </c>
      <c r="H1966" s="28" t="str">
        <f>VLOOKUP(E1966,'Cadastro Produtos (kiwkiw)'!C:E,3,0)</f>
        <v>Argola Redonda Basic Banho Ouro</v>
      </c>
      <c r="AB1966" s="33" t="s">
        <v>1094</v>
      </c>
    </row>
    <row r="1967" spans="2:28" ht="15" customHeight="1" x14ac:dyDescent="0.4">
      <c r="C1967" s="34" t="s">
        <v>5</v>
      </c>
      <c r="D1967" s="35">
        <v>45992</v>
      </c>
      <c r="E1967" s="51" t="s">
        <v>114</v>
      </c>
      <c r="F1967" s="33">
        <v>1</v>
      </c>
      <c r="G1967" s="27">
        <f t="shared" si="39"/>
        <v>1</v>
      </c>
      <c r="H1967" s="28" t="str">
        <f>VLOOKUP(E1967,'Cadastro Produtos (kiwkiw)'!C:E,3,0)</f>
        <v>Gargantilha Fita Banho Ouro</v>
      </c>
      <c r="I1967" s="32" t="s">
        <v>1095</v>
      </c>
    </row>
    <row r="1968" spans="2:28" ht="15" customHeight="1" x14ac:dyDescent="0.4">
      <c r="B1968" s="43">
        <v>45993.435868055552</v>
      </c>
      <c r="C1968" s="34" t="s">
        <v>6</v>
      </c>
      <c r="D1968" s="35">
        <v>45993</v>
      </c>
      <c r="E1968" s="51" t="s">
        <v>117</v>
      </c>
      <c r="F1968" s="33">
        <v>1</v>
      </c>
      <c r="G1968" s="27">
        <f t="shared" si="39"/>
        <v>-1</v>
      </c>
      <c r="H1968" s="28" t="str">
        <f>VLOOKUP(E1968,'Cadastro Produtos (kiwkiw)'!C:E,3,0)</f>
        <v>Gargantilha Minimal Banho Ouro</v>
      </c>
      <c r="AB1968" s="33" t="s">
        <v>1096</v>
      </c>
    </row>
    <row r="1969" spans="2:28" ht="15" customHeight="1" x14ac:dyDescent="0.4">
      <c r="C1969" s="34" t="s">
        <v>6</v>
      </c>
      <c r="D1969" s="35">
        <v>45993</v>
      </c>
      <c r="E1969" s="51" t="s">
        <v>60</v>
      </c>
      <c r="F1969" s="33">
        <v>1</v>
      </c>
      <c r="G1969" s="27">
        <f t="shared" si="39"/>
        <v>-1</v>
      </c>
      <c r="H1969" s="28" t="str">
        <f>VLOOKUP(E1969,'Cadastro Produtos (kiwkiw)'!C:E,3,0)</f>
        <v>Brinco Oncinha Prateado</v>
      </c>
      <c r="AB1969" s="33" t="s">
        <v>1097</v>
      </c>
    </row>
    <row r="1970" spans="2:28" ht="15" customHeight="1" x14ac:dyDescent="0.4">
      <c r="C1970" s="34" t="s">
        <v>6</v>
      </c>
      <c r="D1970" s="35">
        <v>45993</v>
      </c>
      <c r="E1970" s="51" t="s">
        <v>84</v>
      </c>
      <c r="F1970" s="33">
        <v>1</v>
      </c>
      <c r="G1970" s="27">
        <f t="shared" si="39"/>
        <v>-1</v>
      </c>
      <c r="H1970" s="28" t="str">
        <f>VLOOKUP(E1970,'Cadastro Produtos (kiwkiw)'!C:E,3,0)</f>
        <v>Mini Argola Classy Prateada</v>
      </c>
      <c r="AB1970" s="33" t="s">
        <v>1097</v>
      </c>
    </row>
    <row r="1971" spans="2:28" ht="15" customHeight="1" x14ac:dyDescent="0.4">
      <c r="C1971" s="34" t="s">
        <v>6</v>
      </c>
      <c r="D1971" s="35">
        <v>45993</v>
      </c>
      <c r="E1971" s="51" t="s">
        <v>28</v>
      </c>
      <c r="F1971" s="33">
        <v>1</v>
      </c>
      <c r="G1971" s="27">
        <f t="shared" si="39"/>
        <v>-1</v>
      </c>
      <c r="H1971" s="28" t="str">
        <f>VLOOKUP(E1971,'Cadastro Produtos (kiwkiw)'!C:E,3,0)</f>
        <v>Argola Click Pequena Banho Ouro</v>
      </c>
      <c r="AB1971" s="33" t="s">
        <v>1097</v>
      </c>
    </row>
    <row r="1972" spans="2:28" ht="15" customHeight="1" x14ac:dyDescent="0.4">
      <c r="C1972" s="34" t="s">
        <v>6</v>
      </c>
      <c r="D1972" s="35">
        <v>45993</v>
      </c>
      <c r="E1972" s="51" t="s">
        <v>94</v>
      </c>
      <c r="F1972" s="33">
        <v>1</v>
      </c>
      <c r="G1972" s="27">
        <f t="shared" si="39"/>
        <v>-1</v>
      </c>
      <c r="H1972" s="28" t="str">
        <f>VLOOKUP(E1972,'Cadastro Produtos (kiwkiw)'!C:E,3,0)</f>
        <v>Colar Duplo Dots Banho Ouro</v>
      </c>
      <c r="AB1972" s="33" t="s">
        <v>1098</v>
      </c>
    </row>
    <row r="1973" spans="2:28" ht="15" customHeight="1" x14ac:dyDescent="0.4">
      <c r="C1973" s="34" t="s">
        <v>6</v>
      </c>
      <c r="D1973" s="35">
        <v>45993</v>
      </c>
      <c r="E1973" s="51" t="s">
        <v>824</v>
      </c>
      <c r="F1973" s="33">
        <v>1</v>
      </c>
      <c r="G1973" s="27">
        <f t="shared" si="39"/>
        <v>-1</v>
      </c>
      <c r="H1973" s="28" t="str">
        <f>VLOOKUP(E1973,'Cadastro Produtos (kiwkiw)'!C:E,3,0)</f>
        <v>Pulseira Delicate Banho Ouro</v>
      </c>
      <c r="AB1973" s="33" t="s">
        <v>1098</v>
      </c>
    </row>
    <row r="1974" spans="2:28" ht="15" customHeight="1" x14ac:dyDescent="0.4">
      <c r="C1974" s="34" t="s">
        <v>6</v>
      </c>
      <c r="D1974" s="35">
        <v>45993</v>
      </c>
      <c r="E1974" s="51" t="s">
        <v>130</v>
      </c>
      <c r="F1974" s="33">
        <v>1</v>
      </c>
      <c r="G1974" s="27">
        <f t="shared" si="39"/>
        <v>-1</v>
      </c>
      <c r="H1974" s="28" t="str">
        <f>VLOOKUP(E1974,'Cadastro Produtos (kiwkiw)'!C:E,3,0)</f>
        <v>Pulseira Snake Prateada</v>
      </c>
      <c r="AB1974" s="33" t="s">
        <v>1098</v>
      </c>
    </row>
    <row r="1975" spans="2:28" ht="15" customHeight="1" x14ac:dyDescent="0.4">
      <c r="B1975" s="43">
        <v>45994.426446759258</v>
      </c>
      <c r="C1975" s="34" t="s">
        <v>6</v>
      </c>
      <c r="D1975" s="35">
        <v>45994</v>
      </c>
      <c r="E1975" s="51" t="s">
        <v>32</v>
      </c>
      <c r="F1975" s="33">
        <v>1</v>
      </c>
      <c r="G1975" s="27">
        <f t="shared" ref="G1975:G2038" si="40">IF(C1975="Entrada",F1975,-F1975)</f>
        <v>-1</v>
      </c>
      <c r="H1975" s="28" t="str">
        <f>VLOOKUP(E1975,'Cadastro Produtos (kiwkiw)'!C:E,3,0)</f>
        <v>Argola Redonda Basic Banho Ouro</v>
      </c>
      <c r="AB1975" s="33" t="s">
        <v>1099</v>
      </c>
    </row>
    <row r="1976" spans="2:28" ht="15" customHeight="1" x14ac:dyDescent="0.4">
      <c r="C1976" s="34" t="s">
        <v>6</v>
      </c>
      <c r="D1976" s="35">
        <v>45994</v>
      </c>
      <c r="E1976" s="51" t="s">
        <v>772</v>
      </c>
      <c r="F1976" s="33">
        <v>1</v>
      </c>
      <c r="G1976" s="27">
        <f t="shared" si="40"/>
        <v>-1</v>
      </c>
      <c r="H1976" s="28" t="str">
        <f>VLOOKUP(E1976,'Cadastro Produtos (kiwkiw)'!C:E,3,0)</f>
        <v>Argolinha Click Bambu Prateada</v>
      </c>
      <c r="AB1976" s="33" t="s">
        <v>1100</v>
      </c>
    </row>
    <row r="1977" spans="2:28" ht="15" customHeight="1" x14ac:dyDescent="0.4">
      <c r="C1977" s="34" t="s">
        <v>6</v>
      </c>
      <c r="D1977" s="35">
        <v>45994</v>
      </c>
      <c r="E1977" s="51" t="s">
        <v>772</v>
      </c>
      <c r="F1977" s="33">
        <v>1</v>
      </c>
      <c r="G1977" s="27">
        <f t="shared" si="40"/>
        <v>-1</v>
      </c>
      <c r="H1977" s="28" t="str">
        <f>VLOOKUP(E1977,'Cadastro Produtos (kiwkiw)'!C:E,3,0)</f>
        <v>Argolinha Click Bambu Prateada</v>
      </c>
      <c r="AB1977" s="33" t="s">
        <v>1101</v>
      </c>
    </row>
    <row r="1978" spans="2:28" ht="15" customHeight="1" x14ac:dyDescent="0.4">
      <c r="C1978" s="34" t="s">
        <v>6</v>
      </c>
      <c r="D1978" s="35">
        <v>45994</v>
      </c>
      <c r="E1978" s="51" t="s">
        <v>99</v>
      </c>
      <c r="F1978" s="33">
        <v>1</v>
      </c>
      <c r="G1978" s="27">
        <f t="shared" si="40"/>
        <v>-1</v>
      </c>
      <c r="H1978" s="28" t="str">
        <f>VLOOKUP(E1978,'Cadastro Produtos (kiwkiw)'!C:E,3,0)</f>
        <v>Colar Esfera Medio Banho Ouro</v>
      </c>
      <c r="AB1978" s="33" t="s">
        <v>1100</v>
      </c>
    </row>
    <row r="1979" spans="2:28" ht="15" customHeight="1" x14ac:dyDescent="0.4">
      <c r="C1979" s="34" t="s">
        <v>6</v>
      </c>
      <c r="D1979" s="35">
        <v>45994</v>
      </c>
      <c r="E1979" s="51" t="s">
        <v>100</v>
      </c>
      <c r="F1979" s="33">
        <v>1</v>
      </c>
      <c r="G1979" s="27">
        <f t="shared" si="40"/>
        <v>-1</v>
      </c>
      <c r="H1979" s="28" t="str">
        <f>VLOOKUP(E1979,'Cadastro Produtos (kiwkiw)'!C:E,3,0)</f>
        <v>Colar Esfera Pequeno Banho Ouro</v>
      </c>
      <c r="AB1979" s="33" t="s">
        <v>1100</v>
      </c>
    </row>
    <row r="1980" spans="2:28" ht="15" customHeight="1" x14ac:dyDescent="0.4">
      <c r="C1980" s="34" t="s">
        <v>6</v>
      </c>
      <c r="D1980" s="35">
        <v>45994</v>
      </c>
      <c r="E1980" s="51" t="s">
        <v>774</v>
      </c>
      <c r="F1980" s="33">
        <v>1</v>
      </c>
      <c r="G1980" s="27">
        <f t="shared" si="40"/>
        <v>-1</v>
      </c>
      <c r="H1980" s="28" t="str">
        <f>VLOOKUP(E1980,'Cadastro Produtos (kiwkiw)'!C:E,3,0)</f>
        <v>Brinco Leque Prateado</v>
      </c>
      <c r="AB1980" s="33" t="s">
        <v>1101</v>
      </c>
    </row>
    <row r="1981" spans="2:28" ht="15" customHeight="1" x14ac:dyDescent="0.4">
      <c r="C1981" s="34" t="s">
        <v>6</v>
      </c>
      <c r="D1981" s="35">
        <v>45994</v>
      </c>
      <c r="E1981" s="51" t="s">
        <v>31</v>
      </c>
      <c r="F1981" s="33">
        <v>1</v>
      </c>
      <c r="G1981" s="27">
        <f t="shared" si="40"/>
        <v>-1</v>
      </c>
      <c r="H1981" s="28" t="str">
        <f>VLOOKUP(E1981,'Cadastro Produtos (kiwkiw)'!C:E,3,0)</f>
        <v>Argola Reta Basic Banho Ouro</v>
      </c>
      <c r="AB1981" s="33" t="s">
        <v>1101</v>
      </c>
    </row>
    <row r="1982" spans="2:28" ht="15" customHeight="1" x14ac:dyDescent="0.4">
      <c r="C1982" s="34" t="s">
        <v>6</v>
      </c>
      <c r="D1982" s="35">
        <v>45994</v>
      </c>
      <c r="E1982" s="51" t="s">
        <v>36</v>
      </c>
      <c r="F1982" s="33">
        <v>1</v>
      </c>
      <c r="G1982" s="27">
        <f t="shared" si="40"/>
        <v>-1</v>
      </c>
      <c r="H1982" s="28" t="str">
        <f>VLOOKUP(E1982,'Cadastro Produtos (kiwkiw)'!C:E,3,0)</f>
        <v>Argola Classy Prateada</v>
      </c>
      <c r="AB1982" s="33" t="s">
        <v>1101</v>
      </c>
    </row>
    <row r="1983" spans="2:28" ht="15" customHeight="1" x14ac:dyDescent="0.4">
      <c r="C1983" s="34" t="s">
        <v>6</v>
      </c>
      <c r="D1983" s="35">
        <v>45994</v>
      </c>
      <c r="E1983" s="51" t="s">
        <v>810</v>
      </c>
      <c r="F1983" s="33">
        <v>1</v>
      </c>
      <c r="G1983" s="27">
        <f t="shared" si="40"/>
        <v>-1</v>
      </c>
      <c r="H1983" s="28" t="str">
        <f>VLOOKUP(E1983,'Cadastro Produtos (kiwkiw)'!C:E,3,0)</f>
        <v>Brinco Disco Banho Ouro</v>
      </c>
      <c r="AB1983" s="33" t="s">
        <v>1101</v>
      </c>
    </row>
    <row r="1984" spans="2:28" ht="15" customHeight="1" x14ac:dyDescent="0.4">
      <c r="C1984" s="34" t="s">
        <v>6</v>
      </c>
      <c r="D1984" s="35">
        <v>45994</v>
      </c>
      <c r="E1984" s="51" t="s">
        <v>57</v>
      </c>
      <c r="F1984" s="33">
        <v>1</v>
      </c>
      <c r="G1984" s="27">
        <f t="shared" si="40"/>
        <v>-1</v>
      </c>
      <c r="H1984" s="28" t="str">
        <f>VLOOKUP(E1984,'Cadastro Produtos (kiwkiw)'!C:E,3,0)</f>
        <v>Brinco Mini Raio Prateado</v>
      </c>
      <c r="AB1984" s="33" t="s">
        <v>1101</v>
      </c>
    </row>
    <row r="1985" spans="2:28" ht="15" customHeight="1" x14ac:dyDescent="0.4">
      <c r="C1985" s="34" t="s">
        <v>6</v>
      </c>
      <c r="D1985" s="35">
        <v>45994</v>
      </c>
      <c r="E1985" s="51" t="s">
        <v>118</v>
      </c>
      <c r="F1985" s="33">
        <v>1</v>
      </c>
      <c r="G1985" s="27">
        <f t="shared" si="40"/>
        <v>-1</v>
      </c>
      <c r="H1985" s="28" t="str">
        <f>VLOOKUP(E1985,'Cadastro Produtos (kiwkiw)'!C:E,3,0)</f>
        <v>Gargantilha Minimal Prateada</v>
      </c>
      <c r="AB1985" s="33" t="s">
        <v>1101</v>
      </c>
    </row>
    <row r="1986" spans="2:28" ht="15" customHeight="1" x14ac:dyDescent="0.4">
      <c r="C1986" s="34" t="s">
        <v>6</v>
      </c>
      <c r="D1986" s="35">
        <v>45994</v>
      </c>
      <c r="E1986" s="51" t="s">
        <v>104</v>
      </c>
      <c r="F1986" s="33">
        <v>1</v>
      </c>
      <c r="G1986" s="27">
        <f t="shared" si="40"/>
        <v>-1</v>
      </c>
      <c r="H1986" s="28" t="str">
        <f>VLOOKUP(E1986,'Cadastro Produtos (kiwkiw)'!C:E,3,0)</f>
        <v>Colar Ivy Prateado</v>
      </c>
      <c r="AB1986" s="33" t="s">
        <v>1101</v>
      </c>
    </row>
    <row r="1987" spans="2:28" ht="15" customHeight="1" x14ac:dyDescent="0.4">
      <c r="C1987" s="34" t="s">
        <v>6</v>
      </c>
      <c r="D1987" s="35">
        <v>45994</v>
      </c>
      <c r="E1987" s="51" t="s">
        <v>46</v>
      </c>
      <c r="F1987" s="33">
        <v>1</v>
      </c>
      <c r="G1987" s="27">
        <f t="shared" si="40"/>
        <v>-1</v>
      </c>
      <c r="H1987" s="28" t="str">
        <f>VLOOKUP(E1987,'Cadastro Produtos (kiwkiw)'!C:E,3,0)</f>
        <v>Brinco Bubble Pequeno Banho Ouro</v>
      </c>
      <c r="AB1987" s="33" t="s">
        <v>1101</v>
      </c>
    </row>
    <row r="1988" spans="2:28" ht="15" customHeight="1" x14ac:dyDescent="0.4">
      <c r="C1988" s="34" t="s">
        <v>6</v>
      </c>
      <c r="D1988" s="35">
        <v>45994</v>
      </c>
      <c r="E1988" s="51" t="s">
        <v>91</v>
      </c>
      <c r="F1988" s="33">
        <v>1</v>
      </c>
      <c r="G1988" s="27">
        <f t="shared" si="40"/>
        <v>-1</v>
      </c>
      <c r="H1988" s="28" t="str">
        <f>VLOOKUP(E1988,'Cadastro Produtos (kiwkiw)'!C:E,3,0)</f>
        <v>Colar Rosa dos Ventos Banho Ouro</v>
      </c>
      <c r="AB1988" s="33" t="s">
        <v>1102</v>
      </c>
    </row>
    <row r="1989" spans="2:28" ht="15" customHeight="1" x14ac:dyDescent="0.4">
      <c r="B1989" s="43">
        <v>45995.42460648148</v>
      </c>
      <c r="C1989" s="34" t="s">
        <v>6</v>
      </c>
      <c r="D1989" s="35">
        <v>45995</v>
      </c>
      <c r="E1989" s="51" t="s">
        <v>94</v>
      </c>
      <c r="F1989" s="33">
        <v>1</v>
      </c>
      <c r="G1989" s="27">
        <f t="shared" si="40"/>
        <v>-1</v>
      </c>
      <c r="H1989" s="28" t="str">
        <f>VLOOKUP(E1989,'Cadastro Produtos (kiwkiw)'!C:E,3,0)</f>
        <v>Colar Duplo Dots Banho Ouro</v>
      </c>
      <c r="AB1989" s="33" t="s">
        <v>1103</v>
      </c>
    </row>
    <row r="1990" spans="2:28" ht="15" customHeight="1" x14ac:dyDescent="0.4">
      <c r="C1990" s="34" t="s">
        <v>6</v>
      </c>
      <c r="D1990" s="35">
        <v>45995</v>
      </c>
      <c r="E1990" s="51" t="s">
        <v>801</v>
      </c>
      <c r="F1990" s="33">
        <v>1</v>
      </c>
      <c r="G1990" s="27">
        <f t="shared" si="40"/>
        <v>-1</v>
      </c>
      <c r="H1990" s="28" t="str">
        <f>VLOOKUP(E1990,'Cadastro Produtos (kiwkiw)'!C:E,3,0)</f>
        <v>Gargantilha Line Banho Ouro</v>
      </c>
      <c r="AB1990" s="33" t="s">
        <v>1104</v>
      </c>
    </row>
    <row r="1991" spans="2:28" ht="15" customHeight="1" x14ac:dyDescent="0.4">
      <c r="C1991" s="34" t="s">
        <v>6</v>
      </c>
      <c r="D1991" s="35">
        <v>45995</v>
      </c>
      <c r="E1991" s="51" t="s">
        <v>822</v>
      </c>
      <c r="F1991" s="33">
        <v>1</v>
      </c>
      <c r="G1991" s="27">
        <f t="shared" si="40"/>
        <v>-1</v>
      </c>
      <c r="H1991" s="28" t="str">
        <f>VLOOKUP(E1991,'Cadastro Produtos (kiwkiw)'!C:E,3,0)</f>
        <v>Gargantilha Pearl Banho Ouro</v>
      </c>
      <c r="AB1991" s="33" t="s">
        <v>1104</v>
      </c>
    </row>
    <row r="1992" spans="2:28" ht="15" customHeight="1" x14ac:dyDescent="0.4">
      <c r="B1992" s="43">
        <v>45995.542303240742</v>
      </c>
      <c r="C1992" s="34" t="s">
        <v>5</v>
      </c>
      <c r="D1992" s="35">
        <v>45979</v>
      </c>
      <c r="E1992" s="51" t="s">
        <v>117</v>
      </c>
      <c r="F1992" s="33">
        <v>97</v>
      </c>
      <c r="G1992" s="27">
        <f t="shared" si="40"/>
        <v>97</v>
      </c>
      <c r="H1992" s="28" t="str">
        <f>VLOOKUP(E1992,'Cadastro Produtos (kiwkiw)'!C:E,3,0)</f>
        <v>Gargantilha Minimal Banho Ouro</v>
      </c>
      <c r="AB1992" s="33" t="s">
        <v>1105</v>
      </c>
    </row>
    <row r="1993" spans="2:28" ht="15" customHeight="1" x14ac:dyDescent="0.4">
      <c r="B1993" s="43">
        <v>45996.436527777776</v>
      </c>
      <c r="C1993" s="34" t="s">
        <v>6</v>
      </c>
      <c r="D1993" s="35">
        <v>45996</v>
      </c>
      <c r="E1993" s="51" t="s">
        <v>831</v>
      </c>
      <c r="F1993" s="33">
        <v>1</v>
      </c>
      <c r="G1993" s="27">
        <f t="shared" si="40"/>
        <v>-1</v>
      </c>
      <c r="H1993" s="28" t="str">
        <f>VLOOKUP(E1993,'Cadastro Produtos (kiwkiw)'!C:E,3,0)</f>
        <v>Brinco Palito Banho Ouro</v>
      </c>
      <c r="AB1993" s="33" t="s">
        <v>1106</v>
      </c>
    </row>
    <row r="1994" spans="2:28" ht="15" customHeight="1" x14ac:dyDescent="0.4">
      <c r="C1994" s="34" t="s">
        <v>6</v>
      </c>
      <c r="D1994" s="35">
        <v>45996</v>
      </c>
      <c r="E1994" s="51" t="s">
        <v>778</v>
      </c>
      <c r="F1994" s="33">
        <v>1</v>
      </c>
      <c r="G1994" s="27">
        <f t="shared" si="40"/>
        <v>-1</v>
      </c>
      <c r="H1994" s="28" t="str">
        <f>VLOOKUP(E1994,'Cadastro Produtos (kiwkiw)'!C:E,3,0)</f>
        <v>Piercing Fake No Prateado</v>
      </c>
      <c r="AB1994" s="33" t="s">
        <v>1106</v>
      </c>
    </row>
    <row r="1995" spans="2:28" ht="15" customHeight="1" x14ac:dyDescent="0.4">
      <c r="C1995" s="34" t="s">
        <v>6</v>
      </c>
      <c r="D1995" s="35">
        <v>45996</v>
      </c>
      <c r="E1995" s="51" t="s">
        <v>781</v>
      </c>
      <c r="F1995" s="33">
        <v>1</v>
      </c>
      <c r="G1995" s="27">
        <f t="shared" si="40"/>
        <v>-1</v>
      </c>
      <c r="H1995" s="28" t="str">
        <f>VLOOKUP(E1995,'Cadastro Produtos (kiwkiw)'!C:E,3,0)</f>
        <v>Brinco Palito Prateado</v>
      </c>
      <c r="AB1995" s="33" t="s">
        <v>1106</v>
      </c>
    </row>
    <row r="1996" spans="2:28" ht="15" customHeight="1" x14ac:dyDescent="0.4">
      <c r="C1996" s="34" t="s">
        <v>6</v>
      </c>
      <c r="D1996" s="35">
        <v>45996</v>
      </c>
      <c r="E1996" s="51" t="s">
        <v>104</v>
      </c>
      <c r="F1996" s="33">
        <v>2</v>
      </c>
      <c r="G1996" s="27">
        <f t="shared" si="40"/>
        <v>-2</v>
      </c>
      <c r="H1996" s="28" t="str">
        <f>VLOOKUP(E1996,'Cadastro Produtos (kiwkiw)'!C:E,3,0)</f>
        <v>Colar Ivy Prateado</v>
      </c>
      <c r="AB1996" s="33" t="s">
        <v>1106</v>
      </c>
    </row>
    <row r="1997" spans="2:28" ht="15" customHeight="1" x14ac:dyDescent="0.4">
      <c r="C1997" s="34" t="s">
        <v>6</v>
      </c>
      <c r="D1997" s="35">
        <v>45996</v>
      </c>
      <c r="E1997" s="51" t="s">
        <v>113</v>
      </c>
      <c r="F1997" s="33">
        <v>1</v>
      </c>
      <c r="G1997" s="27">
        <f t="shared" si="40"/>
        <v>-1</v>
      </c>
      <c r="H1997" s="28" t="str">
        <f>VLOOKUP(E1997,'Cadastro Produtos (kiwkiw)'!C:E,3,0)</f>
        <v>Gargantilha Escama Prateada</v>
      </c>
      <c r="AB1997" s="33" t="s">
        <v>1106</v>
      </c>
    </row>
    <row r="1998" spans="2:28" ht="15" customHeight="1" x14ac:dyDescent="0.4">
      <c r="C1998" s="34" t="s">
        <v>6</v>
      </c>
      <c r="D1998" s="35">
        <v>45996</v>
      </c>
      <c r="E1998" s="51" t="s">
        <v>829</v>
      </c>
      <c r="F1998" s="33">
        <v>1</v>
      </c>
      <c r="G1998" s="27">
        <f t="shared" si="40"/>
        <v>-1</v>
      </c>
      <c r="H1998" s="28" t="str">
        <f>VLOOKUP(E1998,'Cadastro Produtos (kiwkiw)'!C:E,3,0)</f>
        <v>Ear Hook Fio Banho Ouro</v>
      </c>
      <c r="AB1998" s="33" t="s">
        <v>1107</v>
      </c>
    </row>
    <row r="1999" spans="2:28" ht="15" customHeight="1" x14ac:dyDescent="0.4">
      <c r="C1999" s="34" t="s">
        <v>6</v>
      </c>
      <c r="D1999" s="35">
        <v>45996</v>
      </c>
      <c r="E1999" s="51" t="s">
        <v>811</v>
      </c>
      <c r="F1999" s="33">
        <v>1</v>
      </c>
      <c r="G1999" s="27">
        <f t="shared" si="40"/>
        <v>-1</v>
      </c>
      <c r="H1999" s="28" t="str">
        <f>VLOOKUP(E1999,'Cadastro Produtos (kiwkiw)'!C:E,3,0)</f>
        <v>Brinco Drop P Banho Ouro</v>
      </c>
      <c r="AB1999" s="33" t="s">
        <v>1107</v>
      </c>
    </row>
    <row r="2000" spans="2:28" ht="15" customHeight="1" x14ac:dyDescent="0.4">
      <c r="C2000" s="34" t="s">
        <v>6</v>
      </c>
      <c r="D2000" s="35">
        <v>45996</v>
      </c>
      <c r="E2000" s="51" t="s">
        <v>61</v>
      </c>
      <c r="F2000" s="33">
        <v>1</v>
      </c>
      <c r="G2000" s="27">
        <f t="shared" si="40"/>
        <v>-1</v>
      </c>
      <c r="H2000" s="28" t="str">
        <f>VLOOKUP(E2000,'Cadastro Produtos (kiwkiw)'!C:E,3,0)</f>
        <v>Brinco Setas Banho Ouro</v>
      </c>
      <c r="AB2000" s="33" t="s">
        <v>1107</v>
      </c>
    </row>
    <row r="2001" spans="2:28" ht="15" customHeight="1" x14ac:dyDescent="0.4">
      <c r="C2001" s="34" t="s">
        <v>6</v>
      </c>
      <c r="D2001" s="35">
        <v>45996</v>
      </c>
      <c r="E2001" s="51" t="s">
        <v>27</v>
      </c>
      <c r="F2001" s="33">
        <v>1</v>
      </c>
      <c r="G2001" s="27">
        <f t="shared" si="40"/>
        <v>-1</v>
      </c>
      <c r="H2001" s="28" t="str">
        <f>VLOOKUP(E2001,'Cadastro Produtos (kiwkiw)'!C:E,3,0)</f>
        <v>Argola Click Media Banho Ouro</v>
      </c>
      <c r="AB2001" s="33" t="s">
        <v>1107</v>
      </c>
    </row>
    <row r="2002" spans="2:28" ht="15" customHeight="1" x14ac:dyDescent="0.4">
      <c r="C2002" s="34" t="s">
        <v>6</v>
      </c>
      <c r="D2002" s="35">
        <v>45996</v>
      </c>
      <c r="E2002" s="51" t="s">
        <v>804</v>
      </c>
      <c r="F2002" s="33">
        <v>1</v>
      </c>
      <c r="G2002" s="27">
        <f t="shared" si="40"/>
        <v>-1</v>
      </c>
      <c r="H2002" s="28" t="str">
        <f>VLOOKUP(E2002,'Cadastro Produtos (kiwkiw)'!C:E,3,0)</f>
        <v>Anel Drop Banho Ouro</v>
      </c>
      <c r="AB2002" s="33" t="s">
        <v>1107</v>
      </c>
    </row>
    <row r="2003" spans="2:28" ht="15" customHeight="1" x14ac:dyDescent="0.4">
      <c r="C2003" s="34" t="s">
        <v>6</v>
      </c>
      <c r="D2003" s="35">
        <v>45996</v>
      </c>
      <c r="E2003" s="51" t="s">
        <v>799</v>
      </c>
      <c r="F2003" s="33">
        <v>1</v>
      </c>
      <c r="G2003" s="27">
        <f t="shared" si="40"/>
        <v>-1</v>
      </c>
      <c r="H2003" s="28" t="str">
        <f>VLOOKUP(E2003,'Cadastro Produtos (kiwkiw)'!C:E,3,0)</f>
        <v>Gargantilha Fita Textura Banho Ouro</v>
      </c>
      <c r="AB2003" s="33" t="s">
        <v>1107</v>
      </c>
    </row>
    <row r="2004" spans="2:28" ht="15" customHeight="1" x14ac:dyDescent="0.4">
      <c r="C2004" s="34" t="s">
        <v>6</v>
      </c>
      <c r="D2004" s="35">
        <v>45996</v>
      </c>
      <c r="E2004" s="51" t="s">
        <v>117</v>
      </c>
      <c r="F2004" s="33">
        <v>1</v>
      </c>
      <c r="G2004" s="27">
        <f t="shared" si="40"/>
        <v>-1</v>
      </c>
      <c r="H2004" s="28" t="str">
        <f>VLOOKUP(E2004,'Cadastro Produtos (kiwkiw)'!C:E,3,0)</f>
        <v>Gargantilha Minimal Banho Ouro</v>
      </c>
      <c r="AB2004" s="33" t="s">
        <v>1108</v>
      </c>
    </row>
    <row r="2005" spans="2:28" ht="15" customHeight="1" x14ac:dyDescent="0.4">
      <c r="C2005" s="34" t="s">
        <v>6</v>
      </c>
      <c r="D2005" s="35">
        <v>45996</v>
      </c>
      <c r="E2005" s="51" t="s">
        <v>801</v>
      </c>
      <c r="F2005" s="33">
        <v>1</v>
      </c>
      <c r="G2005" s="27">
        <f t="shared" si="40"/>
        <v>-1</v>
      </c>
      <c r="H2005" s="28" t="str">
        <f>VLOOKUP(E2005,'Cadastro Produtos (kiwkiw)'!C:E,3,0)</f>
        <v>Gargantilha Line Banho Ouro</v>
      </c>
      <c r="AB2005" s="33" t="s">
        <v>1108</v>
      </c>
    </row>
    <row r="2006" spans="2:28" ht="15" customHeight="1" x14ac:dyDescent="0.4">
      <c r="C2006" s="34" t="s">
        <v>6</v>
      </c>
      <c r="D2006" s="35">
        <v>45996</v>
      </c>
      <c r="E2006" s="51" t="s">
        <v>59</v>
      </c>
      <c r="F2006" s="33">
        <v>1</v>
      </c>
      <c r="G2006" s="27">
        <f t="shared" si="40"/>
        <v>-1</v>
      </c>
      <c r="H2006" s="28" t="str">
        <f>VLOOKUP(E2006,'Cadastro Produtos (kiwkiw)'!C:E,3,0)</f>
        <v>Brinco Oncinha Banho Ouro</v>
      </c>
      <c r="AB2006" s="33" t="s">
        <v>1109</v>
      </c>
    </row>
    <row r="2007" spans="2:28" ht="15" customHeight="1" x14ac:dyDescent="0.4">
      <c r="B2007" s="43">
        <v>45999.424953703703</v>
      </c>
      <c r="C2007" s="34" t="s">
        <v>6</v>
      </c>
      <c r="D2007" s="35">
        <v>45999</v>
      </c>
      <c r="E2007" s="51" t="s">
        <v>822</v>
      </c>
      <c r="F2007" s="33">
        <v>1</v>
      </c>
      <c r="G2007" s="27">
        <f t="shared" si="40"/>
        <v>-1</v>
      </c>
      <c r="H2007" s="28" t="str">
        <f>VLOOKUP(E2007,'Cadastro Produtos (kiwkiw)'!C:E,3,0)</f>
        <v>Gargantilha Pearl Banho Ouro</v>
      </c>
      <c r="AB2007" s="33" t="s">
        <v>1110</v>
      </c>
    </row>
    <row r="2008" spans="2:28" ht="15" customHeight="1" x14ac:dyDescent="0.4">
      <c r="C2008" s="34" t="s">
        <v>6</v>
      </c>
      <c r="D2008" s="35">
        <v>45999</v>
      </c>
      <c r="E2008" s="51" t="s">
        <v>62</v>
      </c>
      <c r="F2008" s="33">
        <v>1</v>
      </c>
      <c r="G2008" s="27">
        <f t="shared" si="40"/>
        <v>-1</v>
      </c>
      <c r="H2008" s="28" t="str">
        <f>VLOOKUP(E2008,'Cadastro Produtos (kiwkiw)'!C:E,3,0)</f>
        <v>Brinco Sol Banho Ouro</v>
      </c>
      <c r="AB2008" s="33" t="s">
        <v>1111</v>
      </c>
    </row>
    <row r="2009" spans="2:28" ht="15" customHeight="1" x14ac:dyDescent="0.4">
      <c r="C2009" s="34" t="s">
        <v>6</v>
      </c>
      <c r="D2009" s="35">
        <v>45999</v>
      </c>
      <c r="E2009" s="51" t="s">
        <v>62</v>
      </c>
      <c r="F2009" s="33">
        <v>1</v>
      </c>
      <c r="G2009" s="27">
        <f t="shared" si="40"/>
        <v>-1</v>
      </c>
      <c r="H2009" s="28" t="str">
        <f>VLOOKUP(E2009,'Cadastro Produtos (kiwkiw)'!C:E,3,0)</f>
        <v>Brinco Sol Banho Ouro</v>
      </c>
      <c r="AB2009" s="33" t="s">
        <v>1112</v>
      </c>
    </row>
    <row r="2010" spans="2:28" ht="15" customHeight="1" x14ac:dyDescent="0.4">
      <c r="C2010" s="34" t="s">
        <v>6</v>
      </c>
      <c r="D2010" s="35">
        <v>45999</v>
      </c>
      <c r="E2010" s="51" t="s">
        <v>818</v>
      </c>
      <c r="F2010" s="33">
        <v>1</v>
      </c>
      <c r="G2010" s="27">
        <f t="shared" si="40"/>
        <v>-1</v>
      </c>
      <c r="H2010" s="28" t="str">
        <f>VLOOKUP(E2010,'Cadastro Produtos (kiwkiw)'!C:E,3,0)</f>
        <v>Colar Longo Medalhinhas Banho Ouro</v>
      </c>
      <c r="AB2010" s="33" t="s">
        <v>1111</v>
      </c>
    </row>
    <row r="2011" spans="2:28" ht="15" customHeight="1" x14ac:dyDescent="0.4">
      <c r="C2011" s="34" t="s">
        <v>6</v>
      </c>
      <c r="D2011" s="35">
        <v>45999</v>
      </c>
      <c r="E2011" s="51" t="s">
        <v>94</v>
      </c>
      <c r="F2011" s="33">
        <v>1</v>
      </c>
      <c r="G2011" s="27">
        <f t="shared" si="40"/>
        <v>-1</v>
      </c>
      <c r="H2011" s="28" t="str">
        <f>VLOOKUP(E2011,'Cadastro Produtos (kiwkiw)'!C:E,3,0)</f>
        <v>Colar Duplo Dots Banho Ouro</v>
      </c>
      <c r="AB2011" s="33" t="s">
        <v>1111</v>
      </c>
    </row>
    <row r="2012" spans="2:28" ht="15" customHeight="1" x14ac:dyDescent="0.4">
      <c r="C2012" s="34" t="s">
        <v>6</v>
      </c>
      <c r="D2012" s="35">
        <v>45999</v>
      </c>
      <c r="E2012" s="51" t="s">
        <v>116</v>
      </c>
      <c r="F2012" s="33">
        <v>1</v>
      </c>
      <c r="G2012" s="27">
        <f t="shared" si="40"/>
        <v>-1</v>
      </c>
      <c r="H2012" s="28" t="str">
        <f>VLOOKUP(E2012,'Cadastro Produtos (kiwkiw)'!C:E,3,0)</f>
        <v>Gargantilha Dots Banho Ouro</v>
      </c>
      <c r="AB2012" s="33" t="s">
        <v>1111</v>
      </c>
    </row>
    <row r="2013" spans="2:28" ht="15" customHeight="1" x14ac:dyDescent="0.4">
      <c r="C2013" s="34" t="s">
        <v>6</v>
      </c>
      <c r="D2013" s="35">
        <v>45999</v>
      </c>
      <c r="E2013" s="51" t="s">
        <v>121</v>
      </c>
      <c r="F2013" s="33">
        <v>1</v>
      </c>
      <c r="G2013" s="27">
        <f t="shared" si="40"/>
        <v>-1</v>
      </c>
      <c r="H2013" s="28" t="str">
        <f>VLOOKUP(E2013,'Cadastro Produtos (kiwkiw)'!C:E,3,0)</f>
        <v>Bracelete Wave Banho Ouro</v>
      </c>
      <c r="AB2013" s="33" t="s">
        <v>1111</v>
      </c>
    </row>
    <row r="2014" spans="2:28" ht="15" customHeight="1" x14ac:dyDescent="0.4">
      <c r="C2014" s="34" t="s">
        <v>6</v>
      </c>
      <c r="D2014" s="35">
        <v>45999</v>
      </c>
      <c r="E2014" s="51" t="s">
        <v>103</v>
      </c>
      <c r="F2014" s="33">
        <v>1</v>
      </c>
      <c r="G2014" s="27">
        <f t="shared" si="40"/>
        <v>-1</v>
      </c>
      <c r="H2014" s="28" t="str">
        <f>VLOOKUP(E2014,'Cadastro Produtos (kiwkiw)'!C:E,3,0)</f>
        <v>Colar Ivy Banho Ouro</v>
      </c>
      <c r="AB2014" s="33" t="s">
        <v>1111</v>
      </c>
    </row>
    <row r="2015" spans="2:28" ht="15" customHeight="1" x14ac:dyDescent="0.4">
      <c r="C2015" s="34" t="s">
        <v>6</v>
      </c>
      <c r="D2015" s="35">
        <v>45999</v>
      </c>
      <c r="E2015" s="51" t="s">
        <v>797</v>
      </c>
      <c r="F2015" s="33">
        <v>1</v>
      </c>
      <c r="G2015" s="27">
        <f t="shared" si="40"/>
        <v>-1</v>
      </c>
      <c r="H2015" s="28" t="str">
        <f>VLOOKUP(E2015,'Cadastro Produtos (kiwkiw)'!C:E,3,0)</f>
        <v>Colar Ponto de Luz Banho Ouro</v>
      </c>
      <c r="AB2015" s="33" t="s">
        <v>1113</v>
      </c>
    </row>
    <row r="2016" spans="2:28" ht="15" customHeight="1" x14ac:dyDescent="0.4">
      <c r="C2016" s="34" t="s">
        <v>6</v>
      </c>
      <c r="D2016" s="35">
        <v>45999</v>
      </c>
      <c r="E2016" s="51" t="s">
        <v>796</v>
      </c>
      <c r="F2016" s="33">
        <v>1</v>
      </c>
      <c r="G2016" s="27">
        <f t="shared" si="40"/>
        <v>-1</v>
      </c>
      <c r="H2016" s="28" t="str">
        <f>VLOOKUP(E2016,'Cadastro Produtos (kiwkiw)'!C:E,3,0)</f>
        <v>Colar Longo Minimal Banho Ouro</v>
      </c>
      <c r="AB2016" s="33" t="s">
        <v>1113</v>
      </c>
    </row>
    <row r="2017" spans="2:28" ht="15" customHeight="1" x14ac:dyDescent="0.4">
      <c r="C2017" s="34" t="s">
        <v>6</v>
      </c>
      <c r="D2017" s="35">
        <v>45999</v>
      </c>
      <c r="E2017" s="51" t="s">
        <v>129</v>
      </c>
      <c r="F2017" s="33">
        <v>1</v>
      </c>
      <c r="G2017" s="27">
        <f t="shared" si="40"/>
        <v>-1</v>
      </c>
      <c r="H2017" s="28" t="str">
        <f>VLOOKUP(E2017,'Cadastro Produtos (kiwkiw)'!C:E,3,0)</f>
        <v>Pulseira Snake Banho Ouro</v>
      </c>
      <c r="AB2017" s="33" t="s">
        <v>1114</v>
      </c>
    </row>
    <row r="2018" spans="2:28" ht="15" customHeight="1" x14ac:dyDescent="0.4">
      <c r="C2018" s="34" t="s">
        <v>6</v>
      </c>
      <c r="D2018" s="35">
        <v>45999</v>
      </c>
      <c r="E2018" s="51" t="s">
        <v>129</v>
      </c>
      <c r="F2018" s="33">
        <v>1</v>
      </c>
      <c r="G2018" s="27">
        <f t="shared" si="40"/>
        <v>-1</v>
      </c>
      <c r="H2018" s="28" t="str">
        <f>VLOOKUP(E2018,'Cadastro Produtos (kiwkiw)'!C:E,3,0)</f>
        <v>Pulseira Snake Banho Ouro</v>
      </c>
      <c r="AB2018" s="33" t="s">
        <v>1115</v>
      </c>
    </row>
    <row r="2019" spans="2:28" ht="15" customHeight="1" x14ac:dyDescent="0.4">
      <c r="C2019" s="34" t="s">
        <v>6</v>
      </c>
      <c r="D2019" s="35">
        <v>45999</v>
      </c>
      <c r="E2019" s="51" t="s">
        <v>130</v>
      </c>
      <c r="F2019" s="33">
        <v>1</v>
      </c>
      <c r="G2019" s="27">
        <f t="shared" si="40"/>
        <v>-1</v>
      </c>
      <c r="H2019" s="28" t="str">
        <f>VLOOKUP(E2019,'Cadastro Produtos (kiwkiw)'!C:E,3,0)</f>
        <v>Pulseira Snake Prateada</v>
      </c>
      <c r="AB2019" s="33" t="s">
        <v>1114</v>
      </c>
    </row>
    <row r="2020" spans="2:28" ht="15" customHeight="1" x14ac:dyDescent="0.4">
      <c r="C2020" s="34" t="s">
        <v>6</v>
      </c>
      <c r="D2020" s="35">
        <v>45999</v>
      </c>
      <c r="E2020" s="51" t="s">
        <v>124</v>
      </c>
      <c r="F2020" s="33">
        <v>1</v>
      </c>
      <c r="G2020" s="27">
        <f t="shared" si="40"/>
        <v>-1</v>
      </c>
      <c r="H2020" s="28" t="str">
        <f>VLOOKUP(E2020,'Cadastro Produtos (kiwkiw)'!C:E,3,0)</f>
        <v>Pulseira Fita Textura Banho Ouro</v>
      </c>
      <c r="AB2020" s="33" t="s">
        <v>1115</v>
      </c>
    </row>
    <row r="2021" spans="2:28" ht="15" customHeight="1" x14ac:dyDescent="0.4">
      <c r="C2021" s="34" t="s">
        <v>6</v>
      </c>
      <c r="D2021" s="35">
        <v>45999</v>
      </c>
      <c r="E2021" s="51" t="s">
        <v>124</v>
      </c>
      <c r="F2021" s="33">
        <v>1</v>
      </c>
      <c r="G2021" s="27">
        <f t="shared" si="40"/>
        <v>-1</v>
      </c>
      <c r="H2021" s="28" t="str">
        <f>VLOOKUP(E2021,'Cadastro Produtos (kiwkiw)'!C:E,3,0)</f>
        <v>Pulseira Fita Textura Banho Ouro</v>
      </c>
      <c r="AB2021" s="33" t="s">
        <v>1116</v>
      </c>
    </row>
    <row r="2022" spans="2:28" ht="15" customHeight="1" x14ac:dyDescent="0.4">
      <c r="C2022" s="34" t="s">
        <v>6</v>
      </c>
      <c r="D2022" s="35">
        <v>45999</v>
      </c>
      <c r="E2022" s="51" t="s">
        <v>803</v>
      </c>
      <c r="F2022" s="33">
        <v>1</v>
      </c>
      <c r="G2022" s="27">
        <f t="shared" si="40"/>
        <v>-1</v>
      </c>
      <c r="H2022" s="28" t="str">
        <f>VLOOKUP(E2022,'Cadastro Produtos (kiwkiw)'!C:E,3,0)</f>
        <v>Pulseira Fita 3mm Banho Ouro</v>
      </c>
      <c r="AB2022" s="33" t="s">
        <v>1115</v>
      </c>
    </row>
    <row r="2023" spans="2:28" ht="15" customHeight="1" x14ac:dyDescent="0.4">
      <c r="C2023" s="34" t="s">
        <v>6</v>
      </c>
      <c r="D2023" s="35">
        <v>45999</v>
      </c>
      <c r="E2023" s="51" t="s">
        <v>49</v>
      </c>
      <c r="F2023" s="33">
        <v>1</v>
      </c>
      <c r="G2023" s="27">
        <f t="shared" si="40"/>
        <v>-1</v>
      </c>
      <c r="H2023" s="28" t="str">
        <f>VLOOKUP(E2023,'Cadastro Produtos (kiwkiw)'!C:E,3,0)</f>
        <v>Brinco Coracao Diamond Banho Ouro</v>
      </c>
      <c r="AB2023" s="33" t="s">
        <v>1116</v>
      </c>
    </row>
    <row r="2024" spans="2:28" ht="15" customHeight="1" x14ac:dyDescent="0.4">
      <c r="C2024" s="34" t="s">
        <v>6</v>
      </c>
      <c r="D2024" s="35">
        <v>45999</v>
      </c>
      <c r="E2024" s="51" t="s">
        <v>117</v>
      </c>
      <c r="F2024" s="33">
        <v>1</v>
      </c>
      <c r="G2024" s="27">
        <f t="shared" si="40"/>
        <v>-1</v>
      </c>
      <c r="H2024" s="28" t="str">
        <f>VLOOKUP(E2024,'Cadastro Produtos (kiwkiw)'!C:E,3,0)</f>
        <v>Gargantilha Minimal Banho Ouro</v>
      </c>
      <c r="AB2024" s="33" t="s">
        <v>1117</v>
      </c>
    </row>
    <row r="2025" spans="2:28" ht="15" customHeight="1" x14ac:dyDescent="0.4">
      <c r="B2025" s="43">
        <v>46000.433113425926</v>
      </c>
      <c r="C2025" s="34" t="s">
        <v>6</v>
      </c>
      <c r="D2025" s="35">
        <v>46000</v>
      </c>
      <c r="E2025" s="51" t="s">
        <v>117</v>
      </c>
      <c r="F2025" s="33">
        <v>1</v>
      </c>
      <c r="G2025" s="27">
        <f t="shared" si="40"/>
        <v>-1</v>
      </c>
      <c r="H2025" s="28" t="str">
        <f>VLOOKUP(E2025,'Cadastro Produtos (kiwkiw)'!C:E,3,0)</f>
        <v>Gargantilha Minimal Banho Ouro</v>
      </c>
      <c r="AB2025" s="33" t="s">
        <v>1118</v>
      </c>
    </row>
    <row r="2026" spans="2:28" ht="15" customHeight="1" x14ac:dyDescent="0.4">
      <c r="C2026" s="34" t="s">
        <v>6</v>
      </c>
      <c r="D2026" s="35">
        <v>46000</v>
      </c>
      <c r="E2026" s="51" t="s">
        <v>117</v>
      </c>
      <c r="F2026" s="33">
        <v>1</v>
      </c>
      <c r="G2026" s="27">
        <f t="shared" si="40"/>
        <v>-1</v>
      </c>
      <c r="H2026" s="28" t="str">
        <f>VLOOKUP(E2026,'Cadastro Produtos (kiwkiw)'!C:E,3,0)</f>
        <v>Gargantilha Minimal Banho Ouro</v>
      </c>
      <c r="AB2026" s="33" t="s">
        <v>1119</v>
      </c>
    </row>
    <row r="2027" spans="2:28" ht="15" customHeight="1" x14ac:dyDescent="0.4">
      <c r="C2027" s="34" t="s">
        <v>6</v>
      </c>
      <c r="D2027" s="35">
        <v>46000</v>
      </c>
      <c r="E2027" s="51" t="s">
        <v>118</v>
      </c>
      <c r="F2027" s="33">
        <v>1</v>
      </c>
      <c r="G2027" s="27">
        <f t="shared" si="40"/>
        <v>-1</v>
      </c>
      <c r="H2027" s="28" t="str">
        <f>VLOOKUP(E2027,'Cadastro Produtos (kiwkiw)'!C:E,3,0)</f>
        <v>Gargantilha Minimal Prateada</v>
      </c>
      <c r="AB2027" s="33" t="s">
        <v>1118</v>
      </c>
    </row>
    <row r="2028" spans="2:28" ht="15" customHeight="1" x14ac:dyDescent="0.4">
      <c r="C2028" s="34" t="s">
        <v>6</v>
      </c>
      <c r="D2028" s="35">
        <v>46000</v>
      </c>
      <c r="E2028" s="51" t="s">
        <v>62</v>
      </c>
      <c r="F2028" s="33">
        <v>1</v>
      </c>
      <c r="G2028" s="27">
        <f t="shared" si="40"/>
        <v>-1</v>
      </c>
      <c r="H2028" s="28" t="str">
        <f>VLOOKUP(E2028,'Cadastro Produtos (kiwkiw)'!C:E,3,0)</f>
        <v>Brinco Sol Banho Ouro</v>
      </c>
      <c r="AB2028" s="33" t="s">
        <v>1119</v>
      </c>
    </row>
    <row r="2029" spans="2:28" ht="15" customHeight="1" x14ac:dyDescent="0.4">
      <c r="C2029" s="34" t="s">
        <v>6</v>
      </c>
      <c r="D2029" s="35">
        <v>46000</v>
      </c>
      <c r="E2029" s="51" t="s">
        <v>59</v>
      </c>
      <c r="F2029" s="33">
        <v>1</v>
      </c>
      <c r="G2029" s="27">
        <f t="shared" si="40"/>
        <v>-1</v>
      </c>
      <c r="H2029" s="28" t="str">
        <f>VLOOKUP(E2029,'Cadastro Produtos (kiwkiw)'!C:E,3,0)</f>
        <v>Brinco Oncinha Banho Ouro</v>
      </c>
      <c r="AB2029" s="33" t="s">
        <v>1119</v>
      </c>
    </row>
    <row r="2030" spans="2:28" ht="15" customHeight="1" x14ac:dyDescent="0.4">
      <c r="C2030" s="34" t="s">
        <v>6</v>
      </c>
      <c r="D2030" s="35">
        <v>46000</v>
      </c>
      <c r="E2030" s="51" t="s">
        <v>49</v>
      </c>
      <c r="F2030" s="33">
        <v>1</v>
      </c>
      <c r="G2030" s="27">
        <f t="shared" si="40"/>
        <v>-1</v>
      </c>
      <c r="H2030" s="28" t="str">
        <f>VLOOKUP(E2030,'Cadastro Produtos (kiwkiw)'!C:E,3,0)</f>
        <v>Brinco Coracao Diamond Banho Ouro</v>
      </c>
      <c r="AB2030" s="33" t="s">
        <v>1120</v>
      </c>
    </row>
    <row r="2031" spans="2:28" ht="15" customHeight="1" x14ac:dyDescent="0.4">
      <c r="C2031" s="34" t="s">
        <v>6</v>
      </c>
      <c r="D2031" s="35">
        <v>46000</v>
      </c>
      <c r="E2031" s="51" t="s">
        <v>802</v>
      </c>
      <c r="F2031" s="33">
        <v>1</v>
      </c>
      <c r="G2031" s="27">
        <f t="shared" si="40"/>
        <v>-1</v>
      </c>
      <c r="H2031" s="28" t="str">
        <f>VLOOKUP(E2031,'Cadastro Produtos (kiwkiw)'!C:E,3,0)</f>
        <v>Piercing Fake No Banho Ouro</v>
      </c>
      <c r="AB2031" s="33" t="s">
        <v>1120</v>
      </c>
    </row>
    <row r="2032" spans="2:28" ht="15" customHeight="1" x14ac:dyDescent="0.4">
      <c r="C2032" s="34" t="s">
        <v>6</v>
      </c>
      <c r="D2032" s="35">
        <v>46000</v>
      </c>
      <c r="E2032" s="51" t="s">
        <v>29</v>
      </c>
      <c r="F2032" s="33">
        <v>1</v>
      </c>
      <c r="G2032" s="27">
        <f t="shared" si="40"/>
        <v>-1</v>
      </c>
      <c r="H2032" s="28" t="str">
        <f>VLOOKUP(E2032,'Cadastro Produtos (kiwkiw)'!C:E,3,0)</f>
        <v>Argola Click Diamond Banho Ouro</v>
      </c>
      <c r="AB2032" s="33" t="s">
        <v>1120</v>
      </c>
    </row>
    <row r="2033" spans="3:28" ht="15" customHeight="1" x14ac:dyDescent="0.4">
      <c r="C2033" s="34" t="s">
        <v>6</v>
      </c>
      <c r="D2033" s="35">
        <v>46000</v>
      </c>
      <c r="E2033" s="51" t="s">
        <v>82</v>
      </c>
      <c r="F2033" s="33">
        <v>1</v>
      </c>
      <c r="G2033" s="27">
        <f t="shared" si="40"/>
        <v>-1</v>
      </c>
      <c r="H2033" s="28" t="str">
        <f>VLOOKUP(E2033,'Cadastro Produtos (kiwkiw)'!C:E,3,0)</f>
        <v>Meia Argola Diamond Banho Ouro</v>
      </c>
      <c r="AB2033" s="33" t="s">
        <v>1120</v>
      </c>
    </row>
    <row r="2034" spans="3:28" ht="15" customHeight="1" x14ac:dyDescent="0.4">
      <c r="C2034" s="34" t="s">
        <v>6</v>
      </c>
      <c r="D2034" s="35">
        <v>46000</v>
      </c>
      <c r="E2034" s="51" t="s">
        <v>821</v>
      </c>
      <c r="F2034" s="33">
        <v>1</v>
      </c>
      <c r="G2034" s="27">
        <f t="shared" si="40"/>
        <v>-1</v>
      </c>
      <c r="H2034" s="28" t="str">
        <f>VLOOKUP(E2034,'Cadastro Produtos (kiwkiw)'!C:E,3,0)</f>
        <v>Ear Cuff Snake Banho Ouro</v>
      </c>
      <c r="AB2034" s="33" t="s">
        <v>1120</v>
      </c>
    </row>
    <row r="2035" spans="3:28" ht="15" customHeight="1" x14ac:dyDescent="0.4">
      <c r="C2035" s="34" t="s">
        <v>6</v>
      </c>
      <c r="D2035" s="35">
        <v>46000</v>
      </c>
      <c r="E2035" s="51" t="s">
        <v>45</v>
      </c>
      <c r="F2035" s="33">
        <v>1</v>
      </c>
      <c r="G2035" s="27">
        <f t="shared" si="40"/>
        <v>-1</v>
      </c>
      <c r="H2035" s="28" t="str">
        <f>VLOOKUP(E2035,'Cadastro Produtos (kiwkiw)'!C:E,3,0)</f>
        <v>Brinco Bubble Medio Banho Ouro</v>
      </c>
      <c r="AB2035" s="33" t="s">
        <v>1120</v>
      </c>
    </row>
    <row r="2036" spans="3:28" ht="15" customHeight="1" x14ac:dyDescent="0.4">
      <c r="C2036" s="34" t="s">
        <v>6</v>
      </c>
      <c r="D2036" s="35">
        <v>46000</v>
      </c>
      <c r="E2036" s="51" t="s">
        <v>45</v>
      </c>
      <c r="F2036" s="33">
        <v>1</v>
      </c>
      <c r="G2036" s="27">
        <f t="shared" si="40"/>
        <v>-1</v>
      </c>
      <c r="H2036" s="28" t="str">
        <f>VLOOKUP(E2036,'Cadastro Produtos (kiwkiw)'!C:E,3,0)</f>
        <v>Brinco Bubble Medio Banho Ouro</v>
      </c>
      <c r="AB2036" s="33" t="s">
        <v>1121</v>
      </c>
    </row>
    <row r="2037" spans="3:28" ht="15" customHeight="1" x14ac:dyDescent="0.4">
      <c r="C2037" s="34" t="s">
        <v>6</v>
      </c>
      <c r="D2037" s="35">
        <v>46000</v>
      </c>
      <c r="E2037" s="51" t="s">
        <v>51</v>
      </c>
      <c r="F2037" s="33">
        <v>1</v>
      </c>
      <c r="G2037" s="27">
        <f t="shared" si="40"/>
        <v>-1</v>
      </c>
      <c r="H2037" s="28" t="str">
        <f>VLOOKUP(E2037,'Cadastro Produtos (kiwkiw)'!C:E,3,0)</f>
        <v>Brinco Mini Flecha Banho Ouro</v>
      </c>
      <c r="AB2037" s="33" t="s">
        <v>1120</v>
      </c>
    </row>
    <row r="2038" spans="3:28" ht="15" customHeight="1" x14ac:dyDescent="0.4">
      <c r="C2038" s="34" t="s">
        <v>6</v>
      </c>
      <c r="D2038" s="35">
        <v>46000</v>
      </c>
      <c r="E2038" s="51" t="s">
        <v>799</v>
      </c>
      <c r="F2038" s="33">
        <v>1</v>
      </c>
      <c r="G2038" s="27">
        <f t="shared" si="40"/>
        <v>-1</v>
      </c>
      <c r="H2038" s="28" t="str">
        <f>VLOOKUP(E2038,'Cadastro Produtos (kiwkiw)'!C:E,3,0)</f>
        <v>Gargantilha Fita Textura Banho Ouro</v>
      </c>
      <c r="AB2038" s="33" t="s">
        <v>1120</v>
      </c>
    </row>
    <row r="2039" spans="3:28" ht="15" customHeight="1" x14ac:dyDescent="0.4">
      <c r="C2039" s="34" t="s">
        <v>6</v>
      </c>
      <c r="D2039" s="35">
        <v>46000</v>
      </c>
      <c r="E2039" s="51" t="s">
        <v>94</v>
      </c>
      <c r="F2039" s="33">
        <v>1</v>
      </c>
      <c r="G2039" s="27">
        <f t="shared" ref="G2039:G2102" si="41">IF(C2039="Entrada",F2039,-F2039)</f>
        <v>-1</v>
      </c>
      <c r="H2039" s="28" t="str">
        <f>VLOOKUP(E2039,'Cadastro Produtos (kiwkiw)'!C:E,3,0)</f>
        <v>Colar Duplo Dots Banho Ouro</v>
      </c>
      <c r="AB2039" s="33" t="s">
        <v>1120</v>
      </c>
    </row>
    <row r="2040" spans="3:28" ht="15" customHeight="1" x14ac:dyDescent="0.4">
      <c r="C2040" s="34" t="s">
        <v>6</v>
      </c>
      <c r="D2040" s="35">
        <v>46000</v>
      </c>
      <c r="E2040" s="51" t="s">
        <v>112</v>
      </c>
      <c r="F2040" s="33">
        <v>1</v>
      </c>
      <c r="G2040" s="27">
        <f t="shared" si="41"/>
        <v>-1</v>
      </c>
      <c r="H2040" s="28" t="str">
        <f>VLOOKUP(E2040,'Cadastro Produtos (kiwkiw)'!C:E,3,0)</f>
        <v>Gargantilha Escama Banho Ouro</v>
      </c>
      <c r="AB2040" s="33" t="s">
        <v>1120</v>
      </c>
    </row>
    <row r="2041" spans="3:28" ht="15" customHeight="1" x14ac:dyDescent="0.4">
      <c r="C2041" s="34" t="s">
        <v>6</v>
      </c>
      <c r="D2041" s="35">
        <v>46000</v>
      </c>
      <c r="E2041" s="51" t="s">
        <v>112</v>
      </c>
      <c r="F2041" s="33">
        <v>1</v>
      </c>
      <c r="G2041" s="27">
        <f t="shared" si="41"/>
        <v>-1</v>
      </c>
      <c r="H2041" s="28" t="str">
        <f>VLOOKUP(E2041,'Cadastro Produtos (kiwkiw)'!C:E,3,0)</f>
        <v>Gargantilha Escama Banho Ouro</v>
      </c>
      <c r="AB2041" s="33" t="s">
        <v>1121</v>
      </c>
    </row>
    <row r="2042" spans="3:28" ht="15" customHeight="1" x14ac:dyDescent="0.4">
      <c r="C2042" s="34" t="s">
        <v>6</v>
      </c>
      <c r="D2042" s="35">
        <v>46000</v>
      </c>
      <c r="E2042" s="51" t="s">
        <v>92</v>
      </c>
      <c r="F2042" s="33">
        <v>2</v>
      </c>
      <c r="G2042" s="27">
        <f t="shared" si="41"/>
        <v>-2</v>
      </c>
      <c r="H2042" s="28" t="str">
        <f>VLOOKUP(E2042,'Cadastro Produtos (kiwkiw)'!C:E,3,0)</f>
        <v>Colar Coracao Banho Ouro</v>
      </c>
      <c r="AB2042" s="33" t="s">
        <v>1122</v>
      </c>
    </row>
    <row r="2043" spans="3:28" ht="15" customHeight="1" x14ac:dyDescent="0.4">
      <c r="C2043" s="34" t="s">
        <v>6</v>
      </c>
      <c r="D2043" s="35">
        <v>46000</v>
      </c>
      <c r="E2043" s="51" t="s">
        <v>92</v>
      </c>
      <c r="F2043" s="33">
        <v>1</v>
      </c>
      <c r="G2043" s="27">
        <f t="shared" si="41"/>
        <v>-1</v>
      </c>
      <c r="H2043" s="28" t="str">
        <f>VLOOKUP(E2043,'Cadastro Produtos (kiwkiw)'!C:E,3,0)</f>
        <v>Colar Coracao Banho Ouro</v>
      </c>
      <c r="AB2043" s="33" t="s">
        <v>1121</v>
      </c>
    </row>
    <row r="2044" spans="3:28" ht="15" customHeight="1" x14ac:dyDescent="0.4">
      <c r="C2044" s="34" t="s">
        <v>6</v>
      </c>
      <c r="D2044" s="35">
        <v>46000</v>
      </c>
      <c r="E2044" s="51" t="s">
        <v>114</v>
      </c>
      <c r="F2044" s="33">
        <v>1</v>
      </c>
      <c r="G2044" s="27">
        <f t="shared" si="41"/>
        <v>-1</v>
      </c>
      <c r="H2044" s="28" t="str">
        <f>VLOOKUP(E2044,'Cadastro Produtos (kiwkiw)'!C:E,3,0)</f>
        <v>Gargantilha Fita Banho Ouro</v>
      </c>
      <c r="AB2044" s="33" t="s">
        <v>1123</v>
      </c>
    </row>
    <row r="2045" spans="3:28" ht="15" customHeight="1" x14ac:dyDescent="0.4">
      <c r="C2045" s="34" t="s">
        <v>6</v>
      </c>
      <c r="D2045" s="35">
        <v>46000</v>
      </c>
      <c r="E2045" s="51" t="s">
        <v>103</v>
      </c>
      <c r="F2045" s="33">
        <v>1</v>
      </c>
      <c r="G2045" s="27">
        <f t="shared" si="41"/>
        <v>-1</v>
      </c>
      <c r="H2045" s="28" t="str">
        <f>VLOOKUP(E2045,'Cadastro Produtos (kiwkiw)'!C:E,3,0)</f>
        <v>Colar Ivy Banho Ouro</v>
      </c>
      <c r="AB2045" s="33" t="s">
        <v>1121</v>
      </c>
    </row>
    <row r="2046" spans="3:28" ht="15" customHeight="1" x14ac:dyDescent="0.4">
      <c r="C2046" s="34" t="s">
        <v>6</v>
      </c>
      <c r="D2046" s="35">
        <v>46000</v>
      </c>
      <c r="E2046" s="51" t="s">
        <v>54</v>
      </c>
      <c r="F2046" s="33">
        <v>1</v>
      </c>
      <c r="G2046" s="27">
        <f t="shared" si="41"/>
        <v>-1</v>
      </c>
      <c r="H2046" s="28" t="str">
        <f>VLOOKUP(E2046,'Cadastro Produtos (kiwkiw)'!C:E,3,0)</f>
        <v>Brinco Ivy Banho Ouro</v>
      </c>
      <c r="AB2046" s="33" t="s">
        <v>1121</v>
      </c>
    </row>
    <row r="2047" spans="3:28" ht="15" customHeight="1" x14ac:dyDescent="0.4">
      <c r="C2047" s="34" t="s">
        <v>6</v>
      </c>
      <c r="D2047" s="35">
        <v>46000</v>
      </c>
      <c r="E2047" s="51" t="s">
        <v>810</v>
      </c>
      <c r="F2047" s="33">
        <v>1</v>
      </c>
      <c r="G2047" s="27">
        <f t="shared" si="41"/>
        <v>-1</v>
      </c>
      <c r="H2047" s="28" t="str">
        <f>VLOOKUP(E2047,'Cadastro Produtos (kiwkiw)'!C:E,3,0)</f>
        <v>Brinco Disco Banho Ouro</v>
      </c>
      <c r="AB2047" s="33" t="s">
        <v>1121</v>
      </c>
    </row>
    <row r="2048" spans="3:28" ht="15" customHeight="1" x14ac:dyDescent="0.4">
      <c r="C2048" s="34" t="s">
        <v>6</v>
      </c>
      <c r="D2048" s="35">
        <v>46000</v>
      </c>
      <c r="E2048" s="51" t="s">
        <v>784</v>
      </c>
      <c r="F2048" s="33">
        <v>1</v>
      </c>
      <c r="G2048" s="27">
        <f t="shared" si="41"/>
        <v>-1</v>
      </c>
      <c r="H2048" s="28" t="str">
        <f>VLOOKUP(E2048,'Cadastro Produtos (kiwkiw)'!C:E,3,0)</f>
        <v>Brinco Drop G Banho Ouro</v>
      </c>
      <c r="AB2048" s="33" t="s">
        <v>1121</v>
      </c>
    </row>
    <row r="2049" spans="2:28" ht="15" customHeight="1" x14ac:dyDescent="0.4">
      <c r="C2049" s="34" t="s">
        <v>6</v>
      </c>
      <c r="D2049" s="35">
        <v>46000</v>
      </c>
      <c r="E2049" s="51" t="s">
        <v>830</v>
      </c>
      <c r="F2049" s="33">
        <v>1</v>
      </c>
      <c r="G2049" s="27">
        <f t="shared" si="41"/>
        <v>-1</v>
      </c>
      <c r="H2049" s="28" t="str">
        <f>VLOOKUP(E2049,'Cadastro Produtos (kiwkiw)'!C:E,3,0)</f>
        <v>Brinco Flor 2 em 1 Banho Ouro</v>
      </c>
      <c r="AB2049" s="33" t="s">
        <v>1121</v>
      </c>
    </row>
    <row r="2050" spans="2:28" ht="15" customHeight="1" x14ac:dyDescent="0.4">
      <c r="C2050" s="34" t="s">
        <v>6</v>
      </c>
      <c r="D2050" s="35">
        <v>46000</v>
      </c>
      <c r="E2050" s="51" t="s">
        <v>822</v>
      </c>
      <c r="F2050" s="33">
        <v>1</v>
      </c>
      <c r="G2050" s="27">
        <f t="shared" si="41"/>
        <v>-1</v>
      </c>
      <c r="H2050" s="28" t="str">
        <f>VLOOKUP(E2050,'Cadastro Produtos (kiwkiw)'!C:E,3,0)</f>
        <v>Gargantilha Pearl Banho Ouro</v>
      </c>
      <c r="AB2050" s="33" t="s">
        <v>1121</v>
      </c>
    </row>
    <row r="2051" spans="2:28" ht="15" customHeight="1" x14ac:dyDescent="0.4">
      <c r="C2051" s="34" t="s">
        <v>6</v>
      </c>
      <c r="D2051" s="35">
        <v>46000</v>
      </c>
      <c r="E2051" s="51" t="s">
        <v>804</v>
      </c>
      <c r="F2051" s="33">
        <v>1</v>
      </c>
      <c r="G2051" s="27">
        <f t="shared" si="41"/>
        <v>-1</v>
      </c>
      <c r="H2051" s="28" t="str">
        <f>VLOOKUP(E2051,'Cadastro Produtos (kiwkiw)'!C:E,3,0)</f>
        <v>Anel Drop Banho Ouro</v>
      </c>
      <c r="AB2051" s="33" t="s">
        <v>1121</v>
      </c>
    </row>
    <row r="2052" spans="2:28" ht="15" customHeight="1" x14ac:dyDescent="0.4">
      <c r="C2052" s="34" t="s">
        <v>6</v>
      </c>
      <c r="D2052" s="35">
        <v>46000</v>
      </c>
      <c r="E2052" s="51" t="s">
        <v>806</v>
      </c>
      <c r="F2052" s="33">
        <v>1</v>
      </c>
      <c r="G2052" s="27">
        <f t="shared" si="41"/>
        <v>-1</v>
      </c>
      <c r="H2052" s="28" t="str">
        <f>VLOOKUP(E2052,'Cadastro Produtos (kiwkiw)'!C:E,3,0)</f>
        <v>Anel Roll Banho Ouro</v>
      </c>
      <c r="AB2052" s="33" t="s">
        <v>1121</v>
      </c>
    </row>
    <row r="2053" spans="2:28" ht="15" customHeight="1" x14ac:dyDescent="0.4">
      <c r="B2053" s="43">
        <v>46001.42869212963</v>
      </c>
      <c r="C2053" s="34" t="s">
        <v>6</v>
      </c>
      <c r="D2053" s="35">
        <v>46001</v>
      </c>
      <c r="E2053" s="51" t="s">
        <v>59</v>
      </c>
      <c r="F2053" s="33">
        <v>1</v>
      </c>
      <c r="G2053" s="27">
        <f t="shared" si="41"/>
        <v>-1</v>
      </c>
      <c r="H2053" s="28" t="str">
        <f>VLOOKUP(E2053,'Cadastro Produtos (kiwkiw)'!C:E,3,0)</f>
        <v>Brinco Oncinha Banho Ouro</v>
      </c>
      <c r="AB2053" s="33" t="s">
        <v>1124</v>
      </c>
    </row>
    <row r="2054" spans="2:28" ht="15" customHeight="1" x14ac:dyDescent="0.4">
      <c r="C2054" s="34" t="s">
        <v>6</v>
      </c>
      <c r="D2054" s="35">
        <v>46001</v>
      </c>
      <c r="E2054" s="51" t="s">
        <v>117</v>
      </c>
      <c r="F2054" s="33">
        <v>2</v>
      </c>
      <c r="G2054" s="27">
        <f t="shared" si="41"/>
        <v>-2</v>
      </c>
      <c r="H2054" s="28" t="str">
        <f>VLOOKUP(E2054,'Cadastro Produtos (kiwkiw)'!C:E,3,0)</f>
        <v>Gargantilha Minimal Banho Ouro</v>
      </c>
      <c r="AB2054" s="33" t="s">
        <v>1125</v>
      </c>
    </row>
    <row r="2055" spans="2:28" ht="15" customHeight="1" x14ac:dyDescent="0.4">
      <c r="C2055" s="34" t="s">
        <v>6</v>
      </c>
      <c r="D2055" s="35">
        <v>46001</v>
      </c>
      <c r="E2055" s="51" t="s">
        <v>117</v>
      </c>
      <c r="F2055" s="33">
        <v>1</v>
      </c>
      <c r="G2055" s="27">
        <f t="shared" si="41"/>
        <v>-1</v>
      </c>
      <c r="H2055" s="28" t="str">
        <f>VLOOKUP(E2055,'Cadastro Produtos (kiwkiw)'!C:E,3,0)</f>
        <v>Gargantilha Minimal Banho Ouro</v>
      </c>
      <c r="AB2055" s="33" t="s">
        <v>1126</v>
      </c>
    </row>
    <row r="2056" spans="2:28" ht="15" customHeight="1" x14ac:dyDescent="0.4">
      <c r="C2056" s="34" t="s">
        <v>6</v>
      </c>
      <c r="D2056" s="35">
        <v>46001</v>
      </c>
      <c r="E2056" s="51" t="s">
        <v>824</v>
      </c>
      <c r="F2056" s="33">
        <v>1</v>
      </c>
      <c r="G2056" s="27">
        <f t="shared" si="41"/>
        <v>-1</v>
      </c>
      <c r="H2056" s="28" t="str">
        <f>VLOOKUP(E2056,'Cadastro Produtos (kiwkiw)'!C:E,3,0)</f>
        <v>Pulseira Delicate Banho Ouro</v>
      </c>
      <c r="AB2056" s="33" t="s">
        <v>1126</v>
      </c>
    </row>
    <row r="2057" spans="2:28" ht="15" customHeight="1" x14ac:dyDescent="0.4">
      <c r="C2057" s="34" t="s">
        <v>6</v>
      </c>
      <c r="D2057" s="35">
        <v>46001</v>
      </c>
      <c r="E2057" s="51" t="s">
        <v>129</v>
      </c>
      <c r="F2057" s="33">
        <v>1</v>
      </c>
      <c r="G2057" s="27">
        <f t="shared" si="41"/>
        <v>-1</v>
      </c>
      <c r="H2057" s="28" t="str">
        <f>VLOOKUP(E2057,'Cadastro Produtos (kiwkiw)'!C:E,3,0)</f>
        <v>Pulseira Snake Banho Ouro</v>
      </c>
      <c r="AB2057" s="33" t="s">
        <v>1127</v>
      </c>
    </row>
    <row r="2058" spans="2:28" ht="15" customHeight="1" x14ac:dyDescent="0.4">
      <c r="B2058" s="43">
        <v>46002.42597222222</v>
      </c>
      <c r="C2058" s="34" t="s">
        <v>6</v>
      </c>
      <c r="D2058" s="35">
        <v>46002</v>
      </c>
      <c r="E2058" s="51" t="s">
        <v>82</v>
      </c>
      <c r="F2058" s="33">
        <v>1</v>
      </c>
      <c r="G2058" s="27">
        <f t="shared" si="41"/>
        <v>-1</v>
      </c>
      <c r="H2058" s="28" t="str">
        <f>VLOOKUP(E2058,'Cadastro Produtos (kiwkiw)'!C:E,3,0)</f>
        <v>Meia Argola Diamond Banho Ouro</v>
      </c>
      <c r="AB2058" s="33" t="s">
        <v>1128</v>
      </c>
    </row>
    <row r="2059" spans="2:28" ht="15" customHeight="1" x14ac:dyDescent="0.4">
      <c r="C2059" s="34" t="s">
        <v>6</v>
      </c>
      <c r="D2059" s="35">
        <v>46002</v>
      </c>
      <c r="E2059" s="51" t="s">
        <v>793</v>
      </c>
      <c r="F2059" s="33">
        <v>1</v>
      </c>
      <c r="G2059" s="27">
        <f t="shared" si="41"/>
        <v>-1</v>
      </c>
      <c r="H2059" s="28" t="str">
        <f>VLOOKUP(E2059,'Cadastro Produtos (kiwkiw)'!C:E,3,0)</f>
        <v>Argolinha Click Bambu Banho Ouro</v>
      </c>
      <c r="AB2059" s="33" t="s">
        <v>1128</v>
      </c>
    </row>
    <row r="2060" spans="2:28" ht="15" customHeight="1" x14ac:dyDescent="0.4">
      <c r="C2060" s="34" t="s">
        <v>6</v>
      </c>
      <c r="D2060" s="35">
        <v>46002</v>
      </c>
      <c r="E2060" s="51" t="s">
        <v>117</v>
      </c>
      <c r="F2060" s="33">
        <v>1</v>
      </c>
      <c r="G2060" s="27">
        <f t="shared" si="41"/>
        <v>-1</v>
      </c>
      <c r="H2060" s="28" t="str">
        <f>VLOOKUP(E2060,'Cadastro Produtos (kiwkiw)'!C:E,3,0)</f>
        <v>Gargantilha Minimal Banho Ouro</v>
      </c>
      <c r="AB2060" s="33" t="s">
        <v>1129</v>
      </c>
    </row>
    <row r="2061" spans="2:28" ht="15" customHeight="1" x14ac:dyDescent="0.4">
      <c r="C2061" s="34" t="s">
        <v>6</v>
      </c>
      <c r="D2061" s="35">
        <v>46002</v>
      </c>
      <c r="E2061" s="51" t="s">
        <v>117</v>
      </c>
      <c r="F2061" s="33">
        <v>1</v>
      </c>
      <c r="G2061" s="27">
        <f t="shared" si="41"/>
        <v>-1</v>
      </c>
      <c r="H2061" s="28" t="str">
        <f>VLOOKUP(E2061,'Cadastro Produtos (kiwkiw)'!C:E,3,0)</f>
        <v>Gargantilha Minimal Banho Ouro</v>
      </c>
      <c r="AB2061" s="33" t="s">
        <v>1130</v>
      </c>
    </row>
    <row r="2062" spans="2:28" ht="15" customHeight="1" x14ac:dyDescent="0.4">
      <c r="C2062" s="34" t="s">
        <v>6</v>
      </c>
      <c r="D2062" s="35">
        <v>46002</v>
      </c>
      <c r="E2062" s="51" t="s">
        <v>117</v>
      </c>
      <c r="F2062" s="33">
        <v>1</v>
      </c>
      <c r="G2062" s="27">
        <f t="shared" si="41"/>
        <v>-1</v>
      </c>
      <c r="H2062" s="28" t="str">
        <f>VLOOKUP(E2062,'Cadastro Produtos (kiwkiw)'!C:E,3,0)</f>
        <v>Gargantilha Minimal Banho Ouro</v>
      </c>
      <c r="AB2062" s="33" t="s">
        <v>1131</v>
      </c>
    </row>
    <row r="2063" spans="2:28" ht="15" customHeight="1" x14ac:dyDescent="0.4">
      <c r="C2063" s="34" t="s">
        <v>6</v>
      </c>
      <c r="D2063" s="35">
        <v>46002</v>
      </c>
      <c r="E2063" s="51" t="s">
        <v>786</v>
      </c>
      <c r="F2063" s="33">
        <v>1</v>
      </c>
      <c r="G2063" s="27">
        <f t="shared" si="41"/>
        <v>-1</v>
      </c>
      <c r="H2063" s="28" t="str">
        <f>VLOOKUP(E2063,'Cadastro Produtos (kiwkiw)'!C:E,3,0)</f>
        <v>Colar Sao Bento Banho Ouro</v>
      </c>
      <c r="AB2063" s="33" t="s">
        <v>1130</v>
      </c>
    </row>
    <row r="2064" spans="2:28" ht="15" customHeight="1" x14ac:dyDescent="0.4">
      <c r="C2064" s="34" t="s">
        <v>6</v>
      </c>
      <c r="D2064" s="35">
        <v>46002</v>
      </c>
      <c r="E2064" s="51" t="s">
        <v>796</v>
      </c>
      <c r="F2064" s="33">
        <v>1</v>
      </c>
      <c r="G2064" s="27">
        <f t="shared" si="41"/>
        <v>-1</v>
      </c>
      <c r="H2064" s="28" t="str">
        <f>VLOOKUP(E2064,'Cadastro Produtos (kiwkiw)'!C:E,3,0)</f>
        <v>Colar Longo Minimal Banho Ouro</v>
      </c>
      <c r="AB2064" s="33" t="s">
        <v>1130</v>
      </c>
    </row>
    <row r="2065" spans="2:28" ht="15" customHeight="1" x14ac:dyDescent="0.4">
      <c r="C2065" s="34" t="s">
        <v>6</v>
      </c>
      <c r="D2065" s="35">
        <v>46002</v>
      </c>
      <c r="E2065" s="51" t="s">
        <v>118</v>
      </c>
      <c r="F2065" s="33">
        <v>1</v>
      </c>
      <c r="G2065" s="27">
        <f t="shared" si="41"/>
        <v>-1</v>
      </c>
      <c r="H2065" s="28" t="str">
        <f>VLOOKUP(E2065,'Cadastro Produtos (kiwkiw)'!C:E,3,0)</f>
        <v>Gargantilha Minimal Prateada</v>
      </c>
      <c r="AB2065" s="33" t="s">
        <v>1131</v>
      </c>
    </row>
    <row r="2066" spans="2:28" ht="15" customHeight="1" x14ac:dyDescent="0.4">
      <c r="B2066" s="43">
        <v>46003.428530092591</v>
      </c>
      <c r="C2066" s="34" t="s">
        <v>6</v>
      </c>
      <c r="D2066" s="35">
        <v>46003</v>
      </c>
      <c r="E2066" s="51" t="s">
        <v>94</v>
      </c>
      <c r="F2066" s="33">
        <v>1</v>
      </c>
      <c r="G2066" s="27">
        <f t="shared" si="41"/>
        <v>-1</v>
      </c>
      <c r="H2066" s="28" t="str">
        <f>VLOOKUP(E2066,'Cadastro Produtos (kiwkiw)'!C:E,3,0)</f>
        <v>Colar Duplo Dots Banho Ouro</v>
      </c>
      <c r="AB2066" s="33" t="s">
        <v>1132</v>
      </c>
    </row>
    <row r="2067" spans="2:28" ht="15" customHeight="1" x14ac:dyDescent="0.4">
      <c r="C2067" s="34" t="s">
        <v>6</v>
      </c>
      <c r="D2067" s="35">
        <v>46003</v>
      </c>
      <c r="E2067" s="51" t="s">
        <v>823</v>
      </c>
      <c r="F2067" s="33">
        <v>1</v>
      </c>
      <c r="G2067" s="27">
        <f t="shared" si="41"/>
        <v>-1</v>
      </c>
      <c r="H2067" s="28" t="str">
        <f>VLOOKUP(E2067,'Cadastro Produtos (kiwkiw)'!C:E,3,0)</f>
        <v>Meia Argola Wave Banho Ouro</v>
      </c>
      <c r="AB2067" s="33" t="s">
        <v>1133</v>
      </c>
    </row>
    <row r="2068" spans="2:28" ht="15" customHeight="1" x14ac:dyDescent="0.4">
      <c r="C2068" s="34" t="s">
        <v>6</v>
      </c>
      <c r="D2068" s="35">
        <v>46003</v>
      </c>
      <c r="E2068" s="51" t="s">
        <v>823</v>
      </c>
      <c r="F2068" s="33">
        <v>1</v>
      </c>
      <c r="G2068" s="27">
        <f t="shared" si="41"/>
        <v>-1</v>
      </c>
      <c r="H2068" s="28" t="str">
        <f>VLOOKUP(E2068,'Cadastro Produtos (kiwkiw)'!C:E,3,0)</f>
        <v>Meia Argola Wave Banho Ouro</v>
      </c>
      <c r="AB2068" s="33" t="s">
        <v>1134</v>
      </c>
    </row>
    <row r="2069" spans="2:28" ht="15" customHeight="1" x14ac:dyDescent="0.4">
      <c r="C2069" s="34" t="s">
        <v>6</v>
      </c>
      <c r="D2069" s="35">
        <v>46003</v>
      </c>
      <c r="E2069" s="51" t="s">
        <v>105</v>
      </c>
      <c r="F2069" s="33">
        <v>1</v>
      </c>
      <c r="G2069" s="27">
        <f t="shared" si="41"/>
        <v>-1</v>
      </c>
      <c r="H2069" s="28" t="str">
        <f>VLOOKUP(E2069,'Cadastro Produtos (kiwkiw)'!C:E,3,0)</f>
        <v>Colar Rosa Banho Ouro</v>
      </c>
      <c r="AB2069" s="33" t="s">
        <v>1133</v>
      </c>
    </row>
    <row r="2070" spans="2:28" ht="15" customHeight="1" x14ac:dyDescent="0.4">
      <c r="C2070" s="34" t="s">
        <v>6</v>
      </c>
      <c r="D2070" s="35">
        <v>46003</v>
      </c>
      <c r="E2070" s="51" t="s">
        <v>31</v>
      </c>
      <c r="F2070" s="33">
        <v>1</v>
      </c>
      <c r="G2070" s="27">
        <f t="shared" si="41"/>
        <v>-1</v>
      </c>
      <c r="H2070" s="28" t="str">
        <f>VLOOKUP(E2070,'Cadastro Produtos (kiwkiw)'!C:E,3,0)</f>
        <v>Argola Reta Basic Banho Ouro</v>
      </c>
      <c r="AB2070" s="33" t="s">
        <v>1133</v>
      </c>
    </row>
    <row r="2071" spans="2:28" ht="15" customHeight="1" x14ac:dyDescent="0.4">
      <c r="C2071" s="34" t="s">
        <v>6</v>
      </c>
      <c r="D2071" s="35">
        <v>46003</v>
      </c>
      <c r="E2071" s="51" t="s">
        <v>73</v>
      </c>
      <c r="F2071" s="33">
        <v>1</v>
      </c>
      <c r="G2071" s="27">
        <f t="shared" si="41"/>
        <v>-1</v>
      </c>
      <c r="H2071" s="28" t="str">
        <f>VLOOKUP(E2071,'Cadastro Produtos (kiwkiw)'!C:E,3,0)</f>
        <v>Ear Hook Line Prateado</v>
      </c>
      <c r="AB2071" s="33" t="s">
        <v>1133</v>
      </c>
    </row>
    <row r="2072" spans="2:28" ht="15" customHeight="1" x14ac:dyDescent="0.4">
      <c r="C2072" s="34" t="s">
        <v>6</v>
      </c>
      <c r="D2072" s="35">
        <v>46003</v>
      </c>
      <c r="E2072" s="51" t="s">
        <v>55</v>
      </c>
      <c r="F2072" s="33">
        <v>1</v>
      </c>
      <c r="G2072" s="27">
        <f t="shared" si="41"/>
        <v>-1</v>
      </c>
      <c r="H2072" s="28" t="str">
        <f>VLOOKUP(E2072,'Cadastro Produtos (kiwkiw)'!C:E,3,0)</f>
        <v>Brinco Ivy Prateado</v>
      </c>
      <c r="AB2072" s="33" t="s">
        <v>1133</v>
      </c>
    </row>
    <row r="2073" spans="2:28" ht="15" customHeight="1" x14ac:dyDescent="0.4">
      <c r="C2073" s="34" t="s">
        <v>6</v>
      </c>
      <c r="D2073" s="35">
        <v>46003</v>
      </c>
      <c r="E2073" s="51" t="s">
        <v>77</v>
      </c>
      <c r="F2073" s="33">
        <v>1</v>
      </c>
      <c r="G2073" s="27">
        <f t="shared" si="41"/>
        <v>-1</v>
      </c>
      <c r="H2073" s="28" t="str">
        <f>VLOOKUP(E2073,'Cadastro Produtos (kiwkiw)'!C:E,3,0)</f>
        <v>EarHook Torcido Banho Ouro</v>
      </c>
      <c r="AB2073" s="33" t="s">
        <v>1133</v>
      </c>
    </row>
    <row r="2074" spans="2:28" ht="15" customHeight="1" x14ac:dyDescent="0.4">
      <c r="C2074" s="34" t="s">
        <v>6</v>
      </c>
      <c r="D2074" s="35">
        <v>46003</v>
      </c>
      <c r="E2074" s="51" t="s">
        <v>62</v>
      </c>
      <c r="F2074" s="33">
        <v>1</v>
      </c>
      <c r="G2074" s="27">
        <f t="shared" si="41"/>
        <v>-1</v>
      </c>
      <c r="H2074" s="28" t="str">
        <f>VLOOKUP(E2074,'Cadastro Produtos (kiwkiw)'!C:E,3,0)</f>
        <v>Brinco Sol Banho Ouro</v>
      </c>
      <c r="AB2074" s="33" t="s">
        <v>1135</v>
      </c>
    </row>
    <row r="2075" spans="2:28" ht="15" customHeight="1" x14ac:dyDescent="0.4">
      <c r="C2075" s="34" t="s">
        <v>6</v>
      </c>
      <c r="D2075" s="35">
        <v>46003</v>
      </c>
      <c r="E2075" s="51" t="s">
        <v>806</v>
      </c>
      <c r="F2075" s="33">
        <v>1</v>
      </c>
      <c r="G2075" s="27">
        <f t="shared" si="41"/>
        <v>-1</v>
      </c>
      <c r="H2075" s="28" t="str">
        <f>VLOOKUP(E2075,'Cadastro Produtos (kiwkiw)'!C:E,3,0)</f>
        <v>Anel Roll Banho Ouro</v>
      </c>
      <c r="AB2075" s="33" t="s">
        <v>1135</v>
      </c>
    </row>
    <row r="2076" spans="2:28" ht="15" customHeight="1" x14ac:dyDescent="0.4">
      <c r="C2076" s="34" t="s">
        <v>6</v>
      </c>
      <c r="D2076" s="35">
        <v>46003</v>
      </c>
      <c r="E2076" s="51" t="s">
        <v>804</v>
      </c>
      <c r="F2076" s="33">
        <v>1</v>
      </c>
      <c r="G2076" s="27">
        <f t="shared" si="41"/>
        <v>-1</v>
      </c>
      <c r="H2076" s="28" t="str">
        <f>VLOOKUP(E2076,'Cadastro Produtos (kiwkiw)'!C:E,3,0)</f>
        <v>Anel Drop Banho Ouro</v>
      </c>
      <c r="AB2076" s="33" t="s">
        <v>1135</v>
      </c>
    </row>
    <row r="2077" spans="2:28" ht="15" customHeight="1" x14ac:dyDescent="0.4">
      <c r="C2077" s="34" t="s">
        <v>6</v>
      </c>
      <c r="D2077" s="35">
        <v>46003</v>
      </c>
      <c r="E2077" s="51" t="s">
        <v>781</v>
      </c>
      <c r="F2077" s="33">
        <v>1</v>
      </c>
      <c r="G2077" s="27">
        <f t="shared" si="41"/>
        <v>-1</v>
      </c>
      <c r="H2077" s="28" t="str">
        <f>VLOOKUP(E2077,'Cadastro Produtos (kiwkiw)'!C:E,3,0)</f>
        <v>Brinco Palito Prateado</v>
      </c>
      <c r="AB2077" s="33" t="s">
        <v>1134</v>
      </c>
    </row>
    <row r="2078" spans="2:28" ht="15" customHeight="1" x14ac:dyDescent="0.4">
      <c r="C2078" s="34" t="s">
        <v>6</v>
      </c>
      <c r="D2078" s="35">
        <v>46003</v>
      </c>
      <c r="E2078" s="51" t="s">
        <v>831</v>
      </c>
      <c r="F2078" s="33">
        <v>1</v>
      </c>
      <c r="G2078" s="27">
        <f t="shared" si="41"/>
        <v>-1</v>
      </c>
      <c r="H2078" s="28" t="str">
        <f>VLOOKUP(E2078,'Cadastro Produtos (kiwkiw)'!C:E,3,0)</f>
        <v>Brinco Palito Banho Ouro</v>
      </c>
      <c r="AB2078" s="33" t="s">
        <v>1134</v>
      </c>
    </row>
    <row r="2079" spans="2:28" ht="15" customHeight="1" x14ac:dyDescent="0.4">
      <c r="C2079" s="34" t="s">
        <v>6</v>
      </c>
      <c r="D2079" s="35">
        <v>46003</v>
      </c>
      <c r="E2079" s="51" t="s">
        <v>58</v>
      </c>
      <c r="F2079" s="33">
        <v>1</v>
      </c>
      <c r="G2079" s="27">
        <f t="shared" si="41"/>
        <v>-1</v>
      </c>
      <c r="H2079" s="28" t="str">
        <f>VLOOKUP(E2079,'Cadastro Produtos (kiwkiw)'!C:E,3,0)</f>
        <v>Brinco Mini Triangulo Prateado</v>
      </c>
      <c r="AB2079" s="33" t="s">
        <v>1134</v>
      </c>
    </row>
    <row r="2080" spans="2:28" ht="15" customHeight="1" x14ac:dyDescent="0.4">
      <c r="C2080" s="34" t="s">
        <v>6</v>
      </c>
      <c r="D2080" s="35">
        <v>46003</v>
      </c>
      <c r="E2080" s="51" t="s">
        <v>57</v>
      </c>
      <c r="F2080" s="33">
        <v>1</v>
      </c>
      <c r="G2080" s="27">
        <f t="shared" si="41"/>
        <v>-1</v>
      </c>
      <c r="H2080" s="28" t="str">
        <f>VLOOKUP(E2080,'Cadastro Produtos (kiwkiw)'!C:E,3,0)</f>
        <v>Brinco Mini Raio Prateado</v>
      </c>
      <c r="AB2080" s="33" t="s">
        <v>1134</v>
      </c>
    </row>
    <row r="2081" spans="2:28" ht="15" customHeight="1" x14ac:dyDescent="0.4">
      <c r="C2081" s="34" t="s">
        <v>6</v>
      </c>
      <c r="D2081" s="35">
        <v>46003</v>
      </c>
      <c r="E2081" s="51" t="s">
        <v>801</v>
      </c>
      <c r="F2081" s="33">
        <v>1</v>
      </c>
      <c r="G2081" s="27">
        <f t="shared" si="41"/>
        <v>-1</v>
      </c>
      <c r="H2081" s="28" t="str">
        <f>VLOOKUP(E2081,'Cadastro Produtos (kiwkiw)'!C:E,3,0)</f>
        <v>Gargantilha Line Banho Ouro</v>
      </c>
      <c r="AB2081" s="33" t="s">
        <v>1136</v>
      </c>
    </row>
    <row r="2082" spans="2:28" ht="15" customHeight="1" x14ac:dyDescent="0.4">
      <c r="C2082" s="34" t="s">
        <v>6</v>
      </c>
      <c r="D2082" s="35">
        <v>46003</v>
      </c>
      <c r="E2082" s="51" t="s">
        <v>822</v>
      </c>
      <c r="F2082" s="33">
        <v>1</v>
      </c>
      <c r="G2082" s="27">
        <f t="shared" si="41"/>
        <v>-1</v>
      </c>
      <c r="H2082" s="28" t="str">
        <f>VLOOKUP(E2082,'Cadastro Produtos (kiwkiw)'!C:E,3,0)</f>
        <v>Gargantilha Pearl Banho Ouro</v>
      </c>
      <c r="AB2082" s="33" t="s">
        <v>1136</v>
      </c>
    </row>
    <row r="2083" spans="2:28" ht="15" customHeight="1" x14ac:dyDescent="0.4">
      <c r="B2083" s="43">
        <v>46006.42627314815</v>
      </c>
      <c r="C2083" s="34" t="s">
        <v>6</v>
      </c>
      <c r="D2083" s="35">
        <v>46006</v>
      </c>
      <c r="E2083" s="51" t="s">
        <v>793</v>
      </c>
      <c r="F2083" s="33">
        <v>1</v>
      </c>
      <c r="G2083" s="27">
        <f t="shared" si="41"/>
        <v>-1</v>
      </c>
      <c r="H2083" s="28" t="str">
        <f>VLOOKUP(E2083,'Cadastro Produtos (kiwkiw)'!C:E,3,0)</f>
        <v>Argolinha Click Bambu Banho Ouro</v>
      </c>
      <c r="AB2083" s="33" t="s">
        <v>1137</v>
      </c>
    </row>
    <row r="2084" spans="2:28" ht="15" customHeight="1" x14ac:dyDescent="0.4">
      <c r="C2084" s="34" t="s">
        <v>6</v>
      </c>
      <c r="D2084" s="35">
        <v>46006</v>
      </c>
      <c r="E2084" s="51" t="s">
        <v>117</v>
      </c>
      <c r="F2084" s="33">
        <v>1</v>
      </c>
      <c r="G2084" s="27">
        <f t="shared" si="41"/>
        <v>-1</v>
      </c>
      <c r="H2084" s="28" t="str">
        <f>VLOOKUP(E2084,'Cadastro Produtos (kiwkiw)'!C:E,3,0)</f>
        <v>Gargantilha Minimal Banho Ouro</v>
      </c>
      <c r="AB2084" s="33" t="s">
        <v>1138</v>
      </c>
    </row>
    <row r="2085" spans="2:28" ht="15" customHeight="1" x14ac:dyDescent="0.4">
      <c r="C2085" s="34" t="s">
        <v>6</v>
      </c>
      <c r="D2085" s="35">
        <v>46006</v>
      </c>
      <c r="E2085" s="51" t="s">
        <v>118</v>
      </c>
      <c r="F2085" s="33">
        <v>1</v>
      </c>
      <c r="G2085" s="27">
        <f t="shared" si="41"/>
        <v>-1</v>
      </c>
      <c r="H2085" s="28" t="str">
        <f>VLOOKUP(E2085,'Cadastro Produtos (kiwkiw)'!C:E,3,0)</f>
        <v>Gargantilha Minimal Prateada</v>
      </c>
      <c r="AB2085" s="33" t="s">
        <v>1138</v>
      </c>
    </row>
    <row r="2086" spans="2:28" ht="15" customHeight="1" x14ac:dyDescent="0.4">
      <c r="C2086" s="34" t="s">
        <v>6</v>
      </c>
      <c r="D2086" s="35">
        <v>46006</v>
      </c>
      <c r="E2086" s="51" t="s">
        <v>823</v>
      </c>
      <c r="F2086" s="33">
        <v>1</v>
      </c>
      <c r="G2086" s="27">
        <f t="shared" si="41"/>
        <v>-1</v>
      </c>
      <c r="H2086" s="28" t="str">
        <f>VLOOKUP(E2086,'Cadastro Produtos (kiwkiw)'!C:E,3,0)</f>
        <v>Meia Argola Wave Banho Ouro</v>
      </c>
      <c r="AB2086" s="33" t="s">
        <v>1139</v>
      </c>
    </row>
    <row r="2087" spans="2:28" ht="15" customHeight="1" x14ac:dyDescent="0.4">
      <c r="C2087" s="34" t="s">
        <v>6</v>
      </c>
      <c r="D2087" s="35">
        <v>46006</v>
      </c>
      <c r="E2087" s="51" t="s">
        <v>94</v>
      </c>
      <c r="F2087" s="33">
        <v>1</v>
      </c>
      <c r="G2087" s="27">
        <f t="shared" si="41"/>
        <v>-1</v>
      </c>
      <c r="H2087" s="28" t="str">
        <f>VLOOKUP(E2087,'Cadastro Produtos (kiwkiw)'!C:E,3,0)</f>
        <v>Colar Duplo Dots Banho Ouro</v>
      </c>
      <c r="AB2087" s="33" t="s">
        <v>1139</v>
      </c>
    </row>
    <row r="2088" spans="2:28" ht="15" customHeight="1" x14ac:dyDescent="0.4">
      <c r="C2088" s="34" t="s">
        <v>6</v>
      </c>
      <c r="D2088" s="35">
        <v>46006</v>
      </c>
      <c r="E2088" s="51" t="s">
        <v>116</v>
      </c>
      <c r="F2088" s="33">
        <v>1</v>
      </c>
      <c r="G2088" s="27">
        <f t="shared" si="41"/>
        <v>-1</v>
      </c>
      <c r="H2088" s="28" t="str">
        <f>VLOOKUP(E2088,'Cadastro Produtos (kiwkiw)'!C:E,3,0)</f>
        <v>Gargantilha Dots Banho Ouro</v>
      </c>
      <c r="AB2088" s="33" t="s">
        <v>1140</v>
      </c>
    </row>
    <row r="2089" spans="2:28" ht="15" customHeight="1" x14ac:dyDescent="0.4">
      <c r="C2089" s="34" t="s">
        <v>6</v>
      </c>
      <c r="D2089" s="35">
        <v>46006</v>
      </c>
      <c r="E2089" s="51" t="s">
        <v>92</v>
      </c>
      <c r="F2089" s="33">
        <v>1</v>
      </c>
      <c r="G2089" s="27">
        <f t="shared" si="41"/>
        <v>-1</v>
      </c>
      <c r="H2089" s="28" t="str">
        <f>VLOOKUP(E2089,'Cadastro Produtos (kiwkiw)'!C:E,3,0)</f>
        <v>Colar Coracao Banho Ouro</v>
      </c>
      <c r="AB2089" s="33" t="s">
        <v>1140</v>
      </c>
    </row>
    <row r="2090" spans="2:28" ht="15" customHeight="1" x14ac:dyDescent="0.4">
      <c r="C2090" s="34" t="s">
        <v>6</v>
      </c>
      <c r="D2090" s="35">
        <v>46006</v>
      </c>
      <c r="E2090" s="51" t="s">
        <v>99</v>
      </c>
      <c r="F2090" s="33">
        <v>1</v>
      </c>
      <c r="G2090" s="27">
        <f t="shared" si="41"/>
        <v>-1</v>
      </c>
      <c r="H2090" s="28" t="str">
        <f>VLOOKUP(E2090,'Cadastro Produtos (kiwkiw)'!C:E,3,0)</f>
        <v>Colar Esfera Medio Banho Ouro</v>
      </c>
      <c r="AB2090" s="33" t="s">
        <v>1141</v>
      </c>
    </row>
    <row r="2091" spans="2:28" ht="15" customHeight="1" x14ac:dyDescent="0.4">
      <c r="C2091" s="34" t="s">
        <v>6</v>
      </c>
      <c r="D2091" s="35">
        <v>46006</v>
      </c>
      <c r="E2091" s="51" t="s">
        <v>62</v>
      </c>
      <c r="F2091" s="33">
        <v>1</v>
      </c>
      <c r="G2091" s="27">
        <f t="shared" si="41"/>
        <v>-1</v>
      </c>
      <c r="H2091" s="28" t="str">
        <f>VLOOKUP(E2091,'Cadastro Produtos (kiwkiw)'!C:E,3,0)</f>
        <v>Brinco Sol Banho Ouro</v>
      </c>
      <c r="AB2091" s="33" t="s">
        <v>1142</v>
      </c>
    </row>
    <row r="2092" spans="2:28" ht="15" customHeight="1" x14ac:dyDescent="0.4">
      <c r="C2092" s="34" t="s">
        <v>6</v>
      </c>
      <c r="D2092" s="35">
        <v>46006</v>
      </c>
      <c r="E2092" s="51" t="s">
        <v>820</v>
      </c>
      <c r="F2092" s="33">
        <v>1</v>
      </c>
      <c r="G2092" s="27">
        <f t="shared" si="41"/>
        <v>-1</v>
      </c>
      <c r="H2092" s="28" t="str">
        <f>VLOOKUP(E2092,'Cadastro Produtos (kiwkiw)'!C:E,3,0)</f>
        <v>Colar Sol Banho Ouro</v>
      </c>
      <c r="AB2092" s="33" t="s">
        <v>1142</v>
      </c>
    </row>
    <row r="2093" spans="2:28" ht="15" customHeight="1" x14ac:dyDescent="0.4">
      <c r="C2093" s="34" t="s">
        <v>6</v>
      </c>
      <c r="D2093" s="35">
        <v>46006</v>
      </c>
      <c r="E2093" s="51" t="s">
        <v>60</v>
      </c>
      <c r="F2093" s="33">
        <v>1</v>
      </c>
      <c r="G2093" s="27">
        <f t="shared" si="41"/>
        <v>-1</v>
      </c>
      <c r="H2093" s="28" t="str">
        <f>VLOOKUP(E2093,'Cadastro Produtos (kiwkiw)'!C:E,3,0)</f>
        <v>Brinco Oncinha Prateado</v>
      </c>
      <c r="AB2093" s="33" t="s">
        <v>1143</v>
      </c>
    </row>
    <row r="2094" spans="2:28" ht="15" customHeight="1" x14ac:dyDescent="0.4">
      <c r="B2094" s="43">
        <v>46007.427754629629</v>
      </c>
      <c r="C2094" s="34" t="s">
        <v>6</v>
      </c>
      <c r="D2094" s="35">
        <v>46007</v>
      </c>
      <c r="E2094" s="51" t="s">
        <v>786</v>
      </c>
      <c r="F2094" s="33">
        <v>1</v>
      </c>
      <c r="G2094" s="27">
        <f t="shared" si="41"/>
        <v>-1</v>
      </c>
      <c r="H2094" s="28" t="str">
        <f>VLOOKUP(E2094,'Cadastro Produtos (kiwkiw)'!C:E,3,0)</f>
        <v>Colar Sao Bento Banho Ouro</v>
      </c>
      <c r="AB2094" s="33" t="s">
        <v>1144</v>
      </c>
    </row>
    <row r="2095" spans="2:28" ht="15" customHeight="1" x14ac:dyDescent="0.4">
      <c r="C2095" s="34" t="s">
        <v>6</v>
      </c>
      <c r="D2095" s="35">
        <v>46007</v>
      </c>
      <c r="E2095" s="51" t="s">
        <v>781</v>
      </c>
      <c r="F2095" s="33">
        <v>1</v>
      </c>
      <c r="G2095" s="27">
        <f t="shared" si="41"/>
        <v>-1</v>
      </c>
      <c r="H2095" s="28" t="str">
        <f>VLOOKUP(E2095,'Cadastro Produtos (kiwkiw)'!C:E,3,0)</f>
        <v>Brinco Palito Prateado</v>
      </c>
      <c r="AB2095" s="33" t="s">
        <v>1145</v>
      </c>
    </row>
    <row r="2096" spans="2:28" ht="15" customHeight="1" x14ac:dyDescent="0.4">
      <c r="C2096" s="34" t="s">
        <v>6</v>
      </c>
      <c r="D2096" s="35">
        <v>46007</v>
      </c>
      <c r="E2096" s="51" t="s">
        <v>29</v>
      </c>
      <c r="F2096" s="33">
        <v>1</v>
      </c>
      <c r="G2096" s="27">
        <f t="shared" si="41"/>
        <v>-1</v>
      </c>
      <c r="H2096" s="28" t="str">
        <f>VLOOKUP(E2096,'Cadastro Produtos (kiwkiw)'!C:E,3,0)</f>
        <v>Argola Click Diamond Banho Ouro</v>
      </c>
      <c r="AB2096" s="33" t="s">
        <v>1146</v>
      </c>
    </row>
    <row r="2097" spans="2:28" ht="15" customHeight="1" x14ac:dyDescent="0.4">
      <c r="B2097" s="43">
        <v>46008.446701388886</v>
      </c>
      <c r="C2097" s="34" t="s">
        <v>6</v>
      </c>
      <c r="D2097" s="35">
        <v>46008</v>
      </c>
      <c r="E2097" s="51" t="s">
        <v>94</v>
      </c>
      <c r="F2097" s="33">
        <v>1</v>
      </c>
      <c r="G2097" s="27">
        <f t="shared" si="41"/>
        <v>-1</v>
      </c>
      <c r="H2097" s="28" t="str">
        <f>VLOOKUP(E2097,'Cadastro Produtos (kiwkiw)'!C:E,3,0)</f>
        <v>Colar Duplo Dots Banho Ouro</v>
      </c>
      <c r="AB2097" s="33" t="s">
        <v>1147</v>
      </c>
    </row>
    <row r="2098" spans="2:28" ht="15" customHeight="1" x14ac:dyDescent="0.4">
      <c r="C2098" s="34" t="s">
        <v>6</v>
      </c>
      <c r="D2098" s="35">
        <v>46008</v>
      </c>
      <c r="E2098" s="51" t="s">
        <v>62</v>
      </c>
      <c r="F2098" s="33">
        <v>1</v>
      </c>
      <c r="G2098" s="27">
        <f t="shared" si="41"/>
        <v>-1</v>
      </c>
      <c r="H2098" s="28" t="str">
        <f>VLOOKUP(E2098,'Cadastro Produtos (kiwkiw)'!C:E,3,0)</f>
        <v>Brinco Sol Banho Ouro</v>
      </c>
      <c r="AB2098" s="33" t="s">
        <v>1148</v>
      </c>
    </row>
    <row r="2099" spans="2:28" ht="15" customHeight="1" x14ac:dyDescent="0.4">
      <c r="C2099" s="34" t="s">
        <v>6</v>
      </c>
      <c r="D2099" s="35">
        <v>46008</v>
      </c>
      <c r="E2099" s="51" t="s">
        <v>117</v>
      </c>
      <c r="F2099" s="33">
        <v>1</v>
      </c>
      <c r="G2099" s="27">
        <f t="shared" si="41"/>
        <v>-1</v>
      </c>
      <c r="H2099" s="28" t="str">
        <f>VLOOKUP(E2099,'Cadastro Produtos (kiwkiw)'!C:E,3,0)</f>
        <v>Gargantilha Minimal Banho Ouro</v>
      </c>
      <c r="AB2099" s="33" t="s">
        <v>1148</v>
      </c>
    </row>
    <row r="2100" spans="2:28" ht="15" customHeight="1" x14ac:dyDescent="0.4">
      <c r="C2100" s="34" t="s">
        <v>6</v>
      </c>
      <c r="D2100" s="35">
        <v>46008</v>
      </c>
      <c r="E2100" s="51" t="s">
        <v>117</v>
      </c>
      <c r="F2100" s="33">
        <v>1</v>
      </c>
      <c r="G2100" s="27">
        <f t="shared" si="41"/>
        <v>-1</v>
      </c>
      <c r="H2100" s="28" t="str">
        <f>VLOOKUP(E2100,'Cadastro Produtos (kiwkiw)'!C:E,3,0)</f>
        <v>Gargantilha Minimal Banho Ouro</v>
      </c>
      <c r="AB2100" s="33" t="s">
        <v>1149</v>
      </c>
    </row>
    <row r="2101" spans="2:28" ht="15" customHeight="1" x14ac:dyDescent="0.4">
      <c r="C2101" s="34" t="s">
        <v>6</v>
      </c>
      <c r="D2101" s="35">
        <v>46008</v>
      </c>
      <c r="E2101" s="51" t="s">
        <v>820</v>
      </c>
      <c r="F2101" s="33">
        <v>1</v>
      </c>
      <c r="G2101" s="27">
        <f t="shared" si="41"/>
        <v>-1</v>
      </c>
      <c r="H2101" s="28" t="str">
        <f>VLOOKUP(E2101,'Cadastro Produtos (kiwkiw)'!C:E,3,0)</f>
        <v>Colar Sol Banho Ouro</v>
      </c>
      <c r="AB2101" s="33" t="s">
        <v>1148</v>
      </c>
    </row>
    <row r="2102" spans="2:28" ht="15" customHeight="1" x14ac:dyDescent="0.4">
      <c r="B2102" s="43">
        <v>46009.420069444444</v>
      </c>
      <c r="C2102" s="34" t="s">
        <v>6</v>
      </c>
      <c r="D2102" s="35">
        <v>46009</v>
      </c>
      <c r="E2102" s="51" t="s">
        <v>804</v>
      </c>
      <c r="F2102" s="33">
        <v>1</v>
      </c>
      <c r="G2102" s="27">
        <f t="shared" si="41"/>
        <v>-1</v>
      </c>
      <c r="H2102" s="28" t="str">
        <f>VLOOKUP(E2102,'Cadastro Produtos (kiwkiw)'!C:E,3,0)</f>
        <v>Anel Drop Banho Ouro</v>
      </c>
      <c r="AB2102" s="33" t="s">
        <v>1150</v>
      </c>
    </row>
    <row r="2103" spans="2:28" ht="15" customHeight="1" x14ac:dyDescent="0.4">
      <c r="C2103" s="34" t="s">
        <v>6</v>
      </c>
      <c r="D2103" s="35">
        <v>46009</v>
      </c>
      <c r="E2103" s="51" t="s">
        <v>805</v>
      </c>
      <c r="F2103" s="33">
        <v>1</v>
      </c>
      <c r="G2103" s="27">
        <f t="shared" ref="G2103:G2166" si="42">IF(C2103="Entrada",F2103,-F2103)</f>
        <v>-1</v>
      </c>
      <c r="H2103" s="28" t="str">
        <f>VLOOKUP(E2103,'Cadastro Produtos (kiwkiw)'!C:E,3,0)</f>
        <v>Anel No Banho Ouro</v>
      </c>
      <c r="AB2103" s="33" t="s">
        <v>1150</v>
      </c>
    </row>
    <row r="2104" spans="2:28" ht="15" customHeight="1" x14ac:dyDescent="0.4">
      <c r="C2104" s="34" t="s">
        <v>6</v>
      </c>
      <c r="D2104" s="35">
        <v>46009</v>
      </c>
      <c r="E2104" s="51" t="s">
        <v>806</v>
      </c>
      <c r="F2104" s="33">
        <v>1</v>
      </c>
      <c r="G2104" s="27">
        <f t="shared" si="42"/>
        <v>-1</v>
      </c>
      <c r="H2104" s="28" t="str">
        <f>VLOOKUP(E2104,'Cadastro Produtos (kiwkiw)'!C:E,3,0)</f>
        <v>Anel Roll Banho Ouro</v>
      </c>
      <c r="AB2104" s="33" t="s">
        <v>1150</v>
      </c>
    </row>
    <row r="2105" spans="2:28" ht="15" customHeight="1" x14ac:dyDescent="0.4">
      <c r="C2105" s="34" t="s">
        <v>6</v>
      </c>
      <c r="D2105" s="35">
        <v>46009</v>
      </c>
      <c r="E2105" s="51" t="s">
        <v>76</v>
      </c>
      <c r="F2105" s="33">
        <v>1</v>
      </c>
      <c r="G2105" s="27">
        <f t="shared" si="42"/>
        <v>-1</v>
      </c>
      <c r="H2105" s="28" t="str">
        <f>VLOOKUP(E2105,'Cadastro Produtos (kiwkiw)'!C:E,3,0)</f>
        <v>EarHook Dots Banho Ouro</v>
      </c>
      <c r="AB2105" s="33" t="s">
        <v>1150</v>
      </c>
    </row>
    <row r="2106" spans="2:28" ht="15" customHeight="1" x14ac:dyDescent="0.4">
      <c r="C2106" s="34" t="s">
        <v>6</v>
      </c>
      <c r="D2106" s="35">
        <v>46009</v>
      </c>
      <c r="E2106" s="51" t="s">
        <v>38</v>
      </c>
      <c r="F2106" s="33">
        <v>1</v>
      </c>
      <c r="G2106" s="27">
        <f t="shared" si="42"/>
        <v>-1</v>
      </c>
      <c r="H2106" s="28" t="str">
        <f>VLOOKUP(E2106,'Cadastro Produtos (kiwkiw)'!C:E,3,0)</f>
        <v>Argolinha Click Dots Banho Ouro</v>
      </c>
      <c r="AB2106" s="33" t="s">
        <v>1150</v>
      </c>
    </row>
    <row r="2107" spans="2:28" ht="15" customHeight="1" x14ac:dyDescent="0.4">
      <c r="C2107" s="34" t="s">
        <v>6</v>
      </c>
      <c r="D2107" s="35">
        <v>46009</v>
      </c>
      <c r="E2107" s="51" t="s">
        <v>807</v>
      </c>
      <c r="F2107" s="33">
        <v>1</v>
      </c>
      <c r="G2107" s="27">
        <f t="shared" si="42"/>
        <v>-1</v>
      </c>
      <c r="H2107" s="28" t="str">
        <f>VLOOKUP(E2107,'Cadastro Produtos (kiwkiw)'!C:E,3,0)</f>
        <v>Argolinha Pepita Banho Ouro</v>
      </c>
      <c r="AB2107" s="33" t="s">
        <v>1150</v>
      </c>
    </row>
    <row r="2108" spans="2:28" ht="15" customHeight="1" x14ac:dyDescent="0.4">
      <c r="C2108" s="34" t="s">
        <v>6</v>
      </c>
      <c r="D2108" s="35">
        <v>46009</v>
      </c>
      <c r="E2108" s="51" t="s">
        <v>789</v>
      </c>
      <c r="F2108" s="33">
        <v>1</v>
      </c>
      <c r="G2108" s="27">
        <f t="shared" si="42"/>
        <v>-1</v>
      </c>
      <c r="H2108" s="28" t="str">
        <f>VLOOKUP(E2108,'Cadastro Produtos (kiwkiw)'!C:E,3,0)</f>
        <v>Brinco Flor Gardenia Banho Ouro</v>
      </c>
      <c r="AB2108" s="33" t="s">
        <v>1150</v>
      </c>
    </row>
    <row r="2109" spans="2:28" ht="15" customHeight="1" x14ac:dyDescent="0.4">
      <c r="C2109" s="34" t="s">
        <v>6</v>
      </c>
      <c r="D2109" s="35">
        <v>46009</v>
      </c>
      <c r="E2109" s="51" t="s">
        <v>831</v>
      </c>
      <c r="F2109" s="33">
        <v>1</v>
      </c>
      <c r="G2109" s="27">
        <f t="shared" si="42"/>
        <v>-1</v>
      </c>
      <c r="H2109" s="28" t="str">
        <f>VLOOKUP(E2109,'Cadastro Produtos (kiwkiw)'!C:E,3,0)</f>
        <v>Brinco Palito Banho Ouro</v>
      </c>
      <c r="AB2109" s="33" t="s">
        <v>1150</v>
      </c>
    </row>
    <row r="2110" spans="2:28" ht="15" customHeight="1" x14ac:dyDescent="0.4">
      <c r="C2110" s="34" t="s">
        <v>6</v>
      </c>
      <c r="D2110" s="35">
        <v>46009</v>
      </c>
      <c r="E2110" s="51" t="s">
        <v>829</v>
      </c>
      <c r="F2110" s="33">
        <v>1</v>
      </c>
      <c r="G2110" s="27">
        <f t="shared" si="42"/>
        <v>-1</v>
      </c>
      <c r="H2110" s="28" t="str">
        <f>VLOOKUP(E2110,'Cadastro Produtos (kiwkiw)'!C:E,3,0)</f>
        <v>Ear Hook Fio Banho Ouro</v>
      </c>
      <c r="AB2110" s="33" t="s">
        <v>1150</v>
      </c>
    </row>
    <row r="2111" spans="2:28" ht="15" customHeight="1" x14ac:dyDescent="0.4">
      <c r="C2111" s="34" t="s">
        <v>6</v>
      </c>
      <c r="D2111" s="35">
        <v>46009</v>
      </c>
      <c r="E2111" s="51" t="s">
        <v>70</v>
      </c>
      <c r="F2111" s="33">
        <v>1</v>
      </c>
      <c r="G2111" s="27">
        <f t="shared" si="42"/>
        <v>-1</v>
      </c>
      <c r="H2111" s="28" t="str">
        <f>VLOOKUP(E2111,'Cadastro Produtos (kiwkiw)'!C:E,3,0)</f>
        <v>Brinco Geometrico Banho Ouro</v>
      </c>
      <c r="AB2111" s="33" t="s">
        <v>1150</v>
      </c>
    </row>
    <row r="2112" spans="2:28" ht="15" customHeight="1" x14ac:dyDescent="0.4">
      <c r="C2112" s="34" t="s">
        <v>6</v>
      </c>
      <c r="D2112" s="35">
        <v>46009</v>
      </c>
      <c r="E2112" s="51" t="s">
        <v>800</v>
      </c>
      <c r="F2112" s="33">
        <v>1</v>
      </c>
      <c r="G2112" s="27">
        <f t="shared" si="42"/>
        <v>-1</v>
      </c>
      <c r="H2112" s="28" t="str">
        <f>VLOOKUP(E2112,'Cadastro Produtos (kiwkiw)'!C:E,3,0)</f>
        <v>Gargantilha Groumet Banho Ouro</v>
      </c>
      <c r="AB2112" s="33" t="s">
        <v>1150</v>
      </c>
    </row>
    <row r="2113" spans="2:28" ht="15" customHeight="1" x14ac:dyDescent="0.4">
      <c r="C2113" s="34" t="s">
        <v>6</v>
      </c>
      <c r="D2113" s="35">
        <v>46009</v>
      </c>
      <c r="E2113" s="51" t="s">
        <v>819</v>
      </c>
      <c r="F2113" s="33">
        <v>1</v>
      </c>
      <c r="G2113" s="27">
        <f t="shared" si="42"/>
        <v>-1</v>
      </c>
      <c r="H2113" s="28" t="str">
        <f>VLOOKUP(E2113,'Cadastro Produtos (kiwkiw)'!C:E,3,0)</f>
        <v>Colar Pearl Fecho Frontal Banho Ouro</v>
      </c>
      <c r="AB2113" s="33" t="s">
        <v>1150</v>
      </c>
    </row>
    <row r="2114" spans="2:28" ht="15" customHeight="1" x14ac:dyDescent="0.4">
      <c r="C2114" s="34" t="s">
        <v>6</v>
      </c>
      <c r="D2114" s="35">
        <v>46009</v>
      </c>
      <c r="E2114" s="51" t="s">
        <v>121</v>
      </c>
      <c r="F2114" s="33">
        <v>1</v>
      </c>
      <c r="G2114" s="27">
        <f t="shared" si="42"/>
        <v>-1</v>
      </c>
      <c r="H2114" s="28" t="str">
        <f>VLOOKUP(E2114,'Cadastro Produtos (kiwkiw)'!C:E,3,0)</f>
        <v>Bracelete Wave Banho Ouro</v>
      </c>
      <c r="AB2114" s="33" t="s">
        <v>1150</v>
      </c>
    </row>
    <row r="2115" spans="2:28" ht="15" customHeight="1" x14ac:dyDescent="0.4">
      <c r="C2115" s="34" t="s">
        <v>6</v>
      </c>
      <c r="D2115" s="35">
        <v>46009</v>
      </c>
      <c r="E2115" s="51" t="s">
        <v>809</v>
      </c>
      <c r="F2115" s="33">
        <v>1</v>
      </c>
      <c r="G2115" s="27">
        <f t="shared" si="42"/>
        <v>-1</v>
      </c>
      <c r="H2115" s="28" t="str">
        <f>VLOOKUP(E2115,'Cadastro Produtos (kiwkiw)'!C:E,3,0)</f>
        <v>Bracelete Roll Banho Ouro</v>
      </c>
      <c r="AB2115" s="33" t="s">
        <v>1150</v>
      </c>
    </row>
    <row r="2116" spans="2:28" ht="15" customHeight="1" x14ac:dyDescent="0.4">
      <c r="C2116" s="34" t="s">
        <v>6</v>
      </c>
      <c r="D2116" s="35">
        <v>46009</v>
      </c>
      <c r="E2116" s="51" t="s">
        <v>808</v>
      </c>
      <c r="F2116" s="33">
        <v>1</v>
      </c>
      <c r="G2116" s="27">
        <f t="shared" si="42"/>
        <v>-1</v>
      </c>
      <c r="H2116" s="28" t="str">
        <f>VLOOKUP(E2116,'Cadastro Produtos (kiwkiw)'!C:E,3,0)</f>
        <v>Bracelete Curves Banho Ouro</v>
      </c>
      <c r="AB2116" s="33" t="s">
        <v>1150</v>
      </c>
    </row>
    <row r="2117" spans="2:28" ht="15" customHeight="1" x14ac:dyDescent="0.4">
      <c r="C2117" s="34" t="s">
        <v>6</v>
      </c>
      <c r="D2117" s="35">
        <v>46009</v>
      </c>
      <c r="E2117" s="51" t="s">
        <v>95</v>
      </c>
      <c r="F2117" s="33">
        <v>1</v>
      </c>
      <c r="G2117" s="27">
        <f t="shared" si="42"/>
        <v>-1</v>
      </c>
      <c r="H2117" s="28" t="str">
        <f>VLOOKUP(E2117,'Cadastro Produtos (kiwkiw)'!C:E,3,0)</f>
        <v>Colar Duplo Dots Prateado</v>
      </c>
      <c r="AB2117" s="33" t="s">
        <v>1151</v>
      </c>
    </row>
    <row r="2118" spans="2:28" ht="15" customHeight="1" x14ac:dyDescent="0.4">
      <c r="C2118" s="34" t="s">
        <v>6</v>
      </c>
      <c r="D2118" s="35">
        <v>46009</v>
      </c>
      <c r="E2118" s="51" t="s">
        <v>32</v>
      </c>
      <c r="F2118" s="33">
        <v>1</v>
      </c>
      <c r="G2118" s="27">
        <f t="shared" si="42"/>
        <v>-1</v>
      </c>
      <c r="H2118" s="28" t="str">
        <f>VLOOKUP(E2118,'Cadastro Produtos (kiwkiw)'!C:E,3,0)</f>
        <v>Argola Redonda Basic Banho Ouro</v>
      </c>
      <c r="AB2118" s="33" t="s">
        <v>1152</v>
      </c>
    </row>
    <row r="2119" spans="2:28" ht="15" customHeight="1" x14ac:dyDescent="0.4">
      <c r="B2119" s="43">
        <v>46010.425416666665</v>
      </c>
      <c r="C2119" s="34" t="s">
        <v>6</v>
      </c>
      <c r="D2119" s="35">
        <v>46010</v>
      </c>
      <c r="E2119" s="51" t="s">
        <v>60</v>
      </c>
      <c r="F2119" s="33">
        <v>1</v>
      </c>
      <c r="G2119" s="27">
        <f t="shared" si="42"/>
        <v>-1</v>
      </c>
      <c r="H2119" s="28" t="str">
        <f>VLOOKUP(E2119,'Cadastro Produtos (kiwkiw)'!C:E,3,0)</f>
        <v>Brinco Oncinha Prateado</v>
      </c>
      <c r="AB2119" s="33" t="s">
        <v>1153</v>
      </c>
    </row>
    <row r="2120" spans="2:28" ht="15" customHeight="1" x14ac:dyDescent="0.4">
      <c r="C2120" s="34" t="s">
        <v>6</v>
      </c>
      <c r="D2120" s="35">
        <v>46010</v>
      </c>
      <c r="E2120" s="51" t="s">
        <v>49</v>
      </c>
      <c r="F2120" s="33">
        <v>1</v>
      </c>
      <c r="G2120" s="27">
        <f t="shared" si="42"/>
        <v>-1</v>
      </c>
      <c r="H2120" s="28" t="str">
        <f>VLOOKUP(E2120,'Cadastro Produtos (kiwkiw)'!C:E,3,0)</f>
        <v>Brinco Coracao Diamond Banho Ouro</v>
      </c>
      <c r="AB2120" s="33" t="s">
        <v>1153</v>
      </c>
    </row>
    <row r="2121" spans="2:28" ht="15" customHeight="1" x14ac:dyDescent="0.4">
      <c r="C2121" s="34" t="s">
        <v>6</v>
      </c>
      <c r="D2121" s="35">
        <v>46010</v>
      </c>
      <c r="E2121" s="51" t="s">
        <v>100</v>
      </c>
      <c r="F2121" s="33">
        <v>1</v>
      </c>
      <c r="G2121" s="27">
        <f t="shared" si="42"/>
        <v>-1</v>
      </c>
      <c r="H2121" s="28" t="str">
        <f>VLOOKUP(E2121,'Cadastro Produtos (kiwkiw)'!C:E,3,0)</f>
        <v>Colar Esfera Pequeno Banho Ouro</v>
      </c>
      <c r="AB2121" s="33" t="s">
        <v>1154</v>
      </c>
    </row>
    <row r="2122" spans="2:28" ht="15" customHeight="1" x14ac:dyDescent="0.4">
      <c r="B2122" s="43">
        <v>46013.448738425926</v>
      </c>
      <c r="C2122" s="34" t="s">
        <v>6</v>
      </c>
      <c r="D2122" s="35">
        <v>46012</v>
      </c>
      <c r="E2122" s="51" t="s">
        <v>103</v>
      </c>
      <c r="F2122" s="33">
        <v>1</v>
      </c>
      <c r="G2122" s="27">
        <f t="shared" si="42"/>
        <v>-1</v>
      </c>
      <c r="H2122" s="28" t="str">
        <f>VLOOKUP(E2122,'Cadastro Produtos (kiwkiw)'!C:E,3,0)</f>
        <v>Colar Ivy Banho Ouro</v>
      </c>
      <c r="AB2122" s="33" t="s">
        <v>1155</v>
      </c>
    </row>
    <row r="2123" spans="2:28" ht="15" customHeight="1" x14ac:dyDescent="0.4">
      <c r="C2123" s="34" t="s">
        <v>6</v>
      </c>
      <c r="D2123" s="35">
        <v>46012</v>
      </c>
      <c r="E2123" s="51" t="s">
        <v>117</v>
      </c>
      <c r="F2123" s="33">
        <v>1</v>
      </c>
      <c r="G2123" s="27">
        <f t="shared" si="42"/>
        <v>-1</v>
      </c>
      <c r="H2123" s="28" t="str">
        <f>VLOOKUP(E2123,'Cadastro Produtos (kiwkiw)'!C:E,3,0)</f>
        <v>Gargantilha Minimal Banho Ouro</v>
      </c>
      <c r="AB2123" s="33" t="s">
        <v>1156</v>
      </c>
    </row>
    <row r="2124" spans="2:28" ht="15" customHeight="1" x14ac:dyDescent="0.4">
      <c r="C2124" s="34" t="s">
        <v>6</v>
      </c>
      <c r="D2124" s="35">
        <v>46012</v>
      </c>
      <c r="E2124" s="51" t="s">
        <v>117</v>
      </c>
      <c r="F2124" s="33">
        <v>1</v>
      </c>
      <c r="G2124" s="27">
        <f t="shared" si="42"/>
        <v>-1</v>
      </c>
      <c r="H2124" s="28" t="str">
        <f>VLOOKUP(E2124,'Cadastro Produtos (kiwkiw)'!C:E,3,0)</f>
        <v>Gargantilha Minimal Banho Ouro</v>
      </c>
      <c r="AB2124" s="33" t="s">
        <v>1157</v>
      </c>
    </row>
    <row r="2125" spans="2:28" ht="15" customHeight="1" x14ac:dyDescent="0.4">
      <c r="C2125" s="34" t="s">
        <v>6</v>
      </c>
      <c r="D2125" s="35">
        <v>46012</v>
      </c>
      <c r="E2125" s="51" t="s">
        <v>92</v>
      </c>
      <c r="F2125" s="33">
        <v>1</v>
      </c>
      <c r="G2125" s="27">
        <f t="shared" si="42"/>
        <v>-1</v>
      </c>
      <c r="H2125" s="28" t="str">
        <f>VLOOKUP(E2125,'Cadastro Produtos (kiwkiw)'!C:E,3,0)</f>
        <v>Colar Coracao Banho Ouro</v>
      </c>
      <c r="AB2125" s="33" t="s">
        <v>1158</v>
      </c>
    </row>
    <row r="2126" spans="2:28" ht="15" customHeight="1" x14ac:dyDescent="0.4">
      <c r="C2126" s="34" t="s">
        <v>6</v>
      </c>
      <c r="D2126" s="35">
        <v>46012</v>
      </c>
      <c r="E2126" s="51" t="s">
        <v>118</v>
      </c>
      <c r="F2126" s="33">
        <v>1</v>
      </c>
      <c r="G2126" s="27">
        <f t="shared" si="42"/>
        <v>-1</v>
      </c>
      <c r="H2126" s="28" t="str">
        <f>VLOOKUP(E2126,'Cadastro Produtos (kiwkiw)'!C:E,3,0)</f>
        <v>Gargantilha Minimal Prateada</v>
      </c>
      <c r="AB2126" s="33" t="s">
        <v>1159</v>
      </c>
    </row>
    <row r="2127" spans="2:28" ht="15" customHeight="1" x14ac:dyDescent="0.4">
      <c r="B2127" s="43">
        <v>46014.428784722222</v>
      </c>
      <c r="C2127" s="34" t="s">
        <v>6</v>
      </c>
      <c r="D2127" s="35">
        <v>46014</v>
      </c>
      <c r="E2127" s="51" t="s">
        <v>117</v>
      </c>
      <c r="F2127" s="33">
        <v>1</v>
      </c>
      <c r="G2127" s="27">
        <f t="shared" si="42"/>
        <v>-1</v>
      </c>
      <c r="H2127" s="28" t="str">
        <f>VLOOKUP(E2127,'Cadastro Produtos (kiwkiw)'!C:E,3,0)</f>
        <v>Gargantilha Minimal Banho Ouro</v>
      </c>
      <c r="AB2127" s="33" t="s">
        <v>1160</v>
      </c>
    </row>
    <row r="2128" spans="2:28" ht="15" customHeight="1" x14ac:dyDescent="0.4">
      <c r="C2128" s="34" t="s">
        <v>6</v>
      </c>
      <c r="D2128" s="35">
        <v>46014</v>
      </c>
      <c r="E2128" s="51" t="s">
        <v>117</v>
      </c>
      <c r="F2128" s="33">
        <v>1</v>
      </c>
      <c r="G2128" s="27">
        <f t="shared" si="42"/>
        <v>-1</v>
      </c>
      <c r="H2128" s="28" t="str">
        <f>VLOOKUP(E2128,'Cadastro Produtos (kiwkiw)'!C:E,3,0)</f>
        <v>Gargantilha Minimal Banho Ouro</v>
      </c>
      <c r="AB2128" s="33" t="s">
        <v>1161</v>
      </c>
    </row>
    <row r="2129" spans="2:28" ht="15" customHeight="1" x14ac:dyDescent="0.4">
      <c r="C2129" s="34" t="s">
        <v>6</v>
      </c>
      <c r="D2129" s="35">
        <v>46014</v>
      </c>
      <c r="E2129" s="51" t="s">
        <v>824</v>
      </c>
      <c r="F2129" s="33">
        <v>1</v>
      </c>
      <c r="G2129" s="27">
        <f t="shared" si="42"/>
        <v>-1</v>
      </c>
      <c r="H2129" s="28" t="str">
        <f>VLOOKUP(E2129,'Cadastro Produtos (kiwkiw)'!C:E,3,0)</f>
        <v>Pulseira Delicate Banho Ouro</v>
      </c>
      <c r="AB2129" s="33" t="s">
        <v>1162</v>
      </c>
    </row>
    <row r="2130" spans="2:28" ht="15" customHeight="1" x14ac:dyDescent="0.4">
      <c r="B2130" s="43">
        <v>46017.445949074077</v>
      </c>
      <c r="C2130" s="34" t="s">
        <v>6</v>
      </c>
      <c r="D2130" s="35">
        <v>46017</v>
      </c>
      <c r="E2130" s="51" t="s">
        <v>60</v>
      </c>
      <c r="F2130" s="33">
        <v>1</v>
      </c>
      <c r="G2130" s="27">
        <f t="shared" si="42"/>
        <v>-1</v>
      </c>
      <c r="H2130" s="28" t="str">
        <f>VLOOKUP(E2130,'Cadastro Produtos (kiwkiw)'!C:E,3,0)</f>
        <v>Brinco Oncinha Prateado</v>
      </c>
      <c r="AB2130" s="33" t="s">
        <v>1163</v>
      </c>
    </row>
    <row r="2131" spans="2:28" ht="15" customHeight="1" x14ac:dyDescent="0.4">
      <c r="C2131" s="34" t="s">
        <v>6</v>
      </c>
      <c r="D2131" s="35">
        <v>46017</v>
      </c>
      <c r="E2131" s="51" t="s">
        <v>40</v>
      </c>
      <c r="F2131" s="33">
        <v>1</v>
      </c>
      <c r="G2131" s="27">
        <f t="shared" si="42"/>
        <v>-1</v>
      </c>
      <c r="H2131" s="28" t="str">
        <f>VLOOKUP(E2131,'Cadastro Produtos (kiwkiw)'!C:E,3,0)</f>
        <v>Argolinha Folha Banho Ouro</v>
      </c>
      <c r="AB2131" s="33" t="s">
        <v>1163</v>
      </c>
    </row>
    <row r="2132" spans="2:28" ht="15" customHeight="1" x14ac:dyDescent="0.4">
      <c r="C2132" s="34" t="s">
        <v>6</v>
      </c>
      <c r="D2132" s="35">
        <v>46017</v>
      </c>
      <c r="E2132" s="51" t="s">
        <v>29</v>
      </c>
      <c r="F2132" s="33">
        <v>1</v>
      </c>
      <c r="G2132" s="27">
        <f t="shared" si="42"/>
        <v>-1</v>
      </c>
      <c r="H2132" s="28" t="str">
        <f>VLOOKUP(E2132,'Cadastro Produtos (kiwkiw)'!C:E,3,0)</f>
        <v>Argola Click Diamond Banho Ouro</v>
      </c>
      <c r="AB2132" s="33" t="s">
        <v>1163</v>
      </c>
    </row>
    <row r="2133" spans="2:28" ht="15" customHeight="1" x14ac:dyDescent="0.4">
      <c r="C2133" s="34" t="s">
        <v>6</v>
      </c>
      <c r="D2133" s="35">
        <v>46017</v>
      </c>
      <c r="E2133" s="51" t="s">
        <v>793</v>
      </c>
      <c r="F2133" s="33">
        <v>1</v>
      </c>
      <c r="G2133" s="27">
        <f t="shared" si="42"/>
        <v>-1</v>
      </c>
      <c r="H2133" s="28" t="str">
        <f>VLOOKUP(E2133,'Cadastro Produtos (kiwkiw)'!C:E,3,0)</f>
        <v>Argolinha Click Bambu Banho Ouro</v>
      </c>
      <c r="AB2133" s="33" t="s">
        <v>1163</v>
      </c>
    </row>
    <row r="2134" spans="2:28" ht="15" customHeight="1" x14ac:dyDescent="0.4">
      <c r="C2134" s="34" t="s">
        <v>6</v>
      </c>
      <c r="D2134" s="35">
        <v>46017</v>
      </c>
      <c r="E2134" s="51" t="s">
        <v>62</v>
      </c>
      <c r="F2134" s="33">
        <v>1</v>
      </c>
      <c r="G2134" s="27">
        <f t="shared" si="42"/>
        <v>-1</v>
      </c>
      <c r="H2134" s="28" t="str">
        <f>VLOOKUP(E2134,'Cadastro Produtos (kiwkiw)'!C:E,3,0)</f>
        <v>Brinco Sol Banho Ouro</v>
      </c>
      <c r="AB2134" s="33" t="s">
        <v>1164</v>
      </c>
    </row>
    <row r="2135" spans="2:28" ht="15" customHeight="1" x14ac:dyDescent="0.4">
      <c r="C2135" s="34" t="s">
        <v>6</v>
      </c>
      <c r="D2135" s="35">
        <v>46017</v>
      </c>
      <c r="E2135" s="51" t="s">
        <v>820</v>
      </c>
      <c r="F2135" s="33">
        <v>1</v>
      </c>
      <c r="G2135" s="27">
        <f t="shared" si="42"/>
        <v>-1</v>
      </c>
      <c r="H2135" s="28" t="str">
        <f>VLOOKUP(E2135,'Cadastro Produtos (kiwkiw)'!C:E,3,0)</f>
        <v>Colar Sol Banho Ouro</v>
      </c>
      <c r="AB2135" s="33" t="s">
        <v>1164</v>
      </c>
    </row>
    <row r="2136" spans="2:28" ht="15" customHeight="1" x14ac:dyDescent="0.4">
      <c r="C2136" s="34" t="s">
        <v>6</v>
      </c>
      <c r="D2136" s="35">
        <v>46017</v>
      </c>
      <c r="E2136" s="51" t="s">
        <v>117</v>
      </c>
      <c r="F2136" s="33">
        <v>1</v>
      </c>
      <c r="G2136" s="27">
        <f t="shared" si="42"/>
        <v>-1</v>
      </c>
      <c r="H2136" s="28" t="str">
        <f>VLOOKUP(E2136,'Cadastro Produtos (kiwkiw)'!C:E,3,0)</f>
        <v>Gargantilha Minimal Banho Ouro</v>
      </c>
      <c r="AB2136" s="33" t="s">
        <v>1165</v>
      </c>
    </row>
    <row r="2137" spans="2:28" ht="15" customHeight="1" x14ac:dyDescent="0.4">
      <c r="C2137" s="34" t="s">
        <v>6</v>
      </c>
      <c r="D2137" s="35">
        <v>46017</v>
      </c>
      <c r="E2137" s="51" t="s">
        <v>796</v>
      </c>
      <c r="F2137" s="33">
        <v>1</v>
      </c>
      <c r="G2137" s="27">
        <f t="shared" si="42"/>
        <v>-1</v>
      </c>
      <c r="H2137" s="28" t="str">
        <f>VLOOKUP(E2137,'Cadastro Produtos (kiwkiw)'!C:E,3,0)</f>
        <v>Colar Longo Minimal Banho Ouro</v>
      </c>
      <c r="AB2137" s="33" t="s">
        <v>1166</v>
      </c>
    </row>
    <row r="2138" spans="2:28" ht="15" customHeight="1" x14ac:dyDescent="0.4">
      <c r="B2138" s="43">
        <v>46020.429768518516</v>
      </c>
      <c r="C2138" s="34" t="s">
        <v>6</v>
      </c>
      <c r="D2138" s="35">
        <v>46020</v>
      </c>
      <c r="E2138" s="51" t="s">
        <v>55</v>
      </c>
      <c r="F2138" s="33">
        <v>1</v>
      </c>
      <c r="G2138" s="27">
        <f t="shared" si="42"/>
        <v>-1</v>
      </c>
      <c r="H2138" s="28" t="str">
        <f>VLOOKUP(E2138,'Cadastro Produtos (kiwkiw)'!C:E,3,0)</f>
        <v>Brinco Ivy Prateado</v>
      </c>
      <c r="AB2138" s="33" t="s">
        <v>1167</v>
      </c>
    </row>
    <row r="2139" spans="2:28" ht="15" customHeight="1" x14ac:dyDescent="0.4">
      <c r="C2139" s="34" t="s">
        <v>6</v>
      </c>
      <c r="D2139" s="35">
        <v>46020</v>
      </c>
      <c r="E2139" s="51" t="s">
        <v>62</v>
      </c>
      <c r="F2139" s="33">
        <v>1</v>
      </c>
      <c r="G2139" s="27">
        <f t="shared" si="42"/>
        <v>-1</v>
      </c>
      <c r="H2139" s="28" t="str">
        <f>VLOOKUP(E2139,'Cadastro Produtos (kiwkiw)'!C:E,3,0)</f>
        <v>Brinco Sol Banho Ouro</v>
      </c>
      <c r="AB2139" s="33" t="s">
        <v>1168</v>
      </c>
    </row>
    <row r="2140" spans="2:28" ht="15" customHeight="1" x14ac:dyDescent="0.4">
      <c r="C2140" s="34" t="s">
        <v>6</v>
      </c>
      <c r="D2140" s="35">
        <v>46020</v>
      </c>
      <c r="E2140" s="51" t="s">
        <v>99</v>
      </c>
      <c r="F2140" s="33">
        <v>1</v>
      </c>
      <c r="G2140" s="27">
        <f t="shared" si="42"/>
        <v>-1</v>
      </c>
      <c r="H2140" s="28" t="str">
        <f>VLOOKUP(E2140,'Cadastro Produtos (kiwkiw)'!C:E,3,0)</f>
        <v>Colar Esfera Medio Banho Ouro</v>
      </c>
      <c r="AB2140" s="33" t="s">
        <v>1169</v>
      </c>
    </row>
    <row r="2141" spans="2:28" ht="15" customHeight="1" x14ac:dyDescent="0.4">
      <c r="C2141" s="34" t="s">
        <v>6</v>
      </c>
      <c r="D2141" s="35">
        <v>46020</v>
      </c>
      <c r="E2141" s="51" t="s">
        <v>103</v>
      </c>
      <c r="F2141" s="33">
        <v>1</v>
      </c>
      <c r="G2141" s="27">
        <f t="shared" si="42"/>
        <v>-1</v>
      </c>
      <c r="H2141" s="28" t="str">
        <f>VLOOKUP(E2141,'Cadastro Produtos (kiwkiw)'!C:E,3,0)</f>
        <v>Colar Ivy Banho Ouro</v>
      </c>
      <c r="AB2141" s="33" t="s">
        <v>1169</v>
      </c>
    </row>
    <row r="2142" spans="2:28" ht="15" customHeight="1" x14ac:dyDescent="0.4">
      <c r="C2142" s="34" t="s">
        <v>6</v>
      </c>
      <c r="D2142" s="35">
        <v>46020</v>
      </c>
      <c r="E2142" s="51" t="s">
        <v>116</v>
      </c>
      <c r="F2142" s="33">
        <v>1</v>
      </c>
      <c r="G2142" s="27">
        <f t="shared" si="42"/>
        <v>-1</v>
      </c>
      <c r="H2142" s="28" t="str">
        <f>VLOOKUP(E2142,'Cadastro Produtos (kiwkiw)'!C:E,3,0)</f>
        <v>Gargantilha Dots Banho Ouro</v>
      </c>
      <c r="AB2142" s="33" t="s">
        <v>1170</v>
      </c>
    </row>
    <row r="2143" spans="2:28" ht="15" customHeight="1" x14ac:dyDescent="0.4">
      <c r="B2143" s="43">
        <v>46021.431180555555</v>
      </c>
      <c r="C2143" s="34" t="s">
        <v>6</v>
      </c>
      <c r="D2143" s="35">
        <v>46021</v>
      </c>
      <c r="E2143" s="51" t="s">
        <v>104</v>
      </c>
      <c r="F2143" s="33">
        <v>1</v>
      </c>
      <c r="G2143" s="27">
        <f t="shared" si="42"/>
        <v>-1</v>
      </c>
      <c r="H2143" s="28" t="str">
        <f>VLOOKUP(E2143,'Cadastro Produtos (kiwkiw)'!C:E,3,0)</f>
        <v>Colar Ivy Prateado</v>
      </c>
      <c r="AB2143" s="33" t="s">
        <v>1171</v>
      </c>
    </row>
    <row r="2144" spans="2:28" ht="15" customHeight="1" x14ac:dyDescent="0.4">
      <c r="C2144" s="34" t="s">
        <v>6</v>
      </c>
      <c r="D2144" s="35">
        <v>46021</v>
      </c>
      <c r="E2144" s="51" t="s">
        <v>103</v>
      </c>
      <c r="F2144" s="33">
        <v>1</v>
      </c>
      <c r="G2144" s="27">
        <f t="shared" si="42"/>
        <v>-1</v>
      </c>
      <c r="H2144" s="28" t="str">
        <f>VLOOKUP(E2144,'Cadastro Produtos (kiwkiw)'!C:E,3,0)</f>
        <v>Colar Ivy Banho Ouro</v>
      </c>
      <c r="AB2144" s="33" t="s">
        <v>1171</v>
      </c>
    </row>
    <row r="2145" spans="2:28" ht="15" customHeight="1" x14ac:dyDescent="0.4">
      <c r="B2145" s="43">
        <v>46024.42732638889</v>
      </c>
      <c r="C2145" s="34" t="s">
        <v>6</v>
      </c>
      <c r="D2145" s="35">
        <v>46024</v>
      </c>
      <c r="E2145" s="51" t="s">
        <v>825</v>
      </c>
      <c r="F2145" s="33">
        <v>1</v>
      </c>
      <c r="G2145" s="27">
        <f t="shared" si="42"/>
        <v>-1</v>
      </c>
      <c r="H2145" s="28" t="str">
        <f>VLOOKUP(E2145,'Cadastro Produtos (kiwkiw)'!C:E,3,0)</f>
        <v>Pulseira Fita 2mm Banho Ouro</v>
      </c>
      <c r="AB2145" s="33" t="s">
        <v>1172</v>
      </c>
    </row>
    <row r="2146" spans="2:28" ht="15" customHeight="1" x14ac:dyDescent="0.4">
      <c r="C2146" s="34" t="s">
        <v>6</v>
      </c>
      <c r="D2146" s="35">
        <v>46024</v>
      </c>
      <c r="E2146" s="51" t="s">
        <v>26</v>
      </c>
      <c r="F2146" s="33">
        <v>1</v>
      </c>
      <c r="G2146" s="27">
        <f t="shared" si="42"/>
        <v>-1</v>
      </c>
      <c r="H2146" s="28" t="str">
        <f>VLOOKUP(E2146,'Cadastro Produtos (kiwkiw)'!C:E,3,0)</f>
        <v>Argola Click Grande Banho Ouro</v>
      </c>
      <c r="AB2146" s="33" t="s">
        <v>1173</v>
      </c>
    </row>
    <row r="2147" spans="2:28" ht="15" customHeight="1" x14ac:dyDescent="0.4">
      <c r="C2147" s="34" t="s">
        <v>6</v>
      </c>
      <c r="D2147" s="35">
        <v>46024</v>
      </c>
      <c r="E2147" s="51" t="s">
        <v>117</v>
      </c>
      <c r="F2147" s="33">
        <v>1</v>
      </c>
      <c r="G2147" s="27">
        <f t="shared" si="42"/>
        <v>-1</v>
      </c>
      <c r="H2147" s="28" t="str">
        <f>VLOOKUP(E2147,'Cadastro Produtos (kiwkiw)'!C:E,3,0)</f>
        <v>Gargantilha Minimal Banho Ouro</v>
      </c>
      <c r="AB2147" s="33" t="s">
        <v>1174</v>
      </c>
    </row>
    <row r="2148" spans="2:28" ht="15" customHeight="1" x14ac:dyDescent="0.4">
      <c r="C2148" s="34" t="s">
        <v>6</v>
      </c>
      <c r="D2148" s="35">
        <v>46024</v>
      </c>
      <c r="E2148" s="51" t="s">
        <v>94</v>
      </c>
      <c r="F2148" s="33">
        <v>1</v>
      </c>
      <c r="G2148" s="27">
        <f t="shared" si="42"/>
        <v>-1</v>
      </c>
      <c r="H2148" s="28" t="str">
        <f>VLOOKUP(E2148,'Cadastro Produtos (kiwkiw)'!C:E,3,0)</f>
        <v>Colar Duplo Dots Banho Ouro</v>
      </c>
      <c r="AB2148" s="33" t="s">
        <v>1175</v>
      </c>
    </row>
    <row r="2149" spans="2:28" ht="15" customHeight="1" x14ac:dyDescent="0.4">
      <c r="B2149" s="43">
        <v>46027.427557870367</v>
      </c>
      <c r="C2149" s="34" t="s">
        <v>6</v>
      </c>
      <c r="D2149" s="35">
        <v>46024</v>
      </c>
      <c r="E2149" s="51" t="s">
        <v>118</v>
      </c>
      <c r="F2149" s="33">
        <v>1</v>
      </c>
      <c r="G2149" s="27">
        <f t="shared" si="42"/>
        <v>-1</v>
      </c>
      <c r="H2149" s="28" t="str">
        <f>VLOOKUP(E2149,'Cadastro Produtos (kiwkiw)'!C:E,3,0)</f>
        <v>Gargantilha Minimal Prateada</v>
      </c>
      <c r="AB2149" s="33" t="s">
        <v>1176</v>
      </c>
    </row>
    <row r="2150" spans="2:28" ht="15" customHeight="1" x14ac:dyDescent="0.4">
      <c r="C2150" s="34" t="s">
        <v>6</v>
      </c>
      <c r="D2150" s="35">
        <v>46024</v>
      </c>
      <c r="E2150" s="51" t="s">
        <v>93</v>
      </c>
      <c r="F2150" s="33">
        <v>1</v>
      </c>
      <c r="G2150" s="27">
        <f t="shared" si="42"/>
        <v>-1</v>
      </c>
      <c r="H2150" s="28" t="str">
        <f>VLOOKUP(E2150,'Cadastro Produtos (kiwkiw)'!C:E,3,0)</f>
        <v>Colar Coracao Prateado</v>
      </c>
      <c r="AB2150" s="33" t="s">
        <v>1177</v>
      </c>
    </row>
    <row r="2151" spans="2:28" ht="15" customHeight="1" x14ac:dyDescent="0.4">
      <c r="C2151" s="34" t="s">
        <v>6</v>
      </c>
      <c r="D2151" s="35">
        <v>46024</v>
      </c>
      <c r="E2151" s="51" t="s">
        <v>26</v>
      </c>
      <c r="F2151" s="33">
        <v>1</v>
      </c>
      <c r="G2151" s="27">
        <f t="shared" si="42"/>
        <v>-1</v>
      </c>
      <c r="H2151" s="28" t="str">
        <f>VLOOKUP(E2151,'Cadastro Produtos (kiwkiw)'!C:E,3,0)</f>
        <v>Argola Click Grande Banho Ouro</v>
      </c>
      <c r="AB2151" s="33" t="s">
        <v>1178</v>
      </c>
    </row>
    <row r="2152" spans="2:28" ht="15" customHeight="1" x14ac:dyDescent="0.4">
      <c r="C2152" s="34" t="s">
        <v>6</v>
      </c>
      <c r="D2152" s="35">
        <v>46027</v>
      </c>
      <c r="E2152" s="51" t="s">
        <v>99</v>
      </c>
      <c r="F2152" s="33">
        <v>1</v>
      </c>
      <c r="G2152" s="27">
        <f t="shared" si="42"/>
        <v>-1</v>
      </c>
      <c r="H2152" s="28" t="str">
        <f>VLOOKUP(E2152,'Cadastro Produtos (kiwkiw)'!C:E,3,0)</f>
        <v>Colar Esfera Medio Banho Ouro</v>
      </c>
      <c r="AB2152" s="33" t="s">
        <v>1179</v>
      </c>
    </row>
    <row r="2153" spans="2:28" ht="15" customHeight="1" x14ac:dyDescent="0.4">
      <c r="C2153" s="34" t="s">
        <v>6</v>
      </c>
      <c r="D2153" s="35">
        <v>46027</v>
      </c>
      <c r="E2153" s="51" t="s">
        <v>789</v>
      </c>
      <c r="F2153" s="33">
        <v>1</v>
      </c>
      <c r="G2153" s="27">
        <f t="shared" si="42"/>
        <v>-1</v>
      </c>
      <c r="H2153" s="28" t="str">
        <f>VLOOKUP(E2153,'Cadastro Produtos (kiwkiw)'!C:E,3,0)</f>
        <v>Brinco Flor Gardenia Banho Ouro</v>
      </c>
      <c r="AB2153" s="33" t="s">
        <v>1179</v>
      </c>
    </row>
    <row r="2154" spans="2:28" ht="15" customHeight="1" x14ac:dyDescent="0.4">
      <c r="C2154" s="34" t="s">
        <v>6</v>
      </c>
      <c r="D2154" s="35">
        <v>46027</v>
      </c>
      <c r="E2154" s="51" t="s">
        <v>76</v>
      </c>
      <c r="F2154" s="33">
        <v>1</v>
      </c>
      <c r="G2154" s="27">
        <f t="shared" si="42"/>
        <v>-1</v>
      </c>
      <c r="H2154" s="28" t="str">
        <f>VLOOKUP(E2154,'Cadastro Produtos (kiwkiw)'!C:E,3,0)</f>
        <v>EarHook Dots Banho Ouro</v>
      </c>
      <c r="AB2154" s="33" t="s">
        <v>1179</v>
      </c>
    </row>
    <row r="2155" spans="2:28" ht="15" customHeight="1" x14ac:dyDescent="0.4">
      <c r="C2155" s="34" t="s">
        <v>6</v>
      </c>
      <c r="D2155" s="35">
        <v>46027</v>
      </c>
      <c r="E2155" s="51" t="s">
        <v>40</v>
      </c>
      <c r="F2155" s="33">
        <v>1</v>
      </c>
      <c r="G2155" s="27">
        <f t="shared" si="42"/>
        <v>-1</v>
      </c>
      <c r="H2155" s="28" t="str">
        <f>VLOOKUP(E2155,'Cadastro Produtos (kiwkiw)'!C:E,3,0)</f>
        <v>Argolinha Folha Banho Ouro</v>
      </c>
      <c r="AB2155" s="33" t="s">
        <v>1179</v>
      </c>
    </row>
    <row r="2156" spans="2:28" ht="15" customHeight="1" x14ac:dyDescent="0.4">
      <c r="C2156" s="34" t="s">
        <v>6</v>
      </c>
      <c r="D2156" s="35">
        <v>46027</v>
      </c>
      <c r="E2156" s="51" t="s">
        <v>40</v>
      </c>
      <c r="F2156" s="33">
        <v>1</v>
      </c>
      <c r="G2156" s="27">
        <f t="shared" si="42"/>
        <v>-1</v>
      </c>
      <c r="H2156" s="28" t="str">
        <f>VLOOKUP(E2156,'Cadastro Produtos (kiwkiw)'!C:E,3,0)</f>
        <v>Argolinha Folha Banho Ouro</v>
      </c>
      <c r="AB2156" s="33" t="s">
        <v>1180</v>
      </c>
    </row>
    <row r="2157" spans="2:28" ht="15" customHeight="1" x14ac:dyDescent="0.4">
      <c r="C2157" s="34" t="s">
        <v>6</v>
      </c>
      <c r="D2157" s="35">
        <v>46027</v>
      </c>
      <c r="E2157" s="51" t="s">
        <v>797</v>
      </c>
      <c r="F2157" s="33">
        <v>1</v>
      </c>
      <c r="G2157" s="27">
        <f t="shared" si="42"/>
        <v>-1</v>
      </c>
      <c r="H2157" s="28" t="str">
        <f>VLOOKUP(E2157,'Cadastro Produtos (kiwkiw)'!C:E,3,0)</f>
        <v>Colar Ponto de Luz Banho Ouro</v>
      </c>
      <c r="AB2157" s="33" t="s">
        <v>1181</v>
      </c>
    </row>
    <row r="2158" spans="2:28" ht="15" customHeight="1" x14ac:dyDescent="0.4">
      <c r="C2158" s="34" t="s">
        <v>6</v>
      </c>
      <c r="D2158" s="35">
        <v>46027</v>
      </c>
      <c r="E2158" s="51" t="s">
        <v>94</v>
      </c>
      <c r="F2158" s="33">
        <v>1</v>
      </c>
      <c r="G2158" s="27">
        <f t="shared" si="42"/>
        <v>-1</v>
      </c>
      <c r="H2158" s="28" t="str">
        <f>VLOOKUP(E2158,'Cadastro Produtos (kiwkiw)'!C:E,3,0)</f>
        <v>Colar Duplo Dots Banho Ouro</v>
      </c>
      <c r="AB2158" s="33" t="s">
        <v>1182</v>
      </c>
    </row>
    <row r="2159" spans="2:28" ht="15" customHeight="1" x14ac:dyDescent="0.4">
      <c r="C2159" s="34" t="s">
        <v>6</v>
      </c>
      <c r="D2159" s="35">
        <v>46027</v>
      </c>
      <c r="E2159" s="51" t="s">
        <v>796</v>
      </c>
      <c r="F2159" s="33">
        <v>1</v>
      </c>
      <c r="G2159" s="27">
        <f t="shared" si="42"/>
        <v>-1</v>
      </c>
      <c r="H2159" s="28" t="str">
        <f>VLOOKUP(E2159,'Cadastro Produtos (kiwkiw)'!C:E,3,0)</f>
        <v>Colar Longo Minimal Banho Ouro</v>
      </c>
      <c r="AB2159" s="33" t="s">
        <v>1182</v>
      </c>
    </row>
    <row r="2160" spans="2:28" ht="15" customHeight="1" x14ac:dyDescent="0.4">
      <c r="C2160" s="34" t="s">
        <v>6</v>
      </c>
      <c r="D2160" s="35">
        <v>46027</v>
      </c>
      <c r="E2160" s="51" t="s">
        <v>38</v>
      </c>
      <c r="F2160" s="33">
        <v>1</v>
      </c>
      <c r="G2160" s="27">
        <f t="shared" si="42"/>
        <v>-1</v>
      </c>
      <c r="H2160" s="28" t="str">
        <f>VLOOKUP(E2160,'Cadastro Produtos (kiwkiw)'!C:E,3,0)</f>
        <v>Argolinha Click Dots Banho Ouro</v>
      </c>
      <c r="AB2160" s="33" t="s">
        <v>1183</v>
      </c>
    </row>
    <row r="2161" spans="2:28" ht="15" customHeight="1" x14ac:dyDescent="0.4">
      <c r="C2161" s="34" t="s">
        <v>6</v>
      </c>
      <c r="D2161" s="35">
        <v>46027</v>
      </c>
      <c r="E2161" s="51" t="s">
        <v>114</v>
      </c>
      <c r="F2161" s="33">
        <v>1</v>
      </c>
      <c r="G2161" s="27">
        <f t="shared" si="42"/>
        <v>-1</v>
      </c>
      <c r="H2161" s="28" t="str">
        <f>VLOOKUP(E2161,'Cadastro Produtos (kiwkiw)'!C:E,3,0)</f>
        <v>Gargantilha Fita Banho Ouro</v>
      </c>
      <c r="AB2161" s="33" t="s">
        <v>1184</v>
      </c>
    </row>
    <row r="2162" spans="2:28" ht="15" customHeight="1" x14ac:dyDescent="0.4">
      <c r="B2162" s="43">
        <v>46028.425763888888</v>
      </c>
      <c r="C2162" s="34" t="s">
        <v>6</v>
      </c>
      <c r="D2162" s="35">
        <v>46028</v>
      </c>
      <c r="E2162" s="51" t="s">
        <v>99</v>
      </c>
      <c r="F2162" s="33">
        <v>1</v>
      </c>
      <c r="G2162" s="27">
        <f t="shared" si="42"/>
        <v>-1</v>
      </c>
      <c r="H2162" s="28" t="str">
        <f>VLOOKUP(E2162,'Cadastro Produtos (kiwkiw)'!C:E,3,0)</f>
        <v>Colar Esfera Medio Banho Ouro</v>
      </c>
      <c r="AB2162" s="33" t="s">
        <v>1185</v>
      </c>
    </row>
    <row r="2163" spans="2:28" ht="15" customHeight="1" x14ac:dyDescent="0.4">
      <c r="B2163" s="43">
        <v>46029.428703703707</v>
      </c>
      <c r="C2163" s="34" t="s">
        <v>6</v>
      </c>
      <c r="D2163" s="35">
        <v>46028</v>
      </c>
      <c r="E2163" s="51" t="s">
        <v>811</v>
      </c>
      <c r="F2163" s="33">
        <v>1</v>
      </c>
      <c r="G2163" s="27">
        <f t="shared" si="42"/>
        <v>-1</v>
      </c>
      <c r="H2163" s="28" t="str">
        <f>VLOOKUP(E2163,'Cadastro Produtos (kiwkiw)'!C:E,3,0)</f>
        <v>Brinco Drop P Banho Ouro</v>
      </c>
      <c r="AB2163" s="33" t="s">
        <v>1186</v>
      </c>
    </row>
    <row r="2164" spans="2:28" ht="15" customHeight="1" x14ac:dyDescent="0.4">
      <c r="C2164" s="34" t="s">
        <v>6</v>
      </c>
      <c r="D2164" s="35">
        <v>46028</v>
      </c>
      <c r="E2164" s="51" t="s">
        <v>73</v>
      </c>
      <c r="F2164" s="33">
        <v>1</v>
      </c>
      <c r="G2164" s="27">
        <f t="shared" si="42"/>
        <v>-1</v>
      </c>
      <c r="H2164" s="28" t="str">
        <f>VLOOKUP(E2164,'Cadastro Produtos (kiwkiw)'!C:E,3,0)</f>
        <v>Ear Hook Line Prateado</v>
      </c>
      <c r="AB2164" s="33" t="s">
        <v>1187</v>
      </c>
    </row>
    <row r="2165" spans="2:28" ht="15" customHeight="1" x14ac:dyDescent="0.4">
      <c r="C2165" s="34" t="s">
        <v>6</v>
      </c>
      <c r="D2165" s="35">
        <v>46028</v>
      </c>
      <c r="E2165" s="51" t="s">
        <v>94</v>
      </c>
      <c r="F2165" s="33">
        <v>1</v>
      </c>
      <c r="G2165" s="27">
        <f t="shared" si="42"/>
        <v>-1</v>
      </c>
      <c r="H2165" s="28" t="str">
        <f>VLOOKUP(E2165,'Cadastro Produtos (kiwkiw)'!C:E,3,0)</f>
        <v>Colar Duplo Dots Banho Ouro</v>
      </c>
      <c r="AB2165" s="33" t="s">
        <v>1187</v>
      </c>
    </row>
    <row r="2166" spans="2:28" ht="15" customHeight="1" x14ac:dyDescent="0.4">
      <c r="C2166" s="34" t="s">
        <v>6</v>
      </c>
      <c r="D2166" s="35">
        <v>46029</v>
      </c>
      <c r="E2166" s="51" t="s">
        <v>797</v>
      </c>
      <c r="F2166" s="33">
        <v>1</v>
      </c>
      <c r="G2166" s="27">
        <f t="shared" si="42"/>
        <v>-1</v>
      </c>
      <c r="H2166" s="28" t="str">
        <f>VLOOKUP(E2166,'Cadastro Produtos (kiwkiw)'!C:E,3,0)</f>
        <v>Colar Ponto de Luz Banho Ouro</v>
      </c>
      <c r="AB2166" s="33" t="s">
        <v>1188</v>
      </c>
    </row>
    <row r="2167" spans="2:28" ht="15" customHeight="1" x14ac:dyDescent="0.4">
      <c r="C2167" s="34" t="s">
        <v>6</v>
      </c>
      <c r="D2167" s="35">
        <v>46029</v>
      </c>
      <c r="E2167" s="51" t="s">
        <v>46</v>
      </c>
      <c r="F2167" s="33">
        <v>1</v>
      </c>
      <c r="G2167" s="27">
        <f t="shared" ref="G2167:G2230" si="43">IF(C2167="Entrada",F2167,-F2167)</f>
        <v>-1</v>
      </c>
      <c r="H2167" s="28" t="str">
        <f>VLOOKUP(E2167,'Cadastro Produtos (kiwkiw)'!C:E,3,0)</f>
        <v>Brinco Bubble Pequeno Banho Ouro</v>
      </c>
      <c r="AB2167" s="33" t="s">
        <v>1189</v>
      </c>
    </row>
    <row r="2168" spans="2:28" ht="15" customHeight="1" x14ac:dyDescent="0.4">
      <c r="C2168" s="34" t="s">
        <v>6</v>
      </c>
      <c r="D2168" s="35">
        <v>46029</v>
      </c>
      <c r="E2168" s="51" t="s">
        <v>62</v>
      </c>
      <c r="F2168" s="33">
        <v>1</v>
      </c>
      <c r="G2168" s="27">
        <f t="shared" si="43"/>
        <v>-1</v>
      </c>
      <c r="H2168" s="28" t="str">
        <f>VLOOKUP(E2168,'Cadastro Produtos (kiwkiw)'!C:E,3,0)</f>
        <v>Brinco Sol Banho Ouro</v>
      </c>
      <c r="AB2168" s="33" t="s">
        <v>1190</v>
      </c>
    </row>
    <row r="2169" spans="2:28" ht="15" customHeight="1" x14ac:dyDescent="0.4">
      <c r="C2169" s="34" t="s">
        <v>6</v>
      </c>
      <c r="D2169" s="35">
        <v>46029</v>
      </c>
      <c r="E2169" s="51" t="s">
        <v>62</v>
      </c>
      <c r="F2169" s="33">
        <v>1</v>
      </c>
      <c r="G2169" s="27">
        <f t="shared" si="43"/>
        <v>-1</v>
      </c>
      <c r="H2169" s="28" t="str">
        <f>VLOOKUP(E2169,'Cadastro Produtos (kiwkiw)'!C:E,3,0)</f>
        <v>Brinco Sol Banho Ouro</v>
      </c>
      <c r="AB2169" s="33" t="s">
        <v>1191</v>
      </c>
    </row>
    <row r="2170" spans="2:28" ht="15" customHeight="1" x14ac:dyDescent="0.4">
      <c r="B2170" s="43">
        <v>46030.423703703702</v>
      </c>
      <c r="C2170" s="34" t="s">
        <v>6</v>
      </c>
      <c r="D2170" s="35">
        <v>46030</v>
      </c>
      <c r="E2170" s="51" t="s">
        <v>26</v>
      </c>
      <c r="F2170" s="33">
        <v>1</v>
      </c>
      <c r="G2170" s="27">
        <f t="shared" si="43"/>
        <v>-1</v>
      </c>
      <c r="H2170" s="28" t="str">
        <f>VLOOKUP(E2170,'Cadastro Produtos (kiwkiw)'!C:E,3,0)</f>
        <v>Argola Click Grande Banho Ouro</v>
      </c>
      <c r="AB2170" s="33" t="s">
        <v>1192</v>
      </c>
    </row>
    <row r="2171" spans="2:28" ht="15" customHeight="1" x14ac:dyDescent="0.4">
      <c r="C2171" s="34" t="s">
        <v>6</v>
      </c>
      <c r="D2171" s="35">
        <v>46030</v>
      </c>
      <c r="E2171" s="51" t="s">
        <v>27</v>
      </c>
      <c r="F2171" s="33">
        <v>1</v>
      </c>
      <c r="G2171" s="27">
        <f t="shared" si="43"/>
        <v>-1</v>
      </c>
      <c r="H2171" s="28" t="str">
        <f>VLOOKUP(E2171,'Cadastro Produtos (kiwkiw)'!C:E,3,0)</f>
        <v>Argola Click Media Banho Ouro</v>
      </c>
      <c r="AB2171" s="33" t="s">
        <v>1192</v>
      </c>
    </row>
    <row r="2172" spans="2:28" ht="15" customHeight="1" x14ac:dyDescent="0.4">
      <c r="C2172" s="34" t="s">
        <v>6</v>
      </c>
      <c r="D2172" s="35">
        <v>46030</v>
      </c>
      <c r="E2172" s="51" t="s">
        <v>780</v>
      </c>
      <c r="F2172" s="33">
        <v>1</v>
      </c>
      <c r="G2172" s="27">
        <f t="shared" si="43"/>
        <v>-1</v>
      </c>
      <c r="H2172" s="28" t="str">
        <f>VLOOKUP(E2172,'Cadastro Produtos (kiwkiw)'!C:E,3,0)</f>
        <v>Gargantilha Crystal Banho Ouro</v>
      </c>
      <c r="AB2172" s="33" t="s">
        <v>1193</v>
      </c>
    </row>
    <row r="2173" spans="2:28" ht="15" customHeight="1" x14ac:dyDescent="0.4">
      <c r="C2173" s="34" t="s">
        <v>6</v>
      </c>
      <c r="D2173" s="35">
        <v>46030</v>
      </c>
      <c r="E2173" s="51" t="s">
        <v>60</v>
      </c>
      <c r="F2173" s="33">
        <v>1</v>
      </c>
      <c r="G2173" s="27">
        <f t="shared" si="43"/>
        <v>-1</v>
      </c>
      <c r="H2173" s="28" t="str">
        <f>VLOOKUP(E2173,'Cadastro Produtos (kiwkiw)'!C:E,3,0)</f>
        <v>Brinco Oncinha Prateado</v>
      </c>
      <c r="AB2173" s="33" t="s">
        <v>1194</v>
      </c>
    </row>
    <row r="2174" spans="2:28" ht="15" customHeight="1" x14ac:dyDescent="0.4">
      <c r="C2174" s="34" t="s">
        <v>5</v>
      </c>
      <c r="D2174" s="35">
        <v>46030</v>
      </c>
      <c r="E2174" s="51" t="s">
        <v>49</v>
      </c>
      <c r="F2174" s="33">
        <v>1</v>
      </c>
      <c r="G2174" s="27">
        <f t="shared" si="43"/>
        <v>1</v>
      </c>
      <c r="H2174" s="28" t="str">
        <f>VLOOKUP(E2174,'Cadastro Produtos (kiwkiw)'!C:E,3,0)</f>
        <v>Brinco Coracao Diamond Banho Ouro</v>
      </c>
      <c r="I2174" s="32" t="s">
        <v>1195</v>
      </c>
    </row>
    <row r="2175" spans="2:28" ht="15" customHeight="1" x14ac:dyDescent="0.4">
      <c r="C2175" s="34" t="s">
        <v>5</v>
      </c>
      <c r="D2175" s="35">
        <v>46030</v>
      </c>
      <c r="E2175" s="51" t="s">
        <v>51</v>
      </c>
      <c r="F2175" s="33">
        <v>1</v>
      </c>
      <c r="G2175" s="27">
        <f t="shared" si="43"/>
        <v>1</v>
      </c>
      <c r="H2175" s="28" t="str">
        <f>VLOOKUP(E2175,'Cadastro Produtos (kiwkiw)'!C:E,3,0)</f>
        <v>Brinco Mini Flecha Banho Ouro</v>
      </c>
      <c r="I2175" s="32" t="s">
        <v>1195</v>
      </c>
    </row>
    <row r="2176" spans="2:28" ht="15" customHeight="1" x14ac:dyDescent="0.4">
      <c r="C2176" s="34" t="s">
        <v>5</v>
      </c>
      <c r="D2176" s="35">
        <v>46030</v>
      </c>
      <c r="E2176" s="51" t="s">
        <v>45</v>
      </c>
      <c r="F2176" s="33">
        <v>1</v>
      </c>
      <c r="G2176" s="27">
        <f t="shared" si="43"/>
        <v>1</v>
      </c>
      <c r="H2176" s="28" t="str">
        <f>VLOOKUP(E2176,'Cadastro Produtos (kiwkiw)'!C:E,3,0)</f>
        <v>Brinco Bubble Medio Banho Ouro</v>
      </c>
      <c r="I2176" s="32" t="s">
        <v>1195</v>
      </c>
    </row>
    <row r="2177" spans="2:28" ht="15" customHeight="1" x14ac:dyDescent="0.4">
      <c r="C2177" s="34" t="s">
        <v>5</v>
      </c>
      <c r="D2177" s="35">
        <v>46030</v>
      </c>
      <c r="E2177" s="51" t="s">
        <v>29</v>
      </c>
      <c r="F2177" s="33">
        <v>1</v>
      </c>
      <c r="G2177" s="27">
        <f t="shared" si="43"/>
        <v>1</v>
      </c>
      <c r="H2177" s="28" t="str">
        <f>VLOOKUP(E2177,'Cadastro Produtos (kiwkiw)'!C:E,3,0)</f>
        <v>Argola Click Diamond Banho Ouro</v>
      </c>
      <c r="I2177" s="32" t="s">
        <v>1195</v>
      </c>
    </row>
    <row r="2178" spans="2:28" ht="15" customHeight="1" x14ac:dyDescent="0.4">
      <c r="C2178" s="34" t="s">
        <v>5</v>
      </c>
      <c r="D2178" s="35">
        <v>46030</v>
      </c>
      <c r="E2178" s="51" t="s">
        <v>82</v>
      </c>
      <c r="F2178" s="33">
        <v>1</v>
      </c>
      <c r="G2178" s="27">
        <f t="shared" si="43"/>
        <v>1</v>
      </c>
      <c r="H2178" s="28" t="str">
        <f>VLOOKUP(E2178,'Cadastro Produtos (kiwkiw)'!C:E,3,0)</f>
        <v>Meia Argola Diamond Banho Ouro</v>
      </c>
      <c r="I2178" s="32" t="s">
        <v>1195</v>
      </c>
    </row>
    <row r="2179" spans="2:28" ht="15" customHeight="1" x14ac:dyDescent="0.4">
      <c r="C2179" s="34" t="s">
        <v>5</v>
      </c>
      <c r="D2179" s="35">
        <v>46030</v>
      </c>
      <c r="E2179" s="51" t="s">
        <v>94</v>
      </c>
      <c r="F2179" s="33">
        <v>1</v>
      </c>
      <c r="G2179" s="27">
        <f t="shared" si="43"/>
        <v>1</v>
      </c>
      <c r="H2179" s="28" t="str">
        <f>VLOOKUP(E2179,'Cadastro Produtos (kiwkiw)'!C:E,3,0)</f>
        <v>Colar Duplo Dots Banho Ouro</v>
      </c>
      <c r="I2179" s="32" t="s">
        <v>1195</v>
      </c>
    </row>
    <row r="2180" spans="2:28" ht="15" customHeight="1" x14ac:dyDescent="0.4">
      <c r="C2180" s="34" t="s">
        <v>5</v>
      </c>
      <c r="D2180" s="35">
        <v>46030</v>
      </c>
      <c r="E2180" s="51" t="s">
        <v>799</v>
      </c>
      <c r="F2180" s="33">
        <v>1</v>
      </c>
      <c r="G2180" s="27">
        <f t="shared" si="43"/>
        <v>1</v>
      </c>
      <c r="H2180" s="28" t="str">
        <f>VLOOKUP(E2180,'Cadastro Produtos (kiwkiw)'!C:E,3,0)</f>
        <v>Gargantilha Fita Textura Banho Ouro</v>
      </c>
      <c r="I2180" s="32" t="s">
        <v>1195</v>
      </c>
    </row>
    <row r="2181" spans="2:28" ht="15" customHeight="1" x14ac:dyDescent="0.4">
      <c r="B2181" s="43">
        <v>46031.422974537039</v>
      </c>
      <c r="C2181" s="34" t="s">
        <v>6</v>
      </c>
      <c r="D2181" s="35">
        <v>46031</v>
      </c>
      <c r="E2181" s="51" t="s">
        <v>796</v>
      </c>
      <c r="F2181" s="33">
        <v>1</v>
      </c>
      <c r="G2181" s="27">
        <f t="shared" si="43"/>
        <v>-1</v>
      </c>
      <c r="H2181" s="28" t="str">
        <f>VLOOKUP(E2181,'Cadastro Produtos (kiwkiw)'!C:E,3,0)</f>
        <v>Colar Longo Minimal Banho Ouro</v>
      </c>
      <c r="AB2181" s="33" t="s">
        <v>1196</v>
      </c>
    </row>
    <row r="2182" spans="2:28" ht="15" customHeight="1" x14ac:dyDescent="0.4">
      <c r="C2182" s="34" t="s">
        <v>6</v>
      </c>
      <c r="D2182" s="35">
        <v>46031</v>
      </c>
      <c r="E2182" s="51" t="s">
        <v>801</v>
      </c>
      <c r="F2182" s="33">
        <v>1</v>
      </c>
      <c r="G2182" s="27">
        <f t="shared" si="43"/>
        <v>-1</v>
      </c>
      <c r="H2182" s="28" t="str">
        <f>VLOOKUP(E2182,'Cadastro Produtos (kiwkiw)'!C:E,3,0)</f>
        <v>Gargantilha Line Banho Ouro</v>
      </c>
      <c r="AB2182" s="33" t="s">
        <v>1197</v>
      </c>
    </row>
    <row r="2183" spans="2:28" ht="15" customHeight="1" x14ac:dyDescent="0.4">
      <c r="C2183" s="34" t="s">
        <v>6</v>
      </c>
      <c r="D2183" s="35">
        <v>46031</v>
      </c>
      <c r="E2183" s="51" t="s">
        <v>73</v>
      </c>
      <c r="F2183" s="33">
        <v>1</v>
      </c>
      <c r="G2183" s="27">
        <f t="shared" si="43"/>
        <v>-1</v>
      </c>
      <c r="H2183" s="28" t="str">
        <f>VLOOKUP(E2183,'Cadastro Produtos (kiwkiw)'!C:E,3,0)</f>
        <v>Ear Hook Line Prateado</v>
      </c>
      <c r="AB2183" s="33" t="s">
        <v>1198</v>
      </c>
    </row>
    <row r="2184" spans="2:28" ht="15" customHeight="1" x14ac:dyDescent="0.4">
      <c r="C2184" s="34" t="s">
        <v>6</v>
      </c>
      <c r="D2184" s="35">
        <v>46031</v>
      </c>
      <c r="E2184" s="51" t="s">
        <v>781</v>
      </c>
      <c r="F2184" s="33">
        <v>1</v>
      </c>
      <c r="G2184" s="27">
        <f t="shared" si="43"/>
        <v>-1</v>
      </c>
      <c r="H2184" s="28" t="str">
        <f>VLOOKUP(E2184,'Cadastro Produtos (kiwkiw)'!C:E,3,0)</f>
        <v>Brinco Palito Prateado</v>
      </c>
      <c r="AB2184" s="33" t="s">
        <v>1198</v>
      </c>
    </row>
    <row r="2185" spans="2:28" ht="15" customHeight="1" x14ac:dyDescent="0.4">
      <c r="C2185" s="34" t="s">
        <v>6</v>
      </c>
      <c r="D2185" s="35">
        <v>46031</v>
      </c>
      <c r="E2185" s="51" t="s">
        <v>77</v>
      </c>
      <c r="F2185" s="33">
        <v>1</v>
      </c>
      <c r="G2185" s="27">
        <f t="shared" si="43"/>
        <v>-1</v>
      </c>
      <c r="H2185" s="28" t="str">
        <f>VLOOKUP(E2185,'Cadastro Produtos (kiwkiw)'!C:E,3,0)</f>
        <v>EarHook Torcido Banho Ouro</v>
      </c>
      <c r="AB2185" s="33" t="s">
        <v>1199</v>
      </c>
    </row>
    <row r="2186" spans="2:28" ht="15" customHeight="1" x14ac:dyDescent="0.4">
      <c r="C2186" s="34" t="s">
        <v>6</v>
      </c>
      <c r="D2186" s="35">
        <v>46031</v>
      </c>
      <c r="E2186" s="51" t="s">
        <v>831</v>
      </c>
      <c r="F2186" s="33">
        <v>1</v>
      </c>
      <c r="G2186" s="27">
        <f t="shared" si="43"/>
        <v>-1</v>
      </c>
      <c r="H2186" s="28" t="str">
        <f>VLOOKUP(E2186,'Cadastro Produtos (kiwkiw)'!C:E,3,0)</f>
        <v>Brinco Palito Banho Ouro</v>
      </c>
      <c r="AB2186" s="33" t="s">
        <v>1199</v>
      </c>
    </row>
    <row r="2187" spans="2:28" ht="15" customHeight="1" x14ac:dyDescent="0.4">
      <c r="C2187" s="34" t="s">
        <v>6</v>
      </c>
      <c r="D2187" s="35">
        <v>46031</v>
      </c>
      <c r="E2187" s="51" t="s">
        <v>72</v>
      </c>
      <c r="F2187" s="33">
        <v>1</v>
      </c>
      <c r="G2187" s="27">
        <f t="shared" si="43"/>
        <v>-1</v>
      </c>
      <c r="H2187" s="28" t="str">
        <f>VLOOKUP(E2187,'Cadastro Produtos (kiwkiw)'!C:E,3,0)</f>
        <v>Ear Hook Line Banho Ouro</v>
      </c>
      <c r="AB2187" s="33" t="s">
        <v>1200</v>
      </c>
    </row>
    <row r="2188" spans="2:28" ht="15" customHeight="1" x14ac:dyDescent="0.4">
      <c r="C2188" s="34" t="s">
        <v>6</v>
      </c>
      <c r="D2188" s="35">
        <v>46031</v>
      </c>
      <c r="E2188" s="51" t="s">
        <v>102</v>
      </c>
      <c r="F2188" s="33">
        <v>1</v>
      </c>
      <c r="G2188" s="27">
        <f t="shared" si="43"/>
        <v>-1</v>
      </c>
      <c r="H2188" s="28" t="str">
        <f>VLOOKUP(E2188,'Cadastro Produtos (kiwkiw)'!C:E,3,0)</f>
        <v>Colar Longo Lua Banho Ouro</v>
      </c>
      <c r="AB2188" s="33" t="s">
        <v>1201</v>
      </c>
    </row>
    <row r="2189" spans="2:28" ht="15" customHeight="1" x14ac:dyDescent="0.4">
      <c r="B2189" s="43">
        <v>46034.434641203705</v>
      </c>
      <c r="C2189" s="34" t="s">
        <v>6</v>
      </c>
      <c r="D2189" s="35">
        <v>46034</v>
      </c>
      <c r="E2189" s="51" t="s">
        <v>50</v>
      </c>
      <c r="F2189" s="33">
        <v>1</v>
      </c>
      <c r="G2189" s="27">
        <f t="shared" si="43"/>
        <v>-1</v>
      </c>
      <c r="H2189" s="28" t="str">
        <f>VLOOKUP(E2189,'Cadastro Produtos (kiwkiw)'!C:E,3,0)</f>
        <v>Brinco Elos Banho Ouro</v>
      </c>
      <c r="AB2189" s="33" t="s">
        <v>1202</v>
      </c>
    </row>
    <row r="2190" spans="2:28" ht="15" customHeight="1" x14ac:dyDescent="0.4">
      <c r="C2190" s="34" t="s">
        <v>6</v>
      </c>
      <c r="D2190" s="35">
        <v>46034</v>
      </c>
      <c r="E2190" s="51" t="s">
        <v>62</v>
      </c>
      <c r="F2190" s="33">
        <v>1</v>
      </c>
      <c r="G2190" s="27">
        <f t="shared" si="43"/>
        <v>-1</v>
      </c>
      <c r="H2190" s="28" t="str">
        <f>VLOOKUP(E2190,'Cadastro Produtos (kiwkiw)'!C:E,3,0)</f>
        <v>Brinco Sol Banho Ouro</v>
      </c>
      <c r="AB2190" s="33" t="s">
        <v>1203</v>
      </c>
    </row>
    <row r="2191" spans="2:28" ht="15" customHeight="1" x14ac:dyDescent="0.4">
      <c r="C2191" s="34" t="s">
        <v>6</v>
      </c>
      <c r="D2191" s="35">
        <v>46034</v>
      </c>
      <c r="E2191" s="51" t="s">
        <v>826</v>
      </c>
      <c r="F2191" s="33">
        <v>1</v>
      </c>
      <c r="G2191" s="27">
        <f t="shared" si="43"/>
        <v>-1</v>
      </c>
      <c r="H2191" s="28" t="str">
        <f>VLOOKUP(E2191,'Cadastro Produtos (kiwkiw)'!C:E,3,0)</f>
        <v>Pulseira Torcida Banho Ouro</v>
      </c>
      <c r="AB2191" s="33" t="s">
        <v>1204</v>
      </c>
    </row>
    <row r="2192" spans="2:28" ht="15" customHeight="1" x14ac:dyDescent="0.4">
      <c r="C2192" s="34" t="s">
        <v>6</v>
      </c>
      <c r="D2192" s="35">
        <v>46034</v>
      </c>
      <c r="E2192" s="51" t="s">
        <v>793</v>
      </c>
      <c r="F2192" s="33">
        <v>1</v>
      </c>
      <c r="G2192" s="27">
        <f t="shared" si="43"/>
        <v>-1</v>
      </c>
      <c r="H2192" s="28" t="str">
        <f>VLOOKUP(E2192,'Cadastro Produtos (kiwkiw)'!C:E,3,0)</f>
        <v>Argolinha Click Bambu Banho Ouro</v>
      </c>
      <c r="AB2192" s="33" t="s">
        <v>1205</v>
      </c>
    </row>
    <row r="2193" spans="2:28" ht="15" customHeight="1" x14ac:dyDescent="0.4">
      <c r="C2193" s="34" t="s">
        <v>6</v>
      </c>
      <c r="D2193" s="35">
        <v>46034</v>
      </c>
      <c r="E2193" s="51" t="s">
        <v>117</v>
      </c>
      <c r="F2193" s="33">
        <v>1</v>
      </c>
      <c r="G2193" s="27">
        <f t="shared" si="43"/>
        <v>-1</v>
      </c>
      <c r="H2193" s="28" t="str">
        <f>VLOOKUP(E2193,'Cadastro Produtos (kiwkiw)'!C:E,3,0)</f>
        <v>Gargantilha Minimal Banho Ouro</v>
      </c>
      <c r="AB2193" s="33" t="s">
        <v>1206</v>
      </c>
    </row>
    <row r="2194" spans="2:28" ht="15" customHeight="1" x14ac:dyDescent="0.4">
      <c r="C2194" s="34" t="s">
        <v>6</v>
      </c>
      <c r="D2194" s="35">
        <v>46034</v>
      </c>
      <c r="E2194" s="51" t="s">
        <v>46</v>
      </c>
      <c r="F2194" s="33">
        <v>1</v>
      </c>
      <c r="G2194" s="27">
        <f t="shared" si="43"/>
        <v>-1</v>
      </c>
      <c r="H2194" s="28" t="str">
        <f>VLOOKUP(E2194,'Cadastro Produtos (kiwkiw)'!C:E,3,0)</f>
        <v>Brinco Bubble Pequeno Banho Ouro</v>
      </c>
      <c r="AB2194" s="33" t="s">
        <v>1207</v>
      </c>
    </row>
    <row r="2195" spans="2:28" ht="15" customHeight="1" x14ac:dyDescent="0.4">
      <c r="B2195" s="43">
        <v>46035.423900462964</v>
      </c>
      <c r="C2195" s="34" t="s">
        <v>6</v>
      </c>
      <c r="D2195" s="35">
        <v>46035</v>
      </c>
      <c r="E2195" s="51" t="s">
        <v>49</v>
      </c>
      <c r="F2195" s="33">
        <v>1</v>
      </c>
      <c r="G2195" s="27">
        <f t="shared" si="43"/>
        <v>-1</v>
      </c>
      <c r="H2195" s="28" t="str">
        <f>VLOOKUP(E2195,'Cadastro Produtos (kiwkiw)'!C:E,3,0)</f>
        <v>Brinco Coracao Diamond Banho Ouro</v>
      </c>
      <c r="AB2195" s="33" t="s">
        <v>1208</v>
      </c>
    </row>
    <row r="2196" spans="2:28" ht="15" customHeight="1" x14ac:dyDescent="0.4">
      <c r="B2196" s="43">
        <v>46036.432569444441</v>
      </c>
      <c r="C2196" s="34" t="s">
        <v>6</v>
      </c>
      <c r="D2196" s="35">
        <v>46035</v>
      </c>
      <c r="E2196" s="51" t="s">
        <v>73</v>
      </c>
      <c r="F2196" s="33">
        <v>1</v>
      </c>
      <c r="G2196" s="27">
        <f t="shared" si="43"/>
        <v>-1</v>
      </c>
      <c r="H2196" s="28" t="str">
        <f>VLOOKUP(E2196,'Cadastro Produtos (kiwkiw)'!C:E,3,0)</f>
        <v>Ear Hook Line Prateado</v>
      </c>
      <c r="AB2196" s="33" t="s">
        <v>1209</v>
      </c>
    </row>
    <row r="2197" spans="2:28" ht="15" customHeight="1" x14ac:dyDescent="0.4">
      <c r="C2197" s="34" t="s">
        <v>6</v>
      </c>
      <c r="D2197" s="35">
        <v>46036</v>
      </c>
      <c r="E2197" s="51" t="s">
        <v>117</v>
      </c>
      <c r="F2197" s="33">
        <v>1</v>
      </c>
      <c r="G2197" s="27">
        <f t="shared" si="43"/>
        <v>-1</v>
      </c>
      <c r="H2197" s="28" t="str">
        <f>VLOOKUP(E2197,'Cadastro Produtos (kiwkiw)'!C:E,3,0)</f>
        <v>Gargantilha Minimal Banho Ouro</v>
      </c>
      <c r="AB2197" s="33" t="s">
        <v>1210</v>
      </c>
    </row>
    <row r="2198" spans="2:28" ht="15" customHeight="1" x14ac:dyDescent="0.4">
      <c r="C2198" s="34" t="s">
        <v>6</v>
      </c>
      <c r="D2198" s="35">
        <v>46036</v>
      </c>
      <c r="E2198" s="51" t="s">
        <v>93</v>
      </c>
      <c r="F2198" s="33">
        <v>1</v>
      </c>
      <c r="G2198" s="27">
        <f t="shared" si="43"/>
        <v>-1</v>
      </c>
      <c r="H2198" s="28" t="str">
        <f>VLOOKUP(E2198,'Cadastro Produtos (kiwkiw)'!C:E,3,0)</f>
        <v>Colar Coracao Prateado</v>
      </c>
      <c r="AB2198" s="33" t="s">
        <v>1211</v>
      </c>
    </row>
    <row r="2199" spans="2:28" ht="15" customHeight="1" x14ac:dyDescent="0.4">
      <c r="B2199" s="43">
        <v>46037.423506944448</v>
      </c>
      <c r="C2199" s="34" t="s">
        <v>6</v>
      </c>
      <c r="D2199" s="35">
        <v>46037</v>
      </c>
      <c r="E2199" s="51" t="s">
        <v>789</v>
      </c>
      <c r="F2199" s="33">
        <v>1</v>
      </c>
      <c r="G2199" s="27">
        <f t="shared" si="43"/>
        <v>-1</v>
      </c>
      <c r="H2199" s="28" t="str">
        <f>VLOOKUP(E2199,'Cadastro Produtos (kiwkiw)'!C:E,3,0)</f>
        <v>Brinco Flor Gardenia Banho Ouro</v>
      </c>
      <c r="AB2199" s="33" t="s">
        <v>1212</v>
      </c>
    </row>
    <row r="2200" spans="2:28" ht="15" customHeight="1" x14ac:dyDescent="0.4">
      <c r="C2200" s="34" t="s">
        <v>6</v>
      </c>
      <c r="D2200" s="35">
        <v>46037</v>
      </c>
      <c r="E2200" s="51" t="s">
        <v>783</v>
      </c>
      <c r="F2200" s="33">
        <v>1</v>
      </c>
      <c r="G2200" s="27">
        <f t="shared" si="43"/>
        <v>-1</v>
      </c>
      <c r="H2200" s="28" t="str">
        <f>VLOOKUP(E2200,'Cadastro Produtos (kiwkiw)'!C:E,3,0)</f>
        <v>Bracelete Dots Banho Ouro</v>
      </c>
      <c r="AB2200" s="33" t="s">
        <v>1213</v>
      </c>
    </row>
    <row r="2201" spans="2:28" ht="15" customHeight="1" x14ac:dyDescent="0.4">
      <c r="B2201" s="43">
        <v>46038.424710648149</v>
      </c>
      <c r="C2201" s="34" t="s">
        <v>6</v>
      </c>
      <c r="D2201" s="35">
        <v>46038</v>
      </c>
      <c r="E2201" s="51" t="s">
        <v>94</v>
      </c>
      <c r="F2201" s="33">
        <v>1</v>
      </c>
      <c r="G2201" s="27">
        <f t="shared" si="43"/>
        <v>-1</v>
      </c>
      <c r="H2201" s="28" t="str">
        <f>VLOOKUP(E2201,'Cadastro Produtos (kiwkiw)'!C:E,3,0)</f>
        <v>Colar Duplo Dots Banho Ouro</v>
      </c>
      <c r="AB2201" s="33" t="s">
        <v>1214</v>
      </c>
    </row>
    <row r="2202" spans="2:28" ht="15" customHeight="1" x14ac:dyDescent="0.4">
      <c r="C2202" s="34" t="s">
        <v>6</v>
      </c>
      <c r="D2202" s="35">
        <v>46038</v>
      </c>
      <c r="E2202" s="51" t="s">
        <v>814</v>
      </c>
      <c r="F2202" s="33">
        <v>1</v>
      </c>
      <c r="G2202" s="27">
        <f t="shared" si="43"/>
        <v>-1</v>
      </c>
      <c r="H2202" s="28" t="str">
        <f>VLOOKUP(E2202,'Cadastro Produtos (kiwkiw)'!C:E,3,0)</f>
        <v>Brinco Ponto de Luz Banho Ouro</v>
      </c>
      <c r="AB2202" s="33" t="s">
        <v>1215</v>
      </c>
    </row>
    <row r="2203" spans="2:28" ht="15" customHeight="1" x14ac:dyDescent="0.4">
      <c r="C2203" s="34" t="s">
        <v>6</v>
      </c>
      <c r="D2203" s="35">
        <v>46038</v>
      </c>
      <c r="E2203" s="51" t="s">
        <v>116</v>
      </c>
      <c r="F2203" s="33">
        <v>1</v>
      </c>
      <c r="G2203" s="27">
        <f t="shared" si="43"/>
        <v>-1</v>
      </c>
      <c r="H2203" s="28" t="str">
        <f>VLOOKUP(E2203,'Cadastro Produtos (kiwkiw)'!C:E,3,0)</f>
        <v>Gargantilha Dots Banho Ouro</v>
      </c>
      <c r="AB2203" s="33" t="s">
        <v>1216</v>
      </c>
    </row>
    <row r="2204" spans="2:28" ht="15" customHeight="1" x14ac:dyDescent="0.4">
      <c r="B2204" s="43">
        <v>46041.426516203705</v>
      </c>
      <c r="C2204" s="34" t="s">
        <v>6</v>
      </c>
      <c r="D2204" s="35">
        <v>46041</v>
      </c>
      <c r="E2204" s="51" t="s">
        <v>831</v>
      </c>
      <c r="F2204" s="33">
        <v>1</v>
      </c>
      <c r="G2204" s="27">
        <f t="shared" si="43"/>
        <v>-1</v>
      </c>
      <c r="H2204" s="28" t="str">
        <f>VLOOKUP(E2204,'Cadastro Produtos (kiwkiw)'!C:E,3,0)</f>
        <v>Brinco Palito Banho Ouro</v>
      </c>
      <c r="AB2204" s="33" t="s">
        <v>1217</v>
      </c>
    </row>
    <row r="2205" spans="2:28" ht="15" customHeight="1" x14ac:dyDescent="0.4">
      <c r="C2205" s="34" t="s">
        <v>6</v>
      </c>
      <c r="D2205" s="35">
        <v>46041</v>
      </c>
      <c r="E2205" s="51" t="s">
        <v>117</v>
      </c>
      <c r="F2205" s="33">
        <v>1</v>
      </c>
      <c r="G2205" s="27">
        <f t="shared" si="43"/>
        <v>-1</v>
      </c>
      <c r="H2205" s="28" t="str">
        <f>VLOOKUP(E2205,'Cadastro Produtos (kiwkiw)'!C:E,3,0)</f>
        <v>Gargantilha Minimal Banho Ouro</v>
      </c>
      <c r="AB2205" s="33" t="s">
        <v>1218</v>
      </c>
    </row>
    <row r="2206" spans="2:28" ht="15" customHeight="1" x14ac:dyDescent="0.4">
      <c r="C2206" s="34" t="s">
        <v>6</v>
      </c>
      <c r="D2206" s="35">
        <v>46041</v>
      </c>
      <c r="E2206" s="51" t="s">
        <v>117</v>
      </c>
      <c r="F2206" s="33">
        <v>1</v>
      </c>
      <c r="G2206" s="27">
        <f t="shared" si="43"/>
        <v>-1</v>
      </c>
      <c r="H2206" s="28" t="str">
        <f>VLOOKUP(E2206,'Cadastro Produtos (kiwkiw)'!C:E,3,0)</f>
        <v>Gargantilha Minimal Banho Ouro</v>
      </c>
      <c r="AB2206" s="33" t="s">
        <v>1219</v>
      </c>
    </row>
    <row r="2207" spans="2:28" ht="15" customHeight="1" x14ac:dyDescent="0.4">
      <c r="C2207" s="34" t="s">
        <v>6</v>
      </c>
      <c r="D2207" s="35">
        <v>46041</v>
      </c>
      <c r="E2207" s="51" t="s">
        <v>117</v>
      </c>
      <c r="F2207" s="33">
        <v>1</v>
      </c>
      <c r="G2207" s="27">
        <f t="shared" si="43"/>
        <v>-1</v>
      </c>
      <c r="H2207" s="28" t="str">
        <f>VLOOKUP(E2207,'Cadastro Produtos (kiwkiw)'!C:E,3,0)</f>
        <v>Gargantilha Minimal Banho Ouro</v>
      </c>
      <c r="AB2207" s="33" t="s">
        <v>1220</v>
      </c>
    </row>
    <row r="2208" spans="2:28" ht="15" customHeight="1" x14ac:dyDescent="0.4">
      <c r="C2208" s="34" t="s">
        <v>6</v>
      </c>
      <c r="D2208" s="35">
        <v>46041</v>
      </c>
      <c r="E2208" s="51" t="s">
        <v>818</v>
      </c>
      <c r="F2208" s="33">
        <v>1</v>
      </c>
      <c r="G2208" s="27">
        <f t="shared" si="43"/>
        <v>-1</v>
      </c>
      <c r="H2208" s="28" t="str">
        <f>VLOOKUP(E2208,'Cadastro Produtos (kiwkiw)'!C:E,3,0)</f>
        <v>Colar Longo Medalhinhas Banho Ouro</v>
      </c>
      <c r="AB2208" s="33" t="s">
        <v>1219</v>
      </c>
    </row>
    <row r="2209" spans="2:28" ht="15" customHeight="1" x14ac:dyDescent="0.4">
      <c r="C2209" s="34" t="s">
        <v>6</v>
      </c>
      <c r="D2209" s="35">
        <v>46041</v>
      </c>
      <c r="E2209" s="51" t="s">
        <v>112</v>
      </c>
      <c r="F2209" s="33">
        <v>1</v>
      </c>
      <c r="G2209" s="27">
        <f t="shared" si="43"/>
        <v>-1</v>
      </c>
      <c r="H2209" s="28" t="str">
        <f>VLOOKUP(E2209,'Cadastro Produtos (kiwkiw)'!C:E,3,0)</f>
        <v>Gargantilha Escama Banho Ouro</v>
      </c>
      <c r="AB2209" s="33" t="s">
        <v>1219</v>
      </c>
    </row>
    <row r="2210" spans="2:28" ht="15" customHeight="1" x14ac:dyDescent="0.4">
      <c r="C2210" s="34" t="s">
        <v>6</v>
      </c>
      <c r="D2210" s="35">
        <v>46041</v>
      </c>
      <c r="E2210" s="51" t="s">
        <v>112</v>
      </c>
      <c r="F2210" s="33">
        <v>1</v>
      </c>
      <c r="G2210" s="27">
        <f t="shared" si="43"/>
        <v>-1</v>
      </c>
      <c r="H2210" s="28" t="str">
        <f>VLOOKUP(E2210,'Cadastro Produtos (kiwkiw)'!C:E,3,0)</f>
        <v>Gargantilha Escama Banho Ouro</v>
      </c>
      <c r="AB2210" s="33" t="s">
        <v>1220</v>
      </c>
    </row>
    <row r="2211" spans="2:28" ht="15" customHeight="1" x14ac:dyDescent="0.4">
      <c r="C2211" s="34" t="s">
        <v>6</v>
      </c>
      <c r="D2211" s="35">
        <v>46041</v>
      </c>
      <c r="E2211" s="51" t="s">
        <v>62</v>
      </c>
      <c r="F2211" s="33">
        <v>1</v>
      </c>
      <c r="G2211" s="27">
        <f t="shared" si="43"/>
        <v>-1</v>
      </c>
      <c r="H2211" s="28" t="str">
        <f>VLOOKUP(E2211,'Cadastro Produtos (kiwkiw)'!C:E,3,0)</f>
        <v>Brinco Sol Banho Ouro</v>
      </c>
      <c r="AB2211" s="33" t="s">
        <v>1221</v>
      </c>
    </row>
    <row r="2212" spans="2:28" ht="15" customHeight="1" x14ac:dyDescent="0.4">
      <c r="C2212" s="34" t="s">
        <v>6</v>
      </c>
      <c r="D2212" s="35">
        <v>46041</v>
      </c>
      <c r="E2212" s="51" t="s">
        <v>787</v>
      </c>
      <c r="F2212" s="33">
        <v>1</v>
      </c>
      <c r="G2212" s="27">
        <f t="shared" si="43"/>
        <v>-1</v>
      </c>
      <c r="H2212" s="28" t="str">
        <f>VLOOKUP(E2212,'Cadastro Produtos (kiwkiw)'!C:E,3,0)</f>
        <v>Ear Hook Encaixe Triplo Banho Ouro</v>
      </c>
      <c r="AB2212" s="33" t="s">
        <v>1222</v>
      </c>
    </row>
    <row r="2213" spans="2:28" ht="15" customHeight="1" x14ac:dyDescent="0.4">
      <c r="C2213" s="34" t="s">
        <v>6</v>
      </c>
      <c r="D2213" s="35">
        <v>46041</v>
      </c>
      <c r="E2213" s="51" t="s">
        <v>802</v>
      </c>
      <c r="F2213" s="33">
        <v>1</v>
      </c>
      <c r="G2213" s="27">
        <f t="shared" si="43"/>
        <v>-1</v>
      </c>
      <c r="H2213" s="28" t="str">
        <f>VLOOKUP(E2213,'Cadastro Produtos (kiwkiw)'!C:E,3,0)</f>
        <v>Piercing Fake No Banho Ouro</v>
      </c>
      <c r="AB2213" s="33" t="s">
        <v>1222</v>
      </c>
    </row>
    <row r="2214" spans="2:28" ht="15" customHeight="1" x14ac:dyDescent="0.4">
      <c r="C2214" s="34" t="s">
        <v>6</v>
      </c>
      <c r="D2214" s="35">
        <v>46041</v>
      </c>
      <c r="E2214" s="51" t="s">
        <v>814</v>
      </c>
      <c r="F2214" s="33">
        <v>1</v>
      </c>
      <c r="G2214" s="27">
        <f t="shared" si="43"/>
        <v>-1</v>
      </c>
      <c r="H2214" s="28" t="str">
        <f>VLOOKUP(E2214,'Cadastro Produtos (kiwkiw)'!C:E,3,0)</f>
        <v>Brinco Ponto de Luz Banho Ouro</v>
      </c>
      <c r="AB2214" s="33" t="s">
        <v>1223</v>
      </c>
    </row>
    <row r="2215" spans="2:28" ht="15" customHeight="1" x14ac:dyDescent="0.4">
      <c r="C2215" s="34" t="s">
        <v>6</v>
      </c>
      <c r="D2215" s="35">
        <v>46041</v>
      </c>
      <c r="E2215" s="51" t="s">
        <v>82</v>
      </c>
      <c r="F2215" s="33">
        <v>1</v>
      </c>
      <c r="G2215" s="27">
        <f t="shared" si="43"/>
        <v>-1</v>
      </c>
      <c r="H2215" s="28" t="str">
        <f>VLOOKUP(E2215,'Cadastro Produtos (kiwkiw)'!C:E,3,0)</f>
        <v>Meia Argola Diamond Banho Ouro</v>
      </c>
      <c r="AB2215" s="33" t="s">
        <v>1223</v>
      </c>
    </row>
    <row r="2216" spans="2:28" ht="15" customHeight="1" x14ac:dyDescent="0.4">
      <c r="C2216" s="34" t="s">
        <v>6</v>
      </c>
      <c r="D2216" s="35">
        <v>46041</v>
      </c>
      <c r="E2216" s="51" t="s">
        <v>32</v>
      </c>
      <c r="F2216" s="33">
        <v>1</v>
      </c>
      <c r="G2216" s="27">
        <f t="shared" si="43"/>
        <v>-1</v>
      </c>
      <c r="H2216" s="28" t="str">
        <f>VLOOKUP(E2216,'Cadastro Produtos (kiwkiw)'!C:E,3,0)</f>
        <v>Argola Redonda Basic Banho Ouro</v>
      </c>
      <c r="AB2216" s="33" t="s">
        <v>1223</v>
      </c>
    </row>
    <row r="2217" spans="2:28" ht="15" customHeight="1" x14ac:dyDescent="0.4">
      <c r="C2217" s="34" t="s">
        <v>6</v>
      </c>
      <c r="D2217" s="35">
        <v>46041</v>
      </c>
      <c r="E2217" s="51" t="s">
        <v>49</v>
      </c>
      <c r="F2217" s="33">
        <v>1</v>
      </c>
      <c r="G2217" s="27">
        <f t="shared" si="43"/>
        <v>-1</v>
      </c>
      <c r="H2217" s="28" t="str">
        <f>VLOOKUP(E2217,'Cadastro Produtos (kiwkiw)'!C:E,3,0)</f>
        <v>Brinco Coracao Diamond Banho Ouro</v>
      </c>
      <c r="AB2217" s="33" t="s">
        <v>1223</v>
      </c>
    </row>
    <row r="2218" spans="2:28" ht="15" customHeight="1" x14ac:dyDescent="0.4">
      <c r="C2218" s="34" t="s">
        <v>6</v>
      </c>
      <c r="D2218" s="35">
        <v>46041</v>
      </c>
      <c r="E2218" s="51" t="s">
        <v>116</v>
      </c>
      <c r="F2218" s="33">
        <v>1</v>
      </c>
      <c r="G2218" s="27">
        <f t="shared" si="43"/>
        <v>-1</v>
      </c>
      <c r="H2218" s="28" t="str">
        <f>VLOOKUP(E2218,'Cadastro Produtos (kiwkiw)'!C:E,3,0)</f>
        <v>Gargantilha Dots Banho Ouro</v>
      </c>
      <c r="AB2218" s="33" t="s">
        <v>1224</v>
      </c>
    </row>
    <row r="2219" spans="2:28" ht="15" customHeight="1" x14ac:dyDescent="0.4">
      <c r="C2219" s="34" t="s">
        <v>6</v>
      </c>
      <c r="D2219" s="35">
        <v>46041</v>
      </c>
      <c r="E2219" s="51" t="s">
        <v>118</v>
      </c>
      <c r="F2219" s="33">
        <v>1</v>
      </c>
      <c r="G2219" s="27">
        <f t="shared" si="43"/>
        <v>-1</v>
      </c>
      <c r="H2219" s="28" t="str">
        <f>VLOOKUP(E2219,'Cadastro Produtos (kiwkiw)'!C:E,3,0)</f>
        <v>Gargantilha Minimal Prateada</v>
      </c>
      <c r="AB2219" s="33" t="s">
        <v>1220</v>
      </c>
    </row>
    <row r="2220" spans="2:28" ht="15" customHeight="1" x14ac:dyDescent="0.4">
      <c r="C2220" s="34" t="s">
        <v>6</v>
      </c>
      <c r="D2220" s="35">
        <v>46041</v>
      </c>
      <c r="E2220" s="51" t="s">
        <v>824</v>
      </c>
      <c r="F2220" s="33">
        <v>1</v>
      </c>
      <c r="G2220" s="27">
        <f t="shared" si="43"/>
        <v>-1</v>
      </c>
      <c r="H2220" s="28" t="str">
        <f>VLOOKUP(E2220,'Cadastro Produtos (kiwkiw)'!C:E,3,0)</f>
        <v>Pulseira Delicate Banho Ouro</v>
      </c>
      <c r="AB2220" s="33" t="s">
        <v>1225</v>
      </c>
    </row>
    <row r="2221" spans="2:28" ht="15" customHeight="1" x14ac:dyDescent="0.4">
      <c r="C2221" s="34" t="s">
        <v>6</v>
      </c>
      <c r="D2221" s="35">
        <v>46041</v>
      </c>
      <c r="E2221" s="51" t="s">
        <v>826</v>
      </c>
      <c r="F2221" s="33">
        <v>1</v>
      </c>
      <c r="G2221" s="27">
        <f t="shared" si="43"/>
        <v>-1</v>
      </c>
      <c r="H2221" s="28" t="str">
        <f>VLOOKUP(E2221,'Cadastro Produtos (kiwkiw)'!C:E,3,0)</f>
        <v>Pulseira Torcida Banho Ouro</v>
      </c>
      <c r="AB2221" s="33" t="s">
        <v>1225</v>
      </c>
    </row>
    <row r="2222" spans="2:28" ht="15" customHeight="1" x14ac:dyDescent="0.4">
      <c r="B2222" s="43">
        <v>46043.428171296298</v>
      </c>
      <c r="C2222" s="34" t="s">
        <v>6</v>
      </c>
      <c r="D2222" s="35">
        <v>46043</v>
      </c>
      <c r="E2222" s="51" t="s">
        <v>117</v>
      </c>
      <c r="F2222" s="33">
        <v>1</v>
      </c>
      <c r="G2222" s="27">
        <f t="shared" si="43"/>
        <v>-1</v>
      </c>
      <c r="H2222" s="28" t="str">
        <f>VLOOKUP(E2222,'Cadastro Produtos (kiwkiw)'!C:E,3,0)</f>
        <v>Gargantilha Minimal Banho Ouro</v>
      </c>
      <c r="AB2222" s="33" t="s">
        <v>1226</v>
      </c>
    </row>
    <row r="2223" spans="2:28" ht="15" customHeight="1" x14ac:dyDescent="0.4">
      <c r="C2223" s="34" t="s">
        <v>6</v>
      </c>
      <c r="D2223" s="35">
        <v>46043</v>
      </c>
      <c r="E2223" s="51" t="s">
        <v>117</v>
      </c>
      <c r="F2223" s="33">
        <v>1</v>
      </c>
      <c r="G2223" s="27">
        <f t="shared" si="43"/>
        <v>-1</v>
      </c>
      <c r="H2223" s="28" t="str">
        <f>VLOOKUP(E2223,'Cadastro Produtos (kiwkiw)'!C:E,3,0)</f>
        <v>Gargantilha Minimal Banho Ouro</v>
      </c>
      <c r="AB2223" s="33" t="s">
        <v>1227</v>
      </c>
    </row>
    <row r="2224" spans="2:28" ht="15" customHeight="1" x14ac:dyDescent="0.4">
      <c r="C2224" s="34" t="s">
        <v>6</v>
      </c>
      <c r="D2224" s="35">
        <v>46043</v>
      </c>
      <c r="E2224" s="51" t="s">
        <v>93</v>
      </c>
      <c r="F2224" s="33">
        <v>1</v>
      </c>
      <c r="G2224" s="27">
        <f t="shared" si="43"/>
        <v>-1</v>
      </c>
      <c r="H2224" s="28" t="str">
        <f>VLOOKUP(E2224,'Cadastro Produtos (kiwkiw)'!C:E,3,0)</f>
        <v>Colar Coracao Prateado</v>
      </c>
      <c r="AB2224" s="33" t="s">
        <v>1228</v>
      </c>
    </row>
    <row r="2225" spans="2:28" ht="15" customHeight="1" x14ac:dyDescent="0.4">
      <c r="C2225" s="34" t="s">
        <v>6</v>
      </c>
      <c r="D2225" s="35">
        <v>46043</v>
      </c>
      <c r="E2225" s="51" t="s">
        <v>40</v>
      </c>
      <c r="F2225" s="33">
        <v>1</v>
      </c>
      <c r="G2225" s="27">
        <f t="shared" si="43"/>
        <v>-1</v>
      </c>
      <c r="H2225" s="28" t="str">
        <f>VLOOKUP(E2225,'Cadastro Produtos (kiwkiw)'!C:E,3,0)</f>
        <v>Argolinha Folha Banho Ouro</v>
      </c>
      <c r="AB2225" s="33" t="s">
        <v>1229</v>
      </c>
    </row>
    <row r="2226" spans="2:28" ht="15" customHeight="1" x14ac:dyDescent="0.4">
      <c r="C2226" s="34" t="s">
        <v>6</v>
      </c>
      <c r="D2226" s="35">
        <v>46043</v>
      </c>
      <c r="E2226" s="51" t="s">
        <v>104</v>
      </c>
      <c r="F2226" s="33">
        <v>1</v>
      </c>
      <c r="G2226" s="27">
        <f t="shared" si="43"/>
        <v>-1</v>
      </c>
      <c r="H2226" s="28" t="str">
        <f>VLOOKUP(E2226,'Cadastro Produtos (kiwkiw)'!C:E,3,0)</f>
        <v>Colar Ivy Prateado</v>
      </c>
      <c r="AB2226" s="33" t="s">
        <v>1230</v>
      </c>
    </row>
    <row r="2227" spans="2:28" ht="15" customHeight="1" x14ac:dyDescent="0.4">
      <c r="C2227" s="34" t="s">
        <v>6</v>
      </c>
      <c r="D2227" s="35">
        <v>46043</v>
      </c>
      <c r="E2227" s="51" t="s">
        <v>103</v>
      </c>
      <c r="F2227" s="33">
        <v>1</v>
      </c>
      <c r="G2227" s="27">
        <f t="shared" si="43"/>
        <v>-1</v>
      </c>
      <c r="H2227" s="28" t="str">
        <f>VLOOKUP(E2227,'Cadastro Produtos (kiwkiw)'!C:E,3,0)</f>
        <v>Colar Ivy Banho Ouro</v>
      </c>
      <c r="AB2227" s="33" t="s">
        <v>1230</v>
      </c>
    </row>
    <row r="2228" spans="2:28" ht="15" customHeight="1" x14ac:dyDescent="0.4">
      <c r="B2228" s="43">
        <v>46044.42696759259</v>
      </c>
      <c r="C2228" s="34" t="s">
        <v>6</v>
      </c>
      <c r="D2228" s="35">
        <v>46044</v>
      </c>
      <c r="E2228" s="51" t="s">
        <v>117</v>
      </c>
      <c r="F2228" s="33">
        <v>1</v>
      </c>
      <c r="G2228" s="27">
        <f t="shared" si="43"/>
        <v>-1</v>
      </c>
      <c r="H2228" s="28" t="str">
        <f>VLOOKUP(E2228,'Cadastro Produtos (kiwkiw)'!C:E,3,0)</f>
        <v>Gargantilha Minimal Banho Ouro</v>
      </c>
      <c r="AB2228" s="33" t="s">
        <v>1231</v>
      </c>
    </row>
    <row r="2229" spans="2:28" ht="15" customHeight="1" x14ac:dyDescent="0.4">
      <c r="C2229" s="34" t="s">
        <v>6</v>
      </c>
      <c r="D2229" s="35">
        <v>46044</v>
      </c>
      <c r="E2229" s="51" t="s">
        <v>115</v>
      </c>
      <c r="F2229" s="33">
        <v>1</v>
      </c>
      <c r="G2229" s="27">
        <f t="shared" si="43"/>
        <v>-1</v>
      </c>
      <c r="H2229" s="28" t="str">
        <f>VLOOKUP(E2229,'Cadastro Produtos (kiwkiw)'!C:E,3,0)</f>
        <v>Gargantilha Fita Prateada</v>
      </c>
      <c r="AB2229" s="33" t="s">
        <v>1232</v>
      </c>
    </row>
    <row r="2230" spans="2:28" ht="15" customHeight="1" x14ac:dyDescent="0.4">
      <c r="C2230" s="34" t="s">
        <v>6</v>
      </c>
      <c r="D2230" s="35">
        <v>46044</v>
      </c>
      <c r="E2230" s="51" t="s">
        <v>114</v>
      </c>
      <c r="F2230" s="33">
        <v>1</v>
      </c>
      <c r="G2230" s="27">
        <f t="shared" si="43"/>
        <v>-1</v>
      </c>
      <c r="H2230" s="28" t="str">
        <f>VLOOKUP(E2230,'Cadastro Produtos (kiwkiw)'!C:E,3,0)</f>
        <v>Gargantilha Fita Banho Ouro</v>
      </c>
      <c r="AB2230" s="33" t="s">
        <v>1232</v>
      </c>
    </row>
    <row r="2231" spans="2:28" ht="15" customHeight="1" x14ac:dyDescent="0.4">
      <c r="B2231" s="43">
        <v>46045.425138888888</v>
      </c>
      <c r="C2231" s="34" t="s">
        <v>6</v>
      </c>
      <c r="D2231" s="35">
        <v>46045</v>
      </c>
      <c r="E2231" s="51" t="s">
        <v>62</v>
      </c>
      <c r="F2231" s="33">
        <v>1</v>
      </c>
      <c r="G2231" s="27">
        <f t="shared" ref="G2231:G2294" si="44">IF(C2231="Entrada",F2231,-F2231)</f>
        <v>-1</v>
      </c>
      <c r="H2231" s="28" t="str">
        <f>VLOOKUP(E2231,'Cadastro Produtos (kiwkiw)'!C:E,3,0)</f>
        <v>Brinco Sol Banho Ouro</v>
      </c>
      <c r="AB2231" s="33" t="s">
        <v>1233</v>
      </c>
    </row>
    <row r="2232" spans="2:28" ht="15" customHeight="1" x14ac:dyDescent="0.4">
      <c r="C2232" s="34" t="s">
        <v>6</v>
      </c>
      <c r="D2232" s="35">
        <v>46045</v>
      </c>
      <c r="E2232" s="51" t="s">
        <v>62</v>
      </c>
      <c r="F2232" s="33">
        <v>1</v>
      </c>
      <c r="G2232" s="27">
        <f t="shared" si="44"/>
        <v>-1</v>
      </c>
      <c r="H2232" s="28" t="str">
        <f>VLOOKUP(E2232,'Cadastro Produtos (kiwkiw)'!C:E,3,0)</f>
        <v>Brinco Sol Banho Ouro</v>
      </c>
      <c r="AB2232" s="33" t="s">
        <v>1234</v>
      </c>
    </row>
    <row r="2233" spans="2:28" ht="15" customHeight="1" x14ac:dyDescent="0.4">
      <c r="C2233" s="34" t="s">
        <v>6</v>
      </c>
      <c r="D2233" s="35">
        <v>46045</v>
      </c>
      <c r="E2233" s="51" t="s">
        <v>35</v>
      </c>
      <c r="F2233" s="33">
        <v>1</v>
      </c>
      <c r="G2233" s="27">
        <f t="shared" si="44"/>
        <v>-1</v>
      </c>
      <c r="H2233" s="28" t="str">
        <f>VLOOKUP(E2233,'Cadastro Produtos (kiwkiw)'!C:E,3,0)</f>
        <v>Argola Classy Banho Ouro</v>
      </c>
      <c r="AB2233" s="33" t="s">
        <v>1235</v>
      </c>
    </row>
    <row r="2234" spans="2:28" ht="15" customHeight="1" x14ac:dyDescent="0.4">
      <c r="C2234" s="34" t="s">
        <v>6</v>
      </c>
      <c r="D2234" s="35">
        <v>46045</v>
      </c>
      <c r="E2234" s="51" t="s">
        <v>94</v>
      </c>
      <c r="F2234" s="33">
        <v>1</v>
      </c>
      <c r="G2234" s="27">
        <f t="shared" si="44"/>
        <v>-1</v>
      </c>
      <c r="H2234" s="28" t="str">
        <f>VLOOKUP(E2234,'Cadastro Produtos (kiwkiw)'!C:E,3,0)</f>
        <v>Colar Duplo Dots Banho Ouro</v>
      </c>
      <c r="AB2234" s="33" t="s">
        <v>1236</v>
      </c>
    </row>
    <row r="2235" spans="2:28" ht="15" customHeight="1" x14ac:dyDescent="0.4">
      <c r="B2235" s="43">
        <v>46048.426122685189</v>
      </c>
      <c r="C2235" s="34" t="s">
        <v>6</v>
      </c>
      <c r="D2235" s="35">
        <v>46048</v>
      </c>
      <c r="E2235" s="51" t="s">
        <v>117</v>
      </c>
      <c r="F2235" s="33">
        <v>2</v>
      </c>
      <c r="G2235" s="27">
        <f t="shared" si="44"/>
        <v>-2</v>
      </c>
      <c r="H2235" s="28" t="str">
        <f>VLOOKUP(E2235,'Cadastro Produtos (kiwkiw)'!C:E,3,0)</f>
        <v>Gargantilha Minimal Banho Ouro</v>
      </c>
      <c r="AB2235" s="33" t="s">
        <v>1237</v>
      </c>
    </row>
    <row r="2236" spans="2:28" ht="15" customHeight="1" x14ac:dyDescent="0.4">
      <c r="C2236" s="34" t="s">
        <v>6</v>
      </c>
      <c r="D2236" s="35">
        <v>46048</v>
      </c>
      <c r="E2236" s="51" t="s">
        <v>118</v>
      </c>
      <c r="F2236" s="33">
        <v>1</v>
      </c>
      <c r="G2236" s="27">
        <f t="shared" si="44"/>
        <v>-1</v>
      </c>
      <c r="H2236" s="28" t="str">
        <f>VLOOKUP(E2236,'Cadastro Produtos (kiwkiw)'!C:E,3,0)</f>
        <v>Gargantilha Minimal Prateada</v>
      </c>
      <c r="AB2236" s="33" t="s">
        <v>1238</v>
      </c>
    </row>
    <row r="2237" spans="2:28" ht="15" customHeight="1" x14ac:dyDescent="0.4">
      <c r="C2237" s="34" t="s">
        <v>6</v>
      </c>
      <c r="D2237" s="35">
        <v>46048</v>
      </c>
      <c r="E2237" s="51" t="s">
        <v>97</v>
      </c>
      <c r="F2237" s="33">
        <v>1</v>
      </c>
      <c r="G2237" s="27">
        <f t="shared" si="44"/>
        <v>-1</v>
      </c>
      <c r="H2237" s="28" t="str">
        <f>VLOOKUP(E2237,'Cadastro Produtos (kiwkiw)'!C:E,3,0)</f>
        <v>Colar Duplo Minimal Prateado</v>
      </c>
      <c r="AB2237" s="33" t="s">
        <v>1238</v>
      </c>
    </row>
    <row r="2238" spans="2:28" ht="15" customHeight="1" x14ac:dyDescent="0.4">
      <c r="C2238" s="34" t="s">
        <v>6</v>
      </c>
      <c r="D2238" s="35">
        <v>46048</v>
      </c>
      <c r="E2238" s="51" t="s">
        <v>97</v>
      </c>
      <c r="F2238" s="33">
        <v>1</v>
      </c>
      <c r="G2238" s="27">
        <f t="shared" si="44"/>
        <v>-1</v>
      </c>
      <c r="H2238" s="28" t="str">
        <f>VLOOKUP(E2238,'Cadastro Produtos (kiwkiw)'!C:E,3,0)</f>
        <v>Colar Duplo Minimal Prateado</v>
      </c>
      <c r="AB2238" s="33" t="s">
        <v>1239</v>
      </c>
    </row>
    <row r="2239" spans="2:28" ht="15" customHeight="1" x14ac:dyDescent="0.4">
      <c r="C2239" s="34" t="s">
        <v>6</v>
      </c>
      <c r="D2239" s="35">
        <v>46048</v>
      </c>
      <c r="E2239" s="51" t="s">
        <v>94</v>
      </c>
      <c r="F2239" s="33">
        <v>1</v>
      </c>
      <c r="G2239" s="27">
        <f t="shared" si="44"/>
        <v>-1</v>
      </c>
      <c r="H2239" s="28" t="str">
        <f>VLOOKUP(E2239,'Cadastro Produtos (kiwkiw)'!C:E,3,0)</f>
        <v>Colar Duplo Dots Banho Ouro</v>
      </c>
      <c r="AB2239" s="33" t="s">
        <v>1240</v>
      </c>
    </row>
    <row r="2240" spans="2:28" ht="15" customHeight="1" x14ac:dyDescent="0.4">
      <c r="C2240" s="34" t="s">
        <v>6</v>
      </c>
      <c r="D2240" s="35">
        <v>46048</v>
      </c>
      <c r="E2240" s="51" t="s">
        <v>76</v>
      </c>
      <c r="F2240" s="33">
        <v>1</v>
      </c>
      <c r="G2240" s="27">
        <f t="shared" si="44"/>
        <v>-1</v>
      </c>
      <c r="H2240" s="28" t="str">
        <f>VLOOKUP(E2240,'Cadastro Produtos (kiwkiw)'!C:E,3,0)</f>
        <v>EarHook Dots Banho Ouro</v>
      </c>
      <c r="AB2240" s="33" t="s">
        <v>1241</v>
      </c>
    </row>
    <row r="2241" spans="2:28" ht="15" customHeight="1" x14ac:dyDescent="0.4">
      <c r="C2241" s="34" t="s">
        <v>6</v>
      </c>
      <c r="D2241" s="35">
        <v>46048</v>
      </c>
      <c r="E2241" s="51" t="s">
        <v>38</v>
      </c>
      <c r="F2241" s="33">
        <v>1</v>
      </c>
      <c r="G2241" s="27">
        <f t="shared" si="44"/>
        <v>-1</v>
      </c>
      <c r="H2241" s="28" t="str">
        <f>VLOOKUP(E2241,'Cadastro Produtos (kiwkiw)'!C:E,3,0)</f>
        <v>Argolinha Click Dots Banho Ouro</v>
      </c>
      <c r="AB2241" s="33" t="s">
        <v>1241</v>
      </c>
    </row>
    <row r="2242" spans="2:28" ht="15" customHeight="1" x14ac:dyDescent="0.4">
      <c r="C2242" s="34" t="s">
        <v>6</v>
      </c>
      <c r="D2242" s="35">
        <v>46048</v>
      </c>
      <c r="E2242" s="51" t="s">
        <v>105</v>
      </c>
      <c r="F2242" s="33">
        <v>1</v>
      </c>
      <c r="G2242" s="27">
        <f t="shared" si="44"/>
        <v>-1</v>
      </c>
      <c r="H2242" s="28" t="str">
        <f>VLOOKUP(E2242,'Cadastro Produtos (kiwkiw)'!C:E,3,0)</f>
        <v>Colar Rosa Banho Ouro</v>
      </c>
      <c r="AB2242" s="33" t="s">
        <v>1242</v>
      </c>
    </row>
    <row r="2243" spans="2:28" ht="15" customHeight="1" x14ac:dyDescent="0.4">
      <c r="C2243" s="34" t="s">
        <v>6</v>
      </c>
      <c r="D2243" s="35">
        <v>46048</v>
      </c>
      <c r="E2243" s="51" t="s">
        <v>114</v>
      </c>
      <c r="F2243" s="33">
        <v>1</v>
      </c>
      <c r="G2243" s="27">
        <f t="shared" si="44"/>
        <v>-1</v>
      </c>
      <c r="H2243" s="28" t="str">
        <f>VLOOKUP(E2243,'Cadastro Produtos (kiwkiw)'!C:E,3,0)</f>
        <v>Gargantilha Fita Banho Ouro</v>
      </c>
      <c r="AB2243" s="33" t="s">
        <v>1242</v>
      </c>
    </row>
    <row r="2244" spans="2:28" ht="15" customHeight="1" x14ac:dyDescent="0.4">
      <c r="C2244" s="34" t="s">
        <v>6</v>
      </c>
      <c r="D2244" s="35">
        <v>46048</v>
      </c>
      <c r="E2244" s="51" t="s">
        <v>93</v>
      </c>
      <c r="F2244" s="33">
        <v>1</v>
      </c>
      <c r="G2244" s="27">
        <f t="shared" si="44"/>
        <v>-1</v>
      </c>
      <c r="H2244" s="28" t="str">
        <f>VLOOKUP(E2244,'Cadastro Produtos (kiwkiw)'!C:E,3,0)</f>
        <v>Colar Coracao Prateado</v>
      </c>
      <c r="AB2244" s="33" t="s">
        <v>1242</v>
      </c>
    </row>
    <row r="2245" spans="2:28" ht="15" customHeight="1" x14ac:dyDescent="0.4">
      <c r="C2245" s="34" t="s">
        <v>6</v>
      </c>
      <c r="D2245" s="35">
        <v>46048</v>
      </c>
      <c r="E2245" s="51" t="s">
        <v>61</v>
      </c>
      <c r="F2245" s="33">
        <v>1</v>
      </c>
      <c r="G2245" s="27">
        <f t="shared" si="44"/>
        <v>-1</v>
      </c>
      <c r="H2245" s="28" t="str">
        <f>VLOOKUP(E2245,'Cadastro Produtos (kiwkiw)'!C:E,3,0)</f>
        <v>Brinco Setas Banho Ouro</v>
      </c>
      <c r="AB2245" s="33" t="s">
        <v>1242</v>
      </c>
    </row>
    <row r="2246" spans="2:28" ht="15" customHeight="1" x14ac:dyDescent="0.4">
      <c r="C2246" s="34" t="s">
        <v>6</v>
      </c>
      <c r="D2246" s="35">
        <v>46048</v>
      </c>
      <c r="E2246" s="51" t="s">
        <v>40</v>
      </c>
      <c r="F2246" s="33">
        <v>1</v>
      </c>
      <c r="G2246" s="27">
        <f t="shared" si="44"/>
        <v>-1</v>
      </c>
      <c r="H2246" s="28" t="str">
        <f>VLOOKUP(E2246,'Cadastro Produtos (kiwkiw)'!C:E,3,0)</f>
        <v>Argolinha Folha Banho Ouro</v>
      </c>
      <c r="AB2246" s="33" t="s">
        <v>1243</v>
      </c>
    </row>
    <row r="2247" spans="2:28" ht="15" customHeight="1" x14ac:dyDescent="0.4">
      <c r="C2247" s="34" t="s">
        <v>6</v>
      </c>
      <c r="D2247" s="35">
        <v>46048</v>
      </c>
      <c r="E2247" s="51" t="s">
        <v>28</v>
      </c>
      <c r="F2247" s="33">
        <v>1</v>
      </c>
      <c r="G2247" s="27">
        <f t="shared" si="44"/>
        <v>-1</v>
      </c>
      <c r="H2247" s="28" t="str">
        <f>VLOOKUP(E2247,'Cadastro Produtos (kiwkiw)'!C:E,3,0)</f>
        <v>Argola Click Pequena Banho Ouro</v>
      </c>
      <c r="AB2247" s="33" t="s">
        <v>1243</v>
      </c>
    </row>
    <row r="2248" spans="2:28" ht="15" customHeight="1" x14ac:dyDescent="0.4">
      <c r="C2248" s="34" t="s">
        <v>6</v>
      </c>
      <c r="D2248" s="35">
        <v>46048</v>
      </c>
      <c r="E2248" s="51" t="s">
        <v>26</v>
      </c>
      <c r="F2248" s="33">
        <v>1</v>
      </c>
      <c r="G2248" s="27">
        <f t="shared" si="44"/>
        <v>-1</v>
      </c>
      <c r="H2248" s="28" t="str">
        <f>VLOOKUP(E2248,'Cadastro Produtos (kiwkiw)'!C:E,3,0)</f>
        <v>Argola Click Grande Banho Ouro</v>
      </c>
      <c r="AB2248" s="33" t="s">
        <v>1243</v>
      </c>
    </row>
    <row r="2249" spans="2:28" ht="15" customHeight="1" x14ac:dyDescent="0.4">
      <c r="C2249" s="34" t="s">
        <v>6</v>
      </c>
      <c r="D2249" s="35">
        <v>46048</v>
      </c>
      <c r="E2249" s="51" t="s">
        <v>796</v>
      </c>
      <c r="F2249" s="33">
        <v>1</v>
      </c>
      <c r="G2249" s="27">
        <f t="shared" si="44"/>
        <v>-1</v>
      </c>
      <c r="H2249" s="28" t="str">
        <f>VLOOKUP(E2249,'Cadastro Produtos (kiwkiw)'!C:E,3,0)</f>
        <v>Colar Longo Minimal Banho Ouro</v>
      </c>
      <c r="AB2249" s="33" t="s">
        <v>1243</v>
      </c>
    </row>
    <row r="2250" spans="2:28" ht="15" customHeight="1" x14ac:dyDescent="0.4">
      <c r="C2250" s="34" t="s">
        <v>6</v>
      </c>
      <c r="D2250" s="35">
        <v>46048</v>
      </c>
      <c r="E2250" s="51" t="s">
        <v>62</v>
      </c>
      <c r="F2250" s="33">
        <v>1</v>
      </c>
      <c r="G2250" s="27">
        <f t="shared" si="44"/>
        <v>-1</v>
      </c>
      <c r="H2250" s="28" t="str">
        <f>VLOOKUP(E2250,'Cadastro Produtos (kiwkiw)'!C:E,3,0)</f>
        <v>Brinco Sol Banho Ouro</v>
      </c>
      <c r="AB2250" s="33" t="s">
        <v>1244</v>
      </c>
    </row>
    <row r="2251" spans="2:28" ht="15" customHeight="1" x14ac:dyDescent="0.4">
      <c r="B2251" s="43">
        <v>46049.430150462962</v>
      </c>
      <c r="C2251" s="34" t="s">
        <v>6</v>
      </c>
      <c r="D2251" s="35">
        <v>46049</v>
      </c>
      <c r="E2251" s="51" t="s">
        <v>28</v>
      </c>
      <c r="F2251" s="33">
        <v>1</v>
      </c>
      <c r="G2251" s="27">
        <f t="shared" si="44"/>
        <v>-1</v>
      </c>
      <c r="H2251" s="28" t="str">
        <f>VLOOKUP(E2251,'Cadastro Produtos (kiwkiw)'!C:E,3,0)</f>
        <v>Argola Click Pequena Banho Ouro</v>
      </c>
      <c r="AB2251" s="33" t="s">
        <v>1245</v>
      </c>
    </row>
    <row r="2252" spans="2:28" ht="15" customHeight="1" x14ac:dyDescent="0.4">
      <c r="C2252" s="34" t="s">
        <v>6</v>
      </c>
      <c r="D2252" s="35">
        <v>46049</v>
      </c>
      <c r="E2252" s="51" t="s">
        <v>94</v>
      </c>
      <c r="F2252" s="33">
        <v>1</v>
      </c>
      <c r="G2252" s="27">
        <f t="shared" si="44"/>
        <v>-1</v>
      </c>
      <c r="H2252" s="28" t="str">
        <f>VLOOKUP(E2252,'Cadastro Produtos (kiwkiw)'!C:E,3,0)</f>
        <v>Colar Duplo Dots Banho Ouro</v>
      </c>
      <c r="AB2252" s="33" t="s">
        <v>1246</v>
      </c>
    </row>
    <row r="2253" spans="2:28" ht="15" customHeight="1" x14ac:dyDescent="0.4">
      <c r="B2253" s="43">
        <v>46050.423506944448</v>
      </c>
      <c r="C2253" s="34" t="s">
        <v>6</v>
      </c>
      <c r="D2253" s="35">
        <v>46050</v>
      </c>
      <c r="E2253" s="51" t="s">
        <v>62</v>
      </c>
      <c r="F2253" s="33">
        <v>1</v>
      </c>
      <c r="G2253" s="27">
        <f t="shared" si="44"/>
        <v>-1</v>
      </c>
      <c r="H2253" s="28" t="str">
        <f>VLOOKUP(E2253,'Cadastro Produtos (kiwkiw)'!C:E,3,0)</f>
        <v>Brinco Sol Banho Ouro</v>
      </c>
      <c r="AB2253" s="33" t="s">
        <v>1247</v>
      </c>
    </row>
    <row r="2254" spans="2:28" ht="15" customHeight="1" x14ac:dyDescent="0.4">
      <c r="C2254" s="34" t="s">
        <v>6</v>
      </c>
      <c r="D2254" s="35">
        <v>46050</v>
      </c>
      <c r="E2254" s="51" t="s">
        <v>820</v>
      </c>
      <c r="F2254" s="33">
        <v>1</v>
      </c>
      <c r="G2254" s="27">
        <f t="shared" si="44"/>
        <v>-1</v>
      </c>
      <c r="H2254" s="28" t="str">
        <f>VLOOKUP(E2254,'Cadastro Produtos (kiwkiw)'!C:E,3,0)</f>
        <v>Colar Sol Banho Ouro</v>
      </c>
      <c r="AB2254" s="33" t="s">
        <v>1247</v>
      </c>
    </row>
    <row r="2255" spans="2:28" ht="15" customHeight="1" x14ac:dyDescent="0.4">
      <c r="C2255" s="34" t="s">
        <v>6</v>
      </c>
      <c r="D2255" s="35">
        <v>46050</v>
      </c>
      <c r="E2255" s="51" t="s">
        <v>70</v>
      </c>
      <c r="F2255" s="33">
        <v>1</v>
      </c>
      <c r="G2255" s="27">
        <f t="shared" si="44"/>
        <v>-1</v>
      </c>
      <c r="H2255" s="28" t="str">
        <f>VLOOKUP(E2255,'Cadastro Produtos (kiwkiw)'!C:E,3,0)</f>
        <v>Brinco Geometrico Banho Ouro</v>
      </c>
      <c r="AB2255" s="33" t="s">
        <v>1248</v>
      </c>
    </row>
    <row r="2256" spans="2:28" ht="15" customHeight="1" x14ac:dyDescent="0.4">
      <c r="C2256" s="34" t="s">
        <v>6</v>
      </c>
      <c r="D2256" s="35">
        <v>46050</v>
      </c>
      <c r="E2256" s="51" t="s">
        <v>774</v>
      </c>
      <c r="F2256" s="33">
        <v>1</v>
      </c>
      <c r="G2256" s="27">
        <f t="shared" si="44"/>
        <v>-1</v>
      </c>
      <c r="H2256" s="28" t="str">
        <f>VLOOKUP(E2256,'Cadastro Produtos (kiwkiw)'!C:E,3,0)</f>
        <v>Brinco Leque Prateado</v>
      </c>
      <c r="AB2256" s="33" t="s">
        <v>1248</v>
      </c>
    </row>
    <row r="2257" spans="2:28" ht="15" customHeight="1" x14ac:dyDescent="0.4">
      <c r="B2257" s="43">
        <v>46051.427291666667</v>
      </c>
      <c r="C2257" s="34" t="s">
        <v>6</v>
      </c>
      <c r="D2257" s="35">
        <v>46051</v>
      </c>
      <c r="E2257" s="51" t="s">
        <v>117</v>
      </c>
      <c r="F2257" s="33">
        <v>1</v>
      </c>
      <c r="G2257" s="27">
        <f t="shared" si="44"/>
        <v>-1</v>
      </c>
      <c r="H2257" s="28" t="str">
        <f>VLOOKUP(E2257,'Cadastro Produtos (kiwkiw)'!C:E,3,0)</f>
        <v>Gargantilha Minimal Banho Ouro</v>
      </c>
      <c r="AB2257" s="33" t="s">
        <v>1249</v>
      </c>
    </row>
    <row r="2258" spans="2:28" ht="15" customHeight="1" x14ac:dyDescent="0.4">
      <c r="C2258" s="34" t="s">
        <v>6</v>
      </c>
      <c r="D2258" s="35">
        <v>46051</v>
      </c>
      <c r="E2258" s="51" t="s">
        <v>110</v>
      </c>
      <c r="F2258" s="33">
        <v>1</v>
      </c>
      <c r="G2258" s="27">
        <f t="shared" si="44"/>
        <v>-1</v>
      </c>
      <c r="H2258" s="28" t="str">
        <f>VLOOKUP(E2258,'Cadastro Produtos (kiwkiw)'!C:E,3,0)</f>
        <v>Colar Corrente Groumet Banho Ouro</v>
      </c>
      <c r="AB2258" s="33" t="s">
        <v>1250</v>
      </c>
    </row>
    <row r="2259" spans="2:28" ht="15" customHeight="1" x14ac:dyDescent="0.4">
      <c r="C2259" s="34" t="s">
        <v>6</v>
      </c>
      <c r="D2259" s="35">
        <v>46051</v>
      </c>
      <c r="E2259" s="51" t="s">
        <v>789</v>
      </c>
      <c r="F2259" s="33">
        <v>1</v>
      </c>
      <c r="G2259" s="27">
        <f t="shared" si="44"/>
        <v>-1</v>
      </c>
      <c r="H2259" s="28" t="str">
        <f>VLOOKUP(E2259,'Cadastro Produtos (kiwkiw)'!C:E,3,0)</f>
        <v>Brinco Flor Gardenia Banho Ouro</v>
      </c>
      <c r="AB2259" s="33" t="s">
        <v>1251</v>
      </c>
    </row>
    <row r="2260" spans="2:28" ht="15" customHeight="1" x14ac:dyDescent="0.4">
      <c r="B2260" s="43">
        <v>46052.433715277781</v>
      </c>
      <c r="C2260" s="34" t="s">
        <v>6</v>
      </c>
      <c r="D2260" s="35">
        <v>46052</v>
      </c>
      <c r="E2260" s="51" t="s">
        <v>55</v>
      </c>
      <c r="F2260" s="33">
        <v>1</v>
      </c>
      <c r="G2260" s="27">
        <f t="shared" si="44"/>
        <v>-1</v>
      </c>
      <c r="H2260" s="28" t="str">
        <f>VLOOKUP(E2260,'Cadastro Produtos (kiwkiw)'!C:E,3,0)</f>
        <v>Brinco Ivy Prateado</v>
      </c>
      <c r="AB2260" s="33" t="s">
        <v>1252</v>
      </c>
    </row>
    <row r="2261" spans="2:28" ht="15" customHeight="1" x14ac:dyDescent="0.4">
      <c r="C2261" s="34" t="s">
        <v>6</v>
      </c>
      <c r="D2261" s="35">
        <v>46052</v>
      </c>
      <c r="E2261" s="51" t="s">
        <v>54</v>
      </c>
      <c r="F2261" s="33">
        <v>1</v>
      </c>
      <c r="G2261" s="27">
        <f t="shared" si="44"/>
        <v>-1</v>
      </c>
      <c r="H2261" s="28" t="str">
        <f>VLOOKUP(E2261,'Cadastro Produtos (kiwkiw)'!C:E,3,0)</f>
        <v>Brinco Ivy Banho Ouro</v>
      </c>
      <c r="AB2261" s="33" t="s">
        <v>1252</v>
      </c>
    </row>
    <row r="2262" spans="2:28" ht="15" customHeight="1" x14ac:dyDescent="0.4">
      <c r="C2262" s="34" t="s">
        <v>6</v>
      </c>
      <c r="D2262" s="35">
        <v>46052</v>
      </c>
      <c r="E2262" s="51" t="s">
        <v>114</v>
      </c>
      <c r="F2262" s="33">
        <v>1</v>
      </c>
      <c r="G2262" s="27">
        <f t="shared" si="44"/>
        <v>-1</v>
      </c>
      <c r="H2262" s="28" t="str">
        <f>VLOOKUP(E2262,'Cadastro Produtos (kiwkiw)'!C:E,3,0)</f>
        <v>Gargantilha Fita Banho Ouro</v>
      </c>
      <c r="AB2262" s="33" t="s">
        <v>1253</v>
      </c>
    </row>
    <row r="2263" spans="2:28" ht="15" customHeight="1" x14ac:dyDescent="0.4">
      <c r="C2263" s="34" t="s">
        <v>6</v>
      </c>
      <c r="D2263" s="35">
        <v>46052</v>
      </c>
      <c r="E2263" s="51" t="s">
        <v>117</v>
      </c>
      <c r="F2263" s="33">
        <v>1</v>
      </c>
      <c r="G2263" s="27">
        <f t="shared" si="44"/>
        <v>-1</v>
      </c>
      <c r="H2263" s="28" t="str">
        <f>VLOOKUP(E2263,'Cadastro Produtos (kiwkiw)'!C:E,3,0)</f>
        <v>Gargantilha Minimal Banho Ouro</v>
      </c>
      <c r="AB2263" s="33" t="s">
        <v>1253</v>
      </c>
    </row>
    <row r="2264" spans="2:28" ht="15" customHeight="1" x14ac:dyDescent="0.4">
      <c r="C2264" s="34" t="s">
        <v>6</v>
      </c>
      <c r="D2264" s="35">
        <v>46052</v>
      </c>
      <c r="E2264" s="51" t="s">
        <v>72</v>
      </c>
      <c r="F2264" s="33">
        <v>1</v>
      </c>
      <c r="G2264" s="27">
        <f t="shared" si="44"/>
        <v>-1</v>
      </c>
      <c r="H2264" s="28" t="str">
        <f>VLOOKUP(E2264,'Cadastro Produtos (kiwkiw)'!C:E,3,0)</f>
        <v>Ear Hook Line Banho Ouro</v>
      </c>
      <c r="AB2264" s="33" t="s">
        <v>1253</v>
      </c>
    </row>
    <row r="2265" spans="2:28" ht="15" customHeight="1" x14ac:dyDescent="0.4">
      <c r="C2265" s="34" t="s">
        <v>6</v>
      </c>
      <c r="D2265" s="35">
        <v>46052</v>
      </c>
      <c r="E2265" s="51" t="s">
        <v>831</v>
      </c>
      <c r="F2265" s="33">
        <v>1</v>
      </c>
      <c r="G2265" s="27">
        <f t="shared" si="44"/>
        <v>-1</v>
      </c>
      <c r="H2265" s="28" t="str">
        <f>VLOOKUP(E2265,'Cadastro Produtos (kiwkiw)'!C:E,3,0)</f>
        <v>Brinco Palito Banho Ouro</v>
      </c>
      <c r="AB2265" s="33" t="s">
        <v>1253</v>
      </c>
    </row>
    <row r="2266" spans="2:28" ht="15" customHeight="1" x14ac:dyDescent="0.4">
      <c r="C2266" s="34" t="s">
        <v>6</v>
      </c>
      <c r="D2266" s="35">
        <v>46052</v>
      </c>
      <c r="E2266" s="51" t="s">
        <v>808</v>
      </c>
      <c r="F2266" s="33">
        <v>1</v>
      </c>
      <c r="G2266" s="27">
        <f t="shared" si="44"/>
        <v>-1</v>
      </c>
      <c r="H2266" s="28" t="str">
        <f>VLOOKUP(E2266,'Cadastro Produtos (kiwkiw)'!C:E,3,0)</f>
        <v>Bracelete Curves Banho Ouro</v>
      </c>
      <c r="AB2266" s="33" t="s">
        <v>1254</v>
      </c>
    </row>
    <row r="2267" spans="2:28" ht="15" customHeight="1" x14ac:dyDescent="0.4">
      <c r="B2267" s="43">
        <v>46055.442071759258</v>
      </c>
      <c r="C2267" s="34" t="s">
        <v>6</v>
      </c>
      <c r="D2267" s="35">
        <v>46055</v>
      </c>
      <c r="E2267" s="51" t="s">
        <v>26</v>
      </c>
      <c r="F2267" s="33">
        <v>1</v>
      </c>
      <c r="G2267" s="27">
        <f t="shared" si="44"/>
        <v>-1</v>
      </c>
      <c r="H2267" s="28" t="str">
        <f>VLOOKUP(E2267,'Cadastro Produtos (kiwkiw)'!C:E,3,0)</f>
        <v>Argola Click Grande Banho Ouro</v>
      </c>
      <c r="AB2267" s="33" t="s">
        <v>1255</v>
      </c>
    </row>
    <row r="2268" spans="2:28" ht="15" customHeight="1" x14ac:dyDescent="0.4">
      <c r="C2268" s="34" t="s">
        <v>6</v>
      </c>
      <c r="D2268" s="35">
        <v>46055</v>
      </c>
      <c r="E2268" s="51" t="s">
        <v>820</v>
      </c>
      <c r="F2268" s="33">
        <v>1</v>
      </c>
      <c r="G2268" s="27">
        <f t="shared" si="44"/>
        <v>-1</v>
      </c>
      <c r="H2268" s="28" t="str">
        <f>VLOOKUP(E2268,'Cadastro Produtos (kiwkiw)'!C:E,3,0)</f>
        <v>Colar Sol Banho Ouro</v>
      </c>
      <c r="AB2268" s="33" t="s">
        <v>1256</v>
      </c>
    </row>
    <row r="2269" spans="2:28" ht="15" customHeight="1" x14ac:dyDescent="0.4">
      <c r="C2269" s="34" t="s">
        <v>6</v>
      </c>
      <c r="D2269" s="35">
        <v>46055</v>
      </c>
      <c r="E2269" s="51" t="s">
        <v>76</v>
      </c>
      <c r="F2269" s="33">
        <v>1</v>
      </c>
      <c r="G2269" s="27">
        <f t="shared" si="44"/>
        <v>-1</v>
      </c>
      <c r="H2269" s="28" t="str">
        <f>VLOOKUP(E2269,'Cadastro Produtos (kiwkiw)'!C:E,3,0)</f>
        <v>EarHook Dots Banho Ouro</v>
      </c>
      <c r="AB2269" s="33" t="s">
        <v>1257</v>
      </c>
    </row>
    <row r="2270" spans="2:28" ht="15" customHeight="1" x14ac:dyDescent="0.4">
      <c r="C2270" s="34" t="s">
        <v>6</v>
      </c>
      <c r="D2270" s="35">
        <v>46055</v>
      </c>
      <c r="E2270" s="51" t="s">
        <v>827</v>
      </c>
      <c r="F2270" s="33">
        <v>1</v>
      </c>
      <c r="G2270" s="27">
        <f t="shared" si="44"/>
        <v>-1</v>
      </c>
      <c r="H2270" s="28" t="str">
        <f>VLOOKUP(E2270,'Cadastro Produtos (kiwkiw)'!C:E,3,0)</f>
        <v>Argola Click Croissant Banho Ouro</v>
      </c>
      <c r="AB2270" s="33" t="s">
        <v>1257</v>
      </c>
    </row>
    <row r="2271" spans="2:28" ht="15" customHeight="1" x14ac:dyDescent="0.4">
      <c r="C2271" s="34" t="s">
        <v>6</v>
      </c>
      <c r="D2271" s="35">
        <v>46055</v>
      </c>
      <c r="E2271" s="51" t="s">
        <v>808</v>
      </c>
      <c r="F2271" s="33">
        <v>1</v>
      </c>
      <c r="G2271" s="27">
        <f t="shared" si="44"/>
        <v>-1</v>
      </c>
      <c r="H2271" s="28" t="str">
        <f>VLOOKUP(E2271,'Cadastro Produtos (kiwkiw)'!C:E,3,0)</f>
        <v>Bracelete Curves Banho Ouro</v>
      </c>
      <c r="AB2271" s="33" t="s">
        <v>1258</v>
      </c>
    </row>
    <row r="2272" spans="2:28" ht="15" customHeight="1" x14ac:dyDescent="0.4">
      <c r="C2272" s="34" t="s">
        <v>5</v>
      </c>
      <c r="D2272" s="35">
        <v>46055</v>
      </c>
      <c r="E2272" s="51" t="s">
        <v>822</v>
      </c>
      <c r="F2272" s="33">
        <v>1</v>
      </c>
      <c r="G2272" s="27">
        <f t="shared" si="44"/>
        <v>1</v>
      </c>
      <c r="H2272" s="28" t="str">
        <f>VLOOKUP(E2272,'Cadastro Produtos (kiwkiw)'!C:E,3,0)</f>
        <v>Gargantilha Pearl Banho Ouro</v>
      </c>
      <c r="I2272" s="32" t="s">
        <v>1259</v>
      </c>
    </row>
    <row r="2273" spans="2:28" ht="15" customHeight="1" x14ac:dyDescent="0.4">
      <c r="C2273" s="34" t="s">
        <v>5</v>
      </c>
      <c r="D2273" s="35">
        <v>46055</v>
      </c>
      <c r="E2273" s="51" t="s">
        <v>801</v>
      </c>
      <c r="F2273" s="33">
        <v>1</v>
      </c>
      <c r="G2273" s="27">
        <f t="shared" si="44"/>
        <v>1</v>
      </c>
      <c r="H2273" s="28" t="str">
        <f>VLOOKUP(E2273,'Cadastro Produtos (kiwkiw)'!C:E,3,0)</f>
        <v>Gargantilha Line Banho Ouro</v>
      </c>
      <c r="I2273" s="32" t="s">
        <v>1259</v>
      </c>
    </row>
    <row r="2274" spans="2:28" ht="15" customHeight="1" x14ac:dyDescent="0.4">
      <c r="B2274" s="43">
        <v>46056.424178240741</v>
      </c>
      <c r="C2274" s="34" t="s">
        <v>6</v>
      </c>
      <c r="D2274" s="35">
        <v>46056</v>
      </c>
      <c r="E2274" s="51" t="s">
        <v>117</v>
      </c>
      <c r="F2274" s="33">
        <v>1</v>
      </c>
      <c r="G2274" s="27">
        <f t="shared" si="44"/>
        <v>-1</v>
      </c>
      <c r="H2274" s="28" t="str">
        <f>VLOOKUP(E2274,'Cadastro Produtos (kiwkiw)'!C:E,3,0)</f>
        <v>Gargantilha Minimal Banho Ouro</v>
      </c>
      <c r="AB2274" s="33" t="s">
        <v>1260</v>
      </c>
    </row>
    <row r="2275" spans="2:28" ht="15" customHeight="1" x14ac:dyDescent="0.4">
      <c r="C2275" s="34" t="s">
        <v>6</v>
      </c>
      <c r="D2275" s="35">
        <v>46056</v>
      </c>
      <c r="E2275" s="51" t="s">
        <v>824</v>
      </c>
      <c r="F2275" s="33">
        <v>1</v>
      </c>
      <c r="G2275" s="27">
        <f t="shared" si="44"/>
        <v>-1</v>
      </c>
      <c r="H2275" s="28" t="str">
        <f>VLOOKUP(E2275,'Cadastro Produtos (kiwkiw)'!C:E,3,0)</f>
        <v>Pulseira Delicate Banho Ouro</v>
      </c>
      <c r="AB2275" s="33" t="s">
        <v>1261</v>
      </c>
    </row>
    <row r="2276" spans="2:28" ht="15" customHeight="1" x14ac:dyDescent="0.4">
      <c r="B2276" s="43">
        <v>46058.443923611114</v>
      </c>
      <c r="C2276" s="34" t="s">
        <v>6</v>
      </c>
      <c r="D2276" s="35">
        <v>46058</v>
      </c>
      <c r="E2276" s="51" t="s">
        <v>104</v>
      </c>
      <c r="F2276" s="33">
        <v>1</v>
      </c>
      <c r="G2276" s="27">
        <f t="shared" si="44"/>
        <v>-1</v>
      </c>
      <c r="H2276" s="28" t="str">
        <f>VLOOKUP(E2276,'Cadastro Produtos (kiwkiw)'!C:E,3,0)</f>
        <v>Colar Ivy Prateado</v>
      </c>
      <c r="AB2276" s="33" t="s">
        <v>1262</v>
      </c>
    </row>
    <row r="2277" spans="2:28" ht="15" customHeight="1" x14ac:dyDescent="0.4">
      <c r="C2277" s="34" t="s">
        <v>6</v>
      </c>
      <c r="D2277" s="35">
        <v>46058</v>
      </c>
      <c r="E2277" s="51" t="s">
        <v>62</v>
      </c>
      <c r="F2277" s="33">
        <v>1</v>
      </c>
      <c r="G2277" s="27">
        <f t="shared" si="44"/>
        <v>-1</v>
      </c>
      <c r="H2277" s="28" t="str">
        <f>VLOOKUP(E2277,'Cadastro Produtos (kiwkiw)'!C:E,3,0)</f>
        <v>Brinco Sol Banho Ouro</v>
      </c>
      <c r="AB2277" s="33" t="s">
        <v>1263</v>
      </c>
    </row>
    <row r="2278" spans="2:28" ht="15" customHeight="1" x14ac:dyDescent="0.4">
      <c r="C2278" s="34" t="s">
        <v>6</v>
      </c>
      <c r="D2278" s="35">
        <v>46058</v>
      </c>
      <c r="E2278" s="51" t="s">
        <v>38</v>
      </c>
      <c r="F2278" s="33">
        <v>1</v>
      </c>
      <c r="G2278" s="27">
        <f t="shared" si="44"/>
        <v>-1</v>
      </c>
      <c r="H2278" s="28" t="str">
        <f>VLOOKUP(E2278,'Cadastro Produtos (kiwkiw)'!C:E,3,0)</f>
        <v>Argolinha Click Dots Banho Ouro</v>
      </c>
      <c r="AB2278" s="33" t="s">
        <v>1264</v>
      </c>
    </row>
    <row r="2279" spans="2:28" ht="15" customHeight="1" x14ac:dyDescent="0.4">
      <c r="C2279" s="34" t="s">
        <v>6</v>
      </c>
      <c r="D2279" s="35">
        <v>46058</v>
      </c>
      <c r="E2279" s="51" t="s">
        <v>76</v>
      </c>
      <c r="F2279" s="33">
        <v>1</v>
      </c>
      <c r="G2279" s="27">
        <f t="shared" si="44"/>
        <v>-1</v>
      </c>
      <c r="H2279" s="28" t="str">
        <f>VLOOKUP(E2279,'Cadastro Produtos (kiwkiw)'!C:E,3,0)</f>
        <v>EarHook Dots Banho Ouro</v>
      </c>
      <c r="AB2279" s="33" t="s">
        <v>1264</v>
      </c>
    </row>
    <row r="2280" spans="2:28" ht="15" customHeight="1" x14ac:dyDescent="0.4">
      <c r="C2280" s="34" t="s">
        <v>6</v>
      </c>
      <c r="D2280" s="35">
        <v>46058</v>
      </c>
      <c r="E2280" s="51" t="s">
        <v>799</v>
      </c>
      <c r="F2280" s="33">
        <v>1</v>
      </c>
      <c r="G2280" s="27">
        <f t="shared" si="44"/>
        <v>-1</v>
      </c>
      <c r="H2280" s="28" t="str">
        <f>VLOOKUP(E2280,'Cadastro Produtos (kiwkiw)'!C:E,3,0)</f>
        <v>Gargantilha Fita Textura Banho Ouro</v>
      </c>
      <c r="AB2280" s="33" t="s">
        <v>1264</v>
      </c>
    </row>
    <row r="2281" spans="2:28" ht="15" customHeight="1" x14ac:dyDescent="0.4">
      <c r="C2281" s="34" t="s">
        <v>6</v>
      </c>
      <c r="D2281" s="35">
        <v>46058</v>
      </c>
      <c r="E2281" s="51" t="s">
        <v>123</v>
      </c>
      <c r="F2281" s="33">
        <v>1</v>
      </c>
      <c r="G2281" s="27">
        <f t="shared" si="44"/>
        <v>-1</v>
      </c>
      <c r="H2281" s="28" t="str">
        <f>VLOOKUP(E2281,'Cadastro Produtos (kiwkiw)'!C:E,3,0)</f>
        <v>Pulseira Dots Banho Ouro</v>
      </c>
      <c r="AB2281" s="33" t="s">
        <v>1265</v>
      </c>
    </row>
    <row r="2282" spans="2:28" ht="15" customHeight="1" x14ac:dyDescent="0.4">
      <c r="C2282" s="34" t="s">
        <v>6</v>
      </c>
      <c r="D2282" s="35">
        <v>46058</v>
      </c>
      <c r="E2282" s="51" t="s">
        <v>53</v>
      </c>
      <c r="F2282" s="33">
        <v>1</v>
      </c>
      <c r="G2282" s="27">
        <f t="shared" si="44"/>
        <v>-1</v>
      </c>
      <c r="H2282" s="28" t="str">
        <f>VLOOKUP(E2282,'Cadastro Produtos (kiwkiw)'!C:E,3,0)</f>
        <v>Brinco Infinito Banho Ouro</v>
      </c>
      <c r="AB2282" s="33" t="s">
        <v>1266</v>
      </c>
    </row>
    <row r="2283" spans="2:28" ht="15" customHeight="1" x14ac:dyDescent="0.4">
      <c r="C2283" s="34" t="s">
        <v>6</v>
      </c>
      <c r="D2283" s="35">
        <v>46058</v>
      </c>
      <c r="E2283" s="51" t="s">
        <v>40</v>
      </c>
      <c r="F2283" s="33">
        <v>1</v>
      </c>
      <c r="G2283" s="27">
        <f t="shared" si="44"/>
        <v>-1</v>
      </c>
      <c r="H2283" s="28" t="str">
        <f>VLOOKUP(E2283,'Cadastro Produtos (kiwkiw)'!C:E,3,0)</f>
        <v>Argolinha Folha Banho Ouro</v>
      </c>
      <c r="AB2283" s="33" t="s">
        <v>1266</v>
      </c>
    </row>
    <row r="2284" spans="2:28" ht="15" customHeight="1" x14ac:dyDescent="0.4">
      <c r="C2284" s="34" t="s">
        <v>6</v>
      </c>
      <c r="D2284" s="35">
        <v>46058</v>
      </c>
      <c r="E2284" s="51" t="s">
        <v>801</v>
      </c>
      <c r="F2284" s="33">
        <v>1</v>
      </c>
      <c r="G2284" s="27">
        <f t="shared" si="44"/>
        <v>-1</v>
      </c>
      <c r="H2284" s="28" t="str">
        <f>VLOOKUP(E2284,'Cadastro Produtos (kiwkiw)'!C:E,3,0)</f>
        <v>Gargantilha Line Banho Ouro</v>
      </c>
      <c r="AB2284" s="33" t="s">
        <v>1267</v>
      </c>
    </row>
    <row r="2285" spans="2:28" ht="15" customHeight="1" x14ac:dyDescent="0.4">
      <c r="B2285" s="43">
        <v>46059.420706018522</v>
      </c>
      <c r="C2285" s="34" t="s">
        <v>6</v>
      </c>
      <c r="D2285" s="35">
        <v>46059</v>
      </c>
      <c r="E2285" s="51" t="s">
        <v>808</v>
      </c>
      <c r="F2285" s="33">
        <v>1</v>
      </c>
      <c r="G2285" s="27">
        <f t="shared" si="44"/>
        <v>-1</v>
      </c>
      <c r="H2285" s="28" t="str">
        <f>VLOOKUP(E2285,'Cadastro Produtos (kiwkiw)'!C:E,3,0)</f>
        <v>Bracelete Curves Banho Ouro</v>
      </c>
      <c r="AB2285" s="33" t="s">
        <v>1268</v>
      </c>
    </row>
    <row r="2286" spans="2:28" ht="15" customHeight="1" x14ac:dyDescent="0.4">
      <c r="B2286" s="43">
        <v>46062.424953703703</v>
      </c>
      <c r="C2286" s="34" t="s">
        <v>6</v>
      </c>
      <c r="D2286" s="35">
        <v>46062</v>
      </c>
      <c r="E2286" s="51" t="s">
        <v>117</v>
      </c>
      <c r="F2286" s="33">
        <v>1</v>
      </c>
      <c r="G2286" s="27">
        <f t="shared" si="44"/>
        <v>-1</v>
      </c>
      <c r="H2286" s="28" t="str">
        <f>VLOOKUP(E2286,'Cadastro Produtos (kiwkiw)'!C:E,3,0)</f>
        <v>Gargantilha Minimal Banho Ouro</v>
      </c>
      <c r="AB2286" s="33" t="s">
        <v>1269</v>
      </c>
    </row>
    <row r="2287" spans="2:28" ht="15" customHeight="1" x14ac:dyDescent="0.4">
      <c r="C2287" s="34" t="s">
        <v>6</v>
      </c>
      <c r="D2287" s="35">
        <v>46062</v>
      </c>
      <c r="E2287" s="51" t="s">
        <v>826</v>
      </c>
      <c r="F2287" s="33">
        <v>1</v>
      </c>
      <c r="G2287" s="27">
        <f t="shared" si="44"/>
        <v>-1</v>
      </c>
      <c r="H2287" s="28" t="str">
        <f>VLOOKUP(E2287,'Cadastro Produtos (kiwkiw)'!C:E,3,0)</f>
        <v>Pulseira Torcida Banho Ouro</v>
      </c>
      <c r="AB2287" s="33" t="s">
        <v>1269</v>
      </c>
    </row>
    <row r="2288" spans="2:28" ht="15" customHeight="1" x14ac:dyDescent="0.4">
      <c r="C2288" s="34" t="s">
        <v>6</v>
      </c>
      <c r="D2288" s="35">
        <v>46062</v>
      </c>
      <c r="E2288" s="51" t="s">
        <v>825</v>
      </c>
      <c r="F2288" s="33">
        <v>1</v>
      </c>
      <c r="G2288" s="27">
        <f t="shared" si="44"/>
        <v>-1</v>
      </c>
      <c r="H2288" s="28" t="str">
        <f>VLOOKUP(E2288,'Cadastro Produtos (kiwkiw)'!C:E,3,0)</f>
        <v>Pulseira Fita 2mm Banho Ouro</v>
      </c>
      <c r="AB2288" s="33" t="s">
        <v>1269</v>
      </c>
    </row>
    <row r="2289" spans="2:28" ht="15" customHeight="1" x14ac:dyDescent="0.4">
      <c r="C2289" s="34" t="s">
        <v>6</v>
      </c>
      <c r="D2289" s="35">
        <v>46062</v>
      </c>
      <c r="E2289" s="51" t="s">
        <v>91</v>
      </c>
      <c r="F2289" s="33">
        <v>1</v>
      </c>
      <c r="G2289" s="27">
        <f t="shared" si="44"/>
        <v>-1</v>
      </c>
      <c r="H2289" s="28" t="str">
        <f>VLOOKUP(E2289,'Cadastro Produtos (kiwkiw)'!C:E,3,0)</f>
        <v>Colar Rosa dos Ventos Banho Ouro</v>
      </c>
      <c r="AB2289" s="33" t="s">
        <v>1270</v>
      </c>
    </row>
    <row r="2290" spans="2:28" ht="15" customHeight="1" x14ac:dyDescent="0.4">
      <c r="C2290" s="34" t="s">
        <v>6</v>
      </c>
      <c r="D2290" s="35">
        <v>46062</v>
      </c>
      <c r="E2290" s="51" t="s">
        <v>819</v>
      </c>
      <c r="F2290" s="33">
        <v>1</v>
      </c>
      <c r="G2290" s="27">
        <f t="shared" si="44"/>
        <v>-1</v>
      </c>
      <c r="H2290" s="28" t="str">
        <f>VLOOKUP(E2290,'Cadastro Produtos (kiwkiw)'!C:E,3,0)</f>
        <v>Colar Pearl Fecho Frontal Banho Ouro</v>
      </c>
      <c r="AB2290" s="33" t="s">
        <v>1270</v>
      </c>
    </row>
    <row r="2291" spans="2:28" ht="15" customHeight="1" x14ac:dyDescent="0.4">
      <c r="C2291" s="34" t="s">
        <v>6</v>
      </c>
      <c r="D2291" s="35">
        <v>46062</v>
      </c>
      <c r="E2291" s="51" t="s">
        <v>123</v>
      </c>
      <c r="F2291" s="33">
        <v>1</v>
      </c>
      <c r="G2291" s="27">
        <f t="shared" si="44"/>
        <v>-1</v>
      </c>
      <c r="H2291" s="28" t="str">
        <f>VLOOKUP(E2291,'Cadastro Produtos (kiwkiw)'!C:E,3,0)</f>
        <v>Pulseira Dots Banho Ouro</v>
      </c>
      <c r="AB2291" s="33" t="s">
        <v>1271</v>
      </c>
    </row>
    <row r="2292" spans="2:28" ht="15" customHeight="1" x14ac:dyDescent="0.4">
      <c r="C2292" s="34" t="s">
        <v>6</v>
      </c>
      <c r="D2292" s="35">
        <v>46062</v>
      </c>
      <c r="E2292" s="51" t="s">
        <v>801</v>
      </c>
      <c r="F2292" s="33">
        <v>1</v>
      </c>
      <c r="G2292" s="27">
        <f t="shared" si="44"/>
        <v>-1</v>
      </c>
      <c r="H2292" s="28" t="str">
        <f>VLOOKUP(E2292,'Cadastro Produtos (kiwkiw)'!C:E,3,0)</f>
        <v>Gargantilha Line Banho Ouro</v>
      </c>
      <c r="AB2292" s="33" t="s">
        <v>1272</v>
      </c>
    </row>
    <row r="2293" spans="2:28" ht="15" customHeight="1" x14ac:dyDescent="0.4">
      <c r="C2293" s="34" t="s">
        <v>6</v>
      </c>
      <c r="D2293" s="35">
        <v>46062</v>
      </c>
      <c r="E2293" s="51" t="s">
        <v>108</v>
      </c>
      <c r="F2293" s="33">
        <v>1</v>
      </c>
      <c r="G2293" s="27">
        <f t="shared" si="44"/>
        <v>-1</v>
      </c>
      <c r="H2293" s="28" t="str">
        <f>VLOOKUP(E2293,'Cadastro Produtos (kiwkiw)'!C:E,3,0)</f>
        <v>Colar Line Banho Ouro</v>
      </c>
      <c r="AB2293" s="33" t="s">
        <v>1273</v>
      </c>
    </row>
    <row r="2294" spans="2:28" ht="15" customHeight="1" x14ac:dyDescent="0.4">
      <c r="C2294" s="34" t="s">
        <v>6</v>
      </c>
      <c r="D2294" s="35">
        <v>46062</v>
      </c>
      <c r="E2294" s="51" t="s">
        <v>812</v>
      </c>
      <c r="F2294" s="33">
        <v>1</v>
      </c>
      <c r="G2294" s="27">
        <f t="shared" si="44"/>
        <v>-1</v>
      </c>
      <c r="H2294" s="28" t="str">
        <f>VLOOKUP(E2294,'Cadastro Produtos (kiwkiw)'!C:E,3,0)</f>
        <v>Brinco Leque Banho Ouro</v>
      </c>
      <c r="AB2294" s="33" t="s">
        <v>1274</v>
      </c>
    </row>
    <row r="2295" spans="2:28" ht="15" customHeight="1" x14ac:dyDescent="0.4">
      <c r="C2295" s="34" t="s">
        <v>6</v>
      </c>
      <c r="D2295" s="35">
        <v>46062</v>
      </c>
      <c r="E2295" s="51" t="s">
        <v>808</v>
      </c>
      <c r="F2295" s="33">
        <v>1</v>
      </c>
      <c r="G2295" s="27">
        <f t="shared" ref="G2295:G2358" si="45">IF(C2295="Entrada",F2295,-F2295)</f>
        <v>-1</v>
      </c>
      <c r="H2295" s="28" t="str">
        <f>VLOOKUP(E2295,'Cadastro Produtos (kiwkiw)'!C:E,3,0)</f>
        <v>Bracelete Curves Banho Ouro</v>
      </c>
      <c r="AB2295" s="33" t="s">
        <v>1274</v>
      </c>
    </row>
    <row r="2296" spans="2:28" ht="15" customHeight="1" x14ac:dyDescent="0.4">
      <c r="C2296" s="34" t="s">
        <v>6</v>
      </c>
      <c r="D2296" s="35">
        <v>46062</v>
      </c>
      <c r="E2296" s="51" t="s">
        <v>811</v>
      </c>
      <c r="F2296" s="33">
        <v>1</v>
      </c>
      <c r="G2296" s="27">
        <f t="shared" si="45"/>
        <v>-1</v>
      </c>
      <c r="H2296" s="28" t="str">
        <f>VLOOKUP(E2296,'Cadastro Produtos (kiwkiw)'!C:E,3,0)</f>
        <v>Brinco Drop P Banho Ouro</v>
      </c>
      <c r="AB2296" s="33" t="s">
        <v>1275</v>
      </c>
    </row>
    <row r="2297" spans="2:28" ht="15" customHeight="1" x14ac:dyDescent="0.4">
      <c r="C2297" s="34" t="s">
        <v>6</v>
      </c>
      <c r="D2297" s="35">
        <v>46062</v>
      </c>
      <c r="E2297" s="51" t="s">
        <v>93</v>
      </c>
      <c r="F2297" s="33">
        <v>1</v>
      </c>
      <c r="G2297" s="27">
        <f t="shared" si="45"/>
        <v>-1</v>
      </c>
      <c r="H2297" s="28" t="str">
        <f>VLOOKUP(E2297,'Cadastro Produtos (kiwkiw)'!C:E,3,0)</f>
        <v>Colar Coracao Prateado</v>
      </c>
      <c r="AB2297" s="33" t="s">
        <v>1276</v>
      </c>
    </row>
    <row r="2298" spans="2:28" ht="15" customHeight="1" x14ac:dyDescent="0.4">
      <c r="C2298" s="34" t="s">
        <v>6</v>
      </c>
      <c r="D2298" s="35">
        <v>46062</v>
      </c>
      <c r="E2298" s="51" t="s">
        <v>818</v>
      </c>
      <c r="F2298" s="33">
        <v>1</v>
      </c>
      <c r="G2298" s="27">
        <f t="shared" si="45"/>
        <v>-1</v>
      </c>
      <c r="H2298" s="28" t="str">
        <f>VLOOKUP(E2298,'Cadastro Produtos (kiwkiw)'!C:E,3,0)</f>
        <v>Colar Longo Medalhinhas Banho Ouro</v>
      </c>
      <c r="AB2298" s="33" t="s">
        <v>1277</v>
      </c>
    </row>
    <row r="2299" spans="2:28" ht="15" customHeight="1" x14ac:dyDescent="0.4">
      <c r="C2299" s="34" t="s">
        <v>6</v>
      </c>
      <c r="D2299" s="35">
        <v>46062</v>
      </c>
      <c r="E2299" s="51" t="s">
        <v>26</v>
      </c>
      <c r="F2299" s="33">
        <v>1</v>
      </c>
      <c r="G2299" s="27">
        <f t="shared" si="45"/>
        <v>-1</v>
      </c>
      <c r="H2299" s="28" t="str">
        <f>VLOOKUP(E2299,'Cadastro Produtos (kiwkiw)'!C:E,3,0)</f>
        <v>Argola Click Grande Banho Ouro</v>
      </c>
      <c r="AB2299" s="33" t="s">
        <v>1277</v>
      </c>
    </row>
    <row r="2300" spans="2:28" ht="15" customHeight="1" x14ac:dyDescent="0.4">
      <c r="C2300" s="34" t="s">
        <v>6</v>
      </c>
      <c r="D2300" s="35">
        <v>46062</v>
      </c>
      <c r="E2300" s="51" t="s">
        <v>130</v>
      </c>
      <c r="F2300" s="33">
        <v>1</v>
      </c>
      <c r="G2300" s="27">
        <f t="shared" si="45"/>
        <v>-1</v>
      </c>
      <c r="H2300" s="28" t="str">
        <f>VLOOKUP(E2300,'Cadastro Produtos (kiwkiw)'!C:E,3,0)</f>
        <v>Pulseira Snake Prateada</v>
      </c>
      <c r="AB2300" s="33" t="s">
        <v>1278</v>
      </c>
    </row>
    <row r="2301" spans="2:28" ht="15" customHeight="1" x14ac:dyDescent="0.4">
      <c r="B2301" s="43">
        <v>46063.452615740738</v>
      </c>
      <c r="C2301" s="34" t="s">
        <v>6</v>
      </c>
      <c r="D2301" s="35">
        <v>46063</v>
      </c>
      <c r="E2301" s="51" t="s">
        <v>38</v>
      </c>
      <c r="F2301" s="33">
        <v>1</v>
      </c>
      <c r="G2301" s="27">
        <f t="shared" si="45"/>
        <v>-1</v>
      </c>
      <c r="H2301" s="28" t="str">
        <f>VLOOKUP(E2301,'Cadastro Produtos (kiwkiw)'!C:E,3,0)</f>
        <v>Argolinha Click Dots Banho Ouro</v>
      </c>
      <c r="AB2301" s="33" t="s">
        <v>1279</v>
      </c>
    </row>
    <row r="2302" spans="2:28" ht="15" customHeight="1" x14ac:dyDescent="0.4">
      <c r="C2302" s="34" t="s">
        <v>6</v>
      </c>
      <c r="D2302" s="35">
        <v>46063</v>
      </c>
      <c r="E2302" s="51" t="s">
        <v>786</v>
      </c>
      <c r="F2302" s="33">
        <v>1</v>
      </c>
      <c r="G2302" s="27">
        <f t="shared" si="45"/>
        <v>-1</v>
      </c>
      <c r="H2302" s="28" t="str">
        <f>VLOOKUP(E2302,'Cadastro Produtos (kiwkiw)'!C:E,3,0)</f>
        <v>Colar Sao Bento Banho Ouro</v>
      </c>
      <c r="AB2302" s="33" t="s">
        <v>1280</v>
      </c>
    </row>
    <row r="2303" spans="2:28" ht="15" customHeight="1" x14ac:dyDescent="0.4">
      <c r="B2303" s="43">
        <v>46064.445300925923</v>
      </c>
      <c r="C2303" s="34" t="s">
        <v>6</v>
      </c>
      <c r="D2303" s="35">
        <v>46063</v>
      </c>
      <c r="E2303" s="51" t="s">
        <v>38</v>
      </c>
      <c r="F2303" s="33">
        <v>0</v>
      </c>
      <c r="G2303" s="27">
        <f t="shared" si="45"/>
        <v>0</v>
      </c>
      <c r="H2303" s="28" t="str">
        <f>VLOOKUP(E2303,'Cadastro Produtos (kiwkiw)'!C:E,3,0)</f>
        <v>Argolinha Click Dots Banho Ouro</v>
      </c>
      <c r="I2303" s="32" t="s">
        <v>1282</v>
      </c>
      <c r="AB2303" s="33" t="s">
        <v>1279</v>
      </c>
    </row>
    <row r="2304" spans="2:28" ht="15" customHeight="1" x14ac:dyDescent="0.4">
      <c r="C2304" s="34" t="s">
        <v>6</v>
      </c>
      <c r="D2304" s="35">
        <v>46063</v>
      </c>
      <c r="E2304" s="51" t="s">
        <v>786</v>
      </c>
      <c r="F2304" s="33">
        <v>0</v>
      </c>
      <c r="G2304" s="27">
        <f t="shared" si="45"/>
        <v>0</v>
      </c>
      <c r="H2304" s="28" t="str">
        <f>VLOOKUP(E2304,'Cadastro Produtos (kiwkiw)'!C:E,3,0)</f>
        <v>Colar Sao Bento Banho Ouro</v>
      </c>
      <c r="I2304" s="32" t="s">
        <v>1282</v>
      </c>
      <c r="AB2304" s="33" t="s">
        <v>1280</v>
      </c>
    </row>
    <row r="2305" spans="2:28" ht="15" customHeight="1" x14ac:dyDescent="0.4">
      <c r="C2305" s="34" t="s">
        <v>6</v>
      </c>
      <c r="D2305" s="35">
        <v>46064</v>
      </c>
      <c r="E2305" s="51" t="s">
        <v>123</v>
      </c>
      <c r="F2305" s="33">
        <v>1</v>
      </c>
      <c r="G2305" s="27">
        <f t="shared" si="45"/>
        <v>-1</v>
      </c>
      <c r="H2305" s="28" t="str">
        <f>VLOOKUP(E2305,'Cadastro Produtos (kiwkiw)'!C:E,3,0)</f>
        <v>Pulseira Dots Banho Ouro</v>
      </c>
      <c r="AB2305" s="33" t="s">
        <v>1281</v>
      </c>
    </row>
    <row r="2306" spans="2:28" ht="15" customHeight="1" x14ac:dyDescent="0.4">
      <c r="B2306" s="43">
        <v>46065.422511574077</v>
      </c>
      <c r="C2306" s="34" t="s">
        <v>6</v>
      </c>
      <c r="D2306" s="35">
        <v>46065</v>
      </c>
      <c r="E2306" s="51" t="s">
        <v>72</v>
      </c>
      <c r="F2306" s="33">
        <v>1</v>
      </c>
      <c r="G2306" s="27">
        <f t="shared" si="45"/>
        <v>-1</v>
      </c>
      <c r="H2306" s="28" t="str">
        <f>VLOOKUP(E2306,'Cadastro Produtos (kiwkiw)'!C:E,3,0)</f>
        <v>Ear Hook Line Banho Ouro</v>
      </c>
      <c r="AB2306" s="33" t="s">
        <v>1283</v>
      </c>
    </row>
    <row r="2307" spans="2:28" ht="15" customHeight="1" x14ac:dyDescent="0.4">
      <c r="C2307" s="34" t="s">
        <v>6</v>
      </c>
      <c r="D2307" s="35">
        <v>46065</v>
      </c>
      <c r="E2307" s="51" t="s">
        <v>29</v>
      </c>
      <c r="F2307" s="33">
        <v>1</v>
      </c>
      <c r="G2307" s="27">
        <f t="shared" si="45"/>
        <v>-1</v>
      </c>
      <c r="H2307" s="28" t="str">
        <f>VLOOKUP(E2307,'Cadastro Produtos (kiwkiw)'!C:E,3,0)</f>
        <v>Argola Click Diamond Banho Ouro</v>
      </c>
      <c r="AB2307" s="33" t="s">
        <v>1284</v>
      </c>
    </row>
    <row r="2308" spans="2:28" ht="15" customHeight="1" x14ac:dyDescent="0.4">
      <c r="C2308" s="34" t="s">
        <v>6</v>
      </c>
      <c r="D2308" s="35">
        <v>46065</v>
      </c>
      <c r="E2308" s="51" t="s">
        <v>49</v>
      </c>
      <c r="F2308" s="33">
        <v>1</v>
      </c>
      <c r="G2308" s="27">
        <f t="shared" si="45"/>
        <v>-1</v>
      </c>
      <c r="H2308" s="28" t="str">
        <f>VLOOKUP(E2308,'Cadastro Produtos (kiwkiw)'!C:E,3,0)</f>
        <v>Brinco Coracao Diamond Banho Ouro</v>
      </c>
      <c r="AB2308" s="33" t="s">
        <v>1284</v>
      </c>
    </row>
    <row r="2309" spans="2:28" ht="15" customHeight="1" x14ac:dyDescent="0.4">
      <c r="C2309" s="34" t="s">
        <v>6</v>
      </c>
      <c r="D2309" s="35">
        <v>46065</v>
      </c>
      <c r="E2309" s="51" t="s">
        <v>40</v>
      </c>
      <c r="F2309" s="33">
        <v>1</v>
      </c>
      <c r="G2309" s="27">
        <f t="shared" si="45"/>
        <v>-1</v>
      </c>
      <c r="H2309" s="28" t="str">
        <f>VLOOKUP(E2309,'Cadastro Produtos (kiwkiw)'!C:E,3,0)</f>
        <v>Argolinha Folha Banho Ouro</v>
      </c>
      <c r="AB2309" s="33" t="s">
        <v>1285</v>
      </c>
    </row>
    <row r="2310" spans="2:28" ht="15" customHeight="1" x14ac:dyDescent="0.4">
      <c r="B2310" s="43">
        <v>46066.41915509259</v>
      </c>
      <c r="C2310" s="34" t="s">
        <v>6</v>
      </c>
      <c r="D2310" s="35">
        <v>46066</v>
      </c>
      <c r="E2310" s="51" t="s">
        <v>800</v>
      </c>
      <c r="F2310" s="33">
        <v>1</v>
      </c>
      <c r="G2310" s="27">
        <f t="shared" si="45"/>
        <v>-1</v>
      </c>
      <c r="H2310" s="28" t="str">
        <f>VLOOKUP(E2310,'Cadastro Produtos (kiwkiw)'!C:E,3,0)</f>
        <v>Gargantilha Groumet Banho Ouro</v>
      </c>
      <c r="AB2310" s="33" t="s">
        <v>1286</v>
      </c>
    </row>
    <row r="2311" spans="2:28" ht="15" customHeight="1" x14ac:dyDescent="0.4">
      <c r="C2311" s="34" t="s">
        <v>6</v>
      </c>
      <c r="D2311" s="35">
        <v>46066</v>
      </c>
      <c r="E2311" s="51" t="s">
        <v>783</v>
      </c>
      <c r="F2311" s="33">
        <v>1</v>
      </c>
      <c r="G2311" s="27">
        <f t="shared" si="45"/>
        <v>-1</v>
      </c>
      <c r="H2311" s="28" t="str">
        <f>VLOOKUP(E2311,'Cadastro Produtos (kiwkiw)'!C:E,3,0)</f>
        <v>Bracelete Dots Banho Ouro</v>
      </c>
      <c r="AB2311" s="33" t="s">
        <v>1286</v>
      </c>
    </row>
    <row r="2312" spans="2:28" ht="15" customHeight="1" x14ac:dyDescent="0.4">
      <c r="B2312" s="43">
        <v>46071.374212962961</v>
      </c>
      <c r="C2312" s="34" t="s">
        <v>6</v>
      </c>
      <c r="D2312" s="35">
        <v>46071</v>
      </c>
      <c r="E2312" s="51" t="s">
        <v>40</v>
      </c>
      <c r="F2312" s="33">
        <v>1</v>
      </c>
      <c r="G2312" s="27">
        <f t="shared" si="45"/>
        <v>-1</v>
      </c>
      <c r="H2312" s="28" t="str">
        <f>VLOOKUP(E2312,'Cadastro Produtos (kiwkiw)'!C:E,3,0)</f>
        <v>Argolinha Folha Banho Ouro</v>
      </c>
      <c r="AB2312" s="33" t="s">
        <v>1288</v>
      </c>
    </row>
    <row r="2313" spans="2:28" ht="15" customHeight="1" x14ac:dyDescent="0.4">
      <c r="C2313" s="34" t="s">
        <v>6</v>
      </c>
      <c r="D2313" s="35">
        <v>46071</v>
      </c>
      <c r="E2313" s="51" t="s">
        <v>812</v>
      </c>
      <c r="F2313" s="33">
        <v>1</v>
      </c>
      <c r="G2313" s="27">
        <f t="shared" si="45"/>
        <v>-1</v>
      </c>
      <c r="H2313" s="28" t="str">
        <f>VLOOKUP(E2313,'Cadastro Produtos (kiwkiw)'!C:E,3,0)</f>
        <v>Brinco Leque Banho Ouro</v>
      </c>
      <c r="AB2313" s="33" t="s">
        <v>1288</v>
      </c>
    </row>
    <row r="2314" spans="2:28" ht="15" customHeight="1" x14ac:dyDescent="0.4">
      <c r="C2314" s="34" t="s">
        <v>6</v>
      </c>
      <c r="D2314" s="35">
        <v>46071</v>
      </c>
      <c r="E2314" s="51" t="s">
        <v>72</v>
      </c>
      <c r="F2314" s="33">
        <v>1</v>
      </c>
      <c r="G2314" s="27">
        <f t="shared" si="45"/>
        <v>-1</v>
      </c>
      <c r="H2314" s="28" t="str">
        <f>VLOOKUP(E2314,'Cadastro Produtos (kiwkiw)'!C:E,3,0)</f>
        <v>Ear Hook Line Banho Ouro</v>
      </c>
      <c r="AB2314" s="33" t="s">
        <v>1288</v>
      </c>
    </row>
    <row r="2315" spans="2:28" ht="15" customHeight="1" x14ac:dyDescent="0.4">
      <c r="C2315" s="34" t="s">
        <v>6</v>
      </c>
      <c r="D2315" s="35">
        <v>46071</v>
      </c>
      <c r="E2315" s="51" t="s">
        <v>796</v>
      </c>
      <c r="F2315" s="33">
        <v>1</v>
      </c>
      <c r="G2315" s="27">
        <f t="shared" si="45"/>
        <v>-1</v>
      </c>
      <c r="H2315" s="28" t="str">
        <f>VLOOKUP(E2315,'Cadastro Produtos (kiwkiw)'!C:E,3,0)</f>
        <v>Colar Longo Minimal Banho Ouro</v>
      </c>
      <c r="AB2315" s="33" t="s">
        <v>1288</v>
      </c>
    </row>
    <row r="2316" spans="2:28" ht="15" customHeight="1" x14ac:dyDescent="0.4">
      <c r="C2316" s="34" t="s">
        <v>6</v>
      </c>
      <c r="D2316" s="35">
        <v>46071</v>
      </c>
      <c r="E2316" s="51" t="s">
        <v>814</v>
      </c>
      <c r="F2316" s="33">
        <v>1</v>
      </c>
      <c r="G2316" s="27">
        <f t="shared" si="45"/>
        <v>-1</v>
      </c>
      <c r="H2316" s="28" t="str">
        <f>VLOOKUP(E2316,'Cadastro Produtos (kiwkiw)'!C:E,3,0)</f>
        <v>Brinco Ponto de Luz Banho Ouro</v>
      </c>
      <c r="AB2316" s="33" t="s">
        <v>1288</v>
      </c>
    </row>
    <row r="2317" spans="2:28" ht="15" customHeight="1" x14ac:dyDescent="0.4">
      <c r="C2317" s="34" t="s">
        <v>6</v>
      </c>
      <c r="D2317" s="35">
        <v>46071</v>
      </c>
      <c r="E2317" s="51" t="s">
        <v>26</v>
      </c>
      <c r="F2317" s="33">
        <v>1</v>
      </c>
      <c r="G2317" s="27">
        <f t="shared" si="45"/>
        <v>-1</v>
      </c>
      <c r="H2317" s="28" t="str">
        <f>VLOOKUP(E2317,'Cadastro Produtos (kiwkiw)'!C:E,3,0)</f>
        <v>Argola Click Grande Banho Ouro</v>
      </c>
      <c r="AB2317" s="33" t="s">
        <v>1288</v>
      </c>
    </row>
    <row r="2318" spans="2:28" ht="15" customHeight="1" x14ac:dyDescent="0.4">
      <c r="C2318" s="34" t="s">
        <v>6</v>
      </c>
      <c r="D2318" s="35">
        <v>46071</v>
      </c>
      <c r="E2318" s="51" t="s">
        <v>824</v>
      </c>
      <c r="F2318" s="33">
        <v>1</v>
      </c>
      <c r="G2318" s="27">
        <f t="shared" si="45"/>
        <v>-1</v>
      </c>
      <c r="H2318" s="28" t="str">
        <f>VLOOKUP(E2318,'Cadastro Produtos (kiwkiw)'!C:E,3,0)</f>
        <v>Pulseira Delicate Banho Ouro</v>
      </c>
      <c r="AB2318" s="33" t="s">
        <v>1289</v>
      </c>
    </row>
    <row r="2319" spans="2:28" ht="15" customHeight="1" x14ac:dyDescent="0.4">
      <c r="C2319" s="34" t="s">
        <v>6</v>
      </c>
      <c r="D2319" s="35">
        <v>46069</v>
      </c>
      <c r="E2319" s="51" t="s">
        <v>824</v>
      </c>
      <c r="F2319" s="33">
        <v>1</v>
      </c>
      <c r="G2319" s="27">
        <f t="shared" si="45"/>
        <v>-1</v>
      </c>
      <c r="H2319" s="28" t="str">
        <f>VLOOKUP(E2319,'Cadastro Produtos (kiwkiw)'!C:E,3,0)</f>
        <v>Pulseira Delicate Banho Ouro</v>
      </c>
      <c r="AB2319" s="33" t="s">
        <v>1290</v>
      </c>
    </row>
    <row r="2320" spans="2:28" ht="15" customHeight="1" x14ac:dyDescent="0.4">
      <c r="C2320" s="34" t="s">
        <v>6</v>
      </c>
      <c r="D2320" s="35">
        <v>46069</v>
      </c>
      <c r="E2320" s="51" t="s">
        <v>112</v>
      </c>
      <c r="F2320" s="33">
        <v>1</v>
      </c>
      <c r="G2320" s="27">
        <f t="shared" si="45"/>
        <v>-1</v>
      </c>
      <c r="H2320" s="28" t="str">
        <f>VLOOKUP(E2320,'Cadastro Produtos (kiwkiw)'!C:E,3,0)</f>
        <v>Gargantilha Escama Banho Ouro</v>
      </c>
      <c r="AB2320" s="33" t="s">
        <v>1291</v>
      </c>
    </row>
    <row r="2321" spans="2:28" ht="15" customHeight="1" x14ac:dyDescent="0.4">
      <c r="C2321" s="34" t="s">
        <v>6</v>
      </c>
      <c r="D2321" s="35">
        <v>46069</v>
      </c>
      <c r="E2321" s="51" t="s">
        <v>116</v>
      </c>
      <c r="F2321" s="33">
        <v>1</v>
      </c>
      <c r="G2321" s="27">
        <f t="shared" si="45"/>
        <v>-1</v>
      </c>
      <c r="H2321" s="28" t="str">
        <f>VLOOKUP(E2321,'Cadastro Produtos (kiwkiw)'!C:E,3,0)</f>
        <v>Gargantilha Dots Banho Ouro</v>
      </c>
      <c r="AB2321" s="33" t="s">
        <v>1292</v>
      </c>
    </row>
    <row r="2322" spans="2:28" ht="15" customHeight="1" x14ac:dyDescent="0.4">
      <c r="C2322" s="34" t="s">
        <v>6</v>
      </c>
      <c r="D2322" s="35">
        <v>46069</v>
      </c>
      <c r="E2322" s="51" t="s">
        <v>103</v>
      </c>
      <c r="F2322" s="33">
        <v>1</v>
      </c>
      <c r="G2322" s="27">
        <f t="shared" si="45"/>
        <v>-1</v>
      </c>
      <c r="H2322" s="28" t="str">
        <f>VLOOKUP(E2322,'Cadastro Produtos (kiwkiw)'!C:E,3,0)</f>
        <v>Colar Ivy Banho Ouro</v>
      </c>
      <c r="AB2322" s="33" t="s">
        <v>1292</v>
      </c>
    </row>
    <row r="2323" spans="2:28" ht="15" customHeight="1" x14ac:dyDescent="0.4">
      <c r="C2323" s="34" t="s">
        <v>6</v>
      </c>
      <c r="D2323" s="35">
        <v>46069</v>
      </c>
      <c r="E2323" s="51" t="s">
        <v>103</v>
      </c>
      <c r="F2323" s="33">
        <v>1</v>
      </c>
      <c r="G2323" s="27">
        <f t="shared" si="45"/>
        <v>-1</v>
      </c>
      <c r="H2323" s="28" t="str">
        <f>VLOOKUP(E2323,'Cadastro Produtos (kiwkiw)'!C:E,3,0)</f>
        <v>Colar Ivy Banho Ouro</v>
      </c>
      <c r="AB2323" s="33" t="s">
        <v>1293</v>
      </c>
    </row>
    <row r="2324" spans="2:28" ht="15" customHeight="1" x14ac:dyDescent="0.4">
      <c r="C2324" s="34" t="s">
        <v>6</v>
      </c>
      <c r="D2324" s="35">
        <v>46069</v>
      </c>
      <c r="E2324" s="51" t="s">
        <v>797</v>
      </c>
      <c r="F2324" s="33">
        <v>1</v>
      </c>
      <c r="G2324" s="27">
        <f t="shared" si="45"/>
        <v>-1</v>
      </c>
      <c r="H2324" s="28" t="str">
        <f>VLOOKUP(E2324,'Cadastro Produtos (kiwkiw)'!C:E,3,0)</f>
        <v>Colar Ponto de Luz Banho Ouro</v>
      </c>
      <c r="AB2324" s="33" t="s">
        <v>1292</v>
      </c>
    </row>
    <row r="2325" spans="2:28" ht="15" customHeight="1" x14ac:dyDescent="0.4">
      <c r="C2325" s="34" t="s">
        <v>6</v>
      </c>
      <c r="D2325" s="35">
        <v>46069</v>
      </c>
      <c r="E2325" s="51" t="s">
        <v>785</v>
      </c>
      <c r="F2325" s="33">
        <v>1</v>
      </c>
      <c r="G2325" s="27">
        <f t="shared" si="45"/>
        <v>-1</v>
      </c>
      <c r="H2325" s="28" t="str">
        <f>VLOOKUP(E2325,'Cadastro Produtos (kiwkiw)'!C:E,3,0)</f>
        <v>Colar Gravatinha Banho Ouro</v>
      </c>
      <c r="AB2325" s="33" t="s">
        <v>1294</v>
      </c>
    </row>
    <row r="2326" spans="2:28" ht="15" customHeight="1" x14ac:dyDescent="0.4">
      <c r="C2326" s="34" t="s">
        <v>6</v>
      </c>
      <c r="D2326" s="35">
        <v>46069</v>
      </c>
      <c r="E2326" s="51" t="s">
        <v>811</v>
      </c>
      <c r="F2326" s="33">
        <v>1</v>
      </c>
      <c r="G2326" s="27">
        <f t="shared" si="45"/>
        <v>-1</v>
      </c>
      <c r="H2326" s="28" t="str">
        <f>VLOOKUP(E2326,'Cadastro Produtos (kiwkiw)'!C:E,3,0)</f>
        <v>Brinco Drop P Banho Ouro</v>
      </c>
      <c r="AB2326" s="33" t="s">
        <v>1294</v>
      </c>
    </row>
    <row r="2327" spans="2:28" ht="15" customHeight="1" x14ac:dyDescent="0.4">
      <c r="C2327" s="34" t="s">
        <v>6</v>
      </c>
      <c r="D2327" s="35">
        <v>46069</v>
      </c>
      <c r="E2327" s="51" t="s">
        <v>780</v>
      </c>
      <c r="F2327" s="33">
        <v>1</v>
      </c>
      <c r="G2327" s="27">
        <f t="shared" si="45"/>
        <v>-1</v>
      </c>
      <c r="H2327" s="28" t="str">
        <f>VLOOKUP(E2327,'Cadastro Produtos (kiwkiw)'!C:E,3,0)</f>
        <v>Gargantilha Crystal Banho Ouro</v>
      </c>
      <c r="AB2327" s="33" t="s">
        <v>1295</v>
      </c>
    </row>
    <row r="2328" spans="2:28" ht="15" customHeight="1" x14ac:dyDescent="0.4">
      <c r="C2328" s="34" t="s">
        <v>6</v>
      </c>
      <c r="D2328" s="35">
        <v>46069</v>
      </c>
      <c r="E2328" s="51" t="s">
        <v>790</v>
      </c>
      <c r="F2328" s="33">
        <v>1</v>
      </c>
      <c r="G2328" s="27">
        <f t="shared" si="45"/>
        <v>-1</v>
      </c>
      <c r="H2328" s="28" t="str">
        <f>VLOOKUP(E2328,'Cadastro Produtos (kiwkiw)'!C:E,3,0)</f>
        <v>Brinco Pimentinha Banho Ouro</v>
      </c>
      <c r="AB2328" s="33" t="s">
        <v>1293</v>
      </c>
    </row>
    <row r="2329" spans="2:28" ht="15" customHeight="1" x14ac:dyDescent="0.4">
      <c r="B2329" s="43">
        <v>46072.434293981481</v>
      </c>
      <c r="C2329" s="34" t="s">
        <v>6</v>
      </c>
      <c r="D2329" s="35">
        <v>46072</v>
      </c>
      <c r="E2329" s="51" t="s">
        <v>60</v>
      </c>
      <c r="F2329" s="33">
        <v>1</v>
      </c>
      <c r="G2329" s="27">
        <f t="shared" si="45"/>
        <v>-1</v>
      </c>
      <c r="H2329" s="28" t="str">
        <f>VLOOKUP(E2329,'Cadastro Produtos (kiwkiw)'!C:E,3,0)</f>
        <v>Brinco Oncinha Prateado</v>
      </c>
      <c r="AB2329" s="33" t="s">
        <v>1296</v>
      </c>
    </row>
    <row r="2330" spans="2:28" ht="15" customHeight="1" x14ac:dyDescent="0.4">
      <c r="C2330" s="34" t="s">
        <v>6</v>
      </c>
      <c r="D2330" s="35">
        <v>46072</v>
      </c>
      <c r="E2330" s="51" t="s">
        <v>796</v>
      </c>
      <c r="F2330" s="33">
        <v>1</v>
      </c>
      <c r="G2330" s="27">
        <f t="shared" si="45"/>
        <v>-1</v>
      </c>
      <c r="H2330" s="28" t="str">
        <f>VLOOKUP(E2330,'Cadastro Produtos (kiwkiw)'!C:E,3,0)</f>
        <v>Colar Longo Minimal Banho Ouro</v>
      </c>
      <c r="AB2330" s="33" t="s">
        <v>1297</v>
      </c>
    </row>
    <row r="2331" spans="2:28" ht="15" customHeight="1" x14ac:dyDescent="0.4">
      <c r="C2331" s="34" t="s">
        <v>6</v>
      </c>
      <c r="D2331" s="35">
        <v>46072</v>
      </c>
      <c r="E2331" s="51" t="s">
        <v>829</v>
      </c>
      <c r="F2331" s="33">
        <v>1</v>
      </c>
      <c r="G2331" s="27">
        <f t="shared" si="45"/>
        <v>-1</v>
      </c>
      <c r="H2331" s="28" t="str">
        <f>VLOOKUP(E2331,'Cadastro Produtos (kiwkiw)'!C:E,3,0)</f>
        <v>Ear Hook Fio Banho Ouro</v>
      </c>
      <c r="AB2331" s="33" t="s">
        <v>1298</v>
      </c>
    </row>
    <row r="2332" spans="2:28" ht="15" customHeight="1" x14ac:dyDescent="0.4">
      <c r="B2332" s="43">
        <v>46073.421342592592</v>
      </c>
      <c r="C2332" s="34" t="s">
        <v>6</v>
      </c>
      <c r="D2332" s="35">
        <v>46073</v>
      </c>
      <c r="E2332" s="51" t="s">
        <v>105</v>
      </c>
      <c r="F2332" s="33">
        <v>1</v>
      </c>
      <c r="G2332" s="27">
        <f t="shared" si="45"/>
        <v>-1</v>
      </c>
      <c r="H2332" s="28" t="str">
        <f>VLOOKUP(E2332,'Cadastro Produtos (kiwkiw)'!C:E,3,0)</f>
        <v>Colar Rosa Banho Ouro</v>
      </c>
      <c r="AB2332" s="33" t="s">
        <v>1299</v>
      </c>
    </row>
    <row r="2333" spans="2:28" ht="15" customHeight="1" x14ac:dyDescent="0.4">
      <c r="C2333" s="34" t="s">
        <v>6</v>
      </c>
      <c r="D2333" s="35">
        <v>46073</v>
      </c>
      <c r="E2333" s="51" t="s">
        <v>786</v>
      </c>
      <c r="F2333" s="33">
        <v>1</v>
      </c>
      <c r="G2333" s="27">
        <f t="shared" si="45"/>
        <v>-1</v>
      </c>
      <c r="H2333" s="28" t="str">
        <f>VLOOKUP(E2333,'Cadastro Produtos (kiwkiw)'!C:E,3,0)</f>
        <v>Colar Sao Bento Banho Ouro</v>
      </c>
      <c r="AB2333" s="33" t="s">
        <v>1299</v>
      </c>
    </row>
    <row r="2334" spans="2:28" ht="15" customHeight="1" x14ac:dyDescent="0.4">
      <c r="C2334" s="34" t="s">
        <v>6</v>
      </c>
      <c r="D2334" s="35">
        <v>46073</v>
      </c>
      <c r="E2334" s="51" t="s">
        <v>808</v>
      </c>
      <c r="F2334" s="33">
        <v>1</v>
      </c>
      <c r="G2334" s="27">
        <f t="shared" si="45"/>
        <v>-1</v>
      </c>
      <c r="H2334" s="28" t="str">
        <f>VLOOKUP(E2334,'Cadastro Produtos (kiwkiw)'!C:E,3,0)</f>
        <v>Bracelete Curves Banho Ouro</v>
      </c>
      <c r="AB2334" s="33" t="s">
        <v>1300</v>
      </c>
    </row>
    <row r="2335" spans="2:28" ht="15" customHeight="1" x14ac:dyDescent="0.4">
      <c r="C2335" s="34" t="s">
        <v>5</v>
      </c>
      <c r="D2335" s="35">
        <v>46073</v>
      </c>
      <c r="E2335" s="51" t="s">
        <v>823</v>
      </c>
      <c r="F2335" s="33">
        <v>1</v>
      </c>
      <c r="G2335" s="27">
        <f t="shared" si="45"/>
        <v>1</v>
      </c>
      <c r="H2335" s="28" t="str">
        <f>VLOOKUP(E2335,'Cadastro Produtos (kiwkiw)'!C:E,3,0)</f>
        <v>Meia Argola Wave Banho Ouro</v>
      </c>
      <c r="I2335" s="32" t="s">
        <v>1301</v>
      </c>
    </row>
    <row r="2336" spans="2:28" ht="15" customHeight="1" x14ac:dyDescent="0.4">
      <c r="C2336" s="34" t="s">
        <v>5</v>
      </c>
      <c r="D2336" s="35">
        <v>46073</v>
      </c>
      <c r="E2336" s="51" t="s">
        <v>64</v>
      </c>
      <c r="F2336" s="33">
        <v>1</v>
      </c>
      <c r="G2336" s="27">
        <f t="shared" si="45"/>
        <v>1</v>
      </c>
      <c r="H2336" s="28" t="str">
        <f>VLOOKUP(E2336,'Cadastro Produtos (kiwkiw)'!C:E,3,0)</f>
        <v>Brinco Spike Prateado</v>
      </c>
      <c r="I2336" s="32" t="s">
        <v>1301</v>
      </c>
    </row>
    <row r="2337" spans="2:28" ht="15" customHeight="1" x14ac:dyDescent="0.4">
      <c r="C2337" s="34" t="s">
        <v>5</v>
      </c>
      <c r="D2337" s="35">
        <v>46073</v>
      </c>
      <c r="E2337" s="51" t="s">
        <v>831</v>
      </c>
      <c r="F2337" s="33">
        <v>1</v>
      </c>
      <c r="G2337" s="27">
        <f t="shared" si="45"/>
        <v>1</v>
      </c>
      <c r="H2337" s="28" t="str">
        <f>VLOOKUP(E2337,'Cadastro Produtos (kiwkiw)'!C:E,3,0)</f>
        <v>Brinco Palito Banho Ouro</v>
      </c>
      <c r="I2337" s="32" t="s">
        <v>1301</v>
      </c>
    </row>
    <row r="2338" spans="2:28" ht="15" customHeight="1" x14ac:dyDescent="0.4">
      <c r="C2338" s="34" t="s">
        <v>5</v>
      </c>
      <c r="D2338" s="35">
        <v>46073</v>
      </c>
      <c r="E2338" s="51" t="s">
        <v>57</v>
      </c>
      <c r="F2338" s="33">
        <v>1</v>
      </c>
      <c r="G2338" s="27">
        <f t="shared" si="45"/>
        <v>1</v>
      </c>
      <c r="H2338" s="28" t="str">
        <f>VLOOKUP(E2338,'Cadastro Produtos (kiwkiw)'!C:E,3,0)</f>
        <v>Brinco Mini Raio Prateado</v>
      </c>
      <c r="I2338" s="32" t="s">
        <v>1301</v>
      </c>
    </row>
    <row r="2339" spans="2:28" ht="15" customHeight="1" x14ac:dyDescent="0.4">
      <c r="C2339" s="34" t="s">
        <v>5</v>
      </c>
      <c r="D2339" s="35">
        <v>46073</v>
      </c>
      <c r="E2339" s="51" t="s">
        <v>781</v>
      </c>
      <c r="F2339" s="33">
        <v>1</v>
      </c>
      <c r="G2339" s="27">
        <f t="shared" si="45"/>
        <v>1</v>
      </c>
      <c r="H2339" s="28" t="str">
        <f>VLOOKUP(E2339,'Cadastro Produtos (kiwkiw)'!C:E,3,0)</f>
        <v>Brinco Palito Prateado</v>
      </c>
      <c r="I2339" s="32" t="s">
        <v>1301</v>
      </c>
    </row>
    <row r="2340" spans="2:28" ht="15" customHeight="1" x14ac:dyDescent="0.4">
      <c r="C2340" s="34" t="s">
        <v>5</v>
      </c>
      <c r="D2340" s="35">
        <v>46073</v>
      </c>
      <c r="E2340" s="51" t="s">
        <v>58</v>
      </c>
      <c r="F2340" s="33">
        <v>1</v>
      </c>
      <c r="G2340" s="27">
        <f t="shared" si="45"/>
        <v>1</v>
      </c>
      <c r="H2340" s="28" t="str">
        <f>VLOOKUP(E2340,'Cadastro Produtos (kiwkiw)'!C:E,3,0)</f>
        <v>Brinco Mini Triangulo Prateado</v>
      </c>
      <c r="I2340" s="32" t="s">
        <v>1301</v>
      </c>
    </row>
    <row r="2341" spans="2:28" ht="15" customHeight="1" x14ac:dyDescent="0.4">
      <c r="B2341" s="43">
        <v>46076.419942129629</v>
      </c>
      <c r="C2341" s="34" t="s">
        <v>6</v>
      </c>
      <c r="D2341" s="35">
        <v>46076</v>
      </c>
      <c r="E2341" s="51" t="s">
        <v>117</v>
      </c>
      <c r="F2341" s="33">
        <v>1</v>
      </c>
      <c r="G2341" s="27">
        <f t="shared" si="45"/>
        <v>-1</v>
      </c>
      <c r="H2341" s="28" t="str">
        <f>VLOOKUP(E2341,'Cadastro Produtos (kiwkiw)'!C:E,3,0)</f>
        <v>Gargantilha Minimal Banho Ouro</v>
      </c>
      <c r="AB2341" s="33" t="s">
        <v>1302</v>
      </c>
    </row>
    <row r="2342" spans="2:28" ht="15" customHeight="1" x14ac:dyDescent="0.4">
      <c r="C2342" s="34" t="s">
        <v>6</v>
      </c>
      <c r="D2342" s="35">
        <v>46076</v>
      </c>
      <c r="E2342" s="51" t="s">
        <v>62</v>
      </c>
      <c r="F2342" s="33">
        <v>1</v>
      </c>
      <c r="G2342" s="27">
        <f t="shared" si="45"/>
        <v>-1</v>
      </c>
      <c r="H2342" s="28" t="str">
        <f>VLOOKUP(E2342,'Cadastro Produtos (kiwkiw)'!C:E,3,0)</f>
        <v>Brinco Sol Banho Ouro</v>
      </c>
      <c r="AB2342" s="33" t="s">
        <v>1303</v>
      </c>
    </row>
    <row r="2343" spans="2:28" ht="15" customHeight="1" x14ac:dyDescent="0.4">
      <c r="C2343" s="34" t="s">
        <v>6</v>
      </c>
      <c r="D2343" s="35">
        <v>46076</v>
      </c>
      <c r="E2343" s="51" t="s">
        <v>62</v>
      </c>
      <c r="F2343" s="33">
        <v>1</v>
      </c>
      <c r="G2343" s="27">
        <f t="shared" si="45"/>
        <v>-1</v>
      </c>
      <c r="H2343" s="28" t="str">
        <f>VLOOKUP(E2343,'Cadastro Produtos (kiwkiw)'!C:E,3,0)</f>
        <v>Brinco Sol Banho Ouro</v>
      </c>
      <c r="AB2343" s="33" t="s">
        <v>1304</v>
      </c>
    </row>
    <row r="2344" spans="2:28" ht="15" customHeight="1" x14ac:dyDescent="0.4">
      <c r="C2344" s="34" t="s">
        <v>6</v>
      </c>
      <c r="D2344" s="35">
        <v>46076</v>
      </c>
      <c r="E2344" s="51" t="s">
        <v>95</v>
      </c>
      <c r="F2344" s="33">
        <v>1</v>
      </c>
      <c r="G2344" s="27">
        <f t="shared" si="45"/>
        <v>-1</v>
      </c>
      <c r="H2344" s="28" t="str">
        <f>VLOOKUP(E2344,'Cadastro Produtos (kiwkiw)'!C:E,3,0)</f>
        <v>Colar Duplo Dots Prateado</v>
      </c>
      <c r="AB2344" s="33" t="s">
        <v>1305</v>
      </c>
    </row>
    <row r="2345" spans="2:28" ht="15" customHeight="1" x14ac:dyDescent="0.4">
      <c r="C2345" s="34" t="s">
        <v>6</v>
      </c>
      <c r="D2345" s="35">
        <v>46076</v>
      </c>
      <c r="E2345" s="51" t="s">
        <v>822</v>
      </c>
      <c r="F2345" s="33">
        <v>1</v>
      </c>
      <c r="G2345" s="27">
        <f t="shared" si="45"/>
        <v>-1</v>
      </c>
      <c r="H2345" s="28" t="str">
        <f>VLOOKUP(E2345,'Cadastro Produtos (kiwkiw)'!C:E,3,0)</f>
        <v>Gargantilha Pearl Banho Ouro</v>
      </c>
      <c r="AB2345" s="33" t="s">
        <v>1306</v>
      </c>
    </row>
    <row r="2346" spans="2:28" ht="15" customHeight="1" x14ac:dyDescent="0.4">
      <c r="C2346" s="34" t="s">
        <v>6</v>
      </c>
      <c r="D2346" s="35">
        <v>46076</v>
      </c>
      <c r="E2346" s="51" t="s">
        <v>812</v>
      </c>
      <c r="F2346" s="33">
        <v>1</v>
      </c>
      <c r="G2346" s="27">
        <f t="shared" si="45"/>
        <v>-1</v>
      </c>
      <c r="H2346" s="28" t="str">
        <f>VLOOKUP(E2346,'Cadastro Produtos (kiwkiw)'!C:E,3,0)</f>
        <v>Brinco Leque Banho Ouro</v>
      </c>
      <c r="AB2346" s="33" t="s">
        <v>1307</v>
      </c>
    </row>
    <row r="2347" spans="2:28" ht="15" customHeight="1" x14ac:dyDescent="0.4">
      <c r="B2347" s="43">
        <v>46077.426666666666</v>
      </c>
      <c r="C2347" s="34" t="s">
        <v>6</v>
      </c>
      <c r="D2347" s="35">
        <v>46077</v>
      </c>
      <c r="E2347" s="51" t="s">
        <v>93</v>
      </c>
      <c r="F2347" s="33">
        <v>1</v>
      </c>
      <c r="G2347" s="27">
        <f t="shared" si="45"/>
        <v>-1</v>
      </c>
      <c r="H2347" s="28" t="str">
        <f>VLOOKUP(E2347,'Cadastro Produtos (kiwkiw)'!C:E,3,0)</f>
        <v>Colar Coracao Prateado</v>
      </c>
      <c r="AB2347" s="33" t="s">
        <v>1308</v>
      </c>
    </row>
    <row r="2348" spans="2:28" ht="15" customHeight="1" x14ac:dyDescent="0.4">
      <c r="C2348" s="34" t="s">
        <v>6</v>
      </c>
      <c r="D2348" s="35">
        <v>46077</v>
      </c>
      <c r="E2348" s="51" t="s">
        <v>829</v>
      </c>
      <c r="F2348" s="33">
        <v>1</v>
      </c>
      <c r="G2348" s="27">
        <f t="shared" si="45"/>
        <v>-1</v>
      </c>
      <c r="H2348" s="28" t="str">
        <f>VLOOKUP(E2348,'Cadastro Produtos (kiwkiw)'!C:E,3,0)</f>
        <v>Ear Hook Fio Banho Ouro</v>
      </c>
      <c r="AB2348" s="33" t="s">
        <v>1309</v>
      </c>
    </row>
    <row r="2349" spans="2:28" ht="15" customHeight="1" x14ac:dyDescent="0.4">
      <c r="C2349" s="34" t="s">
        <v>6</v>
      </c>
      <c r="D2349" s="35">
        <v>46077</v>
      </c>
      <c r="E2349" s="51" t="s">
        <v>785</v>
      </c>
      <c r="F2349" s="33">
        <v>1</v>
      </c>
      <c r="G2349" s="27">
        <f t="shared" si="45"/>
        <v>-1</v>
      </c>
      <c r="H2349" s="28" t="str">
        <f>VLOOKUP(E2349,'Cadastro Produtos (kiwkiw)'!C:E,3,0)</f>
        <v>Colar Gravatinha Banho Ouro</v>
      </c>
      <c r="AB2349" s="33" t="s">
        <v>1310</v>
      </c>
    </row>
    <row r="2350" spans="2:28" ht="15" customHeight="1" x14ac:dyDescent="0.4">
      <c r="C2350" s="34" t="s">
        <v>6</v>
      </c>
      <c r="D2350" s="35">
        <v>46077</v>
      </c>
      <c r="E2350" s="51" t="s">
        <v>808</v>
      </c>
      <c r="F2350" s="33">
        <v>1</v>
      </c>
      <c r="G2350" s="27">
        <f t="shared" si="45"/>
        <v>-1</v>
      </c>
      <c r="H2350" s="28" t="str">
        <f>VLOOKUP(E2350,'Cadastro Produtos (kiwkiw)'!C:E,3,0)</f>
        <v>Bracelete Curves Banho Ouro</v>
      </c>
      <c r="AB2350" s="33" t="s">
        <v>1311</v>
      </c>
    </row>
    <row r="2351" spans="2:28" ht="15" customHeight="1" x14ac:dyDescent="0.4">
      <c r="C2351" s="34" t="s">
        <v>6</v>
      </c>
      <c r="D2351" s="35">
        <v>46077</v>
      </c>
      <c r="E2351" s="51" t="s">
        <v>117</v>
      </c>
      <c r="F2351" s="33">
        <v>1</v>
      </c>
      <c r="G2351" s="27">
        <f t="shared" si="45"/>
        <v>-1</v>
      </c>
      <c r="H2351" s="28" t="str">
        <f>VLOOKUP(E2351,'Cadastro Produtos (kiwkiw)'!C:E,3,0)</f>
        <v>Gargantilha Minimal Banho Ouro</v>
      </c>
      <c r="AB2351" s="33" t="s">
        <v>1312</v>
      </c>
    </row>
    <row r="2352" spans="2:28" ht="15" customHeight="1" x14ac:dyDescent="0.4">
      <c r="B2352" s="43">
        <v>46078.423703703702</v>
      </c>
      <c r="C2352" s="34" t="s">
        <v>6</v>
      </c>
      <c r="D2352" s="35">
        <v>46078</v>
      </c>
      <c r="E2352" s="51" t="s">
        <v>788</v>
      </c>
      <c r="F2352" s="33">
        <v>1</v>
      </c>
      <c r="G2352" s="27">
        <f t="shared" si="45"/>
        <v>-1</v>
      </c>
      <c r="H2352" s="28" t="str">
        <f>VLOOKUP(E2352,'Cadastro Produtos (kiwkiw)'!C:E,3,0)</f>
        <v>Brinco Organico Banho Ouro</v>
      </c>
      <c r="AB2352" s="33" t="s">
        <v>1313</v>
      </c>
    </row>
    <row r="2353" spans="2:28" ht="15" customHeight="1" x14ac:dyDescent="0.4">
      <c r="C2353" s="34" t="s">
        <v>6</v>
      </c>
      <c r="D2353" s="35">
        <v>46078</v>
      </c>
      <c r="E2353" s="51" t="s">
        <v>808</v>
      </c>
      <c r="F2353" s="33">
        <v>1</v>
      </c>
      <c r="G2353" s="27">
        <f t="shared" si="45"/>
        <v>-1</v>
      </c>
      <c r="H2353" s="28" t="str">
        <f>VLOOKUP(E2353,'Cadastro Produtos (kiwkiw)'!C:E,3,0)</f>
        <v>Bracelete Curves Banho Ouro</v>
      </c>
      <c r="AB2353" s="33" t="s">
        <v>1313</v>
      </c>
    </row>
    <row r="2354" spans="2:28" ht="15" customHeight="1" x14ac:dyDescent="0.4">
      <c r="B2354" s="43">
        <v>46079.422175925924</v>
      </c>
      <c r="C2354" s="34" t="s">
        <v>6</v>
      </c>
      <c r="D2354" s="35">
        <v>46079</v>
      </c>
      <c r="E2354" s="51" t="s">
        <v>783</v>
      </c>
      <c r="F2354" s="33">
        <v>1</v>
      </c>
      <c r="G2354" s="27">
        <f t="shared" si="45"/>
        <v>-1</v>
      </c>
      <c r="H2354" s="28" t="str">
        <f>VLOOKUP(E2354,'Cadastro Produtos (kiwkiw)'!C:E,3,0)</f>
        <v>Bracelete Dots Banho Ouro</v>
      </c>
      <c r="AB2354" s="33" t="s">
        <v>1314</v>
      </c>
    </row>
    <row r="2355" spans="2:28" ht="15" customHeight="1" x14ac:dyDescent="0.4">
      <c r="C2355" s="34" t="s">
        <v>6</v>
      </c>
      <c r="D2355" s="35">
        <v>46079</v>
      </c>
      <c r="E2355" s="51" t="s">
        <v>101</v>
      </c>
      <c r="F2355" s="33">
        <v>1</v>
      </c>
      <c r="G2355" s="27">
        <f t="shared" si="45"/>
        <v>-1</v>
      </c>
      <c r="H2355" s="28" t="str">
        <f>VLOOKUP(E2355,'Cadastro Produtos (kiwkiw)'!C:E,3,0)</f>
        <v>Colar Longo Medalha Coracao Banho Ouro</v>
      </c>
      <c r="AB2355" s="33" t="s">
        <v>1315</v>
      </c>
    </row>
    <row r="2356" spans="2:28" ht="15" customHeight="1" x14ac:dyDescent="0.4">
      <c r="B2356" s="43">
        <v>46083.429328703707</v>
      </c>
      <c r="C2356" s="34" t="s">
        <v>6</v>
      </c>
      <c r="D2356" s="35">
        <v>46083</v>
      </c>
      <c r="E2356" s="51" t="s">
        <v>73</v>
      </c>
      <c r="F2356" s="33">
        <v>1</v>
      </c>
      <c r="G2356" s="27">
        <f t="shared" si="45"/>
        <v>-1</v>
      </c>
      <c r="H2356" s="28" t="str">
        <f>VLOOKUP(E2356,'Cadastro Produtos (kiwkiw)'!C:E,3,0)</f>
        <v>Ear Hook Line Prateado</v>
      </c>
      <c r="AB2356" s="33" t="s">
        <v>1316</v>
      </c>
    </row>
    <row r="2357" spans="2:28" ht="15" customHeight="1" x14ac:dyDescent="0.4">
      <c r="C2357" s="34" t="s">
        <v>6</v>
      </c>
      <c r="D2357" s="35">
        <v>46083</v>
      </c>
      <c r="E2357" s="51" t="s">
        <v>796</v>
      </c>
      <c r="F2357" s="33">
        <v>1</v>
      </c>
      <c r="G2357" s="27">
        <f t="shared" si="45"/>
        <v>-1</v>
      </c>
      <c r="H2357" s="28" t="str">
        <f>VLOOKUP(E2357,'Cadastro Produtos (kiwkiw)'!C:E,3,0)</f>
        <v>Colar Longo Minimal Banho Ouro</v>
      </c>
      <c r="AB2357" s="33" t="s">
        <v>1317</v>
      </c>
    </row>
    <row r="2358" spans="2:28" ht="15" customHeight="1" x14ac:dyDescent="0.4">
      <c r="C2358" s="34" t="s">
        <v>6</v>
      </c>
      <c r="D2358" s="35">
        <v>46083</v>
      </c>
      <c r="E2358" s="51" t="s">
        <v>824</v>
      </c>
      <c r="F2358" s="33">
        <v>1</v>
      </c>
      <c r="G2358" s="27">
        <f t="shared" si="45"/>
        <v>-1</v>
      </c>
      <c r="H2358" s="28" t="str">
        <f>VLOOKUP(E2358,'Cadastro Produtos (kiwkiw)'!C:E,3,0)</f>
        <v>Pulseira Delicate Banho Ouro</v>
      </c>
      <c r="AB2358" s="33" t="s">
        <v>1317</v>
      </c>
    </row>
    <row r="2359" spans="2:28" ht="15" customHeight="1" x14ac:dyDescent="0.4">
      <c r="C2359" s="34" t="s">
        <v>6</v>
      </c>
      <c r="D2359" s="35">
        <v>46083</v>
      </c>
      <c r="E2359" s="51" t="s">
        <v>117</v>
      </c>
      <c r="F2359" s="33">
        <v>1</v>
      </c>
      <c r="G2359" s="27">
        <f t="shared" ref="G2359:G2422" si="46">IF(C2359="Entrada",F2359,-F2359)</f>
        <v>-1</v>
      </c>
      <c r="H2359" s="28" t="str">
        <f>VLOOKUP(E2359,'Cadastro Produtos (kiwkiw)'!C:E,3,0)</f>
        <v>Gargantilha Minimal Banho Ouro</v>
      </c>
      <c r="AB2359" s="33" t="s">
        <v>1318</v>
      </c>
    </row>
    <row r="2360" spans="2:28" ht="15" customHeight="1" x14ac:dyDescent="0.4">
      <c r="C2360" s="34" t="s">
        <v>6</v>
      </c>
      <c r="D2360" s="35">
        <v>46083</v>
      </c>
      <c r="E2360" s="51" t="s">
        <v>117</v>
      </c>
      <c r="F2360" s="33">
        <v>1</v>
      </c>
      <c r="G2360" s="27">
        <f t="shared" si="46"/>
        <v>-1</v>
      </c>
      <c r="H2360" s="28" t="str">
        <f>VLOOKUP(E2360,'Cadastro Produtos (kiwkiw)'!C:E,3,0)</f>
        <v>Gargantilha Minimal Banho Ouro</v>
      </c>
      <c r="AB2360" s="33" t="s">
        <v>1319</v>
      </c>
    </row>
    <row r="2361" spans="2:28" ht="15" customHeight="1" x14ac:dyDescent="0.4">
      <c r="C2361" s="34" t="s">
        <v>6</v>
      </c>
      <c r="D2361" s="35">
        <v>46083</v>
      </c>
      <c r="E2361" s="51" t="s">
        <v>117</v>
      </c>
      <c r="F2361" s="33">
        <v>1</v>
      </c>
      <c r="G2361" s="27">
        <f t="shared" si="46"/>
        <v>-1</v>
      </c>
      <c r="H2361" s="28" t="str">
        <f>VLOOKUP(E2361,'Cadastro Produtos (kiwkiw)'!C:E,3,0)</f>
        <v>Gargantilha Minimal Banho Ouro</v>
      </c>
      <c r="AB2361" s="33" t="s">
        <v>1320</v>
      </c>
    </row>
    <row r="2362" spans="2:28" ht="15" customHeight="1" x14ac:dyDescent="0.4">
      <c r="C2362" s="34" t="s">
        <v>6</v>
      </c>
      <c r="D2362" s="35">
        <v>46083</v>
      </c>
      <c r="E2362" s="51" t="s">
        <v>112</v>
      </c>
      <c r="F2362" s="33">
        <v>1</v>
      </c>
      <c r="G2362" s="27">
        <f t="shared" si="46"/>
        <v>-1</v>
      </c>
      <c r="H2362" s="28" t="str">
        <f>VLOOKUP(E2362,'Cadastro Produtos (kiwkiw)'!C:E,3,0)</f>
        <v>Gargantilha Escama Banho Ouro</v>
      </c>
      <c r="AB2362" s="33" t="s">
        <v>1319</v>
      </c>
    </row>
    <row r="2363" spans="2:28" ht="15" customHeight="1" x14ac:dyDescent="0.4">
      <c r="C2363" s="34" t="s">
        <v>6</v>
      </c>
      <c r="D2363" s="35">
        <v>46083</v>
      </c>
      <c r="E2363" s="51" t="s">
        <v>116</v>
      </c>
      <c r="F2363" s="33">
        <v>1</v>
      </c>
      <c r="G2363" s="27">
        <f t="shared" si="46"/>
        <v>-1</v>
      </c>
      <c r="H2363" s="28" t="str">
        <f>VLOOKUP(E2363,'Cadastro Produtos (kiwkiw)'!C:E,3,0)</f>
        <v>Gargantilha Dots Banho Ouro</v>
      </c>
      <c r="AB2363" s="33" t="s">
        <v>1321</v>
      </c>
    </row>
    <row r="2364" spans="2:28" ht="15" customHeight="1" x14ac:dyDescent="0.4">
      <c r="C2364" s="34" t="s">
        <v>6</v>
      </c>
      <c r="D2364" s="35">
        <v>46083</v>
      </c>
      <c r="E2364" s="51" t="s">
        <v>782</v>
      </c>
      <c r="F2364" s="33">
        <v>1</v>
      </c>
      <c r="G2364" s="27">
        <f t="shared" si="46"/>
        <v>-1</v>
      </c>
      <c r="H2364" s="28" t="str">
        <f>VLOOKUP(E2364,'Cadastro Produtos (kiwkiw)'!C:E,3,0)</f>
        <v>Pulseira Chain Banho Ouro</v>
      </c>
      <c r="AB2364" s="33" t="s">
        <v>1322</v>
      </c>
    </row>
    <row r="2365" spans="2:28" ht="15" customHeight="1" x14ac:dyDescent="0.4">
      <c r="C2365" s="34" t="s">
        <v>6</v>
      </c>
      <c r="D2365" s="35">
        <v>46083</v>
      </c>
      <c r="E2365" s="51" t="s">
        <v>62</v>
      </c>
      <c r="F2365" s="33">
        <v>1</v>
      </c>
      <c r="G2365" s="27">
        <f t="shared" si="46"/>
        <v>-1</v>
      </c>
      <c r="H2365" s="28" t="str">
        <f>VLOOKUP(E2365,'Cadastro Produtos (kiwkiw)'!C:E,3,0)</f>
        <v>Brinco Sol Banho Ouro</v>
      </c>
      <c r="AB2365" s="33" t="s">
        <v>1323</v>
      </c>
    </row>
    <row r="2366" spans="2:28" ht="15" customHeight="1" x14ac:dyDescent="0.4">
      <c r="B2366" s="43">
        <v>46084.420995370368</v>
      </c>
      <c r="C2366" s="34" t="s">
        <v>6</v>
      </c>
      <c r="D2366" s="35">
        <v>46084</v>
      </c>
      <c r="E2366" s="51" t="s">
        <v>796</v>
      </c>
      <c r="F2366" s="33">
        <v>1</v>
      </c>
      <c r="G2366" s="27">
        <f t="shared" si="46"/>
        <v>-1</v>
      </c>
      <c r="H2366" s="28" t="str">
        <f>VLOOKUP(E2366,'Cadastro Produtos (kiwkiw)'!C:E,3,0)</f>
        <v>Colar Longo Minimal Banho Ouro</v>
      </c>
      <c r="AB2366" s="33" t="s">
        <v>1324</v>
      </c>
    </row>
    <row r="2367" spans="2:28" ht="15" customHeight="1" x14ac:dyDescent="0.4">
      <c r="B2367" s="43">
        <v>46085.410983796297</v>
      </c>
      <c r="C2367" s="34" t="s">
        <v>6</v>
      </c>
      <c r="D2367" s="35">
        <v>46085</v>
      </c>
      <c r="E2367" s="51" t="s">
        <v>105</v>
      </c>
      <c r="F2367" s="33">
        <v>1</v>
      </c>
      <c r="G2367" s="27">
        <f t="shared" si="46"/>
        <v>-1</v>
      </c>
      <c r="H2367" s="28" t="str">
        <f>VLOOKUP(E2367,'Cadastro Produtos (kiwkiw)'!C:E,3,0)</f>
        <v>Colar Rosa Banho Ouro</v>
      </c>
      <c r="AB2367" s="33" t="s">
        <v>1325</v>
      </c>
    </row>
    <row r="2368" spans="2:28" ht="15" customHeight="1" x14ac:dyDescent="0.4">
      <c r="C2368" s="34" t="s">
        <v>6</v>
      </c>
      <c r="D2368" s="35">
        <v>46085</v>
      </c>
      <c r="E2368" s="51" t="s">
        <v>105</v>
      </c>
      <c r="F2368" s="33">
        <v>1</v>
      </c>
      <c r="G2368" s="27">
        <f t="shared" si="46"/>
        <v>-1</v>
      </c>
      <c r="H2368" s="28" t="str">
        <f>VLOOKUP(E2368,'Cadastro Produtos (kiwkiw)'!C:E,3,0)</f>
        <v>Colar Rosa Banho Ouro</v>
      </c>
      <c r="AB2368" s="33" t="s">
        <v>1326</v>
      </c>
    </row>
    <row r="2369" spans="2:28" ht="15" customHeight="1" x14ac:dyDescent="0.4">
      <c r="B2369" s="43">
        <v>46086.427731481483</v>
      </c>
      <c r="C2369" s="34" t="s">
        <v>6</v>
      </c>
      <c r="D2369" s="35">
        <v>46086</v>
      </c>
      <c r="E2369" s="51" t="s">
        <v>818</v>
      </c>
      <c r="F2369" s="33">
        <v>1</v>
      </c>
      <c r="G2369" s="27">
        <f t="shared" si="46"/>
        <v>-1</v>
      </c>
      <c r="H2369" s="28" t="str">
        <f>VLOOKUP(E2369,'Cadastro Produtos (kiwkiw)'!C:E,3,0)</f>
        <v>Colar Longo Medalhinhas Banho Ouro</v>
      </c>
      <c r="AB2369" s="33" t="s">
        <v>1327</v>
      </c>
    </row>
    <row r="2370" spans="2:28" ht="15" customHeight="1" x14ac:dyDescent="0.4">
      <c r="C2370" s="34" t="s">
        <v>6</v>
      </c>
      <c r="D2370" s="35">
        <v>46086</v>
      </c>
      <c r="E2370" s="51" t="s">
        <v>113</v>
      </c>
      <c r="F2370" s="33">
        <v>1</v>
      </c>
      <c r="G2370" s="27">
        <f t="shared" si="46"/>
        <v>-1</v>
      </c>
      <c r="H2370" s="28" t="str">
        <f>VLOOKUP(E2370,'Cadastro Produtos (kiwkiw)'!C:E,3,0)</f>
        <v>Gargantilha Escama Prateada</v>
      </c>
      <c r="AB2370" s="33" t="s">
        <v>1327</v>
      </c>
    </row>
    <row r="2371" spans="2:28" ht="15" customHeight="1" x14ac:dyDescent="0.4">
      <c r="C2371" s="34" t="s">
        <v>6</v>
      </c>
      <c r="D2371" s="35">
        <v>46086</v>
      </c>
      <c r="E2371" s="51" t="s">
        <v>116</v>
      </c>
      <c r="F2371" s="33">
        <v>1</v>
      </c>
      <c r="G2371" s="27">
        <f t="shared" si="46"/>
        <v>-1</v>
      </c>
      <c r="H2371" s="28" t="str">
        <f>VLOOKUP(E2371,'Cadastro Produtos (kiwkiw)'!C:E,3,0)</f>
        <v>Gargantilha Dots Banho Ouro</v>
      </c>
      <c r="AB2371" s="33" t="s">
        <v>1327</v>
      </c>
    </row>
    <row r="2372" spans="2:28" ht="15" customHeight="1" x14ac:dyDescent="0.4">
      <c r="C2372" s="34" t="s">
        <v>6</v>
      </c>
      <c r="D2372" s="35">
        <v>46086</v>
      </c>
      <c r="E2372" s="51" t="s">
        <v>61</v>
      </c>
      <c r="F2372" s="33">
        <v>1</v>
      </c>
      <c r="G2372" s="27">
        <f t="shared" si="46"/>
        <v>-1</v>
      </c>
      <c r="H2372" s="28" t="str">
        <f>VLOOKUP(E2372,'Cadastro Produtos (kiwkiw)'!C:E,3,0)</f>
        <v>Brinco Setas Banho Ouro</v>
      </c>
      <c r="AB2372" s="33" t="s">
        <v>1327</v>
      </c>
    </row>
    <row r="2373" spans="2:28" ht="15" customHeight="1" x14ac:dyDescent="0.4">
      <c r="C2373" s="34" t="s">
        <v>6</v>
      </c>
      <c r="D2373" s="35">
        <v>46086</v>
      </c>
      <c r="E2373" s="51" t="s">
        <v>27</v>
      </c>
      <c r="F2373" s="33">
        <v>1</v>
      </c>
      <c r="G2373" s="27">
        <f t="shared" si="46"/>
        <v>-1</v>
      </c>
      <c r="H2373" s="28" t="str">
        <f>VLOOKUP(E2373,'Cadastro Produtos (kiwkiw)'!C:E,3,0)</f>
        <v>Argola Click Media Banho Ouro</v>
      </c>
      <c r="AB2373" s="33" t="s">
        <v>1327</v>
      </c>
    </row>
    <row r="2374" spans="2:28" ht="15" customHeight="1" x14ac:dyDescent="0.4">
      <c r="C2374" s="34" t="s">
        <v>6</v>
      </c>
      <c r="D2374" s="35">
        <v>46086</v>
      </c>
      <c r="E2374" s="51" t="s">
        <v>58</v>
      </c>
      <c r="F2374" s="33">
        <v>1</v>
      </c>
      <c r="G2374" s="27">
        <f t="shared" si="46"/>
        <v>-1</v>
      </c>
      <c r="H2374" s="28" t="str">
        <f>VLOOKUP(E2374,'Cadastro Produtos (kiwkiw)'!C:E,3,0)</f>
        <v>Brinco Mini Triangulo Prateado</v>
      </c>
      <c r="AB2374" s="33" t="s">
        <v>1327</v>
      </c>
    </row>
    <row r="2375" spans="2:28" ht="15" customHeight="1" x14ac:dyDescent="0.4">
      <c r="C2375" s="34" t="s">
        <v>6</v>
      </c>
      <c r="D2375" s="35">
        <v>46086</v>
      </c>
      <c r="E2375" s="51" t="s">
        <v>60</v>
      </c>
      <c r="F2375" s="33">
        <v>1</v>
      </c>
      <c r="G2375" s="27">
        <f t="shared" si="46"/>
        <v>-1</v>
      </c>
      <c r="H2375" s="28" t="str">
        <f>VLOOKUP(E2375,'Cadastro Produtos (kiwkiw)'!C:E,3,0)</f>
        <v>Brinco Oncinha Prateado</v>
      </c>
      <c r="AB2375" s="33" t="s">
        <v>1327</v>
      </c>
    </row>
    <row r="2376" spans="2:28" ht="15" customHeight="1" x14ac:dyDescent="0.4">
      <c r="B2376" s="43">
        <v>46087.425949074073</v>
      </c>
      <c r="C2376" s="34" t="s">
        <v>6</v>
      </c>
      <c r="D2376" s="35">
        <v>46086</v>
      </c>
      <c r="E2376" s="51" t="s">
        <v>103</v>
      </c>
      <c r="F2376" s="33">
        <v>1</v>
      </c>
      <c r="G2376" s="27">
        <f t="shared" si="46"/>
        <v>-1</v>
      </c>
      <c r="H2376" s="28" t="str">
        <f>VLOOKUP(E2376,'Cadastro Produtos (kiwkiw)'!C:E,3,0)</f>
        <v>Colar Ivy Banho Ouro</v>
      </c>
      <c r="AB2376" s="33" t="s">
        <v>1328</v>
      </c>
    </row>
    <row r="2377" spans="2:28" ht="15" customHeight="1" x14ac:dyDescent="0.4">
      <c r="C2377" s="34" t="s">
        <v>6</v>
      </c>
      <c r="D2377" s="35">
        <v>46086</v>
      </c>
      <c r="E2377" s="51" t="s">
        <v>117</v>
      </c>
      <c r="F2377" s="33">
        <v>1</v>
      </c>
      <c r="G2377" s="27">
        <f t="shared" si="46"/>
        <v>-1</v>
      </c>
      <c r="H2377" s="28" t="str">
        <f>VLOOKUP(E2377,'Cadastro Produtos (kiwkiw)'!C:E,3,0)</f>
        <v>Gargantilha Minimal Banho Ouro</v>
      </c>
      <c r="AB2377" s="33" t="s">
        <v>1329</v>
      </c>
    </row>
    <row r="2378" spans="2:28" ht="15" customHeight="1" x14ac:dyDescent="0.4">
      <c r="C2378" s="34" t="s">
        <v>6</v>
      </c>
      <c r="D2378" s="35">
        <v>46086</v>
      </c>
      <c r="E2378" s="51" t="s">
        <v>62</v>
      </c>
      <c r="F2378" s="33">
        <v>1</v>
      </c>
      <c r="G2378" s="27">
        <f t="shared" si="46"/>
        <v>-1</v>
      </c>
      <c r="H2378" s="28" t="str">
        <f>VLOOKUP(E2378,'Cadastro Produtos (kiwkiw)'!C:E,3,0)</f>
        <v>Brinco Sol Banho Ouro</v>
      </c>
      <c r="AB2378" s="33" t="s">
        <v>1330</v>
      </c>
    </row>
    <row r="2379" spans="2:28" ht="15" customHeight="1" x14ac:dyDescent="0.4">
      <c r="C2379" s="34" t="s">
        <v>6</v>
      </c>
      <c r="D2379" s="35">
        <v>46086</v>
      </c>
      <c r="E2379" s="51" t="s">
        <v>808</v>
      </c>
      <c r="F2379" s="33">
        <v>1</v>
      </c>
      <c r="G2379" s="27">
        <f t="shared" si="46"/>
        <v>-1</v>
      </c>
      <c r="H2379" s="28" t="str">
        <f>VLOOKUP(E2379,'Cadastro Produtos (kiwkiw)'!C:E,3,0)</f>
        <v>Bracelete Curves Banho Ouro</v>
      </c>
      <c r="AB2379" s="33" t="s">
        <v>1330</v>
      </c>
    </row>
    <row r="2380" spans="2:28" ht="15" customHeight="1" x14ac:dyDescent="0.4">
      <c r="B2380" s="43">
        <v>46091.421631944446</v>
      </c>
      <c r="C2380" s="34" t="s">
        <v>6</v>
      </c>
      <c r="D2380" s="35">
        <v>46091</v>
      </c>
      <c r="E2380" s="51" t="s">
        <v>117</v>
      </c>
      <c r="F2380" s="33">
        <v>1</v>
      </c>
      <c r="G2380" s="27">
        <f t="shared" si="46"/>
        <v>-1</v>
      </c>
      <c r="H2380" s="28" t="str">
        <f>VLOOKUP(E2380,'Cadastro Produtos (kiwkiw)'!C:E,3,0)</f>
        <v>Gargantilha Minimal Banho Ouro</v>
      </c>
      <c r="AB2380" s="33" t="s">
        <v>1331</v>
      </c>
    </row>
    <row r="2381" spans="2:28" ht="15" customHeight="1" x14ac:dyDescent="0.4">
      <c r="C2381" s="34" t="s">
        <v>6</v>
      </c>
      <c r="D2381" s="35">
        <v>46091</v>
      </c>
      <c r="E2381" s="51" t="s">
        <v>117</v>
      </c>
      <c r="F2381" s="33">
        <v>1</v>
      </c>
      <c r="G2381" s="27">
        <f t="shared" si="46"/>
        <v>-1</v>
      </c>
      <c r="H2381" s="28" t="str">
        <f>VLOOKUP(E2381,'Cadastro Produtos (kiwkiw)'!C:E,3,0)</f>
        <v>Gargantilha Minimal Banho Ouro</v>
      </c>
      <c r="AB2381" s="33" t="s">
        <v>1332</v>
      </c>
    </row>
    <row r="2382" spans="2:28" ht="15" customHeight="1" x14ac:dyDescent="0.4">
      <c r="C2382" s="34" t="s">
        <v>6</v>
      </c>
      <c r="D2382" s="35">
        <v>46091</v>
      </c>
      <c r="E2382" s="51" t="s">
        <v>117</v>
      </c>
      <c r="F2382" s="33">
        <v>1</v>
      </c>
      <c r="G2382" s="27">
        <f t="shared" si="46"/>
        <v>-1</v>
      </c>
      <c r="H2382" s="28" t="str">
        <f>VLOOKUP(E2382,'Cadastro Produtos (kiwkiw)'!C:E,3,0)</f>
        <v>Gargantilha Minimal Banho Ouro</v>
      </c>
      <c r="AB2382" s="33" t="s">
        <v>1333</v>
      </c>
    </row>
    <row r="2383" spans="2:28" ht="15" customHeight="1" x14ac:dyDescent="0.4">
      <c r="C2383" s="34" t="s">
        <v>6</v>
      </c>
      <c r="D2383" s="35">
        <v>46091</v>
      </c>
      <c r="E2383" s="51" t="s">
        <v>833</v>
      </c>
      <c r="F2383" s="33">
        <v>1</v>
      </c>
      <c r="G2383" s="27">
        <f t="shared" si="46"/>
        <v>-1</v>
      </c>
      <c r="H2383" s="28" t="str">
        <f>VLOOKUP(E2383,'Cadastro Produtos (kiwkiw)'!C:E,3,0)</f>
        <v>Ear Hook Encaixe Cruzado Banho Ouro</v>
      </c>
      <c r="AB2383" s="33" t="s">
        <v>1334</v>
      </c>
    </row>
    <row r="2384" spans="2:28" ht="15" customHeight="1" x14ac:dyDescent="0.4">
      <c r="C2384" s="34" t="s">
        <v>6</v>
      </c>
      <c r="D2384" s="35">
        <v>46091</v>
      </c>
      <c r="E2384" s="51" t="s">
        <v>73</v>
      </c>
      <c r="F2384" s="33">
        <v>1</v>
      </c>
      <c r="G2384" s="27">
        <f t="shared" si="46"/>
        <v>-1</v>
      </c>
      <c r="H2384" s="28" t="str">
        <f>VLOOKUP(E2384,'Cadastro Produtos (kiwkiw)'!C:E,3,0)</f>
        <v>Ear Hook Line Prateado</v>
      </c>
      <c r="AB2384" s="33" t="s">
        <v>1334</v>
      </c>
    </row>
    <row r="2385" spans="3:28" ht="15" customHeight="1" x14ac:dyDescent="0.4">
      <c r="C2385" s="34" t="s">
        <v>6</v>
      </c>
      <c r="D2385" s="35">
        <v>46091</v>
      </c>
      <c r="E2385" s="51" t="s">
        <v>72</v>
      </c>
      <c r="F2385" s="33">
        <v>1</v>
      </c>
      <c r="G2385" s="27">
        <f t="shared" si="46"/>
        <v>-1</v>
      </c>
      <c r="H2385" s="28" t="str">
        <f>VLOOKUP(E2385,'Cadastro Produtos (kiwkiw)'!C:E,3,0)</f>
        <v>Ear Hook Line Banho Ouro</v>
      </c>
      <c r="AB2385" s="33" t="s">
        <v>1334</v>
      </c>
    </row>
    <row r="2386" spans="3:28" ht="15" customHeight="1" x14ac:dyDescent="0.4">
      <c r="C2386" s="34" t="s">
        <v>6</v>
      </c>
      <c r="D2386" s="35">
        <v>46091</v>
      </c>
      <c r="E2386" s="51" t="s">
        <v>49</v>
      </c>
      <c r="F2386" s="33">
        <v>1</v>
      </c>
      <c r="G2386" s="27">
        <f t="shared" si="46"/>
        <v>-1</v>
      </c>
      <c r="H2386" s="28" t="str">
        <f>VLOOKUP(E2386,'Cadastro Produtos (kiwkiw)'!C:E,3,0)</f>
        <v>Brinco Coracao Diamond Banho Ouro</v>
      </c>
      <c r="AB2386" s="33" t="s">
        <v>1335</v>
      </c>
    </row>
    <row r="2387" spans="3:28" ht="15" customHeight="1" x14ac:dyDescent="0.4">
      <c r="C2387" s="34" t="s">
        <v>6</v>
      </c>
      <c r="D2387" s="35">
        <v>46091</v>
      </c>
      <c r="E2387" s="51" t="s">
        <v>40</v>
      </c>
      <c r="F2387" s="33">
        <v>1</v>
      </c>
      <c r="G2387" s="27">
        <f t="shared" si="46"/>
        <v>-1</v>
      </c>
      <c r="H2387" s="28" t="str">
        <f>VLOOKUP(E2387,'Cadastro Produtos (kiwkiw)'!C:E,3,0)</f>
        <v>Argolinha Folha Banho Ouro</v>
      </c>
      <c r="AB2387" s="33" t="s">
        <v>1335</v>
      </c>
    </row>
    <row r="2388" spans="3:28" ht="15" customHeight="1" x14ac:dyDescent="0.4">
      <c r="C2388" s="34" t="s">
        <v>6</v>
      </c>
      <c r="D2388" s="35">
        <v>46091</v>
      </c>
      <c r="E2388" s="51" t="s">
        <v>61</v>
      </c>
      <c r="F2388" s="33">
        <v>2</v>
      </c>
      <c r="G2388" s="27">
        <f t="shared" si="46"/>
        <v>-2</v>
      </c>
      <c r="H2388" s="28" t="str">
        <f>VLOOKUP(E2388,'Cadastro Produtos (kiwkiw)'!C:E,3,0)</f>
        <v>Brinco Setas Banho Ouro</v>
      </c>
      <c r="AB2388" s="33" t="s">
        <v>1335</v>
      </c>
    </row>
    <row r="2389" spans="3:28" ht="15" customHeight="1" x14ac:dyDescent="0.4">
      <c r="C2389" s="34" t="s">
        <v>6</v>
      </c>
      <c r="D2389" s="35">
        <v>46091</v>
      </c>
      <c r="E2389" s="51" t="s">
        <v>118</v>
      </c>
      <c r="F2389" s="33">
        <v>1</v>
      </c>
      <c r="G2389" s="27">
        <f t="shared" si="46"/>
        <v>-1</v>
      </c>
      <c r="H2389" s="28" t="str">
        <f>VLOOKUP(E2389,'Cadastro Produtos (kiwkiw)'!C:E,3,0)</f>
        <v>Gargantilha Minimal Prateada</v>
      </c>
      <c r="AB2389" s="33" t="s">
        <v>1332</v>
      </c>
    </row>
    <row r="2390" spans="3:28" ht="15" customHeight="1" x14ac:dyDescent="0.4">
      <c r="C2390" s="34" t="s">
        <v>6</v>
      </c>
      <c r="D2390" s="35">
        <v>46091</v>
      </c>
      <c r="E2390" s="51" t="s">
        <v>108</v>
      </c>
      <c r="F2390" s="33">
        <v>1</v>
      </c>
      <c r="G2390" s="27">
        <f t="shared" si="46"/>
        <v>-1</v>
      </c>
      <c r="H2390" s="28" t="str">
        <f>VLOOKUP(E2390,'Cadastro Produtos (kiwkiw)'!C:E,3,0)</f>
        <v>Colar Line Banho Ouro</v>
      </c>
      <c r="AB2390" s="33" t="s">
        <v>1336</v>
      </c>
    </row>
    <row r="2391" spans="3:28" ht="15" customHeight="1" x14ac:dyDescent="0.4">
      <c r="C2391" s="34" t="s">
        <v>6</v>
      </c>
      <c r="D2391" s="35">
        <v>46091</v>
      </c>
      <c r="E2391" s="51" t="s">
        <v>801</v>
      </c>
      <c r="F2391" s="33">
        <v>1</v>
      </c>
      <c r="G2391" s="27">
        <f t="shared" si="46"/>
        <v>-1</v>
      </c>
      <c r="H2391" s="28" t="str">
        <f>VLOOKUP(E2391,'Cadastro Produtos (kiwkiw)'!C:E,3,0)</f>
        <v>Gargantilha Line Banho Ouro</v>
      </c>
      <c r="AB2391" s="33" t="s">
        <v>1337</v>
      </c>
    </row>
    <row r="2392" spans="3:28" ht="15" customHeight="1" x14ac:dyDescent="0.4">
      <c r="C2392" s="34" t="s">
        <v>6</v>
      </c>
      <c r="D2392" s="35">
        <v>46091</v>
      </c>
      <c r="E2392" s="51" t="s">
        <v>814</v>
      </c>
      <c r="F2392" s="33">
        <v>3</v>
      </c>
      <c r="G2392" s="27">
        <f t="shared" si="46"/>
        <v>-3</v>
      </c>
      <c r="H2392" s="28" t="str">
        <f>VLOOKUP(E2392,'Cadastro Produtos (kiwkiw)'!C:E,3,0)</f>
        <v>Brinco Ponto de Luz Banho Ouro</v>
      </c>
      <c r="AB2392" s="33" t="s">
        <v>1338</v>
      </c>
    </row>
    <row r="2393" spans="3:28" ht="15" customHeight="1" x14ac:dyDescent="0.4">
      <c r="C2393" s="34" t="s">
        <v>6</v>
      </c>
      <c r="D2393" s="35">
        <v>46091</v>
      </c>
      <c r="E2393" s="51" t="s">
        <v>105</v>
      </c>
      <c r="F2393" s="33">
        <v>1</v>
      </c>
      <c r="G2393" s="27">
        <f t="shared" si="46"/>
        <v>-1</v>
      </c>
      <c r="H2393" s="28" t="str">
        <f>VLOOKUP(E2393,'Cadastro Produtos (kiwkiw)'!C:E,3,0)</f>
        <v>Colar Rosa Banho Ouro</v>
      </c>
      <c r="AB2393" s="33" t="s">
        <v>1339</v>
      </c>
    </row>
    <row r="2394" spans="3:28" ht="15" customHeight="1" x14ac:dyDescent="0.4">
      <c r="C2394" s="34" t="s">
        <v>6</v>
      </c>
      <c r="D2394" s="35">
        <v>46091</v>
      </c>
      <c r="E2394" s="51" t="s">
        <v>799</v>
      </c>
      <c r="F2394" s="33">
        <v>1</v>
      </c>
      <c r="G2394" s="27">
        <f t="shared" si="46"/>
        <v>-1</v>
      </c>
      <c r="H2394" s="28" t="str">
        <f>VLOOKUP(E2394,'Cadastro Produtos (kiwkiw)'!C:E,3,0)</f>
        <v>Gargantilha Fita Textura Banho Ouro</v>
      </c>
      <c r="AB2394" s="33" t="s">
        <v>1340</v>
      </c>
    </row>
    <row r="2395" spans="3:28" ht="15" customHeight="1" x14ac:dyDescent="0.4">
      <c r="C2395" s="34" t="s">
        <v>6</v>
      </c>
      <c r="D2395" s="35">
        <v>46091</v>
      </c>
      <c r="E2395" s="51" t="s">
        <v>27</v>
      </c>
      <c r="F2395" s="33">
        <v>1</v>
      </c>
      <c r="G2395" s="27">
        <f t="shared" si="46"/>
        <v>-1</v>
      </c>
      <c r="H2395" s="28" t="str">
        <f>VLOOKUP(E2395,'Cadastro Produtos (kiwkiw)'!C:E,3,0)</f>
        <v>Argola Click Media Banho Ouro</v>
      </c>
      <c r="AB2395" s="33" t="s">
        <v>1341</v>
      </c>
    </row>
    <row r="2396" spans="3:28" ht="15" customHeight="1" x14ac:dyDescent="0.4">
      <c r="C2396" s="34" t="s">
        <v>6</v>
      </c>
      <c r="D2396" s="35">
        <v>46091</v>
      </c>
      <c r="E2396" s="51" t="s">
        <v>28</v>
      </c>
      <c r="F2396" s="33">
        <v>1</v>
      </c>
      <c r="G2396" s="27">
        <f t="shared" si="46"/>
        <v>-1</v>
      </c>
      <c r="H2396" s="28" t="str">
        <f>VLOOKUP(E2396,'Cadastro Produtos (kiwkiw)'!C:E,3,0)</f>
        <v>Argola Click Pequena Banho Ouro</v>
      </c>
      <c r="AB2396" s="33" t="s">
        <v>1341</v>
      </c>
    </row>
    <row r="2397" spans="3:28" ht="15" customHeight="1" x14ac:dyDescent="0.4">
      <c r="C2397" s="34" t="s">
        <v>6</v>
      </c>
      <c r="D2397" s="35">
        <v>46091</v>
      </c>
      <c r="E2397" s="51" t="s">
        <v>38</v>
      </c>
      <c r="F2397" s="33">
        <v>1</v>
      </c>
      <c r="G2397" s="27">
        <f t="shared" si="46"/>
        <v>-1</v>
      </c>
      <c r="H2397" s="28" t="str">
        <f>VLOOKUP(E2397,'Cadastro Produtos (kiwkiw)'!C:E,3,0)</f>
        <v>Argolinha Click Dots Banho Ouro</v>
      </c>
      <c r="AB2397" s="33" t="s">
        <v>1341</v>
      </c>
    </row>
    <row r="2398" spans="3:28" ht="15" customHeight="1" x14ac:dyDescent="0.4">
      <c r="C2398" s="34" t="s">
        <v>6</v>
      </c>
      <c r="D2398" s="35">
        <v>46091</v>
      </c>
      <c r="E2398" s="51" t="s">
        <v>103</v>
      </c>
      <c r="F2398" s="33">
        <v>1</v>
      </c>
      <c r="G2398" s="27">
        <f t="shared" si="46"/>
        <v>-1</v>
      </c>
      <c r="H2398" s="28" t="str">
        <f>VLOOKUP(E2398,'Cadastro Produtos (kiwkiw)'!C:E,3,0)</f>
        <v>Colar Ivy Banho Ouro</v>
      </c>
      <c r="AB2398" s="33" t="s">
        <v>1333</v>
      </c>
    </row>
    <row r="2399" spans="3:28" ht="15" customHeight="1" x14ac:dyDescent="0.4">
      <c r="C2399" s="34" t="s">
        <v>5</v>
      </c>
      <c r="D2399" s="35">
        <v>46091</v>
      </c>
      <c r="E2399" s="51" t="s">
        <v>808</v>
      </c>
      <c r="F2399" s="33">
        <v>1</v>
      </c>
      <c r="G2399" s="27">
        <f t="shared" si="46"/>
        <v>1</v>
      </c>
      <c r="H2399" s="28" t="str">
        <f>VLOOKUP(E2399,'Cadastro Produtos (kiwkiw)'!C:E,3,0)</f>
        <v>Bracelete Curves Banho Ouro</v>
      </c>
      <c r="I2399" s="32" t="s">
        <v>1342</v>
      </c>
    </row>
    <row r="2400" spans="3:28" ht="15" customHeight="1" x14ac:dyDescent="0.4">
      <c r="C2400" s="34" t="s">
        <v>5</v>
      </c>
      <c r="D2400" s="35">
        <v>46091</v>
      </c>
      <c r="E2400" s="51" t="s">
        <v>812</v>
      </c>
      <c r="F2400" s="33">
        <v>1</v>
      </c>
      <c r="G2400" s="27">
        <f t="shared" si="46"/>
        <v>1</v>
      </c>
      <c r="H2400" s="28" t="str">
        <f>VLOOKUP(E2400,'Cadastro Produtos (kiwkiw)'!C:E,3,0)</f>
        <v>Brinco Leque Banho Ouro</v>
      </c>
      <c r="I2400" s="32" t="s">
        <v>1342</v>
      </c>
    </row>
    <row r="2401" spans="2:28" ht="15" customHeight="1" x14ac:dyDescent="0.4">
      <c r="C2401" s="34" t="s">
        <v>5</v>
      </c>
      <c r="D2401" s="35">
        <v>46091</v>
      </c>
      <c r="E2401" s="51" t="s">
        <v>808</v>
      </c>
      <c r="F2401" s="33">
        <v>1</v>
      </c>
      <c r="G2401" s="27">
        <f t="shared" si="46"/>
        <v>1</v>
      </c>
      <c r="H2401" s="28" t="str">
        <f>VLOOKUP(E2401,'Cadastro Produtos (kiwkiw)'!C:E,3,0)</f>
        <v>Bracelete Curves Banho Ouro</v>
      </c>
      <c r="I2401" s="32" t="s">
        <v>1343</v>
      </c>
    </row>
    <row r="2402" spans="2:28" ht="15" customHeight="1" x14ac:dyDescent="0.4">
      <c r="C2402" s="34" t="s">
        <v>5</v>
      </c>
      <c r="D2402" s="35">
        <v>46091</v>
      </c>
      <c r="E2402" s="51" t="s">
        <v>818</v>
      </c>
      <c r="F2402" s="33">
        <v>1</v>
      </c>
      <c r="G2402" s="27">
        <f t="shared" si="46"/>
        <v>1</v>
      </c>
      <c r="H2402" s="28" t="str">
        <f>VLOOKUP(E2402,'Cadastro Produtos (kiwkiw)'!C:E,3,0)</f>
        <v>Colar Longo Medalhinhas Banho Ouro</v>
      </c>
      <c r="I2402" s="32" t="s">
        <v>1344</v>
      </c>
    </row>
    <row r="2403" spans="2:28" ht="15" customHeight="1" x14ac:dyDescent="0.4">
      <c r="B2403" s="43">
        <v>46092.420891203707</v>
      </c>
      <c r="C2403" s="34" t="s">
        <v>6</v>
      </c>
      <c r="D2403" s="35">
        <v>46092</v>
      </c>
      <c r="E2403" s="51" t="s">
        <v>76</v>
      </c>
      <c r="F2403" s="33">
        <v>1</v>
      </c>
      <c r="G2403" s="27">
        <f t="shared" si="46"/>
        <v>-1</v>
      </c>
      <c r="H2403" s="28" t="str">
        <f>VLOOKUP(E2403,'Cadastro Produtos (kiwkiw)'!C:E,3,0)</f>
        <v>EarHook Dots Banho Ouro</v>
      </c>
      <c r="AB2403" s="33" t="s">
        <v>1345</v>
      </c>
    </row>
    <row r="2404" spans="2:28" ht="15" customHeight="1" x14ac:dyDescent="0.4">
      <c r="C2404" s="34" t="s">
        <v>6</v>
      </c>
      <c r="D2404" s="35">
        <v>46092</v>
      </c>
      <c r="E2404" s="51" t="s">
        <v>38</v>
      </c>
      <c r="F2404" s="33">
        <v>1</v>
      </c>
      <c r="G2404" s="27">
        <f t="shared" si="46"/>
        <v>-1</v>
      </c>
      <c r="H2404" s="28" t="str">
        <f>VLOOKUP(E2404,'Cadastro Produtos (kiwkiw)'!C:E,3,0)</f>
        <v>Argolinha Click Dots Banho Ouro</v>
      </c>
      <c r="AB2404" s="33" t="s">
        <v>1345</v>
      </c>
    </row>
    <row r="2405" spans="2:28" ht="15" customHeight="1" x14ac:dyDescent="0.4">
      <c r="C2405" s="34" t="s">
        <v>6</v>
      </c>
      <c r="D2405" s="35">
        <v>46092</v>
      </c>
      <c r="E2405" s="51" t="s">
        <v>80</v>
      </c>
      <c r="F2405" s="33">
        <v>1</v>
      </c>
      <c r="G2405" s="27">
        <f t="shared" si="46"/>
        <v>-1</v>
      </c>
      <c r="H2405" s="28" t="str">
        <f>VLOOKUP(E2405,'Cadastro Produtos (kiwkiw)'!C:E,3,0)</f>
        <v>Meia Argola Croissant Banho Ouro</v>
      </c>
      <c r="AB2405" s="33" t="s">
        <v>1346</v>
      </c>
    </row>
    <row r="2406" spans="2:28" ht="15" customHeight="1" x14ac:dyDescent="0.4">
      <c r="C2406" s="34" t="s">
        <v>6</v>
      </c>
      <c r="D2406" s="35">
        <v>46092</v>
      </c>
      <c r="E2406" s="51" t="s">
        <v>118</v>
      </c>
      <c r="F2406" s="33">
        <v>1</v>
      </c>
      <c r="G2406" s="27">
        <f t="shared" si="46"/>
        <v>-1</v>
      </c>
      <c r="H2406" s="28" t="str">
        <f>VLOOKUP(E2406,'Cadastro Produtos (kiwkiw)'!C:E,3,0)</f>
        <v>Gargantilha Minimal Prateada</v>
      </c>
      <c r="AB2406" s="33" t="s">
        <v>1347</v>
      </c>
    </row>
    <row r="2407" spans="2:28" ht="15" customHeight="1" x14ac:dyDescent="0.4">
      <c r="C2407" s="34" t="s">
        <v>6</v>
      </c>
      <c r="D2407" s="35">
        <v>46092</v>
      </c>
      <c r="E2407" s="51" t="s">
        <v>26</v>
      </c>
      <c r="F2407" s="33">
        <v>1</v>
      </c>
      <c r="G2407" s="27">
        <f t="shared" si="46"/>
        <v>-1</v>
      </c>
      <c r="H2407" s="28" t="str">
        <f>VLOOKUP(E2407,'Cadastro Produtos (kiwkiw)'!C:E,3,0)</f>
        <v>Argola Click Grande Banho Ouro</v>
      </c>
      <c r="AB2407" s="33" t="s">
        <v>1348</v>
      </c>
    </row>
    <row r="2408" spans="2:28" ht="15" customHeight="1" x14ac:dyDescent="0.4">
      <c r="C2408" s="34" t="s">
        <v>6</v>
      </c>
      <c r="D2408" s="35">
        <v>46092</v>
      </c>
      <c r="E2408" s="51" t="s">
        <v>117</v>
      </c>
      <c r="F2408" s="33">
        <v>1</v>
      </c>
      <c r="G2408" s="27">
        <f t="shared" si="46"/>
        <v>-1</v>
      </c>
      <c r="H2408" s="28" t="str">
        <f>VLOOKUP(E2408,'Cadastro Produtos (kiwkiw)'!C:E,3,0)</f>
        <v>Gargantilha Minimal Banho Ouro</v>
      </c>
      <c r="AB2408" s="33" t="s">
        <v>1348</v>
      </c>
    </row>
    <row r="2409" spans="2:28" ht="15" customHeight="1" x14ac:dyDescent="0.4">
      <c r="C2409" s="34" t="s">
        <v>6</v>
      </c>
      <c r="D2409" s="35">
        <v>46092</v>
      </c>
      <c r="E2409" s="51" t="s">
        <v>28</v>
      </c>
      <c r="F2409" s="33">
        <v>1</v>
      </c>
      <c r="G2409" s="27">
        <f t="shared" si="46"/>
        <v>-1</v>
      </c>
      <c r="H2409" s="28" t="str">
        <f>VLOOKUP(E2409,'Cadastro Produtos (kiwkiw)'!C:E,3,0)</f>
        <v>Argola Click Pequena Banho Ouro</v>
      </c>
      <c r="AB2409" s="33" t="s">
        <v>1349</v>
      </c>
    </row>
    <row r="2410" spans="2:28" ht="15" customHeight="1" x14ac:dyDescent="0.4">
      <c r="C2410" s="34" t="s">
        <v>6</v>
      </c>
      <c r="D2410" s="35">
        <v>46092</v>
      </c>
      <c r="E2410" s="51" t="s">
        <v>27</v>
      </c>
      <c r="F2410" s="33">
        <v>1</v>
      </c>
      <c r="G2410" s="27">
        <f t="shared" si="46"/>
        <v>-1</v>
      </c>
      <c r="H2410" s="28" t="str">
        <f>VLOOKUP(E2410,'Cadastro Produtos (kiwkiw)'!C:E,3,0)</f>
        <v>Argola Click Media Banho Ouro</v>
      </c>
      <c r="I2410" s="109"/>
      <c r="AB2410" s="33" t="s">
        <v>1349</v>
      </c>
    </row>
    <row r="2411" spans="2:28" ht="15" customHeight="1" x14ac:dyDescent="0.4">
      <c r="C2411" s="34" t="s">
        <v>6</v>
      </c>
      <c r="D2411" s="35">
        <v>46092</v>
      </c>
      <c r="E2411" s="51" t="s">
        <v>36</v>
      </c>
      <c r="F2411" s="33">
        <v>1</v>
      </c>
      <c r="G2411" s="27">
        <f t="shared" si="46"/>
        <v>-1</v>
      </c>
      <c r="H2411" s="28" t="str">
        <f>VLOOKUP(E2411,'Cadastro Produtos (kiwkiw)'!C:E,3,0)</f>
        <v>Argola Classy Prateada</v>
      </c>
      <c r="I2411" s="109"/>
      <c r="AB2411" s="33" t="s">
        <v>1349</v>
      </c>
    </row>
    <row r="2412" spans="2:28" ht="15" customHeight="1" x14ac:dyDescent="0.4">
      <c r="C2412" s="34" t="s">
        <v>6</v>
      </c>
      <c r="D2412" s="35">
        <v>46092</v>
      </c>
      <c r="E2412" s="51" t="s">
        <v>84</v>
      </c>
      <c r="F2412" s="33">
        <v>1</v>
      </c>
      <c r="G2412" s="27">
        <f t="shared" si="46"/>
        <v>-1</v>
      </c>
      <c r="H2412" s="28" t="str">
        <f>VLOOKUP(E2412,'Cadastro Produtos (kiwkiw)'!C:E,3,0)</f>
        <v>Mini Argola Classy Prateada</v>
      </c>
      <c r="I2412" s="109"/>
      <c r="AB2412" s="33" t="s">
        <v>1349</v>
      </c>
    </row>
    <row r="2413" spans="2:28" ht="15" customHeight="1" x14ac:dyDescent="0.4">
      <c r="C2413" s="34" t="s">
        <v>6</v>
      </c>
      <c r="D2413" s="35">
        <v>46092</v>
      </c>
      <c r="E2413" s="51" t="s">
        <v>831</v>
      </c>
      <c r="F2413" s="33">
        <v>1</v>
      </c>
      <c r="G2413" s="27">
        <f t="shared" si="46"/>
        <v>-1</v>
      </c>
      <c r="H2413" s="28" t="str">
        <f>VLOOKUP(E2413,'Cadastro Produtos (kiwkiw)'!C:E,3,0)</f>
        <v>Brinco Palito Banho Ouro</v>
      </c>
      <c r="AB2413" s="33" t="s">
        <v>1349</v>
      </c>
    </row>
    <row r="2414" spans="2:28" ht="15" customHeight="1" x14ac:dyDescent="0.4">
      <c r="C2414" s="34" t="s">
        <v>6</v>
      </c>
      <c r="D2414" s="35">
        <v>46092</v>
      </c>
      <c r="E2414" s="51" t="s">
        <v>72</v>
      </c>
      <c r="F2414" s="33">
        <v>1</v>
      </c>
      <c r="G2414" s="27">
        <f t="shared" si="46"/>
        <v>-1</v>
      </c>
      <c r="H2414" s="28" t="str">
        <f>VLOOKUP(E2414,'Cadastro Produtos (kiwkiw)'!C:E,3,0)</f>
        <v>Ear Hook Line Banho Ouro</v>
      </c>
      <c r="AB2414" s="33" t="s">
        <v>1349</v>
      </c>
    </row>
    <row r="2415" spans="2:28" ht="15" customHeight="1" x14ac:dyDescent="0.4">
      <c r="C2415" s="34" t="s">
        <v>6</v>
      </c>
      <c r="D2415" s="35">
        <v>46092</v>
      </c>
      <c r="E2415" s="51" t="s">
        <v>820</v>
      </c>
      <c r="F2415" s="33">
        <v>1</v>
      </c>
      <c r="G2415" s="27">
        <f t="shared" si="46"/>
        <v>-1</v>
      </c>
      <c r="H2415" s="28" t="str">
        <f>VLOOKUP(E2415,'Cadastro Produtos (kiwkiw)'!C:E,3,0)</f>
        <v>Colar Sol Banho Ouro</v>
      </c>
      <c r="AB2415" s="33" t="s">
        <v>1350</v>
      </c>
    </row>
    <row r="2416" spans="2:28" ht="15" customHeight="1" x14ac:dyDescent="0.4">
      <c r="B2416" s="43">
        <v>46093.423310185186</v>
      </c>
      <c r="C2416" s="34" t="s">
        <v>6</v>
      </c>
      <c r="D2416" s="35">
        <v>46093</v>
      </c>
      <c r="E2416" s="51" t="s">
        <v>117</v>
      </c>
      <c r="F2416" s="33">
        <v>1</v>
      </c>
      <c r="G2416" s="27">
        <f t="shared" si="46"/>
        <v>-1</v>
      </c>
      <c r="H2416" s="28" t="str">
        <f>VLOOKUP(E2416,'Cadastro Produtos (kiwkiw)'!C:E,3,0)</f>
        <v>Gargantilha Minimal Banho Ouro</v>
      </c>
      <c r="AB2416" s="33" t="s">
        <v>1351</v>
      </c>
    </row>
    <row r="2417" spans="2:28" ht="15" customHeight="1" x14ac:dyDescent="0.4">
      <c r="C2417" s="34" t="s">
        <v>6</v>
      </c>
      <c r="D2417" s="35">
        <v>46093</v>
      </c>
      <c r="E2417" s="51" t="s">
        <v>117</v>
      </c>
      <c r="F2417" s="33">
        <v>1</v>
      </c>
      <c r="G2417" s="27">
        <f t="shared" si="46"/>
        <v>-1</v>
      </c>
      <c r="H2417" s="28" t="str">
        <f>VLOOKUP(E2417,'Cadastro Produtos (kiwkiw)'!C:E,3,0)</f>
        <v>Gargantilha Minimal Banho Ouro</v>
      </c>
      <c r="AB2417" s="33" t="s">
        <v>1352</v>
      </c>
    </row>
    <row r="2418" spans="2:28" ht="15" customHeight="1" x14ac:dyDescent="0.4">
      <c r="C2418" s="34" t="s">
        <v>6</v>
      </c>
      <c r="D2418" s="35">
        <v>46093</v>
      </c>
      <c r="E2418" s="51" t="s">
        <v>116</v>
      </c>
      <c r="F2418" s="33">
        <v>1</v>
      </c>
      <c r="G2418" s="27">
        <f t="shared" si="46"/>
        <v>-1</v>
      </c>
      <c r="H2418" s="28" t="str">
        <f>VLOOKUP(E2418,'Cadastro Produtos (kiwkiw)'!C:E,3,0)</f>
        <v>Gargantilha Dots Banho Ouro</v>
      </c>
      <c r="AB2418" s="33" t="s">
        <v>1353</v>
      </c>
    </row>
    <row r="2419" spans="2:28" ht="15" customHeight="1" x14ac:dyDescent="0.4">
      <c r="C2419" s="34" t="s">
        <v>6</v>
      </c>
      <c r="D2419" s="35">
        <v>46093</v>
      </c>
      <c r="E2419" s="51" t="s">
        <v>785</v>
      </c>
      <c r="F2419" s="33">
        <v>1</v>
      </c>
      <c r="G2419" s="27">
        <f t="shared" si="46"/>
        <v>-1</v>
      </c>
      <c r="H2419" s="28" t="str">
        <f>VLOOKUP(E2419,'Cadastro Produtos (kiwkiw)'!C:E,3,0)</f>
        <v>Colar Gravatinha Banho Ouro</v>
      </c>
      <c r="AB2419" s="33" t="s">
        <v>1353</v>
      </c>
    </row>
    <row r="2420" spans="2:28" ht="15" customHeight="1" x14ac:dyDescent="0.4">
      <c r="C2420" s="34" t="s">
        <v>6</v>
      </c>
      <c r="D2420" s="35">
        <v>46093</v>
      </c>
      <c r="E2420" s="51" t="s">
        <v>108</v>
      </c>
      <c r="F2420" s="33">
        <v>1</v>
      </c>
      <c r="G2420" s="27">
        <f t="shared" si="46"/>
        <v>-1</v>
      </c>
      <c r="H2420" s="28" t="str">
        <f>VLOOKUP(E2420,'Cadastro Produtos (kiwkiw)'!C:E,3,0)</f>
        <v>Colar Line Banho Ouro</v>
      </c>
      <c r="AB2420" s="33" t="s">
        <v>1354</v>
      </c>
    </row>
    <row r="2421" spans="2:28" ht="15" customHeight="1" x14ac:dyDescent="0.4">
      <c r="C2421" s="34" t="s">
        <v>6</v>
      </c>
      <c r="D2421" s="35">
        <v>46093</v>
      </c>
      <c r="E2421" s="51" t="s">
        <v>804</v>
      </c>
      <c r="F2421" s="33">
        <v>1</v>
      </c>
      <c r="G2421" s="27">
        <f t="shared" si="46"/>
        <v>-1</v>
      </c>
      <c r="H2421" s="28" t="str">
        <f>VLOOKUP(E2421,'Cadastro Produtos (kiwkiw)'!C:E,3,0)</f>
        <v>Anel Drop Banho Ouro</v>
      </c>
      <c r="AB2421" s="33" t="s">
        <v>1354</v>
      </c>
    </row>
    <row r="2422" spans="2:28" ht="15" customHeight="1" x14ac:dyDescent="0.4">
      <c r="C2422" s="34" t="s">
        <v>6</v>
      </c>
      <c r="D2422" s="35">
        <v>46093</v>
      </c>
      <c r="E2422" s="51" t="s">
        <v>103</v>
      </c>
      <c r="F2422" s="33">
        <v>1</v>
      </c>
      <c r="G2422" s="27">
        <f t="shared" si="46"/>
        <v>-1</v>
      </c>
      <c r="H2422" s="28" t="str">
        <f>VLOOKUP(E2422,'Cadastro Produtos (kiwkiw)'!C:E,3,0)</f>
        <v>Colar Ivy Banho Ouro</v>
      </c>
      <c r="AB2422" s="33" t="s">
        <v>1354</v>
      </c>
    </row>
    <row r="2423" spans="2:28" ht="15" customHeight="1" x14ac:dyDescent="0.4">
      <c r="C2423" s="34" t="s">
        <v>6</v>
      </c>
      <c r="D2423" s="35">
        <v>46093</v>
      </c>
      <c r="E2423" s="51" t="s">
        <v>826</v>
      </c>
      <c r="F2423" s="33">
        <v>1</v>
      </c>
      <c r="G2423" s="27">
        <f t="shared" ref="G2423:G2486" si="47">IF(C2423="Entrada",F2423,-F2423)</f>
        <v>-1</v>
      </c>
      <c r="H2423" s="28" t="str">
        <f>VLOOKUP(E2423,'Cadastro Produtos (kiwkiw)'!C:E,3,0)</f>
        <v>Pulseira Torcida Banho Ouro</v>
      </c>
      <c r="AB2423" s="33" t="s">
        <v>1354</v>
      </c>
    </row>
    <row r="2424" spans="2:28" ht="15" customHeight="1" x14ac:dyDescent="0.4">
      <c r="C2424" s="34" t="s">
        <v>6</v>
      </c>
      <c r="D2424" s="35">
        <v>46093</v>
      </c>
      <c r="E2424" s="51" t="s">
        <v>821</v>
      </c>
      <c r="F2424" s="33">
        <v>1</v>
      </c>
      <c r="G2424" s="27">
        <f t="shared" si="47"/>
        <v>-1</v>
      </c>
      <c r="H2424" s="28" t="str">
        <f>VLOOKUP(E2424,'Cadastro Produtos (kiwkiw)'!C:E,3,0)</f>
        <v>Ear Cuff Snake Banho Ouro</v>
      </c>
      <c r="AB2424" s="33" t="s">
        <v>1355</v>
      </c>
    </row>
    <row r="2425" spans="2:28" ht="15" customHeight="1" x14ac:dyDescent="0.4">
      <c r="B2425" s="43">
        <v>46094.425381944442</v>
      </c>
      <c r="C2425" s="34" t="s">
        <v>6</v>
      </c>
      <c r="D2425" s="35">
        <v>46094</v>
      </c>
      <c r="E2425" s="51" t="s">
        <v>817</v>
      </c>
      <c r="F2425" s="33">
        <v>1</v>
      </c>
      <c r="G2425" s="27">
        <f t="shared" si="47"/>
        <v>-1</v>
      </c>
      <c r="H2425" s="28" t="str">
        <f>VLOOKUP(E2425,'Cadastro Produtos (kiwkiw)'!C:E,3,0)</f>
        <v>Colar Longo Figa Banho Ouro</v>
      </c>
      <c r="AB2425" s="33" t="s">
        <v>1356</v>
      </c>
    </row>
    <row r="2426" spans="2:28" ht="15" customHeight="1" x14ac:dyDescent="0.4">
      <c r="C2426" s="34" t="s">
        <v>5</v>
      </c>
      <c r="D2426" s="35">
        <v>46094</v>
      </c>
      <c r="E2426" s="51" t="s">
        <v>808</v>
      </c>
      <c r="F2426" s="33">
        <v>1</v>
      </c>
      <c r="G2426" s="27">
        <f t="shared" si="47"/>
        <v>1</v>
      </c>
      <c r="H2426" s="28" t="str">
        <f>VLOOKUP(E2426,'Cadastro Produtos (kiwkiw)'!C:E,3,0)</f>
        <v>Bracelete Curves Banho Ouro</v>
      </c>
      <c r="I2426" s="32" t="s">
        <v>1342</v>
      </c>
    </row>
    <row r="2427" spans="2:28" ht="15" customHeight="1" x14ac:dyDescent="0.4">
      <c r="C2427" s="34" t="s">
        <v>5</v>
      </c>
      <c r="D2427" s="35">
        <v>46094</v>
      </c>
      <c r="E2427" s="51" t="s">
        <v>812</v>
      </c>
      <c r="F2427" s="33">
        <v>1</v>
      </c>
      <c r="G2427" s="27">
        <f t="shared" si="47"/>
        <v>1</v>
      </c>
      <c r="H2427" s="28" t="str">
        <f>VLOOKUP(E2427,'Cadastro Produtos (kiwkiw)'!C:E,3,0)</f>
        <v>Brinco Leque Banho Ouro</v>
      </c>
      <c r="I2427" s="32" t="s">
        <v>1342</v>
      </c>
    </row>
    <row r="2428" spans="2:28" ht="15" customHeight="1" x14ac:dyDescent="0.4">
      <c r="C2428" s="34" t="s">
        <v>5</v>
      </c>
      <c r="D2428" s="35">
        <v>46094</v>
      </c>
      <c r="E2428" s="51" t="s">
        <v>808</v>
      </c>
      <c r="F2428" s="33">
        <v>1</v>
      </c>
      <c r="G2428" s="27">
        <f t="shared" si="47"/>
        <v>1</v>
      </c>
      <c r="H2428" s="28" t="str">
        <f>VLOOKUP(E2428,'Cadastro Produtos (kiwkiw)'!C:E,3,0)</f>
        <v>Bracelete Curves Banho Ouro</v>
      </c>
      <c r="I2428" s="32" t="s">
        <v>1343</v>
      </c>
    </row>
    <row r="2429" spans="2:28" ht="15" customHeight="1" x14ac:dyDescent="0.4">
      <c r="C2429" s="34" t="s">
        <v>5</v>
      </c>
      <c r="D2429" s="35">
        <v>46094</v>
      </c>
      <c r="E2429" s="51" t="s">
        <v>818</v>
      </c>
      <c r="F2429" s="33">
        <v>1</v>
      </c>
      <c r="G2429" s="27">
        <f t="shared" si="47"/>
        <v>1</v>
      </c>
      <c r="H2429" s="28" t="str">
        <f>VLOOKUP(E2429,'Cadastro Produtos (kiwkiw)'!C:E,3,0)</f>
        <v>Colar Longo Medalhinhas Banho Ouro</v>
      </c>
      <c r="I2429" s="32" t="s">
        <v>1344</v>
      </c>
    </row>
    <row r="2430" spans="2:28" ht="15" customHeight="1" x14ac:dyDescent="0.4">
      <c r="B2430" s="43">
        <v>46097.433634259258</v>
      </c>
      <c r="C2430" s="34" t="s">
        <v>6</v>
      </c>
      <c r="D2430" s="35">
        <v>46097</v>
      </c>
      <c r="E2430" s="51" t="s">
        <v>117</v>
      </c>
      <c r="F2430" s="33">
        <v>1</v>
      </c>
      <c r="G2430" s="27">
        <f t="shared" si="47"/>
        <v>-1</v>
      </c>
      <c r="H2430" s="28" t="str">
        <f>VLOOKUP(E2430,'Cadastro Produtos (kiwkiw)'!C:E,3,0)</f>
        <v>Gargantilha Minimal Banho Ouro</v>
      </c>
      <c r="AB2430" s="33" t="s">
        <v>1357</v>
      </c>
    </row>
    <row r="2431" spans="2:28" ht="15" customHeight="1" x14ac:dyDescent="0.4">
      <c r="C2431" s="34" t="s">
        <v>6</v>
      </c>
      <c r="D2431" s="35">
        <v>46097</v>
      </c>
      <c r="E2431" s="51" t="s">
        <v>117</v>
      </c>
      <c r="F2431" s="33">
        <v>1</v>
      </c>
      <c r="G2431" s="27">
        <f t="shared" si="47"/>
        <v>-1</v>
      </c>
      <c r="H2431" s="28" t="str">
        <f>VLOOKUP(E2431,'Cadastro Produtos (kiwkiw)'!C:E,3,0)</f>
        <v>Gargantilha Minimal Banho Ouro</v>
      </c>
      <c r="AB2431" s="33" t="s">
        <v>1358</v>
      </c>
    </row>
    <row r="2432" spans="2:28" ht="15" customHeight="1" x14ac:dyDescent="0.4">
      <c r="C2432" s="34" t="s">
        <v>6</v>
      </c>
      <c r="D2432" s="35">
        <v>46097</v>
      </c>
      <c r="E2432" s="51" t="s">
        <v>117</v>
      </c>
      <c r="F2432" s="33">
        <v>1</v>
      </c>
      <c r="G2432" s="27">
        <f t="shared" si="47"/>
        <v>-1</v>
      </c>
      <c r="H2432" s="28" t="str">
        <f>VLOOKUP(E2432,'Cadastro Produtos (kiwkiw)'!C:E,3,0)</f>
        <v>Gargantilha Minimal Banho Ouro</v>
      </c>
      <c r="AB2432" s="33" t="s">
        <v>1359</v>
      </c>
    </row>
    <row r="2433" spans="3:28" ht="15" customHeight="1" x14ac:dyDescent="0.4">
      <c r="C2433" s="34" t="s">
        <v>6</v>
      </c>
      <c r="D2433" s="35">
        <v>46097</v>
      </c>
      <c r="E2433" s="51" t="s">
        <v>117</v>
      </c>
      <c r="F2433" s="33">
        <v>1</v>
      </c>
      <c r="G2433" s="27">
        <f t="shared" si="47"/>
        <v>-1</v>
      </c>
      <c r="H2433" s="28" t="str">
        <f>VLOOKUP(E2433,'Cadastro Produtos (kiwkiw)'!C:E,3,0)</f>
        <v>Gargantilha Minimal Banho Ouro</v>
      </c>
      <c r="AB2433" s="33" t="s">
        <v>1360</v>
      </c>
    </row>
    <row r="2434" spans="3:28" ht="15" customHeight="1" x14ac:dyDescent="0.4">
      <c r="C2434" s="34" t="s">
        <v>6</v>
      </c>
      <c r="D2434" s="35">
        <v>46097</v>
      </c>
      <c r="E2434" s="51" t="s">
        <v>117</v>
      </c>
      <c r="F2434" s="33">
        <v>1</v>
      </c>
      <c r="G2434" s="27">
        <f t="shared" si="47"/>
        <v>-1</v>
      </c>
      <c r="H2434" s="28" t="str">
        <f>VLOOKUP(E2434,'Cadastro Produtos (kiwkiw)'!C:E,3,0)</f>
        <v>Gargantilha Minimal Banho Ouro</v>
      </c>
      <c r="AB2434" s="33" t="s">
        <v>1361</v>
      </c>
    </row>
    <row r="2435" spans="3:28" ht="15" customHeight="1" x14ac:dyDescent="0.4">
      <c r="C2435" s="34" t="s">
        <v>6</v>
      </c>
      <c r="D2435" s="35">
        <v>46097</v>
      </c>
      <c r="E2435" s="51" t="s">
        <v>56</v>
      </c>
      <c r="F2435" s="33">
        <v>1</v>
      </c>
      <c r="G2435" s="27">
        <f t="shared" si="47"/>
        <v>-1</v>
      </c>
      <c r="H2435" s="28" t="str">
        <f>VLOOKUP(E2435,'Cadastro Produtos (kiwkiw)'!C:E,3,0)</f>
        <v>Brinco Mini Raio Banho Ouro</v>
      </c>
      <c r="AB2435" s="33" t="s">
        <v>1362</v>
      </c>
    </row>
    <row r="2436" spans="3:28" ht="15" customHeight="1" x14ac:dyDescent="0.4">
      <c r="C2436" s="34" t="s">
        <v>6</v>
      </c>
      <c r="D2436" s="35">
        <v>46097</v>
      </c>
      <c r="E2436" s="51" t="s">
        <v>35</v>
      </c>
      <c r="F2436" s="33">
        <v>1</v>
      </c>
      <c r="G2436" s="27">
        <f t="shared" si="47"/>
        <v>-1</v>
      </c>
      <c r="H2436" s="28" t="str">
        <f>VLOOKUP(E2436,'Cadastro Produtos (kiwkiw)'!C:E,3,0)</f>
        <v>Argola Classy Banho Ouro</v>
      </c>
      <c r="AB2436" s="33" t="s">
        <v>1362</v>
      </c>
    </row>
    <row r="2437" spans="3:28" ht="15" customHeight="1" x14ac:dyDescent="0.4">
      <c r="C2437" s="34" t="s">
        <v>6</v>
      </c>
      <c r="D2437" s="35">
        <v>46097</v>
      </c>
      <c r="E2437" s="51" t="s">
        <v>95</v>
      </c>
      <c r="F2437" s="33">
        <v>1</v>
      </c>
      <c r="G2437" s="27">
        <f t="shared" si="47"/>
        <v>-1</v>
      </c>
      <c r="H2437" s="28" t="str">
        <f>VLOOKUP(E2437,'Cadastro Produtos (kiwkiw)'!C:E,3,0)</f>
        <v>Colar Duplo Dots Prateado</v>
      </c>
      <c r="AB2437" s="33" t="s">
        <v>1358</v>
      </c>
    </row>
    <row r="2438" spans="3:28" ht="15" customHeight="1" x14ac:dyDescent="0.4">
      <c r="C2438" s="34" t="s">
        <v>6</v>
      </c>
      <c r="D2438" s="35">
        <v>46097</v>
      </c>
      <c r="E2438" s="51" t="s">
        <v>64</v>
      </c>
      <c r="F2438" s="33">
        <v>1</v>
      </c>
      <c r="G2438" s="27">
        <f t="shared" si="47"/>
        <v>-1</v>
      </c>
      <c r="H2438" s="28" t="str">
        <f>VLOOKUP(E2438,'Cadastro Produtos (kiwkiw)'!C:E,3,0)</f>
        <v>Brinco Spike Prateado</v>
      </c>
      <c r="AB2438" s="33" t="s">
        <v>1363</v>
      </c>
    </row>
    <row r="2439" spans="3:28" ht="15" customHeight="1" x14ac:dyDescent="0.4">
      <c r="C2439" s="34" t="s">
        <v>6</v>
      </c>
      <c r="D2439" s="35">
        <v>46097</v>
      </c>
      <c r="E2439" s="51" t="s">
        <v>780</v>
      </c>
      <c r="F2439" s="33">
        <v>1</v>
      </c>
      <c r="G2439" s="27">
        <f t="shared" si="47"/>
        <v>-1</v>
      </c>
      <c r="H2439" s="28" t="str">
        <f>VLOOKUP(E2439,'Cadastro Produtos (kiwkiw)'!C:E,3,0)</f>
        <v>Gargantilha Crystal Banho Ouro</v>
      </c>
      <c r="AB2439" s="33" t="s">
        <v>1364</v>
      </c>
    </row>
    <row r="2440" spans="3:28" ht="15" customHeight="1" x14ac:dyDescent="0.4">
      <c r="C2440" s="34" t="s">
        <v>6</v>
      </c>
      <c r="D2440" s="35">
        <v>46097</v>
      </c>
      <c r="E2440" s="51" t="s">
        <v>116</v>
      </c>
      <c r="F2440" s="33">
        <v>1</v>
      </c>
      <c r="G2440" s="27">
        <f t="shared" si="47"/>
        <v>-1</v>
      </c>
      <c r="H2440" s="28" t="str">
        <f>VLOOKUP(E2440,'Cadastro Produtos (kiwkiw)'!C:E,3,0)</f>
        <v>Gargantilha Dots Banho Ouro</v>
      </c>
      <c r="AB2440" s="33" t="s">
        <v>1364</v>
      </c>
    </row>
    <row r="2441" spans="3:28" ht="15" customHeight="1" x14ac:dyDescent="0.4">
      <c r="C2441" s="34" t="s">
        <v>6</v>
      </c>
      <c r="D2441" s="35">
        <v>46097</v>
      </c>
      <c r="E2441" s="51" t="s">
        <v>116</v>
      </c>
      <c r="F2441" s="33">
        <v>1</v>
      </c>
      <c r="G2441" s="27">
        <f t="shared" si="47"/>
        <v>-1</v>
      </c>
      <c r="H2441" s="28" t="str">
        <f>VLOOKUP(E2441,'Cadastro Produtos (kiwkiw)'!C:E,3,0)</f>
        <v>Gargantilha Dots Banho Ouro</v>
      </c>
      <c r="AB2441" s="33" t="s">
        <v>1365</v>
      </c>
    </row>
    <row r="2442" spans="3:28" ht="15" customHeight="1" x14ac:dyDescent="0.4">
      <c r="C2442" s="34" t="s">
        <v>6</v>
      </c>
      <c r="D2442" s="35">
        <v>46097</v>
      </c>
      <c r="E2442" s="51" t="s">
        <v>105</v>
      </c>
      <c r="F2442" s="33">
        <v>1</v>
      </c>
      <c r="G2442" s="27">
        <f t="shared" si="47"/>
        <v>-1</v>
      </c>
      <c r="H2442" s="28" t="str">
        <f>VLOOKUP(E2442,'Cadastro Produtos (kiwkiw)'!C:E,3,0)</f>
        <v>Colar Rosa Banho Ouro</v>
      </c>
      <c r="AB2442" s="33" t="s">
        <v>1366</v>
      </c>
    </row>
    <row r="2443" spans="3:28" ht="15" customHeight="1" x14ac:dyDescent="0.4">
      <c r="C2443" s="34" t="s">
        <v>6</v>
      </c>
      <c r="D2443" s="35">
        <v>46097</v>
      </c>
      <c r="E2443" s="51" t="s">
        <v>829</v>
      </c>
      <c r="F2443" s="33">
        <v>1</v>
      </c>
      <c r="G2443" s="27">
        <f t="shared" si="47"/>
        <v>-1</v>
      </c>
      <c r="H2443" s="28" t="str">
        <f>VLOOKUP(E2443,'Cadastro Produtos (kiwkiw)'!C:E,3,0)</f>
        <v>Ear Hook Fio Banho Ouro</v>
      </c>
      <c r="AB2443" s="33" t="s">
        <v>1367</v>
      </c>
    </row>
    <row r="2444" spans="3:28" ht="15" customHeight="1" x14ac:dyDescent="0.4">
      <c r="C2444" s="34" t="s">
        <v>6</v>
      </c>
      <c r="D2444" s="35">
        <v>46097</v>
      </c>
      <c r="E2444" s="51" t="s">
        <v>93</v>
      </c>
      <c r="F2444" s="33">
        <v>1</v>
      </c>
      <c r="G2444" s="27">
        <f t="shared" si="47"/>
        <v>-1</v>
      </c>
      <c r="H2444" s="28" t="str">
        <f>VLOOKUP(E2444,'Cadastro Produtos (kiwkiw)'!C:E,3,0)</f>
        <v>Colar Coracao Prateado</v>
      </c>
      <c r="AB2444" s="33" t="s">
        <v>1368</v>
      </c>
    </row>
    <row r="2445" spans="3:28" ht="15" customHeight="1" x14ac:dyDescent="0.4">
      <c r="C2445" s="34" t="s">
        <v>6</v>
      </c>
      <c r="D2445" s="35">
        <v>46097</v>
      </c>
      <c r="E2445" s="51" t="s">
        <v>118</v>
      </c>
      <c r="F2445" s="33">
        <v>1</v>
      </c>
      <c r="G2445" s="27">
        <f t="shared" si="47"/>
        <v>-1</v>
      </c>
      <c r="H2445" s="28" t="str">
        <f>VLOOKUP(E2445,'Cadastro Produtos (kiwkiw)'!C:E,3,0)</f>
        <v>Gargantilha Minimal Prateada</v>
      </c>
      <c r="AB2445" s="33" t="s">
        <v>1368</v>
      </c>
    </row>
    <row r="2446" spans="3:28" ht="15" customHeight="1" x14ac:dyDescent="0.4">
      <c r="C2446" s="34" t="s">
        <v>6</v>
      </c>
      <c r="D2446" s="35">
        <v>46097</v>
      </c>
      <c r="E2446" s="51" t="s">
        <v>783</v>
      </c>
      <c r="F2446" s="33">
        <v>1</v>
      </c>
      <c r="G2446" s="27">
        <f t="shared" si="47"/>
        <v>-1</v>
      </c>
      <c r="H2446" s="28" t="str">
        <f>VLOOKUP(E2446,'Cadastro Produtos (kiwkiw)'!C:E,3,0)</f>
        <v>Bracelete Dots Banho Ouro</v>
      </c>
      <c r="AB2446" s="33" t="s">
        <v>1368</v>
      </c>
    </row>
    <row r="2447" spans="3:28" ht="15" customHeight="1" x14ac:dyDescent="0.4">
      <c r="C2447" s="34" t="s">
        <v>6</v>
      </c>
      <c r="D2447" s="35">
        <v>46097</v>
      </c>
      <c r="E2447" s="51" t="s">
        <v>824</v>
      </c>
      <c r="F2447" s="33">
        <v>1</v>
      </c>
      <c r="G2447" s="27">
        <f t="shared" si="47"/>
        <v>-1</v>
      </c>
      <c r="H2447" s="28" t="str">
        <f>VLOOKUP(E2447,'Cadastro Produtos (kiwkiw)'!C:E,3,0)</f>
        <v>Pulseira Delicate Banho Ouro</v>
      </c>
      <c r="AB2447" s="33" t="s">
        <v>1368</v>
      </c>
    </row>
    <row r="2448" spans="3:28" ht="15" customHeight="1" x14ac:dyDescent="0.4">
      <c r="C2448" s="34" t="s">
        <v>6</v>
      </c>
      <c r="D2448" s="35">
        <v>46097</v>
      </c>
      <c r="E2448" s="51" t="s">
        <v>33</v>
      </c>
      <c r="F2448" s="33">
        <v>1</v>
      </c>
      <c r="G2448" s="27">
        <f t="shared" si="47"/>
        <v>-1</v>
      </c>
      <c r="H2448" s="28" t="str">
        <f>VLOOKUP(E2448,'Cadastro Produtos (kiwkiw)'!C:E,3,0)</f>
        <v>Argola Torcida Banho Ouro</v>
      </c>
      <c r="AB2448" s="33" t="s">
        <v>1369</v>
      </c>
    </row>
    <row r="2449" spans="2:28" ht="15" customHeight="1" x14ac:dyDescent="0.4">
      <c r="C2449" s="34" t="s">
        <v>6</v>
      </c>
      <c r="D2449" s="35">
        <v>46097</v>
      </c>
      <c r="E2449" s="51" t="s">
        <v>826</v>
      </c>
      <c r="F2449" s="33">
        <v>1</v>
      </c>
      <c r="G2449" s="27">
        <f t="shared" si="47"/>
        <v>-1</v>
      </c>
      <c r="H2449" s="28" t="str">
        <f>VLOOKUP(E2449,'Cadastro Produtos (kiwkiw)'!C:E,3,0)</f>
        <v>Pulseira Torcida Banho Ouro</v>
      </c>
      <c r="AB2449" s="33" t="s">
        <v>1369</v>
      </c>
    </row>
    <row r="2450" spans="2:28" ht="15" customHeight="1" x14ac:dyDescent="0.4">
      <c r="C2450" s="34" t="s">
        <v>6</v>
      </c>
      <c r="D2450" s="35">
        <v>46097</v>
      </c>
      <c r="E2450" s="51" t="s">
        <v>26</v>
      </c>
      <c r="F2450" s="33">
        <v>1</v>
      </c>
      <c r="G2450" s="27">
        <f t="shared" si="47"/>
        <v>-1</v>
      </c>
      <c r="H2450" s="28" t="str">
        <f>VLOOKUP(E2450,'Cadastro Produtos (kiwkiw)'!C:E,3,0)</f>
        <v>Argola Click Grande Banho Ouro</v>
      </c>
      <c r="AB2450" s="33" t="s">
        <v>1370</v>
      </c>
    </row>
    <row r="2451" spans="2:28" ht="15" customHeight="1" x14ac:dyDescent="0.4">
      <c r="C2451" s="34" t="s">
        <v>6</v>
      </c>
      <c r="D2451" s="35">
        <v>46097</v>
      </c>
      <c r="E2451" s="51" t="s">
        <v>792</v>
      </c>
      <c r="F2451" s="33">
        <v>1</v>
      </c>
      <c r="G2451" s="27">
        <f t="shared" si="47"/>
        <v>-1</v>
      </c>
      <c r="H2451" s="28" t="str">
        <f>VLOOKUP(E2451,'Cadastro Produtos (kiwkiw)'!C:E,3,0)</f>
        <v>Colar Gardenia Banho Ouro</v>
      </c>
      <c r="AB2451" s="33" t="s">
        <v>1370</v>
      </c>
    </row>
    <row r="2452" spans="2:28" ht="15" customHeight="1" x14ac:dyDescent="0.4">
      <c r="C2452" s="34" t="s">
        <v>6</v>
      </c>
      <c r="D2452" s="35">
        <v>46097</v>
      </c>
      <c r="E2452" s="51" t="s">
        <v>825</v>
      </c>
      <c r="F2452" s="33">
        <v>1</v>
      </c>
      <c r="G2452" s="27">
        <f t="shared" si="47"/>
        <v>-1</v>
      </c>
      <c r="H2452" s="28" t="str">
        <f>VLOOKUP(E2452,'Cadastro Produtos (kiwkiw)'!C:E,3,0)</f>
        <v>Pulseira Fita 2mm Banho Ouro</v>
      </c>
      <c r="AB2452" s="33" t="s">
        <v>1370</v>
      </c>
    </row>
    <row r="2453" spans="2:28" ht="15" customHeight="1" x14ac:dyDescent="0.4">
      <c r="C2453" s="34" t="s">
        <v>6</v>
      </c>
      <c r="D2453" s="35">
        <v>46097</v>
      </c>
      <c r="E2453" s="51" t="s">
        <v>49</v>
      </c>
      <c r="F2453" s="33">
        <v>1</v>
      </c>
      <c r="G2453" s="27">
        <f t="shared" si="47"/>
        <v>-1</v>
      </c>
      <c r="H2453" s="28" t="str">
        <f>VLOOKUP(E2453,'Cadastro Produtos (kiwkiw)'!C:E,3,0)</f>
        <v>Brinco Coracao Diamond Banho Ouro</v>
      </c>
      <c r="AB2453" s="33" t="s">
        <v>1370</v>
      </c>
    </row>
    <row r="2454" spans="2:28" ht="15" customHeight="1" x14ac:dyDescent="0.4">
      <c r="C2454" s="34" t="s">
        <v>6</v>
      </c>
      <c r="D2454" s="35">
        <v>46097</v>
      </c>
      <c r="E2454" s="51" t="s">
        <v>778</v>
      </c>
      <c r="F2454" s="33">
        <v>1</v>
      </c>
      <c r="G2454" s="27">
        <f t="shared" si="47"/>
        <v>-1</v>
      </c>
      <c r="H2454" s="28" t="str">
        <f>VLOOKUP(E2454,'Cadastro Produtos (kiwkiw)'!C:E,3,0)</f>
        <v>Piercing Fake No Prateado</v>
      </c>
      <c r="AB2454" s="33" t="s">
        <v>1370</v>
      </c>
    </row>
    <row r="2455" spans="2:28" ht="15" customHeight="1" x14ac:dyDescent="0.4">
      <c r="C2455" s="34" t="s">
        <v>6</v>
      </c>
      <c r="D2455" s="35">
        <v>46097</v>
      </c>
      <c r="E2455" s="51" t="s">
        <v>103</v>
      </c>
      <c r="F2455" s="33">
        <v>1</v>
      </c>
      <c r="G2455" s="27">
        <f t="shared" si="47"/>
        <v>-1</v>
      </c>
      <c r="H2455" s="28" t="str">
        <f>VLOOKUP(E2455,'Cadastro Produtos (kiwkiw)'!C:E,3,0)</f>
        <v>Colar Ivy Banho Ouro</v>
      </c>
      <c r="AB2455" s="33" t="s">
        <v>1365</v>
      </c>
    </row>
    <row r="2456" spans="2:28" ht="15" customHeight="1" x14ac:dyDescent="0.4">
      <c r="B2456" s="43">
        <v>46098.423842592594</v>
      </c>
      <c r="C2456" s="34" t="s">
        <v>6</v>
      </c>
      <c r="D2456" s="35">
        <v>46098</v>
      </c>
      <c r="E2456" s="51" t="s">
        <v>117</v>
      </c>
      <c r="F2456" s="33">
        <v>1</v>
      </c>
      <c r="G2456" s="27">
        <f t="shared" si="47"/>
        <v>-1</v>
      </c>
      <c r="H2456" s="28" t="str">
        <f>VLOOKUP(E2456,'Cadastro Produtos (kiwkiw)'!C:E,3,0)</f>
        <v>Gargantilha Minimal Banho Ouro</v>
      </c>
      <c r="AB2456" s="33" t="s">
        <v>1371</v>
      </c>
    </row>
    <row r="2457" spans="2:28" ht="15" customHeight="1" x14ac:dyDescent="0.4">
      <c r="C2457" s="34" t="s">
        <v>6</v>
      </c>
      <c r="D2457" s="35">
        <v>46098</v>
      </c>
      <c r="E2457" s="51" t="s">
        <v>103</v>
      </c>
      <c r="F2457" s="33">
        <v>1</v>
      </c>
      <c r="G2457" s="27">
        <f t="shared" si="47"/>
        <v>-1</v>
      </c>
      <c r="H2457" s="28" t="str">
        <f>VLOOKUP(E2457,'Cadastro Produtos (kiwkiw)'!C:E,3,0)</f>
        <v>Colar Ivy Banho Ouro</v>
      </c>
      <c r="AB2457" s="33" t="s">
        <v>1372</v>
      </c>
    </row>
    <row r="2458" spans="2:28" ht="15" customHeight="1" x14ac:dyDescent="0.4">
      <c r="C2458" s="34" t="s">
        <v>6</v>
      </c>
      <c r="D2458" s="35">
        <v>46098</v>
      </c>
      <c r="E2458" s="51" t="s">
        <v>123</v>
      </c>
      <c r="F2458" s="33">
        <v>1</v>
      </c>
      <c r="G2458" s="27">
        <f t="shared" si="47"/>
        <v>-1</v>
      </c>
      <c r="H2458" s="28" t="str">
        <f>VLOOKUP(E2458,'Cadastro Produtos (kiwkiw)'!C:E,3,0)</f>
        <v>Pulseira Dots Banho Ouro</v>
      </c>
      <c r="AB2458" s="33" t="s">
        <v>1372</v>
      </c>
    </row>
    <row r="2459" spans="2:28" ht="15" customHeight="1" x14ac:dyDescent="0.4">
      <c r="C2459" s="34" t="s">
        <v>6</v>
      </c>
      <c r="D2459" s="35">
        <v>46098</v>
      </c>
      <c r="E2459" s="51" t="s">
        <v>94</v>
      </c>
      <c r="F2459" s="33">
        <v>1</v>
      </c>
      <c r="G2459" s="27">
        <f t="shared" si="47"/>
        <v>-1</v>
      </c>
      <c r="H2459" s="28" t="str">
        <f>VLOOKUP(E2459,'Cadastro Produtos (kiwkiw)'!C:E,3,0)</f>
        <v>Colar Duplo Dots Banho Ouro</v>
      </c>
      <c r="AB2459" s="33" t="s">
        <v>1372</v>
      </c>
    </row>
    <row r="2460" spans="2:28" ht="15" customHeight="1" x14ac:dyDescent="0.4">
      <c r="C2460" s="34" t="s">
        <v>6</v>
      </c>
      <c r="D2460" s="35">
        <v>46098</v>
      </c>
      <c r="E2460" s="51" t="s">
        <v>802</v>
      </c>
      <c r="F2460" s="33">
        <v>1</v>
      </c>
      <c r="G2460" s="27">
        <f t="shared" si="47"/>
        <v>-1</v>
      </c>
      <c r="H2460" s="28" t="str">
        <f>VLOOKUP(E2460,'Cadastro Produtos (kiwkiw)'!C:E,3,0)</f>
        <v>Piercing Fake No Banho Ouro</v>
      </c>
      <c r="AB2460" s="33" t="s">
        <v>1373</v>
      </c>
    </row>
    <row r="2461" spans="2:28" ht="15" customHeight="1" x14ac:dyDescent="0.4">
      <c r="B2461" s="43">
        <v>46099.420798611114</v>
      </c>
      <c r="C2461" s="34" t="s">
        <v>6</v>
      </c>
      <c r="D2461" s="35">
        <v>46099</v>
      </c>
      <c r="E2461" s="51" t="s">
        <v>820</v>
      </c>
      <c r="F2461" s="33">
        <v>1</v>
      </c>
      <c r="G2461" s="27">
        <f t="shared" si="47"/>
        <v>-1</v>
      </c>
      <c r="H2461" s="28" t="str">
        <f>VLOOKUP(E2461,'Cadastro Produtos (kiwkiw)'!C:E,3,0)</f>
        <v>Colar Sol Banho Ouro</v>
      </c>
      <c r="AB2461" s="33" t="s">
        <v>1374</v>
      </c>
    </row>
    <row r="2462" spans="2:28" ht="15" customHeight="1" x14ac:dyDescent="0.4">
      <c r="C2462" s="34" t="s">
        <v>6</v>
      </c>
      <c r="D2462" s="35">
        <v>46099</v>
      </c>
      <c r="E2462" s="51" t="s">
        <v>55</v>
      </c>
      <c r="F2462" s="33">
        <v>1</v>
      </c>
      <c r="G2462" s="27">
        <f t="shared" si="47"/>
        <v>-1</v>
      </c>
      <c r="H2462" s="28" t="str">
        <f>VLOOKUP(E2462,'Cadastro Produtos (kiwkiw)'!C:E,3,0)</f>
        <v>Brinco Ivy Prateado</v>
      </c>
      <c r="AB2462" s="33" t="s">
        <v>1375</v>
      </c>
    </row>
    <row r="2463" spans="2:28" ht="15" customHeight="1" x14ac:dyDescent="0.4">
      <c r="C2463" s="34" t="s">
        <v>6</v>
      </c>
      <c r="D2463" s="35">
        <v>46099</v>
      </c>
      <c r="E2463" s="51" t="s">
        <v>54</v>
      </c>
      <c r="F2463" s="33">
        <v>1</v>
      </c>
      <c r="G2463" s="27">
        <f t="shared" si="47"/>
        <v>-1</v>
      </c>
      <c r="H2463" s="28" t="str">
        <f>VLOOKUP(E2463,'Cadastro Produtos (kiwkiw)'!C:E,3,0)</f>
        <v>Brinco Ivy Banho Ouro</v>
      </c>
      <c r="AB2463" s="33" t="s">
        <v>1375</v>
      </c>
    </row>
    <row r="2464" spans="2:28" ht="15" customHeight="1" x14ac:dyDescent="0.4">
      <c r="C2464" s="34" t="s">
        <v>6</v>
      </c>
      <c r="D2464" s="35">
        <v>46099</v>
      </c>
      <c r="E2464" s="51" t="s">
        <v>40</v>
      </c>
      <c r="F2464" s="33">
        <v>1</v>
      </c>
      <c r="G2464" s="27">
        <f t="shared" si="47"/>
        <v>-1</v>
      </c>
      <c r="H2464" s="28" t="str">
        <f>VLOOKUP(E2464,'Cadastro Produtos (kiwkiw)'!C:E,3,0)</f>
        <v>Argolinha Folha Banho Ouro</v>
      </c>
      <c r="AB2464" s="33" t="s">
        <v>1376</v>
      </c>
    </row>
    <row r="2465" spans="2:28" ht="15" customHeight="1" x14ac:dyDescent="0.4">
      <c r="C2465" s="34" t="s">
        <v>6</v>
      </c>
      <c r="D2465" s="35">
        <v>46099</v>
      </c>
      <c r="E2465" s="51" t="s">
        <v>28</v>
      </c>
      <c r="F2465" s="33">
        <v>1</v>
      </c>
      <c r="G2465" s="27">
        <f t="shared" si="47"/>
        <v>-1</v>
      </c>
      <c r="H2465" s="28" t="str">
        <f>VLOOKUP(E2465,'Cadastro Produtos (kiwkiw)'!C:E,3,0)</f>
        <v>Argola Click Pequena Banho Ouro</v>
      </c>
      <c r="AB2465" s="33" t="s">
        <v>1377</v>
      </c>
    </row>
    <row r="2466" spans="2:28" ht="15" customHeight="1" x14ac:dyDescent="0.4">
      <c r="B2466" s="43">
        <v>46100.419722222221</v>
      </c>
      <c r="C2466" s="34" t="s">
        <v>6</v>
      </c>
      <c r="D2466" s="35">
        <v>46100</v>
      </c>
      <c r="E2466" s="51" t="s">
        <v>26</v>
      </c>
      <c r="F2466" s="33">
        <v>1</v>
      </c>
      <c r="G2466" s="27">
        <f t="shared" si="47"/>
        <v>-1</v>
      </c>
      <c r="H2466" s="28" t="str">
        <f>VLOOKUP(E2466,'Cadastro Produtos (kiwkiw)'!C:E,3,0)</f>
        <v>Argola Click Grande Banho Ouro</v>
      </c>
      <c r="AB2466" s="33" t="s">
        <v>1378</v>
      </c>
    </row>
    <row r="2467" spans="2:28" ht="15" customHeight="1" x14ac:dyDescent="0.4">
      <c r="C2467" s="34" t="s">
        <v>6</v>
      </c>
      <c r="D2467" s="35">
        <v>46100</v>
      </c>
      <c r="E2467" s="51" t="s">
        <v>117</v>
      </c>
      <c r="F2467" s="33">
        <v>1</v>
      </c>
      <c r="G2467" s="27">
        <f t="shared" si="47"/>
        <v>-1</v>
      </c>
      <c r="H2467" s="28" t="str">
        <f>VLOOKUP(E2467,'Cadastro Produtos (kiwkiw)'!C:E,3,0)</f>
        <v>Gargantilha Minimal Banho Ouro</v>
      </c>
      <c r="AB2467" s="33" t="s">
        <v>1378</v>
      </c>
    </row>
    <row r="2468" spans="2:28" ht="15" customHeight="1" x14ac:dyDescent="0.4">
      <c r="B2468" s="43">
        <v>46101.420173611114</v>
      </c>
      <c r="C2468" s="34" t="s">
        <v>6</v>
      </c>
      <c r="D2468" s="35">
        <v>46101</v>
      </c>
      <c r="E2468" s="51" t="s">
        <v>117</v>
      </c>
      <c r="F2468" s="33">
        <v>2</v>
      </c>
      <c r="G2468" s="27">
        <f t="shared" si="47"/>
        <v>-2</v>
      </c>
      <c r="H2468" s="28" t="str">
        <f>VLOOKUP(E2468,'Cadastro Produtos (kiwkiw)'!C:E,3,0)</f>
        <v>Gargantilha Minimal Banho Ouro</v>
      </c>
      <c r="AB2468" s="33" t="s">
        <v>1379</v>
      </c>
    </row>
    <row r="2469" spans="2:28" ht="15" customHeight="1" x14ac:dyDescent="0.4">
      <c r="C2469" s="34" t="s">
        <v>6</v>
      </c>
      <c r="D2469" s="35">
        <v>46101</v>
      </c>
      <c r="E2469" s="51" t="s">
        <v>117</v>
      </c>
      <c r="F2469" s="33">
        <v>1</v>
      </c>
      <c r="G2469" s="27">
        <f t="shared" si="47"/>
        <v>-1</v>
      </c>
      <c r="H2469" s="28" t="str">
        <f>VLOOKUP(E2469,'Cadastro Produtos (kiwkiw)'!C:E,3,0)</f>
        <v>Gargantilha Minimal Banho Ouro</v>
      </c>
      <c r="AB2469" s="33" t="s">
        <v>1380</v>
      </c>
    </row>
    <row r="2470" spans="2:28" ht="15" customHeight="1" x14ac:dyDescent="0.4">
      <c r="C2470" s="34" t="s">
        <v>6</v>
      </c>
      <c r="D2470" s="35">
        <v>46101</v>
      </c>
      <c r="E2470" s="51" t="s">
        <v>118</v>
      </c>
      <c r="F2470" s="33">
        <v>1</v>
      </c>
      <c r="G2470" s="27">
        <f t="shared" si="47"/>
        <v>-1</v>
      </c>
      <c r="H2470" s="28" t="str">
        <f>VLOOKUP(E2470,'Cadastro Produtos (kiwkiw)'!C:E,3,0)</f>
        <v>Gargantilha Minimal Prateada</v>
      </c>
      <c r="AB2470" s="33" t="s">
        <v>1380</v>
      </c>
    </row>
    <row r="2471" spans="2:28" ht="15" customHeight="1" x14ac:dyDescent="0.4">
      <c r="C2471" s="34" t="s">
        <v>5</v>
      </c>
      <c r="D2471" s="35">
        <v>46101</v>
      </c>
      <c r="E2471" s="51" t="s">
        <v>808</v>
      </c>
      <c r="F2471" s="33">
        <v>1</v>
      </c>
      <c r="G2471" s="27">
        <f t="shared" si="47"/>
        <v>1</v>
      </c>
      <c r="H2471" s="28" t="str">
        <f>VLOOKUP(E2471,'Cadastro Produtos (kiwkiw)'!C:E,3,0)</f>
        <v>Bracelete Curves Banho Ouro</v>
      </c>
      <c r="I2471" s="32" t="s">
        <v>1381</v>
      </c>
    </row>
    <row r="2472" spans="2:28" ht="15" customHeight="1" x14ac:dyDescent="0.4">
      <c r="B2472" s="43">
        <v>46104.424710648149</v>
      </c>
      <c r="C2472" s="34" t="s">
        <v>6</v>
      </c>
      <c r="D2472" s="35">
        <v>46104</v>
      </c>
      <c r="E2472" s="51" t="s">
        <v>105</v>
      </c>
      <c r="F2472" s="33">
        <v>1</v>
      </c>
      <c r="G2472" s="27">
        <f t="shared" si="47"/>
        <v>-1</v>
      </c>
      <c r="H2472" s="28" t="str">
        <f>VLOOKUP(E2472,'Cadastro Produtos (kiwkiw)'!C:E,3,0)</f>
        <v>Colar Rosa Banho Ouro</v>
      </c>
      <c r="AB2472" s="33" t="s">
        <v>1382</v>
      </c>
    </row>
    <row r="2473" spans="2:28" ht="15" customHeight="1" x14ac:dyDescent="0.4">
      <c r="C2473" s="34" t="s">
        <v>6</v>
      </c>
      <c r="D2473" s="35">
        <v>46104</v>
      </c>
      <c r="E2473" s="51" t="s">
        <v>72</v>
      </c>
      <c r="F2473" s="33">
        <v>1</v>
      </c>
      <c r="G2473" s="27">
        <f t="shared" si="47"/>
        <v>-1</v>
      </c>
      <c r="H2473" s="28" t="str">
        <f>VLOOKUP(E2473,'Cadastro Produtos (kiwkiw)'!C:E,3,0)</f>
        <v>Ear Hook Line Banho Ouro</v>
      </c>
      <c r="AB2473" s="33" t="s">
        <v>1383</v>
      </c>
    </row>
    <row r="2474" spans="2:28" ht="15" customHeight="1" x14ac:dyDescent="0.4">
      <c r="C2474" s="34" t="s">
        <v>6</v>
      </c>
      <c r="D2474" s="35">
        <v>46104</v>
      </c>
      <c r="E2474" s="51" t="s">
        <v>72</v>
      </c>
      <c r="F2474" s="33">
        <v>1</v>
      </c>
      <c r="G2474" s="27">
        <f t="shared" si="47"/>
        <v>-1</v>
      </c>
      <c r="H2474" s="28" t="str">
        <f>VLOOKUP(E2474,'Cadastro Produtos (kiwkiw)'!C:E,3,0)</f>
        <v>Ear Hook Line Banho Ouro</v>
      </c>
      <c r="AB2474" s="33" t="s">
        <v>1384</v>
      </c>
    </row>
    <row r="2475" spans="2:28" ht="15" customHeight="1" x14ac:dyDescent="0.4">
      <c r="C2475" s="34" t="s">
        <v>6</v>
      </c>
      <c r="D2475" s="35">
        <v>46104</v>
      </c>
      <c r="E2475" s="51" t="s">
        <v>820</v>
      </c>
      <c r="F2475" s="33">
        <v>1</v>
      </c>
      <c r="G2475" s="27">
        <f t="shared" si="47"/>
        <v>-1</v>
      </c>
      <c r="H2475" s="28" t="str">
        <f>VLOOKUP(E2475,'Cadastro Produtos (kiwkiw)'!C:E,3,0)</f>
        <v>Colar Sol Banho Ouro</v>
      </c>
      <c r="AB2475" s="33" t="s">
        <v>1385</v>
      </c>
    </row>
    <row r="2476" spans="2:28" ht="15" customHeight="1" x14ac:dyDescent="0.4">
      <c r="C2476" s="34" t="s">
        <v>6</v>
      </c>
      <c r="D2476" s="35">
        <v>46104</v>
      </c>
      <c r="E2476" s="51" t="s">
        <v>131</v>
      </c>
      <c r="F2476" s="33">
        <v>1</v>
      </c>
      <c r="G2476" s="27">
        <f t="shared" si="47"/>
        <v>-1</v>
      </c>
      <c r="H2476" s="28" t="str">
        <f>VLOOKUP(E2476,'Cadastro Produtos (kiwkiw)'!C:E,3,0)</f>
        <v>Colar Brave Perolado Banho Ouro</v>
      </c>
      <c r="AB2476" s="33" t="s">
        <v>1384</v>
      </c>
    </row>
    <row r="2477" spans="2:28" ht="15" customHeight="1" x14ac:dyDescent="0.4">
      <c r="C2477" s="34" t="s">
        <v>6</v>
      </c>
      <c r="D2477" s="35">
        <v>46104</v>
      </c>
      <c r="E2477" s="51" t="s">
        <v>56</v>
      </c>
      <c r="F2477" s="33">
        <v>1</v>
      </c>
      <c r="G2477" s="27">
        <f t="shared" si="47"/>
        <v>-1</v>
      </c>
      <c r="H2477" s="28" t="str">
        <f>VLOOKUP(E2477,'Cadastro Produtos (kiwkiw)'!C:E,3,0)</f>
        <v>Brinco Mini Raio Banho Ouro</v>
      </c>
      <c r="AB2477" s="33" t="s">
        <v>1384</v>
      </c>
    </row>
    <row r="2478" spans="2:28" ht="15" customHeight="1" x14ac:dyDescent="0.4">
      <c r="C2478" s="34" t="s">
        <v>6</v>
      </c>
      <c r="D2478" s="35">
        <v>46104</v>
      </c>
      <c r="E2478" s="51" t="s">
        <v>95</v>
      </c>
      <c r="F2478" s="33">
        <v>1</v>
      </c>
      <c r="G2478" s="27">
        <f t="shared" si="47"/>
        <v>-1</v>
      </c>
      <c r="H2478" s="28" t="str">
        <f>VLOOKUP(E2478,'Cadastro Produtos (kiwkiw)'!C:E,3,0)</f>
        <v>Colar Duplo Dots Prateado</v>
      </c>
      <c r="AB2478" s="33" t="s">
        <v>1386</v>
      </c>
    </row>
    <row r="2479" spans="2:28" ht="15" customHeight="1" x14ac:dyDescent="0.4">
      <c r="C2479" s="34" t="s">
        <v>6</v>
      </c>
      <c r="D2479" s="35">
        <v>46104</v>
      </c>
      <c r="E2479" s="51" t="s">
        <v>117</v>
      </c>
      <c r="F2479" s="33">
        <v>1</v>
      </c>
      <c r="G2479" s="27">
        <f t="shared" si="47"/>
        <v>-1</v>
      </c>
      <c r="H2479" s="28" t="str">
        <f>VLOOKUP(E2479,'Cadastro Produtos (kiwkiw)'!C:E,3,0)</f>
        <v>Gargantilha Minimal Banho Ouro</v>
      </c>
      <c r="AB2479" s="33" t="s">
        <v>1386</v>
      </c>
    </row>
    <row r="2480" spans="2:28" ht="15" customHeight="1" x14ac:dyDescent="0.4">
      <c r="C2480" s="34" t="s">
        <v>6</v>
      </c>
      <c r="D2480" s="35">
        <v>46104</v>
      </c>
      <c r="E2480" s="51" t="s">
        <v>802</v>
      </c>
      <c r="F2480" s="33">
        <v>1</v>
      </c>
      <c r="G2480" s="27">
        <f t="shared" si="47"/>
        <v>-1</v>
      </c>
      <c r="H2480" s="28" t="str">
        <f>VLOOKUP(E2480,'Cadastro Produtos (kiwkiw)'!C:E,3,0)</f>
        <v>Piercing Fake No Banho Ouro</v>
      </c>
      <c r="AB2480" s="33" t="s">
        <v>1387</v>
      </c>
    </row>
    <row r="2481" spans="2:28" ht="15" customHeight="1" x14ac:dyDescent="0.4">
      <c r="B2481" s="43">
        <v>46105.423993055556</v>
      </c>
      <c r="C2481" s="34" t="s">
        <v>6</v>
      </c>
      <c r="D2481" s="35">
        <v>46105</v>
      </c>
      <c r="E2481" s="51" t="s">
        <v>802</v>
      </c>
      <c r="F2481" s="33">
        <v>1</v>
      </c>
      <c r="G2481" s="27">
        <f t="shared" si="47"/>
        <v>-1</v>
      </c>
      <c r="H2481" s="28" t="str">
        <f>VLOOKUP(E2481,'Cadastro Produtos (kiwkiw)'!C:E,3,0)</f>
        <v>Piercing Fake No Banho Ouro</v>
      </c>
      <c r="AB2481" s="33" t="s">
        <v>1388</v>
      </c>
    </row>
    <row r="2482" spans="2:28" ht="15" customHeight="1" x14ac:dyDescent="0.4">
      <c r="C2482" s="34" t="s">
        <v>6</v>
      </c>
      <c r="D2482" s="35">
        <v>46105</v>
      </c>
      <c r="E2482" s="51" t="s">
        <v>117</v>
      </c>
      <c r="F2482" s="33">
        <v>1</v>
      </c>
      <c r="G2482" s="27">
        <f t="shared" si="47"/>
        <v>-1</v>
      </c>
      <c r="H2482" s="28" t="str">
        <f>VLOOKUP(E2482,'Cadastro Produtos (kiwkiw)'!C:E,3,0)</f>
        <v>Gargantilha Minimal Banho Ouro</v>
      </c>
      <c r="AB2482" s="33" t="s">
        <v>1389</v>
      </c>
    </row>
    <row r="2483" spans="2:28" ht="15" customHeight="1" x14ac:dyDescent="0.4">
      <c r="C2483" s="34" t="s">
        <v>6</v>
      </c>
      <c r="D2483" s="35">
        <v>46105</v>
      </c>
      <c r="E2483" s="51" t="s">
        <v>54</v>
      </c>
      <c r="F2483" s="33">
        <v>1</v>
      </c>
      <c r="G2483" s="27">
        <f t="shared" si="47"/>
        <v>-1</v>
      </c>
      <c r="H2483" s="28" t="str">
        <f>VLOOKUP(E2483,'Cadastro Produtos (kiwkiw)'!C:E,3,0)</f>
        <v>Brinco Ivy Banho Ouro</v>
      </c>
      <c r="AB2483" s="33" t="s">
        <v>1389</v>
      </c>
    </row>
    <row r="2484" spans="2:28" ht="15" customHeight="1" x14ac:dyDescent="0.4">
      <c r="C2484" s="34" t="s">
        <v>6</v>
      </c>
      <c r="D2484" s="35">
        <v>46105</v>
      </c>
      <c r="E2484" s="51" t="s">
        <v>821</v>
      </c>
      <c r="F2484" s="33">
        <v>1</v>
      </c>
      <c r="G2484" s="27">
        <f t="shared" si="47"/>
        <v>-1</v>
      </c>
      <c r="H2484" s="28" t="str">
        <f>VLOOKUP(E2484,'Cadastro Produtos (kiwkiw)'!C:E,3,0)</f>
        <v>Ear Cuff Snake Banho Ouro</v>
      </c>
      <c r="AB2484" s="33" t="s">
        <v>1390</v>
      </c>
    </row>
    <row r="2485" spans="2:28" ht="15" customHeight="1" x14ac:dyDescent="0.4">
      <c r="C2485" s="34" t="s">
        <v>5</v>
      </c>
      <c r="D2485" s="35">
        <v>46105</v>
      </c>
      <c r="E2485" s="51" t="s">
        <v>797</v>
      </c>
      <c r="F2485" s="33">
        <v>1</v>
      </c>
      <c r="G2485" s="27">
        <f t="shared" si="47"/>
        <v>1</v>
      </c>
      <c r="H2485" s="28" t="str">
        <f>VLOOKUP(E2485,'Cadastro Produtos (kiwkiw)'!C:E,3,0)</f>
        <v>Colar Ponto de Luz Banho Ouro</v>
      </c>
      <c r="I2485" s="32" t="s">
        <v>1391</v>
      </c>
    </row>
    <row r="2486" spans="2:28" ht="15" customHeight="1" x14ac:dyDescent="0.4">
      <c r="C2486" s="34" t="s">
        <v>5</v>
      </c>
      <c r="D2486" s="35">
        <v>46105</v>
      </c>
      <c r="E2486" s="51" t="s">
        <v>116</v>
      </c>
      <c r="F2486" s="33">
        <v>1</v>
      </c>
      <c r="G2486" s="27">
        <f t="shared" si="47"/>
        <v>1</v>
      </c>
      <c r="H2486" s="28" t="str">
        <f>VLOOKUP(E2486,'Cadastro Produtos (kiwkiw)'!C:E,3,0)</f>
        <v>Gargantilha Dots Banho Ouro</v>
      </c>
      <c r="I2486" s="32" t="s">
        <v>1391</v>
      </c>
    </row>
    <row r="2487" spans="2:28" ht="15" customHeight="1" x14ac:dyDescent="0.4">
      <c r="C2487" s="34" t="s">
        <v>5</v>
      </c>
      <c r="D2487" s="35">
        <v>46105</v>
      </c>
      <c r="E2487" s="51" t="s">
        <v>103</v>
      </c>
      <c r="F2487" s="33">
        <v>1</v>
      </c>
      <c r="G2487" s="27">
        <f t="shared" ref="G2487:G2550" si="48">IF(C2487="Entrada",F2487,-F2487)</f>
        <v>1</v>
      </c>
      <c r="H2487" s="28" t="str">
        <f>VLOOKUP(E2487,'Cadastro Produtos (kiwkiw)'!C:E,3,0)</f>
        <v>Colar Ivy Banho Ouro</v>
      </c>
      <c r="I2487" s="32" t="s">
        <v>1391</v>
      </c>
    </row>
    <row r="2488" spans="2:28" ht="15" customHeight="1" x14ac:dyDescent="0.4">
      <c r="C2488" s="34" t="s">
        <v>5</v>
      </c>
      <c r="D2488" s="35">
        <v>46105</v>
      </c>
      <c r="E2488" s="51" t="s">
        <v>29</v>
      </c>
      <c r="F2488" s="33">
        <v>1</v>
      </c>
      <c r="G2488" s="27">
        <f t="shared" si="48"/>
        <v>1</v>
      </c>
      <c r="H2488" s="28" t="str">
        <f>VLOOKUP(E2488,'Cadastro Produtos (kiwkiw)'!C:E,3,0)</f>
        <v>Argola Click Diamond Banho Ouro</v>
      </c>
      <c r="I2488" s="32" t="s">
        <v>1392</v>
      </c>
    </row>
    <row r="2489" spans="2:28" ht="15" customHeight="1" x14ac:dyDescent="0.4">
      <c r="C2489" s="34" t="s">
        <v>6</v>
      </c>
      <c r="D2489" s="35">
        <v>46105</v>
      </c>
      <c r="E2489" s="51" t="s">
        <v>808</v>
      </c>
      <c r="F2489" s="33">
        <v>2</v>
      </c>
      <c r="G2489" s="27">
        <f t="shared" si="48"/>
        <v>-2</v>
      </c>
      <c r="H2489" s="28" t="str">
        <f>VLOOKUP(E2489,'Cadastro Produtos (kiwkiw)'!C:E,3,0)</f>
        <v>Bracelete Curves Banho Ouro</v>
      </c>
      <c r="I2489" s="32" t="s">
        <v>1392</v>
      </c>
    </row>
    <row r="2490" spans="2:28" ht="15" customHeight="1" x14ac:dyDescent="0.4">
      <c r="C2490" s="34" t="s">
        <v>5</v>
      </c>
      <c r="D2490" s="35">
        <v>46105</v>
      </c>
      <c r="E2490" s="51" t="s">
        <v>121</v>
      </c>
      <c r="F2490" s="33">
        <v>1</v>
      </c>
      <c r="G2490" s="27">
        <f t="shared" si="48"/>
        <v>1</v>
      </c>
      <c r="H2490" s="28" t="str">
        <f>VLOOKUP(E2490,'Cadastro Produtos (kiwkiw)'!C:E,3,0)</f>
        <v>Bracelete Wave Banho Ouro</v>
      </c>
      <c r="I2490" s="32" t="s">
        <v>1392</v>
      </c>
    </row>
    <row r="2491" spans="2:28" ht="15" customHeight="1" x14ac:dyDescent="0.4">
      <c r="C2491" s="34" t="s">
        <v>5</v>
      </c>
      <c r="D2491" s="35">
        <v>46105</v>
      </c>
      <c r="E2491" s="51" t="s">
        <v>70</v>
      </c>
      <c r="F2491" s="33">
        <v>1</v>
      </c>
      <c r="G2491" s="27">
        <f t="shared" si="48"/>
        <v>1</v>
      </c>
      <c r="H2491" s="28" t="str">
        <f>VLOOKUP(E2491,'Cadastro Produtos (kiwkiw)'!C:E,3,0)</f>
        <v>Brinco Geometrico Banho Ouro</v>
      </c>
      <c r="I2491" s="32" t="s">
        <v>1392</v>
      </c>
    </row>
    <row r="2492" spans="2:28" ht="15" customHeight="1" x14ac:dyDescent="0.4">
      <c r="C2492" s="34" t="s">
        <v>6</v>
      </c>
      <c r="D2492" s="35">
        <v>46105</v>
      </c>
      <c r="E2492" s="51" t="s">
        <v>812</v>
      </c>
      <c r="F2492" s="33">
        <v>1</v>
      </c>
      <c r="G2492" s="27">
        <f t="shared" si="48"/>
        <v>-1</v>
      </c>
      <c r="H2492" s="28" t="str">
        <f>VLOOKUP(E2492,'Cadastro Produtos (kiwkiw)'!C:E,3,0)</f>
        <v>Brinco Leque Banho Ouro</v>
      </c>
      <c r="I2492" s="32" t="s">
        <v>1392</v>
      </c>
    </row>
    <row r="2493" spans="2:28" ht="15" customHeight="1" x14ac:dyDescent="0.4">
      <c r="C2493" s="34" t="s">
        <v>6</v>
      </c>
      <c r="D2493" s="35">
        <v>46105</v>
      </c>
      <c r="E2493" s="51" t="s">
        <v>818</v>
      </c>
      <c r="F2493" s="33">
        <v>1</v>
      </c>
      <c r="G2493" s="27">
        <f t="shared" si="48"/>
        <v>-1</v>
      </c>
      <c r="H2493" s="28" t="str">
        <f>VLOOKUP(E2493,'Cadastro Produtos (kiwkiw)'!C:E,3,0)</f>
        <v>Colar Longo Medalhinhas Banho Ouro</v>
      </c>
      <c r="I2493" s="32" t="s">
        <v>1392</v>
      </c>
    </row>
    <row r="2494" spans="2:28" ht="15" customHeight="1" x14ac:dyDescent="0.4">
      <c r="C2494" s="34" t="s">
        <v>5</v>
      </c>
      <c r="D2494" s="35">
        <v>46105</v>
      </c>
      <c r="E2494" s="51" t="s">
        <v>819</v>
      </c>
      <c r="F2494" s="33">
        <v>1</v>
      </c>
      <c r="G2494" s="27">
        <f t="shared" si="48"/>
        <v>1</v>
      </c>
      <c r="H2494" s="28" t="str">
        <f>VLOOKUP(E2494,'Cadastro Produtos (kiwkiw)'!C:E,3,0)</f>
        <v>Colar Pearl Fecho Frontal Banho Ouro</v>
      </c>
      <c r="I2494" s="32" t="s">
        <v>1392</v>
      </c>
    </row>
    <row r="2495" spans="2:28" ht="15" customHeight="1" x14ac:dyDescent="0.4">
      <c r="C2495" s="34" t="s">
        <v>5</v>
      </c>
      <c r="D2495" s="35">
        <v>46105</v>
      </c>
      <c r="E2495" s="51" t="s">
        <v>833</v>
      </c>
      <c r="F2495" s="33">
        <v>1</v>
      </c>
      <c r="G2495" s="27">
        <f t="shared" si="48"/>
        <v>1</v>
      </c>
      <c r="H2495" s="28" t="str">
        <f>VLOOKUP(E2495,'Cadastro Produtos (kiwkiw)'!C:E,3,0)</f>
        <v>Ear Hook Encaixe Cruzado Banho Ouro</v>
      </c>
      <c r="I2495" s="32" t="s">
        <v>1392</v>
      </c>
    </row>
    <row r="2496" spans="2:28" ht="15" customHeight="1" x14ac:dyDescent="0.4">
      <c r="C2496" s="34" t="s">
        <v>5</v>
      </c>
      <c r="D2496" s="35">
        <v>46105</v>
      </c>
      <c r="E2496" s="51" t="s">
        <v>787</v>
      </c>
      <c r="F2496" s="33">
        <v>1</v>
      </c>
      <c r="G2496" s="27">
        <f t="shared" si="48"/>
        <v>1</v>
      </c>
      <c r="H2496" s="28" t="str">
        <f>VLOOKUP(E2496,'Cadastro Produtos (kiwkiw)'!C:E,3,0)</f>
        <v>Ear Hook Encaixe Triplo Banho Ouro</v>
      </c>
      <c r="I2496" s="32" t="s">
        <v>1392</v>
      </c>
    </row>
    <row r="2497" spans="2:28" ht="15" customHeight="1" x14ac:dyDescent="0.4">
      <c r="C2497" s="34" t="s">
        <v>5</v>
      </c>
      <c r="D2497" s="35">
        <v>46105</v>
      </c>
      <c r="E2497" s="51" t="s">
        <v>800</v>
      </c>
      <c r="F2497" s="33">
        <v>1</v>
      </c>
      <c r="G2497" s="27">
        <f t="shared" si="48"/>
        <v>1</v>
      </c>
      <c r="H2497" s="28" t="str">
        <f>VLOOKUP(E2497,'Cadastro Produtos (kiwkiw)'!C:E,3,0)</f>
        <v>Gargantilha Groumet Banho Ouro</v>
      </c>
      <c r="I2497" s="32" t="s">
        <v>1392</v>
      </c>
    </row>
    <row r="2498" spans="2:28" ht="15" customHeight="1" x14ac:dyDescent="0.4">
      <c r="C2498" s="34" t="s">
        <v>5</v>
      </c>
      <c r="D2498" s="35">
        <v>46105</v>
      </c>
      <c r="E2498" s="51" t="s">
        <v>117</v>
      </c>
      <c r="F2498" s="33">
        <v>3</v>
      </c>
      <c r="G2498" s="27">
        <f t="shared" si="48"/>
        <v>3</v>
      </c>
      <c r="H2498" s="28" t="str">
        <f>VLOOKUP(E2498,'Cadastro Produtos (kiwkiw)'!C:E,3,0)</f>
        <v>Gargantilha Minimal Banho Ouro</v>
      </c>
      <c r="I2498" s="32" t="s">
        <v>1392</v>
      </c>
    </row>
    <row r="2499" spans="2:28" ht="15" customHeight="1" x14ac:dyDescent="0.4">
      <c r="C2499" s="34" t="s">
        <v>5</v>
      </c>
      <c r="D2499" s="35">
        <v>46105</v>
      </c>
      <c r="E2499" s="51" t="s">
        <v>118</v>
      </c>
      <c r="F2499" s="33">
        <v>1</v>
      </c>
      <c r="G2499" s="27">
        <f t="shared" si="48"/>
        <v>1</v>
      </c>
      <c r="H2499" s="28" t="str">
        <f>VLOOKUP(E2499,'Cadastro Produtos (kiwkiw)'!C:E,3,0)</f>
        <v>Gargantilha Minimal Prateada</v>
      </c>
      <c r="I2499" s="32" t="s">
        <v>1392</v>
      </c>
    </row>
    <row r="2500" spans="2:28" ht="15" customHeight="1" x14ac:dyDescent="0.4">
      <c r="B2500" s="43">
        <v>46106.423784722225</v>
      </c>
      <c r="C2500" s="34" t="s">
        <v>6</v>
      </c>
      <c r="D2500" s="35">
        <v>46106</v>
      </c>
      <c r="E2500" s="51" t="s">
        <v>117</v>
      </c>
      <c r="F2500" s="33">
        <v>1</v>
      </c>
      <c r="G2500" s="27">
        <f t="shared" si="48"/>
        <v>-1</v>
      </c>
      <c r="H2500" s="28" t="str">
        <f>VLOOKUP(E2500,'Cadastro Produtos (kiwkiw)'!C:E,3,0)</f>
        <v>Gargantilha Minimal Banho Ouro</v>
      </c>
      <c r="AB2500" s="33" t="s">
        <v>1393</v>
      </c>
    </row>
    <row r="2501" spans="2:28" ht="15" customHeight="1" x14ac:dyDescent="0.4">
      <c r="C2501" s="34" t="s">
        <v>6</v>
      </c>
      <c r="D2501" s="35">
        <v>46106</v>
      </c>
      <c r="E2501" s="51" t="s">
        <v>787</v>
      </c>
      <c r="F2501" s="33">
        <v>1</v>
      </c>
      <c r="G2501" s="27">
        <f t="shared" si="48"/>
        <v>-1</v>
      </c>
      <c r="H2501" s="28" t="str">
        <f>VLOOKUP(E2501,'Cadastro Produtos (kiwkiw)'!C:E,3,0)</f>
        <v>Ear Hook Encaixe Triplo Banho Ouro</v>
      </c>
      <c r="AB2501" s="33" t="s">
        <v>1394</v>
      </c>
    </row>
    <row r="2502" spans="2:28" ht="15" customHeight="1" x14ac:dyDescent="0.4">
      <c r="C2502" s="34" t="s">
        <v>6</v>
      </c>
      <c r="D2502" s="35">
        <v>46106</v>
      </c>
      <c r="E2502" s="51" t="s">
        <v>811</v>
      </c>
      <c r="F2502" s="33">
        <v>1</v>
      </c>
      <c r="G2502" s="27">
        <f t="shared" si="48"/>
        <v>-1</v>
      </c>
      <c r="H2502" s="28" t="str">
        <f>VLOOKUP(E2502,'Cadastro Produtos (kiwkiw)'!C:E,3,0)</f>
        <v>Brinco Drop P Banho Ouro</v>
      </c>
      <c r="AB2502" s="33" t="s">
        <v>1394</v>
      </c>
    </row>
    <row r="2503" spans="2:28" ht="15" customHeight="1" x14ac:dyDescent="0.4">
      <c r="C2503" s="34" t="s">
        <v>6</v>
      </c>
      <c r="D2503" s="35">
        <v>46106</v>
      </c>
      <c r="E2503" s="51" t="s">
        <v>804</v>
      </c>
      <c r="F2503" s="33">
        <v>1</v>
      </c>
      <c r="G2503" s="27">
        <f t="shared" si="48"/>
        <v>-1</v>
      </c>
      <c r="H2503" s="28" t="str">
        <f>VLOOKUP(E2503,'Cadastro Produtos (kiwkiw)'!C:E,3,0)</f>
        <v>Anel Drop Banho Ouro</v>
      </c>
      <c r="AB2503" s="33" t="s">
        <v>1394</v>
      </c>
    </row>
    <row r="2504" spans="2:28" ht="15" customHeight="1" x14ac:dyDescent="0.4">
      <c r="C2504" s="34" t="s">
        <v>6</v>
      </c>
      <c r="D2504" s="35">
        <v>46106</v>
      </c>
      <c r="E2504" s="51" t="s">
        <v>806</v>
      </c>
      <c r="F2504" s="33">
        <v>1</v>
      </c>
      <c r="G2504" s="27">
        <f t="shared" si="48"/>
        <v>-1</v>
      </c>
      <c r="H2504" s="28" t="str">
        <f>VLOOKUP(E2504,'Cadastro Produtos (kiwkiw)'!C:E,3,0)</f>
        <v>Anel Roll Banho Ouro</v>
      </c>
      <c r="AB2504" s="33" t="s">
        <v>1394</v>
      </c>
    </row>
    <row r="2505" spans="2:28" ht="15" customHeight="1" x14ac:dyDescent="0.4">
      <c r="C2505" s="34" t="s">
        <v>6</v>
      </c>
      <c r="D2505" s="35">
        <v>46106</v>
      </c>
      <c r="E2505" s="51" t="s">
        <v>824</v>
      </c>
      <c r="F2505" s="33">
        <v>1</v>
      </c>
      <c r="G2505" s="27">
        <f t="shared" si="48"/>
        <v>-1</v>
      </c>
      <c r="H2505" s="28" t="str">
        <f>VLOOKUP(E2505,'Cadastro Produtos (kiwkiw)'!C:E,3,0)</f>
        <v>Pulseira Delicate Banho Ouro</v>
      </c>
      <c r="AB2505" s="33" t="s">
        <v>1394</v>
      </c>
    </row>
    <row r="2506" spans="2:28" ht="15" customHeight="1" x14ac:dyDescent="0.4">
      <c r="C2506" s="34" t="s">
        <v>5</v>
      </c>
      <c r="D2506" s="35">
        <v>46106</v>
      </c>
      <c r="E2506" s="51" t="s">
        <v>117</v>
      </c>
      <c r="F2506" s="33">
        <v>1</v>
      </c>
      <c r="G2506" s="27">
        <f t="shared" si="48"/>
        <v>1</v>
      </c>
      <c r="H2506" s="28" t="str">
        <f>VLOOKUP(E2506,'Cadastro Produtos (kiwkiw)'!C:E,3,0)</f>
        <v>Gargantilha Minimal Banho Ouro</v>
      </c>
      <c r="I2506" s="32" t="s">
        <v>1395</v>
      </c>
    </row>
    <row r="2507" spans="2:28" ht="15" customHeight="1" x14ac:dyDescent="0.4">
      <c r="B2507" s="43">
        <v>46107.419340277775</v>
      </c>
      <c r="C2507" s="34" t="s">
        <v>6</v>
      </c>
      <c r="D2507" s="35">
        <v>46107</v>
      </c>
      <c r="E2507" s="51" t="s">
        <v>802</v>
      </c>
      <c r="F2507" s="33">
        <v>1</v>
      </c>
      <c r="G2507" s="27">
        <f t="shared" si="48"/>
        <v>-1</v>
      </c>
      <c r="H2507" s="28" t="str">
        <f>VLOOKUP(E2507,'Cadastro Produtos (kiwkiw)'!C:E,3,0)</f>
        <v>Piercing Fake No Banho Ouro</v>
      </c>
      <c r="AB2507" s="33" t="s">
        <v>1396</v>
      </c>
    </row>
    <row r="2508" spans="2:28" ht="15" customHeight="1" x14ac:dyDescent="0.4">
      <c r="C2508" s="34" t="s">
        <v>6</v>
      </c>
      <c r="D2508" s="35">
        <v>46107</v>
      </c>
      <c r="E2508" s="51" t="s">
        <v>778</v>
      </c>
      <c r="F2508" s="33">
        <v>1</v>
      </c>
      <c r="G2508" s="27">
        <f t="shared" si="48"/>
        <v>-1</v>
      </c>
      <c r="H2508" s="28" t="str">
        <f>VLOOKUP(E2508,'Cadastro Produtos (kiwkiw)'!C:E,3,0)</f>
        <v>Piercing Fake No Prateado</v>
      </c>
      <c r="AB2508" s="33" t="s">
        <v>1396</v>
      </c>
    </row>
    <row r="2509" spans="2:28" ht="15" customHeight="1" x14ac:dyDescent="0.4">
      <c r="B2509" s="43">
        <v>46108.422199074077</v>
      </c>
      <c r="C2509" s="34" t="s">
        <v>6</v>
      </c>
      <c r="D2509" s="35">
        <v>46108</v>
      </c>
      <c r="E2509" s="51" t="s">
        <v>62</v>
      </c>
      <c r="F2509" s="33">
        <v>1</v>
      </c>
      <c r="G2509" s="27">
        <f t="shared" si="48"/>
        <v>-1</v>
      </c>
      <c r="H2509" s="28" t="str">
        <f>VLOOKUP(E2509,'Cadastro Produtos (kiwkiw)'!C:E,3,0)</f>
        <v>Brinco Sol Banho Ouro</v>
      </c>
      <c r="AB2509" s="33" t="s">
        <v>1397</v>
      </c>
    </row>
    <row r="2510" spans="2:28" ht="15" customHeight="1" x14ac:dyDescent="0.4">
      <c r="C2510" s="34" t="s">
        <v>6</v>
      </c>
      <c r="D2510" s="35">
        <v>46108</v>
      </c>
      <c r="E2510" s="51" t="s">
        <v>792</v>
      </c>
      <c r="F2510" s="33">
        <v>1</v>
      </c>
      <c r="G2510" s="27">
        <f t="shared" si="48"/>
        <v>-1</v>
      </c>
      <c r="H2510" s="28" t="str">
        <f>VLOOKUP(E2510,'Cadastro Produtos (kiwkiw)'!C:E,3,0)</f>
        <v>Colar Gardenia Banho Ouro</v>
      </c>
      <c r="AB2510" s="33" t="s">
        <v>1398</v>
      </c>
    </row>
    <row r="2511" spans="2:28" ht="15" customHeight="1" x14ac:dyDescent="0.4">
      <c r="C2511" s="34" t="s">
        <v>6</v>
      </c>
      <c r="D2511" s="35">
        <v>46108</v>
      </c>
      <c r="E2511" s="51" t="s">
        <v>114</v>
      </c>
      <c r="F2511" s="33">
        <v>1</v>
      </c>
      <c r="G2511" s="27">
        <f t="shared" si="48"/>
        <v>-1</v>
      </c>
      <c r="H2511" s="28" t="str">
        <f>VLOOKUP(E2511,'Cadastro Produtos (kiwkiw)'!C:E,3,0)</f>
        <v>Gargantilha Fita Banho Ouro</v>
      </c>
      <c r="AB2511" s="33" t="s">
        <v>1399</v>
      </c>
    </row>
    <row r="2512" spans="2:28" ht="15" customHeight="1" x14ac:dyDescent="0.4">
      <c r="C2512" s="34" t="s">
        <v>6</v>
      </c>
      <c r="D2512" s="35">
        <v>46108</v>
      </c>
      <c r="E2512" s="51" t="s">
        <v>83</v>
      </c>
      <c r="F2512" s="33">
        <v>1</v>
      </c>
      <c r="G2512" s="27">
        <f t="shared" si="48"/>
        <v>-1</v>
      </c>
      <c r="H2512" s="28" t="str">
        <f>VLOOKUP(E2512,'Cadastro Produtos (kiwkiw)'!C:E,3,0)</f>
        <v>Mini Argola Classy Banho Ouro</v>
      </c>
      <c r="AB2512" s="33" t="s">
        <v>1399</v>
      </c>
    </row>
    <row r="2513" spans="2:28" ht="15" customHeight="1" x14ac:dyDescent="0.4">
      <c r="C2513" s="34" t="s">
        <v>6</v>
      </c>
      <c r="D2513" s="35">
        <v>46108</v>
      </c>
      <c r="E2513" s="51" t="s">
        <v>40</v>
      </c>
      <c r="F2513" s="33">
        <v>1</v>
      </c>
      <c r="G2513" s="27">
        <f t="shared" si="48"/>
        <v>-1</v>
      </c>
      <c r="H2513" s="28" t="str">
        <f>VLOOKUP(E2513,'Cadastro Produtos (kiwkiw)'!C:E,3,0)</f>
        <v>Argolinha Folha Banho Ouro</v>
      </c>
      <c r="AB2513" s="33" t="s">
        <v>1400</v>
      </c>
    </row>
    <row r="2514" spans="2:28" ht="15" customHeight="1" x14ac:dyDescent="0.4">
      <c r="C2514" s="34" t="s">
        <v>6</v>
      </c>
      <c r="D2514" s="35">
        <v>46108</v>
      </c>
      <c r="E2514" s="51" t="s">
        <v>44</v>
      </c>
      <c r="F2514" s="33">
        <v>1</v>
      </c>
      <c r="G2514" s="27">
        <f t="shared" si="48"/>
        <v>-1</v>
      </c>
      <c r="H2514" s="28" t="str">
        <f>VLOOKUP(E2514,'Cadastro Produtos (kiwkiw)'!C:E,3,0)</f>
        <v>Brinco Bossa Banho Ouro</v>
      </c>
      <c r="AB2514" s="33" t="s">
        <v>1400</v>
      </c>
    </row>
    <row r="2515" spans="2:28" ht="15" customHeight="1" x14ac:dyDescent="0.4">
      <c r="B2515" s="43">
        <v>46111.418749999997</v>
      </c>
      <c r="C2515" s="34" t="s">
        <v>6</v>
      </c>
      <c r="D2515" s="35">
        <v>46111</v>
      </c>
      <c r="E2515" s="51" t="s">
        <v>117</v>
      </c>
      <c r="F2515" s="33">
        <v>1</v>
      </c>
      <c r="G2515" s="27">
        <f t="shared" si="48"/>
        <v>-1</v>
      </c>
      <c r="H2515" s="28" t="str">
        <f>VLOOKUP(E2515,'Cadastro Produtos (kiwkiw)'!C:E,3,0)</f>
        <v>Gargantilha Minimal Banho Ouro</v>
      </c>
      <c r="AB2515" s="33" t="s">
        <v>1401</v>
      </c>
    </row>
    <row r="2516" spans="2:28" ht="15" customHeight="1" x14ac:dyDescent="0.4">
      <c r="C2516" s="34" t="s">
        <v>6</v>
      </c>
      <c r="D2516" s="35">
        <v>46111</v>
      </c>
      <c r="E2516" s="51" t="s">
        <v>27</v>
      </c>
      <c r="F2516" s="33">
        <v>1</v>
      </c>
      <c r="G2516" s="27">
        <f t="shared" si="48"/>
        <v>-1</v>
      </c>
      <c r="H2516" s="28" t="str">
        <f>VLOOKUP(E2516,'Cadastro Produtos (kiwkiw)'!C:E,3,0)</f>
        <v>Argola Click Media Banho Ouro</v>
      </c>
      <c r="AB2516" s="33" t="s">
        <v>1402</v>
      </c>
    </row>
    <row r="2517" spans="2:28" ht="15" customHeight="1" x14ac:dyDescent="0.4">
      <c r="C2517" s="34" t="s">
        <v>6</v>
      </c>
      <c r="D2517" s="35">
        <v>46111</v>
      </c>
      <c r="E2517" s="51" t="s">
        <v>114</v>
      </c>
      <c r="F2517" s="33">
        <v>1</v>
      </c>
      <c r="G2517" s="27">
        <f t="shared" si="48"/>
        <v>-1</v>
      </c>
      <c r="H2517" s="28" t="str">
        <f>VLOOKUP(E2517,'Cadastro Produtos (kiwkiw)'!C:E,3,0)</f>
        <v>Gargantilha Fita Banho Ouro</v>
      </c>
      <c r="AB2517" s="33" t="s">
        <v>1403</v>
      </c>
    </row>
    <row r="2518" spans="2:28" ht="15" customHeight="1" x14ac:dyDescent="0.4">
      <c r="C2518" s="34" t="s">
        <v>5</v>
      </c>
      <c r="D2518" s="35">
        <v>46112</v>
      </c>
      <c r="E2518" s="51" t="s">
        <v>117</v>
      </c>
      <c r="F2518" s="33">
        <v>1</v>
      </c>
      <c r="G2518" s="27">
        <f t="shared" si="48"/>
        <v>1</v>
      </c>
      <c r="H2518" s="28" t="str">
        <f>VLOOKUP(E2518,'Cadastro Produtos (kiwkiw)'!C:E,3,0)</f>
        <v>Gargantilha Minimal Banho Ouro</v>
      </c>
      <c r="I2518" s="32" t="s">
        <v>1395</v>
      </c>
    </row>
    <row r="2519" spans="2:28" ht="15" customHeight="1" x14ac:dyDescent="0.4">
      <c r="B2519" s="43">
        <v>46113.420405092591</v>
      </c>
      <c r="C2519" s="34" t="s">
        <v>6</v>
      </c>
      <c r="D2519" s="35">
        <v>46113</v>
      </c>
      <c r="E2519" s="51" t="s">
        <v>117</v>
      </c>
      <c r="F2519" s="33">
        <v>1</v>
      </c>
      <c r="G2519" s="27">
        <f t="shared" si="48"/>
        <v>-1</v>
      </c>
      <c r="H2519" s="28" t="str">
        <f>VLOOKUP(E2519,'Cadastro Produtos (kiwkiw)'!C:E,3,0)</f>
        <v>Gargantilha Minimal Banho Ouro</v>
      </c>
      <c r="AB2519" s="33" t="s">
        <v>1404</v>
      </c>
    </row>
    <row r="2520" spans="2:28" ht="15" customHeight="1" x14ac:dyDescent="0.4">
      <c r="C2520" s="34" t="s">
        <v>6</v>
      </c>
      <c r="D2520" s="35">
        <v>46113</v>
      </c>
      <c r="E2520" s="51" t="s">
        <v>785</v>
      </c>
      <c r="F2520" s="33">
        <v>1</v>
      </c>
      <c r="G2520" s="27">
        <f t="shared" si="48"/>
        <v>-1</v>
      </c>
      <c r="H2520" s="28" t="str">
        <f>VLOOKUP(E2520,'Cadastro Produtos (kiwkiw)'!C:E,3,0)</f>
        <v>Colar Gravatinha Banho Ouro</v>
      </c>
      <c r="AB2520" s="33" t="s">
        <v>1405</v>
      </c>
    </row>
    <row r="2521" spans="2:28" ht="15" customHeight="1" x14ac:dyDescent="0.4">
      <c r="C2521" s="34" t="s">
        <v>6</v>
      </c>
      <c r="D2521" s="35">
        <v>46113</v>
      </c>
      <c r="E2521" s="51" t="s">
        <v>32</v>
      </c>
      <c r="F2521" s="33">
        <v>1</v>
      </c>
      <c r="G2521" s="27">
        <f t="shared" si="48"/>
        <v>-1</v>
      </c>
      <c r="H2521" s="28" t="str">
        <f>VLOOKUP(E2521,'Cadastro Produtos (kiwkiw)'!C:E,3,0)</f>
        <v>Argola Redonda Basic Banho Ouro</v>
      </c>
      <c r="AB2521" s="33" t="s">
        <v>1406</v>
      </c>
    </row>
    <row r="2522" spans="2:28" ht="15" customHeight="1" x14ac:dyDescent="0.4">
      <c r="C2522" s="34" t="s">
        <v>6</v>
      </c>
      <c r="D2522" s="35">
        <v>46113</v>
      </c>
      <c r="E2522" s="51" t="s">
        <v>26</v>
      </c>
      <c r="F2522" s="33">
        <v>1</v>
      </c>
      <c r="G2522" s="27">
        <f t="shared" si="48"/>
        <v>-1</v>
      </c>
      <c r="H2522" s="28" t="str">
        <f>VLOOKUP(E2522,'Cadastro Produtos (kiwkiw)'!C:E,3,0)</f>
        <v>Argola Click Grande Banho Ouro</v>
      </c>
      <c r="AB2522" s="33" t="s">
        <v>1406</v>
      </c>
    </row>
    <row r="2523" spans="2:28" ht="15" customHeight="1" x14ac:dyDescent="0.4">
      <c r="C2523" s="34" t="s">
        <v>6</v>
      </c>
      <c r="D2523" s="35">
        <v>46113</v>
      </c>
      <c r="E2523" s="51" t="s">
        <v>70</v>
      </c>
      <c r="F2523" s="33">
        <v>1</v>
      </c>
      <c r="G2523" s="27">
        <f t="shared" si="48"/>
        <v>-1</v>
      </c>
      <c r="H2523" s="28" t="str">
        <f>VLOOKUP(E2523,'Cadastro Produtos (kiwkiw)'!C:E,3,0)</f>
        <v>Brinco Geometrico Banho Ouro</v>
      </c>
      <c r="AB2523" s="33" t="s">
        <v>1406</v>
      </c>
    </row>
    <row r="2524" spans="2:28" ht="15" customHeight="1" x14ac:dyDescent="0.4">
      <c r="C2524" s="34" t="s">
        <v>6</v>
      </c>
      <c r="D2524" s="35">
        <v>46113</v>
      </c>
      <c r="E2524" s="51" t="s">
        <v>103</v>
      </c>
      <c r="F2524" s="33">
        <v>1</v>
      </c>
      <c r="G2524" s="27">
        <f t="shared" si="48"/>
        <v>-1</v>
      </c>
      <c r="H2524" s="28" t="str">
        <f>VLOOKUP(E2524,'Cadastro Produtos (kiwkiw)'!C:E,3,0)</f>
        <v>Colar Ivy Banho Ouro</v>
      </c>
      <c r="AB2524" s="33" t="s">
        <v>1407</v>
      </c>
    </row>
    <row r="2525" spans="2:28" ht="15" customHeight="1" x14ac:dyDescent="0.4">
      <c r="C2525" s="34" t="s">
        <v>6</v>
      </c>
      <c r="D2525" s="35">
        <v>46113</v>
      </c>
      <c r="E2525" s="51" t="s">
        <v>103</v>
      </c>
      <c r="F2525" s="33">
        <v>1</v>
      </c>
      <c r="G2525" s="27">
        <f t="shared" si="48"/>
        <v>-1</v>
      </c>
      <c r="H2525" s="28" t="str">
        <f>VLOOKUP(E2525,'Cadastro Produtos (kiwkiw)'!C:E,3,0)</f>
        <v>Colar Ivy Banho Ouro</v>
      </c>
      <c r="AB2525" s="33" t="s">
        <v>1408</v>
      </c>
    </row>
    <row r="2526" spans="2:28" ht="15" customHeight="1" x14ac:dyDescent="0.4">
      <c r="B2526" s="43">
        <v>46114.420810185184</v>
      </c>
      <c r="C2526" s="34" t="s">
        <v>6</v>
      </c>
      <c r="D2526" s="35">
        <v>46114</v>
      </c>
      <c r="E2526" s="51" t="s">
        <v>60</v>
      </c>
      <c r="F2526" s="33">
        <v>1</v>
      </c>
      <c r="G2526" s="27">
        <f t="shared" si="48"/>
        <v>-1</v>
      </c>
      <c r="H2526" s="28" t="str">
        <f>VLOOKUP(E2526,'Cadastro Produtos (kiwkiw)'!C:E,3,0)</f>
        <v>Brinco Oncinha Prateado</v>
      </c>
      <c r="AB2526" s="33" t="s">
        <v>1409</v>
      </c>
    </row>
    <row r="2527" spans="2:28" ht="15" customHeight="1" x14ac:dyDescent="0.4">
      <c r="C2527" s="34" t="s">
        <v>6</v>
      </c>
      <c r="D2527" s="35">
        <v>46114</v>
      </c>
      <c r="E2527" s="51" t="s">
        <v>104</v>
      </c>
      <c r="F2527" s="33">
        <v>1</v>
      </c>
      <c r="G2527" s="27">
        <f t="shared" si="48"/>
        <v>-1</v>
      </c>
      <c r="H2527" s="28" t="str">
        <f>VLOOKUP(E2527,'Cadastro Produtos (kiwkiw)'!C:E,3,0)</f>
        <v>Colar Ivy Prateado</v>
      </c>
      <c r="AB2527" s="33" t="s">
        <v>1410</v>
      </c>
    </row>
    <row r="2528" spans="2:28" ht="15" customHeight="1" x14ac:dyDescent="0.4">
      <c r="C2528" s="34" t="s">
        <v>6</v>
      </c>
      <c r="D2528" s="35">
        <v>46114</v>
      </c>
      <c r="E2528" s="51" t="s">
        <v>770</v>
      </c>
      <c r="F2528" s="33">
        <v>1</v>
      </c>
      <c r="G2528" s="27">
        <f t="shared" si="48"/>
        <v>-1</v>
      </c>
      <c r="H2528" s="28" t="str">
        <f>VLOOKUP(E2528,'Cadastro Produtos (kiwkiw)'!C:E,3,0)</f>
        <v>Colar Fita Maxi Medalha Banho Ouro</v>
      </c>
      <c r="AB2528" s="33" t="s">
        <v>1411</v>
      </c>
    </row>
    <row r="2529" spans="2:28" ht="15" customHeight="1" x14ac:dyDescent="0.4">
      <c r="B2529" s="43">
        <v>46118.421817129631</v>
      </c>
      <c r="C2529" s="34" t="s">
        <v>6</v>
      </c>
      <c r="D2529" s="35">
        <v>46118</v>
      </c>
      <c r="E2529" s="51" t="s">
        <v>801</v>
      </c>
      <c r="F2529" s="33">
        <v>1</v>
      </c>
      <c r="G2529" s="27">
        <f t="shared" si="48"/>
        <v>-1</v>
      </c>
      <c r="H2529" s="28" t="str">
        <f>VLOOKUP(E2529,'Cadastro Produtos (kiwkiw)'!C:E,3,0)</f>
        <v>Gargantilha Line Banho Ouro</v>
      </c>
      <c r="AB2529" s="33" t="s">
        <v>1412</v>
      </c>
    </row>
    <row r="2530" spans="2:28" ht="15" customHeight="1" x14ac:dyDescent="0.4">
      <c r="C2530" s="34" t="s">
        <v>6</v>
      </c>
      <c r="D2530" s="35">
        <v>46118</v>
      </c>
      <c r="E2530" s="51" t="s">
        <v>76</v>
      </c>
      <c r="F2530" s="33">
        <v>1</v>
      </c>
      <c r="G2530" s="27">
        <f t="shared" si="48"/>
        <v>-1</v>
      </c>
      <c r="H2530" s="28" t="str">
        <f>VLOOKUP(E2530,'Cadastro Produtos (kiwkiw)'!C:E,3,0)</f>
        <v>EarHook Dots Banho Ouro</v>
      </c>
      <c r="AB2530" s="33" t="s">
        <v>1413</v>
      </c>
    </row>
    <row r="2531" spans="2:28" ht="15" customHeight="1" x14ac:dyDescent="0.4">
      <c r="C2531" s="34" t="s">
        <v>6</v>
      </c>
      <c r="D2531" s="35">
        <v>46118</v>
      </c>
      <c r="E2531" s="51" t="s">
        <v>797</v>
      </c>
      <c r="F2531" s="33">
        <v>1</v>
      </c>
      <c r="G2531" s="27">
        <f t="shared" si="48"/>
        <v>-1</v>
      </c>
      <c r="H2531" s="28" t="str">
        <f>VLOOKUP(E2531,'Cadastro Produtos (kiwkiw)'!C:E,3,0)</f>
        <v>Colar Ponto de Luz Banho Ouro</v>
      </c>
      <c r="AB2531" s="33" t="s">
        <v>1414</v>
      </c>
    </row>
    <row r="2532" spans="2:28" ht="15" customHeight="1" x14ac:dyDescent="0.4">
      <c r="C2532" s="34" t="s">
        <v>6</v>
      </c>
      <c r="D2532" s="35">
        <v>46118</v>
      </c>
      <c r="E2532" s="51" t="s">
        <v>784</v>
      </c>
      <c r="F2532" s="33">
        <v>1</v>
      </c>
      <c r="G2532" s="27">
        <f t="shared" si="48"/>
        <v>-1</v>
      </c>
      <c r="H2532" s="28" t="str">
        <f>VLOOKUP(E2532,'Cadastro Produtos (kiwkiw)'!C:E,3,0)</f>
        <v>Brinco Drop G Banho Ouro</v>
      </c>
      <c r="AB2532" s="33" t="s">
        <v>1414</v>
      </c>
    </row>
    <row r="2533" spans="2:28" ht="15" customHeight="1" x14ac:dyDescent="0.4">
      <c r="C2533" s="34" t="s">
        <v>6</v>
      </c>
      <c r="D2533" s="35">
        <v>46118</v>
      </c>
      <c r="E2533" s="51" t="s">
        <v>91</v>
      </c>
      <c r="F2533" s="33">
        <v>1</v>
      </c>
      <c r="G2533" s="27">
        <f t="shared" si="48"/>
        <v>-1</v>
      </c>
      <c r="H2533" s="28" t="str">
        <f>VLOOKUP(E2533,'Cadastro Produtos (kiwkiw)'!C:E,3,0)</f>
        <v>Colar Rosa dos Ventos Banho Ouro</v>
      </c>
      <c r="AB2533" s="33" t="s">
        <v>1415</v>
      </c>
    </row>
    <row r="2534" spans="2:28" ht="15" customHeight="1" x14ac:dyDescent="0.4">
      <c r="C2534" s="34" t="s">
        <v>6</v>
      </c>
      <c r="D2534" s="35">
        <v>46118</v>
      </c>
      <c r="E2534" s="51" t="s">
        <v>54</v>
      </c>
      <c r="F2534" s="33">
        <v>1</v>
      </c>
      <c r="G2534" s="27">
        <f t="shared" si="48"/>
        <v>-1</v>
      </c>
      <c r="H2534" s="28" t="str">
        <f>VLOOKUP(E2534,'Cadastro Produtos (kiwkiw)'!C:E,3,0)</f>
        <v>Brinco Ivy Banho Ouro</v>
      </c>
      <c r="AB2534" s="33" t="s">
        <v>1416</v>
      </c>
    </row>
    <row r="2535" spans="2:28" ht="15" customHeight="1" x14ac:dyDescent="0.4">
      <c r="B2535" s="43">
        <v>46119.42523148148</v>
      </c>
      <c r="C2535" s="34" t="s">
        <v>6</v>
      </c>
      <c r="D2535" s="35">
        <v>46119</v>
      </c>
      <c r="E2535" s="51" t="s">
        <v>26</v>
      </c>
      <c r="F2535" s="33">
        <v>1</v>
      </c>
      <c r="G2535" s="27">
        <f t="shared" si="48"/>
        <v>-1</v>
      </c>
      <c r="H2535" s="28" t="str">
        <f>VLOOKUP(E2535,'Cadastro Produtos (kiwkiw)'!C:E,3,0)</f>
        <v>Argola Click Grande Banho Ouro</v>
      </c>
      <c r="AB2535" s="33" t="s">
        <v>1417</v>
      </c>
    </row>
    <row r="2536" spans="2:28" ht="15" customHeight="1" x14ac:dyDescent="0.4">
      <c r="C2536" s="34" t="s">
        <v>6</v>
      </c>
      <c r="D2536" s="35">
        <v>46119</v>
      </c>
      <c r="E2536" s="51" t="s">
        <v>73</v>
      </c>
      <c r="F2536" s="33">
        <v>1</v>
      </c>
      <c r="G2536" s="27">
        <f t="shared" si="48"/>
        <v>-1</v>
      </c>
      <c r="H2536" s="28" t="str">
        <f>VLOOKUP(E2536,'Cadastro Produtos (kiwkiw)'!C:E,3,0)</f>
        <v>Ear Hook Line Prateado</v>
      </c>
      <c r="AB2536" s="33" t="s">
        <v>1418</v>
      </c>
    </row>
    <row r="2537" spans="2:28" ht="15" customHeight="1" x14ac:dyDescent="0.4">
      <c r="B2537" s="43">
        <v>46120.426701388889</v>
      </c>
      <c r="C2537" s="34" t="s">
        <v>6</v>
      </c>
      <c r="D2537" s="35">
        <v>46119</v>
      </c>
      <c r="E2537" s="51" t="s">
        <v>786</v>
      </c>
      <c r="F2537" s="33">
        <v>1</v>
      </c>
      <c r="G2537" s="27">
        <f t="shared" si="48"/>
        <v>-1</v>
      </c>
      <c r="H2537" s="28" t="str">
        <f>VLOOKUP(E2537,'Cadastro Produtos (kiwkiw)'!C:E,3,0)</f>
        <v>Colar Sao Bento Banho Ouro</v>
      </c>
      <c r="AB2537" s="33" t="s">
        <v>1419</v>
      </c>
    </row>
    <row r="2538" spans="2:28" ht="15" customHeight="1" x14ac:dyDescent="0.4">
      <c r="C2538" s="34" t="s">
        <v>6</v>
      </c>
      <c r="D2538" s="35">
        <v>46120</v>
      </c>
      <c r="E2538" s="51" t="s">
        <v>114</v>
      </c>
      <c r="F2538" s="33">
        <v>1</v>
      </c>
      <c r="G2538" s="27">
        <f t="shared" si="48"/>
        <v>-1</v>
      </c>
      <c r="H2538" s="28" t="str">
        <f>VLOOKUP(E2538,'Cadastro Produtos (kiwkiw)'!C:E,3,0)</f>
        <v>Gargantilha Fita Banho Ouro</v>
      </c>
      <c r="AB2538" s="33" t="s">
        <v>1420</v>
      </c>
    </row>
    <row r="2539" spans="2:28" ht="15" customHeight="1" x14ac:dyDescent="0.4">
      <c r="C2539" s="34" t="s">
        <v>6</v>
      </c>
      <c r="D2539" s="35">
        <v>46120</v>
      </c>
      <c r="E2539" s="51" t="s">
        <v>831</v>
      </c>
      <c r="F2539" s="33">
        <v>1</v>
      </c>
      <c r="G2539" s="27">
        <f t="shared" si="48"/>
        <v>-1</v>
      </c>
      <c r="H2539" s="28" t="str">
        <f>VLOOKUP(E2539,'Cadastro Produtos (kiwkiw)'!C:E,3,0)</f>
        <v>Brinco Palito Banho Ouro</v>
      </c>
      <c r="AB2539" s="33" t="s">
        <v>1421</v>
      </c>
    </row>
    <row r="2540" spans="2:28" ht="15" customHeight="1" x14ac:dyDescent="0.4">
      <c r="B2540" s="43">
        <v>46121.432268518518</v>
      </c>
      <c r="C2540" s="34" t="s">
        <v>6</v>
      </c>
      <c r="D2540" s="35">
        <v>46121</v>
      </c>
      <c r="E2540" s="51" t="s">
        <v>105</v>
      </c>
      <c r="F2540" s="33">
        <v>1</v>
      </c>
      <c r="G2540" s="27">
        <f t="shared" si="48"/>
        <v>-1</v>
      </c>
      <c r="H2540" s="28" t="str">
        <f>VLOOKUP(E2540,'Cadastro Produtos (kiwkiw)'!C:E,3,0)</f>
        <v>Colar Rosa Banho Ouro</v>
      </c>
      <c r="AB2540" s="33" t="s">
        <v>1422</v>
      </c>
    </row>
    <row r="2541" spans="2:28" ht="15" customHeight="1" x14ac:dyDescent="0.4">
      <c r="C2541" s="34" t="s">
        <v>6</v>
      </c>
      <c r="D2541" s="35">
        <v>46121</v>
      </c>
      <c r="E2541" s="51" t="s">
        <v>822</v>
      </c>
      <c r="F2541" s="33">
        <v>1</v>
      </c>
      <c r="G2541" s="27">
        <f t="shared" si="48"/>
        <v>-1</v>
      </c>
      <c r="H2541" s="28" t="str">
        <f>VLOOKUP(E2541,'Cadastro Produtos (kiwkiw)'!C:E,3,0)</f>
        <v>Gargantilha Pearl Banho Ouro</v>
      </c>
      <c r="AB2541" s="33" t="s">
        <v>1423</v>
      </c>
    </row>
    <row r="2542" spans="2:28" ht="15" customHeight="1" x14ac:dyDescent="0.4">
      <c r="B2542" s="43">
        <v>46121.690439814818</v>
      </c>
      <c r="C2542" s="34" t="s">
        <v>5</v>
      </c>
      <c r="D2542" s="35">
        <v>46118</v>
      </c>
      <c r="E2542" s="51" t="s">
        <v>1424</v>
      </c>
      <c r="F2542" s="33">
        <v>7</v>
      </c>
      <c r="G2542" s="27">
        <f t="shared" si="48"/>
        <v>7</v>
      </c>
      <c r="H2542" s="28" t="str">
        <f>VLOOKUP(E2542,'Cadastro Produtos (kiwkiw)'!C:E,3,0)</f>
        <v>Colar Ocean</v>
      </c>
      <c r="AB2542" s="33" t="s">
        <v>1452</v>
      </c>
    </row>
    <row r="2543" spans="2:28" ht="15" customHeight="1" x14ac:dyDescent="0.4">
      <c r="C2543" s="34" t="s">
        <v>5</v>
      </c>
      <c r="D2543" s="35">
        <v>46118</v>
      </c>
      <c r="E2543" s="51" t="s">
        <v>1426</v>
      </c>
      <c r="F2543" s="33">
        <v>11</v>
      </c>
      <c r="G2543" s="27">
        <f t="shared" si="48"/>
        <v>11</v>
      </c>
      <c r="H2543" s="28" t="str">
        <f>VLOOKUP(E2543,'Cadastro Produtos (kiwkiw)'!C:E,3,0)</f>
        <v>Colar Madreperola</v>
      </c>
      <c r="AB2543" s="33" t="s">
        <v>1452</v>
      </c>
    </row>
    <row r="2544" spans="2:28" ht="15" customHeight="1" x14ac:dyDescent="0.4">
      <c r="C2544" s="34" t="s">
        <v>5</v>
      </c>
      <c r="D2544" s="35">
        <v>46118</v>
      </c>
      <c r="E2544" s="51" t="s">
        <v>1428</v>
      </c>
      <c r="F2544" s="33">
        <v>4</v>
      </c>
      <c r="G2544" s="27">
        <f t="shared" si="48"/>
        <v>4</v>
      </c>
      <c r="H2544" s="28" t="str">
        <f>VLOOKUP(E2544,'Cadastro Produtos (kiwkiw)'!C:E,3,0)</f>
        <v>Colar Coral</v>
      </c>
      <c r="AB2544" s="33" t="s">
        <v>1452</v>
      </c>
    </row>
    <row r="2545" spans="2:28" ht="15" customHeight="1" x14ac:dyDescent="0.4">
      <c r="C2545" s="34" t="s">
        <v>5</v>
      </c>
      <c r="D2545" s="35">
        <v>46118</v>
      </c>
      <c r="E2545" s="51" t="s">
        <v>1430</v>
      </c>
      <c r="F2545" s="33">
        <v>6</v>
      </c>
      <c r="G2545" s="27">
        <f t="shared" si="48"/>
        <v>6</v>
      </c>
      <c r="H2545" s="28" t="str">
        <f>VLOOKUP(E2545,'Cadastro Produtos (kiwkiw)'!C:E,3,0)</f>
        <v>Colar Jaspe</v>
      </c>
      <c r="AB2545" s="33" t="s">
        <v>1452</v>
      </c>
    </row>
    <row r="2546" spans="2:28" ht="15" customHeight="1" x14ac:dyDescent="0.4">
      <c r="C2546" s="34" t="s">
        <v>5</v>
      </c>
      <c r="D2546" s="35">
        <v>46118</v>
      </c>
      <c r="E2546" s="51" t="s">
        <v>1432</v>
      </c>
      <c r="F2546" s="33">
        <v>14</v>
      </c>
      <c r="G2546" s="27">
        <f t="shared" si="48"/>
        <v>14</v>
      </c>
      <c r="H2546" s="28" t="str">
        <f>VLOOKUP(E2546,'Cadastro Produtos (kiwkiw)'!C:E,3,0)</f>
        <v>Piercing Fake Torcido Banho Ouro</v>
      </c>
      <c r="AB2546" s="33" t="s">
        <v>1452</v>
      </c>
    </row>
    <row r="2547" spans="2:28" ht="15" customHeight="1" x14ac:dyDescent="0.4">
      <c r="C2547" s="34" t="s">
        <v>5</v>
      </c>
      <c r="D2547" s="35">
        <v>46118</v>
      </c>
      <c r="E2547" s="51" t="s">
        <v>1434</v>
      </c>
      <c r="F2547" s="33">
        <v>13</v>
      </c>
      <c r="G2547" s="27">
        <f t="shared" si="48"/>
        <v>13</v>
      </c>
      <c r="H2547" s="28" t="str">
        <f>VLOOKUP(E2547,'Cadastro Produtos (kiwkiw)'!C:E,3,0)</f>
        <v>Piercing Fake Croissant Banho Ouro</v>
      </c>
      <c r="AB2547" s="33" t="s">
        <v>1452</v>
      </c>
    </row>
    <row r="2548" spans="2:28" ht="15" customHeight="1" x14ac:dyDescent="0.4">
      <c r="C2548" s="34" t="s">
        <v>5</v>
      </c>
      <c r="D2548" s="35">
        <v>46118</v>
      </c>
      <c r="E2548" s="51" t="s">
        <v>1436</v>
      </c>
      <c r="F2548" s="33">
        <v>9</v>
      </c>
      <c r="G2548" s="27">
        <f t="shared" si="48"/>
        <v>9</v>
      </c>
      <c r="H2548" s="28" t="str">
        <f>VLOOKUP(E2548,'Cadastro Produtos (kiwkiw)'!C:E,3,0)</f>
        <v>Piercing Fake Bold Prateado</v>
      </c>
      <c r="AB2548" s="33" t="s">
        <v>1452</v>
      </c>
    </row>
    <row r="2549" spans="2:28" ht="15" customHeight="1" x14ac:dyDescent="0.4">
      <c r="C2549" s="34" t="s">
        <v>5</v>
      </c>
      <c r="D2549" s="35">
        <v>46118</v>
      </c>
      <c r="E2549" s="51" t="s">
        <v>1438</v>
      </c>
      <c r="F2549" s="33">
        <v>14</v>
      </c>
      <c r="G2549" s="27">
        <f t="shared" si="48"/>
        <v>14</v>
      </c>
      <c r="H2549" s="28" t="str">
        <f>VLOOKUP(E2549,'Cadastro Produtos (kiwkiw)'!C:E,3,0)</f>
        <v>Piercing Fake Bold Banho Ouro</v>
      </c>
      <c r="AB2549" s="33" t="s">
        <v>1452</v>
      </c>
    </row>
    <row r="2550" spans="2:28" ht="15" customHeight="1" x14ac:dyDescent="0.4">
      <c r="C2550" s="34" t="s">
        <v>5</v>
      </c>
      <c r="D2550" s="35">
        <v>46118</v>
      </c>
      <c r="E2550" s="51" t="s">
        <v>1440</v>
      </c>
      <c r="F2550" s="33">
        <v>14</v>
      </c>
      <c r="G2550" s="27">
        <f t="shared" si="48"/>
        <v>14</v>
      </c>
      <c r="H2550" s="28" t="str">
        <f>VLOOKUP(E2550,'Cadastro Produtos (kiwkiw)'!C:E,3,0)</f>
        <v>Meia Argola Torcida Banho Ouro</v>
      </c>
      <c r="AB2550" s="33" t="s">
        <v>1452</v>
      </c>
    </row>
    <row r="2551" spans="2:28" ht="15" customHeight="1" x14ac:dyDescent="0.4">
      <c r="C2551" s="34" t="s">
        <v>5</v>
      </c>
      <c r="D2551" s="35">
        <v>46118</v>
      </c>
      <c r="E2551" s="51" t="s">
        <v>1442</v>
      </c>
      <c r="F2551" s="33">
        <v>7</v>
      </c>
      <c r="G2551" s="27">
        <f t="shared" ref="G2551:G2614" si="49">IF(C2551="Entrada",F2551,-F2551)</f>
        <v>7</v>
      </c>
      <c r="H2551" s="28" t="str">
        <f>VLOOKUP(E2551,'Cadastro Produtos (kiwkiw)'!C:E,3,0)</f>
        <v>Ear Hook Lilly Prateado</v>
      </c>
      <c r="AB2551" s="33" t="s">
        <v>1452</v>
      </c>
    </row>
    <row r="2552" spans="2:28" ht="15" customHeight="1" x14ac:dyDescent="0.4">
      <c r="C2552" s="34" t="s">
        <v>5</v>
      </c>
      <c r="D2552" s="35">
        <v>46118</v>
      </c>
      <c r="E2552" s="51" t="s">
        <v>1444</v>
      </c>
      <c r="F2552" s="33">
        <v>13</v>
      </c>
      <c r="G2552" s="27">
        <f t="shared" si="49"/>
        <v>13</v>
      </c>
      <c r="H2552" s="28" t="str">
        <f>VLOOKUP(E2552,'Cadastro Produtos (kiwkiw)'!C:E,3,0)</f>
        <v>Ear Hook Lilly Banho Ouro</v>
      </c>
      <c r="AB2552" s="33" t="s">
        <v>1452</v>
      </c>
    </row>
    <row r="2553" spans="2:28" ht="15" customHeight="1" x14ac:dyDescent="0.4">
      <c r="C2553" s="34" t="s">
        <v>5</v>
      </c>
      <c r="D2553" s="35">
        <v>46118</v>
      </c>
      <c r="E2553" s="51" t="s">
        <v>1446</v>
      </c>
      <c r="F2553" s="33">
        <v>9</v>
      </c>
      <c r="G2553" s="27">
        <f t="shared" si="49"/>
        <v>9</v>
      </c>
      <c r="H2553" s="28" t="str">
        <f>VLOOKUP(E2553,'Cadastro Produtos (kiwkiw)'!C:E,3,0)</f>
        <v>Brinco Agatha Prateado</v>
      </c>
      <c r="AB2553" s="33" t="s">
        <v>1452</v>
      </c>
    </row>
    <row r="2554" spans="2:28" ht="15" customHeight="1" x14ac:dyDescent="0.4">
      <c r="C2554" s="34" t="s">
        <v>5</v>
      </c>
      <c r="D2554" s="35">
        <v>46118</v>
      </c>
      <c r="E2554" s="51" t="s">
        <v>1448</v>
      </c>
      <c r="F2554" s="33">
        <v>14</v>
      </c>
      <c r="G2554" s="27">
        <f t="shared" si="49"/>
        <v>14</v>
      </c>
      <c r="H2554" s="28" t="str">
        <f>VLOOKUP(E2554,'Cadastro Produtos (kiwkiw)'!C:E,3,0)</f>
        <v>Brinco Agatha Banho Ouro</v>
      </c>
      <c r="AB2554" s="33" t="s">
        <v>1452</v>
      </c>
    </row>
    <row r="2555" spans="2:28" ht="15" customHeight="1" x14ac:dyDescent="0.4">
      <c r="C2555" s="34" t="s">
        <v>5</v>
      </c>
      <c r="D2555" s="35">
        <v>46118</v>
      </c>
      <c r="E2555" s="51" t="s">
        <v>1450</v>
      </c>
      <c r="F2555" s="33">
        <v>14</v>
      </c>
      <c r="G2555" s="27">
        <f t="shared" si="49"/>
        <v>14</v>
      </c>
      <c r="H2555" s="28" t="str">
        <f>VLOOKUP(E2555,'Cadastro Produtos (kiwkiw)'!C:E,3,0)</f>
        <v>Brinco Gota Banho Ouro</v>
      </c>
      <c r="AB2555" s="33" t="s">
        <v>1452</v>
      </c>
    </row>
    <row r="2556" spans="2:28" ht="15" customHeight="1" x14ac:dyDescent="0.4">
      <c r="B2556" s="43">
        <v>46122.421585648146</v>
      </c>
      <c r="C2556" s="34" t="s">
        <v>6</v>
      </c>
      <c r="D2556" s="35">
        <v>46122</v>
      </c>
      <c r="E2556" s="51" t="s">
        <v>105</v>
      </c>
      <c r="F2556" s="33">
        <v>1</v>
      </c>
      <c r="G2556" s="27">
        <f t="shared" si="49"/>
        <v>-1</v>
      </c>
      <c r="H2556" s="28" t="str">
        <f>VLOOKUP(E2556,'Cadastro Produtos (kiwkiw)'!C:E,3,0)</f>
        <v>Colar Rosa Banho Ouro</v>
      </c>
      <c r="AB2556" s="33" t="s">
        <v>1453</v>
      </c>
    </row>
    <row r="2557" spans="2:28" ht="15" customHeight="1" x14ac:dyDescent="0.4">
      <c r="C2557" s="34" t="s">
        <v>6</v>
      </c>
      <c r="D2557" s="35">
        <v>46122</v>
      </c>
      <c r="E2557" s="51" t="s">
        <v>56</v>
      </c>
      <c r="F2557" s="33">
        <v>1</v>
      </c>
      <c r="G2557" s="27">
        <f t="shared" si="49"/>
        <v>-1</v>
      </c>
      <c r="H2557" s="28" t="str">
        <f>VLOOKUP(E2557,'Cadastro Produtos (kiwkiw)'!C:E,3,0)</f>
        <v>Brinco Mini Raio Banho Ouro</v>
      </c>
      <c r="AB2557" s="33" t="s">
        <v>1454</v>
      </c>
    </row>
    <row r="2558" spans="2:28" ht="15" customHeight="1" x14ac:dyDescent="0.4">
      <c r="C2558" s="34" t="s">
        <v>6</v>
      </c>
      <c r="D2558" s="35">
        <v>46122</v>
      </c>
      <c r="E2558" s="51" t="s">
        <v>72</v>
      </c>
      <c r="F2558" s="33">
        <v>1</v>
      </c>
      <c r="G2558" s="27">
        <f t="shared" si="49"/>
        <v>-1</v>
      </c>
      <c r="H2558" s="28" t="str">
        <f>VLOOKUP(E2558,'Cadastro Produtos (kiwkiw)'!C:E,3,0)</f>
        <v>Ear Hook Line Banho Ouro</v>
      </c>
      <c r="AB2558" s="33" t="s">
        <v>1454</v>
      </c>
    </row>
    <row r="2559" spans="2:28" ht="15" customHeight="1" x14ac:dyDescent="0.4">
      <c r="C2559" s="34" t="s">
        <v>6</v>
      </c>
      <c r="D2559" s="35">
        <v>46122</v>
      </c>
      <c r="E2559" s="51" t="s">
        <v>53</v>
      </c>
      <c r="F2559" s="33">
        <v>1</v>
      </c>
      <c r="G2559" s="27">
        <f t="shared" si="49"/>
        <v>-1</v>
      </c>
      <c r="H2559" s="28" t="str">
        <f>VLOOKUP(E2559,'Cadastro Produtos (kiwkiw)'!C:E,3,0)</f>
        <v>Brinco Infinito Banho Ouro</v>
      </c>
      <c r="AB2559" s="33" t="s">
        <v>1454</v>
      </c>
    </row>
    <row r="2560" spans="2:28" ht="15" customHeight="1" x14ac:dyDescent="0.4">
      <c r="C2560" s="34" t="s">
        <v>6</v>
      </c>
      <c r="D2560" s="35">
        <v>46122</v>
      </c>
      <c r="E2560" s="51" t="s">
        <v>54</v>
      </c>
      <c r="F2560" s="33">
        <v>1</v>
      </c>
      <c r="G2560" s="27">
        <f t="shared" si="49"/>
        <v>-1</v>
      </c>
      <c r="H2560" s="28" t="str">
        <f>VLOOKUP(E2560,'Cadastro Produtos (kiwkiw)'!C:E,3,0)</f>
        <v>Brinco Ivy Banho Ouro</v>
      </c>
      <c r="AB2560" s="33" t="s">
        <v>1455</v>
      </c>
    </row>
    <row r="2561" spans="7:8" ht="15" customHeight="1" x14ac:dyDescent="0.4">
      <c r="G2561" s="27">
        <f t="shared" si="49"/>
        <v>0</v>
      </c>
      <c r="H2561" s="28" t="e">
        <f>VLOOKUP(E2561,'Cadastro Produtos (kiwkiw)'!C:E,3,0)</f>
        <v>#N/A</v>
      </c>
    </row>
    <row r="2562" spans="7:8" ht="15" customHeight="1" x14ac:dyDescent="0.4">
      <c r="G2562" s="27">
        <f t="shared" si="49"/>
        <v>0</v>
      </c>
      <c r="H2562" s="28" t="e">
        <f>VLOOKUP(E2562,'Cadastro Produtos (kiwkiw)'!C:E,3,0)</f>
        <v>#N/A</v>
      </c>
    </row>
    <row r="2563" spans="7:8" ht="15" customHeight="1" x14ac:dyDescent="0.4">
      <c r="G2563" s="27">
        <f t="shared" si="49"/>
        <v>0</v>
      </c>
      <c r="H2563" s="28" t="e">
        <f>VLOOKUP(E2563,'Cadastro Produtos (kiwkiw)'!C:E,3,0)</f>
        <v>#N/A</v>
      </c>
    </row>
    <row r="2564" spans="7:8" ht="15" customHeight="1" x14ac:dyDescent="0.4">
      <c r="G2564" s="27">
        <f t="shared" si="49"/>
        <v>0</v>
      </c>
      <c r="H2564" s="28" t="e">
        <f>VLOOKUP(E2564,'Cadastro Produtos (kiwkiw)'!C:E,3,0)</f>
        <v>#N/A</v>
      </c>
    </row>
    <row r="2565" spans="7:8" ht="15" customHeight="1" x14ac:dyDescent="0.4">
      <c r="G2565" s="27">
        <f t="shared" si="49"/>
        <v>0</v>
      </c>
      <c r="H2565" s="28" t="e">
        <f>VLOOKUP(E2565,'Cadastro Produtos (kiwkiw)'!C:E,3,0)</f>
        <v>#N/A</v>
      </c>
    </row>
    <row r="2566" spans="7:8" ht="15" customHeight="1" x14ac:dyDescent="0.4">
      <c r="G2566" s="27">
        <f t="shared" si="49"/>
        <v>0</v>
      </c>
      <c r="H2566" s="28" t="e">
        <f>VLOOKUP(E2566,'Cadastro Produtos (kiwkiw)'!C:E,3,0)</f>
        <v>#N/A</v>
      </c>
    </row>
    <row r="2567" spans="7:8" ht="15" customHeight="1" x14ac:dyDescent="0.4">
      <c r="G2567" s="27">
        <f t="shared" si="49"/>
        <v>0</v>
      </c>
      <c r="H2567" s="28" t="e">
        <f>VLOOKUP(E2567,'Cadastro Produtos (kiwkiw)'!C:E,3,0)</f>
        <v>#N/A</v>
      </c>
    </row>
    <row r="2568" spans="7:8" ht="15" customHeight="1" x14ac:dyDescent="0.4">
      <c r="G2568" s="27">
        <f t="shared" si="49"/>
        <v>0</v>
      </c>
      <c r="H2568" s="28" t="e">
        <f>VLOOKUP(E2568,'Cadastro Produtos (kiwkiw)'!C:E,3,0)</f>
        <v>#N/A</v>
      </c>
    </row>
    <row r="2569" spans="7:8" ht="15" customHeight="1" x14ac:dyDescent="0.4">
      <c r="G2569" s="27">
        <f t="shared" si="49"/>
        <v>0</v>
      </c>
      <c r="H2569" s="28" t="e">
        <f>VLOOKUP(E2569,'Cadastro Produtos (kiwkiw)'!C:E,3,0)</f>
        <v>#N/A</v>
      </c>
    </row>
    <row r="2570" spans="7:8" ht="15" customHeight="1" x14ac:dyDescent="0.4">
      <c r="G2570" s="27">
        <f t="shared" si="49"/>
        <v>0</v>
      </c>
      <c r="H2570" s="28" t="e">
        <f>VLOOKUP(E2570,'Cadastro Produtos (kiwkiw)'!C:E,3,0)</f>
        <v>#N/A</v>
      </c>
    </row>
    <row r="2571" spans="7:8" ht="15" customHeight="1" x14ac:dyDescent="0.4">
      <c r="G2571" s="27">
        <f t="shared" si="49"/>
        <v>0</v>
      </c>
      <c r="H2571" s="28" t="e">
        <f>VLOOKUP(E2571,'Cadastro Produtos (kiwkiw)'!C:E,3,0)</f>
        <v>#N/A</v>
      </c>
    </row>
    <row r="2572" spans="7:8" ht="15" customHeight="1" x14ac:dyDescent="0.4">
      <c r="G2572" s="27">
        <f t="shared" si="49"/>
        <v>0</v>
      </c>
      <c r="H2572" s="28" t="e">
        <f>VLOOKUP(E2572,'Cadastro Produtos (kiwkiw)'!C:E,3,0)</f>
        <v>#N/A</v>
      </c>
    </row>
    <row r="2573" spans="7:8" ht="15" customHeight="1" x14ac:dyDescent="0.4">
      <c r="G2573" s="27">
        <f t="shared" si="49"/>
        <v>0</v>
      </c>
      <c r="H2573" s="28" t="e">
        <f>VLOOKUP(E2573,'Cadastro Produtos (kiwkiw)'!C:E,3,0)</f>
        <v>#N/A</v>
      </c>
    </row>
    <row r="2574" spans="7:8" ht="15" customHeight="1" x14ac:dyDescent="0.4">
      <c r="G2574" s="27">
        <f t="shared" si="49"/>
        <v>0</v>
      </c>
      <c r="H2574" s="28" t="e">
        <f>VLOOKUP(E2574,'Cadastro Produtos (kiwkiw)'!C:E,3,0)</f>
        <v>#N/A</v>
      </c>
    </row>
    <row r="2575" spans="7:8" ht="15" customHeight="1" x14ac:dyDescent="0.4">
      <c r="G2575" s="27">
        <f t="shared" si="49"/>
        <v>0</v>
      </c>
      <c r="H2575" s="28" t="e">
        <f>VLOOKUP(E2575,'Cadastro Produtos (kiwkiw)'!C:E,3,0)</f>
        <v>#N/A</v>
      </c>
    </row>
    <row r="2576" spans="7:8" ht="15" customHeight="1" x14ac:dyDescent="0.4">
      <c r="G2576" s="27">
        <f t="shared" si="49"/>
        <v>0</v>
      </c>
      <c r="H2576" s="28" t="e">
        <f>VLOOKUP(E2576,'Cadastro Produtos (kiwkiw)'!C:E,3,0)</f>
        <v>#N/A</v>
      </c>
    </row>
    <row r="2577" spans="7:8" ht="15" customHeight="1" x14ac:dyDescent="0.4">
      <c r="G2577" s="27">
        <f t="shared" si="49"/>
        <v>0</v>
      </c>
      <c r="H2577" s="28" t="e">
        <f>VLOOKUP(E2577,'Cadastro Produtos (kiwkiw)'!C:E,3,0)</f>
        <v>#N/A</v>
      </c>
    </row>
    <row r="2578" spans="7:8" ht="15" customHeight="1" x14ac:dyDescent="0.4">
      <c r="G2578" s="27">
        <f t="shared" si="49"/>
        <v>0</v>
      </c>
      <c r="H2578" s="28" t="e">
        <f>VLOOKUP(E2578,'Cadastro Produtos (kiwkiw)'!C:E,3,0)</f>
        <v>#N/A</v>
      </c>
    </row>
    <row r="2579" spans="7:8" ht="15" customHeight="1" x14ac:dyDescent="0.4">
      <c r="G2579" s="27">
        <f t="shared" si="49"/>
        <v>0</v>
      </c>
      <c r="H2579" s="28" t="e">
        <f>VLOOKUP(E2579,'Cadastro Produtos (kiwkiw)'!C:E,3,0)</f>
        <v>#N/A</v>
      </c>
    </row>
    <row r="2580" spans="7:8" ht="15" customHeight="1" x14ac:dyDescent="0.4">
      <c r="G2580" s="27">
        <f t="shared" si="49"/>
        <v>0</v>
      </c>
      <c r="H2580" s="28" t="e">
        <f>VLOOKUP(E2580,'Cadastro Produtos (kiwkiw)'!C:E,3,0)</f>
        <v>#N/A</v>
      </c>
    </row>
    <row r="2581" spans="7:8" ht="15" customHeight="1" x14ac:dyDescent="0.4">
      <c r="G2581" s="27">
        <f t="shared" si="49"/>
        <v>0</v>
      </c>
      <c r="H2581" s="28" t="e">
        <f>VLOOKUP(E2581,'Cadastro Produtos (kiwkiw)'!C:E,3,0)</f>
        <v>#N/A</v>
      </c>
    </row>
    <row r="2582" spans="7:8" ht="15" customHeight="1" x14ac:dyDescent="0.4">
      <c r="G2582" s="27">
        <f t="shared" si="49"/>
        <v>0</v>
      </c>
      <c r="H2582" s="28" t="e">
        <f>VLOOKUP(E2582,'Cadastro Produtos (kiwkiw)'!C:E,3,0)</f>
        <v>#N/A</v>
      </c>
    </row>
    <row r="2583" spans="7:8" ht="15" customHeight="1" x14ac:dyDescent="0.4">
      <c r="G2583" s="27">
        <f t="shared" si="49"/>
        <v>0</v>
      </c>
      <c r="H2583" s="28" t="e">
        <f>VLOOKUP(E2583,'Cadastro Produtos (kiwkiw)'!C:E,3,0)</f>
        <v>#N/A</v>
      </c>
    </row>
    <row r="2584" spans="7:8" ht="15" customHeight="1" x14ac:dyDescent="0.4">
      <c r="G2584" s="27">
        <f t="shared" si="49"/>
        <v>0</v>
      </c>
      <c r="H2584" s="28" t="e">
        <f>VLOOKUP(E2584,'Cadastro Produtos (kiwkiw)'!C:E,3,0)</f>
        <v>#N/A</v>
      </c>
    </row>
    <row r="2585" spans="7:8" ht="15" customHeight="1" x14ac:dyDescent="0.4">
      <c r="G2585" s="27">
        <f t="shared" si="49"/>
        <v>0</v>
      </c>
      <c r="H2585" s="28" t="e">
        <f>VLOOKUP(E2585,'Cadastro Produtos (kiwkiw)'!C:E,3,0)</f>
        <v>#N/A</v>
      </c>
    </row>
    <row r="2586" spans="7:8" ht="15" customHeight="1" x14ac:dyDescent="0.4">
      <c r="G2586" s="27">
        <f t="shared" si="49"/>
        <v>0</v>
      </c>
      <c r="H2586" s="28" t="e">
        <f>VLOOKUP(E2586,'Cadastro Produtos (kiwkiw)'!C:E,3,0)</f>
        <v>#N/A</v>
      </c>
    </row>
    <row r="2587" spans="7:8" ht="15" customHeight="1" x14ac:dyDescent="0.4">
      <c r="G2587" s="27">
        <f t="shared" si="49"/>
        <v>0</v>
      </c>
      <c r="H2587" s="28" t="e">
        <f>VLOOKUP(E2587,'Cadastro Produtos (kiwkiw)'!C:E,3,0)</f>
        <v>#N/A</v>
      </c>
    </row>
    <row r="2588" spans="7:8" ht="15" customHeight="1" x14ac:dyDescent="0.4">
      <c r="G2588" s="27">
        <f t="shared" si="49"/>
        <v>0</v>
      </c>
      <c r="H2588" s="28" t="e">
        <f>VLOOKUP(E2588,'Cadastro Produtos (kiwkiw)'!C:E,3,0)</f>
        <v>#N/A</v>
      </c>
    </row>
    <row r="2589" spans="7:8" ht="15" customHeight="1" x14ac:dyDescent="0.4">
      <c r="G2589" s="27">
        <f t="shared" si="49"/>
        <v>0</v>
      </c>
      <c r="H2589" s="28" t="e">
        <f>VLOOKUP(E2589,'Cadastro Produtos (kiwkiw)'!C:E,3,0)</f>
        <v>#N/A</v>
      </c>
    </row>
    <row r="2590" spans="7:8" ht="15" customHeight="1" x14ac:dyDescent="0.4">
      <c r="G2590" s="27">
        <f t="shared" si="49"/>
        <v>0</v>
      </c>
      <c r="H2590" s="28" t="e">
        <f>VLOOKUP(E2590,'Cadastro Produtos (kiwkiw)'!C:E,3,0)</f>
        <v>#N/A</v>
      </c>
    </row>
    <row r="2591" spans="7:8" ht="15" customHeight="1" x14ac:dyDescent="0.4">
      <c r="G2591" s="27">
        <f t="shared" si="49"/>
        <v>0</v>
      </c>
      <c r="H2591" s="28" t="e">
        <f>VLOOKUP(E2591,'Cadastro Produtos (kiwkiw)'!C:E,3,0)</f>
        <v>#N/A</v>
      </c>
    </row>
    <row r="2592" spans="7:8" ht="15" customHeight="1" x14ac:dyDescent="0.4">
      <c r="G2592" s="27">
        <f t="shared" si="49"/>
        <v>0</v>
      </c>
      <c r="H2592" s="28" t="e">
        <f>VLOOKUP(E2592,'Cadastro Produtos (kiwkiw)'!C:E,3,0)</f>
        <v>#N/A</v>
      </c>
    </row>
    <row r="2593" spans="7:8" ht="15" customHeight="1" x14ac:dyDescent="0.4">
      <c r="G2593" s="27">
        <f t="shared" si="49"/>
        <v>0</v>
      </c>
      <c r="H2593" s="28" t="e">
        <f>VLOOKUP(E2593,'Cadastro Produtos (kiwkiw)'!C:E,3,0)</f>
        <v>#N/A</v>
      </c>
    </row>
    <row r="2594" spans="7:8" ht="15" customHeight="1" x14ac:dyDescent="0.4">
      <c r="G2594" s="27">
        <f t="shared" si="49"/>
        <v>0</v>
      </c>
      <c r="H2594" s="28" t="e">
        <f>VLOOKUP(E2594,'Cadastro Produtos (kiwkiw)'!C:E,3,0)</f>
        <v>#N/A</v>
      </c>
    </row>
    <row r="2595" spans="7:8" ht="15" customHeight="1" x14ac:dyDescent="0.4">
      <c r="G2595" s="27">
        <f t="shared" si="49"/>
        <v>0</v>
      </c>
      <c r="H2595" s="28" t="e">
        <f>VLOOKUP(E2595,'Cadastro Produtos (kiwkiw)'!C:E,3,0)</f>
        <v>#N/A</v>
      </c>
    </row>
    <row r="2596" spans="7:8" ht="15" customHeight="1" x14ac:dyDescent="0.4">
      <c r="G2596" s="27">
        <f t="shared" si="49"/>
        <v>0</v>
      </c>
      <c r="H2596" s="28" t="e">
        <f>VLOOKUP(E2596,'Cadastro Produtos (kiwkiw)'!C:E,3,0)</f>
        <v>#N/A</v>
      </c>
    </row>
    <row r="2597" spans="7:8" ht="15" customHeight="1" x14ac:dyDescent="0.4">
      <c r="G2597" s="27">
        <f t="shared" si="49"/>
        <v>0</v>
      </c>
      <c r="H2597" s="28" t="e">
        <f>VLOOKUP(E2597,'Cadastro Produtos (kiwkiw)'!C:E,3,0)</f>
        <v>#N/A</v>
      </c>
    </row>
    <row r="2598" spans="7:8" ht="15" customHeight="1" x14ac:dyDescent="0.4">
      <c r="G2598" s="27">
        <f t="shared" si="49"/>
        <v>0</v>
      </c>
      <c r="H2598" s="28" t="e">
        <f>VLOOKUP(E2598,'Cadastro Produtos (kiwkiw)'!C:E,3,0)</f>
        <v>#N/A</v>
      </c>
    </row>
    <row r="2599" spans="7:8" ht="15" customHeight="1" x14ac:dyDescent="0.4">
      <c r="G2599" s="27">
        <f t="shared" si="49"/>
        <v>0</v>
      </c>
      <c r="H2599" s="28" t="e">
        <f>VLOOKUP(E2599,'Cadastro Produtos (kiwkiw)'!C:E,3,0)</f>
        <v>#N/A</v>
      </c>
    </row>
    <row r="2600" spans="7:8" ht="15" customHeight="1" x14ac:dyDescent="0.4">
      <c r="G2600" s="27">
        <f t="shared" si="49"/>
        <v>0</v>
      </c>
      <c r="H2600" s="28" t="e">
        <f>VLOOKUP(E2600,'Cadastro Produtos (kiwkiw)'!C:E,3,0)</f>
        <v>#N/A</v>
      </c>
    </row>
    <row r="2601" spans="7:8" ht="15" customHeight="1" x14ac:dyDescent="0.4">
      <c r="G2601" s="27">
        <f t="shared" si="49"/>
        <v>0</v>
      </c>
      <c r="H2601" s="28" t="e">
        <f>VLOOKUP(E2601,'Cadastro Produtos (kiwkiw)'!C:E,3,0)</f>
        <v>#N/A</v>
      </c>
    </row>
    <row r="2602" spans="7:8" ht="15" customHeight="1" x14ac:dyDescent="0.4">
      <c r="G2602" s="27">
        <f t="shared" si="49"/>
        <v>0</v>
      </c>
      <c r="H2602" s="28" t="e">
        <f>VLOOKUP(E2602,'Cadastro Produtos (kiwkiw)'!C:E,3,0)</f>
        <v>#N/A</v>
      </c>
    </row>
    <row r="2603" spans="7:8" ht="15" customHeight="1" x14ac:dyDescent="0.4">
      <c r="G2603" s="27">
        <f t="shared" si="49"/>
        <v>0</v>
      </c>
      <c r="H2603" s="28" t="e">
        <f>VLOOKUP(E2603,'Cadastro Produtos (kiwkiw)'!C:E,3,0)</f>
        <v>#N/A</v>
      </c>
    </row>
    <row r="2604" spans="7:8" ht="15" customHeight="1" x14ac:dyDescent="0.4">
      <c r="G2604" s="27">
        <f t="shared" si="49"/>
        <v>0</v>
      </c>
      <c r="H2604" s="28" t="e">
        <f>VLOOKUP(E2604,'Cadastro Produtos (kiwkiw)'!C:E,3,0)</f>
        <v>#N/A</v>
      </c>
    </row>
    <row r="2605" spans="7:8" ht="15" customHeight="1" x14ac:dyDescent="0.4">
      <c r="G2605" s="27">
        <f t="shared" si="49"/>
        <v>0</v>
      </c>
      <c r="H2605" s="28" t="e">
        <f>VLOOKUP(E2605,'Cadastro Produtos (kiwkiw)'!C:E,3,0)</f>
        <v>#N/A</v>
      </c>
    </row>
    <row r="2606" spans="7:8" ht="15" customHeight="1" x14ac:dyDescent="0.4">
      <c r="G2606" s="27">
        <f t="shared" si="49"/>
        <v>0</v>
      </c>
      <c r="H2606" s="28" t="e">
        <f>VLOOKUP(E2606,'Cadastro Produtos (kiwkiw)'!C:E,3,0)</f>
        <v>#N/A</v>
      </c>
    </row>
    <row r="2607" spans="7:8" ht="15" customHeight="1" x14ac:dyDescent="0.4">
      <c r="G2607" s="27">
        <f t="shared" si="49"/>
        <v>0</v>
      </c>
      <c r="H2607" s="28" t="e">
        <f>VLOOKUP(E2607,'Cadastro Produtos (kiwkiw)'!C:E,3,0)</f>
        <v>#N/A</v>
      </c>
    </row>
    <row r="2608" spans="7:8" ht="15" customHeight="1" x14ac:dyDescent="0.4">
      <c r="G2608" s="27">
        <f t="shared" si="49"/>
        <v>0</v>
      </c>
      <c r="H2608" s="28" t="e">
        <f>VLOOKUP(E2608,'Cadastro Produtos (kiwkiw)'!C:E,3,0)</f>
        <v>#N/A</v>
      </c>
    </row>
    <row r="2609" spans="7:8" ht="15" customHeight="1" x14ac:dyDescent="0.4">
      <c r="G2609" s="27">
        <f t="shared" si="49"/>
        <v>0</v>
      </c>
      <c r="H2609" s="28" t="e">
        <f>VLOOKUP(E2609,'Cadastro Produtos (kiwkiw)'!C:E,3,0)</f>
        <v>#N/A</v>
      </c>
    </row>
    <row r="2610" spans="7:8" ht="15" customHeight="1" x14ac:dyDescent="0.4">
      <c r="G2610" s="27">
        <f t="shared" si="49"/>
        <v>0</v>
      </c>
      <c r="H2610" s="28" t="e">
        <f>VLOOKUP(E2610,'Cadastro Produtos (kiwkiw)'!C:E,3,0)</f>
        <v>#N/A</v>
      </c>
    </row>
    <row r="2611" spans="7:8" ht="15" customHeight="1" x14ac:dyDescent="0.4">
      <c r="G2611" s="27">
        <f t="shared" si="49"/>
        <v>0</v>
      </c>
      <c r="H2611" s="28" t="e">
        <f>VLOOKUP(E2611,'Cadastro Produtos (kiwkiw)'!C:E,3,0)</f>
        <v>#N/A</v>
      </c>
    </row>
    <row r="2612" spans="7:8" ht="15" customHeight="1" x14ac:dyDescent="0.4">
      <c r="G2612" s="27">
        <f t="shared" si="49"/>
        <v>0</v>
      </c>
      <c r="H2612" s="28" t="e">
        <f>VLOOKUP(E2612,'Cadastro Produtos (kiwkiw)'!C:E,3,0)</f>
        <v>#N/A</v>
      </c>
    </row>
    <row r="2613" spans="7:8" ht="15" customHeight="1" x14ac:dyDescent="0.4">
      <c r="G2613" s="27">
        <f t="shared" si="49"/>
        <v>0</v>
      </c>
      <c r="H2613" s="28" t="e">
        <f>VLOOKUP(E2613,'Cadastro Produtos (kiwkiw)'!C:E,3,0)</f>
        <v>#N/A</v>
      </c>
    </row>
    <row r="2614" spans="7:8" ht="15" customHeight="1" x14ac:dyDescent="0.4">
      <c r="G2614" s="27">
        <f t="shared" si="49"/>
        <v>0</v>
      </c>
      <c r="H2614" s="28" t="e">
        <f>VLOOKUP(E2614,'Cadastro Produtos (kiwkiw)'!C:E,3,0)</f>
        <v>#N/A</v>
      </c>
    </row>
    <row r="2615" spans="7:8" ht="15" customHeight="1" x14ac:dyDescent="0.4">
      <c r="G2615" s="27">
        <f t="shared" ref="G2615:G2678" si="50">IF(C2615="Entrada",F2615,-F2615)</f>
        <v>0</v>
      </c>
      <c r="H2615" s="28" t="e">
        <f>VLOOKUP(E2615,'Cadastro Produtos (kiwkiw)'!C:E,3,0)</f>
        <v>#N/A</v>
      </c>
    </row>
    <row r="2616" spans="7:8" ht="15" customHeight="1" x14ac:dyDescent="0.4">
      <c r="G2616" s="27">
        <f t="shared" si="50"/>
        <v>0</v>
      </c>
      <c r="H2616" s="28" t="e">
        <f>VLOOKUP(E2616,'Cadastro Produtos (kiwkiw)'!C:E,3,0)</f>
        <v>#N/A</v>
      </c>
    </row>
    <row r="2617" spans="7:8" ht="15" customHeight="1" x14ac:dyDescent="0.4">
      <c r="G2617" s="27">
        <f t="shared" si="50"/>
        <v>0</v>
      </c>
      <c r="H2617" s="28" t="e">
        <f>VLOOKUP(E2617,'Cadastro Produtos (kiwkiw)'!C:E,3,0)</f>
        <v>#N/A</v>
      </c>
    </row>
    <row r="2618" spans="7:8" ht="15" customHeight="1" x14ac:dyDescent="0.4">
      <c r="G2618" s="27">
        <f t="shared" si="50"/>
        <v>0</v>
      </c>
      <c r="H2618" s="28" t="e">
        <f>VLOOKUP(E2618,'Cadastro Produtos (kiwkiw)'!C:E,3,0)</f>
        <v>#N/A</v>
      </c>
    </row>
    <row r="2619" spans="7:8" ht="15" customHeight="1" x14ac:dyDescent="0.4">
      <c r="G2619" s="27">
        <f t="shared" si="50"/>
        <v>0</v>
      </c>
      <c r="H2619" s="28" t="e">
        <f>VLOOKUP(E2619,'Cadastro Produtos (kiwkiw)'!C:E,3,0)</f>
        <v>#N/A</v>
      </c>
    </row>
    <row r="2620" spans="7:8" ht="15" customHeight="1" x14ac:dyDescent="0.4">
      <c r="G2620" s="27">
        <f t="shared" si="50"/>
        <v>0</v>
      </c>
      <c r="H2620" s="28" t="e">
        <f>VLOOKUP(E2620,'Cadastro Produtos (kiwkiw)'!C:E,3,0)</f>
        <v>#N/A</v>
      </c>
    </row>
    <row r="2621" spans="7:8" ht="15" customHeight="1" x14ac:dyDescent="0.4">
      <c r="G2621" s="27">
        <f t="shared" si="50"/>
        <v>0</v>
      </c>
      <c r="H2621" s="28" t="e">
        <f>VLOOKUP(E2621,'Cadastro Produtos (kiwkiw)'!C:E,3,0)</f>
        <v>#N/A</v>
      </c>
    </row>
    <row r="2622" spans="7:8" ht="15" customHeight="1" x14ac:dyDescent="0.4">
      <c r="G2622" s="27">
        <f t="shared" si="50"/>
        <v>0</v>
      </c>
      <c r="H2622" s="28" t="e">
        <f>VLOOKUP(E2622,'Cadastro Produtos (kiwkiw)'!C:E,3,0)</f>
        <v>#N/A</v>
      </c>
    </row>
    <row r="2623" spans="7:8" ht="15" customHeight="1" x14ac:dyDescent="0.4">
      <c r="G2623" s="27">
        <f t="shared" si="50"/>
        <v>0</v>
      </c>
      <c r="H2623" s="28" t="e">
        <f>VLOOKUP(E2623,'Cadastro Produtos (kiwkiw)'!C:E,3,0)</f>
        <v>#N/A</v>
      </c>
    </row>
    <row r="2624" spans="7:8" ht="15" customHeight="1" x14ac:dyDescent="0.4">
      <c r="G2624" s="27">
        <f t="shared" si="50"/>
        <v>0</v>
      </c>
      <c r="H2624" s="28" t="e">
        <f>VLOOKUP(E2624,'Cadastro Produtos (kiwkiw)'!C:E,3,0)</f>
        <v>#N/A</v>
      </c>
    </row>
    <row r="2625" spans="7:8" ht="15" customHeight="1" x14ac:dyDescent="0.4">
      <c r="G2625" s="27">
        <f t="shared" si="50"/>
        <v>0</v>
      </c>
      <c r="H2625" s="28" t="e">
        <f>VLOOKUP(E2625,'Cadastro Produtos (kiwkiw)'!C:E,3,0)</f>
        <v>#N/A</v>
      </c>
    </row>
    <row r="2626" spans="7:8" ht="15" customHeight="1" x14ac:dyDescent="0.4">
      <c r="G2626" s="27">
        <f t="shared" si="50"/>
        <v>0</v>
      </c>
      <c r="H2626" s="28" t="e">
        <f>VLOOKUP(E2626,'Cadastro Produtos (kiwkiw)'!C:E,3,0)</f>
        <v>#N/A</v>
      </c>
    </row>
    <row r="2627" spans="7:8" ht="15" customHeight="1" x14ac:dyDescent="0.4">
      <c r="G2627" s="27">
        <f t="shared" si="50"/>
        <v>0</v>
      </c>
      <c r="H2627" s="28" t="e">
        <f>VLOOKUP(E2627,'Cadastro Produtos (kiwkiw)'!C:E,3,0)</f>
        <v>#N/A</v>
      </c>
    </row>
    <row r="2628" spans="7:8" ht="15" customHeight="1" x14ac:dyDescent="0.4">
      <c r="G2628" s="27">
        <f t="shared" si="50"/>
        <v>0</v>
      </c>
      <c r="H2628" s="28" t="e">
        <f>VLOOKUP(E2628,'Cadastro Produtos (kiwkiw)'!C:E,3,0)</f>
        <v>#N/A</v>
      </c>
    </row>
    <row r="2629" spans="7:8" ht="15" customHeight="1" x14ac:dyDescent="0.4">
      <c r="G2629" s="27">
        <f t="shared" si="50"/>
        <v>0</v>
      </c>
      <c r="H2629" s="28" t="e">
        <f>VLOOKUP(E2629,'Cadastro Produtos (kiwkiw)'!C:E,3,0)</f>
        <v>#N/A</v>
      </c>
    </row>
    <row r="2630" spans="7:8" ht="15" customHeight="1" x14ac:dyDescent="0.4">
      <c r="G2630" s="27">
        <f t="shared" si="50"/>
        <v>0</v>
      </c>
      <c r="H2630" s="28" t="e">
        <f>VLOOKUP(E2630,'Cadastro Produtos (kiwkiw)'!C:E,3,0)</f>
        <v>#N/A</v>
      </c>
    </row>
    <row r="2631" spans="7:8" ht="15" customHeight="1" x14ac:dyDescent="0.4">
      <c r="G2631" s="27">
        <f t="shared" si="50"/>
        <v>0</v>
      </c>
      <c r="H2631" s="28" t="e">
        <f>VLOOKUP(E2631,'Cadastro Produtos (kiwkiw)'!C:E,3,0)</f>
        <v>#N/A</v>
      </c>
    </row>
    <row r="2632" spans="7:8" ht="15" customHeight="1" x14ac:dyDescent="0.4">
      <c r="G2632" s="27">
        <f t="shared" si="50"/>
        <v>0</v>
      </c>
      <c r="H2632" s="28" t="e">
        <f>VLOOKUP(E2632,'Cadastro Produtos (kiwkiw)'!C:E,3,0)</f>
        <v>#N/A</v>
      </c>
    </row>
    <row r="2633" spans="7:8" ht="15" customHeight="1" x14ac:dyDescent="0.4">
      <c r="G2633" s="27">
        <f t="shared" si="50"/>
        <v>0</v>
      </c>
      <c r="H2633" s="28" t="e">
        <f>VLOOKUP(E2633,'Cadastro Produtos (kiwkiw)'!C:E,3,0)</f>
        <v>#N/A</v>
      </c>
    </row>
    <row r="2634" spans="7:8" ht="15" customHeight="1" x14ac:dyDescent="0.4">
      <c r="G2634" s="27">
        <f t="shared" si="50"/>
        <v>0</v>
      </c>
      <c r="H2634" s="28" t="e">
        <f>VLOOKUP(E2634,'Cadastro Produtos (kiwkiw)'!C:E,3,0)</f>
        <v>#N/A</v>
      </c>
    </row>
    <row r="2635" spans="7:8" ht="15" customHeight="1" x14ac:dyDescent="0.4">
      <c r="G2635" s="27">
        <f t="shared" si="50"/>
        <v>0</v>
      </c>
      <c r="H2635" s="28" t="e">
        <f>VLOOKUP(E2635,'Cadastro Produtos (kiwkiw)'!C:E,3,0)</f>
        <v>#N/A</v>
      </c>
    </row>
    <row r="2636" spans="7:8" ht="15" customHeight="1" x14ac:dyDescent="0.4">
      <c r="G2636" s="27">
        <f t="shared" si="50"/>
        <v>0</v>
      </c>
      <c r="H2636" s="28" t="e">
        <f>VLOOKUP(E2636,'Cadastro Produtos (kiwkiw)'!C:E,3,0)</f>
        <v>#N/A</v>
      </c>
    </row>
    <row r="2637" spans="7:8" ht="15" customHeight="1" x14ac:dyDescent="0.4">
      <c r="G2637" s="27">
        <f t="shared" si="50"/>
        <v>0</v>
      </c>
      <c r="H2637" s="28" t="e">
        <f>VLOOKUP(E2637,'Cadastro Produtos (kiwkiw)'!C:E,3,0)</f>
        <v>#N/A</v>
      </c>
    </row>
    <row r="2638" spans="7:8" ht="15" customHeight="1" x14ac:dyDescent="0.4">
      <c r="G2638" s="27">
        <f t="shared" si="50"/>
        <v>0</v>
      </c>
      <c r="H2638" s="28" t="e">
        <f>VLOOKUP(E2638,'Cadastro Produtos (kiwkiw)'!C:E,3,0)</f>
        <v>#N/A</v>
      </c>
    </row>
    <row r="2639" spans="7:8" ht="15" customHeight="1" x14ac:dyDescent="0.4">
      <c r="G2639" s="27">
        <f t="shared" si="50"/>
        <v>0</v>
      </c>
      <c r="H2639" s="28" t="e">
        <f>VLOOKUP(E2639,'Cadastro Produtos (kiwkiw)'!C:E,3,0)</f>
        <v>#N/A</v>
      </c>
    </row>
    <row r="2640" spans="7:8" ht="15" customHeight="1" x14ac:dyDescent="0.4">
      <c r="G2640" s="27">
        <f t="shared" si="50"/>
        <v>0</v>
      </c>
      <c r="H2640" s="28" t="e">
        <f>VLOOKUP(E2640,'Cadastro Produtos (kiwkiw)'!C:E,3,0)</f>
        <v>#N/A</v>
      </c>
    </row>
    <row r="2641" spans="7:8" ht="15" customHeight="1" x14ac:dyDescent="0.4">
      <c r="G2641" s="27">
        <f t="shared" si="50"/>
        <v>0</v>
      </c>
      <c r="H2641" s="28" t="e">
        <f>VLOOKUP(E2641,'Cadastro Produtos (kiwkiw)'!C:E,3,0)</f>
        <v>#N/A</v>
      </c>
    </row>
    <row r="2642" spans="7:8" ht="15" customHeight="1" x14ac:dyDescent="0.4">
      <c r="G2642" s="27">
        <f t="shared" si="50"/>
        <v>0</v>
      </c>
      <c r="H2642" s="28" t="e">
        <f>VLOOKUP(E2642,'Cadastro Produtos (kiwkiw)'!C:E,3,0)</f>
        <v>#N/A</v>
      </c>
    </row>
    <row r="2643" spans="7:8" ht="15" customHeight="1" x14ac:dyDescent="0.4">
      <c r="G2643" s="27">
        <f t="shared" si="50"/>
        <v>0</v>
      </c>
      <c r="H2643" s="28" t="e">
        <f>VLOOKUP(E2643,'Cadastro Produtos (kiwkiw)'!C:E,3,0)</f>
        <v>#N/A</v>
      </c>
    </row>
    <row r="2644" spans="7:8" ht="15" customHeight="1" x14ac:dyDescent="0.4">
      <c r="G2644" s="27">
        <f t="shared" si="50"/>
        <v>0</v>
      </c>
      <c r="H2644" s="28" t="e">
        <f>VLOOKUP(E2644,'Cadastro Produtos (kiwkiw)'!C:E,3,0)</f>
        <v>#N/A</v>
      </c>
    </row>
    <row r="2645" spans="7:8" ht="15" customHeight="1" x14ac:dyDescent="0.4">
      <c r="G2645" s="27">
        <f t="shared" si="50"/>
        <v>0</v>
      </c>
      <c r="H2645" s="28" t="e">
        <f>VLOOKUP(E2645,'Cadastro Produtos (kiwkiw)'!C:E,3,0)</f>
        <v>#N/A</v>
      </c>
    </row>
    <row r="2646" spans="7:8" ht="15" customHeight="1" x14ac:dyDescent="0.4">
      <c r="G2646" s="27">
        <f t="shared" si="50"/>
        <v>0</v>
      </c>
      <c r="H2646" s="28" t="e">
        <f>VLOOKUP(E2646,'Cadastro Produtos (kiwkiw)'!C:E,3,0)</f>
        <v>#N/A</v>
      </c>
    </row>
    <row r="2647" spans="7:8" ht="15" customHeight="1" x14ac:dyDescent="0.4">
      <c r="G2647" s="27">
        <f t="shared" si="50"/>
        <v>0</v>
      </c>
      <c r="H2647" s="28" t="e">
        <f>VLOOKUP(E2647,'Cadastro Produtos (kiwkiw)'!C:E,3,0)</f>
        <v>#N/A</v>
      </c>
    </row>
    <row r="2648" spans="7:8" ht="15" customHeight="1" x14ac:dyDescent="0.4">
      <c r="G2648" s="27">
        <f t="shared" si="50"/>
        <v>0</v>
      </c>
      <c r="H2648" s="28" t="e">
        <f>VLOOKUP(E2648,'Cadastro Produtos (kiwkiw)'!C:E,3,0)</f>
        <v>#N/A</v>
      </c>
    </row>
    <row r="2649" spans="7:8" ht="15" customHeight="1" x14ac:dyDescent="0.4">
      <c r="G2649" s="27">
        <f t="shared" si="50"/>
        <v>0</v>
      </c>
      <c r="H2649" s="28" t="e">
        <f>VLOOKUP(E2649,'Cadastro Produtos (kiwkiw)'!C:E,3,0)</f>
        <v>#N/A</v>
      </c>
    </row>
    <row r="2650" spans="7:8" ht="15" customHeight="1" x14ac:dyDescent="0.4">
      <c r="G2650" s="27">
        <f t="shared" si="50"/>
        <v>0</v>
      </c>
      <c r="H2650" s="28" t="e">
        <f>VLOOKUP(E2650,'Cadastro Produtos (kiwkiw)'!C:E,3,0)</f>
        <v>#N/A</v>
      </c>
    </row>
    <row r="2651" spans="7:8" ht="15" customHeight="1" x14ac:dyDescent="0.4">
      <c r="G2651" s="27">
        <f t="shared" si="50"/>
        <v>0</v>
      </c>
      <c r="H2651" s="28" t="e">
        <f>VLOOKUP(E2651,'Cadastro Produtos (kiwkiw)'!C:E,3,0)</f>
        <v>#N/A</v>
      </c>
    </row>
    <row r="2652" spans="7:8" ht="15" customHeight="1" x14ac:dyDescent="0.4">
      <c r="G2652" s="27">
        <f t="shared" si="50"/>
        <v>0</v>
      </c>
      <c r="H2652" s="28" t="e">
        <f>VLOOKUP(E2652,'Cadastro Produtos (kiwkiw)'!C:E,3,0)</f>
        <v>#N/A</v>
      </c>
    </row>
    <row r="2653" spans="7:8" ht="15" customHeight="1" x14ac:dyDescent="0.4">
      <c r="G2653" s="27">
        <f t="shared" si="50"/>
        <v>0</v>
      </c>
      <c r="H2653" s="28" t="e">
        <f>VLOOKUP(E2653,'Cadastro Produtos (kiwkiw)'!C:E,3,0)</f>
        <v>#N/A</v>
      </c>
    </row>
    <row r="2654" spans="7:8" ht="15" customHeight="1" x14ac:dyDescent="0.4">
      <c r="G2654" s="27">
        <f t="shared" si="50"/>
        <v>0</v>
      </c>
      <c r="H2654" s="28" t="e">
        <f>VLOOKUP(E2654,'Cadastro Produtos (kiwkiw)'!C:E,3,0)</f>
        <v>#N/A</v>
      </c>
    </row>
    <row r="2655" spans="7:8" ht="15" customHeight="1" x14ac:dyDescent="0.4">
      <c r="G2655" s="27">
        <f t="shared" si="50"/>
        <v>0</v>
      </c>
      <c r="H2655" s="28" t="e">
        <f>VLOOKUP(E2655,'Cadastro Produtos (kiwkiw)'!C:E,3,0)</f>
        <v>#N/A</v>
      </c>
    </row>
    <row r="2656" spans="7:8" ht="15" customHeight="1" x14ac:dyDescent="0.4">
      <c r="G2656" s="27">
        <f t="shared" si="50"/>
        <v>0</v>
      </c>
      <c r="H2656" s="28" t="e">
        <f>VLOOKUP(E2656,'Cadastro Produtos (kiwkiw)'!C:E,3,0)</f>
        <v>#N/A</v>
      </c>
    </row>
    <row r="2657" spans="2:8" ht="15" customHeight="1" x14ac:dyDescent="0.4">
      <c r="G2657" s="27">
        <f t="shared" si="50"/>
        <v>0</v>
      </c>
      <c r="H2657" s="28" t="e">
        <f>VLOOKUP(E2657,'Cadastro Produtos (kiwkiw)'!C:E,3,0)</f>
        <v>#N/A</v>
      </c>
    </row>
    <row r="2658" spans="2:8" ht="15" customHeight="1" x14ac:dyDescent="0.4">
      <c r="G2658" s="27">
        <f t="shared" si="50"/>
        <v>0</v>
      </c>
      <c r="H2658" s="28" t="e">
        <f>VLOOKUP(E2658,'Cadastro Produtos (kiwkiw)'!C:E,3,0)</f>
        <v>#N/A</v>
      </c>
    </row>
    <row r="2659" spans="2:8" ht="15" customHeight="1" x14ac:dyDescent="0.4">
      <c r="G2659" s="27">
        <f t="shared" si="50"/>
        <v>0</v>
      </c>
      <c r="H2659" s="28" t="e">
        <f>VLOOKUP(E2659,'Cadastro Produtos (kiwkiw)'!C:E,3,0)</f>
        <v>#N/A</v>
      </c>
    </row>
    <row r="2660" spans="2:8" ht="15" customHeight="1" x14ac:dyDescent="0.4">
      <c r="G2660" s="27">
        <f t="shared" si="50"/>
        <v>0</v>
      </c>
      <c r="H2660" s="28" t="e">
        <f>VLOOKUP(E2660,'Cadastro Produtos (kiwkiw)'!C:E,3,0)</f>
        <v>#N/A</v>
      </c>
    </row>
    <row r="2661" spans="2:8" ht="15" customHeight="1" x14ac:dyDescent="0.4">
      <c r="G2661" s="27">
        <f t="shared" si="50"/>
        <v>0</v>
      </c>
      <c r="H2661" s="28" t="e">
        <f>VLOOKUP(E2661,'Cadastro Produtos (kiwkiw)'!C:E,3,0)</f>
        <v>#N/A</v>
      </c>
    </row>
    <row r="2662" spans="2:8" ht="15" customHeight="1" x14ac:dyDescent="0.4">
      <c r="G2662" s="27">
        <f t="shared" si="50"/>
        <v>0</v>
      </c>
      <c r="H2662" s="28" t="e">
        <f>VLOOKUP(E2662,'Cadastro Produtos (kiwkiw)'!C:E,3,0)</f>
        <v>#N/A</v>
      </c>
    </row>
    <row r="2663" spans="2:8" ht="15" customHeight="1" x14ac:dyDescent="0.4">
      <c r="G2663" s="27">
        <f t="shared" si="50"/>
        <v>0</v>
      </c>
      <c r="H2663" s="28" t="e">
        <f>VLOOKUP(E2663,'Cadastro Produtos (kiwkiw)'!C:E,3,0)</f>
        <v>#N/A</v>
      </c>
    </row>
    <row r="2664" spans="2:8" ht="15" customHeight="1" x14ac:dyDescent="0.4">
      <c r="G2664" s="27">
        <f t="shared" si="50"/>
        <v>0</v>
      </c>
      <c r="H2664" s="28" t="e">
        <f>VLOOKUP(E2664,'Cadastro Produtos (kiwkiw)'!C:E,3,0)</f>
        <v>#N/A</v>
      </c>
    </row>
    <row r="2665" spans="2:8" ht="15" customHeight="1" x14ac:dyDescent="0.4">
      <c r="G2665" s="27">
        <f t="shared" si="50"/>
        <v>0</v>
      </c>
      <c r="H2665" s="28" t="e">
        <f>VLOOKUP(E2665,'Cadastro Produtos (kiwkiw)'!C:E,3,0)</f>
        <v>#N/A</v>
      </c>
    </row>
    <row r="2666" spans="2:8" ht="15" customHeight="1" x14ac:dyDescent="0.4">
      <c r="G2666" s="27">
        <f t="shared" si="50"/>
        <v>0</v>
      </c>
      <c r="H2666" s="28" t="e">
        <f>VLOOKUP(E2666,'Cadastro Produtos (kiwkiw)'!C:E,3,0)</f>
        <v>#N/A</v>
      </c>
    </row>
    <row r="2667" spans="2:8" ht="15" customHeight="1" x14ac:dyDescent="0.4">
      <c r="G2667" s="27">
        <f t="shared" si="50"/>
        <v>0</v>
      </c>
      <c r="H2667" s="28" t="e">
        <f>VLOOKUP(E2667,'Cadastro Produtos (kiwkiw)'!C:E,3,0)</f>
        <v>#N/A</v>
      </c>
    </row>
    <row r="2668" spans="2:8" ht="15" customHeight="1" x14ac:dyDescent="0.4">
      <c r="G2668" s="27">
        <f t="shared" si="50"/>
        <v>0</v>
      </c>
      <c r="H2668" s="28" t="e">
        <f>VLOOKUP(E2668,'Cadastro Produtos (kiwkiw)'!C:E,3,0)</f>
        <v>#N/A</v>
      </c>
    </row>
    <row r="2669" spans="2:8" ht="15" customHeight="1" x14ac:dyDescent="0.4">
      <c r="G2669" s="27">
        <f t="shared" si="50"/>
        <v>0</v>
      </c>
      <c r="H2669" s="28" t="e">
        <f>VLOOKUP(E2669,'Cadastro Produtos (kiwkiw)'!C:E,3,0)</f>
        <v>#N/A</v>
      </c>
    </row>
    <row r="2670" spans="2:8" ht="15" customHeight="1" x14ac:dyDescent="0.4">
      <c r="G2670" s="27">
        <f t="shared" si="50"/>
        <v>0</v>
      </c>
      <c r="H2670" s="28" t="e">
        <f>VLOOKUP(E2670,'Cadastro Produtos (kiwkiw)'!C:E,3,0)</f>
        <v>#N/A</v>
      </c>
    </row>
    <row r="2671" spans="2:8" ht="15" customHeight="1" x14ac:dyDescent="0.4">
      <c r="G2671" s="27">
        <f t="shared" si="50"/>
        <v>0</v>
      </c>
      <c r="H2671" s="28" t="e">
        <f>VLOOKUP(E2671,'Cadastro Produtos (kiwkiw)'!C:E,3,0)</f>
        <v>#N/A</v>
      </c>
    </row>
    <row r="2672" spans="2:8" ht="15" customHeight="1" x14ac:dyDescent="0.4">
      <c r="B2672" s="43"/>
      <c r="G2672" s="27">
        <f t="shared" si="50"/>
        <v>0</v>
      </c>
      <c r="H2672" s="28" t="e">
        <f>VLOOKUP(E2672,'Cadastro Produtos (kiwkiw)'!C:E,3,0)</f>
        <v>#N/A</v>
      </c>
    </row>
    <row r="2673" spans="7:8" ht="15" customHeight="1" x14ac:dyDescent="0.4">
      <c r="G2673" s="27">
        <f t="shared" si="50"/>
        <v>0</v>
      </c>
      <c r="H2673" s="28" t="e">
        <f>VLOOKUP(E2673,'Cadastro Produtos (kiwkiw)'!C:E,3,0)</f>
        <v>#N/A</v>
      </c>
    </row>
    <row r="2674" spans="7:8" ht="15" customHeight="1" x14ac:dyDescent="0.4">
      <c r="G2674" s="27">
        <f t="shared" si="50"/>
        <v>0</v>
      </c>
      <c r="H2674" s="28" t="e">
        <f>VLOOKUP(E2674,'Cadastro Produtos (kiwkiw)'!C:E,3,0)</f>
        <v>#N/A</v>
      </c>
    </row>
    <row r="2675" spans="7:8" ht="15" customHeight="1" x14ac:dyDescent="0.4">
      <c r="G2675" s="27">
        <f t="shared" si="50"/>
        <v>0</v>
      </c>
      <c r="H2675" s="28" t="e">
        <f>VLOOKUP(E2675,'Cadastro Produtos (kiwkiw)'!C:E,3,0)</f>
        <v>#N/A</v>
      </c>
    </row>
    <row r="2676" spans="7:8" ht="15" customHeight="1" x14ac:dyDescent="0.4">
      <c r="G2676" s="27">
        <f t="shared" si="50"/>
        <v>0</v>
      </c>
      <c r="H2676" s="28" t="e">
        <f>VLOOKUP(E2676,'Cadastro Produtos (kiwkiw)'!C:E,3,0)</f>
        <v>#N/A</v>
      </c>
    </row>
    <row r="2677" spans="7:8" ht="15" customHeight="1" x14ac:dyDescent="0.4">
      <c r="G2677" s="27">
        <f t="shared" si="50"/>
        <v>0</v>
      </c>
      <c r="H2677" s="28" t="e">
        <f>VLOOKUP(E2677,'Cadastro Produtos (kiwkiw)'!C:E,3,0)</f>
        <v>#N/A</v>
      </c>
    </row>
    <row r="2678" spans="7:8" ht="15" customHeight="1" x14ac:dyDescent="0.4">
      <c r="G2678" s="27">
        <f t="shared" si="50"/>
        <v>0</v>
      </c>
      <c r="H2678" s="28" t="e">
        <f>VLOOKUP(E2678,'Cadastro Produtos (kiwkiw)'!C:E,3,0)</f>
        <v>#N/A</v>
      </c>
    </row>
    <row r="2679" spans="7:8" ht="15" customHeight="1" x14ac:dyDescent="0.4">
      <c r="G2679" s="27">
        <f t="shared" ref="G2679:G2742" si="51">IF(C2679="Entrada",F2679,-F2679)</f>
        <v>0</v>
      </c>
      <c r="H2679" s="28" t="e">
        <f>VLOOKUP(E2679,'Cadastro Produtos (kiwkiw)'!C:E,3,0)</f>
        <v>#N/A</v>
      </c>
    </row>
    <row r="2680" spans="7:8" ht="15" customHeight="1" x14ac:dyDescent="0.4">
      <c r="G2680" s="27">
        <f t="shared" si="51"/>
        <v>0</v>
      </c>
      <c r="H2680" s="28" t="e">
        <f>VLOOKUP(E2680,'Cadastro Produtos (kiwkiw)'!C:E,3,0)</f>
        <v>#N/A</v>
      </c>
    </row>
    <row r="2681" spans="7:8" ht="15" customHeight="1" x14ac:dyDescent="0.4">
      <c r="G2681" s="27">
        <f t="shared" si="51"/>
        <v>0</v>
      </c>
      <c r="H2681" s="28" t="e">
        <f>VLOOKUP(E2681,'Cadastro Produtos (kiwkiw)'!C:E,3,0)</f>
        <v>#N/A</v>
      </c>
    </row>
    <row r="2682" spans="7:8" ht="15" customHeight="1" x14ac:dyDescent="0.4">
      <c r="G2682" s="27">
        <f t="shared" si="51"/>
        <v>0</v>
      </c>
      <c r="H2682" s="28" t="e">
        <f>VLOOKUP(E2682,'Cadastro Produtos (kiwkiw)'!C:E,3,0)</f>
        <v>#N/A</v>
      </c>
    </row>
    <row r="2683" spans="7:8" ht="15" customHeight="1" x14ac:dyDescent="0.4">
      <c r="G2683" s="27">
        <f t="shared" si="51"/>
        <v>0</v>
      </c>
      <c r="H2683" s="28" t="e">
        <f>VLOOKUP(E2683,'Cadastro Produtos (kiwkiw)'!C:E,3,0)</f>
        <v>#N/A</v>
      </c>
    </row>
    <row r="2684" spans="7:8" ht="15" customHeight="1" x14ac:dyDescent="0.4">
      <c r="G2684" s="27">
        <f t="shared" si="51"/>
        <v>0</v>
      </c>
      <c r="H2684" s="28" t="e">
        <f>VLOOKUP(E2684,'Cadastro Produtos (kiwkiw)'!C:E,3,0)</f>
        <v>#N/A</v>
      </c>
    </row>
    <row r="2685" spans="7:8" ht="15" customHeight="1" x14ac:dyDescent="0.4">
      <c r="G2685" s="27">
        <f t="shared" si="51"/>
        <v>0</v>
      </c>
      <c r="H2685" s="28" t="e">
        <f>VLOOKUP(E2685,'Cadastro Produtos (kiwkiw)'!C:E,3,0)</f>
        <v>#N/A</v>
      </c>
    </row>
    <row r="2686" spans="7:8" ht="15" customHeight="1" x14ac:dyDescent="0.4">
      <c r="G2686" s="27">
        <f t="shared" si="51"/>
        <v>0</v>
      </c>
      <c r="H2686" s="28" t="e">
        <f>VLOOKUP(E2686,'Cadastro Produtos (kiwkiw)'!C:E,3,0)</f>
        <v>#N/A</v>
      </c>
    </row>
    <row r="2687" spans="7:8" ht="15" customHeight="1" x14ac:dyDescent="0.4">
      <c r="G2687" s="27">
        <f t="shared" si="51"/>
        <v>0</v>
      </c>
      <c r="H2687" s="28" t="e">
        <f>VLOOKUP(E2687,'Cadastro Produtos (kiwkiw)'!C:E,3,0)</f>
        <v>#N/A</v>
      </c>
    </row>
    <row r="2688" spans="7:8" ht="15" customHeight="1" x14ac:dyDescent="0.4">
      <c r="G2688" s="27">
        <f t="shared" si="51"/>
        <v>0</v>
      </c>
      <c r="H2688" s="28" t="e">
        <f>VLOOKUP(E2688,'Cadastro Produtos (kiwkiw)'!C:E,3,0)</f>
        <v>#N/A</v>
      </c>
    </row>
    <row r="2689" spans="2:8" ht="15" customHeight="1" x14ac:dyDescent="0.4">
      <c r="G2689" s="27">
        <f t="shared" si="51"/>
        <v>0</v>
      </c>
      <c r="H2689" s="28" t="e">
        <f>VLOOKUP(E2689,'Cadastro Produtos (kiwkiw)'!C:E,3,0)</f>
        <v>#N/A</v>
      </c>
    </row>
    <row r="2690" spans="2:8" ht="15" customHeight="1" x14ac:dyDescent="0.4">
      <c r="B2690" s="43"/>
      <c r="G2690" s="27">
        <f t="shared" si="51"/>
        <v>0</v>
      </c>
      <c r="H2690" s="28" t="e">
        <f>VLOOKUP(E2690,'Cadastro Produtos (kiwkiw)'!C:E,3,0)</f>
        <v>#N/A</v>
      </c>
    </row>
    <row r="2691" spans="2:8" ht="15" customHeight="1" x14ac:dyDescent="0.4">
      <c r="G2691" s="27">
        <f t="shared" si="51"/>
        <v>0</v>
      </c>
      <c r="H2691" s="28" t="e">
        <f>VLOOKUP(E2691,'Cadastro Produtos (kiwkiw)'!C:E,3,0)</f>
        <v>#N/A</v>
      </c>
    </row>
    <row r="2692" spans="2:8" ht="15" customHeight="1" x14ac:dyDescent="0.4">
      <c r="G2692" s="27">
        <f t="shared" si="51"/>
        <v>0</v>
      </c>
      <c r="H2692" s="28" t="e">
        <f>VLOOKUP(E2692,'Cadastro Produtos (kiwkiw)'!C:E,3,0)</f>
        <v>#N/A</v>
      </c>
    </row>
    <row r="2693" spans="2:8" ht="15" customHeight="1" x14ac:dyDescent="0.4">
      <c r="G2693" s="27">
        <f t="shared" si="51"/>
        <v>0</v>
      </c>
      <c r="H2693" s="28" t="e">
        <f>VLOOKUP(E2693,'Cadastro Produtos (kiwkiw)'!C:E,3,0)</f>
        <v>#N/A</v>
      </c>
    </row>
    <row r="2694" spans="2:8" ht="15" customHeight="1" x14ac:dyDescent="0.4">
      <c r="G2694" s="27">
        <f t="shared" si="51"/>
        <v>0</v>
      </c>
      <c r="H2694" s="28" t="e">
        <f>VLOOKUP(E2694,'Cadastro Produtos (kiwkiw)'!C:E,3,0)</f>
        <v>#N/A</v>
      </c>
    </row>
    <row r="2695" spans="2:8" ht="15" customHeight="1" x14ac:dyDescent="0.4">
      <c r="G2695" s="27">
        <f t="shared" si="51"/>
        <v>0</v>
      </c>
      <c r="H2695" s="28" t="e">
        <f>VLOOKUP(E2695,'Cadastro Produtos (kiwkiw)'!C:E,3,0)</f>
        <v>#N/A</v>
      </c>
    </row>
    <row r="2696" spans="2:8" ht="15" customHeight="1" x14ac:dyDescent="0.4">
      <c r="G2696" s="27">
        <f t="shared" si="51"/>
        <v>0</v>
      </c>
      <c r="H2696" s="28" t="e">
        <f>VLOOKUP(E2696,'Cadastro Produtos (kiwkiw)'!C:E,3,0)</f>
        <v>#N/A</v>
      </c>
    </row>
    <row r="2697" spans="2:8" ht="15" customHeight="1" x14ac:dyDescent="0.4">
      <c r="G2697" s="27">
        <f t="shared" si="51"/>
        <v>0</v>
      </c>
      <c r="H2697" s="28" t="e">
        <f>VLOOKUP(E2697,'Cadastro Produtos (kiwkiw)'!C:E,3,0)</f>
        <v>#N/A</v>
      </c>
    </row>
    <row r="2698" spans="2:8" ht="15" customHeight="1" x14ac:dyDescent="0.4">
      <c r="G2698" s="27">
        <f t="shared" si="51"/>
        <v>0</v>
      </c>
      <c r="H2698" s="28" t="e">
        <f>VLOOKUP(E2698,'Cadastro Produtos (kiwkiw)'!C:E,3,0)</f>
        <v>#N/A</v>
      </c>
    </row>
    <row r="2699" spans="2:8" ht="15" customHeight="1" x14ac:dyDescent="0.4">
      <c r="G2699" s="27">
        <f t="shared" si="51"/>
        <v>0</v>
      </c>
      <c r="H2699" s="28" t="e">
        <f>VLOOKUP(E2699,'Cadastro Produtos (kiwkiw)'!C:E,3,0)</f>
        <v>#N/A</v>
      </c>
    </row>
    <row r="2700" spans="2:8" ht="15" customHeight="1" x14ac:dyDescent="0.4">
      <c r="G2700" s="27">
        <f t="shared" si="51"/>
        <v>0</v>
      </c>
      <c r="H2700" s="28" t="e">
        <f>VLOOKUP(E2700,'Cadastro Produtos (kiwkiw)'!C:E,3,0)</f>
        <v>#N/A</v>
      </c>
    </row>
    <row r="2701" spans="2:8" ht="15" customHeight="1" x14ac:dyDescent="0.4">
      <c r="G2701" s="27">
        <f t="shared" si="51"/>
        <v>0</v>
      </c>
      <c r="H2701" s="28" t="e">
        <f>VLOOKUP(E2701,'Cadastro Produtos (kiwkiw)'!C:E,3,0)</f>
        <v>#N/A</v>
      </c>
    </row>
    <row r="2702" spans="2:8" ht="15" customHeight="1" x14ac:dyDescent="0.4">
      <c r="G2702" s="27">
        <f t="shared" si="51"/>
        <v>0</v>
      </c>
      <c r="H2702" s="28" t="e">
        <f>VLOOKUP(E2702,'Cadastro Produtos (kiwkiw)'!C:E,3,0)</f>
        <v>#N/A</v>
      </c>
    </row>
    <row r="2703" spans="2:8" ht="15" customHeight="1" x14ac:dyDescent="0.4">
      <c r="G2703" s="27">
        <f t="shared" si="51"/>
        <v>0</v>
      </c>
      <c r="H2703" s="28" t="e">
        <f>VLOOKUP(E2703,'Cadastro Produtos (kiwkiw)'!C:E,3,0)</f>
        <v>#N/A</v>
      </c>
    </row>
    <row r="2704" spans="2:8" ht="15" customHeight="1" x14ac:dyDescent="0.4">
      <c r="G2704" s="27">
        <f t="shared" si="51"/>
        <v>0</v>
      </c>
      <c r="H2704" s="28" t="e">
        <f>VLOOKUP(E2704,'Cadastro Produtos (kiwkiw)'!C:E,3,0)</f>
        <v>#N/A</v>
      </c>
    </row>
    <row r="2705" spans="7:8" ht="15" customHeight="1" x14ac:dyDescent="0.4">
      <c r="G2705" s="27">
        <f t="shared" si="51"/>
        <v>0</v>
      </c>
      <c r="H2705" s="28" t="e">
        <f>VLOOKUP(E2705,'Cadastro Produtos (kiwkiw)'!C:E,3,0)</f>
        <v>#N/A</v>
      </c>
    </row>
    <row r="2706" spans="7:8" ht="15" customHeight="1" x14ac:dyDescent="0.4">
      <c r="G2706" s="27">
        <f t="shared" si="51"/>
        <v>0</v>
      </c>
      <c r="H2706" s="28" t="e">
        <f>VLOOKUP(E2706,'Cadastro Produtos (kiwkiw)'!C:E,3,0)</f>
        <v>#N/A</v>
      </c>
    </row>
    <row r="2707" spans="7:8" ht="15" customHeight="1" x14ac:dyDescent="0.4">
      <c r="G2707" s="27">
        <f t="shared" si="51"/>
        <v>0</v>
      </c>
      <c r="H2707" s="28" t="e">
        <f>VLOOKUP(E2707,'Cadastro Produtos (kiwkiw)'!C:E,3,0)</f>
        <v>#N/A</v>
      </c>
    </row>
    <row r="2708" spans="7:8" ht="15" customHeight="1" x14ac:dyDescent="0.4">
      <c r="G2708" s="27">
        <f t="shared" si="51"/>
        <v>0</v>
      </c>
      <c r="H2708" s="28" t="e">
        <f>VLOOKUP(E2708,'Cadastro Produtos (kiwkiw)'!C:E,3,0)</f>
        <v>#N/A</v>
      </c>
    </row>
    <row r="2709" spans="7:8" ht="15" customHeight="1" x14ac:dyDescent="0.4">
      <c r="G2709" s="27">
        <f t="shared" si="51"/>
        <v>0</v>
      </c>
      <c r="H2709" s="28" t="e">
        <f>VLOOKUP(E2709,'Cadastro Produtos (kiwkiw)'!C:E,3,0)</f>
        <v>#N/A</v>
      </c>
    </row>
    <row r="2710" spans="7:8" ht="15" customHeight="1" x14ac:dyDescent="0.4">
      <c r="G2710" s="27">
        <f t="shared" si="51"/>
        <v>0</v>
      </c>
      <c r="H2710" s="28" t="e">
        <f>VLOOKUP(E2710,'Cadastro Produtos (kiwkiw)'!C:E,3,0)</f>
        <v>#N/A</v>
      </c>
    </row>
    <row r="2711" spans="7:8" ht="15" customHeight="1" x14ac:dyDescent="0.4">
      <c r="G2711" s="27">
        <f t="shared" si="51"/>
        <v>0</v>
      </c>
      <c r="H2711" s="28" t="e">
        <f>VLOOKUP(E2711,'Cadastro Produtos (kiwkiw)'!C:E,3,0)</f>
        <v>#N/A</v>
      </c>
    </row>
    <row r="2712" spans="7:8" ht="15" customHeight="1" x14ac:dyDescent="0.4">
      <c r="G2712" s="27">
        <f t="shared" si="51"/>
        <v>0</v>
      </c>
      <c r="H2712" s="28" t="e">
        <f>VLOOKUP(E2712,'Cadastro Produtos (kiwkiw)'!C:E,3,0)</f>
        <v>#N/A</v>
      </c>
    </row>
    <row r="2713" spans="7:8" ht="15" customHeight="1" x14ac:dyDescent="0.4">
      <c r="G2713" s="27">
        <f t="shared" si="51"/>
        <v>0</v>
      </c>
      <c r="H2713" s="28" t="e">
        <f>VLOOKUP(E2713,'Cadastro Produtos (kiwkiw)'!C:E,3,0)</f>
        <v>#N/A</v>
      </c>
    </row>
    <row r="2714" spans="7:8" ht="15" customHeight="1" x14ac:dyDescent="0.4">
      <c r="G2714" s="27">
        <f t="shared" si="51"/>
        <v>0</v>
      </c>
      <c r="H2714" s="28" t="e">
        <f>VLOOKUP(E2714,'Cadastro Produtos (kiwkiw)'!C:E,3,0)</f>
        <v>#N/A</v>
      </c>
    </row>
    <row r="2715" spans="7:8" ht="15" customHeight="1" x14ac:dyDescent="0.4">
      <c r="G2715" s="27">
        <f t="shared" si="51"/>
        <v>0</v>
      </c>
      <c r="H2715" s="28" t="e">
        <f>VLOOKUP(E2715,'Cadastro Produtos (kiwkiw)'!C:E,3,0)</f>
        <v>#N/A</v>
      </c>
    </row>
    <row r="2716" spans="7:8" ht="15" customHeight="1" x14ac:dyDescent="0.4">
      <c r="G2716" s="27">
        <f t="shared" si="51"/>
        <v>0</v>
      </c>
      <c r="H2716" s="28" t="e">
        <f>VLOOKUP(E2716,'Cadastro Produtos (kiwkiw)'!C:E,3,0)</f>
        <v>#N/A</v>
      </c>
    </row>
    <row r="2717" spans="7:8" ht="15" customHeight="1" x14ac:dyDescent="0.4">
      <c r="G2717" s="27">
        <f t="shared" si="51"/>
        <v>0</v>
      </c>
      <c r="H2717" s="28" t="e">
        <f>VLOOKUP(E2717,'Cadastro Produtos (kiwkiw)'!C:E,3,0)</f>
        <v>#N/A</v>
      </c>
    </row>
    <row r="2718" spans="7:8" ht="15" customHeight="1" x14ac:dyDescent="0.4">
      <c r="G2718" s="27">
        <f t="shared" si="51"/>
        <v>0</v>
      </c>
      <c r="H2718" s="28" t="e">
        <f>VLOOKUP(E2718,'Cadastro Produtos (kiwkiw)'!C:E,3,0)</f>
        <v>#N/A</v>
      </c>
    </row>
    <row r="2719" spans="7:8" ht="15" customHeight="1" x14ac:dyDescent="0.4">
      <c r="G2719" s="27">
        <f t="shared" si="51"/>
        <v>0</v>
      </c>
      <c r="H2719" s="28" t="e">
        <f>VLOOKUP(E2719,'Cadastro Produtos (kiwkiw)'!C:E,3,0)</f>
        <v>#N/A</v>
      </c>
    </row>
    <row r="2720" spans="7:8" ht="15" customHeight="1" x14ac:dyDescent="0.4">
      <c r="G2720" s="27">
        <f t="shared" si="51"/>
        <v>0</v>
      </c>
      <c r="H2720" s="28" t="e">
        <f>VLOOKUP(E2720,'Cadastro Produtos (kiwkiw)'!C:E,3,0)</f>
        <v>#N/A</v>
      </c>
    </row>
    <row r="2721" spans="7:8" ht="15" customHeight="1" x14ac:dyDescent="0.4">
      <c r="G2721" s="27">
        <f t="shared" si="51"/>
        <v>0</v>
      </c>
      <c r="H2721" s="28" t="e">
        <f>VLOOKUP(E2721,'Cadastro Produtos (kiwkiw)'!C:E,3,0)</f>
        <v>#N/A</v>
      </c>
    </row>
    <row r="2722" spans="7:8" ht="15" customHeight="1" x14ac:dyDescent="0.4">
      <c r="G2722" s="27">
        <f t="shared" si="51"/>
        <v>0</v>
      </c>
      <c r="H2722" s="28" t="e">
        <f>VLOOKUP(E2722,'Cadastro Produtos (kiwkiw)'!C:E,3,0)</f>
        <v>#N/A</v>
      </c>
    </row>
    <row r="2723" spans="7:8" ht="15" customHeight="1" x14ac:dyDescent="0.4">
      <c r="G2723" s="27">
        <f t="shared" si="51"/>
        <v>0</v>
      </c>
      <c r="H2723" s="28" t="e">
        <f>VLOOKUP(E2723,'Cadastro Produtos (kiwkiw)'!C:E,3,0)</f>
        <v>#N/A</v>
      </c>
    </row>
    <row r="2724" spans="7:8" ht="15" customHeight="1" x14ac:dyDescent="0.4">
      <c r="G2724" s="27">
        <f t="shared" si="51"/>
        <v>0</v>
      </c>
      <c r="H2724" s="28" t="e">
        <f>VLOOKUP(E2724,'Cadastro Produtos (kiwkiw)'!C:E,3,0)</f>
        <v>#N/A</v>
      </c>
    </row>
    <row r="2725" spans="7:8" ht="15" customHeight="1" x14ac:dyDescent="0.4">
      <c r="G2725" s="27">
        <f t="shared" si="51"/>
        <v>0</v>
      </c>
      <c r="H2725" s="28" t="e">
        <f>VLOOKUP(E2725,'Cadastro Produtos (kiwkiw)'!C:E,3,0)</f>
        <v>#N/A</v>
      </c>
    </row>
    <row r="2726" spans="7:8" ht="15" customHeight="1" x14ac:dyDescent="0.4">
      <c r="G2726" s="27">
        <f t="shared" si="51"/>
        <v>0</v>
      </c>
      <c r="H2726" s="28" t="e">
        <f>VLOOKUP(E2726,'Cadastro Produtos (kiwkiw)'!C:E,3,0)</f>
        <v>#N/A</v>
      </c>
    </row>
    <row r="2727" spans="7:8" ht="15" customHeight="1" x14ac:dyDescent="0.4">
      <c r="G2727" s="27">
        <f t="shared" si="51"/>
        <v>0</v>
      </c>
      <c r="H2727" s="28" t="e">
        <f>VLOOKUP(E2727,'Cadastro Produtos (kiwkiw)'!C:E,3,0)</f>
        <v>#N/A</v>
      </c>
    </row>
    <row r="2728" spans="7:8" ht="15" customHeight="1" x14ac:dyDescent="0.4">
      <c r="G2728" s="27">
        <f t="shared" si="51"/>
        <v>0</v>
      </c>
      <c r="H2728" s="28" t="e">
        <f>VLOOKUP(E2728,'Cadastro Produtos (kiwkiw)'!C:E,3,0)</f>
        <v>#N/A</v>
      </c>
    </row>
    <row r="2729" spans="7:8" ht="15" customHeight="1" x14ac:dyDescent="0.4">
      <c r="G2729" s="27">
        <f t="shared" si="51"/>
        <v>0</v>
      </c>
      <c r="H2729" s="28" t="e">
        <f>VLOOKUP(E2729,'Cadastro Produtos (kiwkiw)'!C:E,3,0)</f>
        <v>#N/A</v>
      </c>
    </row>
    <row r="2730" spans="7:8" ht="15" customHeight="1" x14ac:dyDescent="0.4">
      <c r="G2730" s="27">
        <f t="shared" si="51"/>
        <v>0</v>
      </c>
      <c r="H2730" s="28" t="e">
        <f>VLOOKUP(E2730,'Cadastro Produtos (kiwkiw)'!C:E,3,0)</f>
        <v>#N/A</v>
      </c>
    </row>
    <row r="2731" spans="7:8" ht="15" customHeight="1" x14ac:dyDescent="0.4">
      <c r="G2731" s="27">
        <f t="shared" si="51"/>
        <v>0</v>
      </c>
      <c r="H2731" s="28" t="e">
        <f>VLOOKUP(E2731,'Cadastro Produtos (kiwkiw)'!C:E,3,0)</f>
        <v>#N/A</v>
      </c>
    </row>
    <row r="2732" spans="7:8" ht="15" customHeight="1" x14ac:dyDescent="0.4">
      <c r="G2732" s="27">
        <f t="shared" si="51"/>
        <v>0</v>
      </c>
      <c r="H2732" s="28" t="e">
        <f>VLOOKUP(E2732,'Cadastro Produtos (kiwkiw)'!C:E,3,0)</f>
        <v>#N/A</v>
      </c>
    </row>
    <row r="2733" spans="7:8" ht="15" customHeight="1" x14ac:dyDescent="0.4">
      <c r="G2733" s="27">
        <f t="shared" si="51"/>
        <v>0</v>
      </c>
      <c r="H2733" s="28" t="e">
        <f>VLOOKUP(E2733,'Cadastro Produtos (kiwkiw)'!C:E,3,0)</f>
        <v>#N/A</v>
      </c>
    </row>
    <row r="2734" spans="7:8" ht="15" customHeight="1" x14ac:dyDescent="0.4">
      <c r="G2734" s="27">
        <f t="shared" si="51"/>
        <v>0</v>
      </c>
      <c r="H2734" s="28" t="e">
        <f>VLOOKUP(E2734,'Cadastro Produtos (kiwkiw)'!C:E,3,0)</f>
        <v>#N/A</v>
      </c>
    </row>
    <row r="2735" spans="7:8" ht="15" customHeight="1" x14ac:dyDescent="0.4">
      <c r="G2735" s="27">
        <f t="shared" si="51"/>
        <v>0</v>
      </c>
      <c r="H2735" s="28" t="e">
        <f>VLOOKUP(E2735,'Cadastro Produtos (kiwkiw)'!C:E,3,0)</f>
        <v>#N/A</v>
      </c>
    </row>
    <row r="2736" spans="7:8" ht="15" customHeight="1" x14ac:dyDescent="0.4">
      <c r="G2736" s="27">
        <f t="shared" si="51"/>
        <v>0</v>
      </c>
      <c r="H2736" s="28" t="e">
        <f>VLOOKUP(E2736,'Cadastro Produtos (kiwkiw)'!C:E,3,0)</f>
        <v>#N/A</v>
      </c>
    </row>
    <row r="2737" spans="7:8" ht="15" customHeight="1" x14ac:dyDescent="0.4">
      <c r="G2737" s="27">
        <f t="shared" si="51"/>
        <v>0</v>
      </c>
      <c r="H2737" s="28" t="e">
        <f>VLOOKUP(E2737,'Cadastro Produtos (kiwkiw)'!C:E,3,0)</f>
        <v>#N/A</v>
      </c>
    </row>
    <row r="2738" spans="7:8" ht="15" customHeight="1" x14ac:dyDescent="0.4">
      <c r="G2738" s="27">
        <f t="shared" si="51"/>
        <v>0</v>
      </c>
      <c r="H2738" s="28" t="e">
        <f>VLOOKUP(E2738,'Cadastro Produtos (kiwkiw)'!C:E,3,0)</f>
        <v>#N/A</v>
      </c>
    </row>
    <row r="2739" spans="7:8" ht="15" customHeight="1" x14ac:dyDescent="0.4">
      <c r="G2739" s="27">
        <f t="shared" si="51"/>
        <v>0</v>
      </c>
      <c r="H2739" s="28" t="e">
        <f>VLOOKUP(E2739,'Cadastro Produtos (kiwkiw)'!C:E,3,0)</f>
        <v>#N/A</v>
      </c>
    </row>
    <row r="2740" spans="7:8" ht="15" customHeight="1" x14ac:dyDescent="0.4">
      <c r="G2740" s="27">
        <f t="shared" si="51"/>
        <v>0</v>
      </c>
      <c r="H2740" s="28" t="e">
        <f>VLOOKUP(E2740,'Cadastro Produtos (kiwkiw)'!C:E,3,0)</f>
        <v>#N/A</v>
      </c>
    </row>
    <row r="2741" spans="7:8" ht="15" customHeight="1" x14ac:dyDescent="0.4">
      <c r="G2741" s="27">
        <f t="shared" si="51"/>
        <v>0</v>
      </c>
      <c r="H2741" s="28" t="e">
        <f>VLOOKUP(E2741,'Cadastro Produtos (kiwkiw)'!C:E,3,0)</f>
        <v>#N/A</v>
      </c>
    </row>
    <row r="2742" spans="7:8" ht="15" customHeight="1" x14ac:dyDescent="0.4">
      <c r="G2742" s="27">
        <f t="shared" si="51"/>
        <v>0</v>
      </c>
      <c r="H2742" s="28" t="e">
        <f>VLOOKUP(E2742,'Cadastro Produtos (kiwkiw)'!C:E,3,0)</f>
        <v>#N/A</v>
      </c>
    </row>
    <row r="2743" spans="7:8" ht="15" customHeight="1" x14ac:dyDescent="0.4">
      <c r="G2743" s="27">
        <f t="shared" ref="G2743:G2806" si="52">IF(C2743="Entrada",F2743,-F2743)</f>
        <v>0</v>
      </c>
      <c r="H2743" s="28" t="e">
        <f>VLOOKUP(E2743,'Cadastro Produtos (kiwkiw)'!C:E,3,0)</f>
        <v>#N/A</v>
      </c>
    </row>
    <row r="2744" spans="7:8" ht="15" customHeight="1" x14ac:dyDescent="0.4">
      <c r="G2744" s="27">
        <f t="shared" si="52"/>
        <v>0</v>
      </c>
      <c r="H2744" s="28" t="e">
        <f>VLOOKUP(E2744,'Cadastro Produtos (kiwkiw)'!C:E,3,0)</f>
        <v>#N/A</v>
      </c>
    </row>
    <row r="2745" spans="7:8" ht="15" customHeight="1" x14ac:dyDescent="0.4">
      <c r="G2745" s="27">
        <f t="shared" si="52"/>
        <v>0</v>
      </c>
      <c r="H2745" s="28" t="e">
        <f>VLOOKUP(E2745,'Cadastro Produtos (kiwkiw)'!C:E,3,0)</f>
        <v>#N/A</v>
      </c>
    </row>
    <row r="2746" spans="7:8" ht="15" customHeight="1" x14ac:dyDescent="0.4">
      <c r="G2746" s="27">
        <f t="shared" si="52"/>
        <v>0</v>
      </c>
      <c r="H2746" s="28" t="e">
        <f>VLOOKUP(E2746,'Cadastro Produtos (kiwkiw)'!C:E,3,0)</f>
        <v>#N/A</v>
      </c>
    </row>
    <row r="2747" spans="7:8" ht="15" customHeight="1" x14ac:dyDescent="0.4">
      <c r="G2747" s="27">
        <f t="shared" si="52"/>
        <v>0</v>
      </c>
      <c r="H2747" s="28" t="e">
        <f>VLOOKUP(E2747,'Cadastro Produtos (kiwkiw)'!C:E,3,0)</f>
        <v>#N/A</v>
      </c>
    </row>
    <row r="2748" spans="7:8" ht="15" customHeight="1" x14ac:dyDescent="0.4">
      <c r="G2748" s="27">
        <f t="shared" si="52"/>
        <v>0</v>
      </c>
      <c r="H2748" s="28" t="e">
        <f>VLOOKUP(E2748,'Cadastro Produtos (kiwkiw)'!C:E,3,0)</f>
        <v>#N/A</v>
      </c>
    </row>
    <row r="2749" spans="7:8" ht="15" customHeight="1" x14ac:dyDescent="0.4">
      <c r="G2749" s="27">
        <f t="shared" si="52"/>
        <v>0</v>
      </c>
      <c r="H2749" s="28" t="e">
        <f>VLOOKUP(E2749,'Cadastro Produtos (kiwkiw)'!C:E,3,0)</f>
        <v>#N/A</v>
      </c>
    </row>
    <row r="2750" spans="7:8" ht="15" customHeight="1" x14ac:dyDescent="0.4">
      <c r="G2750" s="27">
        <f t="shared" si="52"/>
        <v>0</v>
      </c>
      <c r="H2750" s="28" t="e">
        <f>VLOOKUP(E2750,'Cadastro Produtos (kiwkiw)'!C:E,3,0)</f>
        <v>#N/A</v>
      </c>
    </row>
    <row r="2751" spans="7:8" ht="15" customHeight="1" x14ac:dyDescent="0.4">
      <c r="G2751" s="27">
        <f t="shared" si="52"/>
        <v>0</v>
      </c>
      <c r="H2751" s="28" t="e">
        <f>VLOOKUP(E2751,'Cadastro Produtos (kiwkiw)'!C:E,3,0)</f>
        <v>#N/A</v>
      </c>
    </row>
    <row r="2752" spans="7:8" ht="15" customHeight="1" x14ac:dyDescent="0.4">
      <c r="G2752" s="27">
        <f t="shared" si="52"/>
        <v>0</v>
      </c>
      <c r="H2752" s="28" t="e">
        <f>VLOOKUP(E2752,'Cadastro Produtos (kiwkiw)'!C:E,3,0)</f>
        <v>#N/A</v>
      </c>
    </row>
    <row r="2753" spans="7:8" ht="15" customHeight="1" x14ac:dyDescent="0.4">
      <c r="G2753" s="27">
        <f t="shared" si="52"/>
        <v>0</v>
      </c>
      <c r="H2753" s="28" t="e">
        <f>VLOOKUP(E2753,'Cadastro Produtos (kiwkiw)'!C:E,3,0)</f>
        <v>#N/A</v>
      </c>
    </row>
    <row r="2754" spans="7:8" ht="15" customHeight="1" x14ac:dyDescent="0.4">
      <c r="G2754" s="27">
        <f t="shared" si="52"/>
        <v>0</v>
      </c>
      <c r="H2754" s="28" t="e">
        <f>VLOOKUP(E2754,'Cadastro Produtos (kiwkiw)'!C:E,3,0)</f>
        <v>#N/A</v>
      </c>
    </row>
    <row r="2755" spans="7:8" ht="15" customHeight="1" x14ac:dyDescent="0.4">
      <c r="G2755" s="27">
        <f t="shared" si="52"/>
        <v>0</v>
      </c>
      <c r="H2755" s="28" t="e">
        <f>VLOOKUP(E2755,'Cadastro Produtos (kiwkiw)'!C:E,3,0)</f>
        <v>#N/A</v>
      </c>
    </row>
    <row r="2756" spans="7:8" ht="15" customHeight="1" x14ac:dyDescent="0.4">
      <c r="G2756" s="27">
        <f t="shared" si="52"/>
        <v>0</v>
      </c>
      <c r="H2756" s="28" t="e">
        <f>VLOOKUP(E2756,'Cadastro Produtos (kiwkiw)'!C:E,3,0)</f>
        <v>#N/A</v>
      </c>
    </row>
    <row r="2757" spans="7:8" ht="15" customHeight="1" x14ac:dyDescent="0.4">
      <c r="G2757" s="27">
        <f t="shared" si="52"/>
        <v>0</v>
      </c>
      <c r="H2757" s="28" t="e">
        <f>VLOOKUP(E2757,'Cadastro Produtos (kiwkiw)'!C:E,3,0)</f>
        <v>#N/A</v>
      </c>
    </row>
    <row r="2758" spans="7:8" ht="15" customHeight="1" x14ac:dyDescent="0.4">
      <c r="G2758" s="27">
        <f t="shared" si="52"/>
        <v>0</v>
      </c>
      <c r="H2758" s="28" t="e">
        <f>VLOOKUP(E2758,'Cadastro Produtos (kiwkiw)'!C:E,3,0)</f>
        <v>#N/A</v>
      </c>
    </row>
    <row r="2759" spans="7:8" ht="15" customHeight="1" x14ac:dyDescent="0.4">
      <c r="G2759" s="27">
        <f t="shared" si="52"/>
        <v>0</v>
      </c>
      <c r="H2759" s="28" t="e">
        <f>VLOOKUP(E2759,'Cadastro Produtos (kiwkiw)'!C:E,3,0)</f>
        <v>#N/A</v>
      </c>
    </row>
    <row r="2760" spans="7:8" ht="15" customHeight="1" x14ac:dyDescent="0.4">
      <c r="G2760" s="27">
        <f t="shared" si="52"/>
        <v>0</v>
      </c>
      <c r="H2760" s="28" t="e">
        <f>VLOOKUP(E2760,'Cadastro Produtos (kiwkiw)'!C:E,3,0)</f>
        <v>#N/A</v>
      </c>
    </row>
    <row r="2761" spans="7:8" ht="15" customHeight="1" x14ac:dyDescent="0.4">
      <c r="G2761" s="27">
        <f t="shared" si="52"/>
        <v>0</v>
      </c>
      <c r="H2761" s="28" t="e">
        <f>VLOOKUP(E2761,'Cadastro Produtos (kiwkiw)'!C:E,3,0)</f>
        <v>#N/A</v>
      </c>
    </row>
    <row r="2762" spans="7:8" ht="15" customHeight="1" x14ac:dyDescent="0.4">
      <c r="G2762" s="27">
        <f t="shared" si="52"/>
        <v>0</v>
      </c>
      <c r="H2762" s="28" t="e">
        <f>VLOOKUP(E2762,'Cadastro Produtos (kiwkiw)'!C:E,3,0)</f>
        <v>#N/A</v>
      </c>
    </row>
    <row r="2763" spans="7:8" ht="15" customHeight="1" x14ac:dyDescent="0.4">
      <c r="G2763" s="27">
        <f t="shared" si="52"/>
        <v>0</v>
      </c>
      <c r="H2763" s="28" t="e">
        <f>VLOOKUP(E2763,'Cadastro Produtos (kiwkiw)'!C:E,3,0)</f>
        <v>#N/A</v>
      </c>
    </row>
    <row r="2764" spans="7:8" ht="15" customHeight="1" x14ac:dyDescent="0.4">
      <c r="G2764" s="27">
        <f t="shared" si="52"/>
        <v>0</v>
      </c>
      <c r="H2764" s="28" t="e">
        <f>VLOOKUP(E2764,'Cadastro Produtos (kiwkiw)'!C:E,3,0)</f>
        <v>#N/A</v>
      </c>
    </row>
    <row r="2765" spans="7:8" ht="15" customHeight="1" x14ac:dyDescent="0.4">
      <c r="G2765" s="27">
        <f t="shared" si="52"/>
        <v>0</v>
      </c>
      <c r="H2765" s="28" t="e">
        <f>VLOOKUP(E2765,'Cadastro Produtos (kiwkiw)'!C:E,3,0)</f>
        <v>#N/A</v>
      </c>
    </row>
    <row r="2766" spans="7:8" ht="15" customHeight="1" x14ac:dyDescent="0.4">
      <c r="G2766" s="27">
        <f t="shared" si="52"/>
        <v>0</v>
      </c>
      <c r="H2766" s="28" t="e">
        <f>VLOOKUP(E2766,'Cadastro Produtos (kiwkiw)'!C:E,3,0)</f>
        <v>#N/A</v>
      </c>
    </row>
    <row r="2767" spans="7:8" ht="15" customHeight="1" x14ac:dyDescent="0.4">
      <c r="G2767" s="27">
        <f t="shared" si="52"/>
        <v>0</v>
      </c>
      <c r="H2767" s="28" t="e">
        <f>VLOOKUP(E2767,'Cadastro Produtos (kiwkiw)'!C:E,3,0)</f>
        <v>#N/A</v>
      </c>
    </row>
    <row r="2768" spans="7:8" ht="15" customHeight="1" x14ac:dyDescent="0.4">
      <c r="G2768" s="27">
        <f t="shared" si="52"/>
        <v>0</v>
      </c>
      <c r="H2768" s="28" t="e">
        <f>VLOOKUP(E2768,'Cadastro Produtos (kiwkiw)'!C:E,3,0)</f>
        <v>#N/A</v>
      </c>
    </row>
    <row r="2769" spans="7:8" ht="15" customHeight="1" x14ac:dyDescent="0.4">
      <c r="G2769" s="27">
        <f t="shared" si="52"/>
        <v>0</v>
      </c>
      <c r="H2769" s="28" t="e">
        <f>VLOOKUP(E2769,'Cadastro Produtos (kiwkiw)'!C:E,3,0)</f>
        <v>#N/A</v>
      </c>
    </row>
    <row r="2770" spans="7:8" ht="15" customHeight="1" x14ac:dyDescent="0.4">
      <c r="G2770" s="27">
        <f t="shared" si="52"/>
        <v>0</v>
      </c>
      <c r="H2770" s="28" t="e">
        <f>VLOOKUP(E2770,'Cadastro Produtos (kiwkiw)'!C:E,3,0)</f>
        <v>#N/A</v>
      </c>
    </row>
    <row r="2771" spans="7:8" ht="15" customHeight="1" x14ac:dyDescent="0.4">
      <c r="G2771" s="27">
        <f t="shared" si="52"/>
        <v>0</v>
      </c>
      <c r="H2771" s="28" t="e">
        <f>VLOOKUP(E2771,'Cadastro Produtos (kiwkiw)'!C:E,3,0)</f>
        <v>#N/A</v>
      </c>
    </row>
    <row r="2772" spans="7:8" ht="15" customHeight="1" x14ac:dyDescent="0.4">
      <c r="G2772" s="27">
        <f t="shared" si="52"/>
        <v>0</v>
      </c>
      <c r="H2772" s="28" t="e">
        <f>VLOOKUP(E2772,'Cadastro Produtos (kiwkiw)'!C:E,3,0)</f>
        <v>#N/A</v>
      </c>
    </row>
    <row r="2773" spans="7:8" ht="15" customHeight="1" x14ac:dyDescent="0.4">
      <c r="G2773" s="27">
        <f t="shared" si="52"/>
        <v>0</v>
      </c>
      <c r="H2773" s="28" t="e">
        <f>VLOOKUP(E2773,'Cadastro Produtos (kiwkiw)'!C:E,3,0)</f>
        <v>#N/A</v>
      </c>
    </row>
    <row r="2774" spans="7:8" ht="15" customHeight="1" x14ac:dyDescent="0.4">
      <c r="G2774" s="27">
        <f t="shared" si="52"/>
        <v>0</v>
      </c>
      <c r="H2774" s="28" t="e">
        <f>VLOOKUP(E2774,'Cadastro Produtos (kiwkiw)'!C:E,3,0)</f>
        <v>#N/A</v>
      </c>
    </row>
    <row r="2775" spans="7:8" ht="15" customHeight="1" x14ac:dyDescent="0.4">
      <c r="G2775" s="27">
        <f t="shared" si="52"/>
        <v>0</v>
      </c>
      <c r="H2775" s="28" t="e">
        <f>VLOOKUP(E2775,'Cadastro Produtos (kiwkiw)'!C:E,3,0)</f>
        <v>#N/A</v>
      </c>
    </row>
    <row r="2776" spans="7:8" ht="15" customHeight="1" x14ac:dyDescent="0.4">
      <c r="G2776" s="27">
        <f t="shared" si="52"/>
        <v>0</v>
      </c>
      <c r="H2776" s="28" t="e">
        <f>VLOOKUP(E2776,'Cadastro Produtos (kiwkiw)'!C:E,3,0)</f>
        <v>#N/A</v>
      </c>
    </row>
    <row r="2777" spans="7:8" ht="15" customHeight="1" x14ac:dyDescent="0.4">
      <c r="G2777" s="27">
        <f t="shared" si="52"/>
        <v>0</v>
      </c>
      <c r="H2777" s="28" t="e">
        <f>VLOOKUP(E2777,'Cadastro Produtos (kiwkiw)'!C:E,3,0)</f>
        <v>#N/A</v>
      </c>
    </row>
    <row r="2778" spans="7:8" ht="15" customHeight="1" x14ac:dyDescent="0.4">
      <c r="G2778" s="27">
        <f t="shared" si="52"/>
        <v>0</v>
      </c>
      <c r="H2778" s="28" t="e">
        <f>VLOOKUP(E2778,'Cadastro Produtos (kiwkiw)'!C:E,3,0)</f>
        <v>#N/A</v>
      </c>
    </row>
    <row r="2779" spans="7:8" ht="15" customHeight="1" x14ac:dyDescent="0.4">
      <c r="G2779" s="27">
        <f t="shared" si="52"/>
        <v>0</v>
      </c>
      <c r="H2779" s="28" t="e">
        <f>VLOOKUP(E2779,'Cadastro Produtos (kiwkiw)'!C:E,3,0)</f>
        <v>#N/A</v>
      </c>
    </row>
    <row r="2780" spans="7:8" ht="15" customHeight="1" x14ac:dyDescent="0.4">
      <c r="G2780" s="27">
        <f t="shared" si="52"/>
        <v>0</v>
      </c>
      <c r="H2780" s="28" t="e">
        <f>VLOOKUP(E2780,'Cadastro Produtos (kiwkiw)'!C:E,3,0)</f>
        <v>#N/A</v>
      </c>
    </row>
    <row r="2781" spans="7:8" ht="15" customHeight="1" x14ac:dyDescent="0.4">
      <c r="G2781" s="27">
        <f t="shared" si="52"/>
        <v>0</v>
      </c>
      <c r="H2781" s="28" t="e">
        <f>VLOOKUP(E2781,'Cadastro Produtos (kiwkiw)'!C:E,3,0)</f>
        <v>#N/A</v>
      </c>
    </row>
    <row r="2782" spans="7:8" ht="15" customHeight="1" x14ac:dyDescent="0.4">
      <c r="G2782" s="27">
        <f t="shared" si="52"/>
        <v>0</v>
      </c>
      <c r="H2782" s="28" t="e">
        <f>VLOOKUP(E2782,'Cadastro Produtos (kiwkiw)'!C:E,3,0)</f>
        <v>#N/A</v>
      </c>
    </row>
    <row r="2783" spans="7:8" ht="15" customHeight="1" x14ac:dyDescent="0.4">
      <c r="G2783" s="27">
        <f t="shared" si="52"/>
        <v>0</v>
      </c>
      <c r="H2783" s="28" t="e">
        <f>VLOOKUP(E2783,'Cadastro Produtos (kiwkiw)'!C:E,3,0)</f>
        <v>#N/A</v>
      </c>
    </row>
    <row r="2784" spans="7:8" ht="15" customHeight="1" x14ac:dyDescent="0.4">
      <c r="G2784" s="27">
        <f t="shared" si="52"/>
        <v>0</v>
      </c>
      <c r="H2784" s="28" t="e">
        <f>VLOOKUP(E2784,'Cadastro Produtos (kiwkiw)'!C:E,3,0)</f>
        <v>#N/A</v>
      </c>
    </row>
    <row r="2785" spans="7:8" ht="15" customHeight="1" x14ac:dyDescent="0.4">
      <c r="G2785" s="27">
        <f t="shared" si="52"/>
        <v>0</v>
      </c>
      <c r="H2785" s="28" t="e">
        <f>VLOOKUP(E2785,'Cadastro Produtos (kiwkiw)'!C:E,3,0)</f>
        <v>#N/A</v>
      </c>
    </row>
    <row r="2786" spans="7:8" ht="15" customHeight="1" x14ac:dyDescent="0.4">
      <c r="G2786" s="27">
        <f t="shared" si="52"/>
        <v>0</v>
      </c>
      <c r="H2786" s="28" t="e">
        <f>VLOOKUP(E2786,'Cadastro Produtos (kiwkiw)'!C:E,3,0)</f>
        <v>#N/A</v>
      </c>
    </row>
    <row r="2787" spans="7:8" ht="15" customHeight="1" x14ac:dyDescent="0.4">
      <c r="G2787" s="27">
        <f t="shared" si="52"/>
        <v>0</v>
      </c>
      <c r="H2787" s="28" t="e">
        <f>VLOOKUP(E2787,'Cadastro Produtos (kiwkiw)'!C:E,3,0)</f>
        <v>#N/A</v>
      </c>
    </row>
    <row r="2788" spans="7:8" ht="15" customHeight="1" x14ac:dyDescent="0.4">
      <c r="G2788" s="27">
        <f t="shared" si="52"/>
        <v>0</v>
      </c>
      <c r="H2788" s="28" t="e">
        <f>VLOOKUP(E2788,'Cadastro Produtos (kiwkiw)'!C:E,3,0)</f>
        <v>#N/A</v>
      </c>
    </row>
    <row r="2789" spans="7:8" ht="15" customHeight="1" x14ac:dyDescent="0.4">
      <c r="G2789" s="27">
        <f t="shared" si="52"/>
        <v>0</v>
      </c>
      <c r="H2789" s="28" t="e">
        <f>VLOOKUP(E2789,'Cadastro Produtos (kiwkiw)'!C:E,3,0)</f>
        <v>#N/A</v>
      </c>
    </row>
    <row r="2790" spans="7:8" ht="15" customHeight="1" x14ac:dyDescent="0.4">
      <c r="G2790" s="27">
        <f t="shared" si="52"/>
        <v>0</v>
      </c>
      <c r="H2790" s="28" t="e">
        <f>VLOOKUP(E2790,'Cadastro Produtos (kiwkiw)'!C:E,3,0)</f>
        <v>#N/A</v>
      </c>
    </row>
    <row r="2791" spans="7:8" ht="15" customHeight="1" x14ac:dyDescent="0.4">
      <c r="G2791" s="27">
        <f t="shared" si="52"/>
        <v>0</v>
      </c>
      <c r="H2791" s="28" t="e">
        <f>VLOOKUP(E2791,'Cadastro Produtos (kiwkiw)'!C:E,3,0)</f>
        <v>#N/A</v>
      </c>
    </row>
    <row r="2792" spans="7:8" ht="15" customHeight="1" x14ac:dyDescent="0.4">
      <c r="G2792" s="27">
        <f t="shared" si="52"/>
        <v>0</v>
      </c>
      <c r="H2792" s="28" t="e">
        <f>VLOOKUP(E2792,'Cadastro Produtos (kiwkiw)'!C:E,3,0)</f>
        <v>#N/A</v>
      </c>
    </row>
    <row r="2793" spans="7:8" ht="15" customHeight="1" x14ac:dyDescent="0.4">
      <c r="G2793" s="27">
        <f t="shared" si="52"/>
        <v>0</v>
      </c>
      <c r="H2793" s="28" t="e">
        <f>VLOOKUP(E2793,'Cadastro Produtos (kiwkiw)'!C:E,3,0)</f>
        <v>#N/A</v>
      </c>
    </row>
    <row r="2794" spans="7:8" ht="15" customHeight="1" x14ac:dyDescent="0.4">
      <c r="G2794" s="27">
        <f t="shared" si="52"/>
        <v>0</v>
      </c>
      <c r="H2794" s="28" t="e">
        <f>VLOOKUP(E2794,'Cadastro Produtos (kiwkiw)'!C:E,3,0)</f>
        <v>#N/A</v>
      </c>
    </row>
    <row r="2795" spans="7:8" ht="15" customHeight="1" x14ac:dyDescent="0.4">
      <c r="G2795" s="27">
        <f t="shared" si="52"/>
        <v>0</v>
      </c>
      <c r="H2795" s="28" t="e">
        <f>VLOOKUP(E2795,'Cadastro Produtos (kiwkiw)'!C:E,3,0)</f>
        <v>#N/A</v>
      </c>
    </row>
    <row r="2796" spans="7:8" ht="15" customHeight="1" x14ac:dyDescent="0.4">
      <c r="G2796" s="27">
        <f t="shared" si="52"/>
        <v>0</v>
      </c>
      <c r="H2796" s="28" t="e">
        <f>VLOOKUP(E2796,'Cadastro Produtos (kiwkiw)'!C:E,3,0)</f>
        <v>#N/A</v>
      </c>
    </row>
    <row r="2797" spans="7:8" ht="15" customHeight="1" x14ac:dyDescent="0.4">
      <c r="G2797" s="27">
        <f t="shared" si="52"/>
        <v>0</v>
      </c>
      <c r="H2797" s="28" t="e">
        <f>VLOOKUP(E2797,'Cadastro Produtos (kiwkiw)'!C:E,3,0)</f>
        <v>#N/A</v>
      </c>
    </row>
    <row r="2798" spans="7:8" ht="15" customHeight="1" x14ac:dyDescent="0.4">
      <c r="G2798" s="27">
        <f t="shared" si="52"/>
        <v>0</v>
      </c>
      <c r="H2798" s="28" t="e">
        <f>VLOOKUP(E2798,'Cadastro Produtos (kiwkiw)'!C:E,3,0)</f>
        <v>#N/A</v>
      </c>
    </row>
    <row r="2799" spans="7:8" ht="15" customHeight="1" x14ac:dyDescent="0.4">
      <c r="G2799" s="27">
        <f t="shared" si="52"/>
        <v>0</v>
      </c>
      <c r="H2799" s="28" t="e">
        <f>VLOOKUP(E2799,'Cadastro Produtos (kiwkiw)'!C:E,3,0)</f>
        <v>#N/A</v>
      </c>
    </row>
    <row r="2800" spans="7:8" ht="15" customHeight="1" x14ac:dyDescent="0.4">
      <c r="G2800" s="27">
        <f t="shared" si="52"/>
        <v>0</v>
      </c>
      <c r="H2800" s="28" t="e">
        <f>VLOOKUP(E2800,'Cadastro Produtos (kiwkiw)'!C:E,3,0)</f>
        <v>#N/A</v>
      </c>
    </row>
    <row r="2801" spans="7:8" ht="15" customHeight="1" x14ac:dyDescent="0.4">
      <c r="G2801" s="27">
        <f t="shared" si="52"/>
        <v>0</v>
      </c>
      <c r="H2801" s="28" t="e">
        <f>VLOOKUP(E2801,'Cadastro Produtos (kiwkiw)'!C:E,3,0)</f>
        <v>#N/A</v>
      </c>
    </row>
    <row r="2802" spans="7:8" ht="15" customHeight="1" x14ac:dyDescent="0.4">
      <c r="G2802" s="27">
        <f t="shared" si="52"/>
        <v>0</v>
      </c>
      <c r="H2802" s="28" t="e">
        <f>VLOOKUP(E2802,'Cadastro Produtos (kiwkiw)'!C:E,3,0)</f>
        <v>#N/A</v>
      </c>
    </row>
    <row r="2803" spans="7:8" ht="15" customHeight="1" x14ac:dyDescent="0.4">
      <c r="G2803" s="27">
        <f t="shared" si="52"/>
        <v>0</v>
      </c>
      <c r="H2803" s="28" t="e">
        <f>VLOOKUP(E2803,'Cadastro Produtos (kiwkiw)'!C:E,3,0)</f>
        <v>#N/A</v>
      </c>
    </row>
    <row r="2804" spans="7:8" ht="15" customHeight="1" x14ac:dyDescent="0.4">
      <c r="G2804" s="27">
        <f t="shared" si="52"/>
        <v>0</v>
      </c>
      <c r="H2804" s="28" t="e">
        <f>VLOOKUP(E2804,'Cadastro Produtos (kiwkiw)'!C:E,3,0)</f>
        <v>#N/A</v>
      </c>
    </row>
    <row r="2805" spans="7:8" ht="15" customHeight="1" x14ac:dyDescent="0.4">
      <c r="G2805" s="27">
        <f t="shared" si="52"/>
        <v>0</v>
      </c>
      <c r="H2805" s="28" t="e">
        <f>VLOOKUP(E2805,'Cadastro Produtos (kiwkiw)'!C:E,3,0)</f>
        <v>#N/A</v>
      </c>
    </row>
    <row r="2806" spans="7:8" ht="15" customHeight="1" x14ac:dyDescent="0.4">
      <c r="G2806" s="27">
        <f t="shared" si="52"/>
        <v>0</v>
      </c>
      <c r="H2806" s="28" t="e">
        <f>VLOOKUP(E2806,'Cadastro Produtos (kiwkiw)'!C:E,3,0)</f>
        <v>#N/A</v>
      </c>
    </row>
    <row r="2807" spans="7:8" ht="15" customHeight="1" x14ac:dyDescent="0.4">
      <c r="G2807" s="27">
        <f t="shared" ref="G2807:G2870" si="53">IF(C2807="Entrada",F2807,-F2807)</f>
        <v>0</v>
      </c>
      <c r="H2807" s="28" t="e">
        <f>VLOOKUP(E2807,'Cadastro Produtos (kiwkiw)'!C:E,3,0)</f>
        <v>#N/A</v>
      </c>
    </row>
    <row r="2808" spans="7:8" ht="15" customHeight="1" x14ac:dyDescent="0.4">
      <c r="G2808" s="27">
        <f t="shared" si="53"/>
        <v>0</v>
      </c>
      <c r="H2808" s="28" t="e">
        <f>VLOOKUP(E2808,'Cadastro Produtos (kiwkiw)'!C:E,3,0)</f>
        <v>#N/A</v>
      </c>
    </row>
    <row r="2809" spans="7:8" ht="15" customHeight="1" x14ac:dyDescent="0.4">
      <c r="G2809" s="27">
        <f t="shared" si="53"/>
        <v>0</v>
      </c>
      <c r="H2809" s="28" t="e">
        <f>VLOOKUP(E2809,'Cadastro Produtos (kiwkiw)'!C:E,3,0)</f>
        <v>#N/A</v>
      </c>
    </row>
    <row r="2810" spans="7:8" ht="15" customHeight="1" x14ac:dyDescent="0.4">
      <c r="G2810" s="27">
        <f t="shared" si="53"/>
        <v>0</v>
      </c>
      <c r="H2810" s="28" t="e">
        <f>VLOOKUP(E2810,'Cadastro Produtos (kiwkiw)'!C:E,3,0)</f>
        <v>#N/A</v>
      </c>
    </row>
    <row r="2811" spans="7:8" ht="15" customHeight="1" x14ac:dyDescent="0.4">
      <c r="G2811" s="27">
        <f t="shared" si="53"/>
        <v>0</v>
      </c>
      <c r="H2811" s="28" t="e">
        <f>VLOOKUP(E2811,'Cadastro Produtos (kiwkiw)'!C:E,3,0)</f>
        <v>#N/A</v>
      </c>
    </row>
    <row r="2812" spans="7:8" ht="15" customHeight="1" x14ac:dyDescent="0.4">
      <c r="G2812" s="27">
        <f t="shared" si="53"/>
        <v>0</v>
      </c>
      <c r="H2812" s="28" t="e">
        <f>VLOOKUP(E2812,'Cadastro Produtos (kiwkiw)'!C:E,3,0)</f>
        <v>#N/A</v>
      </c>
    </row>
    <row r="2813" spans="7:8" ht="15" customHeight="1" x14ac:dyDescent="0.4">
      <c r="G2813" s="27">
        <f t="shared" si="53"/>
        <v>0</v>
      </c>
      <c r="H2813" s="28" t="e">
        <f>VLOOKUP(E2813,'Cadastro Produtos (kiwkiw)'!C:E,3,0)</f>
        <v>#N/A</v>
      </c>
    </row>
    <row r="2814" spans="7:8" ht="15" customHeight="1" x14ac:dyDescent="0.4">
      <c r="G2814" s="27">
        <f t="shared" si="53"/>
        <v>0</v>
      </c>
      <c r="H2814" s="28" t="e">
        <f>VLOOKUP(E2814,'Cadastro Produtos (kiwkiw)'!C:E,3,0)</f>
        <v>#N/A</v>
      </c>
    </row>
    <row r="2815" spans="7:8" ht="15" customHeight="1" x14ac:dyDescent="0.4">
      <c r="G2815" s="27">
        <f t="shared" si="53"/>
        <v>0</v>
      </c>
      <c r="H2815" s="28" t="e">
        <f>VLOOKUP(E2815,'Cadastro Produtos (kiwkiw)'!C:E,3,0)</f>
        <v>#N/A</v>
      </c>
    </row>
    <row r="2816" spans="7:8" ht="15" customHeight="1" x14ac:dyDescent="0.4">
      <c r="G2816" s="27">
        <f t="shared" si="53"/>
        <v>0</v>
      </c>
      <c r="H2816" s="28" t="e">
        <f>VLOOKUP(E2816,'Cadastro Produtos (kiwkiw)'!C:E,3,0)</f>
        <v>#N/A</v>
      </c>
    </row>
    <row r="2817" spans="7:8" ht="15" customHeight="1" x14ac:dyDescent="0.4">
      <c r="G2817" s="27">
        <f t="shared" si="53"/>
        <v>0</v>
      </c>
      <c r="H2817" s="28" t="e">
        <f>VLOOKUP(E2817,'Cadastro Produtos (kiwkiw)'!C:E,3,0)</f>
        <v>#N/A</v>
      </c>
    </row>
    <row r="2818" spans="7:8" ht="15" customHeight="1" x14ac:dyDescent="0.4">
      <c r="G2818" s="27">
        <f t="shared" si="53"/>
        <v>0</v>
      </c>
      <c r="H2818" s="28" t="e">
        <f>VLOOKUP(E2818,'Cadastro Produtos (kiwkiw)'!C:E,3,0)</f>
        <v>#N/A</v>
      </c>
    </row>
    <row r="2819" spans="7:8" ht="15" customHeight="1" x14ac:dyDescent="0.4">
      <c r="G2819" s="27">
        <f t="shared" si="53"/>
        <v>0</v>
      </c>
      <c r="H2819" s="28" t="e">
        <f>VLOOKUP(E2819,'Cadastro Produtos (kiwkiw)'!C:E,3,0)</f>
        <v>#N/A</v>
      </c>
    </row>
    <row r="2820" spans="7:8" ht="15" customHeight="1" x14ac:dyDescent="0.4">
      <c r="G2820" s="27">
        <f t="shared" si="53"/>
        <v>0</v>
      </c>
      <c r="H2820" s="28" t="e">
        <f>VLOOKUP(E2820,'Cadastro Produtos (kiwkiw)'!C:E,3,0)</f>
        <v>#N/A</v>
      </c>
    </row>
    <row r="2821" spans="7:8" ht="15" customHeight="1" x14ac:dyDescent="0.4">
      <c r="G2821" s="27">
        <f t="shared" si="53"/>
        <v>0</v>
      </c>
      <c r="H2821" s="28" t="e">
        <f>VLOOKUP(E2821,'Cadastro Produtos (kiwkiw)'!C:E,3,0)</f>
        <v>#N/A</v>
      </c>
    </row>
    <row r="2822" spans="7:8" ht="15" customHeight="1" x14ac:dyDescent="0.4">
      <c r="G2822" s="27">
        <f t="shared" si="53"/>
        <v>0</v>
      </c>
      <c r="H2822" s="28" t="e">
        <f>VLOOKUP(E2822,'Cadastro Produtos (kiwkiw)'!C:E,3,0)</f>
        <v>#N/A</v>
      </c>
    </row>
    <row r="2823" spans="7:8" ht="15" customHeight="1" x14ac:dyDescent="0.4">
      <c r="G2823" s="27">
        <f t="shared" si="53"/>
        <v>0</v>
      </c>
      <c r="H2823" s="28" t="e">
        <f>VLOOKUP(E2823,'Cadastro Produtos (kiwkiw)'!C:E,3,0)</f>
        <v>#N/A</v>
      </c>
    </row>
    <row r="2824" spans="7:8" ht="15" customHeight="1" x14ac:dyDescent="0.4">
      <c r="G2824" s="27">
        <f t="shared" si="53"/>
        <v>0</v>
      </c>
      <c r="H2824" s="28" t="e">
        <f>VLOOKUP(E2824,'Cadastro Produtos (kiwkiw)'!C:E,3,0)</f>
        <v>#N/A</v>
      </c>
    </row>
    <row r="2825" spans="7:8" ht="15" customHeight="1" x14ac:dyDescent="0.4">
      <c r="G2825" s="27">
        <f t="shared" si="53"/>
        <v>0</v>
      </c>
      <c r="H2825" s="28" t="e">
        <f>VLOOKUP(E2825,'Cadastro Produtos (kiwkiw)'!C:E,3,0)</f>
        <v>#N/A</v>
      </c>
    </row>
    <row r="2826" spans="7:8" ht="15" customHeight="1" x14ac:dyDescent="0.4">
      <c r="G2826" s="27">
        <f t="shared" si="53"/>
        <v>0</v>
      </c>
      <c r="H2826" s="28" t="e">
        <f>VLOOKUP(E2826,'Cadastro Produtos (kiwkiw)'!C:E,3,0)</f>
        <v>#N/A</v>
      </c>
    </row>
    <row r="2827" spans="7:8" ht="15" customHeight="1" x14ac:dyDescent="0.4">
      <c r="G2827" s="27">
        <f t="shared" si="53"/>
        <v>0</v>
      </c>
      <c r="H2827" s="28" t="e">
        <f>VLOOKUP(E2827,'Cadastro Produtos (kiwkiw)'!C:E,3,0)</f>
        <v>#N/A</v>
      </c>
    </row>
    <row r="2828" spans="7:8" ht="15" customHeight="1" x14ac:dyDescent="0.4">
      <c r="G2828" s="27">
        <f t="shared" si="53"/>
        <v>0</v>
      </c>
      <c r="H2828" s="28" t="e">
        <f>VLOOKUP(E2828,'Cadastro Produtos (kiwkiw)'!C:E,3,0)</f>
        <v>#N/A</v>
      </c>
    </row>
    <row r="2829" spans="7:8" ht="15" customHeight="1" x14ac:dyDescent="0.4">
      <c r="G2829" s="27">
        <f t="shared" si="53"/>
        <v>0</v>
      </c>
      <c r="H2829" s="28" t="e">
        <f>VLOOKUP(E2829,'Cadastro Produtos (kiwkiw)'!C:E,3,0)</f>
        <v>#N/A</v>
      </c>
    </row>
    <row r="2830" spans="7:8" ht="15" customHeight="1" x14ac:dyDescent="0.4">
      <c r="G2830" s="27">
        <f t="shared" si="53"/>
        <v>0</v>
      </c>
      <c r="H2830" s="28" t="e">
        <f>VLOOKUP(E2830,'Cadastro Produtos (kiwkiw)'!C:E,3,0)</f>
        <v>#N/A</v>
      </c>
    </row>
    <row r="2831" spans="7:8" ht="15" customHeight="1" x14ac:dyDescent="0.4">
      <c r="G2831" s="27">
        <f t="shared" si="53"/>
        <v>0</v>
      </c>
      <c r="H2831" s="28" t="e">
        <f>VLOOKUP(E2831,'Cadastro Produtos (kiwkiw)'!C:E,3,0)</f>
        <v>#N/A</v>
      </c>
    </row>
    <row r="2832" spans="7:8" ht="15" customHeight="1" x14ac:dyDescent="0.4">
      <c r="G2832" s="27">
        <f t="shared" si="53"/>
        <v>0</v>
      </c>
      <c r="H2832" s="28" t="e">
        <f>VLOOKUP(E2832,'Cadastro Produtos (kiwkiw)'!C:E,3,0)</f>
        <v>#N/A</v>
      </c>
    </row>
    <row r="2833" spans="7:8" ht="15" customHeight="1" x14ac:dyDescent="0.4">
      <c r="G2833" s="27">
        <f t="shared" si="53"/>
        <v>0</v>
      </c>
      <c r="H2833" s="28" t="e">
        <f>VLOOKUP(E2833,'Cadastro Produtos (kiwkiw)'!C:E,3,0)</f>
        <v>#N/A</v>
      </c>
    </row>
    <row r="2834" spans="7:8" ht="15" customHeight="1" x14ac:dyDescent="0.4">
      <c r="G2834" s="27">
        <f t="shared" si="53"/>
        <v>0</v>
      </c>
      <c r="H2834" s="28" t="e">
        <f>VLOOKUP(E2834,'Cadastro Produtos (kiwkiw)'!C:E,3,0)</f>
        <v>#N/A</v>
      </c>
    </row>
    <row r="2835" spans="7:8" ht="15" customHeight="1" x14ac:dyDescent="0.4">
      <c r="G2835" s="27">
        <f t="shared" si="53"/>
        <v>0</v>
      </c>
      <c r="H2835" s="28" t="e">
        <f>VLOOKUP(E2835,'Cadastro Produtos (kiwkiw)'!C:E,3,0)</f>
        <v>#N/A</v>
      </c>
    </row>
    <row r="2836" spans="7:8" ht="15" customHeight="1" x14ac:dyDescent="0.4">
      <c r="G2836" s="27">
        <f t="shared" si="53"/>
        <v>0</v>
      </c>
      <c r="H2836" s="28" t="e">
        <f>VLOOKUP(E2836,'Cadastro Produtos (kiwkiw)'!C:E,3,0)</f>
        <v>#N/A</v>
      </c>
    </row>
    <row r="2837" spans="7:8" ht="15" customHeight="1" x14ac:dyDescent="0.4">
      <c r="G2837" s="27">
        <f t="shared" si="53"/>
        <v>0</v>
      </c>
      <c r="H2837" s="28" t="e">
        <f>VLOOKUP(E2837,'Cadastro Produtos (kiwkiw)'!C:E,3,0)</f>
        <v>#N/A</v>
      </c>
    </row>
    <row r="2838" spans="7:8" ht="15" customHeight="1" x14ac:dyDescent="0.4">
      <c r="G2838" s="27">
        <f t="shared" si="53"/>
        <v>0</v>
      </c>
      <c r="H2838" s="28" t="e">
        <f>VLOOKUP(E2838,'Cadastro Produtos (kiwkiw)'!C:E,3,0)</f>
        <v>#N/A</v>
      </c>
    </row>
    <row r="2839" spans="7:8" ht="15" customHeight="1" x14ac:dyDescent="0.4">
      <c r="G2839" s="27">
        <f t="shared" si="53"/>
        <v>0</v>
      </c>
      <c r="H2839" s="28" t="e">
        <f>VLOOKUP(E2839,'Cadastro Produtos (kiwkiw)'!C:E,3,0)</f>
        <v>#N/A</v>
      </c>
    </row>
    <row r="2840" spans="7:8" ht="15" customHeight="1" x14ac:dyDescent="0.4">
      <c r="G2840" s="27">
        <f t="shared" si="53"/>
        <v>0</v>
      </c>
      <c r="H2840" s="28" t="e">
        <f>VLOOKUP(E2840,'Cadastro Produtos (kiwkiw)'!C:E,3,0)</f>
        <v>#N/A</v>
      </c>
    </row>
    <row r="2841" spans="7:8" ht="15" customHeight="1" x14ac:dyDescent="0.4">
      <c r="G2841" s="27">
        <f t="shared" si="53"/>
        <v>0</v>
      </c>
      <c r="H2841" s="28" t="e">
        <f>VLOOKUP(E2841,'Cadastro Produtos (kiwkiw)'!C:E,3,0)</f>
        <v>#N/A</v>
      </c>
    </row>
    <row r="2842" spans="7:8" ht="15" customHeight="1" x14ac:dyDescent="0.4">
      <c r="G2842" s="27">
        <f t="shared" si="53"/>
        <v>0</v>
      </c>
      <c r="H2842" s="28" t="e">
        <f>VLOOKUP(E2842,'Cadastro Produtos (kiwkiw)'!C:E,3,0)</f>
        <v>#N/A</v>
      </c>
    </row>
    <row r="2843" spans="7:8" ht="15" customHeight="1" x14ac:dyDescent="0.4">
      <c r="G2843" s="27">
        <f t="shared" si="53"/>
        <v>0</v>
      </c>
      <c r="H2843" s="28" t="e">
        <f>VLOOKUP(E2843,'Cadastro Produtos (kiwkiw)'!C:E,3,0)</f>
        <v>#N/A</v>
      </c>
    </row>
    <row r="2844" spans="7:8" ht="15" customHeight="1" x14ac:dyDescent="0.4">
      <c r="G2844" s="27">
        <f t="shared" si="53"/>
        <v>0</v>
      </c>
      <c r="H2844" s="28" t="e">
        <f>VLOOKUP(E2844,'Cadastro Produtos (kiwkiw)'!C:E,3,0)</f>
        <v>#N/A</v>
      </c>
    </row>
    <row r="2845" spans="7:8" ht="15" customHeight="1" x14ac:dyDescent="0.4">
      <c r="G2845" s="27">
        <f t="shared" si="53"/>
        <v>0</v>
      </c>
      <c r="H2845" s="28" t="e">
        <f>VLOOKUP(E2845,'Cadastro Produtos (kiwkiw)'!C:E,3,0)</f>
        <v>#N/A</v>
      </c>
    </row>
    <row r="2846" spans="7:8" ht="15" customHeight="1" x14ac:dyDescent="0.4">
      <c r="G2846" s="27">
        <f t="shared" si="53"/>
        <v>0</v>
      </c>
      <c r="H2846" s="28" t="e">
        <f>VLOOKUP(E2846,'Cadastro Produtos (kiwkiw)'!C:E,3,0)</f>
        <v>#N/A</v>
      </c>
    </row>
    <row r="2847" spans="7:8" ht="15" customHeight="1" x14ac:dyDescent="0.4">
      <c r="G2847" s="27">
        <f t="shared" si="53"/>
        <v>0</v>
      </c>
      <c r="H2847" s="28" t="e">
        <f>VLOOKUP(E2847,'Cadastro Produtos (kiwkiw)'!C:E,3,0)</f>
        <v>#N/A</v>
      </c>
    </row>
    <row r="2848" spans="7:8" ht="15" customHeight="1" x14ac:dyDescent="0.4">
      <c r="G2848" s="27">
        <f t="shared" si="53"/>
        <v>0</v>
      </c>
      <c r="H2848" s="28" t="e">
        <f>VLOOKUP(E2848,'Cadastro Produtos (kiwkiw)'!C:E,3,0)</f>
        <v>#N/A</v>
      </c>
    </row>
    <row r="2849" spans="7:8" ht="15" customHeight="1" x14ac:dyDescent="0.4">
      <c r="G2849" s="27">
        <f t="shared" si="53"/>
        <v>0</v>
      </c>
      <c r="H2849" s="28" t="e">
        <f>VLOOKUP(E2849,'Cadastro Produtos (kiwkiw)'!C:E,3,0)</f>
        <v>#N/A</v>
      </c>
    </row>
    <row r="2850" spans="7:8" ht="15" customHeight="1" x14ac:dyDescent="0.4">
      <c r="G2850" s="27">
        <f t="shared" si="53"/>
        <v>0</v>
      </c>
      <c r="H2850" s="28" t="e">
        <f>VLOOKUP(E2850,'Cadastro Produtos (kiwkiw)'!C:E,3,0)</f>
        <v>#N/A</v>
      </c>
    </row>
    <row r="2851" spans="7:8" ht="15" customHeight="1" x14ac:dyDescent="0.4">
      <c r="G2851" s="27">
        <f t="shared" si="53"/>
        <v>0</v>
      </c>
      <c r="H2851" s="28" t="e">
        <f>VLOOKUP(E2851,'Cadastro Produtos (kiwkiw)'!C:E,3,0)</f>
        <v>#N/A</v>
      </c>
    </row>
    <row r="2852" spans="7:8" ht="15" customHeight="1" x14ac:dyDescent="0.4">
      <c r="G2852" s="27">
        <f t="shared" si="53"/>
        <v>0</v>
      </c>
      <c r="H2852" s="28" t="e">
        <f>VLOOKUP(E2852,'Cadastro Produtos (kiwkiw)'!C:E,3,0)</f>
        <v>#N/A</v>
      </c>
    </row>
    <row r="2853" spans="7:8" ht="15" customHeight="1" x14ac:dyDescent="0.4">
      <c r="G2853" s="27">
        <f t="shared" si="53"/>
        <v>0</v>
      </c>
      <c r="H2853" s="28" t="e">
        <f>VLOOKUP(E2853,'Cadastro Produtos (kiwkiw)'!C:E,3,0)</f>
        <v>#N/A</v>
      </c>
    </row>
    <row r="2854" spans="7:8" ht="15" customHeight="1" x14ac:dyDescent="0.4">
      <c r="G2854" s="27">
        <f t="shared" si="53"/>
        <v>0</v>
      </c>
      <c r="H2854" s="28" t="e">
        <f>VLOOKUP(E2854,'Cadastro Produtos (kiwkiw)'!C:E,3,0)</f>
        <v>#N/A</v>
      </c>
    </row>
    <row r="2855" spans="7:8" ht="15" customHeight="1" x14ac:dyDescent="0.4">
      <c r="G2855" s="27">
        <f t="shared" si="53"/>
        <v>0</v>
      </c>
      <c r="H2855" s="28" t="e">
        <f>VLOOKUP(E2855,'Cadastro Produtos (kiwkiw)'!C:E,3,0)</f>
        <v>#N/A</v>
      </c>
    </row>
    <row r="2856" spans="7:8" ht="15" customHeight="1" x14ac:dyDescent="0.4">
      <c r="G2856" s="27">
        <f t="shared" si="53"/>
        <v>0</v>
      </c>
      <c r="H2856" s="28" t="e">
        <f>VLOOKUP(E2856,'Cadastro Produtos (kiwkiw)'!C:E,3,0)</f>
        <v>#N/A</v>
      </c>
    </row>
    <row r="2857" spans="7:8" ht="15" customHeight="1" x14ac:dyDescent="0.4">
      <c r="G2857" s="27">
        <f t="shared" si="53"/>
        <v>0</v>
      </c>
      <c r="H2857" s="28" t="e">
        <f>VLOOKUP(E2857,'Cadastro Produtos (kiwkiw)'!C:E,3,0)</f>
        <v>#N/A</v>
      </c>
    </row>
    <row r="2858" spans="7:8" ht="15" customHeight="1" x14ac:dyDescent="0.4">
      <c r="G2858" s="27">
        <f t="shared" si="53"/>
        <v>0</v>
      </c>
      <c r="H2858" s="28" t="e">
        <f>VLOOKUP(E2858,'Cadastro Produtos (kiwkiw)'!C:E,3,0)</f>
        <v>#N/A</v>
      </c>
    </row>
    <row r="2859" spans="7:8" ht="15" customHeight="1" x14ac:dyDescent="0.4">
      <c r="G2859" s="27">
        <f t="shared" si="53"/>
        <v>0</v>
      </c>
      <c r="H2859" s="28" t="e">
        <f>VLOOKUP(E2859,'Cadastro Produtos (kiwkiw)'!C:E,3,0)</f>
        <v>#N/A</v>
      </c>
    </row>
    <row r="2860" spans="7:8" ht="15" customHeight="1" x14ac:dyDescent="0.4">
      <c r="G2860" s="27">
        <f t="shared" si="53"/>
        <v>0</v>
      </c>
      <c r="H2860" s="28" t="e">
        <f>VLOOKUP(E2860,'Cadastro Produtos (kiwkiw)'!C:E,3,0)</f>
        <v>#N/A</v>
      </c>
    </row>
    <row r="2861" spans="7:8" ht="15" customHeight="1" x14ac:dyDescent="0.4">
      <c r="G2861" s="27">
        <f t="shared" si="53"/>
        <v>0</v>
      </c>
      <c r="H2861" s="28" t="e">
        <f>VLOOKUP(E2861,'Cadastro Produtos (kiwkiw)'!C:E,3,0)</f>
        <v>#N/A</v>
      </c>
    </row>
    <row r="2862" spans="7:8" ht="15" customHeight="1" x14ac:dyDescent="0.4">
      <c r="G2862" s="27">
        <f t="shared" si="53"/>
        <v>0</v>
      </c>
      <c r="H2862" s="28" t="e">
        <f>VLOOKUP(E2862,'Cadastro Produtos (kiwkiw)'!C:E,3,0)</f>
        <v>#N/A</v>
      </c>
    </row>
    <row r="2863" spans="7:8" ht="15" customHeight="1" x14ac:dyDescent="0.4">
      <c r="G2863" s="27">
        <f t="shared" si="53"/>
        <v>0</v>
      </c>
      <c r="H2863" s="28" t="e">
        <f>VLOOKUP(E2863,'Cadastro Produtos (kiwkiw)'!C:E,3,0)</f>
        <v>#N/A</v>
      </c>
    </row>
    <row r="2864" spans="7:8" ht="15" customHeight="1" x14ac:dyDescent="0.4">
      <c r="G2864" s="27">
        <f t="shared" si="53"/>
        <v>0</v>
      </c>
      <c r="H2864" s="28" t="e">
        <f>VLOOKUP(E2864,'Cadastro Produtos (kiwkiw)'!C:E,3,0)</f>
        <v>#N/A</v>
      </c>
    </row>
    <row r="2865" spans="7:8" ht="15" customHeight="1" x14ac:dyDescent="0.4">
      <c r="G2865" s="27">
        <f t="shared" si="53"/>
        <v>0</v>
      </c>
      <c r="H2865" s="28" t="e">
        <f>VLOOKUP(E2865,'Cadastro Produtos (kiwkiw)'!C:E,3,0)</f>
        <v>#N/A</v>
      </c>
    </row>
    <row r="2866" spans="7:8" ht="15" customHeight="1" x14ac:dyDescent="0.4">
      <c r="G2866" s="27">
        <f t="shared" si="53"/>
        <v>0</v>
      </c>
      <c r="H2866" s="28" t="e">
        <f>VLOOKUP(E2866,'Cadastro Produtos (kiwkiw)'!C:E,3,0)</f>
        <v>#N/A</v>
      </c>
    </row>
    <row r="2867" spans="7:8" ht="15" customHeight="1" x14ac:dyDescent="0.4">
      <c r="G2867" s="27">
        <f t="shared" si="53"/>
        <v>0</v>
      </c>
      <c r="H2867" s="28" t="e">
        <f>VLOOKUP(E2867,'Cadastro Produtos (kiwkiw)'!C:E,3,0)</f>
        <v>#N/A</v>
      </c>
    </row>
    <row r="2868" spans="7:8" ht="15" customHeight="1" x14ac:dyDescent="0.4">
      <c r="G2868" s="27">
        <f t="shared" si="53"/>
        <v>0</v>
      </c>
      <c r="H2868" s="28" t="e">
        <f>VLOOKUP(E2868,'Cadastro Produtos (kiwkiw)'!C:E,3,0)</f>
        <v>#N/A</v>
      </c>
    </row>
    <row r="2869" spans="7:8" ht="15" customHeight="1" x14ac:dyDescent="0.4">
      <c r="G2869" s="27">
        <f t="shared" si="53"/>
        <v>0</v>
      </c>
      <c r="H2869" s="28" t="e">
        <f>VLOOKUP(E2869,'Cadastro Produtos (kiwkiw)'!C:E,3,0)</f>
        <v>#N/A</v>
      </c>
    </row>
    <row r="2870" spans="7:8" ht="15" customHeight="1" x14ac:dyDescent="0.4">
      <c r="G2870" s="27">
        <f t="shared" si="53"/>
        <v>0</v>
      </c>
      <c r="H2870" s="28" t="e">
        <f>VLOOKUP(E2870,'Cadastro Produtos (kiwkiw)'!C:E,3,0)</f>
        <v>#N/A</v>
      </c>
    </row>
    <row r="2871" spans="7:8" ht="15" customHeight="1" x14ac:dyDescent="0.4">
      <c r="G2871" s="27">
        <f t="shared" ref="G2871:G2934" si="54">IF(C2871="Entrada",F2871,-F2871)</f>
        <v>0</v>
      </c>
      <c r="H2871" s="28" t="e">
        <f>VLOOKUP(E2871,'Cadastro Produtos (kiwkiw)'!C:E,3,0)</f>
        <v>#N/A</v>
      </c>
    </row>
    <row r="2872" spans="7:8" ht="15" customHeight="1" x14ac:dyDescent="0.4">
      <c r="G2872" s="27">
        <f t="shared" si="54"/>
        <v>0</v>
      </c>
      <c r="H2872" s="28" t="e">
        <f>VLOOKUP(E2872,'Cadastro Produtos (kiwkiw)'!C:E,3,0)</f>
        <v>#N/A</v>
      </c>
    </row>
    <row r="2873" spans="7:8" ht="15" customHeight="1" x14ac:dyDescent="0.4">
      <c r="G2873" s="27">
        <f t="shared" si="54"/>
        <v>0</v>
      </c>
      <c r="H2873" s="28" t="e">
        <f>VLOOKUP(E2873,'Cadastro Produtos (kiwkiw)'!C:E,3,0)</f>
        <v>#N/A</v>
      </c>
    </row>
    <row r="2874" spans="7:8" ht="15" customHeight="1" x14ac:dyDescent="0.4">
      <c r="G2874" s="27">
        <f t="shared" si="54"/>
        <v>0</v>
      </c>
      <c r="H2874" s="28" t="e">
        <f>VLOOKUP(E2874,'Cadastro Produtos (kiwkiw)'!C:E,3,0)</f>
        <v>#N/A</v>
      </c>
    </row>
    <row r="2875" spans="7:8" ht="15" customHeight="1" x14ac:dyDescent="0.4">
      <c r="G2875" s="27">
        <f t="shared" si="54"/>
        <v>0</v>
      </c>
      <c r="H2875" s="28" t="e">
        <f>VLOOKUP(E2875,'Cadastro Produtos (kiwkiw)'!C:E,3,0)</f>
        <v>#N/A</v>
      </c>
    </row>
    <row r="2876" spans="7:8" ht="15" customHeight="1" x14ac:dyDescent="0.4">
      <c r="G2876" s="27">
        <f t="shared" si="54"/>
        <v>0</v>
      </c>
      <c r="H2876" s="28" t="e">
        <f>VLOOKUP(E2876,'Cadastro Produtos (kiwkiw)'!C:E,3,0)</f>
        <v>#N/A</v>
      </c>
    </row>
    <row r="2877" spans="7:8" ht="15" customHeight="1" x14ac:dyDescent="0.4">
      <c r="G2877" s="27">
        <f t="shared" si="54"/>
        <v>0</v>
      </c>
      <c r="H2877" s="28" t="e">
        <f>VLOOKUP(E2877,'Cadastro Produtos (kiwkiw)'!C:E,3,0)</f>
        <v>#N/A</v>
      </c>
    </row>
    <row r="2878" spans="7:8" ht="15" customHeight="1" x14ac:dyDescent="0.4">
      <c r="G2878" s="27">
        <f t="shared" si="54"/>
        <v>0</v>
      </c>
      <c r="H2878" s="28" t="e">
        <f>VLOOKUP(E2878,'Cadastro Produtos (kiwkiw)'!C:E,3,0)</f>
        <v>#N/A</v>
      </c>
    </row>
    <row r="2879" spans="7:8" ht="15" customHeight="1" x14ac:dyDescent="0.4">
      <c r="G2879" s="27">
        <f t="shared" si="54"/>
        <v>0</v>
      </c>
      <c r="H2879" s="28" t="e">
        <f>VLOOKUP(E2879,'Cadastro Produtos (kiwkiw)'!C:E,3,0)</f>
        <v>#N/A</v>
      </c>
    </row>
    <row r="2880" spans="7:8" ht="15" customHeight="1" x14ac:dyDescent="0.4">
      <c r="G2880" s="27">
        <f t="shared" si="54"/>
        <v>0</v>
      </c>
      <c r="H2880" s="28" t="e">
        <f>VLOOKUP(E2880,'Cadastro Produtos (kiwkiw)'!C:E,3,0)</f>
        <v>#N/A</v>
      </c>
    </row>
    <row r="2881" spans="7:8" ht="15" customHeight="1" x14ac:dyDescent="0.4">
      <c r="G2881" s="27">
        <f t="shared" si="54"/>
        <v>0</v>
      </c>
      <c r="H2881" s="28" t="e">
        <f>VLOOKUP(E2881,'Cadastro Produtos (kiwkiw)'!C:E,3,0)</f>
        <v>#N/A</v>
      </c>
    </row>
    <row r="2882" spans="7:8" ht="15" customHeight="1" x14ac:dyDescent="0.4">
      <c r="G2882" s="27">
        <f t="shared" si="54"/>
        <v>0</v>
      </c>
      <c r="H2882" s="28" t="e">
        <f>VLOOKUP(E2882,'Cadastro Produtos (kiwkiw)'!C:E,3,0)</f>
        <v>#N/A</v>
      </c>
    </row>
    <row r="2883" spans="7:8" ht="15" customHeight="1" x14ac:dyDescent="0.4">
      <c r="G2883" s="27">
        <f t="shared" si="54"/>
        <v>0</v>
      </c>
      <c r="H2883" s="28" t="e">
        <f>VLOOKUP(E2883,'Cadastro Produtos (kiwkiw)'!C:E,3,0)</f>
        <v>#N/A</v>
      </c>
    </row>
    <row r="2884" spans="7:8" ht="15" customHeight="1" x14ac:dyDescent="0.4">
      <c r="G2884" s="27">
        <f t="shared" si="54"/>
        <v>0</v>
      </c>
      <c r="H2884" s="28" t="e">
        <f>VLOOKUP(E2884,'Cadastro Produtos (kiwkiw)'!C:E,3,0)</f>
        <v>#N/A</v>
      </c>
    </row>
    <row r="2885" spans="7:8" ht="15" customHeight="1" x14ac:dyDescent="0.4">
      <c r="G2885" s="27">
        <f t="shared" si="54"/>
        <v>0</v>
      </c>
      <c r="H2885" s="28" t="e">
        <f>VLOOKUP(E2885,'Cadastro Produtos (kiwkiw)'!C:E,3,0)</f>
        <v>#N/A</v>
      </c>
    </row>
    <row r="2886" spans="7:8" ht="15" customHeight="1" x14ac:dyDescent="0.4">
      <c r="G2886" s="27">
        <f t="shared" si="54"/>
        <v>0</v>
      </c>
      <c r="H2886" s="28" t="e">
        <f>VLOOKUP(E2886,'Cadastro Produtos (kiwkiw)'!C:E,3,0)</f>
        <v>#N/A</v>
      </c>
    </row>
    <row r="2887" spans="7:8" ht="15" customHeight="1" x14ac:dyDescent="0.4">
      <c r="G2887" s="27">
        <f t="shared" si="54"/>
        <v>0</v>
      </c>
      <c r="H2887" s="28" t="e">
        <f>VLOOKUP(E2887,'Cadastro Produtos (kiwkiw)'!C:E,3,0)</f>
        <v>#N/A</v>
      </c>
    </row>
    <row r="2888" spans="7:8" ht="15" customHeight="1" x14ac:dyDescent="0.4">
      <c r="G2888" s="27">
        <f t="shared" si="54"/>
        <v>0</v>
      </c>
      <c r="H2888" s="28" t="e">
        <f>VLOOKUP(E2888,'Cadastro Produtos (kiwkiw)'!C:E,3,0)</f>
        <v>#N/A</v>
      </c>
    </row>
    <row r="2889" spans="7:8" ht="15" customHeight="1" x14ac:dyDescent="0.4">
      <c r="G2889" s="27">
        <f t="shared" si="54"/>
        <v>0</v>
      </c>
      <c r="H2889" s="28" t="e">
        <f>VLOOKUP(E2889,'Cadastro Produtos (kiwkiw)'!C:E,3,0)</f>
        <v>#N/A</v>
      </c>
    </row>
    <row r="2890" spans="7:8" ht="15" customHeight="1" x14ac:dyDescent="0.4">
      <c r="G2890" s="27">
        <f t="shared" si="54"/>
        <v>0</v>
      </c>
      <c r="H2890" s="28" t="e">
        <f>VLOOKUP(E2890,'Cadastro Produtos (kiwkiw)'!C:E,3,0)</f>
        <v>#N/A</v>
      </c>
    </row>
    <row r="2891" spans="7:8" ht="15" customHeight="1" x14ac:dyDescent="0.4">
      <c r="G2891" s="27">
        <f t="shared" si="54"/>
        <v>0</v>
      </c>
      <c r="H2891" s="28" t="e">
        <f>VLOOKUP(E2891,'Cadastro Produtos (kiwkiw)'!C:E,3,0)</f>
        <v>#N/A</v>
      </c>
    </row>
    <row r="2892" spans="7:8" ht="15" customHeight="1" x14ac:dyDescent="0.4">
      <c r="G2892" s="27">
        <f t="shared" si="54"/>
        <v>0</v>
      </c>
      <c r="H2892" s="28" t="e">
        <f>VLOOKUP(E2892,'Cadastro Produtos (kiwkiw)'!C:E,3,0)</f>
        <v>#N/A</v>
      </c>
    </row>
    <row r="2893" spans="7:8" ht="15" customHeight="1" x14ac:dyDescent="0.4">
      <c r="G2893" s="27">
        <f t="shared" si="54"/>
        <v>0</v>
      </c>
      <c r="H2893" s="28" t="e">
        <f>VLOOKUP(E2893,'Cadastro Produtos (kiwkiw)'!C:E,3,0)</f>
        <v>#N/A</v>
      </c>
    </row>
    <row r="2894" spans="7:8" ht="15" customHeight="1" x14ac:dyDescent="0.4">
      <c r="G2894" s="27">
        <f t="shared" si="54"/>
        <v>0</v>
      </c>
      <c r="H2894" s="28" t="e">
        <f>VLOOKUP(E2894,'Cadastro Produtos (kiwkiw)'!C:E,3,0)</f>
        <v>#N/A</v>
      </c>
    </row>
    <row r="2895" spans="7:8" ht="15" customHeight="1" x14ac:dyDescent="0.4">
      <c r="G2895" s="27">
        <f t="shared" si="54"/>
        <v>0</v>
      </c>
      <c r="H2895" s="28" t="e">
        <f>VLOOKUP(E2895,'Cadastro Produtos (kiwkiw)'!C:E,3,0)</f>
        <v>#N/A</v>
      </c>
    </row>
    <row r="2896" spans="7:8" ht="15" customHeight="1" x14ac:dyDescent="0.4">
      <c r="G2896" s="27">
        <f t="shared" si="54"/>
        <v>0</v>
      </c>
      <c r="H2896" s="28" t="e">
        <f>VLOOKUP(E2896,'Cadastro Produtos (kiwkiw)'!C:E,3,0)</f>
        <v>#N/A</v>
      </c>
    </row>
    <row r="2897" spans="7:8" ht="15" customHeight="1" x14ac:dyDescent="0.4">
      <c r="G2897" s="27">
        <f t="shared" si="54"/>
        <v>0</v>
      </c>
      <c r="H2897" s="28" t="e">
        <f>VLOOKUP(E2897,'Cadastro Produtos (kiwkiw)'!C:E,3,0)</f>
        <v>#N/A</v>
      </c>
    </row>
    <row r="2898" spans="7:8" ht="15" customHeight="1" x14ac:dyDescent="0.4">
      <c r="G2898" s="27">
        <f t="shared" si="54"/>
        <v>0</v>
      </c>
      <c r="H2898" s="28" t="e">
        <f>VLOOKUP(E2898,'Cadastro Produtos (kiwkiw)'!C:E,3,0)</f>
        <v>#N/A</v>
      </c>
    </row>
    <row r="2899" spans="7:8" ht="15" customHeight="1" x14ac:dyDescent="0.4">
      <c r="G2899" s="27">
        <f t="shared" si="54"/>
        <v>0</v>
      </c>
      <c r="H2899" s="28" t="e">
        <f>VLOOKUP(E2899,'Cadastro Produtos (kiwkiw)'!C:E,3,0)</f>
        <v>#N/A</v>
      </c>
    </row>
    <row r="2900" spans="7:8" ht="15" customHeight="1" x14ac:dyDescent="0.4">
      <c r="G2900" s="27">
        <f t="shared" si="54"/>
        <v>0</v>
      </c>
      <c r="H2900" s="28" t="e">
        <f>VLOOKUP(E2900,'Cadastro Produtos (kiwkiw)'!C:E,3,0)</f>
        <v>#N/A</v>
      </c>
    </row>
    <row r="2901" spans="7:8" ht="15" customHeight="1" x14ac:dyDescent="0.4">
      <c r="G2901" s="27">
        <f t="shared" si="54"/>
        <v>0</v>
      </c>
      <c r="H2901" s="28" t="e">
        <f>VLOOKUP(E2901,'Cadastro Produtos (kiwkiw)'!C:E,3,0)</f>
        <v>#N/A</v>
      </c>
    </row>
    <row r="2902" spans="7:8" ht="15" customHeight="1" x14ac:dyDescent="0.4">
      <c r="G2902" s="27">
        <f t="shared" si="54"/>
        <v>0</v>
      </c>
      <c r="H2902" s="28" t="e">
        <f>VLOOKUP(E2902,'Cadastro Produtos (kiwkiw)'!C:E,3,0)</f>
        <v>#N/A</v>
      </c>
    </row>
    <row r="2903" spans="7:8" ht="15" customHeight="1" x14ac:dyDescent="0.4">
      <c r="G2903" s="27">
        <f t="shared" si="54"/>
        <v>0</v>
      </c>
      <c r="H2903" s="28" t="e">
        <f>VLOOKUP(E2903,'Cadastro Produtos (kiwkiw)'!C:E,3,0)</f>
        <v>#N/A</v>
      </c>
    </row>
    <row r="2904" spans="7:8" ht="15" customHeight="1" x14ac:dyDescent="0.4">
      <c r="G2904" s="27">
        <f t="shared" si="54"/>
        <v>0</v>
      </c>
      <c r="H2904" s="28" t="e">
        <f>VLOOKUP(E2904,'Cadastro Produtos (kiwkiw)'!C:E,3,0)</f>
        <v>#N/A</v>
      </c>
    </row>
    <row r="2905" spans="7:8" ht="15" customHeight="1" x14ac:dyDescent="0.4">
      <c r="G2905" s="27">
        <f t="shared" si="54"/>
        <v>0</v>
      </c>
      <c r="H2905" s="28" t="e">
        <f>VLOOKUP(E2905,'Cadastro Produtos (kiwkiw)'!C:E,3,0)</f>
        <v>#N/A</v>
      </c>
    </row>
    <row r="2906" spans="7:8" ht="15" customHeight="1" x14ac:dyDescent="0.4">
      <c r="G2906" s="27">
        <f t="shared" si="54"/>
        <v>0</v>
      </c>
      <c r="H2906" s="28" t="e">
        <f>VLOOKUP(E2906,'Cadastro Produtos (kiwkiw)'!C:E,3,0)</f>
        <v>#N/A</v>
      </c>
    </row>
    <row r="2907" spans="7:8" ht="15" customHeight="1" x14ac:dyDescent="0.4">
      <c r="G2907" s="27">
        <f t="shared" si="54"/>
        <v>0</v>
      </c>
      <c r="H2907" s="28" t="e">
        <f>VLOOKUP(E2907,'Cadastro Produtos (kiwkiw)'!C:E,3,0)</f>
        <v>#N/A</v>
      </c>
    </row>
    <row r="2908" spans="7:8" ht="15" customHeight="1" x14ac:dyDescent="0.4">
      <c r="G2908" s="27">
        <f t="shared" si="54"/>
        <v>0</v>
      </c>
      <c r="H2908" s="28" t="e">
        <f>VLOOKUP(E2908,'Cadastro Produtos (kiwkiw)'!C:E,3,0)</f>
        <v>#N/A</v>
      </c>
    </row>
    <row r="2909" spans="7:8" ht="15" customHeight="1" x14ac:dyDescent="0.4">
      <c r="G2909" s="27">
        <f t="shared" si="54"/>
        <v>0</v>
      </c>
      <c r="H2909" s="28" t="e">
        <f>VLOOKUP(E2909,'Cadastro Produtos (kiwkiw)'!C:E,3,0)</f>
        <v>#N/A</v>
      </c>
    </row>
    <row r="2910" spans="7:8" ht="15" customHeight="1" x14ac:dyDescent="0.4">
      <c r="G2910" s="27">
        <f t="shared" si="54"/>
        <v>0</v>
      </c>
      <c r="H2910" s="28" t="e">
        <f>VLOOKUP(E2910,'Cadastro Produtos (kiwkiw)'!C:E,3,0)</f>
        <v>#N/A</v>
      </c>
    </row>
    <row r="2911" spans="7:8" ht="15" customHeight="1" x14ac:dyDescent="0.4">
      <c r="G2911" s="27">
        <f t="shared" si="54"/>
        <v>0</v>
      </c>
      <c r="H2911" s="28" t="e">
        <f>VLOOKUP(E2911,'Cadastro Produtos (kiwkiw)'!C:E,3,0)</f>
        <v>#N/A</v>
      </c>
    </row>
    <row r="2912" spans="7:8" ht="15" customHeight="1" x14ac:dyDescent="0.4">
      <c r="G2912" s="27">
        <f t="shared" si="54"/>
        <v>0</v>
      </c>
      <c r="H2912" s="28" t="e">
        <f>VLOOKUP(E2912,'Cadastro Produtos (kiwkiw)'!C:E,3,0)</f>
        <v>#N/A</v>
      </c>
    </row>
    <row r="2913" spans="7:8" ht="15" customHeight="1" x14ac:dyDescent="0.4">
      <c r="G2913" s="27">
        <f t="shared" si="54"/>
        <v>0</v>
      </c>
      <c r="H2913" s="28" t="e">
        <f>VLOOKUP(E2913,'Cadastro Produtos (kiwkiw)'!C:E,3,0)</f>
        <v>#N/A</v>
      </c>
    </row>
    <row r="2914" spans="7:8" ht="15" customHeight="1" x14ac:dyDescent="0.4">
      <c r="G2914" s="27">
        <f t="shared" si="54"/>
        <v>0</v>
      </c>
      <c r="H2914" s="28" t="e">
        <f>VLOOKUP(E2914,'Cadastro Produtos (kiwkiw)'!C:E,3,0)</f>
        <v>#N/A</v>
      </c>
    </row>
    <row r="2915" spans="7:8" ht="15" customHeight="1" x14ac:dyDescent="0.4">
      <c r="G2915" s="27">
        <f t="shared" si="54"/>
        <v>0</v>
      </c>
      <c r="H2915" s="28" t="e">
        <f>VLOOKUP(E2915,'Cadastro Produtos (kiwkiw)'!C:E,3,0)</f>
        <v>#N/A</v>
      </c>
    </row>
    <row r="2916" spans="7:8" ht="15" customHeight="1" x14ac:dyDescent="0.4">
      <c r="G2916" s="27">
        <f t="shared" si="54"/>
        <v>0</v>
      </c>
      <c r="H2916" s="28" t="e">
        <f>VLOOKUP(E2916,'Cadastro Produtos (kiwkiw)'!C:E,3,0)</f>
        <v>#N/A</v>
      </c>
    </row>
    <row r="2917" spans="7:8" ht="15" customHeight="1" x14ac:dyDescent="0.4">
      <c r="G2917" s="27">
        <f t="shared" si="54"/>
        <v>0</v>
      </c>
      <c r="H2917" s="28" t="e">
        <f>VLOOKUP(E2917,'Cadastro Produtos (kiwkiw)'!C:E,3,0)</f>
        <v>#N/A</v>
      </c>
    </row>
    <row r="2918" spans="7:8" ht="15" customHeight="1" x14ac:dyDescent="0.4">
      <c r="G2918" s="27">
        <f t="shared" si="54"/>
        <v>0</v>
      </c>
      <c r="H2918" s="28" t="e">
        <f>VLOOKUP(E2918,'Cadastro Produtos (kiwkiw)'!C:E,3,0)</f>
        <v>#N/A</v>
      </c>
    </row>
    <row r="2919" spans="7:8" ht="15" customHeight="1" x14ac:dyDescent="0.4">
      <c r="G2919" s="27">
        <f t="shared" si="54"/>
        <v>0</v>
      </c>
      <c r="H2919" s="28" t="e">
        <f>VLOOKUP(E2919,'Cadastro Produtos (kiwkiw)'!C:E,3,0)</f>
        <v>#N/A</v>
      </c>
    </row>
    <row r="2920" spans="7:8" ht="15" customHeight="1" x14ac:dyDescent="0.4">
      <c r="G2920" s="27">
        <f t="shared" si="54"/>
        <v>0</v>
      </c>
      <c r="H2920" s="28" t="e">
        <f>VLOOKUP(E2920,'Cadastro Produtos (kiwkiw)'!C:E,3,0)</f>
        <v>#N/A</v>
      </c>
    </row>
    <row r="2921" spans="7:8" ht="15" customHeight="1" x14ac:dyDescent="0.4">
      <c r="G2921" s="27">
        <f t="shared" si="54"/>
        <v>0</v>
      </c>
      <c r="H2921" s="28" t="e">
        <f>VLOOKUP(E2921,'Cadastro Produtos (kiwkiw)'!C:E,3,0)</f>
        <v>#N/A</v>
      </c>
    </row>
    <row r="2922" spans="7:8" ht="15" customHeight="1" x14ac:dyDescent="0.4">
      <c r="G2922" s="27">
        <f t="shared" si="54"/>
        <v>0</v>
      </c>
      <c r="H2922" s="28" t="e">
        <f>VLOOKUP(E2922,'Cadastro Produtos (kiwkiw)'!C:E,3,0)</f>
        <v>#N/A</v>
      </c>
    </row>
    <row r="2923" spans="7:8" ht="15" customHeight="1" x14ac:dyDescent="0.4">
      <c r="G2923" s="27">
        <f t="shared" si="54"/>
        <v>0</v>
      </c>
      <c r="H2923" s="28" t="e">
        <f>VLOOKUP(E2923,'Cadastro Produtos (kiwkiw)'!C:E,3,0)</f>
        <v>#N/A</v>
      </c>
    </row>
    <row r="2924" spans="7:8" ht="15" customHeight="1" x14ac:dyDescent="0.4">
      <c r="G2924" s="27">
        <f t="shared" si="54"/>
        <v>0</v>
      </c>
      <c r="H2924" s="28" t="e">
        <f>VLOOKUP(E2924,'Cadastro Produtos (kiwkiw)'!C:E,3,0)</f>
        <v>#N/A</v>
      </c>
    </row>
    <row r="2925" spans="7:8" ht="15" customHeight="1" x14ac:dyDescent="0.4">
      <c r="G2925" s="27">
        <f t="shared" si="54"/>
        <v>0</v>
      </c>
      <c r="H2925" s="28" t="e">
        <f>VLOOKUP(E2925,'Cadastro Produtos (kiwkiw)'!C:E,3,0)</f>
        <v>#N/A</v>
      </c>
    </row>
    <row r="2926" spans="7:8" ht="15" customHeight="1" x14ac:dyDescent="0.4">
      <c r="G2926" s="27">
        <f t="shared" si="54"/>
        <v>0</v>
      </c>
      <c r="H2926" s="28" t="e">
        <f>VLOOKUP(E2926,'Cadastro Produtos (kiwkiw)'!C:E,3,0)</f>
        <v>#N/A</v>
      </c>
    </row>
    <row r="2927" spans="7:8" ht="15" customHeight="1" x14ac:dyDescent="0.4">
      <c r="G2927" s="27">
        <f t="shared" si="54"/>
        <v>0</v>
      </c>
      <c r="H2927" s="28" t="e">
        <f>VLOOKUP(E2927,'Cadastro Produtos (kiwkiw)'!C:E,3,0)</f>
        <v>#N/A</v>
      </c>
    </row>
    <row r="2928" spans="7:8" ht="15" customHeight="1" x14ac:dyDescent="0.4">
      <c r="G2928" s="27">
        <f t="shared" si="54"/>
        <v>0</v>
      </c>
      <c r="H2928" s="28" t="e">
        <f>VLOOKUP(E2928,'Cadastro Produtos (kiwkiw)'!C:E,3,0)</f>
        <v>#N/A</v>
      </c>
    </row>
    <row r="2929" spans="7:8" ht="15" customHeight="1" x14ac:dyDescent="0.4">
      <c r="G2929" s="27">
        <f t="shared" si="54"/>
        <v>0</v>
      </c>
      <c r="H2929" s="28" t="e">
        <f>VLOOKUP(E2929,'Cadastro Produtos (kiwkiw)'!C:E,3,0)</f>
        <v>#N/A</v>
      </c>
    </row>
    <row r="2930" spans="7:8" ht="15" customHeight="1" x14ac:dyDescent="0.4">
      <c r="G2930" s="27">
        <f t="shared" si="54"/>
        <v>0</v>
      </c>
      <c r="H2930" s="28" t="e">
        <f>VLOOKUP(E2930,'Cadastro Produtos (kiwkiw)'!C:E,3,0)</f>
        <v>#N/A</v>
      </c>
    </row>
    <row r="2931" spans="7:8" ht="15" customHeight="1" x14ac:dyDescent="0.4">
      <c r="G2931" s="27">
        <f t="shared" si="54"/>
        <v>0</v>
      </c>
      <c r="H2931" s="28" t="e">
        <f>VLOOKUP(E2931,'Cadastro Produtos (kiwkiw)'!C:E,3,0)</f>
        <v>#N/A</v>
      </c>
    </row>
    <row r="2932" spans="7:8" ht="15" customHeight="1" x14ac:dyDescent="0.4">
      <c r="G2932" s="27">
        <f t="shared" si="54"/>
        <v>0</v>
      </c>
      <c r="H2932" s="28" t="e">
        <f>VLOOKUP(E2932,'Cadastro Produtos (kiwkiw)'!C:E,3,0)</f>
        <v>#N/A</v>
      </c>
    </row>
    <row r="2933" spans="7:8" ht="15" customHeight="1" x14ac:dyDescent="0.4">
      <c r="G2933" s="27">
        <f t="shared" si="54"/>
        <v>0</v>
      </c>
      <c r="H2933" s="28" t="e">
        <f>VLOOKUP(E2933,'Cadastro Produtos (kiwkiw)'!C:E,3,0)</f>
        <v>#N/A</v>
      </c>
    </row>
    <row r="2934" spans="7:8" ht="15" customHeight="1" x14ac:dyDescent="0.4">
      <c r="G2934" s="27">
        <f t="shared" si="54"/>
        <v>0</v>
      </c>
      <c r="H2934" s="28" t="e">
        <f>VLOOKUP(E2934,'Cadastro Produtos (kiwkiw)'!C:E,3,0)</f>
        <v>#N/A</v>
      </c>
    </row>
    <row r="2935" spans="7:8" ht="15" customHeight="1" x14ac:dyDescent="0.4">
      <c r="G2935" s="27">
        <f t="shared" ref="G2935:G2998" si="55">IF(C2935="Entrada",F2935,-F2935)</f>
        <v>0</v>
      </c>
      <c r="H2935" s="28" t="e">
        <f>VLOOKUP(E2935,'Cadastro Produtos (kiwkiw)'!C:E,3,0)</f>
        <v>#N/A</v>
      </c>
    </row>
    <row r="2936" spans="7:8" ht="15" customHeight="1" x14ac:dyDescent="0.4">
      <c r="G2936" s="27">
        <f t="shared" si="55"/>
        <v>0</v>
      </c>
      <c r="H2936" s="28" t="e">
        <f>VLOOKUP(E2936,'Cadastro Produtos (kiwkiw)'!C:E,3,0)</f>
        <v>#N/A</v>
      </c>
    </row>
    <row r="2937" spans="7:8" ht="15" customHeight="1" x14ac:dyDescent="0.4">
      <c r="G2937" s="27">
        <f t="shared" si="55"/>
        <v>0</v>
      </c>
      <c r="H2937" s="28" t="e">
        <f>VLOOKUP(E2937,'Cadastro Produtos (kiwkiw)'!C:E,3,0)</f>
        <v>#N/A</v>
      </c>
    </row>
    <row r="2938" spans="7:8" ht="15" customHeight="1" x14ac:dyDescent="0.4">
      <c r="G2938" s="27">
        <f t="shared" si="55"/>
        <v>0</v>
      </c>
      <c r="H2938" s="28" t="e">
        <f>VLOOKUP(E2938,'Cadastro Produtos (kiwkiw)'!C:E,3,0)</f>
        <v>#N/A</v>
      </c>
    </row>
    <row r="2939" spans="7:8" ht="15" customHeight="1" x14ac:dyDescent="0.4">
      <c r="G2939" s="27">
        <f t="shared" si="55"/>
        <v>0</v>
      </c>
      <c r="H2939" s="28" t="e">
        <f>VLOOKUP(E2939,'Cadastro Produtos (kiwkiw)'!C:E,3,0)</f>
        <v>#N/A</v>
      </c>
    </row>
    <row r="2940" spans="7:8" ht="15" customHeight="1" x14ac:dyDescent="0.4">
      <c r="G2940" s="27">
        <f t="shared" si="55"/>
        <v>0</v>
      </c>
      <c r="H2940" s="28" t="e">
        <f>VLOOKUP(E2940,'Cadastro Produtos (kiwkiw)'!C:E,3,0)</f>
        <v>#N/A</v>
      </c>
    </row>
    <row r="2941" spans="7:8" ht="15" customHeight="1" x14ac:dyDescent="0.4">
      <c r="G2941" s="27">
        <f t="shared" si="55"/>
        <v>0</v>
      </c>
      <c r="H2941" s="28" t="e">
        <f>VLOOKUP(E2941,'Cadastro Produtos (kiwkiw)'!C:E,3,0)</f>
        <v>#N/A</v>
      </c>
    </row>
    <row r="2942" spans="7:8" ht="15" customHeight="1" x14ac:dyDescent="0.4">
      <c r="G2942" s="27">
        <f t="shared" si="55"/>
        <v>0</v>
      </c>
      <c r="H2942" s="28" t="e">
        <f>VLOOKUP(E2942,'Cadastro Produtos (kiwkiw)'!C:E,3,0)</f>
        <v>#N/A</v>
      </c>
    </row>
    <row r="2943" spans="7:8" ht="15" customHeight="1" x14ac:dyDescent="0.4">
      <c r="G2943" s="27">
        <f t="shared" si="55"/>
        <v>0</v>
      </c>
      <c r="H2943" s="28" t="e">
        <f>VLOOKUP(E2943,'Cadastro Produtos (kiwkiw)'!C:E,3,0)</f>
        <v>#N/A</v>
      </c>
    </row>
    <row r="2944" spans="7:8" ht="15" customHeight="1" x14ac:dyDescent="0.4">
      <c r="G2944" s="27">
        <f t="shared" si="55"/>
        <v>0</v>
      </c>
      <c r="H2944" s="28" t="e">
        <f>VLOOKUP(E2944,'Cadastro Produtos (kiwkiw)'!C:E,3,0)</f>
        <v>#N/A</v>
      </c>
    </row>
    <row r="2945" spans="7:8" ht="15" customHeight="1" x14ac:dyDescent="0.4">
      <c r="G2945" s="27">
        <f t="shared" si="55"/>
        <v>0</v>
      </c>
      <c r="H2945" s="28" t="e">
        <f>VLOOKUP(E2945,'Cadastro Produtos (kiwkiw)'!C:E,3,0)</f>
        <v>#N/A</v>
      </c>
    </row>
    <row r="2946" spans="7:8" ht="15" customHeight="1" x14ac:dyDescent="0.4">
      <c r="G2946" s="27">
        <f t="shared" si="55"/>
        <v>0</v>
      </c>
      <c r="H2946" s="28" t="e">
        <f>VLOOKUP(E2946,'Cadastro Produtos (kiwkiw)'!C:E,3,0)</f>
        <v>#N/A</v>
      </c>
    </row>
    <row r="2947" spans="7:8" ht="15" customHeight="1" x14ac:dyDescent="0.4">
      <c r="G2947" s="27">
        <f t="shared" si="55"/>
        <v>0</v>
      </c>
      <c r="H2947" s="28" t="e">
        <f>VLOOKUP(E2947,'Cadastro Produtos (kiwkiw)'!C:E,3,0)</f>
        <v>#N/A</v>
      </c>
    </row>
    <row r="2948" spans="7:8" ht="15" customHeight="1" x14ac:dyDescent="0.4">
      <c r="G2948" s="27">
        <f t="shared" si="55"/>
        <v>0</v>
      </c>
      <c r="H2948" s="28" t="e">
        <f>VLOOKUP(E2948,'Cadastro Produtos (kiwkiw)'!C:E,3,0)</f>
        <v>#N/A</v>
      </c>
    </row>
    <row r="2949" spans="7:8" ht="15" customHeight="1" x14ac:dyDescent="0.4">
      <c r="G2949" s="27">
        <f t="shared" si="55"/>
        <v>0</v>
      </c>
      <c r="H2949" s="28" t="e">
        <f>VLOOKUP(E2949,'Cadastro Produtos (kiwkiw)'!C:E,3,0)</f>
        <v>#N/A</v>
      </c>
    </row>
    <row r="2950" spans="7:8" ht="15" customHeight="1" x14ac:dyDescent="0.4">
      <c r="G2950" s="27">
        <f t="shared" si="55"/>
        <v>0</v>
      </c>
      <c r="H2950" s="28" t="e">
        <f>VLOOKUP(E2950,'Cadastro Produtos (kiwkiw)'!C:E,3,0)</f>
        <v>#N/A</v>
      </c>
    </row>
    <row r="2951" spans="7:8" ht="15" customHeight="1" x14ac:dyDescent="0.4">
      <c r="G2951" s="27">
        <f t="shared" si="55"/>
        <v>0</v>
      </c>
      <c r="H2951" s="28" t="e">
        <f>VLOOKUP(E2951,'Cadastro Produtos (kiwkiw)'!C:E,3,0)</f>
        <v>#N/A</v>
      </c>
    </row>
    <row r="2952" spans="7:8" ht="15" customHeight="1" x14ac:dyDescent="0.4">
      <c r="G2952" s="27">
        <f t="shared" si="55"/>
        <v>0</v>
      </c>
      <c r="H2952" s="28" t="e">
        <f>VLOOKUP(E2952,'Cadastro Produtos (kiwkiw)'!C:E,3,0)</f>
        <v>#N/A</v>
      </c>
    </row>
    <row r="2953" spans="7:8" ht="15" customHeight="1" x14ac:dyDescent="0.4">
      <c r="G2953" s="27">
        <f t="shared" si="55"/>
        <v>0</v>
      </c>
      <c r="H2953" s="28" t="e">
        <f>VLOOKUP(E2953,'Cadastro Produtos (kiwkiw)'!C:E,3,0)</f>
        <v>#N/A</v>
      </c>
    </row>
    <row r="2954" spans="7:8" ht="15" customHeight="1" x14ac:dyDescent="0.4">
      <c r="G2954" s="27">
        <f t="shared" si="55"/>
        <v>0</v>
      </c>
      <c r="H2954" s="28" t="e">
        <f>VLOOKUP(E2954,'Cadastro Produtos (kiwkiw)'!C:E,3,0)</f>
        <v>#N/A</v>
      </c>
    </row>
    <row r="2955" spans="7:8" ht="15" customHeight="1" x14ac:dyDescent="0.4">
      <c r="G2955" s="27">
        <f t="shared" si="55"/>
        <v>0</v>
      </c>
      <c r="H2955" s="28" t="e">
        <f>VLOOKUP(E2955,'Cadastro Produtos (kiwkiw)'!C:E,3,0)</f>
        <v>#N/A</v>
      </c>
    </row>
    <row r="2956" spans="7:8" ht="15" customHeight="1" x14ac:dyDescent="0.4">
      <c r="G2956" s="27">
        <f t="shared" si="55"/>
        <v>0</v>
      </c>
      <c r="H2956" s="28" t="e">
        <f>VLOOKUP(E2956,'Cadastro Produtos (kiwkiw)'!C:E,3,0)</f>
        <v>#N/A</v>
      </c>
    </row>
    <row r="2957" spans="7:8" ht="15" customHeight="1" x14ac:dyDescent="0.4">
      <c r="G2957" s="27">
        <f t="shared" si="55"/>
        <v>0</v>
      </c>
      <c r="H2957" s="28" t="e">
        <f>VLOOKUP(E2957,'Cadastro Produtos (kiwkiw)'!C:E,3,0)</f>
        <v>#N/A</v>
      </c>
    </row>
    <row r="2958" spans="7:8" ht="15" customHeight="1" x14ac:dyDescent="0.4">
      <c r="G2958" s="27">
        <f t="shared" si="55"/>
        <v>0</v>
      </c>
      <c r="H2958" s="28" t="e">
        <f>VLOOKUP(E2958,'Cadastro Produtos (kiwkiw)'!C:E,3,0)</f>
        <v>#N/A</v>
      </c>
    </row>
    <row r="2959" spans="7:8" ht="15" customHeight="1" x14ac:dyDescent="0.4">
      <c r="G2959" s="27">
        <f t="shared" si="55"/>
        <v>0</v>
      </c>
      <c r="H2959" s="28" t="e">
        <f>VLOOKUP(E2959,'Cadastro Produtos (kiwkiw)'!C:E,3,0)</f>
        <v>#N/A</v>
      </c>
    </row>
    <row r="2960" spans="7:8" ht="15" customHeight="1" x14ac:dyDescent="0.4">
      <c r="G2960" s="27">
        <f t="shared" si="55"/>
        <v>0</v>
      </c>
      <c r="H2960" s="28" t="e">
        <f>VLOOKUP(E2960,'Cadastro Produtos (kiwkiw)'!C:E,3,0)</f>
        <v>#N/A</v>
      </c>
    </row>
    <row r="2961" spans="7:8" ht="15" customHeight="1" x14ac:dyDescent="0.4">
      <c r="G2961" s="27">
        <f t="shared" si="55"/>
        <v>0</v>
      </c>
      <c r="H2961" s="28" t="e">
        <f>VLOOKUP(E2961,'Cadastro Produtos (kiwkiw)'!C:E,3,0)</f>
        <v>#N/A</v>
      </c>
    </row>
    <row r="2962" spans="7:8" ht="15" customHeight="1" x14ac:dyDescent="0.4">
      <c r="G2962" s="27">
        <f t="shared" si="55"/>
        <v>0</v>
      </c>
      <c r="H2962" s="28" t="e">
        <f>VLOOKUP(E2962,'Cadastro Produtos (kiwkiw)'!C:E,3,0)</f>
        <v>#N/A</v>
      </c>
    </row>
    <row r="2963" spans="7:8" ht="15" customHeight="1" x14ac:dyDescent="0.4">
      <c r="G2963" s="27">
        <f t="shared" si="55"/>
        <v>0</v>
      </c>
      <c r="H2963" s="28" t="e">
        <f>VLOOKUP(E2963,'Cadastro Produtos (kiwkiw)'!C:E,3,0)</f>
        <v>#N/A</v>
      </c>
    </row>
    <row r="2964" spans="7:8" ht="15" customHeight="1" x14ac:dyDescent="0.4">
      <c r="G2964" s="27">
        <f t="shared" si="55"/>
        <v>0</v>
      </c>
      <c r="H2964" s="28" t="e">
        <f>VLOOKUP(E2964,'Cadastro Produtos (kiwkiw)'!C:E,3,0)</f>
        <v>#N/A</v>
      </c>
    </row>
    <row r="2965" spans="7:8" ht="15" customHeight="1" x14ac:dyDescent="0.4">
      <c r="G2965" s="27">
        <f t="shared" si="55"/>
        <v>0</v>
      </c>
      <c r="H2965" s="28" t="e">
        <f>VLOOKUP(E2965,'Cadastro Produtos (kiwkiw)'!C:E,3,0)</f>
        <v>#N/A</v>
      </c>
    </row>
    <row r="2966" spans="7:8" ht="15" customHeight="1" x14ac:dyDescent="0.4">
      <c r="G2966" s="27">
        <f t="shared" si="55"/>
        <v>0</v>
      </c>
      <c r="H2966" s="28" t="e">
        <f>VLOOKUP(E2966,'Cadastro Produtos (kiwkiw)'!C:E,3,0)</f>
        <v>#N/A</v>
      </c>
    </row>
    <row r="2967" spans="7:8" ht="15" customHeight="1" x14ac:dyDescent="0.4">
      <c r="G2967" s="27">
        <f t="shared" si="55"/>
        <v>0</v>
      </c>
      <c r="H2967" s="28" t="e">
        <f>VLOOKUP(E2967,'Cadastro Produtos (kiwkiw)'!C:E,3,0)</f>
        <v>#N/A</v>
      </c>
    </row>
    <row r="2968" spans="7:8" ht="15" customHeight="1" x14ac:dyDescent="0.4">
      <c r="G2968" s="27">
        <f t="shared" si="55"/>
        <v>0</v>
      </c>
      <c r="H2968" s="28" t="e">
        <f>VLOOKUP(E2968,'Cadastro Produtos (kiwkiw)'!C:E,3,0)</f>
        <v>#N/A</v>
      </c>
    </row>
    <row r="2969" spans="7:8" ht="15" customHeight="1" x14ac:dyDescent="0.4">
      <c r="G2969" s="27">
        <f t="shared" si="55"/>
        <v>0</v>
      </c>
      <c r="H2969" s="28" t="e">
        <f>VLOOKUP(E2969,'Cadastro Produtos (kiwkiw)'!C:E,3,0)</f>
        <v>#N/A</v>
      </c>
    </row>
    <row r="2970" spans="7:8" ht="15" customHeight="1" x14ac:dyDescent="0.4">
      <c r="G2970" s="27">
        <f t="shared" si="55"/>
        <v>0</v>
      </c>
      <c r="H2970" s="28" t="e">
        <f>VLOOKUP(E2970,'Cadastro Produtos (kiwkiw)'!C:E,3,0)</f>
        <v>#N/A</v>
      </c>
    </row>
    <row r="2971" spans="7:8" ht="15" customHeight="1" x14ac:dyDescent="0.4">
      <c r="G2971" s="27">
        <f t="shared" si="55"/>
        <v>0</v>
      </c>
      <c r="H2971" s="28" t="e">
        <f>VLOOKUP(E2971,'Cadastro Produtos (kiwkiw)'!C:E,3,0)</f>
        <v>#N/A</v>
      </c>
    </row>
    <row r="2972" spans="7:8" ht="15" customHeight="1" x14ac:dyDescent="0.4">
      <c r="G2972" s="27">
        <f t="shared" si="55"/>
        <v>0</v>
      </c>
      <c r="H2972" s="28" t="e">
        <f>VLOOKUP(E2972,'Cadastro Produtos (kiwkiw)'!C:E,3,0)</f>
        <v>#N/A</v>
      </c>
    </row>
    <row r="2973" spans="7:8" ht="15" customHeight="1" x14ac:dyDescent="0.4">
      <c r="G2973" s="27">
        <f t="shared" si="55"/>
        <v>0</v>
      </c>
      <c r="H2973" s="28" t="e">
        <f>VLOOKUP(E2973,'Cadastro Produtos (kiwkiw)'!C:E,3,0)</f>
        <v>#N/A</v>
      </c>
    </row>
    <row r="2974" spans="7:8" ht="15" customHeight="1" x14ac:dyDescent="0.4">
      <c r="G2974" s="27">
        <f t="shared" si="55"/>
        <v>0</v>
      </c>
      <c r="H2974" s="28" t="e">
        <f>VLOOKUP(E2974,'Cadastro Produtos (kiwkiw)'!C:E,3,0)</f>
        <v>#N/A</v>
      </c>
    </row>
    <row r="2975" spans="7:8" ht="15" customHeight="1" x14ac:dyDescent="0.4">
      <c r="G2975" s="27">
        <f t="shared" si="55"/>
        <v>0</v>
      </c>
      <c r="H2975" s="28" t="e">
        <f>VLOOKUP(E2975,'Cadastro Produtos (kiwkiw)'!C:E,3,0)</f>
        <v>#N/A</v>
      </c>
    </row>
    <row r="2976" spans="7:8" ht="15" customHeight="1" x14ac:dyDescent="0.4">
      <c r="G2976" s="27">
        <f t="shared" si="55"/>
        <v>0</v>
      </c>
      <c r="H2976" s="28" t="e">
        <f>VLOOKUP(E2976,'Cadastro Produtos (kiwkiw)'!C:E,3,0)</f>
        <v>#N/A</v>
      </c>
    </row>
    <row r="2977" spans="7:8" ht="15" customHeight="1" x14ac:dyDescent="0.4">
      <c r="G2977" s="27">
        <f t="shared" si="55"/>
        <v>0</v>
      </c>
      <c r="H2977" s="28" t="e">
        <f>VLOOKUP(E2977,'Cadastro Produtos (kiwkiw)'!C:E,3,0)</f>
        <v>#N/A</v>
      </c>
    </row>
    <row r="2978" spans="7:8" ht="15" customHeight="1" x14ac:dyDescent="0.4">
      <c r="G2978" s="27">
        <f t="shared" si="55"/>
        <v>0</v>
      </c>
      <c r="H2978" s="28" t="e">
        <f>VLOOKUP(E2978,'Cadastro Produtos (kiwkiw)'!C:E,3,0)</f>
        <v>#N/A</v>
      </c>
    </row>
    <row r="2979" spans="7:8" ht="15" customHeight="1" x14ac:dyDescent="0.4">
      <c r="G2979" s="27">
        <f t="shared" si="55"/>
        <v>0</v>
      </c>
      <c r="H2979" s="28" t="e">
        <f>VLOOKUP(E2979,'Cadastro Produtos (kiwkiw)'!C:E,3,0)</f>
        <v>#N/A</v>
      </c>
    </row>
    <row r="2980" spans="7:8" ht="15" customHeight="1" x14ac:dyDescent="0.4">
      <c r="G2980" s="27">
        <f t="shared" si="55"/>
        <v>0</v>
      </c>
      <c r="H2980" s="28" t="e">
        <f>VLOOKUP(E2980,'Cadastro Produtos (kiwkiw)'!C:E,3,0)</f>
        <v>#N/A</v>
      </c>
    </row>
    <row r="2981" spans="7:8" ht="15" customHeight="1" x14ac:dyDescent="0.4">
      <c r="G2981" s="27">
        <f t="shared" si="55"/>
        <v>0</v>
      </c>
      <c r="H2981" s="28" t="e">
        <f>VLOOKUP(E2981,'Cadastro Produtos (kiwkiw)'!C:E,3,0)</f>
        <v>#N/A</v>
      </c>
    </row>
    <row r="2982" spans="7:8" ht="15" customHeight="1" x14ac:dyDescent="0.4">
      <c r="G2982" s="27">
        <f t="shared" si="55"/>
        <v>0</v>
      </c>
      <c r="H2982" s="28" t="e">
        <f>VLOOKUP(E2982,'Cadastro Produtos (kiwkiw)'!C:E,3,0)</f>
        <v>#N/A</v>
      </c>
    </row>
    <row r="2983" spans="7:8" ht="15" customHeight="1" x14ac:dyDescent="0.4">
      <c r="G2983" s="27">
        <f t="shared" si="55"/>
        <v>0</v>
      </c>
      <c r="H2983" s="28" t="e">
        <f>VLOOKUP(E2983,'Cadastro Produtos (kiwkiw)'!C:E,3,0)</f>
        <v>#N/A</v>
      </c>
    </row>
    <row r="2984" spans="7:8" ht="15" customHeight="1" x14ac:dyDescent="0.4">
      <c r="G2984" s="27">
        <f t="shared" si="55"/>
        <v>0</v>
      </c>
      <c r="H2984" s="28" t="e">
        <f>VLOOKUP(E2984,'Cadastro Produtos (kiwkiw)'!C:E,3,0)</f>
        <v>#N/A</v>
      </c>
    </row>
    <row r="2985" spans="7:8" ht="15" customHeight="1" x14ac:dyDescent="0.4">
      <c r="G2985" s="27">
        <f t="shared" si="55"/>
        <v>0</v>
      </c>
      <c r="H2985" s="28" t="e">
        <f>VLOOKUP(E2985,'Cadastro Produtos (kiwkiw)'!C:E,3,0)</f>
        <v>#N/A</v>
      </c>
    </row>
    <row r="2986" spans="7:8" ht="15" customHeight="1" x14ac:dyDescent="0.4">
      <c r="G2986" s="27">
        <f t="shared" si="55"/>
        <v>0</v>
      </c>
      <c r="H2986" s="28" t="e">
        <f>VLOOKUP(E2986,'Cadastro Produtos (kiwkiw)'!C:E,3,0)</f>
        <v>#N/A</v>
      </c>
    </row>
    <row r="2987" spans="7:8" ht="15" customHeight="1" x14ac:dyDescent="0.4">
      <c r="G2987" s="27">
        <f t="shared" si="55"/>
        <v>0</v>
      </c>
      <c r="H2987" s="28" t="e">
        <f>VLOOKUP(E2987,'Cadastro Produtos (kiwkiw)'!C:E,3,0)</f>
        <v>#N/A</v>
      </c>
    </row>
    <row r="2988" spans="7:8" ht="15" customHeight="1" x14ac:dyDescent="0.4">
      <c r="G2988" s="27">
        <f t="shared" si="55"/>
        <v>0</v>
      </c>
      <c r="H2988" s="28" t="e">
        <f>VLOOKUP(E2988,'Cadastro Produtos (kiwkiw)'!C:E,3,0)</f>
        <v>#N/A</v>
      </c>
    </row>
    <row r="2989" spans="7:8" ht="15" customHeight="1" x14ac:dyDescent="0.4">
      <c r="G2989" s="27">
        <f t="shared" si="55"/>
        <v>0</v>
      </c>
      <c r="H2989" s="28" t="e">
        <f>VLOOKUP(E2989,'Cadastro Produtos (kiwkiw)'!C:E,3,0)</f>
        <v>#N/A</v>
      </c>
    </row>
    <row r="2990" spans="7:8" ht="15" customHeight="1" x14ac:dyDescent="0.4">
      <c r="G2990" s="27">
        <f t="shared" si="55"/>
        <v>0</v>
      </c>
      <c r="H2990" s="28" t="e">
        <f>VLOOKUP(E2990,'Cadastro Produtos (kiwkiw)'!C:E,3,0)</f>
        <v>#N/A</v>
      </c>
    </row>
    <row r="2991" spans="7:8" ht="15" customHeight="1" x14ac:dyDescent="0.4">
      <c r="G2991" s="27">
        <f t="shared" si="55"/>
        <v>0</v>
      </c>
      <c r="H2991" s="28" t="e">
        <f>VLOOKUP(E2991,'Cadastro Produtos (kiwkiw)'!C:E,3,0)</f>
        <v>#N/A</v>
      </c>
    </row>
    <row r="2992" spans="7:8" ht="15" customHeight="1" x14ac:dyDescent="0.4">
      <c r="G2992" s="27">
        <f t="shared" si="55"/>
        <v>0</v>
      </c>
      <c r="H2992" s="28" t="e">
        <f>VLOOKUP(E2992,'Cadastro Produtos (kiwkiw)'!C:E,3,0)</f>
        <v>#N/A</v>
      </c>
    </row>
    <row r="2993" spans="7:8" ht="15" customHeight="1" x14ac:dyDescent="0.4">
      <c r="G2993" s="27">
        <f t="shared" si="55"/>
        <v>0</v>
      </c>
      <c r="H2993" s="28" t="e">
        <f>VLOOKUP(E2993,'Cadastro Produtos (kiwkiw)'!C:E,3,0)</f>
        <v>#N/A</v>
      </c>
    </row>
    <row r="2994" spans="7:8" ht="15" customHeight="1" x14ac:dyDescent="0.4">
      <c r="G2994" s="27">
        <f t="shared" si="55"/>
        <v>0</v>
      </c>
      <c r="H2994" s="28" t="e">
        <f>VLOOKUP(E2994,'Cadastro Produtos (kiwkiw)'!C:E,3,0)</f>
        <v>#N/A</v>
      </c>
    </row>
    <row r="2995" spans="7:8" ht="15" customHeight="1" x14ac:dyDescent="0.4">
      <c r="G2995" s="27">
        <f t="shared" si="55"/>
        <v>0</v>
      </c>
      <c r="H2995" s="28" t="e">
        <f>VLOOKUP(E2995,'Cadastro Produtos (kiwkiw)'!C:E,3,0)</f>
        <v>#N/A</v>
      </c>
    </row>
    <row r="2996" spans="7:8" ht="15" customHeight="1" x14ac:dyDescent="0.4">
      <c r="G2996" s="27">
        <f t="shared" si="55"/>
        <v>0</v>
      </c>
      <c r="H2996" s="28" t="e">
        <f>VLOOKUP(E2996,'Cadastro Produtos (kiwkiw)'!C:E,3,0)</f>
        <v>#N/A</v>
      </c>
    </row>
    <row r="2997" spans="7:8" ht="15" customHeight="1" x14ac:dyDescent="0.4">
      <c r="G2997" s="27">
        <f t="shared" si="55"/>
        <v>0</v>
      </c>
      <c r="H2997" s="28" t="e">
        <f>VLOOKUP(E2997,'Cadastro Produtos (kiwkiw)'!C:E,3,0)</f>
        <v>#N/A</v>
      </c>
    </row>
    <row r="2998" spans="7:8" ht="15" customHeight="1" x14ac:dyDescent="0.4">
      <c r="G2998" s="27">
        <f t="shared" si="55"/>
        <v>0</v>
      </c>
      <c r="H2998" s="28" t="e">
        <f>VLOOKUP(E2998,'Cadastro Produtos (kiwkiw)'!C:E,3,0)</f>
        <v>#N/A</v>
      </c>
    </row>
    <row r="2999" spans="7:8" ht="15" customHeight="1" x14ac:dyDescent="0.4">
      <c r="G2999" s="27">
        <f t="shared" ref="G2999:G3062" si="56">IF(C2999="Entrada",F2999,-F2999)</f>
        <v>0</v>
      </c>
      <c r="H2999" s="28" t="e">
        <f>VLOOKUP(E2999,'Cadastro Produtos (kiwkiw)'!C:E,3,0)</f>
        <v>#N/A</v>
      </c>
    </row>
    <row r="3000" spans="7:8" ht="15" customHeight="1" x14ac:dyDescent="0.4">
      <c r="G3000" s="27">
        <f t="shared" si="56"/>
        <v>0</v>
      </c>
      <c r="H3000" s="28" t="e">
        <f>VLOOKUP(E3000,'Cadastro Produtos (kiwkiw)'!C:E,3,0)</f>
        <v>#N/A</v>
      </c>
    </row>
    <row r="3001" spans="7:8" ht="15" customHeight="1" x14ac:dyDescent="0.4">
      <c r="G3001" s="27">
        <f t="shared" si="56"/>
        <v>0</v>
      </c>
      <c r="H3001" s="28" t="e">
        <f>VLOOKUP(E3001,'Cadastro Produtos (kiwkiw)'!C:E,3,0)</f>
        <v>#N/A</v>
      </c>
    </row>
    <row r="3002" spans="7:8" ht="15" customHeight="1" x14ac:dyDescent="0.4">
      <c r="G3002" s="27">
        <f t="shared" si="56"/>
        <v>0</v>
      </c>
      <c r="H3002" s="28" t="e">
        <f>VLOOKUP(E3002,'Cadastro Produtos (kiwkiw)'!C:E,3,0)</f>
        <v>#N/A</v>
      </c>
    </row>
    <row r="3003" spans="7:8" ht="15" customHeight="1" x14ac:dyDescent="0.4">
      <c r="G3003" s="27">
        <f t="shared" si="56"/>
        <v>0</v>
      </c>
      <c r="H3003" s="28" t="e">
        <f>VLOOKUP(E3003,'Cadastro Produtos (kiwkiw)'!C:E,3,0)</f>
        <v>#N/A</v>
      </c>
    </row>
    <row r="3004" spans="7:8" ht="15" customHeight="1" x14ac:dyDescent="0.4">
      <c r="G3004" s="27">
        <f t="shared" si="56"/>
        <v>0</v>
      </c>
      <c r="H3004" s="28" t="e">
        <f>VLOOKUP(E3004,'Cadastro Produtos (kiwkiw)'!C:E,3,0)</f>
        <v>#N/A</v>
      </c>
    </row>
    <row r="3005" spans="7:8" ht="15" customHeight="1" x14ac:dyDescent="0.4">
      <c r="G3005" s="27">
        <f t="shared" si="56"/>
        <v>0</v>
      </c>
      <c r="H3005" s="28" t="e">
        <f>VLOOKUP(E3005,'Cadastro Produtos (kiwkiw)'!C:E,3,0)</f>
        <v>#N/A</v>
      </c>
    </row>
    <row r="3006" spans="7:8" ht="15" customHeight="1" x14ac:dyDescent="0.4">
      <c r="G3006" s="27">
        <f t="shared" si="56"/>
        <v>0</v>
      </c>
      <c r="H3006" s="28" t="e">
        <f>VLOOKUP(E3006,'Cadastro Produtos (kiwkiw)'!C:E,3,0)</f>
        <v>#N/A</v>
      </c>
    </row>
    <row r="3007" spans="7:8" ht="15" customHeight="1" x14ac:dyDescent="0.4">
      <c r="G3007" s="27">
        <f t="shared" si="56"/>
        <v>0</v>
      </c>
      <c r="H3007" s="28" t="e">
        <f>VLOOKUP(E3007,'Cadastro Produtos (kiwkiw)'!C:E,3,0)</f>
        <v>#N/A</v>
      </c>
    </row>
    <row r="3008" spans="7:8" ht="15" customHeight="1" x14ac:dyDescent="0.4">
      <c r="G3008" s="27">
        <f t="shared" si="56"/>
        <v>0</v>
      </c>
      <c r="H3008" s="28" t="e">
        <f>VLOOKUP(E3008,'Cadastro Produtos (kiwkiw)'!C:E,3,0)</f>
        <v>#N/A</v>
      </c>
    </row>
    <row r="3009" spans="7:8" ht="15" customHeight="1" x14ac:dyDescent="0.4">
      <c r="G3009" s="27">
        <f t="shared" si="56"/>
        <v>0</v>
      </c>
      <c r="H3009" s="28" t="e">
        <f>VLOOKUP(E3009,'Cadastro Produtos (kiwkiw)'!C:E,3,0)</f>
        <v>#N/A</v>
      </c>
    </row>
    <row r="3010" spans="7:8" ht="15" customHeight="1" x14ac:dyDescent="0.4">
      <c r="G3010" s="27">
        <f t="shared" si="56"/>
        <v>0</v>
      </c>
      <c r="H3010" s="28" t="e">
        <f>VLOOKUP(E3010,'Cadastro Produtos (kiwkiw)'!C:E,3,0)</f>
        <v>#N/A</v>
      </c>
    </row>
    <row r="3011" spans="7:8" ht="15" customHeight="1" x14ac:dyDescent="0.4">
      <c r="G3011" s="27">
        <f t="shared" si="56"/>
        <v>0</v>
      </c>
      <c r="H3011" s="28" t="e">
        <f>VLOOKUP(E3011,'Cadastro Produtos (kiwkiw)'!C:E,3,0)</f>
        <v>#N/A</v>
      </c>
    </row>
    <row r="3012" spans="7:8" ht="15" customHeight="1" x14ac:dyDescent="0.4">
      <c r="G3012" s="27">
        <f t="shared" si="56"/>
        <v>0</v>
      </c>
      <c r="H3012" s="28" t="e">
        <f>VLOOKUP(E3012,'Cadastro Produtos (kiwkiw)'!C:E,3,0)</f>
        <v>#N/A</v>
      </c>
    </row>
    <row r="3013" spans="7:8" ht="15" customHeight="1" x14ac:dyDescent="0.4">
      <c r="G3013" s="27">
        <f t="shared" si="56"/>
        <v>0</v>
      </c>
      <c r="H3013" s="28" t="e">
        <f>VLOOKUP(E3013,'Cadastro Produtos (kiwkiw)'!C:E,3,0)</f>
        <v>#N/A</v>
      </c>
    </row>
    <row r="3014" spans="7:8" ht="15" customHeight="1" x14ac:dyDescent="0.4">
      <c r="G3014" s="27">
        <f t="shared" si="56"/>
        <v>0</v>
      </c>
      <c r="H3014" s="28" t="e">
        <f>VLOOKUP(E3014,'Cadastro Produtos (kiwkiw)'!C:E,3,0)</f>
        <v>#N/A</v>
      </c>
    </row>
    <row r="3015" spans="7:8" ht="15" customHeight="1" x14ac:dyDescent="0.4">
      <c r="G3015" s="27">
        <f t="shared" si="56"/>
        <v>0</v>
      </c>
      <c r="H3015" s="28" t="e">
        <f>VLOOKUP(E3015,'Cadastro Produtos (kiwkiw)'!C:E,3,0)</f>
        <v>#N/A</v>
      </c>
    </row>
    <row r="3016" spans="7:8" ht="15" customHeight="1" x14ac:dyDescent="0.4">
      <c r="G3016" s="27">
        <f t="shared" si="56"/>
        <v>0</v>
      </c>
      <c r="H3016" s="28" t="e">
        <f>VLOOKUP(E3016,'Cadastro Produtos (kiwkiw)'!C:E,3,0)</f>
        <v>#N/A</v>
      </c>
    </row>
    <row r="3017" spans="7:8" ht="15" customHeight="1" x14ac:dyDescent="0.4">
      <c r="G3017" s="27">
        <f t="shared" si="56"/>
        <v>0</v>
      </c>
      <c r="H3017" s="28" t="e">
        <f>VLOOKUP(E3017,'Cadastro Produtos (kiwkiw)'!C:E,3,0)</f>
        <v>#N/A</v>
      </c>
    </row>
    <row r="3018" spans="7:8" ht="15" customHeight="1" x14ac:dyDescent="0.4">
      <c r="G3018" s="27">
        <f t="shared" si="56"/>
        <v>0</v>
      </c>
      <c r="H3018" s="28" t="e">
        <f>VLOOKUP(E3018,'Cadastro Produtos (kiwkiw)'!C:E,3,0)</f>
        <v>#N/A</v>
      </c>
    </row>
    <row r="3019" spans="7:8" ht="15" customHeight="1" x14ac:dyDescent="0.4">
      <c r="G3019" s="27">
        <f t="shared" si="56"/>
        <v>0</v>
      </c>
      <c r="H3019" s="28" t="e">
        <f>VLOOKUP(E3019,'Cadastro Produtos (kiwkiw)'!C:E,3,0)</f>
        <v>#N/A</v>
      </c>
    </row>
    <row r="3020" spans="7:8" ht="15" customHeight="1" x14ac:dyDescent="0.4">
      <c r="G3020" s="27">
        <f t="shared" si="56"/>
        <v>0</v>
      </c>
      <c r="H3020" s="28" t="e">
        <f>VLOOKUP(E3020,'Cadastro Produtos (kiwkiw)'!C:E,3,0)</f>
        <v>#N/A</v>
      </c>
    </row>
    <row r="3021" spans="7:8" ht="15" customHeight="1" x14ac:dyDescent="0.4">
      <c r="G3021" s="27">
        <f t="shared" si="56"/>
        <v>0</v>
      </c>
      <c r="H3021" s="28" t="e">
        <f>VLOOKUP(E3021,'Cadastro Produtos (kiwkiw)'!C:E,3,0)</f>
        <v>#N/A</v>
      </c>
    </row>
    <row r="3022" spans="7:8" ht="15" customHeight="1" x14ac:dyDescent="0.4">
      <c r="G3022" s="27">
        <f t="shared" si="56"/>
        <v>0</v>
      </c>
      <c r="H3022" s="28" t="e">
        <f>VLOOKUP(E3022,'Cadastro Produtos (kiwkiw)'!C:E,3,0)</f>
        <v>#N/A</v>
      </c>
    </row>
    <row r="3023" spans="7:8" ht="15" customHeight="1" x14ac:dyDescent="0.4">
      <c r="G3023" s="27">
        <f t="shared" si="56"/>
        <v>0</v>
      </c>
      <c r="H3023" s="28" t="e">
        <f>VLOOKUP(E3023,'Cadastro Produtos (kiwkiw)'!C:E,3,0)</f>
        <v>#N/A</v>
      </c>
    </row>
    <row r="3024" spans="7:8" ht="15" customHeight="1" x14ac:dyDescent="0.4">
      <c r="G3024" s="27">
        <f t="shared" si="56"/>
        <v>0</v>
      </c>
      <c r="H3024" s="28" t="e">
        <f>VLOOKUP(E3024,'Cadastro Produtos (kiwkiw)'!C:E,3,0)</f>
        <v>#N/A</v>
      </c>
    </row>
    <row r="3025" spans="7:8" ht="15" customHeight="1" x14ac:dyDescent="0.4">
      <c r="G3025" s="27">
        <f t="shared" si="56"/>
        <v>0</v>
      </c>
      <c r="H3025" s="28" t="e">
        <f>VLOOKUP(E3025,'Cadastro Produtos (kiwkiw)'!C:E,3,0)</f>
        <v>#N/A</v>
      </c>
    </row>
    <row r="3026" spans="7:8" ht="15" customHeight="1" x14ac:dyDescent="0.4">
      <c r="G3026" s="27">
        <f t="shared" si="56"/>
        <v>0</v>
      </c>
      <c r="H3026" s="28" t="e">
        <f>VLOOKUP(E3026,'Cadastro Produtos (kiwkiw)'!C:E,3,0)</f>
        <v>#N/A</v>
      </c>
    </row>
    <row r="3027" spans="7:8" ht="15" customHeight="1" x14ac:dyDescent="0.4">
      <c r="G3027" s="27">
        <f t="shared" si="56"/>
        <v>0</v>
      </c>
      <c r="H3027" s="28" t="e">
        <f>VLOOKUP(E3027,'Cadastro Produtos (kiwkiw)'!C:E,3,0)</f>
        <v>#N/A</v>
      </c>
    </row>
    <row r="3028" spans="7:8" ht="15" customHeight="1" x14ac:dyDescent="0.4">
      <c r="G3028" s="27">
        <f t="shared" si="56"/>
        <v>0</v>
      </c>
      <c r="H3028" s="28" t="e">
        <f>VLOOKUP(E3028,'Cadastro Produtos (kiwkiw)'!C:E,3,0)</f>
        <v>#N/A</v>
      </c>
    </row>
    <row r="3029" spans="7:8" ht="15" customHeight="1" x14ac:dyDescent="0.4">
      <c r="G3029" s="27">
        <f t="shared" si="56"/>
        <v>0</v>
      </c>
      <c r="H3029" s="28" t="e">
        <f>VLOOKUP(E3029,'Cadastro Produtos (kiwkiw)'!C:E,3,0)</f>
        <v>#N/A</v>
      </c>
    </row>
    <row r="3030" spans="7:8" ht="15" customHeight="1" x14ac:dyDescent="0.4">
      <c r="G3030" s="27">
        <f t="shared" si="56"/>
        <v>0</v>
      </c>
      <c r="H3030" s="28" t="e">
        <f>VLOOKUP(E3030,'Cadastro Produtos (kiwkiw)'!C:E,3,0)</f>
        <v>#N/A</v>
      </c>
    </row>
    <row r="3031" spans="7:8" ht="15" customHeight="1" x14ac:dyDescent="0.4">
      <c r="G3031" s="27">
        <f t="shared" si="56"/>
        <v>0</v>
      </c>
      <c r="H3031" s="28" t="e">
        <f>VLOOKUP(E3031,'Cadastro Produtos (kiwkiw)'!C:E,3,0)</f>
        <v>#N/A</v>
      </c>
    </row>
    <row r="3032" spans="7:8" ht="15" customHeight="1" x14ac:dyDescent="0.4">
      <c r="G3032" s="27">
        <f t="shared" si="56"/>
        <v>0</v>
      </c>
      <c r="H3032" s="28" t="e">
        <f>VLOOKUP(E3032,'Cadastro Produtos (kiwkiw)'!C:E,3,0)</f>
        <v>#N/A</v>
      </c>
    </row>
    <row r="3033" spans="7:8" ht="15" customHeight="1" x14ac:dyDescent="0.4">
      <c r="G3033" s="27">
        <f t="shared" si="56"/>
        <v>0</v>
      </c>
      <c r="H3033" s="28" t="e">
        <f>VLOOKUP(E3033,'Cadastro Produtos (kiwkiw)'!C:E,3,0)</f>
        <v>#N/A</v>
      </c>
    </row>
    <row r="3034" spans="7:8" ht="15" customHeight="1" x14ac:dyDescent="0.4">
      <c r="G3034" s="27">
        <f t="shared" si="56"/>
        <v>0</v>
      </c>
      <c r="H3034" s="28" t="e">
        <f>VLOOKUP(E3034,'Cadastro Produtos (kiwkiw)'!C:E,3,0)</f>
        <v>#N/A</v>
      </c>
    </row>
    <row r="3035" spans="7:8" ht="15" customHeight="1" x14ac:dyDescent="0.4">
      <c r="G3035" s="27">
        <f t="shared" si="56"/>
        <v>0</v>
      </c>
      <c r="H3035" s="28" t="e">
        <f>VLOOKUP(E3035,'Cadastro Produtos (kiwkiw)'!C:E,3,0)</f>
        <v>#N/A</v>
      </c>
    </row>
    <row r="3036" spans="7:8" ht="15" customHeight="1" x14ac:dyDescent="0.4">
      <c r="G3036" s="27">
        <f t="shared" si="56"/>
        <v>0</v>
      </c>
      <c r="H3036" s="28" t="e">
        <f>VLOOKUP(E3036,'Cadastro Produtos (kiwkiw)'!C:E,3,0)</f>
        <v>#N/A</v>
      </c>
    </row>
    <row r="3037" spans="7:8" ht="15" customHeight="1" x14ac:dyDescent="0.4">
      <c r="G3037" s="27">
        <f t="shared" si="56"/>
        <v>0</v>
      </c>
      <c r="H3037" s="28" t="e">
        <f>VLOOKUP(E3037,'Cadastro Produtos (kiwkiw)'!C:E,3,0)</f>
        <v>#N/A</v>
      </c>
    </row>
    <row r="3038" spans="7:8" ht="15" customHeight="1" x14ac:dyDescent="0.4">
      <c r="G3038" s="27">
        <f t="shared" si="56"/>
        <v>0</v>
      </c>
      <c r="H3038" s="28" t="e">
        <f>VLOOKUP(E3038,'Cadastro Produtos (kiwkiw)'!C:E,3,0)</f>
        <v>#N/A</v>
      </c>
    </row>
    <row r="3039" spans="7:8" ht="15" customHeight="1" x14ac:dyDescent="0.4">
      <c r="G3039" s="27">
        <f t="shared" si="56"/>
        <v>0</v>
      </c>
      <c r="H3039" s="28" t="e">
        <f>VLOOKUP(E3039,'Cadastro Produtos (kiwkiw)'!C:E,3,0)</f>
        <v>#N/A</v>
      </c>
    </row>
    <row r="3040" spans="7:8" ht="15" customHeight="1" x14ac:dyDescent="0.4">
      <c r="G3040" s="27">
        <f t="shared" si="56"/>
        <v>0</v>
      </c>
      <c r="H3040" s="28" t="e">
        <f>VLOOKUP(E3040,'Cadastro Produtos (kiwkiw)'!C:E,3,0)</f>
        <v>#N/A</v>
      </c>
    </row>
    <row r="3041" spans="7:8" ht="15" customHeight="1" x14ac:dyDescent="0.4">
      <c r="G3041" s="27">
        <f t="shared" si="56"/>
        <v>0</v>
      </c>
      <c r="H3041" s="28" t="e">
        <f>VLOOKUP(E3041,'Cadastro Produtos (kiwkiw)'!C:E,3,0)</f>
        <v>#N/A</v>
      </c>
    </row>
    <row r="3042" spans="7:8" ht="15" customHeight="1" x14ac:dyDescent="0.4">
      <c r="G3042" s="27">
        <f t="shared" si="56"/>
        <v>0</v>
      </c>
      <c r="H3042" s="28" t="e">
        <f>VLOOKUP(E3042,'Cadastro Produtos (kiwkiw)'!C:E,3,0)</f>
        <v>#N/A</v>
      </c>
    </row>
    <row r="3043" spans="7:8" ht="15" customHeight="1" x14ac:dyDescent="0.4">
      <c r="G3043" s="27">
        <f t="shared" si="56"/>
        <v>0</v>
      </c>
      <c r="H3043" s="28" t="e">
        <f>VLOOKUP(E3043,'Cadastro Produtos (kiwkiw)'!C:E,3,0)</f>
        <v>#N/A</v>
      </c>
    </row>
    <row r="3044" spans="7:8" ht="15" customHeight="1" x14ac:dyDescent="0.4">
      <c r="G3044" s="27">
        <f t="shared" si="56"/>
        <v>0</v>
      </c>
      <c r="H3044" s="28" t="e">
        <f>VLOOKUP(E3044,'Cadastro Produtos (kiwkiw)'!C:E,3,0)</f>
        <v>#N/A</v>
      </c>
    </row>
    <row r="3045" spans="7:8" ht="15" customHeight="1" x14ac:dyDescent="0.4">
      <c r="G3045" s="27">
        <f t="shared" si="56"/>
        <v>0</v>
      </c>
      <c r="H3045" s="28" t="e">
        <f>VLOOKUP(E3045,'Cadastro Produtos (kiwkiw)'!C:E,3,0)</f>
        <v>#N/A</v>
      </c>
    </row>
    <row r="3046" spans="7:8" ht="15" customHeight="1" x14ac:dyDescent="0.4">
      <c r="G3046" s="27">
        <f t="shared" si="56"/>
        <v>0</v>
      </c>
      <c r="H3046" s="28" t="e">
        <f>VLOOKUP(E3046,'Cadastro Produtos (kiwkiw)'!C:E,3,0)</f>
        <v>#N/A</v>
      </c>
    </row>
    <row r="3047" spans="7:8" ht="15" customHeight="1" x14ac:dyDescent="0.4">
      <c r="G3047" s="27">
        <f t="shared" si="56"/>
        <v>0</v>
      </c>
      <c r="H3047" s="28" t="e">
        <f>VLOOKUP(E3047,'Cadastro Produtos (kiwkiw)'!C:E,3,0)</f>
        <v>#N/A</v>
      </c>
    </row>
    <row r="3048" spans="7:8" ht="15" customHeight="1" x14ac:dyDescent="0.4">
      <c r="G3048" s="27">
        <f t="shared" si="56"/>
        <v>0</v>
      </c>
      <c r="H3048" s="28" t="e">
        <f>VLOOKUP(E3048,'Cadastro Produtos (kiwkiw)'!C:E,3,0)</f>
        <v>#N/A</v>
      </c>
    </row>
    <row r="3049" spans="7:8" ht="15" customHeight="1" x14ac:dyDescent="0.4">
      <c r="G3049" s="27">
        <f t="shared" si="56"/>
        <v>0</v>
      </c>
      <c r="H3049" s="28" t="e">
        <f>VLOOKUP(E3049,'Cadastro Produtos (kiwkiw)'!C:E,3,0)</f>
        <v>#N/A</v>
      </c>
    </row>
    <row r="3050" spans="7:8" ht="15" customHeight="1" x14ac:dyDescent="0.4">
      <c r="G3050" s="27">
        <f t="shared" si="56"/>
        <v>0</v>
      </c>
      <c r="H3050" s="28" t="e">
        <f>VLOOKUP(E3050,'Cadastro Produtos (kiwkiw)'!C:E,3,0)</f>
        <v>#N/A</v>
      </c>
    </row>
    <row r="3051" spans="7:8" ht="15" customHeight="1" x14ac:dyDescent="0.4">
      <c r="G3051" s="27">
        <f t="shared" si="56"/>
        <v>0</v>
      </c>
      <c r="H3051" s="28" t="e">
        <f>VLOOKUP(E3051,'Cadastro Produtos (kiwkiw)'!C:E,3,0)</f>
        <v>#N/A</v>
      </c>
    </row>
    <row r="3052" spans="7:8" ht="15" customHeight="1" x14ac:dyDescent="0.4">
      <c r="G3052" s="27">
        <f t="shared" si="56"/>
        <v>0</v>
      </c>
      <c r="H3052" s="28" t="e">
        <f>VLOOKUP(E3052,'Cadastro Produtos (kiwkiw)'!C:E,3,0)</f>
        <v>#N/A</v>
      </c>
    </row>
    <row r="3053" spans="7:8" ht="15" customHeight="1" x14ac:dyDescent="0.4">
      <c r="G3053" s="27">
        <f t="shared" si="56"/>
        <v>0</v>
      </c>
      <c r="H3053" s="28" t="e">
        <f>VLOOKUP(E3053,'Cadastro Produtos (kiwkiw)'!C:E,3,0)</f>
        <v>#N/A</v>
      </c>
    </row>
    <row r="3054" spans="7:8" ht="15" customHeight="1" x14ac:dyDescent="0.4">
      <c r="G3054" s="27">
        <f t="shared" si="56"/>
        <v>0</v>
      </c>
      <c r="H3054" s="28" t="e">
        <f>VLOOKUP(E3054,'Cadastro Produtos (kiwkiw)'!C:E,3,0)</f>
        <v>#N/A</v>
      </c>
    </row>
    <row r="3055" spans="7:8" ht="15" customHeight="1" x14ac:dyDescent="0.4">
      <c r="G3055" s="27">
        <f t="shared" si="56"/>
        <v>0</v>
      </c>
      <c r="H3055" s="28" t="e">
        <f>VLOOKUP(E3055,'Cadastro Produtos (kiwkiw)'!C:E,3,0)</f>
        <v>#N/A</v>
      </c>
    </row>
    <row r="3056" spans="7:8" ht="15" customHeight="1" x14ac:dyDescent="0.4">
      <c r="G3056" s="27">
        <f t="shared" si="56"/>
        <v>0</v>
      </c>
      <c r="H3056" s="28" t="e">
        <f>VLOOKUP(E3056,'Cadastro Produtos (kiwkiw)'!C:E,3,0)</f>
        <v>#N/A</v>
      </c>
    </row>
    <row r="3057" spans="7:8" ht="15" customHeight="1" x14ac:dyDescent="0.4">
      <c r="G3057" s="27">
        <f t="shared" si="56"/>
        <v>0</v>
      </c>
      <c r="H3057" s="28" t="e">
        <f>VLOOKUP(E3057,'Cadastro Produtos (kiwkiw)'!C:E,3,0)</f>
        <v>#N/A</v>
      </c>
    </row>
    <row r="3058" spans="7:8" ht="15" customHeight="1" x14ac:dyDescent="0.4">
      <c r="G3058" s="27">
        <f t="shared" si="56"/>
        <v>0</v>
      </c>
      <c r="H3058" s="28" t="e">
        <f>VLOOKUP(E3058,'Cadastro Produtos (kiwkiw)'!C:E,3,0)</f>
        <v>#N/A</v>
      </c>
    </row>
    <row r="3059" spans="7:8" ht="15" customHeight="1" x14ac:dyDescent="0.4">
      <c r="G3059" s="27">
        <f t="shared" si="56"/>
        <v>0</v>
      </c>
      <c r="H3059" s="28" t="e">
        <f>VLOOKUP(E3059,'Cadastro Produtos (kiwkiw)'!C:E,3,0)</f>
        <v>#N/A</v>
      </c>
    </row>
    <row r="3060" spans="7:8" ht="15" customHeight="1" x14ac:dyDescent="0.4">
      <c r="G3060" s="27">
        <f t="shared" si="56"/>
        <v>0</v>
      </c>
      <c r="H3060" s="28" t="e">
        <f>VLOOKUP(E3060,'Cadastro Produtos (kiwkiw)'!C:E,3,0)</f>
        <v>#N/A</v>
      </c>
    </row>
    <row r="3061" spans="7:8" ht="15" customHeight="1" x14ac:dyDescent="0.4">
      <c r="G3061" s="27">
        <f t="shared" si="56"/>
        <v>0</v>
      </c>
      <c r="H3061" s="28" t="e">
        <f>VLOOKUP(E3061,'Cadastro Produtos (kiwkiw)'!C:E,3,0)</f>
        <v>#N/A</v>
      </c>
    </row>
    <row r="3062" spans="7:8" ht="15" customHeight="1" x14ac:dyDescent="0.4">
      <c r="G3062" s="27">
        <f t="shared" si="56"/>
        <v>0</v>
      </c>
      <c r="H3062" s="28" t="e">
        <f>VLOOKUP(E3062,'Cadastro Produtos (kiwkiw)'!C:E,3,0)</f>
        <v>#N/A</v>
      </c>
    </row>
    <row r="3063" spans="7:8" ht="15" customHeight="1" x14ac:dyDescent="0.4">
      <c r="G3063" s="27">
        <f t="shared" ref="G3063:G3126" si="57">IF(C3063="Entrada",F3063,-F3063)</f>
        <v>0</v>
      </c>
      <c r="H3063" s="28" t="e">
        <f>VLOOKUP(E3063,'Cadastro Produtos (kiwkiw)'!C:E,3,0)</f>
        <v>#N/A</v>
      </c>
    </row>
    <row r="3064" spans="7:8" ht="15" customHeight="1" x14ac:dyDescent="0.4">
      <c r="G3064" s="27">
        <f t="shared" si="57"/>
        <v>0</v>
      </c>
      <c r="H3064" s="28" t="e">
        <f>VLOOKUP(E3064,'Cadastro Produtos (kiwkiw)'!C:E,3,0)</f>
        <v>#N/A</v>
      </c>
    </row>
    <row r="3065" spans="7:8" ht="15" customHeight="1" x14ac:dyDescent="0.4">
      <c r="G3065" s="27">
        <f t="shared" si="57"/>
        <v>0</v>
      </c>
      <c r="H3065" s="28" t="e">
        <f>VLOOKUP(E3065,'Cadastro Produtos (kiwkiw)'!C:E,3,0)</f>
        <v>#N/A</v>
      </c>
    </row>
    <row r="3066" spans="7:8" ht="15" customHeight="1" x14ac:dyDescent="0.4">
      <c r="G3066" s="27">
        <f t="shared" si="57"/>
        <v>0</v>
      </c>
      <c r="H3066" s="28" t="e">
        <f>VLOOKUP(E3066,'Cadastro Produtos (kiwkiw)'!C:E,3,0)</f>
        <v>#N/A</v>
      </c>
    </row>
    <row r="3067" spans="7:8" ht="15" customHeight="1" x14ac:dyDescent="0.4">
      <c r="G3067" s="27">
        <f t="shared" si="57"/>
        <v>0</v>
      </c>
      <c r="H3067" s="28" t="e">
        <f>VLOOKUP(E3067,'Cadastro Produtos (kiwkiw)'!C:E,3,0)</f>
        <v>#N/A</v>
      </c>
    </row>
    <row r="3068" spans="7:8" ht="15" customHeight="1" x14ac:dyDescent="0.4">
      <c r="G3068" s="27">
        <f t="shared" si="57"/>
        <v>0</v>
      </c>
      <c r="H3068" s="28" t="e">
        <f>VLOOKUP(E3068,'Cadastro Produtos (kiwkiw)'!C:E,3,0)</f>
        <v>#N/A</v>
      </c>
    </row>
    <row r="3069" spans="7:8" ht="15" customHeight="1" x14ac:dyDescent="0.4">
      <c r="G3069" s="27">
        <f t="shared" si="57"/>
        <v>0</v>
      </c>
      <c r="H3069" s="28" t="e">
        <f>VLOOKUP(E3069,'Cadastro Produtos (kiwkiw)'!C:E,3,0)</f>
        <v>#N/A</v>
      </c>
    </row>
    <row r="3070" spans="7:8" ht="15" customHeight="1" x14ac:dyDescent="0.4">
      <c r="G3070" s="27">
        <f t="shared" si="57"/>
        <v>0</v>
      </c>
      <c r="H3070" s="28" t="e">
        <f>VLOOKUP(E3070,'Cadastro Produtos (kiwkiw)'!C:E,3,0)</f>
        <v>#N/A</v>
      </c>
    </row>
    <row r="3071" spans="7:8" ht="15" customHeight="1" x14ac:dyDescent="0.4">
      <c r="G3071" s="27">
        <f t="shared" si="57"/>
        <v>0</v>
      </c>
      <c r="H3071" s="28" t="e">
        <f>VLOOKUP(E3071,'Cadastro Produtos (kiwkiw)'!C:E,3,0)</f>
        <v>#N/A</v>
      </c>
    </row>
    <row r="3072" spans="7:8" ht="15" customHeight="1" x14ac:dyDescent="0.4">
      <c r="G3072" s="27">
        <f t="shared" si="57"/>
        <v>0</v>
      </c>
      <c r="H3072" s="28" t="e">
        <f>VLOOKUP(E3072,'Cadastro Produtos (kiwkiw)'!C:E,3,0)</f>
        <v>#N/A</v>
      </c>
    </row>
    <row r="3073" spans="7:8" ht="15" customHeight="1" x14ac:dyDescent="0.4">
      <c r="G3073" s="27">
        <f t="shared" si="57"/>
        <v>0</v>
      </c>
      <c r="H3073" s="28" t="e">
        <f>VLOOKUP(E3073,'Cadastro Produtos (kiwkiw)'!C:E,3,0)</f>
        <v>#N/A</v>
      </c>
    </row>
    <row r="3074" spans="7:8" ht="15" customHeight="1" x14ac:dyDescent="0.4">
      <c r="G3074" s="27">
        <f t="shared" si="57"/>
        <v>0</v>
      </c>
      <c r="H3074" s="28" t="e">
        <f>VLOOKUP(E3074,'Cadastro Produtos (kiwkiw)'!C:E,3,0)</f>
        <v>#N/A</v>
      </c>
    </row>
    <row r="3075" spans="7:8" ht="15" customHeight="1" x14ac:dyDescent="0.4">
      <c r="G3075" s="27">
        <f t="shared" si="57"/>
        <v>0</v>
      </c>
      <c r="H3075" s="28" t="e">
        <f>VLOOKUP(E3075,'Cadastro Produtos (kiwkiw)'!C:E,3,0)</f>
        <v>#N/A</v>
      </c>
    </row>
    <row r="3076" spans="7:8" ht="15" customHeight="1" x14ac:dyDescent="0.4">
      <c r="G3076" s="27">
        <f t="shared" si="57"/>
        <v>0</v>
      </c>
      <c r="H3076" s="28" t="e">
        <f>VLOOKUP(E3076,'Cadastro Produtos (kiwkiw)'!C:E,3,0)</f>
        <v>#N/A</v>
      </c>
    </row>
    <row r="3077" spans="7:8" ht="15" customHeight="1" x14ac:dyDescent="0.4">
      <c r="G3077" s="27">
        <f t="shared" si="57"/>
        <v>0</v>
      </c>
      <c r="H3077" s="28" t="e">
        <f>VLOOKUP(E3077,'Cadastro Produtos (kiwkiw)'!C:E,3,0)</f>
        <v>#N/A</v>
      </c>
    </row>
    <row r="3078" spans="7:8" ht="15" customHeight="1" x14ac:dyDescent="0.4">
      <c r="G3078" s="27">
        <f t="shared" si="57"/>
        <v>0</v>
      </c>
      <c r="H3078" s="28" t="e">
        <f>VLOOKUP(E3078,'Cadastro Produtos (kiwkiw)'!C:E,3,0)</f>
        <v>#N/A</v>
      </c>
    </row>
    <row r="3079" spans="7:8" ht="15" customHeight="1" x14ac:dyDescent="0.4">
      <c r="G3079" s="27">
        <f t="shared" si="57"/>
        <v>0</v>
      </c>
      <c r="H3079" s="28" t="e">
        <f>VLOOKUP(E3079,'Cadastro Produtos (kiwkiw)'!C:E,3,0)</f>
        <v>#N/A</v>
      </c>
    </row>
    <row r="3080" spans="7:8" ht="15" customHeight="1" x14ac:dyDescent="0.4">
      <c r="G3080" s="27">
        <f t="shared" si="57"/>
        <v>0</v>
      </c>
      <c r="H3080" s="28" t="e">
        <f>VLOOKUP(E3080,'Cadastro Produtos (kiwkiw)'!C:E,3,0)</f>
        <v>#N/A</v>
      </c>
    </row>
    <row r="3081" spans="7:8" ht="15" customHeight="1" x14ac:dyDescent="0.4">
      <c r="G3081" s="27">
        <f t="shared" si="57"/>
        <v>0</v>
      </c>
      <c r="H3081" s="28" t="e">
        <f>VLOOKUP(E3081,'Cadastro Produtos (kiwkiw)'!C:E,3,0)</f>
        <v>#N/A</v>
      </c>
    </row>
    <row r="3082" spans="7:8" ht="15" customHeight="1" x14ac:dyDescent="0.4">
      <c r="G3082" s="27">
        <f t="shared" si="57"/>
        <v>0</v>
      </c>
      <c r="H3082" s="28" t="e">
        <f>VLOOKUP(E3082,'Cadastro Produtos (kiwkiw)'!C:E,3,0)</f>
        <v>#N/A</v>
      </c>
    </row>
    <row r="3083" spans="7:8" ht="15" customHeight="1" x14ac:dyDescent="0.4">
      <c r="G3083" s="27">
        <f t="shared" si="57"/>
        <v>0</v>
      </c>
      <c r="H3083" s="28" t="e">
        <f>VLOOKUP(E3083,'Cadastro Produtos (kiwkiw)'!C:E,3,0)</f>
        <v>#N/A</v>
      </c>
    </row>
    <row r="3084" spans="7:8" ht="15" customHeight="1" x14ac:dyDescent="0.4">
      <c r="G3084" s="27">
        <f t="shared" si="57"/>
        <v>0</v>
      </c>
      <c r="H3084" s="28" t="e">
        <f>VLOOKUP(E3084,'Cadastro Produtos (kiwkiw)'!C:E,3,0)</f>
        <v>#N/A</v>
      </c>
    </row>
    <row r="3085" spans="7:8" ht="15" customHeight="1" x14ac:dyDescent="0.4">
      <c r="G3085" s="27">
        <f t="shared" si="57"/>
        <v>0</v>
      </c>
      <c r="H3085" s="28" t="e">
        <f>VLOOKUP(E3085,'Cadastro Produtos (kiwkiw)'!C:E,3,0)</f>
        <v>#N/A</v>
      </c>
    </row>
    <row r="3086" spans="7:8" ht="15" customHeight="1" x14ac:dyDescent="0.4">
      <c r="G3086" s="27">
        <f t="shared" si="57"/>
        <v>0</v>
      </c>
      <c r="H3086" s="28" t="e">
        <f>VLOOKUP(E3086,'Cadastro Produtos (kiwkiw)'!C:E,3,0)</f>
        <v>#N/A</v>
      </c>
    </row>
    <row r="3087" spans="7:8" ht="15" customHeight="1" x14ac:dyDescent="0.4">
      <c r="G3087" s="27">
        <f t="shared" si="57"/>
        <v>0</v>
      </c>
      <c r="H3087" s="28" t="e">
        <f>VLOOKUP(E3087,'Cadastro Produtos (kiwkiw)'!C:E,3,0)</f>
        <v>#N/A</v>
      </c>
    </row>
    <row r="3088" spans="7:8" ht="15" customHeight="1" x14ac:dyDescent="0.4">
      <c r="G3088" s="27">
        <f t="shared" si="57"/>
        <v>0</v>
      </c>
      <c r="H3088" s="28" t="e">
        <f>VLOOKUP(E3088,'Cadastro Produtos (kiwkiw)'!C:E,3,0)</f>
        <v>#N/A</v>
      </c>
    </row>
    <row r="3089" spans="7:8" ht="15" customHeight="1" x14ac:dyDescent="0.4">
      <c r="G3089" s="27">
        <f t="shared" si="57"/>
        <v>0</v>
      </c>
      <c r="H3089" s="28" t="e">
        <f>VLOOKUP(E3089,'Cadastro Produtos (kiwkiw)'!C:E,3,0)</f>
        <v>#N/A</v>
      </c>
    </row>
    <row r="3090" spans="7:8" ht="15" customHeight="1" x14ac:dyDescent="0.4">
      <c r="G3090" s="27">
        <f t="shared" si="57"/>
        <v>0</v>
      </c>
      <c r="H3090" s="28" t="e">
        <f>VLOOKUP(E3090,'Cadastro Produtos (kiwkiw)'!C:E,3,0)</f>
        <v>#N/A</v>
      </c>
    </row>
    <row r="3091" spans="7:8" ht="15" customHeight="1" x14ac:dyDescent="0.4">
      <c r="G3091" s="27">
        <f t="shared" si="57"/>
        <v>0</v>
      </c>
      <c r="H3091" s="28" t="e">
        <f>VLOOKUP(E3091,'Cadastro Produtos (kiwkiw)'!C:E,3,0)</f>
        <v>#N/A</v>
      </c>
    </row>
    <row r="3092" spans="7:8" ht="15" customHeight="1" x14ac:dyDescent="0.4">
      <c r="G3092" s="27">
        <f t="shared" si="57"/>
        <v>0</v>
      </c>
      <c r="H3092" s="28" t="e">
        <f>VLOOKUP(E3092,'Cadastro Produtos (kiwkiw)'!C:E,3,0)</f>
        <v>#N/A</v>
      </c>
    </row>
    <row r="3093" spans="7:8" ht="15" customHeight="1" x14ac:dyDescent="0.4">
      <c r="G3093" s="27">
        <f t="shared" si="57"/>
        <v>0</v>
      </c>
      <c r="H3093" s="28" t="e">
        <f>VLOOKUP(E3093,'Cadastro Produtos (kiwkiw)'!C:E,3,0)</f>
        <v>#N/A</v>
      </c>
    </row>
    <row r="3094" spans="7:8" ht="15" customHeight="1" x14ac:dyDescent="0.4">
      <c r="G3094" s="27">
        <f t="shared" si="57"/>
        <v>0</v>
      </c>
      <c r="H3094" s="28" t="e">
        <f>VLOOKUP(E3094,'Cadastro Produtos (kiwkiw)'!C:E,3,0)</f>
        <v>#N/A</v>
      </c>
    </row>
    <row r="3095" spans="7:8" ht="15" customHeight="1" x14ac:dyDescent="0.4">
      <c r="G3095" s="27">
        <f t="shared" si="57"/>
        <v>0</v>
      </c>
      <c r="H3095" s="28" t="e">
        <f>VLOOKUP(E3095,'Cadastro Produtos (kiwkiw)'!C:E,3,0)</f>
        <v>#N/A</v>
      </c>
    </row>
    <row r="3096" spans="7:8" ht="15" customHeight="1" x14ac:dyDescent="0.4">
      <c r="G3096" s="27">
        <f t="shared" si="57"/>
        <v>0</v>
      </c>
      <c r="H3096" s="28" t="e">
        <f>VLOOKUP(E3096,'Cadastro Produtos (kiwkiw)'!C:E,3,0)</f>
        <v>#N/A</v>
      </c>
    </row>
    <row r="3097" spans="7:8" ht="15" customHeight="1" x14ac:dyDescent="0.4">
      <c r="G3097" s="27">
        <f t="shared" si="57"/>
        <v>0</v>
      </c>
      <c r="H3097" s="28" t="e">
        <f>VLOOKUP(E3097,'Cadastro Produtos (kiwkiw)'!C:E,3,0)</f>
        <v>#N/A</v>
      </c>
    </row>
    <row r="3098" spans="7:8" ht="15" customHeight="1" x14ac:dyDescent="0.4">
      <c r="G3098" s="27">
        <f t="shared" si="57"/>
        <v>0</v>
      </c>
      <c r="H3098" s="28" t="e">
        <f>VLOOKUP(E3098,'Cadastro Produtos (kiwkiw)'!C:E,3,0)</f>
        <v>#N/A</v>
      </c>
    </row>
    <row r="3099" spans="7:8" ht="15" customHeight="1" x14ac:dyDescent="0.4">
      <c r="G3099" s="27">
        <f t="shared" si="57"/>
        <v>0</v>
      </c>
      <c r="H3099" s="28" t="e">
        <f>VLOOKUP(E3099,'Cadastro Produtos (kiwkiw)'!C:E,3,0)</f>
        <v>#N/A</v>
      </c>
    </row>
    <row r="3100" spans="7:8" ht="15" customHeight="1" x14ac:dyDescent="0.4">
      <c r="G3100" s="27">
        <f t="shared" si="57"/>
        <v>0</v>
      </c>
      <c r="H3100" s="28" t="e">
        <f>VLOOKUP(E3100,'Cadastro Produtos (kiwkiw)'!C:E,3,0)</f>
        <v>#N/A</v>
      </c>
    </row>
    <row r="3101" spans="7:8" ht="15" customHeight="1" x14ac:dyDescent="0.4">
      <c r="G3101" s="27">
        <f t="shared" si="57"/>
        <v>0</v>
      </c>
      <c r="H3101" s="28" t="e">
        <f>VLOOKUP(E3101,'Cadastro Produtos (kiwkiw)'!C:E,3,0)</f>
        <v>#N/A</v>
      </c>
    </row>
    <row r="3102" spans="7:8" ht="15" customHeight="1" x14ac:dyDescent="0.4">
      <c r="G3102" s="27">
        <f t="shared" si="57"/>
        <v>0</v>
      </c>
      <c r="H3102" s="28" t="e">
        <f>VLOOKUP(E3102,'Cadastro Produtos (kiwkiw)'!C:E,3,0)</f>
        <v>#N/A</v>
      </c>
    </row>
    <row r="3103" spans="7:8" ht="15" customHeight="1" x14ac:dyDescent="0.4">
      <c r="G3103" s="27">
        <f t="shared" si="57"/>
        <v>0</v>
      </c>
      <c r="H3103" s="28" t="e">
        <f>VLOOKUP(E3103,'Cadastro Produtos (kiwkiw)'!C:E,3,0)</f>
        <v>#N/A</v>
      </c>
    </row>
    <row r="3104" spans="7:8" ht="15" customHeight="1" x14ac:dyDescent="0.4">
      <c r="G3104" s="27">
        <f t="shared" si="57"/>
        <v>0</v>
      </c>
      <c r="H3104" s="28" t="e">
        <f>VLOOKUP(E3104,'Cadastro Produtos (kiwkiw)'!C:E,3,0)</f>
        <v>#N/A</v>
      </c>
    </row>
    <row r="3105" spans="7:8" ht="15" customHeight="1" x14ac:dyDescent="0.4">
      <c r="G3105" s="27">
        <f t="shared" si="57"/>
        <v>0</v>
      </c>
      <c r="H3105" s="28" t="e">
        <f>VLOOKUP(E3105,'Cadastro Produtos (kiwkiw)'!C:E,3,0)</f>
        <v>#N/A</v>
      </c>
    </row>
    <row r="3106" spans="7:8" ht="15" customHeight="1" x14ac:dyDescent="0.4">
      <c r="G3106" s="27">
        <f t="shared" si="57"/>
        <v>0</v>
      </c>
      <c r="H3106" s="28" t="e">
        <f>VLOOKUP(E3106,'Cadastro Produtos (kiwkiw)'!C:E,3,0)</f>
        <v>#N/A</v>
      </c>
    </row>
    <row r="3107" spans="7:8" ht="15" customHeight="1" x14ac:dyDescent="0.4">
      <c r="G3107" s="27">
        <f t="shared" si="57"/>
        <v>0</v>
      </c>
      <c r="H3107" s="28" t="e">
        <f>VLOOKUP(E3107,'Cadastro Produtos (kiwkiw)'!C:E,3,0)</f>
        <v>#N/A</v>
      </c>
    </row>
    <row r="3108" spans="7:8" ht="15" customHeight="1" x14ac:dyDescent="0.4">
      <c r="G3108" s="27">
        <f t="shared" si="57"/>
        <v>0</v>
      </c>
      <c r="H3108" s="28" t="e">
        <f>VLOOKUP(E3108,'Cadastro Produtos (kiwkiw)'!C:E,3,0)</f>
        <v>#N/A</v>
      </c>
    </row>
    <row r="3109" spans="7:8" ht="15" customHeight="1" x14ac:dyDescent="0.4">
      <c r="G3109" s="27">
        <f t="shared" si="57"/>
        <v>0</v>
      </c>
      <c r="H3109" s="28" t="e">
        <f>VLOOKUP(E3109,'Cadastro Produtos (kiwkiw)'!C:E,3,0)</f>
        <v>#N/A</v>
      </c>
    </row>
    <row r="3110" spans="7:8" ht="15" customHeight="1" x14ac:dyDescent="0.4">
      <c r="G3110" s="27">
        <f t="shared" si="57"/>
        <v>0</v>
      </c>
      <c r="H3110" s="28" t="e">
        <f>VLOOKUP(E3110,'Cadastro Produtos (kiwkiw)'!C:E,3,0)</f>
        <v>#N/A</v>
      </c>
    </row>
    <row r="3111" spans="7:8" ht="15" customHeight="1" x14ac:dyDescent="0.4">
      <c r="G3111" s="27">
        <f t="shared" si="57"/>
        <v>0</v>
      </c>
      <c r="H3111" s="28" t="e">
        <f>VLOOKUP(E3111,'Cadastro Produtos (kiwkiw)'!C:E,3,0)</f>
        <v>#N/A</v>
      </c>
    </row>
    <row r="3112" spans="7:8" ht="15" customHeight="1" x14ac:dyDescent="0.4">
      <c r="G3112" s="27">
        <f t="shared" si="57"/>
        <v>0</v>
      </c>
      <c r="H3112" s="28" t="e">
        <f>VLOOKUP(E3112,'Cadastro Produtos (kiwkiw)'!C:E,3,0)</f>
        <v>#N/A</v>
      </c>
    </row>
    <row r="3113" spans="7:8" ht="15" customHeight="1" x14ac:dyDescent="0.4">
      <c r="G3113" s="27">
        <f t="shared" si="57"/>
        <v>0</v>
      </c>
      <c r="H3113" s="28" t="e">
        <f>VLOOKUP(E3113,'Cadastro Produtos (kiwkiw)'!C:E,3,0)</f>
        <v>#N/A</v>
      </c>
    </row>
    <row r="3114" spans="7:8" ht="15" customHeight="1" x14ac:dyDescent="0.4">
      <c r="G3114" s="27">
        <f t="shared" si="57"/>
        <v>0</v>
      </c>
      <c r="H3114" s="28" t="e">
        <f>VLOOKUP(E3114,'Cadastro Produtos (kiwkiw)'!C:E,3,0)</f>
        <v>#N/A</v>
      </c>
    </row>
    <row r="3115" spans="7:8" ht="15" customHeight="1" x14ac:dyDescent="0.4">
      <c r="G3115" s="27">
        <f t="shared" si="57"/>
        <v>0</v>
      </c>
      <c r="H3115" s="28" t="e">
        <f>VLOOKUP(E3115,'Cadastro Produtos (kiwkiw)'!C:E,3,0)</f>
        <v>#N/A</v>
      </c>
    </row>
    <row r="3116" spans="7:8" ht="15" customHeight="1" x14ac:dyDescent="0.4">
      <c r="G3116" s="27">
        <f t="shared" si="57"/>
        <v>0</v>
      </c>
      <c r="H3116" s="28" t="e">
        <f>VLOOKUP(E3116,'Cadastro Produtos (kiwkiw)'!C:E,3,0)</f>
        <v>#N/A</v>
      </c>
    </row>
    <row r="3117" spans="7:8" ht="15" customHeight="1" x14ac:dyDescent="0.4">
      <c r="G3117" s="27">
        <f t="shared" si="57"/>
        <v>0</v>
      </c>
      <c r="H3117" s="28" t="e">
        <f>VLOOKUP(E3117,'Cadastro Produtos (kiwkiw)'!C:E,3,0)</f>
        <v>#N/A</v>
      </c>
    </row>
    <row r="3118" spans="7:8" ht="15" customHeight="1" x14ac:dyDescent="0.4">
      <c r="G3118" s="27">
        <f t="shared" si="57"/>
        <v>0</v>
      </c>
      <c r="H3118" s="28" t="e">
        <f>VLOOKUP(E3118,'Cadastro Produtos (kiwkiw)'!C:E,3,0)</f>
        <v>#N/A</v>
      </c>
    </row>
    <row r="3119" spans="7:8" ht="15" customHeight="1" x14ac:dyDescent="0.4">
      <c r="G3119" s="27">
        <f t="shared" si="57"/>
        <v>0</v>
      </c>
      <c r="H3119" s="28" t="e">
        <f>VLOOKUP(E3119,'Cadastro Produtos (kiwkiw)'!C:E,3,0)</f>
        <v>#N/A</v>
      </c>
    </row>
    <row r="3120" spans="7:8" ht="15" customHeight="1" x14ac:dyDescent="0.4">
      <c r="G3120" s="27">
        <f t="shared" si="57"/>
        <v>0</v>
      </c>
      <c r="H3120" s="28" t="e">
        <f>VLOOKUP(E3120,'Cadastro Produtos (kiwkiw)'!C:E,3,0)</f>
        <v>#N/A</v>
      </c>
    </row>
    <row r="3121" spans="7:8" ht="15" customHeight="1" x14ac:dyDescent="0.4">
      <c r="G3121" s="27">
        <f t="shared" si="57"/>
        <v>0</v>
      </c>
      <c r="H3121" s="28" t="e">
        <f>VLOOKUP(E3121,'Cadastro Produtos (kiwkiw)'!C:E,3,0)</f>
        <v>#N/A</v>
      </c>
    </row>
    <row r="3122" spans="7:8" ht="15" customHeight="1" x14ac:dyDescent="0.4">
      <c r="G3122" s="27">
        <f t="shared" si="57"/>
        <v>0</v>
      </c>
      <c r="H3122" s="28" t="e">
        <f>VLOOKUP(E3122,'Cadastro Produtos (kiwkiw)'!C:E,3,0)</f>
        <v>#N/A</v>
      </c>
    </row>
    <row r="3123" spans="7:8" ht="15" customHeight="1" x14ac:dyDescent="0.4">
      <c r="G3123" s="27">
        <f t="shared" si="57"/>
        <v>0</v>
      </c>
      <c r="H3123" s="28" t="e">
        <f>VLOOKUP(E3123,'Cadastro Produtos (kiwkiw)'!C:E,3,0)</f>
        <v>#N/A</v>
      </c>
    </row>
    <row r="3124" spans="7:8" ht="15" customHeight="1" x14ac:dyDescent="0.4">
      <c r="G3124" s="27">
        <f t="shared" si="57"/>
        <v>0</v>
      </c>
      <c r="H3124" s="28" t="e">
        <f>VLOOKUP(E3124,'Cadastro Produtos (kiwkiw)'!C:E,3,0)</f>
        <v>#N/A</v>
      </c>
    </row>
    <row r="3125" spans="7:8" ht="15" customHeight="1" x14ac:dyDescent="0.4">
      <c r="G3125" s="27">
        <f t="shared" si="57"/>
        <v>0</v>
      </c>
      <c r="H3125" s="28" t="e">
        <f>VLOOKUP(E3125,'Cadastro Produtos (kiwkiw)'!C:E,3,0)</f>
        <v>#N/A</v>
      </c>
    </row>
    <row r="3126" spans="7:8" ht="15" customHeight="1" x14ac:dyDescent="0.4">
      <c r="G3126" s="27">
        <f t="shared" si="57"/>
        <v>0</v>
      </c>
      <c r="H3126" s="28" t="e">
        <f>VLOOKUP(E3126,'Cadastro Produtos (kiwkiw)'!C:E,3,0)</f>
        <v>#N/A</v>
      </c>
    </row>
    <row r="3127" spans="7:8" ht="15" customHeight="1" x14ac:dyDescent="0.4">
      <c r="G3127" s="27">
        <f t="shared" ref="G3127:G3190" si="58">IF(C3127="Entrada",F3127,-F3127)</f>
        <v>0</v>
      </c>
      <c r="H3127" s="28" t="e">
        <f>VLOOKUP(E3127,'Cadastro Produtos (kiwkiw)'!C:E,3,0)</f>
        <v>#N/A</v>
      </c>
    </row>
    <row r="3128" spans="7:8" ht="15" customHeight="1" x14ac:dyDescent="0.4">
      <c r="G3128" s="27">
        <f t="shared" si="58"/>
        <v>0</v>
      </c>
      <c r="H3128" s="28" t="e">
        <f>VLOOKUP(E3128,'Cadastro Produtos (kiwkiw)'!C:E,3,0)</f>
        <v>#N/A</v>
      </c>
    </row>
    <row r="3129" spans="7:8" ht="15" customHeight="1" x14ac:dyDescent="0.4">
      <c r="G3129" s="27">
        <f t="shared" si="58"/>
        <v>0</v>
      </c>
      <c r="H3129" s="28" t="e">
        <f>VLOOKUP(E3129,'Cadastro Produtos (kiwkiw)'!C:E,3,0)</f>
        <v>#N/A</v>
      </c>
    </row>
    <row r="3130" spans="7:8" ht="15" customHeight="1" x14ac:dyDescent="0.4">
      <c r="G3130" s="27">
        <f t="shared" si="58"/>
        <v>0</v>
      </c>
      <c r="H3130" s="28" t="e">
        <f>VLOOKUP(E3130,'Cadastro Produtos (kiwkiw)'!C:E,3,0)</f>
        <v>#N/A</v>
      </c>
    </row>
    <row r="3131" spans="7:8" ht="15" customHeight="1" x14ac:dyDescent="0.4">
      <c r="G3131" s="27">
        <f t="shared" si="58"/>
        <v>0</v>
      </c>
      <c r="H3131" s="28" t="e">
        <f>VLOOKUP(E3131,'Cadastro Produtos (kiwkiw)'!C:E,3,0)</f>
        <v>#N/A</v>
      </c>
    </row>
    <row r="3132" spans="7:8" ht="15" customHeight="1" x14ac:dyDescent="0.4">
      <c r="G3132" s="27">
        <f t="shared" si="58"/>
        <v>0</v>
      </c>
      <c r="H3132" s="28" t="e">
        <f>VLOOKUP(E3132,'Cadastro Produtos (kiwkiw)'!C:E,3,0)</f>
        <v>#N/A</v>
      </c>
    </row>
    <row r="3133" spans="7:8" ht="15" customHeight="1" x14ac:dyDescent="0.4">
      <c r="G3133" s="27">
        <f t="shared" si="58"/>
        <v>0</v>
      </c>
      <c r="H3133" s="28" t="e">
        <f>VLOOKUP(E3133,'Cadastro Produtos (kiwkiw)'!C:E,3,0)</f>
        <v>#N/A</v>
      </c>
    </row>
    <row r="3134" spans="7:8" ht="15" customHeight="1" x14ac:dyDescent="0.4">
      <c r="G3134" s="27">
        <f t="shared" si="58"/>
        <v>0</v>
      </c>
      <c r="H3134" s="28" t="e">
        <f>VLOOKUP(E3134,'Cadastro Produtos (kiwkiw)'!C:E,3,0)</f>
        <v>#N/A</v>
      </c>
    </row>
    <row r="3135" spans="7:8" ht="15" customHeight="1" x14ac:dyDescent="0.4">
      <c r="G3135" s="27">
        <f t="shared" si="58"/>
        <v>0</v>
      </c>
      <c r="H3135" s="28" t="e">
        <f>VLOOKUP(E3135,'Cadastro Produtos (kiwkiw)'!C:E,3,0)</f>
        <v>#N/A</v>
      </c>
    </row>
    <row r="3136" spans="7:8" ht="15" customHeight="1" x14ac:dyDescent="0.4">
      <c r="G3136" s="27">
        <f t="shared" si="58"/>
        <v>0</v>
      </c>
      <c r="H3136" s="28" t="e">
        <f>VLOOKUP(E3136,'Cadastro Produtos (kiwkiw)'!C:E,3,0)</f>
        <v>#N/A</v>
      </c>
    </row>
    <row r="3137" spans="7:8" ht="15" customHeight="1" x14ac:dyDescent="0.4">
      <c r="G3137" s="27">
        <f t="shared" si="58"/>
        <v>0</v>
      </c>
      <c r="H3137" s="28" t="e">
        <f>VLOOKUP(E3137,'Cadastro Produtos (kiwkiw)'!C:E,3,0)</f>
        <v>#N/A</v>
      </c>
    </row>
    <row r="3138" spans="7:8" ht="15" customHeight="1" x14ac:dyDescent="0.4">
      <c r="G3138" s="27">
        <f t="shared" si="58"/>
        <v>0</v>
      </c>
      <c r="H3138" s="28" t="e">
        <f>VLOOKUP(E3138,'Cadastro Produtos (kiwkiw)'!C:E,3,0)</f>
        <v>#N/A</v>
      </c>
    </row>
    <row r="3139" spans="7:8" ht="15" customHeight="1" x14ac:dyDescent="0.4">
      <c r="G3139" s="27">
        <f t="shared" si="58"/>
        <v>0</v>
      </c>
      <c r="H3139" s="28" t="e">
        <f>VLOOKUP(E3139,'Cadastro Produtos (kiwkiw)'!C:E,3,0)</f>
        <v>#N/A</v>
      </c>
    </row>
    <row r="3140" spans="7:8" ht="15" customHeight="1" x14ac:dyDescent="0.4">
      <c r="G3140" s="27">
        <f t="shared" si="58"/>
        <v>0</v>
      </c>
      <c r="H3140" s="28" t="e">
        <f>VLOOKUP(E3140,'Cadastro Produtos (kiwkiw)'!C:E,3,0)</f>
        <v>#N/A</v>
      </c>
    </row>
    <row r="3141" spans="7:8" ht="15" customHeight="1" x14ac:dyDescent="0.4">
      <c r="G3141" s="27">
        <f t="shared" si="58"/>
        <v>0</v>
      </c>
      <c r="H3141" s="28" t="e">
        <f>VLOOKUP(E3141,'Cadastro Produtos (kiwkiw)'!C:E,3,0)</f>
        <v>#N/A</v>
      </c>
    </row>
    <row r="3142" spans="7:8" ht="15" customHeight="1" x14ac:dyDescent="0.4">
      <c r="G3142" s="27">
        <f t="shared" si="58"/>
        <v>0</v>
      </c>
      <c r="H3142" s="28" t="e">
        <f>VLOOKUP(E3142,'Cadastro Produtos (kiwkiw)'!C:E,3,0)</f>
        <v>#N/A</v>
      </c>
    </row>
    <row r="3143" spans="7:8" ht="15" customHeight="1" x14ac:dyDescent="0.4">
      <c r="G3143" s="27">
        <f t="shared" si="58"/>
        <v>0</v>
      </c>
      <c r="H3143" s="28" t="e">
        <f>VLOOKUP(E3143,'Cadastro Produtos (kiwkiw)'!C:E,3,0)</f>
        <v>#N/A</v>
      </c>
    </row>
    <row r="3144" spans="7:8" ht="15" customHeight="1" x14ac:dyDescent="0.4">
      <c r="G3144" s="27">
        <f t="shared" si="58"/>
        <v>0</v>
      </c>
      <c r="H3144" s="28" t="e">
        <f>VLOOKUP(E3144,'Cadastro Produtos (kiwkiw)'!C:E,3,0)</f>
        <v>#N/A</v>
      </c>
    </row>
    <row r="3145" spans="7:8" ht="15" customHeight="1" x14ac:dyDescent="0.4">
      <c r="G3145" s="27">
        <f t="shared" si="58"/>
        <v>0</v>
      </c>
      <c r="H3145" s="28" t="e">
        <f>VLOOKUP(E3145,'Cadastro Produtos (kiwkiw)'!C:E,3,0)</f>
        <v>#N/A</v>
      </c>
    </row>
    <row r="3146" spans="7:8" ht="15" customHeight="1" x14ac:dyDescent="0.4">
      <c r="G3146" s="27">
        <f t="shared" si="58"/>
        <v>0</v>
      </c>
      <c r="H3146" s="28" t="e">
        <f>VLOOKUP(E3146,'Cadastro Produtos (kiwkiw)'!C:E,3,0)</f>
        <v>#N/A</v>
      </c>
    </row>
    <row r="3147" spans="7:8" ht="15" customHeight="1" x14ac:dyDescent="0.4">
      <c r="G3147" s="27">
        <f t="shared" si="58"/>
        <v>0</v>
      </c>
      <c r="H3147" s="28" t="e">
        <f>VLOOKUP(E3147,'Cadastro Produtos (kiwkiw)'!C:E,3,0)</f>
        <v>#N/A</v>
      </c>
    </row>
    <row r="3148" spans="7:8" ht="15" customHeight="1" x14ac:dyDescent="0.4">
      <c r="G3148" s="27">
        <f t="shared" si="58"/>
        <v>0</v>
      </c>
      <c r="H3148" s="28" t="e">
        <f>VLOOKUP(E3148,'Cadastro Produtos (kiwkiw)'!C:E,3,0)</f>
        <v>#N/A</v>
      </c>
    </row>
    <row r="3149" spans="7:8" ht="15" customHeight="1" x14ac:dyDescent="0.4">
      <c r="G3149" s="27">
        <f t="shared" si="58"/>
        <v>0</v>
      </c>
      <c r="H3149" s="28" t="e">
        <f>VLOOKUP(E3149,'Cadastro Produtos (kiwkiw)'!C:E,3,0)</f>
        <v>#N/A</v>
      </c>
    </row>
    <row r="3150" spans="7:8" ht="15" customHeight="1" x14ac:dyDescent="0.4">
      <c r="G3150" s="27">
        <f t="shared" si="58"/>
        <v>0</v>
      </c>
      <c r="H3150" s="28" t="e">
        <f>VLOOKUP(E3150,'Cadastro Produtos (kiwkiw)'!C:E,3,0)</f>
        <v>#N/A</v>
      </c>
    </row>
    <row r="3151" spans="7:8" ht="15" customHeight="1" x14ac:dyDescent="0.4">
      <c r="G3151" s="27">
        <f t="shared" si="58"/>
        <v>0</v>
      </c>
      <c r="H3151" s="28" t="e">
        <f>VLOOKUP(E3151,'Cadastro Produtos (kiwkiw)'!C:E,3,0)</f>
        <v>#N/A</v>
      </c>
    </row>
    <row r="3152" spans="7:8" ht="15" customHeight="1" x14ac:dyDescent="0.4">
      <c r="G3152" s="27">
        <f t="shared" si="58"/>
        <v>0</v>
      </c>
      <c r="H3152" s="28" t="e">
        <f>VLOOKUP(E3152,'Cadastro Produtos (kiwkiw)'!C:E,3,0)</f>
        <v>#N/A</v>
      </c>
    </row>
    <row r="3153" spans="7:8" ht="15" customHeight="1" x14ac:dyDescent="0.4">
      <c r="G3153" s="27">
        <f t="shared" si="58"/>
        <v>0</v>
      </c>
      <c r="H3153" s="28" t="e">
        <f>VLOOKUP(E3153,'Cadastro Produtos (kiwkiw)'!C:E,3,0)</f>
        <v>#N/A</v>
      </c>
    </row>
    <row r="3154" spans="7:8" ht="15" customHeight="1" x14ac:dyDescent="0.4">
      <c r="G3154" s="27">
        <f t="shared" si="58"/>
        <v>0</v>
      </c>
      <c r="H3154" s="28" t="e">
        <f>VLOOKUP(E3154,'Cadastro Produtos (kiwkiw)'!C:E,3,0)</f>
        <v>#N/A</v>
      </c>
    </row>
    <row r="3155" spans="7:8" ht="15" customHeight="1" x14ac:dyDescent="0.4">
      <c r="G3155" s="27">
        <f t="shared" si="58"/>
        <v>0</v>
      </c>
      <c r="H3155" s="28" t="e">
        <f>VLOOKUP(E3155,'Cadastro Produtos (kiwkiw)'!C:E,3,0)</f>
        <v>#N/A</v>
      </c>
    </row>
    <row r="3156" spans="7:8" ht="15" customHeight="1" x14ac:dyDescent="0.4">
      <c r="G3156" s="27">
        <f t="shared" si="58"/>
        <v>0</v>
      </c>
      <c r="H3156" s="28" t="e">
        <f>VLOOKUP(E3156,'Cadastro Produtos (kiwkiw)'!C:E,3,0)</f>
        <v>#N/A</v>
      </c>
    </row>
    <row r="3157" spans="7:8" ht="15" customHeight="1" x14ac:dyDescent="0.4">
      <c r="G3157" s="27">
        <f t="shared" si="58"/>
        <v>0</v>
      </c>
      <c r="H3157" s="28" t="e">
        <f>VLOOKUP(E3157,'Cadastro Produtos (kiwkiw)'!C:E,3,0)</f>
        <v>#N/A</v>
      </c>
    </row>
    <row r="3158" spans="7:8" ht="15" customHeight="1" x14ac:dyDescent="0.4">
      <c r="G3158" s="27">
        <f t="shared" si="58"/>
        <v>0</v>
      </c>
      <c r="H3158" s="28" t="e">
        <f>VLOOKUP(E3158,'Cadastro Produtos (kiwkiw)'!C:E,3,0)</f>
        <v>#N/A</v>
      </c>
    </row>
    <row r="3159" spans="7:8" ht="15" customHeight="1" x14ac:dyDescent="0.4">
      <c r="G3159" s="27">
        <f t="shared" si="58"/>
        <v>0</v>
      </c>
      <c r="H3159" s="28" t="e">
        <f>VLOOKUP(E3159,'Cadastro Produtos (kiwkiw)'!C:E,3,0)</f>
        <v>#N/A</v>
      </c>
    </row>
    <row r="3160" spans="7:8" ht="15" customHeight="1" x14ac:dyDescent="0.4">
      <c r="G3160" s="27">
        <f t="shared" si="58"/>
        <v>0</v>
      </c>
      <c r="H3160" s="28" t="e">
        <f>VLOOKUP(E3160,'Cadastro Produtos (kiwkiw)'!C:E,3,0)</f>
        <v>#N/A</v>
      </c>
    </row>
    <row r="3161" spans="7:8" ht="15" customHeight="1" x14ac:dyDescent="0.4">
      <c r="G3161" s="27">
        <f t="shared" si="58"/>
        <v>0</v>
      </c>
      <c r="H3161" s="28" t="e">
        <f>VLOOKUP(E3161,'Cadastro Produtos (kiwkiw)'!C:E,3,0)</f>
        <v>#N/A</v>
      </c>
    </row>
    <row r="3162" spans="7:8" ht="15" customHeight="1" x14ac:dyDescent="0.4">
      <c r="G3162" s="27">
        <f t="shared" si="58"/>
        <v>0</v>
      </c>
      <c r="H3162" s="28" t="e">
        <f>VLOOKUP(E3162,'Cadastro Produtos (kiwkiw)'!C:E,3,0)</f>
        <v>#N/A</v>
      </c>
    </row>
    <row r="3163" spans="7:8" ht="15" customHeight="1" x14ac:dyDescent="0.4">
      <c r="G3163" s="27">
        <f t="shared" si="58"/>
        <v>0</v>
      </c>
      <c r="H3163" s="28" t="e">
        <f>VLOOKUP(E3163,'Cadastro Produtos (kiwkiw)'!C:E,3,0)</f>
        <v>#N/A</v>
      </c>
    </row>
    <row r="3164" spans="7:8" ht="15" customHeight="1" x14ac:dyDescent="0.4">
      <c r="G3164" s="27">
        <f t="shared" si="58"/>
        <v>0</v>
      </c>
      <c r="H3164" s="28" t="e">
        <f>VLOOKUP(E3164,'Cadastro Produtos (kiwkiw)'!C:E,3,0)</f>
        <v>#N/A</v>
      </c>
    </row>
    <row r="3165" spans="7:8" ht="15" customHeight="1" x14ac:dyDescent="0.4">
      <c r="G3165" s="27">
        <f t="shared" si="58"/>
        <v>0</v>
      </c>
      <c r="H3165" s="28" t="e">
        <f>VLOOKUP(E3165,'Cadastro Produtos (kiwkiw)'!C:E,3,0)</f>
        <v>#N/A</v>
      </c>
    </row>
    <row r="3166" spans="7:8" ht="15" customHeight="1" x14ac:dyDescent="0.4">
      <c r="G3166" s="27">
        <f t="shared" si="58"/>
        <v>0</v>
      </c>
      <c r="H3166" s="28" t="e">
        <f>VLOOKUP(E3166,'Cadastro Produtos (kiwkiw)'!C:E,3,0)</f>
        <v>#N/A</v>
      </c>
    </row>
    <row r="3167" spans="7:8" ht="15" customHeight="1" x14ac:dyDescent="0.4">
      <c r="G3167" s="27">
        <f t="shared" si="58"/>
        <v>0</v>
      </c>
      <c r="H3167" s="28" t="e">
        <f>VLOOKUP(E3167,'Cadastro Produtos (kiwkiw)'!C:E,3,0)</f>
        <v>#N/A</v>
      </c>
    </row>
    <row r="3168" spans="7:8" ht="15" customHeight="1" x14ac:dyDescent="0.4">
      <c r="G3168" s="27">
        <f t="shared" si="58"/>
        <v>0</v>
      </c>
      <c r="H3168" s="28" t="e">
        <f>VLOOKUP(E3168,'Cadastro Produtos (kiwkiw)'!C:E,3,0)</f>
        <v>#N/A</v>
      </c>
    </row>
    <row r="3169" spans="7:8" ht="15" customHeight="1" x14ac:dyDescent="0.4">
      <c r="G3169" s="27">
        <f t="shared" si="58"/>
        <v>0</v>
      </c>
      <c r="H3169" s="28" t="e">
        <f>VLOOKUP(E3169,'Cadastro Produtos (kiwkiw)'!C:E,3,0)</f>
        <v>#N/A</v>
      </c>
    </row>
    <row r="3170" spans="7:8" ht="15" customHeight="1" x14ac:dyDescent="0.4">
      <c r="G3170" s="27">
        <f t="shared" si="58"/>
        <v>0</v>
      </c>
      <c r="H3170" s="28" t="e">
        <f>VLOOKUP(E3170,'Cadastro Produtos (kiwkiw)'!C:E,3,0)</f>
        <v>#N/A</v>
      </c>
    </row>
    <row r="3171" spans="7:8" ht="15" customHeight="1" x14ac:dyDescent="0.4">
      <c r="G3171" s="27">
        <f t="shared" si="58"/>
        <v>0</v>
      </c>
      <c r="H3171" s="28" t="e">
        <f>VLOOKUP(E3171,'Cadastro Produtos (kiwkiw)'!C:E,3,0)</f>
        <v>#N/A</v>
      </c>
    </row>
    <row r="3172" spans="7:8" ht="15" customHeight="1" x14ac:dyDescent="0.4">
      <c r="G3172" s="27">
        <f t="shared" si="58"/>
        <v>0</v>
      </c>
      <c r="H3172" s="28" t="e">
        <f>VLOOKUP(E3172,'Cadastro Produtos (kiwkiw)'!C:E,3,0)</f>
        <v>#N/A</v>
      </c>
    </row>
    <row r="3173" spans="7:8" ht="15" customHeight="1" x14ac:dyDescent="0.4">
      <c r="G3173" s="27">
        <f t="shared" si="58"/>
        <v>0</v>
      </c>
      <c r="H3173" s="28" t="e">
        <f>VLOOKUP(E3173,'Cadastro Produtos (kiwkiw)'!C:E,3,0)</f>
        <v>#N/A</v>
      </c>
    </row>
    <row r="3174" spans="7:8" ht="15" customHeight="1" x14ac:dyDescent="0.4">
      <c r="G3174" s="27">
        <f t="shared" si="58"/>
        <v>0</v>
      </c>
      <c r="H3174" s="28" t="e">
        <f>VLOOKUP(E3174,'Cadastro Produtos (kiwkiw)'!C:E,3,0)</f>
        <v>#N/A</v>
      </c>
    </row>
    <row r="3175" spans="7:8" ht="15" customHeight="1" x14ac:dyDescent="0.4">
      <c r="G3175" s="27">
        <f t="shared" si="58"/>
        <v>0</v>
      </c>
      <c r="H3175" s="28" t="e">
        <f>VLOOKUP(E3175,'Cadastro Produtos (kiwkiw)'!C:E,3,0)</f>
        <v>#N/A</v>
      </c>
    </row>
    <row r="3176" spans="7:8" ht="15" customHeight="1" x14ac:dyDescent="0.4">
      <c r="G3176" s="27">
        <f t="shared" si="58"/>
        <v>0</v>
      </c>
      <c r="H3176" s="28" t="e">
        <f>VLOOKUP(E3176,'Cadastro Produtos (kiwkiw)'!C:E,3,0)</f>
        <v>#N/A</v>
      </c>
    </row>
    <row r="3177" spans="7:8" ht="15" customHeight="1" x14ac:dyDescent="0.4">
      <c r="G3177" s="27">
        <f t="shared" si="58"/>
        <v>0</v>
      </c>
      <c r="H3177" s="28" t="e">
        <f>VLOOKUP(E3177,'Cadastro Produtos (kiwkiw)'!C:E,3,0)</f>
        <v>#N/A</v>
      </c>
    </row>
    <row r="3178" spans="7:8" ht="15" customHeight="1" x14ac:dyDescent="0.4">
      <c r="G3178" s="27">
        <f t="shared" si="58"/>
        <v>0</v>
      </c>
      <c r="H3178" s="28" t="e">
        <f>VLOOKUP(E3178,'Cadastro Produtos (kiwkiw)'!C:E,3,0)</f>
        <v>#N/A</v>
      </c>
    </row>
    <row r="3179" spans="7:8" ht="15" customHeight="1" x14ac:dyDescent="0.4">
      <c r="G3179" s="27">
        <f t="shared" si="58"/>
        <v>0</v>
      </c>
      <c r="H3179" s="28" t="e">
        <f>VLOOKUP(E3179,'Cadastro Produtos (kiwkiw)'!C:E,3,0)</f>
        <v>#N/A</v>
      </c>
    </row>
    <row r="3180" spans="7:8" ht="15" customHeight="1" x14ac:dyDescent="0.4">
      <c r="G3180" s="27">
        <f t="shared" si="58"/>
        <v>0</v>
      </c>
      <c r="H3180" s="28" t="e">
        <f>VLOOKUP(E3180,'Cadastro Produtos (kiwkiw)'!C:E,3,0)</f>
        <v>#N/A</v>
      </c>
    </row>
    <row r="3181" spans="7:8" ht="15" customHeight="1" x14ac:dyDescent="0.4">
      <c r="G3181" s="27">
        <f t="shared" si="58"/>
        <v>0</v>
      </c>
      <c r="H3181" s="28" t="e">
        <f>VLOOKUP(E3181,'Cadastro Produtos (kiwkiw)'!C:E,3,0)</f>
        <v>#N/A</v>
      </c>
    </row>
    <row r="3182" spans="7:8" ht="15" customHeight="1" x14ac:dyDescent="0.4">
      <c r="G3182" s="27">
        <f t="shared" si="58"/>
        <v>0</v>
      </c>
      <c r="H3182" s="28" t="e">
        <f>VLOOKUP(E3182,'Cadastro Produtos (kiwkiw)'!C:E,3,0)</f>
        <v>#N/A</v>
      </c>
    </row>
    <row r="3183" spans="7:8" ht="15" customHeight="1" x14ac:dyDescent="0.4">
      <c r="G3183" s="27">
        <f t="shared" si="58"/>
        <v>0</v>
      </c>
      <c r="H3183" s="28" t="e">
        <f>VLOOKUP(E3183,'Cadastro Produtos (kiwkiw)'!C:E,3,0)</f>
        <v>#N/A</v>
      </c>
    </row>
    <row r="3184" spans="7:8" ht="15" customHeight="1" x14ac:dyDescent="0.4">
      <c r="G3184" s="27">
        <f t="shared" si="58"/>
        <v>0</v>
      </c>
      <c r="H3184" s="28" t="e">
        <f>VLOOKUP(E3184,'Cadastro Produtos (kiwkiw)'!C:E,3,0)</f>
        <v>#N/A</v>
      </c>
    </row>
    <row r="3185" spans="7:8" ht="15" customHeight="1" x14ac:dyDescent="0.4">
      <c r="G3185" s="27">
        <f t="shared" si="58"/>
        <v>0</v>
      </c>
      <c r="H3185" s="28" t="e">
        <f>VLOOKUP(E3185,'Cadastro Produtos (kiwkiw)'!C:E,3,0)</f>
        <v>#N/A</v>
      </c>
    </row>
    <row r="3186" spans="7:8" ht="15" customHeight="1" x14ac:dyDescent="0.4">
      <c r="G3186" s="27">
        <f t="shared" si="58"/>
        <v>0</v>
      </c>
      <c r="H3186" s="28" t="e">
        <f>VLOOKUP(E3186,'Cadastro Produtos (kiwkiw)'!C:E,3,0)</f>
        <v>#N/A</v>
      </c>
    </row>
    <row r="3187" spans="7:8" ht="15" customHeight="1" x14ac:dyDescent="0.4">
      <c r="G3187" s="27">
        <f t="shared" si="58"/>
        <v>0</v>
      </c>
      <c r="H3187" s="28" t="e">
        <f>VLOOKUP(E3187,'Cadastro Produtos (kiwkiw)'!C:E,3,0)</f>
        <v>#N/A</v>
      </c>
    </row>
    <row r="3188" spans="7:8" ht="15" customHeight="1" x14ac:dyDescent="0.4">
      <c r="G3188" s="27">
        <f t="shared" si="58"/>
        <v>0</v>
      </c>
      <c r="H3188" s="28" t="e">
        <f>VLOOKUP(E3188,'Cadastro Produtos (kiwkiw)'!C:E,3,0)</f>
        <v>#N/A</v>
      </c>
    </row>
    <row r="3189" spans="7:8" ht="15" customHeight="1" x14ac:dyDescent="0.4">
      <c r="G3189" s="27">
        <f t="shared" si="58"/>
        <v>0</v>
      </c>
      <c r="H3189" s="28" t="e">
        <f>VLOOKUP(E3189,'Cadastro Produtos (kiwkiw)'!C:E,3,0)</f>
        <v>#N/A</v>
      </c>
    </row>
    <row r="3190" spans="7:8" ht="15" customHeight="1" x14ac:dyDescent="0.4">
      <c r="G3190" s="27">
        <f t="shared" si="58"/>
        <v>0</v>
      </c>
      <c r="H3190" s="28" t="e">
        <f>VLOOKUP(E3190,'Cadastro Produtos (kiwkiw)'!C:E,3,0)</f>
        <v>#N/A</v>
      </c>
    </row>
    <row r="3191" spans="7:8" ht="15" customHeight="1" x14ac:dyDescent="0.4">
      <c r="G3191" s="27">
        <f t="shared" ref="G3191:G3254" si="59">IF(C3191="Entrada",F3191,-F3191)</f>
        <v>0</v>
      </c>
      <c r="H3191" s="28" t="e">
        <f>VLOOKUP(E3191,'Cadastro Produtos (kiwkiw)'!C:E,3,0)</f>
        <v>#N/A</v>
      </c>
    </row>
    <row r="3192" spans="7:8" ht="15" customHeight="1" x14ac:dyDescent="0.4">
      <c r="G3192" s="27">
        <f t="shared" si="59"/>
        <v>0</v>
      </c>
      <c r="H3192" s="28" t="e">
        <f>VLOOKUP(E3192,'Cadastro Produtos (kiwkiw)'!C:E,3,0)</f>
        <v>#N/A</v>
      </c>
    </row>
    <row r="3193" spans="7:8" ht="15" customHeight="1" x14ac:dyDescent="0.4">
      <c r="G3193" s="27">
        <f t="shared" si="59"/>
        <v>0</v>
      </c>
      <c r="H3193" s="28" t="e">
        <f>VLOOKUP(E3193,'Cadastro Produtos (kiwkiw)'!C:E,3,0)</f>
        <v>#N/A</v>
      </c>
    </row>
    <row r="3194" spans="7:8" ht="15" customHeight="1" x14ac:dyDescent="0.4">
      <c r="G3194" s="27">
        <f t="shared" si="59"/>
        <v>0</v>
      </c>
      <c r="H3194" s="28" t="e">
        <f>VLOOKUP(E3194,'Cadastro Produtos (kiwkiw)'!C:E,3,0)</f>
        <v>#N/A</v>
      </c>
    </row>
    <row r="3195" spans="7:8" ht="15" customHeight="1" x14ac:dyDescent="0.4">
      <c r="G3195" s="27">
        <f t="shared" si="59"/>
        <v>0</v>
      </c>
      <c r="H3195" s="28" t="e">
        <f>VLOOKUP(E3195,'Cadastro Produtos (kiwkiw)'!C:E,3,0)</f>
        <v>#N/A</v>
      </c>
    </row>
    <row r="3196" spans="7:8" ht="15" customHeight="1" x14ac:dyDescent="0.4">
      <c r="G3196" s="27">
        <f t="shared" si="59"/>
        <v>0</v>
      </c>
      <c r="H3196" s="28" t="e">
        <f>VLOOKUP(E3196,'Cadastro Produtos (kiwkiw)'!C:E,3,0)</f>
        <v>#N/A</v>
      </c>
    </row>
    <row r="3197" spans="7:8" ht="15" customHeight="1" x14ac:dyDescent="0.4">
      <c r="G3197" s="27">
        <f t="shared" si="59"/>
        <v>0</v>
      </c>
      <c r="H3197" s="28" t="e">
        <f>VLOOKUP(E3197,'Cadastro Produtos (kiwkiw)'!C:E,3,0)</f>
        <v>#N/A</v>
      </c>
    </row>
    <row r="3198" spans="7:8" ht="15" customHeight="1" x14ac:dyDescent="0.4">
      <c r="G3198" s="27">
        <f t="shared" si="59"/>
        <v>0</v>
      </c>
      <c r="H3198" s="28" t="e">
        <f>VLOOKUP(E3198,'Cadastro Produtos (kiwkiw)'!C:E,3,0)</f>
        <v>#N/A</v>
      </c>
    </row>
    <row r="3199" spans="7:8" ht="15" customHeight="1" x14ac:dyDescent="0.4">
      <c r="G3199" s="27">
        <f t="shared" si="59"/>
        <v>0</v>
      </c>
      <c r="H3199" s="28" t="e">
        <f>VLOOKUP(E3199,'Cadastro Produtos (kiwkiw)'!C:E,3,0)</f>
        <v>#N/A</v>
      </c>
    </row>
    <row r="3200" spans="7:8" ht="15" customHeight="1" x14ac:dyDescent="0.4">
      <c r="G3200" s="27">
        <f t="shared" si="59"/>
        <v>0</v>
      </c>
      <c r="H3200" s="28" t="e">
        <f>VLOOKUP(E3200,'Cadastro Produtos (kiwkiw)'!C:E,3,0)</f>
        <v>#N/A</v>
      </c>
    </row>
    <row r="3201" spans="7:8" ht="15" customHeight="1" x14ac:dyDescent="0.4">
      <c r="G3201" s="27">
        <f t="shared" si="59"/>
        <v>0</v>
      </c>
      <c r="H3201" s="28" t="e">
        <f>VLOOKUP(E3201,'Cadastro Produtos (kiwkiw)'!C:E,3,0)</f>
        <v>#N/A</v>
      </c>
    </row>
    <row r="3202" spans="7:8" ht="15" customHeight="1" x14ac:dyDescent="0.4">
      <c r="G3202" s="27">
        <f t="shared" si="59"/>
        <v>0</v>
      </c>
      <c r="H3202" s="28" t="e">
        <f>VLOOKUP(E3202,'Cadastro Produtos (kiwkiw)'!C:E,3,0)</f>
        <v>#N/A</v>
      </c>
    </row>
    <row r="3203" spans="7:8" ht="15" customHeight="1" x14ac:dyDescent="0.4">
      <c r="G3203" s="27">
        <f t="shared" si="59"/>
        <v>0</v>
      </c>
      <c r="H3203" s="28" t="e">
        <f>VLOOKUP(E3203,'Cadastro Produtos (kiwkiw)'!C:E,3,0)</f>
        <v>#N/A</v>
      </c>
    </row>
    <row r="3204" spans="7:8" ht="15" customHeight="1" x14ac:dyDescent="0.4">
      <c r="G3204" s="27">
        <f t="shared" si="59"/>
        <v>0</v>
      </c>
      <c r="H3204" s="28" t="e">
        <f>VLOOKUP(E3204,'Cadastro Produtos (kiwkiw)'!C:E,3,0)</f>
        <v>#N/A</v>
      </c>
    </row>
    <row r="3205" spans="7:8" ht="15" customHeight="1" x14ac:dyDescent="0.4">
      <c r="G3205" s="27">
        <f t="shared" si="59"/>
        <v>0</v>
      </c>
      <c r="H3205" s="28" t="e">
        <f>VLOOKUP(E3205,'Cadastro Produtos (kiwkiw)'!C:E,3,0)</f>
        <v>#N/A</v>
      </c>
    </row>
    <row r="3206" spans="7:8" ht="15" customHeight="1" x14ac:dyDescent="0.4">
      <c r="G3206" s="27">
        <f t="shared" si="59"/>
        <v>0</v>
      </c>
      <c r="H3206" s="28" t="e">
        <f>VLOOKUP(E3206,'Cadastro Produtos (kiwkiw)'!C:E,3,0)</f>
        <v>#N/A</v>
      </c>
    </row>
    <row r="3207" spans="7:8" ht="15" customHeight="1" x14ac:dyDescent="0.4">
      <c r="G3207" s="27">
        <f t="shared" si="59"/>
        <v>0</v>
      </c>
      <c r="H3207" s="28" t="e">
        <f>VLOOKUP(E3207,'Cadastro Produtos (kiwkiw)'!C:E,3,0)</f>
        <v>#N/A</v>
      </c>
    </row>
    <row r="3208" spans="7:8" ht="15" customHeight="1" x14ac:dyDescent="0.4">
      <c r="G3208" s="27">
        <f t="shared" si="59"/>
        <v>0</v>
      </c>
      <c r="H3208" s="28" t="e">
        <f>VLOOKUP(E3208,'Cadastro Produtos (kiwkiw)'!C:E,3,0)</f>
        <v>#N/A</v>
      </c>
    </row>
    <row r="3209" spans="7:8" ht="15" customHeight="1" x14ac:dyDescent="0.4">
      <c r="G3209" s="27">
        <f t="shared" si="59"/>
        <v>0</v>
      </c>
      <c r="H3209" s="28" t="e">
        <f>VLOOKUP(E3209,'Cadastro Produtos (kiwkiw)'!C:E,3,0)</f>
        <v>#N/A</v>
      </c>
    </row>
    <row r="3210" spans="7:8" ht="15" customHeight="1" x14ac:dyDescent="0.4">
      <c r="G3210" s="27">
        <f t="shared" si="59"/>
        <v>0</v>
      </c>
      <c r="H3210" s="28" t="e">
        <f>VLOOKUP(E3210,'Cadastro Produtos (kiwkiw)'!C:E,3,0)</f>
        <v>#N/A</v>
      </c>
    </row>
    <row r="3211" spans="7:8" ht="15" customHeight="1" x14ac:dyDescent="0.4">
      <c r="G3211" s="27">
        <f t="shared" si="59"/>
        <v>0</v>
      </c>
      <c r="H3211" s="28" t="e">
        <f>VLOOKUP(E3211,'Cadastro Produtos (kiwkiw)'!C:E,3,0)</f>
        <v>#N/A</v>
      </c>
    </row>
    <row r="3212" spans="7:8" ht="15" customHeight="1" x14ac:dyDescent="0.4">
      <c r="G3212" s="27">
        <f t="shared" si="59"/>
        <v>0</v>
      </c>
      <c r="H3212" s="28" t="e">
        <f>VLOOKUP(E3212,'Cadastro Produtos (kiwkiw)'!C:E,3,0)</f>
        <v>#N/A</v>
      </c>
    </row>
    <row r="3213" spans="7:8" ht="15" customHeight="1" x14ac:dyDescent="0.4">
      <c r="G3213" s="27">
        <f t="shared" si="59"/>
        <v>0</v>
      </c>
      <c r="H3213" s="28" t="e">
        <f>VLOOKUP(E3213,'Cadastro Produtos (kiwkiw)'!C:E,3,0)</f>
        <v>#N/A</v>
      </c>
    </row>
    <row r="3214" spans="7:8" ht="15" customHeight="1" x14ac:dyDescent="0.4">
      <c r="G3214" s="27">
        <f t="shared" si="59"/>
        <v>0</v>
      </c>
      <c r="H3214" s="28" t="e">
        <f>VLOOKUP(E3214,'Cadastro Produtos (kiwkiw)'!C:E,3,0)</f>
        <v>#N/A</v>
      </c>
    </row>
    <row r="3215" spans="7:8" ht="15" customHeight="1" x14ac:dyDescent="0.4">
      <c r="G3215" s="27">
        <f t="shared" si="59"/>
        <v>0</v>
      </c>
      <c r="H3215" s="28" t="e">
        <f>VLOOKUP(E3215,'Cadastro Produtos (kiwkiw)'!C:E,3,0)</f>
        <v>#N/A</v>
      </c>
    </row>
    <row r="3216" spans="7:8" ht="15" customHeight="1" x14ac:dyDescent="0.4">
      <c r="G3216" s="27">
        <f t="shared" si="59"/>
        <v>0</v>
      </c>
      <c r="H3216" s="28" t="e">
        <f>VLOOKUP(E3216,'Cadastro Produtos (kiwkiw)'!C:E,3,0)</f>
        <v>#N/A</v>
      </c>
    </row>
    <row r="3217" spans="7:8" ht="15" customHeight="1" x14ac:dyDescent="0.4">
      <c r="G3217" s="27">
        <f t="shared" si="59"/>
        <v>0</v>
      </c>
      <c r="H3217" s="28" t="e">
        <f>VLOOKUP(E3217,'Cadastro Produtos (kiwkiw)'!C:E,3,0)</f>
        <v>#N/A</v>
      </c>
    </row>
    <row r="3218" spans="7:8" ht="15" customHeight="1" x14ac:dyDescent="0.4">
      <c r="G3218" s="27">
        <f t="shared" si="59"/>
        <v>0</v>
      </c>
      <c r="H3218" s="28" t="e">
        <f>VLOOKUP(E3218,'Cadastro Produtos (kiwkiw)'!C:E,3,0)</f>
        <v>#N/A</v>
      </c>
    </row>
    <row r="3219" spans="7:8" ht="15" customHeight="1" x14ac:dyDescent="0.4">
      <c r="G3219" s="27">
        <f t="shared" si="59"/>
        <v>0</v>
      </c>
      <c r="H3219" s="28" t="e">
        <f>VLOOKUP(E3219,'Cadastro Produtos (kiwkiw)'!C:E,3,0)</f>
        <v>#N/A</v>
      </c>
    </row>
    <row r="3220" spans="7:8" ht="15" customHeight="1" x14ac:dyDescent="0.4">
      <c r="G3220" s="27">
        <f t="shared" si="59"/>
        <v>0</v>
      </c>
      <c r="H3220" s="28" t="e">
        <f>VLOOKUP(E3220,'Cadastro Produtos (kiwkiw)'!C:E,3,0)</f>
        <v>#N/A</v>
      </c>
    </row>
    <row r="3221" spans="7:8" ht="15" customHeight="1" x14ac:dyDescent="0.4">
      <c r="G3221" s="27">
        <f t="shared" si="59"/>
        <v>0</v>
      </c>
      <c r="H3221" s="28" t="e">
        <f>VLOOKUP(E3221,'Cadastro Produtos (kiwkiw)'!C:E,3,0)</f>
        <v>#N/A</v>
      </c>
    </row>
    <row r="3222" spans="7:8" ht="15" customHeight="1" x14ac:dyDescent="0.4">
      <c r="G3222" s="27">
        <f t="shared" si="59"/>
        <v>0</v>
      </c>
      <c r="H3222" s="28" t="e">
        <f>VLOOKUP(E3222,'Cadastro Produtos (kiwkiw)'!C:E,3,0)</f>
        <v>#N/A</v>
      </c>
    </row>
    <row r="3223" spans="7:8" ht="15" customHeight="1" x14ac:dyDescent="0.4">
      <c r="G3223" s="27">
        <f t="shared" si="59"/>
        <v>0</v>
      </c>
      <c r="H3223" s="28" t="e">
        <f>VLOOKUP(E3223,'Cadastro Produtos (kiwkiw)'!C:E,3,0)</f>
        <v>#N/A</v>
      </c>
    </row>
    <row r="3224" spans="7:8" ht="15" customHeight="1" x14ac:dyDescent="0.4">
      <c r="G3224" s="27">
        <f t="shared" si="59"/>
        <v>0</v>
      </c>
      <c r="H3224" s="28" t="e">
        <f>VLOOKUP(E3224,'Cadastro Produtos (kiwkiw)'!C:E,3,0)</f>
        <v>#N/A</v>
      </c>
    </row>
    <row r="3225" spans="7:8" ht="15" customHeight="1" x14ac:dyDescent="0.4">
      <c r="G3225" s="27">
        <f t="shared" si="59"/>
        <v>0</v>
      </c>
      <c r="H3225" s="28" t="e">
        <f>VLOOKUP(E3225,'Cadastro Produtos (kiwkiw)'!C:E,3,0)</f>
        <v>#N/A</v>
      </c>
    </row>
    <row r="3226" spans="7:8" ht="15" customHeight="1" x14ac:dyDescent="0.4">
      <c r="G3226" s="27">
        <f t="shared" si="59"/>
        <v>0</v>
      </c>
      <c r="H3226" s="28" t="e">
        <f>VLOOKUP(E3226,'Cadastro Produtos (kiwkiw)'!C:E,3,0)</f>
        <v>#N/A</v>
      </c>
    </row>
    <row r="3227" spans="7:8" ht="15" customHeight="1" x14ac:dyDescent="0.4">
      <c r="G3227" s="27">
        <f t="shared" si="59"/>
        <v>0</v>
      </c>
      <c r="H3227" s="28" t="e">
        <f>VLOOKUP(E3227,'Cadastro Produtos (kiwkiw)'!C:E,3,0)</f>
        <v>#N/A</v>
      </c>
    </row>
    <row r="3228" spans="7:8" ht="15" customHeight="1" x14ac:dyDescent="0.4">
      <c r="G3228" s="27">
        <f t="shared" si="59"/>
        <v>0</v>
      </c>
      <c r="H3228" s="28" t="e">
        <f>VLOOKUP(E3228,'Cadastro Produtos (kiwkiw)'!C:E,3,0)</f>
        <v>#N/A</v>
      </c>
    </row>
    <row r="3229" spans="7:8" ht="15" customHeight="1" x14ac:dyDescent="0.4">
      <c r="G3229" s="27">
        <f t="shared" si="59"/>
        <v>0</v>
      </c>
      <c r="H3229" s="28" t="e">
        <f>VLOOKUP(E3229,'Cadastro Produtos (kiwkiw)'!C:E,3,0)</f>
        <v>#N/A</v>
      </c>
    </row>
    <row r="3230" spans="7:8" ht="15" customHeight="1" x14ac:dyDescent="0.4">
      <c r="G3230" s="27">
        <f t="shared" si="59"/>
        <v>0</v>
      </c>
      <c r="H3230" s="28" t="e">
        <f>VLOOKUP(E3230,'Cadastro Produtos (kiwkiw)'!C:E,3,0)</f>
        <v>#N/A</v>
      </c>
    </row>
    <row r="3231" spans="7:8" ht="15" customHeight="1" x14ac:dyDescent="0.4">
      <c r="G3231" s="27">
        <f t="shared" si="59"/>
        <v>0</v>
      </c>
      <c r="H3231" s="28" t="e">
        <f>VLOOKUP(E3231,'Cadastro Produtos (kiwkiw)'!C:E,3,0)</f>
        <v>#N/A</v>
      </c>
    </row>
    <row r="3232" spans="7:8" ht="15" customHeight="1" x14ac:dyDescent="0.4">
      <c r="G3232" s="27">
        <f t="shared" si="59"/>
        <v>0</v>
      </c>
      <c r="H3232" s="28" t="e">
        <f>VLOOKUP(E3232,'Cadastro Produtos (kiwkiw)'!C:E,3,0)</f>
        <v>#N/A</v>
      </c>
    </row>
    <row r="3233" spans="7:8" ht="15" customHeight="1" x14ac:dyDescent="0.4">
      <c r="G3233" s="27">
        <f t="shared" si="59"/>
        <v>0</v>
      </c>
      <c r="H3233" s="28" t="e">
        <f>VLOOKUP(E3233,'Cadastro Produtos (kiwkiw)'!C:E,3,0)</f>
        <v>#N/A</v>
      </c>
    </row>
    <row r="3234" spans="7:8" ht="15" customHeight="1" x14ac:dyDescent="0.4">
      <c r="G3234" s="27">
        <f t="shared" si="59"/>
        <v>0</v>
      </c>
      <c r="H3234" s="28" t="e">
        <f>VLOOKUP(E3234,'Cadastro Produtos (kiwkiw)'!C:E,3,0)</f>
        <v>#N/A</v>
      </c>
    </row>
    <row r="3235" spans="7:8" ht="15" customHeight="1" x14ac:dyDescent="0.4">
      <c r="G3235" s="27">
        <f t="shared" si="59"/>
        <v>0</v>
      </c>
      <c r="H3235" s="28" t="e">
        <f>VLOOKUP(E3235,'Cadastro Produtos (kiwkiw)'!C:E,3,0)</f>
        <v>#N/A</v>
      </c>
    </row>
    <row r="3236" spans="7:8" ht="15" customHeight="1" x14ac:dyDescent="0.4">
      <c r="G3236" s="27">
        <f t="shared" si="59"/>
        <v>0</v>
      </c>
      <c r="H3236" s="28" t="e">
        <f>VLOOKUP(E3236,'Cadastro Produtos (kiwkiw)'!C:E,3,0)</f>
        <v>#N/A</v>
      </c>
    </row>
    <row r="3237" spans="7:8" ht="15" customHeight="1" x14ac:dyDescent="0.4">
      <c r="G3237" s="27">
        <f t="shared" si="59"/>
        <v>0</v>
      </c>
      <c r="H3237" s="28" t="e">
        <f>VLOOKUP(E3237,'Cadastro Produtos (kiwkiw)'!C:E,3,0)</f>
        <v>#N/A</v>
      </c>
    </row>
    <row r="3238" spans="7:8" ht="15" customHeight="1" x14ac:dyDescent="0.4">
      <c r="G3238" s="27">
        <f t="shared" si="59"/>
        <v>0</v>
      </c>
      <c r="H3238" s="28" t="e">
        <f>VLOOKUP(E3238,'Cadastro Produtos (kiwkiw)'!C:E,3,0)</f>
        <v>#N/A</v>
      </c>
    </row>
    <row r="3239" spans="7:8" ht="15" customHeight="1" x14ac:dyDescent="0.4">
      <c r="G3239" s="27">
        <f t="shared" si="59"/>
        <v>0</v>
      </c>
      <c r="H3239" s="28" t="e">
        <f>VLOOKUP(E3239,'Cadastro Produtos (kiwkiw)'!C:E,3,0)</f>
        <v>#N/A</v>
      </c>
    </row>
    <row r="3240" spans="7:8" ht="15" customHeight="1" x14ac:dyDescent="0.4">
      <c r="G3240" s="27">
        <f t="shared" si="59"/>
        <v>0</v>
      </c>
      <c r="H3240" s="28" t="e">
        <f>VLOOKUP(E3240,'Cadastro Produtos (kiwkiw)'!C:E,3,0)</f>
        <v>#N/A</v>
      </c>
    </row>
    <row r="3241" spans="7:8" ht="15" customHeight="1" x14ac:dyDescent="0.4">
      <c r="G3241" s="27">
        <f t="shared" si="59"/>
        <v>0</v>
      </c>
      <c r="H3241" s="28" t="e">
        <f>VLOOKUP(E3241,'Cadastro Produtos (kiwkiw)'!C:E,3,0)</f>
        <v>#N/A</v>
      </c>
    </row>
    <row r="3242" spans="7:8" ht="15" customHeight="1" x14ac:dyDescent="0.4">
      <c r="G3242" s="27">
        <f t="shared" si="59"/>
        <v>0</v>
      </c>
      <c r="H3242" s="28" t="e">
        <f>VLOOKUP(E3242,'Cadastro Produtos (kiwkiw)'!C:E,3,0)</f>
        <v>#N/A</v>
      </c>
    </row>
    <row r="3243" spans="7:8" ht="15" customHeight="1" x14ac:dyDescent="0.4">
      <c r="G3243" s="27">
        <f t="shared" si="59"/>
        <v>0</v>
      </c>
      <c r="H3243" s="28" t="e">
        <f>VLOOKUP(E3243,'Cadastro Produtos (kiwkiw)'!C:E,3,0)</f>
        <v>#N/A</v>
      </c>
    </row>
    <row r="3244" spans="7:8" ht="15" customHeight="1" x14ac:dyDescent="0.4">
      <c r="G3244" s="27">
        <f t="shared" si="59"/>
        <v>0</v>
      </c>
      <c r="H3244" s="28" t="e">
        <f>VLOOKUP(E3244,'Cadastro Produtos (kiwkiw)'!C:E,3,0)</f>
        <v>#N/A</v>
      </c>
    </row>
    <row r="3245" spans="7:8" ht="15" customHeight="1" x14ac:dyDescent="0.4">
      <c r="G3245" s="27">
        <f t="shared" si="59"/>
        <v>0</v>
      </c>
      <c r="H3245" s="28" t="e">
        <f>VLOOKUP(E3245,'Cadastro Produtos (kiwkiw)'!C:E,3,0)</f>
        <v>#N/A</v>
      </c>
    </row>
    <row r="3246" spans="7:8" ht="15" customHeight="1" x14ac:dyDescent="0.4">
      <c r="G3246" s="27">
        <f t="shared" si="59"/>
        <v>0</v>
      </c>
      <c r="H3246" s="28" t="e">
        <f>VLOOKUP(E3246,'Cadastro Produtos (kiwkiw)'!C:E,3,0)</f>
        <v>#N/A</v>
      </c>
    </row>
    <row r="3247" spans="7:8" ht="15" customHeight="1" x14ac:dyDescent="0.4">
      <c r="G3247" s="27">
        <f t="shared" si="59"/>
        <v>0</v>
      </c>
      <c r="H3247" s="28" t="e">
        <f>VLOOKUP(E3247,'Cadastro Produtos (kiwkiw)'!C:E,3,0)</f>
        <v>#N/A</v>
      </c>
    </row>
    <row r="3248" spans="7:8" ht="15" customHeight="1" x14ac:dyDescent="0.4">
      <c r="G3248" s="27">
        <f t="shared" si="59"/>
        <v>0</v>
      </c>
      <c r="H3248" s="28" t="e">
        <f>VLOOKUP(E3248,'Cadastro Produtos (kiwkiw)'!C:E,3,0)</f>
        <v>#N/A</v>
      </c>
    </row>
    <row r="3249" spans="7:8" ht="15" customHeight="1" x14ac:dyDescent="0.4">
      <c r="G3249" s="27">
        <f t="shared" si="59"/>
        <v>0</v>
      </c>
      <c r="H3249" s="28" t="e">
        <f>VLOOKUP(E3249,'Cadastro Produtos (kiwkiw)'!C:E,3,0)</f>
        <v>#N/A</v>
      </c>
    </row>
    <row r="3250" spans="7:8" ht="15" customHeight="1" x14ac:dyDescent="0.4">
      <c r="G3250" s="27">
        <f t="shared" si="59"/>
        <v>0</v>
      </c>
      <c r="H3250" s="28" t="e">
        <f>VLOOKUP(E3250,'Cadastro Produtos (kiwkiw)'!C:E,3,0)</f>
        <v>#N/A</v>
      </c>
    </row>
    <row r="3251" spans="7:8" ht="15" customHeight="1" x14ac:dyDescent="0.4">
      <c r="G3251" s="27">
        <f t="shared" si="59"/>
        <v>0</v>
      </c>
      <c r="H3251" s="28" t="e">
        <f>VLOOKUP(E3251,'Cadastro Produtos (kiwkiw)'!C:E,3,0)</f>
        <v>#N/A</v>
      </c>
    </row>
    <row r="3252" spans="7:8" ht="15" customHeight="1" x14ac:dyDescent="0.4">
      <c r="G3252" s="27">
        <f t="shared" si="59"/>
        <v>0</v>
      </c>
      <c r="H3252" s="28" t="e">
        <f>VLOOKUP(E3252,'Cadastro Produtos (kiwkiw)'!C:E,3,0)</f>
        <v>#N/A</v>
      </c>
    </row>
    <row r="3253" spans="7:8" ht="15" customHeight="1" x14ac:dyDescent="0.4">
      <c r="G3253" s="27">
        <f t="shared" si="59"/>
        <v>0</v>
      </c>
      <c r="H3253" s="28" t="e">
        <f>VLOOKUP(E3253,'Cadastro Produtos (kiwkiw)'!C:E,3,0)</f>
        <v>#N/A</v>
      </c>
    </row>
    <row r="3254" spans="7:8" ht="15" customHeight="1" x14ac:dyDescent="0.4">
      <c r="G3254" s="27">
        <f t="shared" si="59"/>
        <v>0</v>
      </c>
      <c r="H3254" s="28" t="e">
        <f>VLOOKUP(E3254,'Cadastro Produtos (kiwkiw)'!C:E,3,0)</f>
        <v>#N/A</v>
      </c>
    </row>
    <row r="3255" spans="7:8" ht="15" customHeight="1" x14ac:dyDescent="0.4">
      <c r="G3255" s="27">
        <f t="shared" ref="G3255:G3318" si="60">IF(C3255="Entrada",F3255,-F3255)</f>
        <v>0</v>
      </c>
      <c r="H3255" s="28" t="e">
        <f>VLOOKUP(E3255,'Cadastro Produtos (kiwkiw)'!C:E,3,0)</f>
        <v>#N/A</v>
      </c>
    </row>
    <row r="3256" spans="7:8" ht="15" customHeight="1" x14ac:dyDescent="0.4">
      <c r="G3256" s="27">
        <f t="shared" si="60"/>
        <v>0</v>
      </c>
      <c r="H3256" s="28" t="e">
        <f>VLOOKUP(E3256,'Cadastro Produtos (kiwkiw)'!C:E,3,0)</f>
        <v>#N/A</v>
      </c>
    </row>
    <row r="3257" spans="7:8" ht="15" customHeight="1" x14ac:dyDescent="0.4">
      <c r="G3257" s="27">
        <f t="shared" si="60"/>
        <v>0</v>
      </c>
      <c r="H3257" s="28" t="e">
        <f>VLOOKUP(E3257,'Cadastro Produtos (kiwkiw)'!C:E,3,0)</f>
        <v>#N/A</v>
      </c>
    </row>
    <row r="3258" spans="7:8" ht="15" customHeight="1" x14ac:dyDescent="0.4">
      <c r="G3258" s="27">
        <f t="shared" si="60"/>
        <v>0</v>
      </c>
      <c r="H3258" s="28" t="e">
        <f>VLOOKUP(E3258,'Cadastro Produtos (kiwkiw)'!C:E,3,0)</f>
        <v>#N/A</v>
      </c>
    </row>
    <row r="3259" spans="7:8" ht="15" customHeight="1" x14ac:dyDescent="0.4">
      <c r="G3259" s="27">
        <f t="shared" si="60"/>
        <v>0</v>
      </c>
      <c r="H3259" s="28" t="e">
        <f>VLOOKUP(E3259,'Cadastro Produtos (kiwkiw)'!C:E,3,0)</f>
        <v>#N/A</v>
      </c>
    </row>
    <row r="3260" spans="7:8" ht="15" customHeight="1" x14ac:dyDescent="0.4">
      <c r="G3260" s="27">
        <f t="shared" si="60"/>
        <v>0</v>
      </c>
      <c r="H3260" s="28" t="e">
        <f>VLOOKUP(E3260,'Cadastro Produtos (kiwkiw)'!C:E,3,0)</f>
        <v>#N/A</v>
      </c>
    </row>
    <row r="3261" spans="7:8" ht="15" customHeight="1" x14ac:dyDescent="0.4">
      <c r="G3261" s="27">
        <f t="shared" si="60"/>
        <v>0</v>
      </c>
      <c r="H3261" s="28" t="e">
        <f>VLOOKUP(E3261,'Cadastro Produtos (kiwkiw)'!C:E,3,0)</f>
        <v>#N/A</v>
      </c>
    </row>
    <row r="3262" spans="7:8" ht="15" customHeight="1" x14ac:dyDescent="0.4">
      <c r="G3262" s="27">
        <f t="shared" si="60"/>
        <v>0</v>
      </c>
      <c r="H3262" s="28" t="e">
        <f>VLOOKUP(E3262,'Cadastro Produtos (kiwkiw)'!C:E,3,0)</f>
        <v>#N/A</v>
      </c>
    </row>
    <row r="3263" spans="7:8" ht="15" customHeight="1" x14ac:dyDescent="0.4">
      <c r="G3263" s="27">
        <f t="shared" si="60"/>
        <v>0</v>
      </c>
      <c r="H3263" s="28" t="e">
        <f>VLOOKUP(E3263,'Cadastro Produtos (kiwkiw)'!C:E,3,0)</f>
        <v>#N/A</v>
      </c>
    </row>
    <row r="3264" spans="7:8" ht="15" customHeight="1" x14ac:dyDescent="0.4">
      <c r="G3264" s="27">
        <f t="shared" si="60"/>
        <v>0</v>
      </c>
      <c r="H3264" s="28" t="e">
        <f>VLOOKUP(E3264,'Cadastro Produtos (kiwkiw)'!C:E,3,0)</f>
        <v>#N/A</v>
      </c>
    </row>
    <row r="3265" spans="7:8" ht="15" customHeight="1" x14ac:dyDescent="0.4">
      <c r="G3265" s="27">
        <f t="shared" si="60"/>
        <v>0</v>
      </c>
      <c r="H3265" s="28" t="e">
        <f>VLOOKUP(E3265,'Cadastro Produtos (kiwkiw)'!C:E,3,0)</f>
        <v>#N/A</v>
      </c>
    </row>
    <row r="3266" spans="7:8" ht="15" customHeight="1" x14ac:dyDescent="0.4">
      <c r="G3266" s="27">
        <f t="shared" si="60"/>
        <v>0</v>
      </c>
      <c r="H3266" s="28" t="e">
        <f>VLOOKUP(E3266,'Cadastro Produtos (kiwkiw)'!C:E,3,0)</f>
        <v>#N/A</v>
      </c>
    </row>
    <row r="3267" spans="7:8" ht="15" customHeight="1" x14ac:dyDescent="0.4">
      <c r="G3267" s="27">
        <f t="shared" si="60"/>
        <v>0</v>
      </c>
      <c r="H3267" s="28" t="e">
        <f>VLOOKUP(E3267,'Cadastro Produtos (kiwkiw)'!C:E,3,0)</f>
        <v>#N/A</v>
      </c>
    </row>
    <row r="3268" spans="7:8" ht="15" customHeight="1" x14ac:dyDescent="0.4">
      <c r="G3268" s="27">
        <f t="shared" si="60"/>
        <v>0</v>
      </c>
      <c r="H3268" s="28" t="e">
        <f>VLOOKUP(E3268,'Cadastro Produtos (kiwkiw)'!C:E,3,0)</f>
        <v>#N/A</v>
      </c>
    </row>
    <row r="3269" spans="7:8" ht="15" customHeight="1" x14ac:dyDescent="0.4">
      <c r="G3269" s="27">
        <f t="shared" si="60"/>
        <v>0</v>
      </c>
      <c r="H3269" s="28" t="e">
        <f>VLOOKUP(E3269,'Cadastro Produtos (kiwkiw)'!C:E,3,0)</f>
        <v>#N/A</v>
      </c>
    </row>
    <row r="3270" spans="7:8" ht="15" customHeight="1" x14ac:dyDescent="0.4">
      <c r="G3270" s="27">
        <f t="shared" si="60"/>
        <v>0</v>
      </c>
      <c r="H3270" s="28" t="e">
        <f>VLOOKUP(E3270,'Cadastro Produtos (kiwkiw)'!C:E,3,0)</f>
        <v>#N/A</v>
      </c>
    </row>
    <row r="3271" spans="7:8" ht="15" customHeight="1" x14ac:dyDescent="0.4">
      <c r="G3271" s="27">
        <f t="shared" si="60"/>
        <v>0</v>
      </c>
      <c r="H3271" s="28" t="e">
        <f>VLOOKUP(E3271,'Cadastro Produtos (kiwkiw)'!C:E,3,0)</f>
        <v>#N/A</v>
      </c>
    </row>
    <row r="3272" spans="7:8" ht="15" customHeight="1" x14ac:dyDescent="0.4">
      <c r="G3272" s="27">
        <f t="shared" si="60"/>
        <v>0</v>
      </c>
      <c r="H3272" s="28" t="e">
        <f>VLOOKUP(E3272,'Cadastro Produtos (kiwkiw)'!C:E,3,0)</f>
        <v>#N/A</v>
      </c>
    </row>
    <row r="3273" spans="7:8" ht="15" customHeight="1" x14ac:dyDescent="0.4">
      <c r="G3273" s="27">
        <f t="shared" si="60"/>
        <v>0</v>
      </c>
      <c r="H3273" s="28" t="e">
        <f>VLOOKUP(E3273,'Cadastro Produtos (kiwkiw)'!C:E,3,0)</f>
        <v>#N/A</v>
      </c>
    </row>
    <row r="3274" spans="7:8" ht="15" customHeight="1" x14ac:dyDescent="0.4">
      <c r="G3274" s="27">
        <f t="shared" si="60"/>
        <v>0</v>
      </c>
      <c r="H3274" s="28" t="e">
        <f>VLOOKUP(E3274,'Cadastro Produtos (kiwkiw)'!C:E,3,0)</f>
        <v>#N/A</v>
      </c>
    </row>
    <row r="3275" spans="7:8" ht="15" customHeight="1" x14ac:dyDescent="0.4">
      <c r="G3275" s="27">
        <f t="shared" si="60"/>
        <v>0</v>
      </c>
      <c r="H3275" s="28" t="e">
        <f>VLOOKUP(E3275,'Cadastro Produtos (kiwkiw)'!C:E,3,0)</f>
        <v>#N/A</v>
      </c>
    </row>
    <row r="3276" spans="7:8" ht="15" customHeight="1" x14ac:dyDescent="0.4">
      <c r="G3276" s="27">
        <f t="shared" si="60"/>
        <v>0</v>
      </c>
      <c r="H3276" s="28" t="e">
        <f>VLOOKUP(E3276,'Cadastro Produtos (kiwkiw)'!C:E,3,0)</f>
        <v>#N/A</v>
      </c>
    </row>
    <row r="3277" spans="7:8" ht="15" customHeight="1" x14ac:dyDescent="0.4">
      <c r="G3277" s="27">
        <f t="shared" si="60"/>
        <v>0</v>
      </c>
      <c r="H3277" s="28" t="e">
        <f>VLOOKUP(E3277,'Cadastro Produtos (kiwkiw)'!C:E,3,0)</f>
        <v>#N/A</v>
      </c>
    </row>
    <row r="3278" spans="7:8" ht="15" customHeight="1" x14ac:dyDescent="0.4">
      <c r="G3278" s="27">
        <f t="shared" si="60"/>
        <v>0</v>
      </c>
      <c r="H3278" s="28" t="e">
        <f>VLOOKUP(E3278,'Cadastro Produtos (kiwkiw)'!C:E,3,0)</f>
        <v>#N/A</v>
      </c>
    </row>
    <row r="3279" spans="7:8" ht="15" customHeight="1" x14ac:dyDescent="0.4">
      <c r="G3279" s="27">
        <f t="shared" si="60"/>
        <v>0</v>
      </c>
      <c r="H3279" s="28" t="e">
        <f>VLOOKUP(E3279,'Cadastro Produtos (kiwkiw)'!C:E,3,0)</f>
        <v>#N/A</v>
      </c>
    </row>
    <row r="3280" spans="7:8" ht="15" customHeight="1" x14ac:dyDescent="0.4">
      <c r="G3280" s="27">
        <f t="shared" si="60"/>
        <v>0</v>
      </c>
      <c r="H3280" s="28" t="e">
        <f>VLOOKUP(E3280,'Cadastro Produtos (kiwkiw)'!C:E,3,0)</f>
        <v>#N/A</v>
      </c>
    </row>
    <row r="3281" spans="7:8" ht="15" customHeight="1" x14ac:dyDescent="0.4">
      <c r="G3281" s="27">
        <f t="shared" si="60"/>
        <v>0</v>
      </c>
      <c r="H3281" s="28" t="e">
        <f>VLOOKUP(E3281,'Cadastro Produtos (kiwkiw)'!C:E,3,0)</f>
        <v>#N/A</v>
      </c>
    </row>
    <row r="3282" spans="7:8" ht="15" customHeight="1" x14ac:dyDescent="0.4">
      <c r="G3282" s="27">
        <f t="shared" si="60"/>
        <v>0</v>
      </c>
      <c r="H3282" s="28" t="e">
        <f>VLOOKUP(E3282,'Cadastro Produtos (kiwkiw)'!C:E,3,0)</f>
        <v>#N/A</v>
      </c>
    </row>
    <row r="3283" spans="7:8" ht="15" customHeight="1" x14ac:dyDescent="0.4">
      <c r="G3283" s="27">
        <f t="shared" si="60"/>
        <v>0</v>
      </c>
      <c r="H3283" s="28" t="e">
        <f>VLOOKUP(E3283,'Cadastro Produtos (kiwkiw)'!C:E,3,0)</f>
        <v>#N/A</v>
      </c>
    </row>
    <row r="3284" spans="7:8" ht="15" customHeight="1" x14ac:dyDescent="0.4">
      <c r="G3284" s="27">
        <f t="shared" si="60"/>
        <v>0</v>
      </c>
      <c r="H3284" s="28" t="e">
        <f>VLOOKUP(E3284,'Cadastro Produtos (kiwkiw)'!C:E,3,0)</f>
        <v>#N/A</v>
      </c>
    </row>
    <row r="3285" spans="7:8" ht="15" customHeight="1" x14ac:dyDescent="0.4">
      <c r="G3285" s="27">
        <f t="shared" si="60"/>
        <v>0</v>
      </c>
      <c r="H3285" s="28" t="e">
        <f>VLOOKUP(E3285,'Cadastro Produtos (kiwkiw)'!C:E,3,0)</f>
        <v>#N/A</v>
      </c>
    </row>
    <row r="3286" spans="7:8" ht="15" customHeight="1" x14ac:dyDescent="0.4">
      <c r="G3286" s="27">
        <f t="shared" si="60"/>
        <v>0</v>
      </c>
      <c r="H3286" s="28" t="e">
        <f>VLOOKUP(E3286,'Cadastro Produtos (kiwkiw)'!C:E,3,0)</f>
        <v>#N/A</v>
      </c>
    </row>
    <row r="3287" spans="7:8" ht="15" customHeight="1" x14ac:dyDescent="0.4">
      <c r="G3287" s="27">
        <f t="shared" si="60"/>
        <v>0</v>
      </c>
      <c r="H3287" s="28" t="e">
        <f>VLOOKUP(E3287,'Cadastro Produtos (kiwkiw)'!C:E,3,0)</f>
        <v>#N/A</v>
      </c>
    </row>
    <row r="3288" spans="7:8" ht="15" customHeight="1" x14ac:dyDescent="0.4">
      <c r="G3288" s="27">
        <f t="shared" si="60"/>
        <v>0</v>
      </c>
      <c r="H3288" s="28" t="e">
        <f>VLOOKUP(E3288,'Cadastro Produtos (kiwkiw)'!C:E,3,0)</f>
        <v>#N/A</v>
      </c>
    </row>
    <row r="3289" spans="7:8" ht="15" customHeight="1" x14ac:dyDescent="0.4">
      <c r="G3289" s="27">
        <f t="shared" si="60"/>
        <v>0</v>
      </c>
      <c r="H3289" s="28" t="e">
        <f>VLOOKUP(E3289,'Cadastro Produtos (kiwkiw)'!C:E,3,0)</f>
        <v>#N/A</v>
      </c>
    </row>
    <row r="3290" spans="7:8" ht="15" customHeight="1" x14ac:dyDescent="0.4">
      <c r="G3290" s="27">
        <f t="shared" si="60"/>
        <v>0</v>
      </c>
      <c r="H3290" s="28" t="e">
        <f>VLOOKUP(E3290,'Cadastro Produtos (kiwkiw)'!C:E,3,0)</f>
        <v>#N/A</v>
      </c>
    </row>
    <row r="3291" spans="7:8" ht="15" customHeight="1" x14ac:dyDescent="0.4">
      <c r="G3291" s="27">
        <f t="shared" si="60"/>
        <v>0</v>
      </c>
      <c r="H3291" s="28" t="e">
        <f>VLOOKUP(E3291,'Cadastro Produtos (kiwkiw)'!C:E,3,0)</f>
        <v>#N/A</v>
      </c>
    </row>
    <row r="3292" spans="7:8" ht="15" customHeight="1" x14ac:dyDescent="0.4">
      <c r="G3292" s="27">
        <f t="shared" si="60"/>
        <v>0</v>
      </c>
      <c r="H3292" s="28" t="e">
        <f>VLOOKUP(E3292,'Cadastro Produtos (kiwkiw)'!C:E,3,0)</f>
        <v>#N/A</v>
      </c>
    </row>
    <row r="3293" spans="7:8" ht="15" customHeight="1" x14ac:dyDescent="0.4">
      <c r="G3293" s="27">
        <f t="shared" si="60"/>
        <v>0</v>
      </c>
      <c r="H3293" s="28" t="e">
        <f>VLOOKUP(E3293,'Cadastro Produtos (kiwkiw)'!C:E,3,0)</f>
        <v>#N/A</v>
      </c>
    </row>
    <row r="3294" spans="7:8" ht="15" customHeight="1" x14ac:dyDescent="0.4">
      <c r="G3294" s="27">
        <f t="shared" si="60"/>
        <v>0</v>
      </c>
      <c r="H3294" s="28" t="e">
        <f>VLOOKUP(E3294,'Cadastro Produtos (kiwkiw)'!C:E,3,0)</f>
        <v>#N/A</v>
      </c>
    </row>
    <row r="3295" spans="7:8" ht="15" customHeight="1" x14ac:dyDescent="0.4">
      <c r="G3295" s="27">
        <f t="shared" si="60"/>
        <v>0</v>
      </c>
      <c r="H3295" s="28" t="e">
        <f>VLOOKUP(E3295,'Cadastro Produtos (kiwkiw)'!C:E,3,0)</f>
        <v>#N/A</v>
      </c>
    </row>
    <row r="3296" spans="7:8" ht="15" customHeight="1" x14ac:dyDescent="0.4">
      <c r="G3296" s="27">
        <f t="shared" si="60"/>
        <v>0</v>
      </c>
      <c r="H3296" s="28" t="e">
        <f>VLOOKUP(E3296,'Cadastro Produtos (kiwkiw)'!C:E,3,0)</f>
        <v>#N/A</v>
      </c>
    </row>
    <row r="3297" spans="7:8" ht="15" customHeight="1" x14ac:dyDescent="0.4">
      <c r="G3297" s="27">
        <f t="shared" si="60"/>
        <v>0</v>
      </c>
      <c r="H3297" s="28" t="e">
        <f>VLOOKUP(E3297,'Cadastro Produtos (kiwkiw)'!C:E,3,0)</f>
        <v>#N/A</v>
      </c>
    </row>
    <row r="3298" spans="7:8" ht="15" customHeight="1" x14ac:dyDescent="0.4">
      <c r="G3298" s="27">
        <f t="shared" si="60"/>
        <v>0</v>
      </c>
      <c r="H3298" s="28" t="e">
        <f>VLOOKUP(E3298,'Cadastro Produtos (kiwkiw)'!C:E,3,0)</f>
        <v>#N/A</v>
      </c>
    </row>
    <row r="3299" spans="7:8" ht="15" customHeight="1" x14ac:dyDescent="0.4">
      <c r="G3299" s="27">
        <f t="shared" si="60"/>
        <v>0</v>
      </c>
      <c r="H3299" s="28" t="e">
        <f>VLOOKUP(E3299,'Cadastro Produtos (kiwkiw)'!C:E,3,0)</f>
        <v>#N/A</v>
      </c>
    </row>
    <row r="3300" spans="7:8" ht="15" customHeight="1" x14ac:dyDescent="0.4">
      <c r="G3300" s="27">
        <f t="shared" si="60"/>
        <v>0</v>
      </c>
      <c r="H3300" s="28" t="e">
        <f>VLOOKUP(E3300,'Cadastro Produtos (kiwkiw)'!C:E,3,0)</f>
        <v>#N/A</v>
      </c>
    </row>
    <row r="3301" spans="7:8" ht="15" customHeight="1" x14ac:dyDescent="0.4">
      <c r="G3301" s="27">
        <f t="shared" si="60"/>
        <v>0</v>
      </c>
      <c r="H3301" s="28" t="e">
        <f>VLOOKUP(E3301,'Cadastro Produtos (kiwkiw)'!C:E,3,0)</f>
        <v>#N/A</v>
      </c>
    </row>
    <row r="3302" spans="7:8" ht="15" customHeight="1" x14ac:dyDescent="0.4">
      <c r="G3302" s="27">
        <f t="shared" si="60"/>
        <v>0</v>
      </c>
      <c r="H3302" s="28" t="e">
        <f>VLOOKUP(E3302,'Cadastro Produtos (kiwkiw)'!C:E,3,0)</f>
        <v>#N/A</v>
      </c>
    </row>
    <row r="3303" spans="7:8" ht="15" customHeight="1" x14ac:dyDescent="0.4">
      <c r="G3303" s="27">
        <f t="shared" si="60"/>
        <v>0</v>
      </c>
      <c r="H3303" s="28" t="e">
        <f>VLOOKUP(E3303,'Cadastro Produtos (kiwkiw)'!C:E,3,0)</f>
        <v>#N/A</v>
      </c>
    </row>
    <row r="3304" spans="7:8" ht="15" customHeight="1" x14ac:dyDescent="0.4">
      <c r="G3304" s="27">
        <f t="shared" si="60"/>
        <v>0</v>
      </c>
      <c r="H3304" s="28" t="e">
        <f>VLOOKUP(E3304,'Cadastro Produtos (kiwkiw)'!C:E,3,0)</f>
        <v>#N/A</v>
      </c>
    </row>
    <row r="3305" spans="7:8" ht="15" customHeight="1" x14ac:dyDescent="0.4">
      <c r="G3305" s="27">
        <f t="shared" si="60"/>
        <v>0</v>
      </c>
      <c r="H3305" s="28" t="e">
        <f>VLOOKUP(E3305,'Cadastro Produtos (kiwkiw)'!C:E,3,0)</f>
        <v>#N/A</v>
      </c>
    </row>
    <row r="3306" spans="7:8" ht="15" customHeight="1" x14ac:dyDescent="0.4">
      <c r="G3306" s="27">
        <f t="shared" si="60"/>
        <v>0</v>
      </c>
      <c r="H3306" s="28" t="e">
        <f>VLOOKUP(E3306,'Cadastro Produtos (kiwkiw)'!C:E,3,0)</f>
        <v>#N/A</v>
      </c>
    </row>
    <row r="3307" spans="7:8" ht="15" customHeight="1" x14ac:dyDescent="0.4">
      <c r="G3307" s="27">
        <f t="shared" si="60"/>
        <v>0</v>
      </c>
      <c r="H3307" s="28" t="e">
        <f>VLOOKUP(E3307,'Cadastro Produtos (kiwkiw)'!C:E,3,0)</f>
        <v>#N/A</v>
      </c>
    </row>
    <row r="3308" spans="7:8" ht="15" customHeight="1" x14ac:dyDescent="0.4">
      <c r="G3308" s="27">
        <f t="shared" si="60"/>
        <v>0</v>
      </c>
      <c r="H3308" s="28" t="e">
        <f>VLOOKUP(E3308,'Cadastro Produtos (kiwkiw)'!C:E,3,0)</f>
        <v>#N/A</v>
      </c>
    </row>
    <row r="3309" spans="7:8" ht="15" customHeight="1" x14ac:dyDescent="0.4">
      <c r="G3309" s="27">
        <f t="shared" si="60"/>
        <v>0</v>
      </c>
      <c r="H3309" s="28" t="e">
        <f>VLOOKUP(E3309,'Cadastro Produtos (kiwkiw)'!C:E,3,0)</f>
        <v>#N/A</v>
      </c>
    </row>
    <row r="3310" spans="7:8" ht="15" customHeight="1" x14ac:dyDescent="0.4">
      <c r="G3310" s="27">
        <f t="shared" si="60"/>
        <v>0</v>
      </c>
      <c r="H3310" s="28" t="e">
        <f>VLOOKUP(E3310,'Cadastro Produtos (kiwkiw)'!C:E,3,0)</f>
        <v>#N/A</v>
      </c>
    </row>
    <row r="3311" spans="7:8" ht="15" customHeight="1" x14ac:dyDescent="0.4">
      <c r="G3311" s="27">
        <f t="shared" si="60"/>
        <v>0</v>
      </c>
      <c r="H3311" s="28" t="e">
        <f>VLOOKUP(E3311,'Cadastro Produtos (kiwkiw)'!C:E,3,0)</f>
        <v>#N/A</v>
      </c>
    </row>
    <row r="3312" spans="7:8" ht="15" customHeight="1" x14ac:dyDescent="0.4">
      <c r="G3312" s="27">
        <f t="shared" si="60"/>
        <v>0</v>
      </c>
      <c r="H3312" s="28" t="e">
        <f>VLOOKUP(E3312,'Cadastro Produtos (kiwkiw)'!C:E,3,0)</f>
        <v>#N/A</v>
      </c>
    </row>
    <row r="3313" spans="7:8" ht="15" customHeight="1" x14ac:dyDescent="0.4">
      <c r="G3313" s="27">
        <f t="shared" si="60"/>
        <v>0</v>
      </c>
      <c r="H3313" s="28" t="e">
        <f>VLOOKUP(E3313,'Cadastro Produtos (kiwkiw)'!C:E,3,0)</f>
        <v>#N/A</v>
      </c>
    </row>
    <row r="3314" spans="7:8" ht="15" customHeight="1" x14ac:dyDescent="0.4">
      <c r="G3314" s="27">
        <f t="shared" si="60"/>
        <v>0</v>
      </c>
      <c r="H3314" s="28" t="e">
        <f>VLOOKUP(E3314,'Cadastro Produtos (kiwkiw)'!C:E,3,0)</f>
        <v>#N/A</v>
      </c>
    </row>
    <row r="3315" spans="7:8" ht="15" customHeight="1" x14ac:dyDescent="0.4">
      <c r="G3315" s="27">
        <f t="shared" si="60"/>
        <v>0</v>
      </c>
      <c r="H3315" s="28" t="e">
        <f>VLOOKUP(E3315,'Cadastro Produtos (kiwkiw)'!C:E,3,0)</f>
        <v>#N/A</v>
      </c>
    </row>
    <row r="3316" spans="7:8" ht="15" customHeight="1" x14ac:dyDescent="0.4">
      <c r="G3316" s="27">
        <f t="shared" si="60"/>
        <v>0</v>
      </c>
      <c r="H3316" s="28" t="e">
        <f>VLOOKUP(E3316,'Cadastro Produtos (kiwkiw)'!C:E,3,0)</f>
        <v>#N/A</v>
      </c>
    </row>
    <row r="3317" spans="7:8" ht="15" customHeight="1" x14ac:dyDescent="0.4">
      <c r="G3317" s="27">
        <f t="shared" si="60"/>
        <v>0</v>
      </c>
      <c r="H3317" s="28" t="e">
        <f>VLOOKUP(E3317,'Cadastro Produtos (kiwkiw)'!C:E,3,0)</f>
        <v>#N/A</v>
      </c>
    </row>
    <row r="3318" spans="7:8" ht="15" customHeight="1" x14ac:dyDescent="0.4">
      <c r="G3318" s="27">
        <f t="shared" si="60"/>
        <v>0</v>
      </c>
      <c r="H3318" s="28" t="e">
        <f>VLOOKUP(E3318,'Cadastro Produtos (kiwkiw)'!C:E,3,0)</f>
        <v>#N/A</v>
      </c>
    </row>
    <row r="3319" spans="7:8" ht="15" customHeight="1" x14ac:dyDescent="0.4">
      <c r="G3319" s="27">
        <f t="shared" ref="G3319:G3382" si="61">IF(C3319="Entrada",F3319,-F3319)</f>
        <v>0</v>
      </c>
      <c r="H3319" s="28" t="e">
        <f>VLOOKUP(E3319,'Cadastro Produtos (kiwkiw)'!C:E,3,0)</f>
        <v>#N/A</v>
      </c>
    </row>
    <row r="3320" spans="7:8" ht="15" customHeight="1" x14ac:dyDescent="0.4">
      <c r="G3320" s="27">
        <f t="shared" si="61"/>
        <v>0</v>
      </c>
      <c r="H3320" s="28" t="e">
        <f>VLOOKUP(E3320,'Cadastro Produtos (kiwkiw)'!C:E,3,0)</f>
        <v>#N/A</v>
      </c>
    </row>
    <row r="3321" spans="7:8" ht="15" customHeight="1" x14ac:dyDescent="0.4">
      <c r="G3321" s="27">
        <f t="shared" si="61"/>
        <v>0</v>
      </c>
      <c r="H3321" s="28" t="e">
        <f>VLOOKUP(E3321,'Cadastro Produtos (kiwkiw)'!C:E,3,0)</f>
        <v>#N/A</v>
      </c>
    </row>
    <row r="3322" spans="7:8" ht="15" customHeight="1" x14ac:dyDescent="0.4">
      <c r="G3322" s="27">
        <f t="shared" si="61"/>
        <v>0</v>
      </c>
      <c r="H3322" s="28" t="e">
        <f>VLOOKUP(E3322,'Cadastro Produtos (kiwkiw)'!C:E,3,0)</f>
        <v>#N/A</v>
      </c>
    </row>
    <row r="3323" spans="7:8" ht="15" customHeight="1" x14ac:dyDescent="0.4">
      <c r="G3323" s="27">
        <f t="shared" si="61"/>
        <v>0</v>
      </c>
      <c r="H3323" s="28" t="e">
        <f>VLOOKUP(E3323,'Cadastro Produtos (kiwkiw)'!C:E,3,0)</f>
        <v>#N/A</v>
      </c>
    </row>
    <row r="3324" spans="7:8" ht="15" customHeight="1" x14ac:dyDescent="0.4">
      <c r="G3324" s="27">
        <f t="shared" si="61"/>
        <v>0</v>
      </c>
      <c r="H3324" s="28" t="e">
        <f>VLOOKUP(E3324,'Cadastro Produtos (kiwkiw)'!C:E,3,0)</f>
        <v>#N/A</v>
      </c>
    </row>
    <row r="3325" spans="7:8" ht="15" customHeight="1" x14ac:dyDescent="0.4">
      <c r="G3325" s="27">
        <f t="shared" si="61"/>
        <v>0</v>
      </c>
      <c r="H3325" s="28" t="e">
        <f>VLOOKUP(E3325,'Cadastro Produtos (kiwkiw)'!C:E,3,0)</f>
        <v>#N/A</v>
      </c>
    </row>
    <row r="3326" spans="7:8" ht="15" customHeight="1" x14ac:dyDescent="0.4">
      <c r="G3326" s="27">
        <f t="shared" si="61"/>
        <v>0</v>
      </c>
      <c r="H3326" s="28" t="e">
        <f>VLOOKUP(E3326,'Cadastro Produtos (kiwkiw)'!C:E,3,0)</f>
        <v>#N/A</v>
      </c>
    </row>
    <row r="3327" spans="7:8" ht="15" customHeight="1" x14ac:dyDescent="0.4">
      <c r="G3327" s="27">
        <f t="shared" si="61"/>
        <v>0</v>
      </c>
      <c r="H3327" s="28" t="e">
        <f>VLOOKUP(E3327,'Cadastro Produtos (kiwkiw)'!C:E,3,0)</f>
        <v>#N/A</v>
      </c>
    </row>
    <row r="3328" spans="7:8" ht="15" customHeight="1" x14ac:dyDescent="0.4">
      <c r="G3328" s="27">
        <f t="shared" si="61"/>
        <v>0</v>
      </c>
      <c r="H3328" s="28" t="e">
        <f>VLOOKUP(E3328,'Cadastro Produtos (kiwkiw)'!C:E,3,0)</f>
        <v>#N/A</v>
      </c>
    </row>
    <row r="3329" spans="7:8" ht="15" customHeight="1" x14ac:dyDescent="0.4">
      <c r="G3329" s="27">
        <f t="shared" si="61"/>
        <v>0</v>
      </c>
      <c r="H3329" s="28" t="e">
        <f>VLOOKUP(E3329,'Cadastro Produtos (kiwkiw)'!C:E,3,0)</f>
        <v>#N/A</v>
      </c>
    </row>
    <row r="3330" spans="7:8" ht="15" customHeight="1" x14ac:dyDescent="0.4">
      <c r="G3330" s="27">
        <f t="shared" si="61"/>
        <v>0</v>
      </c>
      <c r="H3330" s="28" t="e">
        <f>VLOOKUP(E3330,'Cadastro Produtos (kiwkiw)'!C:E,3,0)</f>
        <v>#N/A</v>
      </c>
    </row>
    <row r="3331" spans="7:8" ht="15" customHeight="1" x14ac:dyDescent="0.4">
      <c r="G3331" s="27">
        <f t="shared" si="61"/>
        <v>0</v>
      </c>
      <c r="H3331" s="28" t="e">
        <f>VLOOKUP(E3331,'Cadastro Produtos (kiwkiw)'!C:E,3,0)</f>
        <v>#N/A</v>
      </c>
    </row>
    <row r="3332" spans="7:8" ht="15" customHeight="1" x14ac:dyDescent="0.4">
      <c r="G3332" s="27">
        <f t="shared" si="61"/>
        <v>0</v>
      </c>
      <c r="H3332" s="28" t="e">
        <f>VLOOKUP(E3332,'Cadastro Produtos (kiwkiw)'!C:E,3,0)</f>
        <v>#N/A</v>
      </c>
    </row>
    <row r="3333" spans="7:8" ht="15" customHeight="1" x14ac:dyDescent="0.4">
      <c r="G3333" s="27">
        <f t="shared" si="61"/>
        <v>0</v>
      </c>
      <c r="H3333" s="28" t="e">
        <f>VLOOKUP(E3333,'Cadastro Produtos (kiwkiw)'!C:E,3,0)</f>
        <v>#N/A</v>
      </c>
    </row>
    <row r="3334" spans="7:8" ht="15" customHeight="1" x14ac:dyDescent="0.4">
      <c r="G3334" s="27">
        <f t="shared" si="61"/>
        <v>0</v>
      </c>
      <c r="H3334" s="28" t="e">
        <f>VLOOKUP(E3334,'Cadastro Produtos (kiwkiw)'!C:E,3,0)</f>
        <v>#N/A</v>
      </c>
    </row>
    <row r="3335" spans="7:8" ht="15" customHeight="1" x14ac:dyDescent="0.4">
      <c r="G3335" s="27">
        <f t="shared" si="61"/>
        <v>0</v>
      </c>
      <c r="H3335" s="28" t="e">
        <f>VLOOKUP(E3335,'Cadastro Produtos (kiwkiw)'!C:E,3,0)</f>
        <v>#N/A</v>
      </c>
    </row>
    <row r="3336" spans="7:8" ht="15" customHeight="1" x14ac:dyDescent="0.4">
      <c r="G3336" s="27">
        <f t="shared" si="61"/>
        <v>0</v>
      </c>
      <c r="H3336" s="28" t="e">
        <f>VLOOKUP(E3336,'Cadastro Produtos (kiwkiw)'!C:E,3,0)</f>
        <v>#N/A</v>
      </c>
    </row>
    <row r="3337" spans="7:8" ht="15" customHeight="1" x14ac:dyDescent="0.4">
      <c r="G3337" s="27">
        <f t="shared" si="61"/>
        <v>0</v>
      </c>
      <c r="H3337" s="28" t="e">
        <f>VLOOKUP(E3337,'Cadastro Produtos (kiwkiw)'!C:E,3,0)</f>
        <v>#N/A</v>
      </c>
    </row>
    <row r="3338" spans="7:8" ht="15" customHeight="1" x14ac:dyDescent="0.4">
      <c r="G3338" s="27">
        <f t="shared" si="61"/>
        <v>0</v>
      </c>
      <c r="H3338" s="28" t="e">
        <f>VLOOKUP(E3338,'Cadastro Produtos (kiwkiw)'!C:E,3,0)</f>
        <v>#N/A</v>
      </c>
    </row>
    <row r="3339" spans="7:8" ht="15" customHeight="1" x14ac:dyDescent="0.4">
      <c r="G3339" s="27">
        <f t="shared" si="61"/>
        <v>0</v>
      </c>
      <c r="H3339" s="28" t="e">
        <f>VLOOKUP(E3339,'Cadastro Produtos (kiwkiw)'!C:E,3,0)</f>
        <v>#N/A</v>
      </c>
    </row>
    <row r="3340" spans="7:8" ht="15" customHeight="1" x14ac:dyDescent="0.4">
      <c r="G3340" s="27">
        <f t="shared" si="61"/>
        <v>0</v>
      </c>
      <c r="H3340" s="28" t="e">
        <f>VLOOKUP(E3340,'Cadastro Produtos (kiwkiw)'!C:E,3,0)</f>
        <v>#N/A</v>
      </c>
    </row>
    <row r="3341" spans="7:8" ht="15" customHeight="1" x14ac:dyDescent="0.4">
      <c r="G3341" s="27">
        <f t="shared" si="61"/>
        <v>0</v>
      </c>
      <c r="H3341" s="28" t="e">
        <f>VLOOKUP(E3341,'Cadastro Produtos (kiwkiw)'!C:E,3,0)</f>
        <v>#N/A</v>
      </c>
    </row>
    <row r="3342" spans="7:8" ht="15" customHeight="1" x14ac:dyDescent="0.4">
      <c r="G3342" s="27">
        <f t="shared" si="61"/>
        <v>0</v>
      </c>
      <c r="H3342" s="28" t="e">
        <f>VLOOKUP(E3342,'Cadastro Produtos (kiwkiw)'!C:E,3,0)</f>
        <v>#N/A</v>
      </c>
    </row>
    <row r="3343" spans="7:8" ht="15" customHeight="1" x14ac:dyDescent="0.4">
      <c r="G3343" s="27">
        <f t="shared" si="61"/>
        <v>0</v>
      </c>
      <c r="H3343" s="28" t="e">
        <f>VLOOKUP(E3343,'Cadastro Produtos (kiwkiw)'!C:E,3,0)</f>
        <v>#N/A</v>
      </c>
    </row>
    <row r="3344" spans="7:8" ht="15" customHeight="1" x14ac:dyDescent="0.4">
      <c r="G3344" s="27">
        <f t="shared" si="61"/>
        <v>0</v>
      </c>
      <c r="H3344" s="28" t="e">
        <f>VLOOKUP(E3344,'Cadastro Produtos (kiwkiw)'!C:E,3,0)</f>
        <v>#N/A</v>
      </c>
    </row>
    <row r="3345" spans="7:8" ht="15" customHeight="1" x14ac:dyDescent="0.4">
      <c r="G3345" s="27">
        <f t="shared" si="61"/>
        <v>0</v>
      </c>
      <c r="H3345" s="28" t="e">
        <f>VLOOKUP(E3345,'Cadastro Produtos (kiwkiw)'!C:E,3,0)</f>
        <v>#N/A</v>
      </c>
    </row>
    <row r="3346" spans="7:8" ht="15" customHeight="1" x14ac:dyDescent="0.4">
      <c r="G3346" s="27">
        <f t="shared" si="61"/>
        <v>0</v>
      </c>
      <c r="H3346" s="28" t="e">
        <f>VLOOKUP(E3346,'Cadastro Produtos (kiwkiw)'!C:E,3,0)</f>
        <v>#N/A</v>
      </c>
    </row>
    <row r="3347" spans="7:8" ht="15" customHeight="1" x14ac:dyDescent="0.4">
      <c r="G3347" s="27">
        <f t="shared" si="61"/>
        <v>0</v>
      </c>
      <c r="H3347" s="28" t="e">
        <f>VLOOKUP(E3347,'Cadastro Produtos (kiwkiw)'!C:E,3,0)</f>
        <v>#N/A</v>
      </c>
    </row>
    <row r="3348" spans="7:8" ht="15" customHeight="1" x14ac:dyDescent="0.4">
      <c r="G3348" s="27">
        <f t="shared" si="61"/>
        <v>0</v>
      </c>
      <c r="H3348" s="28" t="e">
        <f>VLOOKUP(E3348,'Cadastro Produtos (kiwkiw)'!C:E,3,0)</f>
        <v>#N/A</v>
      </c>
    </row>
    <row r="3349" spans="7:8" ht="15" customHeight="1" x14ac:dyDescent="0.4">
      <c r="G3349" s="27">
        <f t="shared" si="61"/>
        <v>0</v>
      </c>
      <c r="H3349" s="28" t="e">
        <f>VLOOKUP(E3349,'Cadastro Produtos (kiwkiw)'!C:E,3,0)</f>
        <v>#N/A</v>
      </c>
    </row>
    <row r="3350" spans="7:8" ht="15" customHeight="1" x14ac:dyDescent="0.4">
      <c r="G3350" s="27">
        <f t="shared" si="61"/>
        <v>0</v>
      </c>
      <c r="H3350" s="28" t="e">
        <f>VLOOKUP(E3350,'Cadastro Produtos (kiwkiw)'!C:E,3,0)</f>
        <v>#N/A</v>
      </c>
    </row>
    <row r="3351" spans="7:8" ht="15" customHeight="1" x14ac:dyDescent="0.4">
      <c r="G3351" s="27">
        <f t="shared" si="61"/>
        <v>0</v>
      </c>
      <c r="H3351" s="28" t="e">
        <f>VLOOKUP(E3351,'Cadastro Produtos (kiwkiw)'!C:E,3,0)</f>
        <v>#N/A</v>
      </c>
    </row>
    <row r="3352" spans="7:8" ht="15" customHeight="1" x14ac:dyDescent="0.4">
      <c r="G3352" s="27">
        <f t="shared" si="61"/>
        <v>0</v>
      </c>
      <c r="H3352" s="28" t="e">
        <f>VLOOKUP(E3352,'Cadastro Produtos (kiwkiw)'!C:E,3,0)</f>
        <v>#N/A</v>
      </c>
    </row>
    <row r="3353" spans="7:8" ht="15" customHeight="1" x14ac:dyDescent="0.4">
      <c r="G3353" s="27">
        <f t="shared" si="61"/>
        <v>0</v>
      </c>
      <c r="H3353" s="28" t="e">
        <f>VLOOKUP(E3353,'Cadastro Produtos (kiwkiw)'!C:E,3,0)</f>
        <v>#N/A</v>
      </c>
    </row>
    <row r="3354" spans="7:8" ht="15" customHeight="1" x14ac:dyDescent="0.4">
      <c r="G3354" s="27">
        <f t="shared" si="61"/>
        <v>0</v>
      </c>
      <c r="H3354" s="28" t="e">
        <f>VLOOKUP(E3354,'Cadastro Produtos (kiwkiw)'!C:E,3,0)</f>
        <v>#N/A</v>
      </c>
    </row>
    <row r="3355" spans="7:8" ht="15" customHeight="1" x14ac:dyDescent="0.4">
      <c r="G3355" s="27">
        <f t="shared" si="61"/>
        <v>0</v>
      </c>
      <c r="H3355" s="28" t="e">
        <f>VLOOKUP(E3355,'Cadastro Produtos (kiwkiw)'!C:E,3,0)</f>
        <v>#N/A</v>
      </c>
    </row>
    <row r="3356" spans="7:8" ht="15" customHeight="1" x14ac:dyDescent="0.4">
      <c r="G3356" s="27">
        <f t="shared" si="61"/>
        <v>0</v>
      </c>
      <c r="H3356" s="28" t="e">
        <f>VLOOKUP(E3356,'Cadastro Produtos (kiwkiw)'!C:E,3,0)</f>
        <v>#N/A</v>
      </c>
    </row>
    <row r="3357" spans="7:8" ht="15" customHeight="1" x14ac:dyDescent="0.4">
      <c r="G3357" s="27">
        <f t="shared" si="61"/>
        <v>0</v>
      </c>
      <c r="H3357" s="28" t="e">
        <f>VLOOKUP(E3357,'Cadastro Produtos (kiwkiw)'!C:E,3,0)</f>
        <v>#N/A</v>
      </c>
    </row>
    <row r="3358" spans="7:8" ht="15" customHeight="1" x14ac:dyDescent="0.4">
      <c r="G3358" s="27">
        <f t="shared" si="61"/>
        <v>0</v>
      </c>
      <c r="H3358" s="28" t="e">
        <f>VLOOKUP(E3358,'Cadastro Produtos (kiwkiw)'!C:E,3,0)</f>
        <v>#N/A</v>
      </c>
    </row>
    <row r="3359" spans="7:8" ht="15" customHeight="1" x14ac:dyDescent="0.4">
      <c r="G3359" s="27">
        <f t="shared" si="61"/>
        <v>0</v>
      </c>
      <c r="H3359" s="28" t="e">
        <f>VLOOKUP(E3359,'Cadastro Produtos (kiwkiw)'!C:E,3,0)</f>
        <v>#N/A</v>
      </c>
    </row>
    <row r="3360" spans="7:8" ht="15" customHeight="1" x14ac:dyDescent="0.4">
      <c r="G3360" s="27">
        <f t="shared" si="61"/>
        <v>0</v>
      </c>
      <c r="H3360" s="28" t="e">
        <f>VLOOKUP(E3360,'Cadastro Produtos (kiwkiw)'!C:E,3,0)</f>
        <v>#N/A</v>
      </c>
    </row>
    <row r="3361" spans="7:8" ht="15" customHeight="1" x14ac:dyDescent="0.4">
      <c r="G3361" s="27">
        <f t="shared" si="61"/>
        <v>0</v>
      </c>
      <c r="H3361" s="28" t="e">
        <f>VLOOKUP(E3361,'Cadastro Produtos (kiwkiw)'!C:E,3,0)</f>
        <v>#N/A</v>
      </c>
    </row>
    <row r="3362" spans="7:8" ht="15" customHeight="1" x14ac:dyDescent="0.4">
      <c r="G3362" s="27">
        <f t="shared" si="61"/>
        <v>0</v>
      </c>
      <c r="H3362" s="28" t="e">
        <f>VLOOKUP(E3362,'Cadastro Produtos (kiwkiw)'!C:E,3,0)</f>
        <v>#N/A</v>
      </c>
    </row>
    <row r="3363" spans="7:8" ht="15" customHeight="1" x14ac:dyDescent="0.4">
      <c r="G3363" s="27">
        <f t="shared" si="61"/>
        <v>0</v>
      </c>
      <c r="H3363" s="28" t="e">
        <f>VLOOKUP(E3363,'Cadastro Produtos (kiwkiw)'!C:E,3,0)</f>
        <v>#N/A</v>
      </c>
    </row>
    <row r="3364" spans="7:8" ht="15" customHeight="1" x14ac:dyDescent="0.4">
      <c r="G3364" s="27">
        <f t="shared" si="61"/>
        <v>0</v>
      </c>
      <c r="H3364" s="28" t="e">
        <f>VLOOKUP(E3364,'Cadastro Produtos (kiwkiw)'!C:E,3,0)</f>
        <v>#N/A</v>
      </c>
    </row>
    <row r="3365" spans="7:8" ht="15" customHeight="1" x14ac:dyDescent="0.4">
      <c r="G3365" s="27">
        <f t="shared" si="61"/>
        <v>0</v>
      </c>
      <c r="H3365" s="28" t="e">
        <f>VLOOKUP(E3365,'Cadastro Produtos (kiwkiw)'!C:E,3,0)</f>
        <v>#N/A</v>
      </c>
    </row>
    <row r="3366" spans="7:8" ht="15" customHeight="1" x14ac:dyDescent="0.4">
      <c r="G3366" s="27">
        <f t="shared" si="61"/>
        <v>0</v>
      </c>
      <c r="H3366" s="28" t="e">
        <f>VLOOKUP(E3366,'Cadastro Produtos (kiwkiw)'!C:E,3,0)</f>
        <v>#N/A</v>
      </c>
    </row>
    <row r="3367" spans="7:8" ht="15" customHeight="1" x14ac:dyDescent="0.4">
      <c r="G3367" s="27">
        <f t="shared" si="61"/>
        <v>0</v>
      </c>
      <c r="H3367" s="28" t="e">
        <f>VLOOKUP(E3367,'Cadastro Produtos (kiwkiw)'!C:E,3,0)</f>
        <v>#N/A</v>
      </c>
    </row>
    <row r="3368" spans="7:8" ht="15" customHeight="1" x14ac:dyDescent="0.4">
      <c r="G3368" s="27">
        <f t="shared" si="61"/>
        <v>0</v>
      </c>
      <c r="H3368" s="28" t="e">
        <f>VLOOKUP(E3368,'Cadastro Produtos (kiwkiw)'!C:E,3,0)</f>
        <v>#N/A</v>
      </c>
    </row>
    <row r="3369" spans="7:8" ht="15" customHeight="1" x14ac:dyDescent="0.4">
      <c r="G3369" s="27">
        <f t="shared" si="61"/>
        <v>0</v>
      </c>
      <c r="H3369" s="28" t="e">
        <f>VLOOKUP(E3369,'Cadastro Produtos (kiwkiw)'!C:E,3,0)</f>
        <v>#N/A</v>
      </c>
    </row>
    <row r="3370" spans="7:8" ht="15" customHeight="1" x14ac:dyDescent="0.4">
      <c r="G3370" s="27">
        <f t="shared" si="61"/>
        <v>0</v>
      </c>
      <c r="H3370" s="28" t="e">
        <f>VLOOKUP(E3370,'Cadastro Produtos (kiwkiw)'!C:E,3,0)</f>
        <v>#N/A</v>
      </c>
    </row>
    <row r="3371" spans="7:8" ht="15" customHeight="1" x14ac:dyDescent="0.4">
      <c r="G3371" s="27">
        <f t="shared" si="61"/>
        <v>0</v>
      </c>
      <c r="H3371" s="28" t="e">
        <f>VLOOKUP(E3371,'Cadastro Produtos (kiwkiw)'!C:E,3,0)</f>
        <v>#N/A</v>
      </c>
    </row>
    <row r="3372" spans="7:8" ht="15" customHeight="1" x14ac:dyDescent="0.4">
      <c r="G3372" s="27">
        <f t="shared" si="61"/>
        <v>0</v>
      </c>
      <c r="H3372" s="28" t="e">
        <f>VLOOKUP(E3372,'Cadastro Produtos (kiwkiw)'!C:E,3,0)</f>
        <v>#N/A</v>
      </c>
    </row>
    <row r="3373" spans="7:8" ht="15" customHeight="1" x14ac:dyDescent="0.4">
      <c r="G3373" s="27">
        <f t="shared" si="61"/>
        <v>0</v>
      </c>
      <c r="H3373" s="28" t="e">
        <f>VLOOKUP(E3373,'Cadastro Produtos (kiwkiw)'!C:E,3,0)</f>
        <v>#N/A</v>
      </c>
    </row>
    <row r="3374" spans="7:8" ht="15" customHeight="1" x14ac:dyDescent="0.4">
      <c r="G3374" s="27">
        <f t="shared" si="61"/>
        <v>0</v>
      </c>
      <c r="H3374" s="28" t="e">
        <f>VLOOKUP(E3374,'Cadastro Produtos (kiwkiw)'!C:E,3,0)</f>
        <v>#N/A</v>
      </c>
    </row>
    <row r="3375" spans="7:8" ht="15" customHeight="1" x14ac:dyDescent="0.4">
      <c r="G3375" s="27">
        <f t="shared" si="61"/>
        <v>0</v>
      </c>
      <c r="H3375" s="28" t="e">
        <f>VLOOKUP(E3375,'Cadastro Produtos (kiwkiw)'!C:E,3,0)</f>
        <v>#N/A</v>
      </c>
    </row>
    <row r="3376" spans="7:8" ht="15" customHeight="1" x14ac:dyDescent="0.4">
      <c r="G3376" s="27">
        <f t="shared" si="61"/>
        <v>0</v>
      </c>
      <c r="H3376" s="28" t="e">
        <f>VLOOKUP(E3376,'Cadastro Produtos (kiwkiw)'!C:E,3,0)</f>
        <v>#N/A</v>
      </c>
    </row>
    <row r="3377" spans="7:8" ht="15" customHeight="1" x14ac:dyDescent="0.4">
      <c r="G3377" s="27">
        <f t="shared" si="61"/>
        <v>0</v>
      </c>
      <c r="H3377" s="28" t="e">
        <f>VLOOKUP(E3377,'Cadastro Produtos (kiwkiw)'!C:E,3,0)</f>
        <v>#N/A</v>
      </c>
    </row>
    <row r="3378" spans="7:8" ht="15" customHeight="1" x14ac:dyDescent="0.4">
      <c r="G3378" s="27">
        <f t="shared" si="61"/>
        <v>0</v>
      </c>
      <c r="H3378" s="28" t="e">
        <f>VLOOKUP(E3378,'Cadastro Produtos (kiwkiw)'!C:E,3,0)</f>
        <v>#N/A</v>
      </c>
    </row>
    <row r="3379" spans="7:8" ht="15" customHeight="1" x14ac:dyDescent="0.4">
      <c r="G3379" s="27">
        <f t="shared" si="61"/>
        <v>0</v>
      </c>
      <c r="H3379" s="28" t="e">
        <f>VLOOKUP(E3379,'Cadastro Produtos (kiwkiw)'!C:E,3,0)</f>
        <v>#N/A</v>
      </c>
    </row>
    <row r="3380" spans="7:8" ht="15" customHeight="1" x14ac:dyDescent="0.4">
      <c r="G3380" s="27">
        <f t="shared" si="61"/>
        <v>0</v>
      </c>
      <c r="H3380" s="28" t="e">
        <f>VLOOKUP(E3380,'Cadastro Produtos (kiwkiw)'!C:E,3,0)</f>
        <v>#N/A</v>
      </c>
    </row>
    <row r="3381" spans="7:8" ht="15" customHeight="1" x14ac:dyDescent="0.4">
      <c r="G3381" s="27">
        <f t="shared" si="61"/>
        <v>0</v>
      </c>
      <c r="H3381" s="28" t="e">
        <f>VLOOKUP(E3381,'Cadastro Produtos (kiwkiw)'!C:E,3,0)</f>
        <v>#N/A</v>
      </c>
    </row>
    <row r="3382" spans="7:8" ht="15" customHeight="1" x14ac:dyDescent="0.4">
      <c r="G3382" s="27">
        <f t="shared" si="61"/>
        <v>0</v>
      </c>
      <c r="H3382" s="28" t="e">
        <f>VLOOKUP(E3382,'Cadastro Produtos (kiwkiw)'!C:E,3,0)</f>
        <v>#N/A</v>
      </c>
    </row>
    <row r="3383" spans="7:8" ht="15" customHeight="1" x14ac:dyDescent="0.4">
      <c r="G3383" s="27">
        <f t="shared" ref="G3383:G3446" si="62">IF(C3383="Entrada",F3383,-F3383)</f>
        <v>0</v>
      </c>
      <c r="H3383" s="28" t="e">
        <f>VLOOKUP(E3383,'Cadastro Produtos (kiwkiw)'!C:E,3,0)</f>
        <v>#N/A</v>
      </c>
    </row>
    <row r="3384" spans="7:8" ht="15" customHeight="1" x14ac:dyDescent="0.4">
      <c r="G3384" s="27">
        <f t="shared" si="62"/>
        <v>0</v>
      </c>
      <c r="H3384" s="28" t="e">
        <f>VLOOKUP(E3384,'Cadastro Produtos (kiwkiw)'!C:E,3,0)</f>
        <v>#N/A</v>
      </c>
    </row>
    <row r="3385" spans="7:8" ht="15" customHeight="1" x14ac:dyDescent="0.4">
      <c r="G3385" s="27">
        <f t="shared" si="62"/>
        <v>0</v>
      </c>
      <c r="H3385" s="28" t="e">
        <f>VLOOKUP(E3385,'Cadastro Produtos (kiwkiw)'!C:E,3,0)</f>
        <v>#N/A</v>
      </c>
    </row>
    <row r="3386" spans="7:8" ht="15" customHeight="1" x14ac:dyDescent="0.4">
      <c r="G3386" s="27">
        <f t="shared" si="62"/>
        <v>0</v>
      </c>
      <c r="H3386" s="28" t="e">
        <f>VLOOKUP(E3386,'Cadastro Produtos (kiwkiw)'!C:E,3,0)</f>
        <v>#N/A</v>
      </c>
    </row>
    <row r="3387" spans="7:8" ht="15" customHeight="1" x14ac:dyDescent="0.4">
      <c r="G3387" s="27">
        <f t="shared" si="62"/>
        <v>0</v>
      </c>
      <c r="H3387" s="28" t="e">
        <f>VLOOKUP(E3387,'Cadastro Produtos (kiwkiw)'!C:E,3,0)</f>
        <v>#N/A</v>
      </c>
    </row>
    <row r="3388" spans="7:8" ht="15" customHeight="1" x14ac:dyDescent="0.4">
      <c r="G3388" s="27">
        <f t="shared" si="62"/>
        <v>0</v>
      </c>
      <c r="H3388" s="28" t="e">
        <f>VLOOKUP(E3388,'Cadastro Produtos (kiwkiw)'!C:E,3,0)</f>
        <v>#N/A</v>
      </c>
    </row>
    <row r="3389" spans="7:8" ht="15" customHeight="1" x14ac:dyDescent="0.4">
      <c r="G3389" s="27">
        <f t="shared" si="62"/>
        <v>0</v>
      </c>
      <c r="H3389" s="28" t="e">
        <f>VLOOKUP(E3389,'Cadastro Produtos (kiwkiw)'!C:E,3,0)</f>
        <v>#N/A</v>
      </c>
    </row>
    <row r="3390" spans="7:8" ht="15" customHeight="1" x14ac:dyDescent="0.4">
      <c r="G3390" s="27">
        <f t="shared" si="62"/>
        <v>0</v>
      </c>
      <c r="H3390" s="28" t="e">
        <f>VLOOKUP(E3390,'Cadastro Produtos (kiwkiw)'!C:E,3,0)</f>
        <v>#N/A</v>
      </c>
    </row>
    <row r="3391" spans="7:8" ht="15" customHeight="1" x14ac:dyDescent="0.4">
      <c r="G3391" s="27">
        <f t="shared" si="62"/>
        <v>0</v>
      </c>
      <c r="H3391" s="28" t="e">
        <f>VLOOKUP(E3391,'Cadastro Produtos (kiwkiw)'!C:E,3,0)</f>
        <v>#N/A</v>
      </c>
    </row>
    <row r="3392" spans="7:8" ht="15" customHeight="1" x14ac:dyDescent="0.4">
      <c r="G3392" s="27">
        <f t="shared" si="62"/>
        <v>0</v>
      </c>
      <c r="H3392" s="28" t="e">
        <f>VLOOKUP(E3392,'Cadastro Produtos (kiwkiw)'!C:E,3,0)</f>
        <v>#N/A</v>
      </c>
    </row>
    <row r="3393" spans="7:8" ht="15" customHeight="1" x14ac:dyDescent="0.4">
      <c r="G3393" s="27">
        <f t="shared" si="62"/>
        <v>0</v>
      </c>
      <c r="H3393" s="28" t="e">
        <f>VLOOKUP(E3393,'Cadastro Produtos (kiwkiw)'!C:E,3,0)</f>
        <v>#N/A</v>
      </c>
    </row>
    <row r="3394" spans="7:8" ht="15" customHeight="1" x14ac:dyDescent="0.4">
      <c r="G3394" s="27">
        <f t="shared" si="62"/>
        <v>0</v>
      </c>
      <c r="H3394" s="28" t="e">
        <f>VLOOKUP(E3394,'Cadastro Produtos (kiwkiw)'!C:E,3,0)</f>
        <v>#N/A</v>
      </c>
    </row>
    <row r="3395" spans="7:8" ht="15" customHeight="1" x14ac:dyDescent="0.4">
      <c r="G3395" s="27">
        <f t="shared" si="62"/>
        <v>0</v>
      </c>
      <c r="H3395" s="28" t="e">
        <f>VLOOKUP(E3395,'Cadastro Produtos (kiwkiw)'!C:E,3,0)</f>
        <v>#N/A</v>
      </c>
    </row>
    <row r="3396" spans="7:8" ht="15" customHeight="1" x14ac:dyDescent="0.4">
      <c r="G3396" s="27">
        <f t="shared" si="62"/>
        <v>0</v>
      </c>
      <c r="H3396" s="28" t="e">
        <f>VLOOKUP(E3396,'Cadastro Produtos (kiwkiw)'!C:E,3,0)</f>
        <v>#N/A</v>
      </c>
    </row>
    <row r="3397" spans="7:8" ht="15" customHeight="1" x14ac:dyDescent="0.4">
      <c r="G3397" s="27">
        <f t="shared" si="62"/>
        <v>0</v>
      </c>
      <c r="H3397" s="28" t="e">
        <f>VLOOKUP(E3397,'Cadastro Produtos (kiwkiw)'!C:E,3,0)</f>
        <v>#N/A</v>
      </c>
    </row>
    <row r="3398" spans="7:8" ht="15" customHeight="1" x14ac:dyDescent="0.4">
      <c r="G3398" s="27">
        <f t="shared" si="62"/>
        <v>0</v>
      </c>
      <c r="H3398" s="28" t="e">
        <f>VLOOKUP(E3398,'Cadastro Produtos (kiwkiw)'!C:E,3,0)</f>
        <v>#N/A</v>
      </c>
    </row>
    <row r="3399" spans="7:8" ht="15" customHeight="1" x14ac:dyDescent="0.4">
      <c r="G3399" s="27">
        <f t="shared" si="62"/>
        <v>0</v>
      </c>
      <c r="H3399" s="28" t="e">
        <f>VLOOKUP(E3399,'Cadastro Produtos (kiwkiw)'!C:E,3,0)</f>
        <v>#N/A</v>
      </c>
    </row>
    <row r="3400" spans="7:8" ht="15" customHeight="1" x14ac:dyDescent="0.4">
      <c r="G3400" s="27">
        <f t="shared" si="62"/>
        <v>0</v>
      </c>
      <c r="H3400" s="28" t="e">
        <f>VLOOKUP(E3400,'Cadastro Produtos (kiwkiw)'!C:E,3,0)</f>
        <v>#N/A</v>
      </c>
    </row>
    <row r="3401" spans="7:8" ht="15" customHeight="1" x14ac:dyDescent="0.4">
      <c r="G3401" s="27">
        <f t="shared" si="62"/>
        <v>0</v>
      </c>
      <c r="H3401" s="28" t="e">
        <f>VLOOKUP(E3401,'Cadastro Produtos (kiwkiw)'!C:E,3,0)</f>
        <v>#N/A</v>
      </c>
    </row>
    <row r="3402" spans="7:8" ht="15" customHeight="1" x14ac:dyDescent="0.4">
      <c r="G3402" s="27">
        <f t="shared" si="62"/>
        <v>0</v>
      </c>
      <c r="H3402" s="28" t="e">
        <f>VLOOKUP(E3402,'Cadastro Produtos (kiwkiw)'!C:E,3,0)</f>
        <v>#N/A</v>
      </c>
    </row>
    <row r="3403" spans="7:8" ht="15" customHeight="1" x14ac:dyDescent="0.4">
      <c r="G3403" s="27">
        <f t="shared" si="62"/>
        <v>0</v>
      </c>
      <c r="H3403" s="28" t="e">
        <f>VLOOKUP(E3403,'Cadastro Produtos (kiwkiw)'!C:E,3,0)</f>
        <v>#N/A</v>
      </c>
    </row>
    <row r="3404" spans="7:8" ht="15" customHeight="1" x14ac:dyDescent="0.4">
      <c r="G3404" s="27">
        <f t="shared" si="62"/>
        <v>0</v>
      </c>
      <c r="H3404" s="28" t="e">
        <f>VLOOKUP(E3404,'Cadastro Produtos (kiwkiw)'!C:E,3,0)</f>
        <v>#N/A</v>
      </c>
    </row>
    <row r="3405" spans="7:8" ht="15" customHeight="1" x14ac:dyDescent="0.4">
      <c r="G3405" s="27">
        <f t="shared" si="62"/>
        <v>0</v>
      </c>
      <c r="H3405" s="28" t="e">
        <f>VLOOKUP(E3405,'Cadastro Produtos (kiwkiw)'!C:E,3,0)</f>
        <v>#N/A</v>
      </c>
    </row>
    <row r="3406" spans="7:8" ht="15" customHeight="1" x14ac:dyDescent="0.4">
      <c r="G3406" s="27">
        <f t="shared" si="62"/>
        <v>0</v>
      </c>
      <c r="H3406" s="28" t="e">
        <f>VLOOKUP(E3406,'Cadastro Produtos (kiwkiw)'!C:E,3,0)</f>
        <v>#N/A</v>
      </c>
    </row>
    <row r="3407" spans="7:8" ht="15" customHeight="1" x14ac:dyDescent="0.4">
      <c r="G3407" s="27">
        <f t="shared" si="62"/>
        <v>0</v>
      </c>
      <c r="H3407" s="28" t="e">
        <f>VLOOKUP(E3407,'Cadastro Produtos (kiwkiw)'!C:E,3,0)</f>
        <v>#N/A</v>
      </c>
    </row>
    <row r="3408" spans="7:8" ht="15" customHeight="1" x14ac:dyDescent="0.4">
      <c r="G3408" s="27">
        <f t="shared" si="62"/>
        <v>0</v>
      </c>
      <c r="H3408" s="28" t="e">
        <f>VLOOKUP(E3408,'Cadastro Produtos (kiwkiw)'!C:E,3,0)</f>
        <v>#N/A</v>
      </c>
    </row>
    <row r="3409" spans="7:8" ht="15" customHeight="1" x14ac:dyDescent="0.4">
      <c r="G3409" s="27">
        <f t="shared" si="62"/>
        <v>0</v>
      </c>
      <c r="H3409" s="28" t="e">
        <f>VLOOKUP(E3409,'Cadastro Produtos (kiwkiw)'!C:E,3,0)</f>
        <v>#N/A</v>
      </c>
    </row>
    <row r="3410" spans="7:8" ht="15" customHeight="1" x14ac:dyDescent="0.4">
      <c r="G3410" s="27">
        <f t="shared" si="62"/>
        <v>0</v>
      </c>
      <c r="H3410" s="28" t="e">
        <f>VLOOKUP(E3410,'Cadastro Produtos (kiwkiw)'!C:E,3,0)</f>
        <v>#N/A</v>
      </c>
    </row>
    <row r="3411" spans="7:8" ht="15" customHeight="1" x14ac:dyDescent="0.4">
      <c r="G3411" s="27">
        <f t="shared" si="62"/>
        <v>0</v>
      </c>
      <c r="H3411" s="28" t="e">
        <f>VLOOKUP(E3411,'Cadastro Produtos (kiwkiw)'!C:E,3,0)</f>
        <v>#N/A</v>
      </c>
    </row>
    <row r="3412" spans="7:8" ht="15" customHeight="1" x14ac:dyDescent="0.4">
      <c r="G3412" s="27">
        <f t="shared" si="62"/>
        <v>0</v>
      </c>
      <c r="H3412" s="28" t="e">
        <f>VLOOKUP(E3412,'Cadastro Produtos (kiwkiw)'!C:E,3,0)</f>
        <v>#N/A</v>
      </c>
    </row>
    <row r="3413" spans="7:8" ht="15" customHeight="1" x14ac:dyDescent="0.4">
      <c r="G3413" s="27">
        <f t="shared" si="62"/>
        <v>0</v>
      </c>
      <c r="H3413" s="28" t="e">
        <f>VLOOKUP(E3413,'Cadastro Produtos (kiwkiw)'!C:E,3,0)</f>
        <v>#N/A</v>
      </c>
    </row>
    <row r="3414" spans="7:8" ht="15" customHeight="1" x14ac:dyDescent="0.4">
      <c r="G3414" s="27">
        <f t="shared" si="62"/>
        <v>0</v>
      </c>
      <c r="H3414" s="28" t="e">
        <f>VLOOKUP(E3414,'Cadastro Produtos (kiwkiw)'!C:E,3,0)</f>
        <v>#N/A</v>
      </c>
    </row>
    <row r="3415" spans="7:8" ht="15" customHeight="1" x14ac:dyDescent="0.4">
      <c r="G3415" s="27">
        <f t="shared" si="62"/>
        <v>0</v>
      </c>
      <c r="H3415" s="28" t="e">
        <f>VLOOKUP(E3415,'Cadastro Produtos (kiwkiw)'!C:E,3,0)</f>
        <v>#N/A</v>
      </c>
    </row>
    <row r="3416" spans="7:8" ht="15" customHeight="1" x14ac:dyDescent="0.4">
      <c r="G3416" s="27">
        <f t="shared" si="62"/>
        <v>0</v>
      </c>
      <c r="H3416" s="28" t="e">
        <f>VLOOKUP(E3416,'Cadastro Produtos (kiwkiw)'!C:E,3,0)</f>
        <v>#N/A</v>
      </c>
    </row>
    <row r="3417" spans="7:8" ht="15" customHeight="1" x14ac:dyDescent="0.4">
      <c r="G3417" s="27">
        <f t="shared" si="62"/>
        <v>0</v>
      </c>
      <c r="H3417" s="28" t="e">
        <f>VLOOKUP(E3417,'Cadastro Produtos (kiwkiw)'!C:E,3,0)</f>
        <v>#N/A</v>
      </c>
    </row>
    <row r="3418" spans="7:8" ht="15" customHeight="1" x14ac:dyDescent="0.4">
      <c r="G3418" s="27">
        <f t="shared" si="62"/>
        <v>0</v>
      </c>
      <c r="H3418" s="28" t="e">
        <f>VLOOKUP(E3418,'Cadastro Produtos (kiwkiw)'!C:E,3,0)</f>
        <v>#N/A</v>
      </c>
    </row>
    <row r="3419" spans="7:8" ht="15" customHeight="1" x14ac:dyDescent="0.4">
      <c r="G3419" s="27">
        <f t="shared" si="62"/>
        <v>0</v>
      </c>
      <c r="H3419" s="28" t="e">
        <f>VLOOKUP(E3419,'Cadastro Produtos (kiwkiw)'!C:E,3,0)</f>
        <v>#N/A</v>
      </c>
    </row>
    <row r="3420" spans="7:8" ht="15" customHeight="1" x14ac:dyDescent="0.4">
      <c r="G3420" s="27">
        <f t="shared" si="62"/>
        <v>0</v>
      </c>
      <c r="H3420" s="28" t="e">
        <f>VLOOKUP(E3420,'Cadastro Produtos (kiwkiw)'!C:E,3,0)</f>
        <v>#N/A</v>
      </c>
    </row>
    <row r="3421" spans="7:8" ht="15" customHeight="1" x14ac:dyDescent="0.4">
      <c r="G3421" s="27">
        <f t="shared" si="62"/>
        <v>0</v>
      </c>
      <c r="H3421" s="28" t="e">
        <f>VLOOKUP(E3421,'Cadastro Produtos (kiwkiw)'!C:E,3,0)</f>
        <v>#N/A</v>
      </c>
    </row>
    <row r="3422" spans="7:8" ht="15" customHeight="1" x14ac:dyDescent="0.4">
      <c r="G3422" s="27">
        <f t="shared" si="62"/>
        <v>0</v>
      </c>
      <c r="H3422" s="28" t="e">
        <f>VLOOKUP(E3422,'Cadastro Produtos (kiwkiw)'!C:E,3,0)</f>
        <v>#N/A</v>
      </c>
    </row>
    <row r="3423" spans="7:8" ht="15" customHeight="1" x14ac:dyDescent="0.4">
      <c r="G3423" s="27">
        <f t="shared" si="62"/>
        <v>0</v>
      </c>
      <c r="H3423" s="28" t="e">
        <f>VLOOKUP(E3423,'Cadastro Produtos (kiwkiw)'!C:E,3,0)</f>
        <v>#N/A</v>
      </c>
    </row>
    <row r="3424" spans="7:8" ht="15" customHeight="1" x14ac:dyDescent="0.4">
      <c r="G3424" s="27">
        <f t="shared" si="62"/>
        <v>0</v>
      </c>
      <c r="H3424" s="28" t="e">
        <f>VLOOKUP(E3424,'Cadastro Produtos (kiwkiw)'!C:E,3,0)</f>
        <v>#N/A</v>
      </c>
    </row>
    <row r="3425" spans="7:8" ht="15" customHeight="1" x14ac:dyDescent="0.4">
      <c r="G3425" s="27">
        <f t="shared" si="62"/>
        <v>0</v>
      </c>
      <c r="H3425" s="28" t="e">
        <f>VLOOKUP(E3425,'Cadastro Produtos (kiwkiw)'!C:E,3,0)</f>
        <v>#N/A</v>
      </c>
    </row>
    <row r="3426" spans="7:8" ht="15" customHeight="1" x14ac:dyDescent="0.4">
      <c r="G3426" s="27">
        <f t="shared" si="62"/>
        <v>0</v>
      </c>
      <c r="H3426" s="28" t="e">
        <f>VLOOKUP(E3426,'Cadastro Produtos (kiwkiw)'!C:E,3,0)</f>
        <v>#N/A</v>
      </c>
    </row>
    <row r="3427" spans="7:8" ht="15" customHeight="1" x14ac:dyDescent="0.4">
      <c r="G3427" s="27">
        <f t="shared" si="62"/>
        <v>0</v>
      </c>
      <c r="H3427" s="28" t="e">
        <f>VLOOKUP(E3427,'Cadastro Produtos (kiwkiw)'!C:E,3,0)</f>
        <v>#N/A</v>
      </c>
    </row>
    <row r="3428" spans="7:8" ht="15" customHeight="1" x14ac:dyDescent="0.4">
      <c r="G3428" s="27">
        <f t="shared" si="62"/>
        <v>0</v>
      </c>
      <c r="H3428" s="28" t="e">
        <f>VLOOKUP(E3428,'Cadastro Produtos (kiwkiw)'!C:E,3,0)</f>
        <v>#N/A</v>
      </c>
    </row>
    <row r="3429" spans="7:8" ht="15" customHeight="1" x14ac:dyDescent="0.4">
      <c r="G3429" s="27">
        <f t="shared" si="62"/>
        <v>0</v>
      </c>
      <c r="H3429" s="28" t="e">
        <f>VLOOKUP(E3429,'Cadastro Produtos (kiwkiw)'!C:E,3,0)</f>
        <v>#N/A</v>
      </c>
    </row>
    <row r="3430" spans="7:8" ht="15" customHeight="1" x14ac:dyDescent="0.4">
      <c r="G3430" s="27">
        <f t="shared" si="62"/>
        <v>0</v>
      </c>
      <c r="H3430" s="28" t="e">
        <f>VLOOKUP(E3430,'Cadastro Produtos (kiwkiw)'!C:E,3,0)</f>
        <v>#N/A</v>
      </c>
    </row>
    <row r="3431" spans="7:8" ht="15" customHeight="1" x14ac:dyDescent="0.4">
      <c r="G3431" s="27">
        <f t="shared" si="62"/>
        <v>0</v>
      </c>
      <c r="H3431" s="28" t="e">
        <f>VLOOKUP(E3431,'Cadastro Produtos (kiwkiw)'!C:E,3,0)</f>
        <v>#N/A</v>
      </c>
    </row>
    <row r="3432" spans="7:8" ht="15" customHeight="1" x14ac:dyDescent="0.4">
      <c r="G3432" s="27">
        <f t="shared" si="62"/>
        <v>0</v>
      </c>
      <c r="H3432" s="28" t="e">
        <f>VLOOKUP(E3432,'Cadastro Produtos (kiwkiw)'!C:E,3,0)</f>
        <v>#N/A</v>
      </c>
    </row>
    <row r="3433" spans="7:8" ht="15" customHeight="1" x14ac:dyDescent="0.4">
      <c r="G3433" s="27">
        <f t="shared" si="62"/>
        <v>0</v>
      </c>
      <c r="H3433" s="28" t="e">
        <f>VLOOKUP(E3433,'Cadastro Produtos (kiwkiw)'!C:E,3,0)</f>
        <v>#N/A</v>
      </c>
    </row>
    <row r="3434" spans="7:8" ht="15" customHeight="1" x14ac:dyDescent="0.4">
      <c r="G3434" s="27">
        <f t="shared" si="62"/>
        <v>0</v>
      </c>
      <c r="H3434" s="28" t="e">
        <f>VLOOKUP(E3434,'Cadastro Produtos (kiwkiw)'!C:E,3,0)</f>
        <v>#N/A</v>
      </c>
    </row>
    <row r="3435" spans="7:8" ht="15" customHeight="1" x14ac:dyDescent="0.4">
      <c r="G3435" s="27">
        <f t="shared" si="62"/>
        <v>0</v>
      </c>
      <c r="H3435" s="28" t="e">
        <f>VLOOKUP(E3435,'Cadastro Produtos (kiwkiw)'!C:E,3,0)</f>
        <v>#N/A</v>
      </c>
    </row>
    <row r="3436" spans="7:8" ht="15" customHeight="1" x14ac:dyDescent="0.4">
      <c r="G3436" s="27">
        <f t="shared" si="62"/>
        <v>0</v>
      </c>
      <c r="H3436" s="28" t="e">
        <f>VLOOKUP(E3436,'Cadastro Produtos (kiwkiw)'!C:E,3,0)</f>
        <v>#N/A</v>
      </c>
    </row>
    <row r="3437" spans="7:8" ht="15" customHeight="1" x14ac:dyDescent="0.4">
      <c r="G3437" s="27">
        <f t="shared" si="62"/>
        <v>0</v>
      </c>
      <c r="H3437" s="28" t="e">
        <f>VLOOKUP(E3437,'Cadastro Produtos (kiwkiw)'!C:E,3,0)</f>
        <v>#N/A</v>
      </c>
    </row>
    <row r="3438" spans="7:8" ht="15" customHeight="1" x14ac:dyDescent="0.4">
      <c r="G3438" s="27">
        <f t="shared" si="62"/>
        <v>0</v>
      </c>
      <c r="H3438" s="28" t="e">
        <f>VLOOKUP(E3438,'Cadastro Produtos (kiwkiw)'!C:E,3,0)</f>
        <v>#N/A</v>
      </c>
    </row>
    <row r="3439" spans="7:8" ht="15" customHeight="1" x14ac:dyDescent="0.4">
      <c r="G3439" s="27">
        <f t="shared" si="62"/>
        <v>0</v>
      </c>
      <c r="H3439" s="28" t="e">
        <f>VLOOKUP(E3439,'Cadastro Produtos (kiwkiw)'!C:E,3,0)</f>
        <v>#N/A</v>
      </c>
    </row>
    <row r="3440" spans="7:8" ht="15" customHeight="1" x14ac:dyDescent="0.4">
      <c r="G3440" s="27">
        <f t="shared" si="62"/>
        <v>0</v>
      </c>
      <c r="H3440" s="28" t="e">
        <f>VLOOKUP(E3440,'Cadastro Produtos (kiwkiw)'!C:E,3,0)</f>
        <v>#N/A</v>
      </c>
    </row>
    <row r="3441" spans="7:8" ht="15" customHeight="1" x14ac:dyDescent="0.4">
      <c r="G3441" s="27">
        <f t="shared" si="62"/>
        <v>0</v>
      </c>
      <c r="H3441" s="28" t="e">
        <f>VLOOKUP(E3441,'Cadastro Produtos (kiwkiw)'!C:E,3,0)</f>
        <v>#N/A</v>
      </c>
    </row>
    <row r="3442" spans="7:8" ht="15" customHeight="1" x14ac:dyDescent="0.4">
      <c r="G3442" s="27">
        <f t="shared" si="62"/>
        <v>0</v>
      </c>
      <c r="H3442" s="28" t="e">
        <f>VLOOKUP(E3442,'Cadastro Produtos (kiwkiw)'!C:E,3,0)</f>
        <v>#N/A</v>
      </c>
    </row>
    <row r="3443" spans="7:8" ht="15" customHeight="1" x14ac:dyDescent="0.4">
      <c r="G3443" s="27">
        <f t="shared" si="62"/>
        <v>0</v>
      </c>
      <c r="H3443" s="28" t="e">
        <f>VLOOKUP(E3443,'Cadastro Produtos (kiwkiw)'!C:E,3,0)</f>
        <v>#N/A</v>
      </c>
    </row>
    <row r="3444" spans="7:8" ht="15" customHeight="1" x14ac:dyDescent="0.4">
      <c r="G3444" s="27">
        <f t="shared" si="62"/>
        <v>0</v>
      </c>
      <c r="H3444" s="28" t="e">
        <f>VLOOKUP(E3444,'Cadastro Produtos (kiwkiw)'!C:E,3,0)</f>
        <v>#N/A</v>
      </c>
    </row>
    <row r="3445" spans="7:8" ht="15" customHeight="1" x14ac:dyDescent="0.4">
      <c r="G3445" s="27">
        <f t="shared" si="62"/>
        <v>0</v>
      </c>
      <c r="H3445" s="28" t="e">
        <f>VLOOKUP(E3445,'Cadastro Produtos (kiwkiw)'!C:E,3,0)</f>
        <v>#N/A</v>
      </c>
    </row>
    <row r="3446" spans="7:8" ht="15" customHeight="1" x14ac:dyDescent="0.4">
      <c r="G3446" s="27">
        <f t="shared" si="62"/>
        <v>0</v>
      </c>
      <c r="H3446" s="28" t="e">
        <f>VLOOKUP(E3446,'Cadastro Produtos (kiwkiw)'!C:E,3,0)</f>
        <v>#N/A</v>
      </c>
    </row>
    <row r="3447" spans="7:8" ht="15" customHeight="1" x14ac:dyDescent="0.4">
      <c r="G3447" s="27">
        <f t="shared" ref="G3447:G3510" si="63">IF(C3447="Entrada",F3447,-F3447)</f>
        <v>0</v>
      </c>
      <c r="H3447" s="28" t="e">
        <f>VLOOKUP(E3447,'Cadastro Produtos (kiwkiw)'!C:E,3,0)</f>
        <v>#N/A</v>
      </c>
    </row>
    <row r="3448" spans="7:8" ht="15" customHeight="1" x14ac:dyDescent="0.4">
      <c r="G3448" s="27">
        <f t="shared" si="63"/>
        <v>0</v>
      </c>
      <c r="H3448" s="28" t="e">
        <f>VLOOKUP(E3448,'Cadastro Produtos (kiwkiw)'!C:E,3,0)</f>
        <v>#N/A</v>
      </c>
    </row>
    <row r="3449" spans="7:8" ht="15" customHeight="1" x14ac:dyDescent="0.4">
      <c r="G3449" s="27">
        <f t="shared" si="63"/>
        <v>0</v>
      </c>
      <c r="H3449" s="28" t="e">
        <f>VLOOKUP(E3449,'Cadastro Produtos (kiwkiw)'!C:E,3,0)</f>
        <v>#N/A</v>
      </c>
    </row>
    <row r="3450" spans="7:8" ht="15" customHeight="1" x14ac:dyDescent="0.4">
      <c r="G3450" s="27">
        <f t="shared" si="63"/>
        <v>0</v>
      </c>
      <c r="H3450" s="28" t="e">
        <f>VLOOKUP(E3450,'Cadastro Produtos (kiwkiw)'!C:E,3,0)</f>
        <v>#N/A</v>
      </c>
    </row>
    <row r="3451" spans="7:8" ht="15" customHeight="1" x14ac:dyDescent="0.4">
      <c r="G3451" s="27">
        <f t="shared" si="63"/>
        <v>0</v>
      </c>
      <c r="H3451" s="28" t="e">
        <f>VLOOKUP(E3451,'Cadastro Produtos (kiwkiw)'!C:E,3,0)</f>
        <v>#N/A</v>
      </c>
    </row>
    <row r="3452" spans="7:8" ht="15" customHeight="1" x14ac:dyDescent="0.4">
      <c r="G3452" s="27">
        <f t="shared" si="63"/>
        <v>0</v>
      </c>
      <c r="H3452" s="28" t="e">
        <f>VLOOKUP(E3452,'Cadastro Produtos (kiwkiw)'!C:E,3,0)</f>
        <v>#N/A</v>
      </c>
    </row>
    <row r="3453" spans="7:8" ht="15" customHeight="1" x14ac:dyDescent="0.4">
      <c r="G3453" s="27">
        <f t="shared" si="63"/>
        <v>0</v>
      </c>
      <c r="H3453" s="28" t="e">
        <f>VLOOKUP(E3453,'Cadastro Produtos (kiwkiw)'!C:E,3,0)</f>
        <v>#N/A</v>
      </c>
    </row>
    <row r="3454" spans="7:8" ht="15" customHeight="1" x14ac:dyDescent="0.4">
      <c r="G3454" s="27">
        <f t="shared" si="63"/>
        <v>0</v>
      </c>
      <c r="H3454" s="28" t="e">
        <f>VLOOKUP(E3454,'Cadastro Produtos (kiwkiw)'!C:E,3,0)</f>
        <v>#N/A</v>
      </c>
    </row>
    <row r="3455" spans="7:8" ht="15" customHeight="1" x14ac:dyDescent="0.4">
      <c r="G3455" s="27">
        <f t="shared" si="63"/>
        <v>0</v>
      </c>
      <c r="H3455" s="28" t="e">
        <f>VLOOKUP(E3455,'Cadastro Produtos (kiwkiw)'!C:E,3,0)</f>
        <v>#N/A</v>
      </c>
    </row>
    <row r="3456" spans="7:8" ht="15" customHeight="1" x14ac:dyDescent="0.4">
      <c r="G3456" s="27">
        <f t="shared" si="63"/>
        <v>0</v>
      </c>
      <c r="H3456" s="28" t="e">
        <f>VLOOKUP(E3456,'Cadastro Produtos (kiwkiw)'!C:E,3,0)</f>
        <v>#N/A</v>
      </c>
    </row>
    <row r="3457" spans="7:8" ht="15" customHeight="1" x14ac:dyDescent="0.4">
      <c r="G3457" s="27">
        <f t="shared" si="63"/>
        <v>0</v>
      </c>
      <c r="H3457" s="28" t="e">
        <f>VLOOKUP(E3457,'Cadastro Produtos (kiwkiw)'!C:E,3,0)</f>
        <v>#N/A</v>
      </c>
    </row>
    <row r="3458" spans="7:8" ht="15" customHeight="1" x14ac:dyDescent="0.4">
      <c r="G3458" s="27">
        <f t="shared" si="63"/>
        <v>0</v>
      </c>
      <c r="H3458" s="28" t="e">
        <f>VLOOKUP(E3458,'Cadastro Produtos (kiwkiw)'!C:E,3,0)</f>
        <v>#N/A</v>
      </c>
    </row>
    <row r="3459" spans="7:8" ht="15" customHeight="1" x14ac:dyDescent="0.4">
      <c r="G3459" s="27">
        <f t="shared" si="63"/>
        <v>0</v>
      </c>
      <c r="H3459" s="28" t="e">
        <f>VLOOKUP(E3459,'Cadastro Produtos (kiwkiw)'!C:E,3,0)</f>
        <v>#N/A</v>
      </c>
    </row>
    <row r="3460" spans="7:8" ht="15" customHeight="1" x14ac:dyDescent="0.4">
      <c r="G3460" s="27">
        <f t="shared" si="63"/>
        <v>0</v>
      </c>
      <c r="H3460" s="28" t="e">
        <f>VLOOKUP(E3460,'Cadastro Produtos (kiwkiw)'!C:E,3,0)</f>
        <v>#N/A</v>
      </c>
    </row>
    <row r="3461" spans="7:8" ht="15" customHeight="1" x14ac:dyDescent="0.4">
      <c r="G3461" s="27">
        <f t="shared" si="63"/>
        <v>0</v>
      </c>
      <c r="H3461" s="28" t="e">
        <f>VLOOKUP(E3461,'Cadastro Produtos (kiwkiw)'!C:E,3,0)</f>
        <v>#N/A</v>
      </c>
    </row>
    <row r="3462" spans="7:8" ht="15" customHeight="1" x14ac:dyDescent="0.4">
      <c r="G3462" s="27">
        <f t="shared" si="63"/>
        <v>0</v>
      </c>
      <c r="H3462" s="28" t="e">
        <f>VLOOKUP(E3462,'Cadastro Produtos (kiwkiw)'!C:E,3,0)</f>
        <v>#N/A</v>
      </c>
    </row>
    <row r="3463" spans="7:8" ht="15" customHeight="1" x14ac:dyDescent="0.4">
      <c r="G3463" s="27">
        <f t="shared" si="63"/>
        <v>0</v>
      </c>
      <c r="H3463" s="28" t="e">
        <f>VLOOKUP(E3463,'Cadastro Produtos (kiwkiw)'!C:E,3,0)</f>
        <v>#N/A</v>
      </c>
    </row>
    <row r="3464" spans="7:8" ht="15" customHeight="1" x14ac:dyDescent="0.4">
      <c r="G3464" s="27">
        <f t="shared" si="63"/>
        <v>0</v>
      </c>
      <c r="H3464" s="28" t="e">
        <f>VLOOKUP(E3464,'Cadastro Produtos (kiwkiw)'!C:E,3,0)</f>
        <v>#N/A</v>
      </c>
    </row>
    <row r="3465" spans="7:8" ht="15" customHeight="1" x14ac:dyDescent="0.4">
      <c r="G3465" s="27">
        <f t="shared" si="63"/>
        <v>0</v>
      </c>
      <c r="H3465" s="28" t="e">
        <f>VLOOKUP(E3465,'Cadastro Produtos (kiwkiw)'!C:E,3,0)</f>
        <v>#N/A</v>
      </c>
    </row>
    <row r="3466" spans="7:8" ht="15" customHeight="1" x14ac:dyDescent="0.4">
      <c r="G3466" s="27">
        <f t="shared" si="63"/>
        <v>0</v>
      </c>
      <c r="H3466" s="28" t="e">
        <f>VLOOKUP(E3466,'Cadastro Produtos (kiwkiw)'!C:E,3,0)</f>
        <v>#N/A</v>
      </c>
    </row>
    <row r="3467" spans="7:8" ht="15" customHeight="1" x14ac:dyDescent="0.4">
      <c r="G3467" s="27">
        <f t="shared" si="63"/>
        <v>0</v>
      </c>
      <c r="H3467" s="28" t="e">
        <f>VLOOKUP(E3467,'Cadastro Produtos (kiwkiw)'!C:E,3,0)</f>
        <v>#N/A</v>
      </c>
    </row>
    <row r="3468" spans="7:8" ht="15" customHeight="1" x14ac:dyDescent="0.4">
      <c r="G3468" s="27">
        <f t="shared" si="63"/>
        <v>0</v>
      </c>
      <c r="H3468" s="28" t="e">
        <f>VLOOKUP(E3468,'Cadastro Produtos (kiwkiw)'!C:E,3,0)</f>
        <v>#N/A</v>
      </c>
    </row>
    <row r="3469" spans="7:8" ht="15" customHeight="1" x14ac:dyDescent="0.4">
      <c r="G3469" s="27">
        <f t="shared" si="63"/>
        <v>0</v>
      </c>
      <c r="H3469" s="28" t="e">
        <f>VLOOKUP(E3469,'Cadastro Produtos (kiwkiw)'!C:E,3,0)</f>
        <v>#N/A</v>
      </c>
    </row>
    <row r="3470" spans="7:8" ht="15" customHeight="1" x14ac:dyDescent="0.4">
      <c r="G3470" s="27">
        <f t="shared" si="63"/>
        <v>0</v>
      </c>
      <c r="H3470" s="28" t="e">
        <f>VLOOKUP(E3470,'Cadastro Produtos (kiwkiw)'!C:E,3,0)</f>
        <v>#N/A</v>
      </c>
    </row>
    <row r="3471" spans="7:8" ht="15" customHeight="1" x14ac:dyDescent="0.4">
      <c r="G3471" s="27">
        <f t="shared" si="63"/>
        <v>0</v>
      </c>
      <c r="H3471" s="28" t="e">
        <f>VLOOKUP(E3471,'Cadastro Produtos (kiwkiw)'!C:E,3,0)</f>
        <v>#N/A</v>
      </c>
    </row>
    <row r="3472" spans="7:8" ht="15" customHeight="1" x14ac:dyDescent="0.4">
      <c r="G3472" s="27">
        <f t="shared" si="63"/>
        <v>0</v>
      </c>
      <c r="H3472" s="28" t="e">
        <f>VLOOKUP(E3472,'Cadastro Produtos (kiwkiw)'!C:E,3,0)</f>
        <v>#N/A</v>
      </c>
    </row>
    <row r="3473" spans="7:8" ht="15" customHeight="1" x14ac:dyDescent="0.4">
      <c r="G3473" s="27">
        <f t="shared" si="63"/>
        <v>0</v>
      </c>
      <c r="H3473" s="28" t="e">
        <f>VLOOKUP(E3473,'Cadastro Produtos (kiwkiw)'!C:E,3,0)</f>
        <v>#N/A</v>
      </c>
    </row>
    <row r="3474" spans="7:8" ht="15" customHeight="1" x14ac:dyDescent="0.4">
      <c r="G3474" s="27">
        <f t="shared" si="63"/>
        <v>0</v>
      </c>
      <c r="H3474" s="28" t="e">
        <f>VLOOKUP(E3474,'Cadastro Produtos (kiwkiw)'!C:E,3,0)</f>
        <v>#N/A</v>
      </c>
    </row>
    <row r="3475" spans="7:8" ht="15" customHeight="1" x14ac:dyDescent="0.4">
      <c r="G3475" s="27">
        <f t="shared" si="63"/>
        <v>0</v>
      </c>
      <c r="H3475" s="28" t="e">
        <f>VLOOKUP(E3475,'Cadastro Produtos (kiwkiw)'!C:E,3,0)</f>
        <v>#N/A</v>
      </c>
    </row>
    <row r="3476" spans="7:8" ht="15" customHeight="1" x14ac:dyDescent="0.4">
      <c r="G3476" s="27">
        <f t="shared" si="63"/>
        <v>0</v>
      </c>
      <c r="H3476" s="28" t="e">
        <f>VLOOKUP(E3476,'Cadastro Produtos (kiwkiw)'!C:E,3,0)</f>
        <v>#N/A</v>
      </c>
    </row>
    <row r="3477" spans="7:8" ht="15" customHeight="1" x14ac:dyDescent="0.4">
      <c r="G3477" s="27">
        <f t="shared" si="63"/>
        <v>0</v>
      </c>
      <c r="H3477" s="28" t="e">
        <f>VLOOKUP(E3477,'Cadastro Produtos (kiwkiw)'!C:E,3,0)</f>
        <v>#N/A</v>
      </c>
    </row>
    <row r="3478" spans="7:8" ht="15" customHeight="1" x14ac:dyDescent="0.4">
      <c r="G3478" s="27">
        <f t="shared" si="63"/>
        <v>0</v>
      </c>
      <c r="H3478" s="28" t="e">
        <f>VLOOKUP(E3478,'Cadastro Produtos (kiwkiw)'!C:E,3,0)</f>
        <v>#N/A</v>
      </c>
    </row>
    <row r="3479" spans="7:8" ht="15" customHeight="1" x14ac:dyDescent="0.4">
      <c r="G3479" s="27">
        <f t="shared" si="63"/>
        <v>0</v>
      </c>
      <c r="H3479" s="28" t="e">
        <f>VLOOKUP(E3479,'Cadastro Produtos (kiwkiw)'!C:E,3,0)</f>
        <v>#N/A</v>
      </c>
    </row>
    <row r="3480" spans="7:8" ht="15" customHeight="1" x14ac:dyDescent="0.4">
      <c r="G3480" s="27">
        <f t="shared" si="63"/>
        <v>0</v>
      </c>
      <c r="H3480" s="28" t="e">
        <f>VLOOKUP(E3480,'Cadastro Produtos (kiwkiw)'!C:E,3,0)</f>
        <v>#N/A</v>
      </c>
    </row>
    <row r="3481" spans="7:8" ht="15" customHeight="1" x14ac:dyDescent="0.4">
      <c r="G3481" s="27">
        <f t="shared" si="63"/>
        <v>0</v>
      </c>
      <c r="H3481" s="28" t="e">
        <f>VLOOKUP(E3481,'Cadastro Produtos (kiwkiw)'!C:E,3,0)</f>
        <v>#N/A</v>
      </c>
    </row>
    <row r="3482" spans="7:8" ht="15" customHeight="1" x14ac:dyDescent="0.4">
      <c r="G3482" s="27">
        <f t="shared" si="63"/>
        <v>0</v>
      </c>
      <c r="H3482" s="28" t="e">
        <f>VLOOKUP(E3482,'Cadastro Produtos (kiwkiw)'!C:E,3,0)</f>
        <v>#N/A</v>
      </c>
    </row>
    <row r="3483" spans="7:8" ht="15" customHeight="1" x14ac:dyDescent="0.4">
      <c r="G3483" s="27">
        <f t="shared" si="63"/>
        <v>0</v>
      </c>
      <c r="H3483" s="28" t="e">
        <f>VLOOKUP(E3483,'Cadastro Produtos (kiwkiw)'!C:E,3,0)</f>
        <v>#N/A</v>
      </c>
    </row>
    <row r="3484" spans="7:8" ht="15" customHeight="1" x14ac:dyDescent="0.4">
      <c r="G3484" s="27">
        <f t="shared" si="63"/>
        <v>0</v>
      </c>
      <c r="H3484" s="28" t="e">
        <f>VLOOKUP(E3484,'Cadastro Produtos (kiwkiw)'!C:E,3,0)</f>
        <v>#N/A</v>
      </c>
    </row>
    <row r="3485" spans="7:8" ht="15" customHeight="1" x14ac:dyDescent="0.4">
      <c r="G3485" s="27">
        <f t="shared" si="63"/>
        <v>0</v>
      </c>
      <c r="H3485" s="28" t="e">
        <f>VLOOKUP(E3485,'Cadastro Produtos (kiwkiw)'!C:E,3,0)</f>
        <v>#N/A</v>
      </c>
    </row>
    <row r="3486" spans="7:8" ht="15" customHeight="1" x14ac:dyDescent="0.4">
      <c r="G3486" s="27">
        <f t="shared" si="63"/>
        <v>0</v>
      </c>
      <c r="H3486" s="28" t="e">
        <f>VLOOKUP(E3486,'Cadastro Produtos (kiwkiw)'!C:E,3,0)</f>
        <v>#N/A</v>
      </c>
    </row>
    <row r="3487" spans="7:8" ht="15" customHeight="1" x14ac:dyDescent="0.4">
      <c r="G3487" s="27">
        <f t="shared" si="63"/>
        <v>0</v>
      </c>
      <c r="H3487" s="28" t="e">
        <f>VLOOKUP(E3487,'Cadastro Produtos (kiwkiw)'!C:E,3,0)</f>
        <v>#N/A</v>
      </c>
    </row>
    <row r="3488" spans="7:8" ht="15" customHeight="1" x14ac:dyDescent="0.4">
      <c r="G3488" s="27">
        <f t="shared" si="63"/>
        <v>0</v>
      </c>
      <c r="H3488" s="28" t="e">
        <f>VLOOKUP(E3488,'Cadastro Produtos (kiwkiw)'!C:E,3,0)</f>
        <v>#N/A</v>
      </c>
    </row>
    <row r="3489" spans="7:8" ht="15" customHeight="1" x14ac:dyDescent="0.4">
      <c r="G3489" s="27">
        <f t="shared" si="63"/>
        <v>0</v>
      </c>
      <c r="H3489" s="28" t="e">
        <f>VLOOKUP(E3489,'Cadastro Produtos (kiwkiw)'!C:E,3,0)</f>
        <v>#N/A</v>
      </c>
    </row>
    <row r="3490" spans="7:8" ht="15" customHeight="1" x14ac:dyDescent="0.4">
      <c r="G3490" s="27">
        <f t="shared" si="63"/>
        <v>0</v>
      </c>
      <c r="H3490" s="28" t="e">
        <f>VLOOKUP(E3490,'Cadastro Produtos (kiwkiw)'!C:E,3,0)</f>
        <v>#N/A</v>
      </c>
    </row>
    <row r="3491" spans="7:8" ht="15" customHeight="1" x14ac:dyDescent="0.4">
      <c r="G3491" s="27">
        <f t="shared" si="63"/>
        <v>0</v>
      </c>
      <c r="H3491" s="28" t="e">
        <f>VLOOKUP(E3491,'Cadastro Produtos (kiwkiw)'!C:E,3,0)</f>
        <v>#N/A</v>
      </c>
    </row>
    <row r="3492" spans="7:8" ht="15" customHeight="1" x14ac:dyDescent="0.4">
      <c r="G3492" s="27">
        <f t="shared" si="63"/>
        <v>0</v>
      </c>
      <c r="H3492" s="28" t="e">
        <f>VLOOKUP(E3492,'Cadastro Produtos (kiwkiw)'!C:E,3,0)</f>
        <v>#N/A</v>
      </c>
    </row>
    <row r="3493" spans="7:8" ht="15" customHeight="1" x14ac:dyDescent="0.4">
      <c r="G3493" s="27">
        <f t="shared" si="63"/>
        <v>0</v>
      </c>
      <c r="H3493" s="28" t="e">
        <f>VLOOKUP(E3493,'Cadastro Produtos (kiwkiw)'!C:E,3,0)</f>
        <v>#N/A</v>
      </c>
    </row>
    <row r="3494" spans="7:8" ht="15" customHeight="1" x14ac:dyDescent="0.4">
      <c r="G3494" s="27">
        <f t="shared" si="63"/>
        <v>0</v>
      </c>
      <c r="H3494" s="28" t="e">
        <f>VLOOKUP(E3494,'Cadastro Produtos (kiwkiw)'!C:E,3,0)</f>
        <v>#N/A</v>
      </c>
    </row>
    <row r="3495" spans="7:8" ht="15" customHeight="1" x14ac:dyDescent="0.4">
      <c r="G3495" s="27">
        <f t="shared" si="63"/>
        <v>0</v>
      </c>
      <c r="H3495" s="28" t="e">
        <f>VLOOKUP(E3495,'Cadastro Produtos (kiwkiw)'!C:E,3,0)</f>
        <v>#N/A</v>
      </c>
    </row>
    <row r="3496" spans="7:8" ht="15" customHeight="1" x14ac:dyDescent="0.4">
      <c r="G3496" s="27">
        <f t="shared" si="63"/>
        <v>0</v>
      </c>
      <c r="H3496" s="28" t="e">
        <f>VLOOKUP(E3496,'Cadastro Produtos (kiwkiw)'!C:E,3,0)</f>
        <v>#N/A</v>
      </c>
    </row>
    <row r="3497" spans="7:8" ht="15" customHeight="1" x14ac:dyDescent="0.4">
      <c r="G3497" s="27">
        <f t="shared" si="63"/>
        <v>0</v>
      </c>
      <c r="H3497" s="28" t="e">
        <f>VLOOKUP(E3497,'Cadastro Produtos (kiwkiw)'!C:E,3,0)</f>
        <v>#N/A</v>
      </c>
    </row>
    <row r="3498" spans="7:8" ht="15" customHeight="1" x14ac:dyDescent="0.4">
      <c r="G3498" s="27">
        <f t="shared" si="63"/>
        <v>0</v>
      </c>
      <c r="H3498" s="28" t="e">
        <f>VLOOKUP(E3498,'Cadastro Produtos (kiwkiw)'!C:E,3,0)</f>
        <v>#N/A</v>
      </c>
    </row>
    <row r="3499" spans="7:8" ht="15" customHeight="1" x14ac:dyDescent="0.4">
      <c r="G3499" s="27">
        <f t="shared" si="63"/>
        <v>0</v>
      </c>
      <c r="H3499" s="28" t="e">
        <f>VLOOKUP(E3499,'Cadastro Produtos (kiwkiw)'!C:E,3,0)</f>
        <v>#N/A</v>
      </c>
    </row>
    <row r="3500" spans="7:8" ht="15" customHeight="1" x14ac:dyDescent="0.4">
      <c r="G3500" s="27">
        <f t="shared" si="63"/>
        <v>0</v>
      </c>
      <c r="H3500" s="28" t="e">
        <f>VLOOKUP(E3500,'Cadastro Produtos (kiwkiw)'!C:E,3,0)</f>
        <v>#N/A</v>
      </c>
    </row>
    <row r="3501" spans="7:8" ht="15" customHeight="1" x14ac:dyDescent="0.4">
      <c r="G3501" s="27">
        <f t="shared" si="63"/>
        <v>0</v>
      </c>
      <c r="H3501" s="28" t="e">
        <f>VLOOKUP(E3501,'Cadastro Produtos (kiwkiw)'!C:E,3,0)</f>
        <v>#N/A</v>
      </c>
    </row>
    <row r="3502" spans="7:8" ht="15" customHeight="1" x14ac:dyDescent="0.4">
      <c r="G3502" s="27">
        <f t="shared" si="63"/>
        <v>0</v>
      </c>
      <c r="H3502" s="28" t="e">
        <f>VLOOKUP(E3502,'Cadastro Produtos (kiwkiw)'!C:E,3,0)</f>
        <v>#N/A</v>
      </c>
    </row>
    <row r="3503" spans="7:8" ht="15" customHeight="1" x14ac:dyDescent="0.4">
      <c r="G3503" s="27">
        <f t="shared" si="63"/>
        <v>0</v>
      </c>
      <c r="H3503" s="28" t="e">
        <f>VLOOKUP(E3503,'Cadastro Produtos (kiwkiw)'!C:E,3,0)</f>
        <v>#N/A</v>
      </c>
    </row>
    <row r="3504" spans="7:8" ht="15" customHeight="1" x14ac:dyDescent="0.4">
      <c r="G3504" s="27">
        <f t="shared" si="63"/>
        <v>0</v>
      </c>
      <c r="H3504" s="28" t="e">
        <f>VLOOKUP(E3504,'Cadastro Produtos (kiwkiw)'!C:E,3,0)</f>
        <v>#N/A</v>
      </c>
    </row>
    <row r="3505" spans="7:8" ht="15" customHeight="1" x14ac:dyDescent="0.4">
      <c r="G3505" s="27">
        <f t="shared" si="63"/>
        <v>0</v>
      </c>
      <c r="H3505" s="28" t="e">
        <f>VLOOKUP(E3505,'Cadastro Produtos (kiwkiw)'!C:E,3,0)</f>
        <v>#N/A</v>
      </c>
    </row>
    <row r="3506" spans="7:8" ht="15" customHeight="1" x14ac:dyDescent="0.4">
      <c r="G3506" s="27">
        <f t="shared" si="63"/>
        <v>0</v>
      </c>
      <c r="H3506" s="28" t="e">
        <f>VLOOKUP(E3506,'Cadastro Produtos (kiwkiw)'!C:E,3,0)</f>
        <v>#N/A</v>
      </c>
    </row>
    <row r="3507" spans="7:8" ht="15" customHeight="1" x14ac:dyDescent="0.4">
      <c r="G3507" s="27">
        <f t="shared" si="63"/>
        <v>0</v>
      </c>
      <c r="H3507" s="28" t="e">
        <f>VLOOKUP(E3507,'Cadastro Produtos (kiwkiw)'!C:E,3,0)</f>
        <v>#N/A</v>
      </c>
    </row>
    <row r="3508" spans="7:8" ht="15" customHeight="1" x14ac:dyDescent="0.4">
      <c r="G3508" s="27">
        <f t="shared" si="63"/>
        <v>0</v>
      </c>
      <c r="H3508" s="28" t="e">
        <f>VLOOKUP(E3508,'Cadastro Produtos (kiwkiw)'!C:E,3,0)</f>
        <v>#N/A</v>
      </c>
    </row>
    <row r="3509" spans="7:8" ht="15" customHeight="1" x14ac:dyDescent="0.4">
      <c r="G3509" s="27">
        <f t="shared" si="63"/>
        <v>0</v>
      </c>
      <c r="H3509" s="28" t="e">
        <f>VLOOKUP(E3509,'Cadastro Produtos (kiwkiw)'!C:E,3,0)</f>
        <v>#N/A</v>
      </c>
    </row>
    <row r="3510" spans="7:8" ht="15" customHeight="1" x14ac:dyDescent="0.4">
      <c r="G3510" s="27">
        <f t="shared" si="63"/>
        <v>0</v>
      </c>
      <c r="H3510" s="28" t="e">
        <f>VLOOKUP(E3510,'Cadastro Produtos (kiwkiw)'!C:E,3,0)</f>
        <v>#N/A</v>
      </c>
    </row>
    <row r="3511" spans="7:8" ht="15" customHeight="1" x14ac:dyDescent="0.4">
      <c r="G3511" s="27">
        <f t="shared" ref="G3511:G3574" si="64">IF(C3511="Entrada",F3511,-F3511)</f>
        <v>0</v>
      </c>
      <c r="H3511" s="28" t="e">
        <f>VLOOKUP(E3511,'Cadastro Produtos (kiwkiw)'!C:E,3,0)</f>
        <v>#N/A</v>
      </c>
    </row>
    <row r="3512" spans="7:8" ht="15" customHeight="1" x14ac:dyDescent="0.4">
      <c r="G3512" s="27">
        <f t="shared" si="64"/>
        <v>0</v>
      </c>
      <c r="H3512" s="28" t="e">
        <f>VLOOKUP(E3512,'Cadastro Produtos (kiwkiw)'!C:E,3,0)</f>
        <v>#N/A</v>
      </c>
    </row>
    <row r="3513" spans="7:8" ht="15" customHeight="1" x14ac:dyDescent="0.4">
      <c r="G3513" s="27">
        <f t="shared" si="64"/>
        <v>0</v>
      </c>
      <c r="H3513" s="28" t="e">
        <f>VLOOKUP(E3513,'Cadastro Produtos (kiwkiw)'!C:E,3,0)</f>
        <v>#N/A</v>
      </c>
    </row>
    <row r="3514" spans="7:8" ht="15" customHeight="1" x14ac:dyDescent="0.4">
      <c r="G3514" s="27">
        <f t="shared" si="64"/>
        <v>0</v>
      </c>
      <c r="H3514" s="28" t="e">
        <f>VLOOKUP(E3514,'Cadastro Produtos (kiwkiw)'!C:E,3,0)</f>
        <v>#N/A</v>
      </c>
    </row>
    <row r="3515" spans="7:8" ht="15" customHeight="1" x14ac:dyDescent="0.4">
      <c r="G3515" s="27">
        <f t="shared" si="64"/>
        <v>0</v>
      </c>
      <c r="H3515" s="28" t="e">
        <f>VLOOKUP(E3515,'Cadastro Produtos (kiwkiw)'!C:E,3,0)</f>
        <v>#N/A</v>
      </c>
    </row>
    <row r="3516" spans="7:8" ht="15" customHeight="1" x14ac:dyDescent="0.4">
      <c r="G3516" s="27">
        <f t="shared" si="64"/>
        <v>0</v>
      </c>
      <c r="H3516" s="28" t="e">
        <f>VLOOKUP(E3516,'Cadastro Produtos (kiwkiw)'!C:E,3,0)</f>
        <v>#N/A</v>
      </c>
    </row>
    <row r="3517" spans="7:8" ht="15" customHeight="1" x14ac:dyDescent="0.4">
      <c r="G3517" s="27">
        <f t="shared" si="64"/>
        <v>0</v>
      </c>
      <c r="H3517" s="28" t="e">
        <f>VLOOKUP(E3517,'Cadastro Produtos (kiwkiw)'!C:E,3,0)</f>
        <v>#N/A</v>
      </c>
    </row>
    <row r="3518" spans="7:8" ht="15" customHeight="1" x14ac:dyDescent="0.4">
      <c r="G3518" s="27">
        <f t="shared" si="64"/>
        <v>0</v>
      </c>
      <c r="H3518" s="28" t="e">
        <f>VLOOKUP(E3518,'Cadastro Produtos (kiwkiw)'!C:E,3,0)</f>
        <v>#N/A</v>
      </c>
    </row>
    <row r="3519" spans="7:8" ht="15" customHeight="1" x14ac:dyDescent="0.4">
      <c r="G3519" s="27">
        <f t="shared" si="64"/>
        <v>0</v>
      </c>
      <c r="H3519" s="28" t="e">
        <f>VLOOKUP(E3519,'Cadastro Produtos (kiwkiw)'!C:E,3,0)</f>
        <v>#N/A</v>
      </c>
    </row>
    <row r="3520" spans="7:8" ht="15" customHeight="1" x14ac:dyDescent="0.4">
      <c r="G3520" s="27">
        <f t="shared" si="64"/>
        <v>0</v>
      </c>
      <c r="H3520" s="28" t="e">
        <f>VLOOKUP(E3520,'Cadastro Produtos (kiwkiw)'!C:E,3,0)</f>
        <v>#N/A</v>
      </c>
    </row>
    <row r="3521" spans="7:8" ht="15" customHeight="1" x14ac:dyDescent="0.4">
      <c r="G3521" s="27">
        <f t="shared" si="64"/>
        <v>0</v>
      </c>
      <c r="H3521" s="28" t="e">
        <f>VLOOKUP(E3521,'Cadastro Produtos (kiwkiw)'!C:E,3,0)</f>
        <v>#N/A</v>
      </c>
    </row>
    <row r="3522" spans="7:8" ht="15" customHeight="1" x14ac:dyDescent="0.4">
      <c r="G3522" s="27">
        <f t="shared" si="64"/>
        <v>0</v>
      </c>
      <c r="H3522" s="28" t="e">
        <f>VLOOKUP(E3522,'Cadastro Produtos (kiwkiw)'!C:E,3,0)</f>
        <v>#N/A</v>
      </c>
    </row>
    <row r="3523" spans="7:8" ht="15" customHeight="1" x14ac:dyDescent="0.4">
      <c r="G3523" s="27">
        <f t="shared" si="64"/>
        <v>0</v>
      </c>
      <c r="H3523" s="28" t="e">
        <f>VLOOKUP(E3523,'Cadastro Produtos (kiwkiw)'!C:E,3,0)</f>
        <v>#N/A</v>
      </c>
    </row>
    <row r="3524" spans="7:8" ht="15" customHeight="1" x14ac:dyDescent="0.4">
      <c r="G3524" s="27">
        <f t="shared" si="64"/>
        <v>0</v>
      </c>
      <c r="H3524" s="28" t="e">
        <f>VLOOKUP(E3524,'Cadastro Produtos (kiwkiw)'!C:E,3,0)</f>
        <v>#N/A</v>
      </c>
    </row>
    <row r="3525" spans="7:8" ht="15" customHeight="1" x14ac:dyDescent="0.4">
      <c r="G3525" s="27">
        <f t="shared" si="64"/>
        <v>0</v>
      </c>
      <c r="H3525" s="28" t="e">
        <f>VLOOKUP(E3525,'Cadastro Produtos (kiwkiw)'!C:E,3,0)</f>
        <v>#N/A</v>
      </c>
    </row>
    <row r="3526" spans="7:8" ht="15" customHeight="1" x14ac:dyDescent="0.4">
      <c r="G3526" s="27">
        <f t="shared" si="64"/>
        <v>0</v>
      </c>
      <c r="H3526" s="28" t="e">
        <f>VLOOKUP(E3526,'Cadastro Produtos (kiwkiw)'!C:E,3,0)</f>
        <v>#N/A</v>
      </c>
    </row>
    <row r="3527" spans="7:8" ht="15" customHeight="1" x14ac:dyDescent="0.4">
      <c r="G3527" s="27">
        <f t="shared" si="64"/>
        <v>0</v>
      </c>
      <c r="H3527" s="28" t="e">
        <f>VLOOKUP(E3527,'Cadastro Produtos (kiwkiw)'!C:E,3,0)</f>
        <v>#N/A</v>
      </c>
    </row>
    <row r="3528" spans="7:8" ht="15" customHeight="1" x14ac:dyDescent="0.4">
      <c r="G3528" s="27">
        <f t="shared" si="64"/>
        <v>0</v>
      </c>
      <c r="H3528" s="28" t="e">
        <f>VLOOKUP(E3528,'Cadastro Produtos (kiwkiw)'!C:E,3,0)</f>
        <v>#N/A</v>
      </c>
    </row>
    <row r="3529" spans="7:8" ht="15" customHeight="1" x14ac:dyDescent="0.4">
      <c r="G3529" s="27">
        <f t="shared" si="64"/>
        <v>0</v>
      </c>
      <c r="H3529" s="28" t="e">
        <f>VLOOKUP(E3529,'Cadastro Produtos (kiwkiw)'!C:E,3,0)</f>
        <v>#N/A</v>
      </c>
    </row>
    <row r="3530" spans="7:8" ht="15" customHeight="1" x14ac:dyDescent="0.4">
      <c r="G3530" s="27">
        <f t="shared" si="64"/>
        <v>0</v>
      </c>
      <c r="H3530" s="28" t="e">
        <f>VLOOKUP(E3530,'Cadastro Produtos (kiwkiw)'!C:E,3,0)</f>
        <v>#N/A</v>
      </c>
    </row>
    <row r="3531" spans="7:8" ht="15" customHeight="1" x14ac:dyDescent="0.4">
      <c r="G3531" s="27">
        <f t="shared" si="64"/>
        <v>0</v>
      </c>
      <c r="H3531" s="28" t="e">
        <f>VLOOKUP(E3531,'Cadastro Produtos (kiwkiw)'!C:E,3,0)</f>
        <v>#N/A</v>
      </c>
    </row>
    <row r="3532" spans="7:8" ht="15" customHeight="1" x14ac:dyDescent="0.4">
      <c r="G3532" s="27">
        <f t="shared" si="64"/>
        <v>0</v>
      </c>
      <c r="H3532" s="28" t="e">
        <f>VLOOKUP(E3532,'Cadastro Produtos (kiwkiw)'!C:E,3,0)</f>
        <v>#N/A</v>
      </c>
    </row>
    <row r="3533" spans="7:8" ht="15" customHeight="1" x14ac:dyDescent="0.4">
      <c r="G3533" s="27">
        <f t="shared" si="64"/>
        <v>0</v>
      </c>
      <c r="H3533" s="28" t="e">
        <f>VLOOKUP(E3533,'Cadastro Produtos (kiwkiw)'!C:E,3,0)</f>
        <v>#N/A</v>
      </c>
    </row>
    <row r="3534" spans="7:8" ht="15" customHeight="1" x14ac:dyDescent="0.4">
      <c r="G3534" s="27">
        <f t="shared" si="64"/>
        <v>0</v>
      </c>
      <c r="H3534" s="28" t="e">
        <f>VLOOKUP(E3534,'Cadastro Produtos (kiwkiw)'!C:E,3,0)</f>
        <v>#N/A</v>
      </c>
    </row>
    <row r="3535" spans="7:8" ht="15" customHeight="1" x14ac:dyDescent="0.4">
      <c r="G3535" s="27">
        <f t="shared" si="64"/>
        <v>0</v>
      </c>
      <c r="H3535" s="28" t="e">
        <f>VLOOKUP(E3535,'Cadastro Produtos (kiwkiw)'!C:E,3,0)</f>
        <v>#N/A</v>
      </c>
    </row>
    <row r="3536" spans="7:8" ht="15" customHeight="1" x14ac:dyDescent="0.4">
      <c r="G3536" s="27">
        <f t="shared" si="64"/>
        <v>0</v>
      </c>
      <c r="H3536" s="28" t="e">
        <f>VLOOKUP(E3536,'Cadastro Produtos (kiwkiw)'!C:E,3,0)</f>
        <v>#N/A</v>
      </c>
    </row>
    <row r="3537" spans="7:8" ht="15" customHeight="1" x14ac:dyDescent="0.4">
      <c r="G3537" s="27">
        <f t="shared" si="64"/>
        <v>0</v>
      </c>
      <c r="H3537" s="28" t="e">
        <f>VLOOKUP(E3537,'Cadastro Produtos (kiwkiw)'!C:E,3,0)</f>
        <v>#N/A</v>
      </c>
    </row>
    <row r="3538" spans="7:8" ht="15" customHeight="1" x14ac:dyDescent="0.4">
      <c r="G3538" s="27">
        <f t="shared" si="64"/>
        <v>0</v>
      </c>
      <c r="H3538" s="28" t="e">
        <f>VLOOKUP(E3538,'Cadastro Produtos (kiwkiw)'!C:E,3,0)</f>
        <v>#N/A</v>
      </c>
    </row>
    <row r="3539" spans="7:8" ht="15" customHeight="1" x14ac:dyDescent="0.4">
      <c r="G3539" s="27">
        <f t="shared" si="64"/>
        <v>0</v>
      </c>
      <c r="H3539" s="28" t="e">
        <f>VLOOKUP(E3539,'Cadastro Produtos (kiwkiw)'!C:E,3,0)</f>
        <v>#N/A</v>
      </c>
    </row>
    <row r="3540" spans="7:8" ht="15" customHeight="1" x14ac:dyDescent="0.4">
      <c r="G3540" s="27">
        <f t="shared" si="64"/>
        <v>0</v>
      </c>
      <c r="H3540" s="28" t="e">
        <f>VLOOKUP(E3540,'Cadastro Produtos (kiwkiw)'!C:E,3,0)</f>
        <v>#N/A</v>
      </c>
    </row>
    <row r="3541" spans="7:8" ht="15" customHeight="1" x14ac:dyDescent="0.4">
      <c r="G3541" s="27">
        <f t="shared" si="64"/>
        <v>0</v>
      </c>
      <c r="H3541" s="28" t="e">
        <f>VLOOKUP(E3541,'Cadastro Produtos (kiwkiw)'!C:E,3,0)</f>
        <v>#N/A</v>
      </c>
    </row>
    <row r="3542" spans="7:8" ht="15" customHeight="1" x14ac:dyDescent="0.4">
      <c r="G3542" s="27">
        <f t="shared" si="64"/>
        <v>0</v>
      </c>
      <c r="H3542" s="28" t="e">
        <f>VLOOKUP(E3542,'Cadastro Produtos (kiwkiw)'!C:E,3,0)</f>
        <v>#N/A</v>
      </c>
    </row>
    <row r="3543" spans="7:8" ht="15" customHeight="1" x14ac:dyDescent="0.4">
      <c r="G3543" s="27">
        <f t="shared" si="64"/>
        <v>0</v>
      </c>
      <c r="H3543" s="28" t="e">
        <f>VLOOKUP(E3543,'Cadastro Produtos (kiwkiw)'!C:E,3,0)</f>
        <v>#N/A</v>
      </c>
    </row>
    <row r="3544" spans="7:8" ht="15" customHeight="1" x14ac:dyDescent="0.4">
      <c r="G3544" s="27">
        <f t="shared" si="64"/>
        <v>0</v>
      </c>
      <c r="H3544" s="28" t="e">
        <f>VLOOKUP(E3544,'Cadastro Produtos (kiwkiw)'!C:E,3,0)</f>
        <v>#N/A</v>
      </c>
    </row>
    <row r="3545" spans="7:8" ht="15" customHeight="1" x14ac:dyDescent="0.4">
      <c r="G3545" s="27">
        <f t="shared" si="64"/>
        <v>0</v>
      </c>
      <c r="H3545" s="28" t="e">
        <f>VLOOKUP(E3545,'Cadastro Produtos (kiwkiw)'!C:E,3,0)</f>
        <v>#N/A</v>
      </c>
    </row>
    <row r="3546" spans="7:8" ht="15" customHeight="1" x14ac:dyDescent="0.4">
      <c r="G3546" s="27">
        <f t="shared" si="64"/>
        <v>0</v>
      </c>
      <c r="H3546" s="28" t="e">
        <f>VLOOKUP(E3546,'Cadastro Produtos (kiwkiw)'!C:E,3,0)</f>
        <v>#N/A</v>
      </c>
    </row>
    <row r="3547" spans="7:8" ht="15" customHeight="1" x14ac:dyDescent="0.4">
      <c r="G3547" s="27">
        <f t="shared" si="64"/>
        <v>0</v>
      </c>
      <c r="H3547" s="28" t="e">
        <f>VLOOKUP(E3547,'Cadastro Produtos (kiwkiw)'!C:E,3,0)</f>
        <v>#N/A</v>
      </c>
    </row>
    <row r="3548" spans="7:8" ht="15" customHeight="1" x14ac:dyDescent="0.4">
      <c r="G3548" s="27">
        <f t="shared" si="64"/>
        <v>0</v>
      </c>
      <c r="H3548" s="28" t="e">
        <f>VLOOKUP(E3548,'Cadastro Produtos (kiwkiw)'!C:E,3,0)</f>
        <v>#N/A</v>
      </c>
    </row>
    <row r="3549" spans="7:8" ht="15" customHeight="1" x14ac:dyDescent="0.4">
      <c r="G3549" s="27">
        <f t="shared" si="64"/>
        <v>0</v>
      </c>
      <c r="H3549" s="28" t="e">
        <f>VLOOKUP(E3549,'Cadastro Produtos (kiwkiw)'!C:E,3,0)</f>
        <v>#N/A</v>
      </c>
    </row>
    <row r="3550" spans="7:8" ht="15" customHeight="1" x14ac:dyDescent="0.4">
      <c r="G3550" s="27">
        <f t="shared" si="64"/>
        <v>0</v>
      </c>
      <c r="H3550" s="28" t="e">
        <f>VLOOKUP(E3550,'Cadastro Produtos (kiwkiw)'!C:E,3,0)</f>
        <v>#N/A</v>
      </c>
    </row>
    <row r="3551" spans="7:8" ht="15" customHeight="1" x14ac:dyDescent="0.4">
      <c r="G3551" s="27">
        <f t="shared" si="64"/>
        <v>0</v>
      </c>
      <c r="H3551" s="28" t="e">
        <f>VLOOKUP(E3551,'Cadastro Produtos (kiwkiw)'!C:E,3,0)</f>
        <v>#N/A</v>
      </c>
    </row>
    <row r="3552" spans="7:8" ht="15" customHeight="1" x14ac:dyDescent="0.4">
      <c r="G3552" s="27">
        <f t="shared" si="64"/>
        <v>0</v>
      </c>
      <c r="H3552" s="28" t="e">
        <f>VLOOKUP(E3552,'Cadastro Produtos (kiwkiw)'!C:E,3,0)</f>
        <v>#N/A</v>
      </c>
    </row>
    <row r="3553" spans="7:8" ht="15" customHeight="1" x14ac:dyDescent="0.4">
      <c r="G3553" s="27">
        <f t="shared" si="64"/>
        <v>0</v>
      </c>
      <c r="H3553" s="28" t="e">
        <f>VLOOKUP(E3553,'Cadastro Produtos (kiwkiw)'!C:E,3,0)</f>
        <v>#N/A</v>
      </c>
    </row>
    <row r="3554" spans="7:8" ht="15" customHeight="1" x14ac:dyDescent="0.4">
      <c r="G3554" s="27">
        <f t="shared" si="64"/>
        <v>0</v>
      </c>
      <c r="H3554" s="28" t="e">
        <f>VLOOKUP(E3554,'Cadastro Produtos (kiwkiw)'!C:E,3,0)</f>
        <v>#N/A</v>
      </c>
    </row>
    <row r="3555" spans="7:8" ht="15" customHeight="1" x14ac:dyDescent="0.4">
      <c r="G3555" s="27">
        <f t="shared" si="64"/>
        <v>0</v>
      </c>
      <c r="H3555" s="28" t="e">
        <f>VLOOKUP(E3555,'Cadastro Produtos (kiwkiw)'!C:E,3,0)</f>
        <v>#N/A</v>
      </c>
    </row>
    <row r="3556" spans="7:8" ht="15" customHeight="1" x14ac:dyDescent="0.4">
      <c r="G3556" s="27">
        <f t="shared" si="64"/>
        <v>0</v>
      </c>
      <c r="H3556" s="28" t="e">
        <f>VLOOKUP(E3556,'Cadastro Produtos (kiwkiw)'!C:E,3,0)</f>
        <v>#N/A</v>
      </c>
    </row>
    <row r="3557" spans="7:8" ht="15" customHeight="1" x14ac:dyDescent="0.4">
      <c r="G3557" s="27">
        <f t="shared" si="64"/>
        <v>0</v>
      </c>
      <c r="H3557" s="28" t="e">
        <f>VLOOKUP(E3557,'Cadastro Produtos (kiwkiw)'!C:E,3,0)</f>
        <v>#N/A</v>
      </c>
    </row>
    <row r="3558" spans="7:8" ht="15" customHeight="1" x14ac:dyDescent="0.4">
      <c r="G3558" s="27">
        <f t="shared" si="64"/>
        <v>0</v>
      </c>
      <c r="H3558" s="28" t="e">
        <f>VLOOKUP(E3558,'Cadastro Produtos (kiwkiw)'!C:E,3,0)</f>
        <v>#N/A</v>
      </c>
    </row>
    <row r="3559" spans="7:8" ht="15" customHeight="1" x14ac:dyDescent="0.4">
      <c r="G3559" s="27">
        <f t="shared" si="64"/>
        <v>0</v>
      </c>
      <c r="H3559" s="28" t="e">
        <f>VLOOKUP(E3559,'Cadastro Produtos (kiwkiw)'!C:E,3,0)</f>
        <v>#N/A</v>
      </c>
    </row>
    <row r="3560" spans="7:8" ht="15" customHeight="1" x14ac:dyDescent="0.4">
      <c r="G3560" s="27">
        <f t="shared" si="64"/>
        <v>0</v>
      </c>
      <c r="H3560" s="28" t="e">
        <f>VLOOKUP(E3560,'Cadastro Produtos (kiwkiw)'!C:E,3,0)</f>
        <v>#N/A</v>
      </c>
    </row>
    <row r="3561" spans="7:8" ht="15" customHeight="1" x14ac:dyDescent="0.4">
      <c r="G3561" s="27">
        <f t="shared" si="64"/>
        <v>0</v>
      </c>
      <c r="H3561" s="28" t="e">
        <f>VLOOKUP(E3561,'Cadastro Produtos (kiwkiw)'!C:E,3,0)</f>
        <v>#N/A</v>
      </c>
    </row>
    <row r="3562" spans="7:8" ht="15" customHeight="1" x14ac:dyDescent="0.4">
      <c r="G3562" s="27">
        <f t="shared" si="64"/>
        <v>0</v>
      </c>
      <c r="H3562" s="28" t="e">
        <f>VLOOKUP(E3562,'Cadastro Produtos (kiwkiw)'!C:E,3,0)</f>
        <v>#N/A</v>
      </c>
    </row>
    <row r="3563" spans="7:8" ht="15" customHeight="1" x14ac:dyDescent="0.4">
      <c r="G3563" s="27">
        <f t="shared" si="64"/>
        <v>0</v>
      </c>
      <c r="H3563" s="28" t="e">
        <f>VLOOKUP(E3563,'Cadastro Produtos (kiwkiw)'!C:E,3,0)</f>
        <v>#N/A</v>
      </c>
    </row>
    <row r="3564" spans="7:8" ht="15" customHeight="1" x14ac:dyDescent="0.4">
      <c r="G3564" s="27">
        <f t="shared" si="64"/>
        <v>0</v>
      </c>
      <c r="H3564" s="28" t="e">
        <f>VLOOKUP(E3564,'Cadastro Produtos (kiwkiw)'!C:E,3,0)</f>
        <v>#N/A</v>
      </c>
    </row>
    <row r="3565" spans="7:8" ht="15" customHeight="1" x14ac:dyDescent="0.4">
      <c r="G3565" s="27">
        <f t="shared" si="64"/>
        <v>0</v>
      </c>
      <c r="H3565" s="28" t="e">
        <f>VLOOKUP(E3565,'Cadastro Produtos (kiwkiw)'!C:E,3,0)</f>
        <v>#N/A</v>
      </c>
    </row>
    <row r="3566" spans="7:8" ht="15" customHeight="1" x14ac:dyDescent="0.4">
      <c r="G3566" s="27">
        <f t="shared" si="64"/>
        <v>0</v>
      </c>
      <c r="H3566" s="28" t="e">
        <f>VLOOKUP(E3566,'Cadastro Produtos (kiwkiw)'!C:E,3,0)</f>
        <v>#N/A</v>
      </c>
    </row>
    <row r="3567" spans="7:8" ht="15" customHeight="1" x14ac:dyDescent="0.4">
      <c r="G3567" s="27">
        <f t="shared" si="64"/>
        <v>0</v>
      </c>
      <c r="H3567" s="28" t="e">
        <f>VLOOKUP(E3567,'Cadastro Produtos (kiwkiw)'!C:E,3,0)</f>
        <v>#N/A</v>
      </c>
    </row>
    <row r="3568" spans="7:8" ht="15" customHeight="1" x14ac:dyDescent="0.4">
      <c r="G3568" s="27">
        <f t="shared" si="64"/>
        <v>0</v>
      </c>
      <c r="H3568" s="28" t="e">
        <f>VLOOKUP(E3568,'Cadastro Produtos (kiwkiw)'!C:E,3,0)</f>
        <v>#N/A</v>
      </c>
    </row>
    <row r="3569" spans="7:8" ht="15" customHeight="1" x14ac:dyDescent="0.4">
      <c r="G3569" s="27">
        <f t="shared" si="64"/>
        <v>0</v>
      </c>
      <c r="H3569" s="28" t="e">
        <f>VLOOKUP(E3569,'Cadastro Produtos (kiwkiw)'!C:E,3,0)</f>
        <v>#N/A</v>
      </c>
    </row>
    <row r="3570" spans="7:8" ht="15" customHeight="1" x14ac:dyDescent="0.4">
      <c r="G3570" s="27">
        <f t="shared" si="64"/>
        <v>0</v>
      </c>
      <c r="H3570" s="28" t="e">
        <f>VLOOKUP(E3570,'Cadastro Produtos (kiwkiw)'!C:E,3,0)</f>
        <v>#N/A</v>
      </c>
    </row>
    <row r="3571" spans="7:8" ht="15" customHeight="1" x14ac:dyDescent="0.4">
      <c r="G3571" s="27">
        <f t="shared" si="64"/>
        <v>0</v>
      </c>
      <c r="H3571" s="28" t="e">
        <f>VLOOKUP(E3571,'Cadastro Produtos (kiwkiw)'!C:E,3,0)</f>
        <v>#N/A</v>
      </c>
    </row>
    <row r="3572" spans="7:8" ht="15" customHeight="1" x14ac:dyDescent="0.4">
      <c r="G3572" s="27">
        <f t="shared" si="64"/>
        <v>0</v>
      </c>
      <c r="H3572" s="28" t="e">
        <f>VLOOKUP(E3572,'Cadastro Produtos (kiwkiw)'!C:E,3,0)</f>
        <v>#N/A</v>
      </c>
    </row>
    <row r="3573" spans="7:8" ht="15" customHeight="1" x14ac:dyDescent="0.4">
      <c r="G3573" s="27">
        <f t="shared" si="64"/>
        <v>0</v>
      </c>
      <c r="H3573" s="28" t="e">
        <f>VLOOKUP(E3573,'Cadastro Produtos (kiwkiw)'!C:E,3,0)</f>
        <v>#N/A</v>
      </c>
    </row>
    <row r="3574" spans="7:8" ht="15" customHeight="1" x14ac:dyDescent="0.4">
      <c r="G3574" s="27">
        <f t="shared" si="64"/>
        <v>0</v>
      </c>
      <c r="H3574" s="28" t="e">
        <f>VLOOKUP(E3574,'Cadastro Produtos (kiwkiw)'!C:E,3,0)</f>
        <v>#N/A</v>
      </c>
    </row>
    <row r="3575" spans="7:8" ht="15" customHeight="1" x14ac:dyDescent="0.4">
      <c r="G3575" s="27">
        <f t="shared" ref="G3575:G3638" si="65">IF(C3575="Entrada",F3575,-F3575)</f>
        <v>0</v>
      </c>
      <c r="H3575" s="28" t="e">
        <f>VLOOKUP(E3575,'Cadastro Produtos (kiwkiw)'!C:E,3,0)</f>
        <v>#N/A</v>
      </c>
    </row>
    <row r="3576" spans="7:8" ht="15" customHeight="1" x14ac:dyDescent="0.4">
      <c r="G3576" s="27">
        <f t="shared" si="65"/>
        <v>0</v>
      </c>
      <c r="H3576" s="28" t="e">
        <f>VLOOKUP(E3576,'Cadastro Produtos (kiwkiw)'!C:E,3,0)</f>
        <v>#N/A</v>
      </c>
    </row>
    <row r="3577" spans="7:8" ht="15" customHeight="1" x14ac:dyDescent="0.4">
      <c r="G3577" s="27">
        <f t="shared" si="65"/>
        <v>0</v>
      </c>
      <c r="H3577" s="28" t="e">
        <f>VLOOKUP(E3577,'Cadastro Produtos (kiwkiw)'!C:E,3,0)</f>
        <v>#N/A</v>
      </c>
    </row>
    <row r="3578" spans="7:8" ht="15" customHeight="1" x14ac:dyDescent="0.4">
      <c r="G3578" s="27">
        <f t="shared" si="65"/>
        <v>0</v>
      </c>
      <c r="H3578" s="28" t="e">
        <f>VLOOKUP(E3578,'Cadastro Produtos (kiwkiw)'!C:E,3,0)</f>
        <v>#N/A</v>
      </c>
    </row>
    <row r="3579" spans="7:8" ht="15" customHeight="1" x14ac:dyDescent="0.4">
      <c r="G3579" s="27">
        <f t="shared" si="65"/>
        <v>0</v>
      </c>
      <c r="H3579" s="28" t="e">
        <f>VLOOKUP(E3579,'Cadastro Produtos (kiwkiw)'!C:E,3,0)</f>
        <v>#N/A</v>
      </c>
    </row>
    <row r="3580" spans="7:8" ht="15" customHeight="1" x14ac:dyDescent="0.4">
      <c r="G3580" s="27">
        <f t="shared" si="65"/>
        <v>0</v>
      </c>
      <c r="H3580" s="28" t="e">
        <f>VLOOKUP(E3580,'Cadastro Produtos (kiwkiw)'!C:E,3,0)</f>
        <v>#N/A</v>
      </c>
    </row>
    <row r="3581" spans="7:8" ht="15" customHeight="1" x14ac:dyDescent="0.4">
      <c r="G3581" s="27">
        <f t="shared" si="65"/>
        <v>0</v>
      </c>
      <c r="H3581" s="28" t="e">
        <f>VLOOKUP(E3581,'Cadastro Produtos (kiwkiw)'!C:E,3,0)</f>
        <v>#N/A</v>
      </c>
    </row>
    <row r="3582" spans="7:8" ht="15" customHeight="1" x14ac:dyDescent="0.4">
      <c r="G3582" s="27">
        <f t="shared" si="65"/>
        <v>0</v>
      </c>
      <c r="H3582" s="28" t="e">
        <f>VLOOKUP(E3582,'Cadastro Produtos (kiwkiw)'!C:E,3,0)</f>
        <v>#N/A</v>
      </c>
    </row>
    <row r="3583" spans="7:8" ht="15" customHeight="1" x14ac:dyDescent="0.4">
      <c r="G3583" s="27">
        <f t="shared" si="65"/>
        <v>0</v>
      </c>
      <c r="H3583" s="28" t="e">
        <f>VLOOKUP(E3583,'Cadastro Produtos (kiwkiw)'!C:E,3,0)</f>
        <v>#N/A</v>
      </c>
    </row>
    <row r="3584" spans="7:8" ht="15" customHeight="1" x14ac:dyDescent="0.4">
      <c r="G3584" s="27">
        <f t="shared" si="65"/>
        <v>0</v>
      </c>
      <c r="H3584" s="28" t="e">
        <f>VLOOKUP(E3584,'Cadastro Produtos (kiwkiw)'!C:E,3,0)</f>
        <v>#N/A</v>
      </c>
    </row>
    <row r="3585" spans="7:8" ht="15" customHeight="1" x14ac:dyDescent="0.4">
      <c r="G3585" s="27">
        <f t="shared" si="65"/>
        <v>0</v>
      </c>
      <c r="H3585" s="28" t="e">
        <f>VLOOKUP(E3585,'Cadastro Produtos (kiwkiw)'!C:E,3,0)</f>
        <v>#N/A</v>
      </c>
    </row>
    <row r="3586" spans="7:8" ht="15" customHeight="1" x14ac:dyDescent="0.4">
      <c r="G3586" s="27">
        <f t="shared" si="65"/>
        <v>0</v>
      </c>
      <c r="H3586" s="28" t="e">
        <f>VLOOKUP(E3586,'Cadastro Produtos (kiwkiw)'!C:E,3,0)</f>
        <v>#N/A</v>
      </c>
    </row>
    <row r="3587" spans="7:8" ht="15" customHeight="1" x14ac:dyDescent="0.4">
      <c r="G3587" s="27">
        <f t="shared" si="65"/>
        <v>0</v>
      </c>
      <c r="H3587" s="28" t="e">
        <f>VLOOKUP(E3587,'Cadastro Produtos (kiwkiw)'!C:E,3,0)</f>
        <v>#N/A</v>
      </c>
    </row>
    <row r="3588" spans="7:8" ht="15" customHeight="1" x14ac:dyDescent="0.4">
      <c r="G3588" s="27">
        <f t="shared" si="65"/>
        <v>0</v>
      </c>
      <c r="H3588" s="28" t="e">
        <f>VLOOKUP(E3588,'Cadastro Produtos (kiwkiw)'!C:E,3,0)</f>
        <v>#N/A</v>
      </c>
    </row>
    <row r="3589" spans="7:8" ht="15" customHeight="1" x14ac:dyDescent="0.4">
      <c r="G3589" s="27">
        <f t="shared" si="65"/>
        <v>0</v>
      </c>
      <c r="H3589" s="28" t="e">
        <f>VLOOKUP(E3589,'Cadastro Produtos (kiwkiw)'!C:E,3,0)</f>
        <v>#N/A</v>
      </c>
    </row>
    <row r="3590" spans="7:8" ht="15" customHeight="1" x14ac:dyDescent="0.4">
      <c r="G3590" s="27">
        <f t="shared" si="65"/>
        <v>0</v>
      </c>
      <c r="H3590" s="28" t="e">
        <f>VLOOKUP(E3590,'Cadastro Produtos (kiwkiw)'!C:E,3,0)</f>
        <v>#N/A</v>
      </c>
    </row>
    <row r="3591" spans="7:8" ht="15" customHeight="1" x14ac:dyDescent="0.4">
      <c r="G3591" s="27">
        <f t="shared" si="65"/>
        <v>0</v>
      </c>
      <c r="H3591" s="28" t="e">
        <f>VLOOKUP(E3591,'Cadastro Produtos (kiwkiw)'!C:E,3,0)</f>
        <v>#N/A</v>
      </c>
    </row>
    <row r="3592" spans="7:8" ht="15" customHeight="1" x14ac:dyDescent="0.4">
      <c r="G3592" s="27">
        <f t="shared" si="65"/>
        <v>0</v>
      </c>
      <c r="H3592" s="28" t="e">
        <f>VLOOKUP(E3592,'Cadastro Produtos (kiwkiw)'!C:E,3,0)</f>
        <v>#N/A</v>
      </c>
    </row>
    <row r="3593" spans="7:8" ht="15" customHeight="1" x14ac:dyDescent="0.4">
      <c r="G3593" s="27">
        <f t="shared" si="65"/>
        <v>0</v>
      </c>
      <c r="H3593" s="28" t="e">
        <f>VLOOKUP(E3593,'Cadastro Produtos (kiwkiw)'!C:E,3,0)</f>
        <v>#N/A</v>
      </c>
    </row>
    <row r="3594" spans="7:8" ht="15" customHeight="1" x14ac:dyDescent="0.4">
      <c r="G3594" s="27">
        <f t="shared" si="65"/>
        <v>0</v>
      </c>
      <c r="H3594" s="28" t="e">
        <f>VLOOKUP(E3594,'Cadastro Produtos (kiwkiw)'!C:E,3,0)</f>
        <v>#N/A</v>
      </c>
    </row>
    <row r="3595" spans="7:8" ht="15" customHeight="1" x14ac:dyDescent="0.4">
      <c r="G3595" s="27">
        <f t="shared" si="65"/>
        <v>0</v>
      </c>
      <c r="H3595" s="28" t="e">
        <f>VLOOKUP(E3595,'Cadastro Produtos (kiwkiw)'!C:E,3,0)</f>
        <v>#N/A</v>
      </c>
    </row>
    <row r="3596" spans="7:8" ht="15" customHeight="1" x14ac:dyDescent="0.4">
      <c r="G3596" s="27">
        <f t="shared" si="65"/>
        <v>0</v>
      </c>
      <c r="H3596" s="28" t="e">
        <f>VLOOKUP(E3596,'Cadastro Produtos (kiwkiw)'!C:E,3,0)</f>
        <v>#N/A</v>
      </c>
    </row>
    <row r="3597" spans="7:8" ht="15" customHeight="1" x14ac:dyDescent="0.4">
      <c r="G3597" s="27">
        <f t="shared" si="65"/>
        <v>0</v>
      </c>
      <c r="H3597" s="28" t="e">
        <f>VLOOKUP(E3597,'Cadastro Produtos (kiwkiw)'!C:E,3,0)</f>
        <v>#N/A</v>
      </c>
    </row>
    <row r="3598" spans="7:8" ht="15" customHeight="1" x14ac:dyDescent="0.4">
      <c r="G3598" s="27">
        <f t="shared" si="65"/>
        <v>0</v>
      </c>
      <c r="H3598" s="28" t="e">
        <f>VLOOKUP(E3598,'Cadastro Produtos (kiwkiw)'!C:E,3,0)</f>
        <v>#N/A</v>
      </c>
    </row>
    <row r="3599" spans="7:8" ht="15" customHeight="1" x14ac:dyDescent="0.4">
      <c r="G3599" s="27">
        <f t="shared" si="65"/>
        <v>0</v>
      </c>
      <c r="H3599" s="28" t="e">
        <f>VLOOKUP(E3599,'Cadastro Produtos (kiwkiw)'!C:E,3,0)</f>
        <v>#N/A</v>
      </c>
    </row>
    <row r="3600" spans="7:8" ht="15" customHeight="1" x14ac:dyDescent="0.4">
      <c r="G3600" s="27">
        <f t="shared" si="65"/>
        <v>0</v>
      </c>
      <c r="H3600" s="28" t="e">
        <f>VLOOKUP(E3600,'Cadastro Produtos (kiwkiw)'!C:E,3,0)</f>
        <v>#N/A</v>
      </c>
    </row>
    <row r="3601" spans="7:8" ht="15" customHeight="1" x14ac:dyDescent="0.4">
      <c r="G3601" s="27">
        <f t="shared" si="65"/>
        <v>0</v>
      </c>
      <c r="H3601" s="28" t="e">
        <f>VLOOKUP(E3601,'Cadastro Produtos (kiwkiw)'!C:E,3,0)</f>
        <v>#N/A</v>
      </c>
    </row>
    <row r="3602" spans="7:8" ht="15" customHeight="1" x14ac:dyDescent="0.4">
      <c r="G3602" s="27">
        <f t="shared" si="65"/>
        <v>0</v>
      </c>
      <c r="H3602" s="28" t="e">
        <f>VLOOKUP(E3602,'Cadastro Produtos (kiwkiw)'!C:E,3,0)</f>
        <v>#N/A</v>
      </c>
    </row>
    <row r="3603" spans="7:8" ht="15" customHeight="1" x14ac:dyDescent="0.4">
      <c r="G3603" s="27">
        <f t="shared" si="65"/>
        <v>0</v>
      </c>
      <c r="H3603" s="28" t="e">
        <f>VLOOKUP(E3603,'Cadastro Produtos (kiwkiw)'!C:E,3,0)</f>
        <v>#N/A</v>
      </c>
    </row>
    <row r="3604" spans="7:8" ht="15" customHeight="1" x14ac:dyDescent="0.4">
      <c r="G3604" s="27">
        <f t="shared" si="65"/>
        <v>0</v>
      </c>
      <c r="H3604" s="28" t="e">
        <f>VLOOKUP(E3604,'Cadastro Produtos (kiwkiw)'!C:E,3,0)</f>
        <v>#N/A</v>
      </c>
    </row>
    <row r="3605" spans="7:8" ht="15" customHeight="1" x14ac:dyDescent="0.4">
      <c r="G3605" s="27">
        <f t="shared" si="65"/>
        <v>0</v>
      </c>
      <c r="H3605" s="28" t="e">
        <f>VLOOKUP(E3605,'Cadastro Produtos (kiwkiw)'!C:E,3,0)</f>
        <v>#N/A</v>
      </c>
    </row>
    <row r="3606" spans="7:8" ht="15" customHeight="1" x14ac:dyDescent="0.4">
      <c r="G3606" s="27">
        <f t="shared" si="65"/>
        <v>0</v>
      </c>
      <c r="H3606" s="28" t="e">
        <f>VLOOKUP(E3606,'Cadastro Produtos (kiwkiw)'!C:E,3,0)</f>
        <v>#N/A</v>
      </c>
    </row>
    <row r="3607" spans="7:8" ht="15" customHeight="1" x14ac:dyDescent="0.4">
      <c r="G3607" s="27">
        <f t="shared" si="65"/>
        <v>0</v>
      </c>
      <c r="H3607" s="28" t="e">
        <f>VLOOKUP(E3607,'Cadastro Produtos (kiwkiw)'!C:E,3,0)</f>
        <v>#N/A</v>
      </c>
    </row>
    <row r="3608" spans="7:8" ht="15" customHeight="1" x14ac:dyDescent="0.4">
      <c r="G3608" s="27">
        <f t="shared" si="65"/>
        <v>0</v>
      </c>
      <c r="H3608" s="28" t="e">
        <f>VLOOKUP(E3608,'Cadastro Produtos (kiwkiw)'!C:E,3,0)</f>
        <v>#N/A</v>
      </c>
    </row>
    <row r="3609" spans="7:8" ht="15" customHeight="1" x14ac:dyDescent="0.4">
      <c r="G3609" s="27">
        <f t="shared" si="65"/>
        <v>0</v>
      </c>
      <c r="H3609" s="28" t="e">
        <f>VLOOKUP(E3609,'Cadastro Produtos (kiwkiw)'!C:E,3,0)</f>
        <v>#N/A</v>
      </c>
    </row>
    <row r="3610" spans="7:8" ht="15" customHeight="1" x14ac:dyDescent="0.4">
      <c r="G3610" s="27">
        <f t="shared" si="65"/>
        <v>0</v>
      </c>
      <c r="H3610" s="28" t="e">
        <f>VLOOKUP(E3610,'Cadastro Produtos (kiwkiw)'!C:E,3,0)</f>
        <v>#N/A</v>
      </c>
    </row>
    <row r="3611" spans="7:8" ht="15" customHeight="1" x14ac:dyDescent="0.4">
      <c r="G3611" s="27">
        <f t="shared" si="65"/>
        <v>0</v>
      </c>
      <c r="H3611" s="28" t="e">
        <f>VLOOKUP(E3611,'Cadastro Produtos (kiwkiw)'!C:E,3,0)</f>
        <v>#N/A</v>
      </c>
    </row>
    <row r="3612" spans="7:8" ht="15" customHeight="1" x14ac:dyDescent="0.4">
      <c r="G3612" s="27">
        <f t="shared" si="65"/>
        <v>0</v>
      </c>
      <c r="H3612" s="28" t="e">
        <f>VLOOKUP(E3612,'Cadastro Produtos (kiwkiw)'!C:E,3,0)</f>
        <v>#N/A</v>
      </c>
    </row>
    <row r="3613" spans="7:8" ht="15" customHeight="1" x14ac:dyDescent="0.4">
      <c r="G3613" s="27">
        <f t="shared" si="65"/>
        <v>0</v>
      </c>
      <c r="H3613" s="28" t="e">
        <f>VLOOKUP(E3613,'Cadastro Produtos (kiwkiw)'!C:E,3,0)</f>
        <v>#N/A</v>
      </c>
    </row>
    <row r="3614" spans="7:8" ht="15" customHeight="1" x14ac:dyDescent="0.4">
      <c r="G3614" s="27">
        <f t="shared" si="65"/>
        <v>0</v>
      </c>
      <c r="H3614" s="28" t="e">
        <f>VLOOKUP(E3614,'Cadastro Produtos (kiwkiw)'!C:E,3,0)</f>
        <v>#N/A</v>
      </c>
    </row>
    <row r="3615" spans="7:8" ht="15" customHeight="1" x14ac:dyDescent="0.4">
      <c r="G3615" s="27">
        <f t="shared" si="65"/>
        <v>0</v>
      </c>
      <c r="H3615" s="28" t="e">
        <f>VLOOKUP(E3615,'Cadastro Produtos (kiwkiw)'!C:E,3,0)</f>
        <v>#N/A</v>
      </c>
    </row>
    <row r="3616" spans="7:8" ht="15" customHeight="1" x14ac:dyDescent="0.4">
      <c r="G3616" s="27">
        <f t="shared" si="65"/>
        <v>0</v>
      </c>
      <c r="H3616" s="28" t="e">
        <f>VLOOKUP(E3616,'Cadastro Produtos (kiwkiw)'!C:E,3,0)</f>
        <v>#N/A</v>
      </c>
    </row>
    <row r="3617" spans="7:8" ht="15" customHeight="1" x14ac:dyDescent="0.4">
      <c r="G3617" s="27">
        <f t="shared" si="65"/>
        <v>0</v>
      </c>
      <c r="H3617" s="28" t="e">
        <f>VLOOKUP(E3617,'Cadastro Produtos (kiwkiw)'!C:E,3,0)</f>
        <v>#N/A</v>
      </c>
    </row>
    <row r="3618" spans="7:8" ht="15" customHeight="1" x14ac:dyDescent="0.4">
      <c r="G3618" s="27">
        <f t="shared" si="65"/>
        <v>0</v>
      </c>
      <c r="H3618" s="28" t="e">
        <f>VLOOKUP(E3618,'Cadastro Produtos (kiwkiw)'!C:E,3,0)</f>
        <v>#N/A</v>
      </c>
    </row>
    <row r="3619" spans="7:8" ht="15" customHeight="1" x14ac:dyDescent="0.4">
      <c r="G3619" s="27">
        <f t="shared" si="65"/>
        <v>0</v>
      </c>
      <c r="H3619" s="28" t="e">
        <f>VLOOKUP(E3619,'Cadastro Produtos (kiwkiw)'!C:E,3,0)</f>
        <v>#N/A</v>
      </c>
    </row>
    <row r="3620" spans="7:8" ht="15" customHeight="1" x14ac:dyDescent="0.4">
      <c r="G3620" s="27">
        <f t="shared" si="65"/>
        <v>0</v>
      </c>
      <c r="H3620" s="28" t="e">
        <f>VLOOKUP(E3620,'Cadastro Produtos (kiwkiw)'!C:E,3,0)</f>
        <v>#N/A</v>
      </c>
    </row>
    <row r="3621" spans="7:8" ht="15" customHeight="1" x14ac:dyDescent="0.4">
      <c r="G3621" s="27">
        <f t="shared" si="65"/>
        <v>0</v>
      </c>
      <c r="H3621" s="28" t="e">
        <f>VLOOKUP(E3621,'Cadastro Produtos (kiwkiw)'!C:E,3,0)</f>
        <v>#N/A</v>
      </c>
    </row>
    <row r="3622" spans="7:8" ht="15" customHeight="1" x14ac:dyDescent="0.4">
      <c r="G3622" s="27">
        <f t="shared" si="65"/>
        <v>0</v>
      </c>
      <c r="H3622" s="28" t="e">
        <f>VLOOKUP(E3622,'Cadastro Produtos (kiwkiw)'!C:E,3,0)</f>
        <v>#N/A</v>
      </c>
    </row>
    <row r="3623" spans="7:8" ht="15" customHeight="1" x14ac:dyDescent="0.4">
      <c r="G3623" s="27">
        <f t="shared" si="65"/>
        <v>0</v>
      </c>
      <c r="H3623" s="28" t="e">
        <f>VLOOKUP(E3623,'Cadastro Produtos (kiwkiw)'!C:E,3,0)</f>
        <v>#N/A</v>
      </c>
    </row>
    <row r="3624" spans="7:8" ht="15" customHeight="1" x14ac:dyDescent="0.4">
      <c r="G3624" s="27">
        <f t="shared" si="65"/>
        <v>0</v>
      </c>
      <c r="H3624" s="28" t="e">
        <f>VLOOKUP(E3624,'Cadastro Produtos (kiwkiw)'!C:E,3,0)</f>
        <v>#N/A</v>
      </c>
    </row>
    <row r="3625" spans="7:8" ht="15" customHeight="1" x14ac:dyDescent="0.4">
      <c r="G3625" s="27">
        <f t="shared" si="65"/>
        <v>0</v>
      </c>
      <c r="H3625" s="28" t="e">
        <f>VLOOKUP(E3625,'Cadastro Produtos (kiwkiw)'!C:E,3,0)</f>
        <v>#N/A</v>
      </c>
    </row>
    <row r="3626" spans="7:8" ht="15" customHeight="1" x14ac:dyDescent="0.4">
      <c r="G3626" s="27">
        <f t="shared" si="65"/>
        <v>0</v>
      </c>
      <c r="H3626" s="28" t="e">
        <f>VLOOKUP(E3626,'Cadastro Produtos (kiwkiw)'!C:E,3,0)</f>
        <v>#N/A</v>
      </c>
    </row>
    <row r="3627" spans="7:8" ht="15" customHeight="1" x14ac:dyDescent="0.4">
      <c r="G3627" s="27">
        <f t="shared" si="65"/>
        <v>0</v>
      </c>
      <c r="H3627" s="28" t="e">
        <f>VLOOKUP(E3627,'Cadastro Produtos (kiwkiw)'!C:E,3,0)</f>
        <v>#N/A</v>
      </c>
    </row>
    <row r="3628" spans="7:8" ht="15" customHeight="1" x14ac:dyDescent="0.4">
      <c r="G3628" s="27">
        <f t="shared" si="65"/>
        <v>0</v>
      </c>
      <c r="H3628" s="28" t="e">
        <f>VLOOKUP(E3628,'Cadastro Produtos (kiwkiw)'!C:E,3,0)</f>
        <v>#N/A</v>
      </c>
    </row>
    <row r="3629" spans="7:8" ht="15" customHeight="1" x14ac:dyDescent="0.4">
      <c r="G3629" s="27">
        <f t="shared" si="65"/>
        <v>0</v>
      </c>
      <c r="H3629" s="28" t="e">
        <f>VLOOKUP(E3629,'Cadastro Produtos (kiwkiw)'!C:E,3,0)</f>
        <v>#N/A</v>
      </c>
    </row>
    <row r="3630" spans="7:8" ht="15" customHeight="1" x14ac:dyDescent="0.4">
      <c r="G3630" s="27">
        <f t="shared" si="65"/>
        <v>0</v>
      </c>
      <c r="H3630" s="28" t="e">
        <f>VLOOKUP(E3630,'Cadastro Produtos (kiwkiw)'!C:E,3,0)</f>
        <v>#N/A</v>
      </c>
    </row>
    <row r="3631" spans="7:8" ht="15" customHeight="1" x14ac:dyDescent="0.4">
      <c r="G3631" s="27">
        <f t="shared" si="65"/>
        <v>0</v>
      </c>
      <c r="H3631" s="28" t="e">
        <f>VLOOKUP(E3631,'Cadastro Produtos (kiwkiw)'!C:E,3,0)</f>
        <v>#N/A</v>
      </c>
    </row>
    <row r="3632" spans="7:8" ht="15" customHeight="1" x14ac:dyDescent="0.4">
      <c r="G3632" s="27">
        <f t="shared" si="65"/>
        <v>0</v>
      </c>
      <c r="H3632" s="28" t="e">
        <f>VLOOKUP(E3632,'Cadastro Produtos (kiwkiw)'!C:E,3,0)</f>
        <v>#N/A</v>
      </c>
    </row>
    <row r="3633" spans="7:8" ht="15" customHeight="1" x14ac:dyDescent="0.4">
      <c r="G3633" s="27">
        <f t="shared" si="65"/>
        <v>0</v>
      </c>
      <c r="H3633" s="28" t="e">
        <f>VLOOKUP(E3633,'Cadastro Produtos (kiwkiw)'!C:E,3,0)</f>
        <v>#N/A</v>
      </c>
    </row>
    <row r="3634" spans="7:8" ht="15" customHeight="1" x14ac:dyDescent="0.4">
      <c r="G3634" s="27">
        <f t="shared" si="65"/>
        <v>0</v>
      </c>
      <c r="H3634" s="28" t="e">
        <f>VLOOKUP(E3634,'Cadastro Produtos (kiwkiw)'!C:E,3,0)</f>
        <v>#N/A</v>
      </c>
    </row>
    <row r="3635" spans="7:8" ht="15" customHeight="1" x14ac:dyDescent="0.4">
      <c r="G3635" s="27">
        <f t="shared" si="65"/>
        <v>0</v>
      </c>
      <c r="H3635" s="28" t="e">
        <f>VLOOKUP(E3635,'Cadastro Produtos (kiwkiw)'!C:E,3,0)</f>
        <v>#N/A</v>
      </c>
    </row>
    <row r="3636" spans="7:8" ht="15" customHeight="1" x14ac:dyDescent="0.4">
      <c r="G3636" s="27">
        <f t="shared" si="65"/>
        <v>0</v>
      </c>
      <c r="H3636" s="28" t="e">
        <f>VLOOKUP(E3636,'Cadastro Produtos (kiwkiw)'!C:E,3,0)</f>
        <v>#N/A</v>
      </c>
    </row>
    <row r="3637" spans="7:8" ht="15" customHeight="1" x14ac:dyDescent="0.4">
      <c r="G3637" s="27">
        <f t="shared" si="65"/>
        <v>0</v>
      </c>
      <c r="H3637" s="28" t="e">
        <f>VLOOKUP(E3637,'Cadastro Produtos (kiwkiw)'!C:E,3,0)</f>
        <v>#N/A</v>
      </c>
    </row>
    <row r="3638" spans="7:8" ht="15" customHeight="1" x14ac:dyDescent="0.4">
      <c r="G3638" s="27">
        <f t="shared" si="65"/>
        <v>0</v>
      </c>
      <c r="H3638" s="28" t="e">
        <f>VLOOKUP(E3638,'Cadastro Produtos (kiwkiw)'!C:E,3,0)</f>
        <v>#N/A</v>
      </c>
    </row>
    <row r="3639" spans="7:8" ht="15" customHeight="1" x14ac:dyDescent="0.4">
      <c r="G3639" s="27">
        <f t="shared" ref="G3639:G3702" si="66">IF(C3639="Entrada",F3639,-F3639)</f>
        <v>0</v>
      </c>
      <c r="H3639" s="28" t="e">
        <f>VLOOKUP(E3639,'Cadastro Produtos (kiwkiw)'!C:E,3,0)</f>
        <v>#N/A</v>
      </c>
    </row>
    <row r="3640" spans="7:8" ht="15" customHeight="1" x14ac:dyDescent="0.4">
      <c r="G3640" s="27">
        <f t="shared" si="66"/>
        <v>0</v>
      </c>
      <c r="H3640" s="28" t="e">
        <f>VLOOKUP(E3640,'Cadastro Produtos (kiwkiw)'!C:E,3,0)</f>
        <v>#N/A</v>
      </c>
    </row>
    <row r="3641" spans="7:8" ht="15" customHeight="1" x14ac:dyDescent="0.4">
      <c r="G3641" s="27">
        <f t="shared" si="66"/>
        <v>0</v>
      </c>
      <c r="H3641" s="28" t="e">
        <f>VLOOKUP(E3641,'Cadastro Produtos (kiwkiw)'!C:E,3,0)</f>
        <v>#N/A</v>
      </c>
    </row>
    <row r="3642" spans="7:8" ht="15" customHeight="1" x14ac:dyDescent="0.4">
      <c r="G3642" s="27">
        <f t="shared" si="66"/>
        <v>0</v>
      </c>
      <c r="H3642" s="28" t="e">
        <f>VLOOKUP(E3642,'Cadastro Produtos (kiwkiw)'!C:E,3,0)</f>
        <v>#N/A</v>
      </c>
    </row>
    <row r="3643" spans="7:8" ht="15" customHeight="1" x14ac:dyDescent="0.4">
      <c r="G3643" s="27">
        <f t="shared" si="66"/>
        <v>0</v>
      </c>
      <c r="H3643" s="28" t="e">
        <f>VLOOKUP(E3643,'Cadastro Produtos (kiwkiw)'!C:E,3,0)</f>
        <v>#N/A</v>
      </c>
    </row>
    <row r="3644" spans="7:8" ht="15" customHeight="1" x14ac:dyDescent="0.4">
      <c r="G3644" s="27">
        <f t="shared" si="66"/>
        <v>0</v>
      </c>
      <c r="H3644" s="28" t="e">
        <f>VLOOKUP(E3644,'Cadastro Produtos (kiwkiw)'!C:E,3,0)</f>
        <v>#N/A</v>
      </c>
    </row>
    <row r="3645" spans="7:8" ht="15" customHeight="1" x14ac:dyDescent="0.4">
      <c r="G3645" s="27">
        <f t="shared" si="66"/>
        <v>0</v>
      </c>
      <c r="H3645" s="28" t="e">
        <f>VLOOKUP(E3645,'Cadastro Produtos (kiwkiw)'!C:E,3,0)</f>
        <v>#N/A</v>
      </c>
    </row>
    <row r="3646" spans="7:8" ht="15" customHeight="1" x14ac:dyDescent="0.4">
      <c r="G3646" s="27">
        <f t="shared" si="66"/>
        <v>0</v>
      </c>
      <c r="H3646" s="28" t="e">
        <f>VLOOKUP(E3646,'Cadastro Produtos (kiwkiw)'!C:E,3,0)</f>
        <v>#N/A</v>
      </c>
    </row>
    <row r="3647" spans="7:8" ht="15" customHeight="1" x14ac:dyDescent="0.4">
      <c r="G3647" s="27">
        <f t="shared" si="66"/>
        <v>0</v>
      </c>
      <c r="H3647" s="28" t="e">
        <f>VLOOKUP(E3647,'Cadastro Produtos (kiwkiw)'!C:E,3,0)</f>
        <v>#N/A</v>
      </c>
    </row>
    <row r="3648" spans="7:8" ht="15" customHeight="1" x14ac:dyDescent="0.4">
      <c r="G3648" s="27">
        <f t="shared" si="66"/>
        <v>0</v>
      </c>
      <c r="H3648" s="28" t="e">
        <f>VLOOKUP(E3648,'Cadastro Produtos (kiwkiw)'!C:E,3,0)</f>
        <v>#N/A</v>
      </c>
    </row>
    <row r="3649" spans="7:8" ht="15" customHeight="1" x14ac:dyDescent="0.4">
      <c r="G3649" s="27">
        <f t="shared" si="66"/>
        <v>0</v>
      </c>
      <c r="H3649" s="28" t="e">
        <f>VLOOKUP(E3649,'Cadastro Produtos (kiwkiw)'!C:E,3,0)</f>
        <v>#N/A</v>
      </c>
    </row>
    <row r="3650" spans="7:8" ht="15" customHeight="1" x14ac:dyDescent="0.4">
      <c r="G3650" s="27">
        <f t="shared" si="66"/>
        <v>0</v>
      </c>
      <c r="H3650" s="28" t="e">
        <f>VLOOKUP(E3650,'Cadastro Produtos (kiwkiw)'!C:E,3,0)</f>
        <v>#N/A</v>
      </c>
    </row>
    <row r="3651" spans="7:8" ht="15" customHeight="1" x14ac:dyDescent="0.4">
      <c r="G3651" s="27">
        <f t="shared" si="66"/>
        <v>0</v>
      </c>
      <c r="H3651" s="28" t="e">
        <f>VLOOKUP(E3651,'Cadastro Produtos (kiwkiw)'!C:E,3,0)</f>
        <v>#N/A</v>
      </c>
    </row>
    <row r="3652" spans="7:8" ht="15" customHeight="1" x14ac:dyDescent="0.4">
      <c r="G3652" s="27">
        <f t="shared" si="66"/>
        <v>0</v>
      </c>
      <c r="H3652" s="28" t="e">
        <f>VLOOKUP(E3652,'Cadastro Produtos (kiwkiw)'!C:E,3,0)</f>
        <v>#N/A</v>
      </c>
    </row>
    <row r="3653" spans="7:8" ht="15" customHeight="1" x14ac:dyDescent="0.4">
      <c r="G3653" s="27">
        <f t="shared" si="66"/>
        <v>0</v>
      </c>
      <c r="H3653" s="28" t="e">
        <f>VLOOKUP(E3653,'Cadastro Produtos (kiwkiw)'!C:E,3,0)</f>
        <v>#N/A</v>
      </c>
    </row>
    <row r="3654" spans="7:8" ht="15" customHeight="1" x14ac:dyDescent="0.4">
      <c r="G3654" s="27">
        <f t="shared" si="66"/>
        <v>0</v>
      </c>
      <c r="H3654" s="28" t="e">
        <f>VLOOKUP(E3654,'Cadastro Produtos (kiwkiw)'!C:E,3,0)</f>
        <v>#N/A</v>
      </c>
    </row>
    <row r="3655" spans="7:8" ht="15" customHeight="1" x14ac:dyDescent="0.4">
      <c r="G3655" s="27">
        <f t="shared" si="66"/>
        <v>0</v>
      </c>
      <c r="H3655" s="28" t="e">
        <f>VLOOKUP(E3655,'Cadastro Produtos (kiwkiw)'!C:E,3,0)</f>
        <v>#N/A</v>
      </c>
    </row>
    <row r="3656" spans="7:8" ht="15" customHeight="1" x14ac:dyDescent="0.4">
      <c r="G3656" s="27">
        <f t="shared" si="66"/>
        <v>0</v>
      </c>
      <c r="H3656" s="28" t="e">
        <f>VLOOKUP(E3656,'Cadastro Produtos (kiwkiw)'!C:E,3,0)</f>
        <v>#N/A</v>
      </c>
    </row>
    <row r="3657" spans="7:8" ht="15" customHeight="1" x14ac:dyDescent="0.4">
      <c r="G3657" s="27">
        <f t="shared" si="66"/>
        <v>0</v>
      </c>
      <c r="H3657" s="28" t="e">
        <f>VLOOKUP(E3657,'Cadastro Produtos (kiwkiw)'!C:E,3,0)</f>
        <v>#N/A</v>
      </c>
    </row>
    <row r="3658" spans="7:8" ht="15" customHeight="1" x14ac:dyDescent="0.4">
      <c r="G3658" s="27">
        <f t="shared" si="66"/>
        <v>0</v>
      </c>
      <c r="H3658" s="28" t="e">
        <f>VLOOKUP(E3658,'Cadastro Produtos (kiwkiw)'!C:E,3,0)</f>
        <v>#N/A</v>
      </c>
    </row>
    <row r="3659" spans="7:8" ht="15" customHeight="1" x14ac:dyDescent="0.4">
      <c r="G3659" s="27">
        <f t="shared" si="66"/>
        <v>0</v>
      </c>
      <c r="H3659" s="28" t="e">
        <f>VLOOKUP(E3659,'Cadastro Produtos (kiwkiw)'!C:E,3,0)</f>
        <v>#N/A</v>
      </c>
    </row>
    <row r="3660" spans="7:8" ht="15" customHeight="1" x14ac:dyDescent="0.4">
      <c r="G3660" s="27">
        <f t="shared" si="66"/>
        <v>0</v>
      </c>
      <c r="H3660" s="28" t="e">
        <f>VLOOKUP(E3660,'Cadastro Produtos (kiwkiw)'!C:E,3,0)</f>
        <v>#N/A</v>
      </c>
    </row>
    <row r="3661" spans="7:8" ht="15" customHeight="1" x14ac:dyDescent="0.4">
      <c r="G3661" s="27">
        <f t="shared" si="66"/>
        <v>0</v>
      </c>
      <c r="H3661" s="28" t="e">
        <f>VLOOKUP(E3661,'Cadastro Produtos (kiwkiw)'!C:E,3,0)</f>
        <v>#N/A</v>
      </c>
    </row>
    <row r="3662" spans="7:8" ht="15" customHeight="1" x14ac:dyDescent="0.4">
      <c r="G3662" s="27">
        <f t="shared" si="66"/>
        <v>0</v>
      </c>
      <c r="H3662" s="28" t="e">
        <f>VLOOKUP(E3662,'Cadastro Produtos (kiwkiw)'!C:E,3,0)</f>
        <v>#N/A</v>
      </c>
    </row>
    <row r="3663" spans="7:8" ht="15" customHeight="1" x14ac:dyDescent="0.4">
      <c r="G3663" s="27">
        <f t="shared" si="66"/>
        <v>0</v>
      </c>
      <c r="H3663" s="28" t="e">
        <f>VLOOKUP(E3663,'Cadastro Produtos (kiwkiw)'!C:E,3,0)</f>
        <v>#N/A</v>
      </c>
    </row>
    <row r="3664" spans="7:8" ht="15" customHeight="1" x14ac:dyDescent="0.4">
      <c r="G3664" s="27">
        <f t="shared" si="66"/>
        <v>0</v>
      </c>
      <c r="H3664" s="28" t="e">
        <f>VLOOKUP(E3664,'Cadastro Produtos (kiwkiw)'!C:E,3,0)</f>
        <v>#N/A</v>
      </c>
    </row>
    <row r="3665" spans="7:8" ht="15" customHeight="1" x14ac:dyDescent="0.4">
      <c r="G3665" s="27">
        <f t="shared" si="66"/>
        <v>0</v>
      </c>
      <c r="H3665" s="28" t="e">
        <f>VLOOKUP(E3665,'Cadastro Produtos (kiwkiw)'!C:E,3,0)</f>
        <v>#N/A</v>
      </c>
    </row>
    <row r="3666" spans="7:8" ht="15" customHeight="1" x14ac:dyDescent="0.4">
      <c r="G3666" s="27">
        <f t="shared" si="66"/>
        <v>0</v>
      </c>
      <c r="H3666" s="28" t="e">
        <f>VLOOKUP(E3666,'Cadastro Produtos (kiwkiw)'!C:E,3,0)</f>
        <v>#N/A</v>
      </c>
    </row>
    <row r="3667" spans="7:8" ht="15" customHeight="1" x14ac:dyDescent="0.4">
      <c r="G3667" s="27">
        <f t="shared" si="66"/>
        <v>0</v>
      </c>
      <c r="H3667" s="28" t="e">
        <f>VLOOKUP(E3667,'Cadastro Produtos (kiwkiw)'!C:E,3,0)</f>
        <v>#N/A</v>
      </c>
    </row>
    <row r="3668" spans="7:8" ht="15" customHeight="1" x14ac:dyDescent="0.4">
      <c r="G3668" s="27">
        <f t="shared" si="66"/>
        <v>0</v>
      </c>
      <c r="H3668" s="28" t="e">
        <f>VLOOKUP(E3668,'Cadastro Produtos (kiwkiw)'!C:E,3,0)</f>
        <v>#N/A</v>
      </c>
    </row>
    <row r="3669" spans="7:8" ht="15" customHeight="1" x14ac:dyDescent="0.4">
      <c r="G3669" s="27">
        <f t="shared" si="66"/>
        <v>0</v>
      </c>
      <c r="H3669" s="28" t="e">
        <f>VLOOKUP(E3669,'Cadastro Produtos (kiwkiw)'!C:E,3,0)</f>
        <v>#N/A</v>
      </c>
    </row>
    <row r="3670" spans="7:8" ht="15" customHeight="1" x14ac:dyDescent="0.4">
      <c r="G3670" s="27">
        <f t="shared" si="66"/>
        <v>0</v>
      </c>
      <c r="H3670" s="28" t="e">
        <f>VLOOKUP(E3670,'Cadastro Produtos (kiwkiw)'!C:E,3,0)</f>
        <v>#N/A</v>
      </c>
    </row>
    <row r="3671" spans="7:8" ht="15" customHeight="1" x14ac:dyDescent="0.4">
      <c r="G3671" s="27">
        <f t="shared" si="66"/>
        <v>0</v>
      </c>
      <c r="H3671" s="28" t="e">
        <f>VLOOKUP(E3671,'Cadastro Produtos (kiwkiw)'!C:E,3,0)</f>
        <v>#N/A</v>
      </c>
    </row>
    <row r="3672" spans="7:8" ht="15" customHeight="1" x14ac:dyDescent="0.4">
      <c r="G3672" s="27">
        <f t="shared" si="66"/>
        <v>0</v>
      </c>
      <c r="H3672" s="28" t="e">
        <f>VLOOKUP(E3672,'Cadastro Produtos (kiwkiw)'!C:E,3,0)</f>
        <v>#N/A</v>
      </c>
    </row>
    <row r="3673" spans="7:8" ht="15" customHeight="1" x14ac:dyDescent="0.4">
      <c r="G3673" s="27">
        <f t="shared" si="66"/>
        <v>0</v>
      </c>
      <c r="H3673" s="28" t="e">
        <f>VLOOKUP(E3673,'Cadastro Produtos (kiwkiw)'!C:E,3,0)</f>
        <v>#N/A</v>
      </c>
    </row>
    <row r="3674" spans="7:8" ht="15" customHeight="1" x14ac:dyDescent="0.4">
      <c r="G3674" s="27">
        <f t="shared" si="66"/>
        <v>0</v>
      </c>
      <c r="H3674" s="28" t="e">
        <f>VLOOKUP(E3674,'Cadastro Produtos (kiwkiw)'!C:E,3,0)</f>
        <v>#N/A</v>
      </c>
    </row>
    <row r="3675" spans="7:8" ht="15" customHeight="1" x14ac:dyDescent="0.4">
      <c r="G3675" s="27">
        <f t="shared" si="66"/>
        <v>0</v>
      </c>
      <c r="H3675" s="28" t="e">
        <f>VLOOKUP(E3675,'Cadastro Produtos (kiwkiw)'!C:E,3,0)</f>
        <v>#N/A</v>
      </c>
    </row>
    <row r="3676" spans="7:8" ht="15" customHeight="1" x14ac:dyDescent="0.4">
      <c r="G3676" s="27">
        <f t="shared" si="66"/>
        <v>0</v>
      </c>
      <c r="H3676" s="28" t="e">
        <f>VLOOKUP(E3676,'Cadastro Produtos (kiwkiw)'!C:E,3,0)</f>
        <v>#N/A</v>
      </c>
    </row>
    <row r="3677" spans="7:8" ht="15" customHeight="1" x14ac:dyDescent="0.4">
      <c r="G3677" s="27">
        <f t="shared" si="66"/>
        <v>0</v>
      </c>
      <c r="H3677" s="28" t="e">
        <f>VLOOKUP(E3677,'Cadastro Produtos (kiwkiw)'!C:E,3,0)</f>
        <v>#N/A</v>
      </c>
    </row>
    <row r="3678" spans="7:8" ht="15" customHeight="1" x14ac:dyDescent="0.4">
      <c r="G3678" s="27">
        <f t="shared" si="66"/>
        <v>0</v>
      </c>
      <c r="H3678" s="28" t="e">
        <f>VLOOKUP(E3678,'Cadastro Produtos (kiwkiw)'!C:E,3,0)</f>
        <v>#N/A</v>
      </c>
    </row>
    <row r="3679" spans="7:8" ht="15" customHeight="1" x14ac:dyDescent="0.4">
      <c r="G3679" s="27">
        <f t="shared" si="66"/>
        <v>0</v>
      </c>
      <c r="H3679" s="28" t="e">
        <f>VLOOKUP(E3679,'Cadastro Produtos (kiwkiw)'!C:E,3,0)</f>
        <v>#N/A</v>
      </c>
    </row>
    <row r="3680" spans="7:8" ht="15" customHeight="1" x14ac:dyDescent="0.4">
      <c r="G3680" s="27">
        <f t="shared" si="66"/>
        <v>0</v>
      </c>
      <c r="H3680" s="28" t="e">
        <f>VLOOKUP(E3680,'Cadastro Produtos (kiwkiw)'!C:E,3,0)</f>
        <v>#N/A</v>
      </c>
    </row>
    <row r="3681" spans="7:8" ht="15" customHeight="1" x14ac:dyDescent="0.4">
      <c r="G3681" s="27">
        <f t="shared" si="66"/>
        <v>0</v>
      </c>
      <c r="H3681" s="28" t="e">
        <f>VLOOKUP(E3681,'Cadastro Produtos (kiwkiw)'!C:E,3,0)</f>
        <v>#N/A</v>
      </c>
    </row>
    <row r="3682" spans="7:8" ht="15" customHeight="1" x14ac:dyDescent="0.4">
      <c r="G3682" s="27">
        <f t="shared" si="66"/>
        <v>0</v>
      </c>
      <c r="H3682" s="28" t="e">
        <f>VLOOKUP(E3682,'Cadastro Produtos (kiwkiw)'!C:E,3,0)</f>
        <v>#N/A</v>
      </c>
    </row>
    <row r="3683" spans="7:8" ht="15" customHeight="1" x14ac:dyDescent="0.4">
      <c r="G3683" s="27">
        <f t="shared" si="66"/>
        <v>0</v>
      </c>
      <c r="H3683" s="28" t="e">
        <f>VLOOKUP(E3683,'Cadastro Produtos (kiwkiw)'!C:E,3,0)</f>
        <v>#N/A</v>
      </c>
    </row>
    <row r="3684" spans="7:8" ht="15" customHeight="1" x14ac:dyDescent="0.4">
      <c r="G3684" s="27">
        <f t="shared" si="66"/>
        <v>0</v>
      </c>
      <c r="H3684" s="28" t="e">
        <f>VLOOKUP(E3684,'Cadastro Produtos (kiwkiw)'!C:E,3,0)</f>
        <v>#N/A</v>
      </c>
    </row>
    <row r="3685" spans="7:8" ht="15" customHeight="1" x14ac:dyDescent="0.4">
      <c r="G3685" s="27">
        <f t="shared" si="66"/>
        <v>0</v>
      </c>
      <c r="H3685" s="28" t="e">
        <f>VLOOKUP(E3685,'Cadastro Produtos (kiwkiw)'!C:E,3,0)</f>
        <v>#N/A</v>
      </c>
    </row>
    <row r="3686" spans="7:8" ht="15" customHeight="1" x14ac:dyDescent="0.4">
      <c r="G3686" s="27">
        <f t="shared" si="66"/>
        <v>0</v>
      </c>
      <c r="H3686" s="28" t="e">
        <f>VLOOKUP(E3686,'Cadastro Produtos (kiwkiw)'!C:E,3,0)</f>
        <v>#N/A</v>
      </c>
    </row>
    <row r="3687" spans="7:8" ht="15" customHeight="1" x14ac:dyDescent="0.4">
      <c r="G3687" s="27">
        <f t="shared" si="66"/>
        <v>0</v>
      </c>
      <c r="H3687" s="28" t="e">
        <f>VLOOKUP(E3687,'Cadastro Produtos (kiwkiw)'!C:E,3,0)</f>
        <v>#N/A</v>
      </c>
    </row>
    <row r="3688" spans="7:8" ht="15" customHeight="1" x14ac:dyDescent="0.4">
      <c r="G3688" s="27">
        <f t="shared" si="66"/>
        <v>0</v>
      </c>
      <c r="H3688" s="28" t="e">
        <f>VLOOKUP(E3688,'Cadastro Produtos (kiwkiw)'!C:E,3,0)</f>
        <v>#N/A</v>
      </c>
    </row>
    <row r="3689" spans="7:8" ht="15" customHeight="1" x14ac:dyDescent="0.4">
      <c r="G3689" s="27">
        <f t="shared" si="66"/>
        <v>0</v>
      </c>
      <c r="H3689" s="28" t="e">
        <f>VLOOKUP(E3689,'Cadastro Produtos (kiwkiw)'!C:E,3,0)</f>
        <v>#N/A</v>
      </c>
    </row>
    <row r="3690" spans="7:8" ht="15" customHeight="1" x14ac:dyDescent="0.4">
      <c r="G3690" s="27">
        <f t="shared" si="66"/>
        <v>0</v>
      </c>
      <c r="H3690" s="28" t="e">
        <f>VLOOKUP(E3690,'Cadastro Produtos (kiwkiw)'!C:E,3,0)</f>
        <v>#N/A</v>
      </c>
    </row>
    <row r="3691" spans="7:8" ht="15" customHeight="1" x14ac:dyDescent="0.4">
      <c r="G3691" s="27">
        <f t="shared" si="66"/>
        <v>0</v>
      </c>
      <c r="H3691" s="28" t="e">
        <f>VLOOKUP(E3691,'Cadastro Produtos (kiwkiw)'!C:E,3,0)</f>
        <v>#N/A</v>
      </c>
    </row>
    <row r="3692" spans="7:8" ht="15" customHeight="1" x14ac:dyDescent="0.4">
      <c r="G3692" s="27">
        <f t="shared" si="66"/>
        <v>0</v>
      </c>
      <c r="H3692" s="28" t="e">
        <f>VLOOKUP(E3692,'Cadastro Produtos (kiwkiw)'!C:E,3,0)</f>
        <v>#N/A</v>
      </c>
    </row>
    <row r="3693" spans="7:8" ht="15" customHeight="1" x14ac:dyDescent="0.4">
      <c r="G3693" s="27">
        <f t="shared" si="66"/>
        <v>0</v>
      </c>
      <c r="H3693" s="28" t="e">
        <f>VLOOKUP(E3693,'Cadastro Produtos (kiwkiw)'!C:E,3,0)</f>
        <v>#N/A</v>
      </c>
    </row>
    <row r="3694" spans="7:8" ht="15" customHeight="1" x14ac:dyDescent="0.4">
      <c r="G3694" s="27">
        <f t="shared" si="66"/>
        <v>0</v>
      </c>
      <c r="H3694" s="28" t="e">
        <f>VLOOKUP(E3694,'Cadastro Produtos (kiwkiw)'!C:E,3,0)</f>
        <v>#N/A</v>
      </c>
    </row>
    <row r="3695" spans="7:8" ht="15" customHeight="1" x14ac:dyDescent="0.4">
      <c r="G3695" s="27">
        <f t="shared" si="66"/>
        <v>0</v>
      </c>
      <c r="H3695" s="28" t="e">
        <f>VLOOKUP(E3695,'Cadastro Produtos (kiwkiw)'!C:E,3,0)</f>
        <v>#N/A</v>
      </c>
    </row>
    <row r="3696" spans="7:8" ht="15" customHeight="1" x14ac:dyDescent="0.4">
      <c r="G3696" s="27">
        <f t="shared" si="66"/>
        <v>0</v>
      </c>
      <c r="H3696" s="28" t="e">
        <f>VLOOKUP(E3696,'Cadastro Produtos (kiwkiw)'!C:E,3,0)</f>
        <v>#N/A</v>
      </c>
    </row>
    <row r="3697" spans="7:8" ht="15" customHeight="1" x14ac:dyDescent="0.4">
      <c r="G3697" s="27">
        <f t="shared" si="66"/>
        <v>0</v>
      </c>
      <c r="H3697" s="28" t="e">
        <f>VLOOKUP(E3697,'Cadastro Produtos (kiwkiw)'!C:E,3,0)</f>
        <v>#N/A</v>
      </c>
    </row>
    <row r="3698" spans="7:8" ht="15" customHeight="1" x14ac:dyDescent="0.4">
      <c r="G3698" s="27">
        <f t="shared" si="66"/>
        <v>0</v>
      </c>
      <c r="H3698" s="28" t="e">
        <f>VLOOKUP(E3698,'Cadastro Produtos (kiwkiw)'!C:E,3,0)</f>
        <v>#N/A</v>
      </c>
    </row>
    <row r="3699" spans="7:8" ht="15" customHeight="1" x14ac:dyDescent="0.4">
      <c r="G3699" s="27">
        <f t="shared" si="66"/>
        <v>0</v>
      </c>
      <c r="H3699" s="28" t="e">
        <f>VLOOKUP(E3699,'Cadastro Produtos (kiwkiw)'!C:E,3,0)</f>
        <v>#N/A</v>
      </c>
    </row>
    <row r="3700" spans="7:8" ht="15" customHeight="1" x14ac:dyDescent="0.4">
      <c r="G3700" s="27">
        <f t="shared" si="66"/>
        <v>0</v>
      </c>
      <c r="H3700" s="28" t="e">
        <f>VLOOKUP(E3700,'Cadastro Produtos (kiwkiw)'!C:E,3,0)</f>
        <v>#N/A</v>
      </c>
    </row>
    <row r="3701" spans="7:8" ht="15" customHeight="1" x14ac:dyDescent="0.4">
      <c r="G3701" s="27">
        <f t="shared" si="66"/>
        <v>0</v>
      </c>
      <c r="H3701" s="28" t="e">
        <f>VLOOKUP(E3701,'Cadastro Produtos (kiwkiw)'!C:E,3,0)</f>
        <v>#N/A</v>
      </c>
    </row>
    <row r="3702" spans="7:8" ht="15" customHeight="1" x14ac:dyDescent="0.4">
      <c r="G3702" s="27">
        <f t="shared" si="66"/>
        <v>0</v>
      </c>
      <c r="H3702" s="28" t="e">
        <f>VLOOKUP(E3702,'Cadastro Produtos (kiwkiw)'!C:E,3,0)</f>
        <v>#N/A</v>
      </c>
    </row>
    <row r="3703" spans="7:8" ht="15" customHeight="1" x14ac:dyDescent="0.4">
      <c r="G3703" s="27">
        <f t="shared" ref="G3703:G3766" si="67">IF(C3703="Entrada",F3703,-F3703)</f>
        <v>0</v>
      </c>
      <c r="H3703" s="28" t="e">
        <f>VLOOKUP(E3703,'Cadastro Produtos (kiwkiw)'!C:E,3,0)</f>
        <v>#N/A</v>
      </c>
    </row>
    <row r="3704" spans="7:8" ht="15" customHeight="1" x14ac:dyDescent="0.4">
      <c r="G3704" s="27">
        <f t="shared" si="67"/>
        <v>0</v>
      </c>
      <c r="H3704" s="28" t="e">
        <f>VLOOKUP(E3704,'Cadastro Produtos (kiwkiw)'!C:E,3,0)</f>
        <v>#N/A</v>
      </c>
    </row>
    <row r="3705" spans="7:8" ht="15" customHeight="1" x14ac:dyDescent="0.4">
      <c r="G3705" s="27">
        <f t="shared" si="67"/>
        <v>0</v>
      </c>
      <c r="H3705" s="28" t="e">
        <f>VLOOKUP(E3705,'Cadastro Produtos (kiwkiw)'!C:E,3,0)</f>
        <v>#N/A</v>
      </c>
    </row>
    <row r="3706" spans="7:8" ht="15" customHeight="1" x14ac:dyDescent="0.4">
      <c r="G3706" s="27">
        <f t="shared" si="67"/>
        <v>0</v>
      </c>
      <c r="H3706" s="28" t="e">
        <f>VLOOKUP(E3706,'Cadastro Produtos (kiwkiw)'!C:E,3,0)</f>
        <v>#N/A</v>
      </c>
    </row>
    <row r="3707" spans="7:8" ht="15" customHeight="1" x14ac:dyDescent="0.4">
      <c r="G3707" s="27">
        <f t="shared" si="67"/>
        <v>0</v>
      </c>
      <c r="H3707" s="28" t="e">
        <f>VLOOKUP(E3707,'Cadastro Produtos (kiwkiw)'!C:E,3,0)</f>
        <v>#N/A</v>
      </c>
    </row>
    <row r="3708" spans="7:8" ht="15" customHeight="1" x14ac:dyDescent="0.4">
      <c r="G3708" s="27">
        <f t="shared" si="67"/>
        <v>0</v>
      </c>
      <c r="H3708" s="28" t="e">
        <f>VLOOKUP(E3708,'Cadastro Produtos (kiwkiw)'!C:E,3,0)</f>
        <v>#N/A</v>
      </c>
    </row>
    <row r="3709" spans="7:8" ht="15" customHeight="1" x14ac:dyDescent="0.4">
      <c r="G3709" s="27">
        <f t="shared" si="67"/>
        <v>0</v>
      </c>
      <c r="H3709" s="28" t="e">
        <f>VLOOKUP(E3709,'Cadastro Produtos (kiwkiw)'!C:E,3,0)</f>
        <v>#N/A</v>
      </c>
    </row>
    <row r="3710" spans="7:8" ht="15" customHeight="1" x14ac:dyDescent="0.4">
      <c r="G3710" s="27">
        <f t="shared" si="67"/>
        <v>0</v>
      </c>
      <c r="H3710" s="28" t="e">
        <f>VLOOKUP(E3710,'Cadastro Produtos (kiwkiw)'!C:E,3,0)</f>
        <v>#N/A</v>
      </c>
    </row>
    <row r="3711" spans="7:8" ht="15" customHeight="1" x14ac:dyDescent="0.4">
      <c r="G3711" s="27">
        <f t="shared" si="67"/>
        <v>0</v>
      </c>
      <c r="H3711" s="28" t="e">
        <f>VLOOKUP(E3711,'Cadastro Produtos (kiwkiw)'!C:E,3,0)</f>
        <v>#N/A</v>
      </c>
    </row>
    <row r="3712" spans="7:8" ht="15" customHeight="1" x14ac:dyDescent="0.4">
      <c r="G3712" s="27">
        <f t="shared" si="67"/>
        <v>0</v>
      </c>
      <c r="H3712" s="28" t="e">
        <f>VLOOKUP(E3712,'Cadastro Produtos (kiwkiw)'!C:E,3,0)</f>
        <v>#N/A</v>
      </c>
    </row>
    <row r="3713" spans="7:8" ht="15" customHeight="1" x14ac:dyDescent="0.4">
      <c r="G3713" s="27">
        <f t="shared" si="67"/>
        <v>0</v>
      </c>
      <c r="H3713" s="28" t="e">
        <f>VLOOKUP(E3713,'Cadastro Produtos (kiwkiw)'!C:E,3,0)</f>
        <v>#N/A</v>
      </c>
    </row>
    <row r="3714" spans="7:8" ht="15" customHeight="1" x14ac:dyDescent="0.4">
      <c r="G3714" s="27">
        <f t="shared" si="67"/>
        <v>0</v>
      </c>
      <c r="H3714" s="28" t="e">
        <f>VLOOKUP(E3714,'Cadastro Produtos (kiwkiw)'!C:E,3,0)</f>
        <v>#N/A</v>
      </c>
    </row>
    <row r="3715" spans="7:8" ht="15" customHeight="1" x14ac:dyDescent="0.4">
      <c r="G3715" s="27">
        <f t="shared" si="67"/>
        <v>0</v>
      </c>
      <c r="H3715" s="28" t="e">
        <f>VLOOKUP(E3715,'Cadastro Produtos (kiwkiw)'!C:E,3,0)</f>
        <v>#N/A</v>
      </c>
    </row>
    <row r="3716" spans="7:8" ht="15" customHeight="1" x14ac:dyDescent="0.4">
      <c r="G3716" s="27">
        <f t="shared" si="67"/>
        <v>0</v>
      </c>
      <c r="H3716" s="28" t="e">
        <f>VLOOKUP(E3716,'Cadastro Produtos (kiwkiw)'!C:E,3,0)</f>
        <v>#N/A</v>
      </c>
    </row>
    <row r="3717" spans="7:8" ht="15" customHeight="1" x14ac:dyDescent="0.4">
      <c r="G3717" s="27">
        <f t="shared" si="67"/>
        <v>0</v>
      </c>
      <c r="H3717" s="28" t="e">
        <f>VLOOKUP(E3717,'Cadastro Produtos (kiwkiw)'!C:E,3,0)</f>
        <v>#N/A</v>
      </c>
    </row>
    <row r="3718" spans="7:8" ht="15" customHeight="1" x14ac:dyDescent="0.4">
      <c r="G3718" s="27">
        <f t="shared" si="67"/>
        <v>0</v>
      </c>
      <c r="H3718" s="28" t="e">
        <f>VLOOKUP(E3718,'Cadastro Produtos (kiwkiw)'!C:E,3,0)</f>
        <v>#N/A</v>
      </c>
    </row>
    <row r="3719" spans="7:8" ht="15" customHeight="1" x14ac:dyDescent="0.4">
      <c r="G3719" s="27">
        <f t="shared" si="67"/>
        <v>0</v>
      </c>
      <c r="H3719" s="28" t="e">
        <f>VLOOKUP(E3719,'Cadastro Produtos (kiwkiw)'!C:E,3,0)</f>
        <v>#N/A</v>
      </c>
    </row>
    <row r="3720" spans="7:8" ht="15" customHeight="1" x14ac:dyDescent="0.4">
      <c r="G3720" s="27">
        <f t="shared" si="67"/>
        <v>0</v>
      </c>
      <c r="H3720" s="28" t="e">
        <f>VLOOKUP(E3720,'Cadastro Produtos (kiwkiw)'!C:E,3,0)</f>
        <v>#N/A</v>
      </c>
    </row>
    <row r="3721" spans="7:8" ht="15" customHeight="1" x14ac:dyDescent="0.4">
      <c r="G3721" s="27">
        <f t="shared" si="67"/>
        <v>0</v>
      </c>
      <c r="H3721" s="28" t="e">
        <f>VLOOKUP(E3721,'Cadastro Produtos (kiwkiw)'!C:E,3,0)</f>
        <v>#N/A</v>
      </c>
    </row>
    <row r="3722" spans="7:8" ht="15" customHeight="1" x14ac:dyDescent="0.4">
      <c r="G3722" s="27">
        <f t="shared" si="67"/>
        <v>0</v>
      </c>
      <c r="H3722" s="28" t="e">
        <f>VLOOKUP(E3722,'Cadastro Produtos (kiwkiw)'!C:E,3,0)</f>
        <v>#N/A</v>
      </c>
    </row>
    <row r="3723" spans="7:8" ht="15" customHeight="1" x14ac:dyDescent="0.4">
      <c r="G3723" s="27">
        <f t="shared" si="67"/>
        <v>0</v>
      </c>
      <c r="H3723" s="28" t="e">
        <f>VLOOKUP(E3723,'Cadastro Produtos (kiwkiw)'!C:E,3,0)</f>
        <v>#N/A</v>
      </c>
    </row>
    <row r="3724" spans="7:8" ht="15" customHeight="1" x14ac:dyDescent="0.4">
      <c r="G3724" s="27">
        <f t="shared" si="67"/>
        <v>0</v>
      </c>
      <c r="H3724" s="28" t="e">
        <f>VLOOKUP(E3724,'Cadastro Produtos (kiwkiw)'!C:E,3,0)</f>
        <v>#N/A</v>
      </c>
    </row>
    <row r="3725" spans="7:8" ht="15" customHeight="1" x14ac:dyDescent="0.4">
      <c r="G3725" s="27">
        <f t="shared" si="67"/>
        <v>0</v>
      </c>
      <c r="H3725" s="28" t="e">
        <f>VLOOKUP(E3725,'Cadastro Produtos (kiwkiw)'!C:E,3,0)</f>
        <v>#N/A</v>
      </c>
    </row>
    <row r="3726" spans="7:8" ht="15" customHeight="1" x14ac:dyDescent="0.4">
      <c r="G3726" s="27">
        <f t="shared" si="67"/>
        <v>0</v>
      </c>
      <c r="H3726" s="28" t="e">
        <f>VLOOKUP(E3726,'Cadastro Produtos (kiwkiw)'!C:E,3,0)</f>
        <v>#N/A</v>
      </c>
    </row>
    <row r="3727" spans="7:8" ht="15" customHeight="1" x14ac:dyDescent="0.4">
      <c r="G3727" s="27">
        <f t="shared" si="67"/>
        <v>0</v>
      </c>
      <c r="H3727" s="28" t="e">
        <f>VLOOKUP(E3727,'Cadastro Produtos (kiwkiw)'!C:E,3,0)</f>
        <v>#N/A</v>
      </c>
    </row>
    <row r="3728" spans="7:8" ht="15" customHeight="1" x14ac:dyDescent="0.4">
      <c r="G3728" s="27">
        <f t="shared" si="67"/>
        <v>0</v>
      </c>
      <c r="H3728" s="28" t="e">
        <f>VLOOKUP(E3728,'Cadastro Produtos (kiwkiw)'!C:E,3,0)</f>
        <v>#N/A</v>
      </c>
    </row>
    <row r="3729" spans="7:8" ht="15" customHeight="1" x14ac:dyDescent="0.4">
      <c r="G3729" s="27">
        <f t="shared" si="67"/>
        <v>0</v>
      </c>
      <c r="H3729" s="28" t="e">
        <f>VLOOKUP(E3729,'Cadastro Produtos (kiwkiw)'!C:E,3,0)</f>
        <v>#N/A</v>
      </c>
    </row>
    <row r="3730" spans="7:8" ht="15" customHeight="1" x14ac:dyDescent="0.4">
      <c r="G3730" s="27">
        <f t="shared" si="67"/>
        <v>0</v>
      </c>
      <c r="H3730" s="28" t="e">
        <f>VLOOKUP(E3730,'Cadastro Produtos (kiwkiw)'!C:E,3,0)</f>
        <v>#N/A</v>
      </c>
    </row>
    <row r="3731" spans="7:8" ht="15" customHeight="1" x14ac:dyDescent="0.4">
      <c r="G3731" s="27">
        <f t="shared" si="67"/>
        <v>0</v>
      </c>
      <c r="H3731" s="28" t="e">
        <f>VLOOKUP(E3731,'Cadastro Produtos (kiwkiw)'!C:E,3,0)</f>
        <v>#N/A</v>
      </c>
    </row>
    <row r="3732" spans="7:8" ht="15" customHeight="1" x14ac:dyDescent="0.4">
      <c r="G3732" s="27">
        <f t="shared" si="67"/>
        <v>0</v>
      </c>
      <c r="H3732" s="28" t="e">
        <f>VLOOKUP(E3732,'Cadastro Produtos (kiwkiw)'!C:E,3,0)</f>
        <v>#N/A</v>
      </c>
    </row>
    <row r="3733" spans="7:8" ht="15" customHeight="1" x14ac:dyDescent="0.4">
      <c r="G3733" s="27">
        <f t="shared" si="67"/>
        <v>0</v>
      </c>
      <c r="H3733" s="28" t="e">
        <f>VLOOKUP(E3733,'Cadastro Produtos (kiwkiw)'!C:E,3,0)</f>
        <v>#N/A</v>
      </c>
    </row>
    <row r="3734" spans="7:8" ht="15" customHeight="1" x14ac:dyDescent="0.4">
      <c r="G3734" s="27">
        <f t="shared" si="67"/>
        <v>0</v>
      </c>
      <c r="H3734" s="28" t="e">
        <f>VLOOKUP(E3734,'Cadastro Produtos (kiwkiw)'!C:E,3,0)</f>
        <v>#N/A</v>
      </c>
    </row>
    <row r="3735" spans="7:8" ht="15" customHeight="1" x14ac:dyDescent="0.4">
      <c r="G3735" s="27">
        <f t="shared" si="67"/>
        <v>0</v>
      </c>
      <c r="H3735" s="28" t="e">
        <f>VLOOKUP(E3735,'Cadastro Produtos (kiwkiw)'!C:E,3,0)</f>
        <v>#N/A</v>
      </c>
    </row>
    <row r="3736" spans="7:8" ht="15" customHeight="1" x14ac:dyDescent="0.4">
      <c r="G3736" s="27">
        <f t="shared" si="67"/>
        <v>0</v>
      </c>
      <c r="H3736" s="28" t="e">
        <f>VLOOKUP(E3736,'Cadastro Produtos (kiwkiw)'!C:E,3,0)</f>
        <v>#N/A</v>
      </c>
    </row>
    <row r="3737" spans="7:8" ht="15" customHeight="1" x14ac:dyDescent="0.4">
      <c r="G3737" s="27">
        <f t="shared" si="67"/>
        <v>0</v>
      </c>
      <c r="H3737" s="28" t="e">
        <f>VLOOKUP(E3737,'Cadastro Produtos (kiwkiw)'!C:E,3,0)</f>
        <v>#N/A</v>
      </c>
    </row>
    <row r="3738" spans="7:8" ht="15" customHeight="1" x14ac:dyDescent="0.4">
      <c r="G3738" s="27">
        <f t="shared" si="67"/>
        <v>0</v>
      </c>
      <c r="H3738" s="28" t="e">
        <f>VLOOKUP(E3738,'Cadastro Produtos (kiwkiw)'!C:E,3,0)</f>
        <v>#N/A</v>
      </c>
    </row>
    <row r="3739" spans="7:8" ht="15" customHeight="1" x14ac:dyDescent="0.4">
      <c r="G3739" s="27">
        <f t="shared" si="67"/>
        <v>0</v>
      </c>
      <c r="H3739" s="28" t="e">
        <f>VLOOKUP(E3739,'Cadastro Produtos (kiwkiw)'!C:E,3,0)</f>
        <v>#N/A</v>
      </c>
    </row>
    <row r="3740" spans="7:8" ht="15" customHeight="1" x14ac:dyDescent="0.4">
      <c r="G3740" s="27">
        <f t="shared" si="67"/>
        <v>0</v>
      </c>
      <c r="H3740" s="28" t="e">
        <f>VLOOKUP(E3740,'Cadastro Produtos (kiwkiw)'!C:E,3,0)</f>
        <v>#N/A</v>
      </c>
    </row>
    <row r="3741" spans="7:8" ht="15" customHeight="1" x14ac:dyDescent="0.4">
      <c r="G3741" s="27">
        <f t="shared" si="67"/>
        <v>0</v>
      </c>
      <c r="H3741" s="28" t="e">
        <f>VLOOKUP(E3741,'Cadastro Produtos (kiwkiw)'!C:E,3,0)</f>
        <v>#N/A</v>
      </c>
    </row>
    <row r="3742" spans="7:8" ht="15" customHeight="1" x14ac:dyDescent="0.4">
      <c r="G3742" s="27">
        <f t="shared" si="67"/>
        <v>0</v>
      </c>
      <c r="H3742" s="28" t="e">
        <f>VLOOKUP(E3742,'Cadastro Produtos (kiwkiw)'!C:E,3,0)</f>
        <v>#N/A</v>
      </c>
    </row>
    <row r="3743" spans="7:8" ht="15" customHeight="1" x14ac:dyDescent="0.4">
      <c r="G3743" s="27">
        <f t="shared" si="67"/>
        <v>0</v>
      </c>
      <c r="H3743" s="28" t="e">
        <f>VLOOKUP(E3743,'Cadastro Produtos (kiwkiw)'!C:E,3,0)</f>
        <v>#N/A</v>
      </c>
    </row>
    <row r="3744" spans="7:8" ht="15" customHeight="1" x14ac:dyDescent="0.4">
      <c r="G3744" s="27">
        <f t="shared" si="67"/>
        <v>0</v>
      </c>
      <c r="H3744" s="28" t="e">
        <f>VLOOKUP(E3744,'Cadastro Produtos (kiwkiw)'!C:E,3,0)</f>
        <v>#N/A</v>
      </c>
    </row>
    <row r="3745" spans="7:8" ht="15" customHeight="1" x14ac:dyDescent="0.4">
      <c r="G3745" s="27">
        <f t="shared" si="67"/>
        <v>0</v>
      </c>
      <c r="H3745" s="28" t="e">
        <f>VLOOKUP(E3745,'Cadastro Produtos (kiwkiw)'!C:E,3,0)</f>
        <v>#N/A</v>
      </c>
    </row>
    <row r="3746" spans="7:8" ht="15" customHeight="1" x14ac:dyDescent="0.4">
      <c r="G3746" s="27">
        <f t="shared" si="67"/>
        <v>0</v>
      </c>
      <c r="H3746" s="28" t="e">
        <f>VLOOKUP(E3746,'Cadastro Produtos (kiwkiw)'!C:E,3,0)</f>
        <v>#N/A</v>
      </c>
    </row>
    <row r="3747" spans="7:8" ht="15" customHeight="1" x14ac:dyDescent="0.4">
      <c r="G3747" s="27">
        <f t="shared" si="67"/>
        <v>0</v>
      </c>
      <c r="H3747" s="28" t="e">
        <f>VLOOKUP(E3747,'Cadastro Produtos (kiwkiw)'!C:E,3,0)</f>
        <v>#N/A</v>
      </c>
    </row>
    <row r="3748" spans="7:8" ht="15" customHeight="1" x14ac:dyDescent="0.4">
      <c r="G3748" s="27">
        <f t="shared" si="67"/>
        <v>0</v>
      </c>
      <c r="H3748" s="28" t="e">
        <f>VLOOKUP(E3748,'Cadastro Produtos (kiwkiw)'!C:E,3,0)</f>
        <v>#N/A</v>
      </c>
    </row>
    <row r="3749" spans="7:8" ht="15" customHeight="1" x14ac:dyDescent="0.4">
      <c r="G3749" s="27">
        <f t="shared" si="67"/>
        <v>0</v>
      </c>
      <c r="H3749" s="28" t="e">
        <f>VLOOKUP(E3749,'Cadastro Produtos (kiwkiw)'!C:E,3,0)</f>
        <v>#N/A</v>
      </c>
    </row>
    <row r="3750" spans="7:8" ht="15" customHeight="1" x14ac:dyDescent="0.4">
      <c r="G3750" s="27">
        <f t="shared" si="67"/>
        <v>0</v>
      </c>
      <c r="H3750" s="28" t="e">
        <f>VLOOKUP(E3750,'Cadastro Produtos (kiwkiw)'!C:E,3,0)</f>
        <v>#N/A</v>
      </c>
    </row>
    <row r="3751" spans="7:8" ht="15" customHeight="1" x14ac:dyDescent="0.4">
      <c r="G3751" s="27">
        <f t="shared" si="67"/>
        <v>0</v>
      </c>
      <c r="H3751" s="28" t="e">
        <f>VLOOKUP(E3751,'Cadastro Produtos (kiwkiw)'!C:E,3,0)</f>
        <v>#N/A</v>
      </c>
    </row>
    <row r="3752" spans="7:8" ht="15" customHeight="1" x14ac:dyDescent="0.4">
      <c r="G3752" s="27">
        <f t="shared" si="67"/>
        <v>0</v>
      </c>
      <c r="H3752" s="28" t="e">
        <f>VLOOKUP(E3752,'Cadastro Produtos (kiwkiw)'!C:E,3,0)</f>
        <v>#N/A</v>
      </c>
    </row>
    <row r="3753" spans="7:8" ht="15" customHeight="1" x14ac:dyDescent="0.4">
      <c r="G3753" s="27">
        <f t="shared" si="67"/>
        <v>0</v>
      </c>
      <c r="H3753" s="28" t="e">
        <f>VLOOKUP(E3753,'Cadastro Produtos (kiwkiw)'!C:E,3,0)</f>
        <v>#N/A</v>
      </c>
    </row>
    <row r="3754" spans="7:8" ht="15" customHeight="1" x14ac:dyDescent="0.4">
      <c r="G3754" s="27">
        <f t="shared" si="67"/>
        <v>0</v>
      </c>
      <c r="H3754" s="28" t="e">
        <f>VLOOKUP(E3754,'Cadastro Produtos (kiwkiw)'!C:E,3,0)</f>
        <v>#N/A</v>
      </c>
    </row>
    <row r="3755" spans="7:8" ht="15" customHeight="1" x14ac:dyDescent="0.4">
      <c r="G3755" s="27">
        <f t="shared" si="67"/>
        <v>0</v>
      </c>
      <c r="H3755" s="28" t="e">
        <f>VLOOKUP(E3755,'Cadastro Produtos (kiwkiw)'!C:E,3,0)</f>
        <v>#N/A</v>
      </c>
    </row>
    <row r="3756" spans="7:8" ht="15" customHeight="1" x14ac:dyDescent="0.4">
      <c r="G3756" s="27">
        <f t="shared" si="67"/>
        <v>0</v>
      </c>
      <c r="H3756" s="28" t="e">
        <f>VLOOKUP(E3756,'Cadastro Produtos (kiwkiw)'!C:E,3,0)</f>
        <v>#N/A</v>
      </c>
    </row>
    <row r="3757" spans="7:8" ht="15" customHeight="1" x14ac:dyDescent="0.4">
      <c r="G3757" s="27">
        <f t="shared" si="67"/>
        <v>0</v>
      </c>
      <c r="H3757" s="28" t="e">
        <f>VLOOKUP(E3757,'Cadastro Produtos (kiwkiw)'!C:E,3,0)</f>
        <v>#N/A</v>
      </c>
    </row>
    <row r="3758" spans="7:8" ht="15" customHeight="1" x14ac:dyDescent="0.4">
      <c r="G3758" s="27">
        <f t="shared" si="67"/>
        <v>0</v>
      </c>
      <c r="H3758" s="28" t="e">
        <f>VLOOKUP(E3758,'Cadastro Produtos (kiwkiw)'!C:E,3,0)</f>
        <v>#N/A</v>
      </c>
    </row>
    <row r="3759" spans="7:8" ht="15" customHeight="1" x14ac:dyDescent="0.4">
      <c r="G3759" s="27">
        <f t="shared" si="67"/>
        <v>0</v>
      </c>
      <c r="H3759" s="28" t="e">
        <f>VLOOKUP(E3759,'Cadastro Produtos (kiwkiw)'!C:E,3,0)</f>
        <v>#N/A</v>
      </c>
    </row>
    <row r="3760" spans="7:8" ht="15" customHeight="1" x14ac:dyDescent="0.4">
      <c r="G3760" s="27">
        <f t="shared" si="67"/>
        <v>0</v>
      </c>
      <c r="H3760" s="28" t="e">
        <f>VLOOKUP(E3760,'Cadastro Produtos (kiwkiw)'!C:E,3,0)</f>
        <v>#N/A</v>
      </c>
    </row>
    <row r="3761" spans="2:8" ht="15" customHeight="1" x14ac:dyDescent="0.4">
      <c r="G3761" s="27">
        <f t="shared" si="67"/>
        <v>0</v>
      </c>
      <c r="H3761" s="28" t="e">
        <f>VLOOKUP(E3761,'Cadastro Produtos (kiwkiw)'!C:E,3,0)</f>
        <v>#N/A</v>
      </c>
    </row>
    <row r="3762" spans="2:8" ht="15" customHeight="1" x14ac:dyDescent="0.4">
      <c r="G3762" s="27">
        <f t="shared" si="67"/>
        <v>0</v>
      </c>
      <c r="H3762" s="28" t="e">
        <f>VLOOKUP(E3762,'Cadastro Produtos (kiwkiw)'!C:E,3,0)</f>
        <v>#N/A</v>
      </c>
    </row>
    <row r="3763" spans="2:8" ht="15" customHeight="1" x14ac:dyDescent="0.4">
      <c r="G3763" s="27">
        <f t="shared" si="67"/>
        <v>0</v>
      </c>
      <c r="H3763" s="28" t="e">
        <f>VLOOKUP(E3763,'Cadastro Produtos (kiwkiw)'!C:E,3,0)</f>
        <v>#N/A</v>
      </c>
    </row>
    <row r="3764" spans="2:8" ht="15" customHeight="1" x14ac:dyDescent="0.4">
      <c r="G3764" s="27">
        <f t="shared" si="67"/>
        <v>0</v>
      </c>
      <c r="H3764" s="28" t="e">
        <f>VLOOKUP(E3764,'Cadastro Produtos (kiwkiw)'!C:E,3,0)</f>
        <v>#N/A</v>
      </c>
    </row>
    <row r="3765" spans="2:8" ht="15" customHeight="1" x14ac:dyDescent="0.4">
      <c r="G3765" s="27">
        <f t="shared" si="67"/>
        <v>0</v>
      </c>
      <c r="H3765" s="28" t="e">
        <f>VLOOKUP(E3765,'Cadastro Produtos (kiwkiw)'!C:E,3,0)</f>
        <v>#N/A</v>
      </c>
    </row>
    <row r="3766" spans="2:8" ht="15" customHeight="1" x14ac:dyDescent="0.4">
      <c r="G3766" s="27">
        <f t="shared" si="67"/>
        <v>0</v>
      </c>
      <c r="H3766" s="28" t="e">
        <f>VLOOKUP(E3766,'Cadastro Produtos (kiwkiw)'!C:E,3,0)</f>
        <v>#N/A</v>
      </c>
    </row>
    <row r="3767" spans="2:8" ht="15" customHeight="1" x14ac:dyDescent="0.4">
      <c r="G3767" s="27">
        <f t="shared" ref="G3767:G3830" si="68">IF(C3767="Entrada",F3767,-F3767)</f>
        <v>0</v>
      </c>
      <c r="H3767" s="28" t="e">
        <f>VLOOKUP(E3767,'Cadastro Produtos (kiwkiw)'!C:E,3,0)</f>
        <v>#N/A</v>
      </c>
    </row>
    <row r="3768" spans="2:8" ht="15" customHeight="1" x14ac:dyDescent="0.4">
      <c r="B3768" s="43"/>
      <c r="G3768" s="27">
        <f t="shared" si="68"/>
        <v>0</v>
      </c>
      <c r="H3768" s="28" t="e">
        <f>VLOOKUP(E3768,'Cadastro Produtos (kiwkiw)'!C:E,3,0)</f>
        <v>#N/A</v>
      </c>
    </row>
    <row r="3769" spans="2:8" ht="15" customHeight="1" x14ac:dyDescent="0.4">
      <c r="G3769" s="27">
        <f t="shared" si="68"/>
        <v>0</v>
      </c>
      <c r="H3769" s="28" t="e">
        <f>VLOOKUP(E3769,'Cadastro Produtos (kiwkiw)'!C:E,3,0)</f>
        <v>#N/A</v>
      </c>
    </row>
    <row r="3770" spans="2:8" ht="15" customHeight="1" x14ac:dyDescent="0.4">
      <c r="G3770" s="27">
        <f t="shared" si="68"/>
        <v>0</v>
      </c>
      <c r="H3770" s="28" t="e">
        <f>VLOOKUP(E3770,'Cadastro Produtos (kiwkiw)'!C:E,3,0)</f>
        <v>#N/A</v>
      </c>
    </row>
    <row r="3771" spans="2:8" ht="15" customHeight="1" x14ac:dyDescent="0.4">
      <c r="G3771" s="27">
        <f t="shared" si="68"/>
        <v>0</v>
      </c>
      <c r="H3771" s="28" t="e">
        <f>VLOOKUP(E3771,'Cadastro Produtos (kiwkiw)'!C:E,3,0)</f>
        <v>#N/A</v>
      </c>
    </row>
    <row r="3772" spans="2:8" ht="15" customHeight="1" x14ac:dyDescent="0.4">
      <c r="G3772" s="27">
        <f t="shared" si="68"/>
        <v>0</v>
      </c>
      <c r="H3772" s="28" t="e">
        <f>VLOOKUP(E3772,'Cadastro Produtos (kiwkiw)'!C:E,3,0)</f>
        <v>#N/A</v>
      </c>
    </row>
    <row r="3773" spans="2:8" ht="15" customHeight="1" x14ac:dyDescent="0.4">
      <c r="G3773" s="27">
        <f t="shared" si="68"/>
        <v>0</v>
      </c>
      <c r="H3773" s="28" t="e">
        <f>VLOOKUP(E3773,'Cadastro Produtos (kiwkiw)'!C:E,3,0)</f>
        <v>#N/A</v>
      </c>
    </row>
    <row r="3774" spans="2:8" ht="15" customHeight="1" x14ac:dyDescent="0.4">
      <c r="G3774" s="27">
        <f t="shared" si="68"/>
        <v>0</v>
      </c>
      <c r="H3774" s="28" t="e">
        <f>VLOOKUP(E3774,'Cadastro Produtos (kiwkiw)'!C:E,3,0)</f>
        <v>#N/A</v>
      </c>
    </row>
    <row r="3775" spans="2:8" ht="15" customHeight="1" x14ac:dyDescent="0.4">
      <c r="G3775" s="27">
        <f t="shared" si="68"/>
        <v>0</v>
      </c>
      <c r="H3775" s="28" t="e">
        <f>VLOOKUP(E3775,'Cadastro Produtos (kiwkiw)'!C:E,3,0)</f>
        <v>#N/A</v>
      </c>
    </row>
    <row r="3776" spans="2:8" ht="15" customHeight="1" x14ac:dyDescent="0.4">
      <c r="G3776" s="27">
        <f t="shared" si="68"/>
        <v>0</v>
      </c>
      <c r="H3776" s="28" t="e">
        <f>VLOOKUP(E3776,'Cadastro Produtos (kiwkiw)'!C:E,3,0)</f>
        <v>#N/A</v>
      </c>
    </row>
    <row r="3777" spans="2:8" ht="15" customHeight="1" x14ac:dyDescent="0.4">
      <c r="B3777" s="43"/>
      <c r="G3777" s="27">
        <f t="shared" si="68"/>
        <v>0</v>
      </c>
      <c r="H3777" s="28" t="e">
        <f>VLOOKUP(E3777,'Cadastro Produtos (kiwkiw)'!C:E,3,0)</f>
        <v>#N/A</v>
      </c>
    </row>
    <row r="3778" spans="2:8" ht="15" customHeight="1" x14ac:dyDescent="0.4">
      <c r="G3778" s="27">
        <f t="shared" si="68"/>
        <v>0</v>
      </c>
      <c r="H3778" s="28" t="e">
        <f>VLOOKUP(E3778,'Cadastro Produtos (kiwkiw)'!C:E,3,0)</f>
        <v>#N/A</v>
      </c>
    </row>
    <row r="3779" spans="2:8" ht="15" customHeight="1" x14ac:dyDescent="0.4">
      <c r="G3779" s="27">
        <f t="shared" si="68"/>
        <v>0</v>
      </c>
      <c r="H3779" s="28" t="e">
        <f>VLOOKUP(E3779,'Cadastro Produtos (kiwkiw)'!C:E,3,0)</f>
        <v>#N/A</v>
      </c>
    </row>
    <row r="3780" spans="2:8" ht="15" customHeight="1" x14ac:dyDescent="0.4">
      <c r="G3780" s="27">
        <f t="shared" si="68"/>
        <v>0</v>
      </c>
      <c r="H3780" s="28" t="e">
        <f>VLOOKUP(E3780,'Cadastro Produtos (kiwkiw)'!C:E,3,0)</f>
        <v>#N/A</v>
      </c>
    </row>
    <row r="3781" spans="2:8" ht="15" customHeight="1" x14ac:dyDescent="0.4">
      <c r="G3781" s="27">
        <f t="shared" si="68"/>
        <v>0</v>
      </c>
      <c r="H3781" s="28" t="e">
        <f>VLOOKUP(E3781,'Cadastro Produtos (kiwkiw)'!C:E,3,0)</f>
        <v>#N/A</v>
      </c>
    </row>
    <row r="3782" spans="2:8" ht="15" customHeight="1" x14ac:dyDescent="0.4">
      <c r="G3782" s="27">
        <f t="shared" si="68"/>
        <v>0</v>
      </c>
      <c r="H3782" s="28" t="e">
        <f>VLOOKUP(E3782,'Cadastro Produtos (kiwkiw)'!C:E,3,0)</f>
        <v>#N/A</v>
      </c>
    </row>
    <row r="3783" spans="2:8" ht="15" customHeight="1" x14ac:dyDescent="0.4">
      <c r="G3783" s="27">
        <f t="shared" si="68"/>
        <v>0</v>
      </c>
      <c r="H3783" s="28" t="e">
        <f>VLOOKUP(E3783,'Cadastro Produtos (kiwkiw)'!C:E,3,0)</f>
        <v>#N/A</v>
      </c>
    </row>
    <row r="3784" spans="2:8" ht="15" customHeight="1" x14ac:dyDescent="0.4">
      <c r="G3784" s="27">
        <f t="shared" si="68"/>
        <v>0</v>
      </c>
      <c r="H3784" s="28" t="e">
        <f>VLOOKUP(E3784,'Cadastro Produtos (kiwkiw)'!C:E,3,0)</f>
        <v>#N/A</v>
      </c>
    </row>
    <row r="3785" spans="2:8" ht="15" customHeight="1" x14ac:dyDescent="0.4">
      <c r="G3785" s="27">
        <f t="shared" si="68"/>
        <v>0</v>
      </c>
      <c r="H3785" s="28" t="e">
        <f>VLOOKUP(E3785,'Cadastro Produtos (kiwkiw)'!C:E,3,0)</f>
        <v>#N/A</v>
      </c>
    </row>
    <row r="3786" spans="2:8" ht="15" customHeight="1" x14ac:dyDescent="0.4">
      <c r="G3786" s="27">
        <f t="shared" si="68"/>
        <v>0</v>
      </c>
      <c r="H3786" s="28" t="e">
        <f>VLOOKUP(E3786,'Cadastro Produtos (kiwkiw)'!C:E,3,0)</f>
        <v>#N/A</v>
      </c>
    </row>
    <row r="3787" spans="2:8" ht="15" customHeight="1" x14ac:dyDescent="0.4">
      <c r="G3787" s="27">
        <f t="shared" si="68"/>
        <v>0</v>
      </c>
      <c r="H3787" s="28" t="e">
        <f>VLOOKUP(E3787,'Cadastro Produtos (kiwkiw)'!C:E,3,0)</f>
        <v>#N/A</v>
      </c>
    </row>
    <row r="3788" spans="2:8" ht="15" customHeight="1" x14ac:dyDescent="0.4">
      <c r="G3788" s="27">
        <f t="shared" si="68"/>
        <v>0</v>
      </c>
      <c r="H3788" s="28" t="e">
        <f>VLOOKUP(E3788,'Cadastro Produtos (kiwkiw)'!C:E,3,0)</f>
        <v>#N/A</v>
      </c>
    </row>
    <row r="3789" spans="2:8" ht="15" customHeight="1" x14ac:dyDescent="0.4">
      <c r="G3789" s="27">
        <f t="shared" si="68"/>
        <v>0</v>
      </c>
      <c r="H3789" s="28" t="e">
        <f>VLOOKUP(E3789,'Cadastro Produtos (kiwkiw)'!C:E,3,0)</f>
        <v>#N/A</v>
      </c>
    </row>
    <row r="3790" spans="2:8" ht="15" customHeight="1" x14ac:dyDescent="0.4">
      <c r="G3790" s="27">
        <f t="shared" si="68"/>
        <v>0</v>
      </c>
      <c r="H3790" s="28" t="e">
        <f>VLOOKUP(E3790,'Cadastro Produtos (kiwkiw)'!C:E,3,0)</f>
        <v>#N/A</v>
      </c>
    </row>
    <row r="3791" spans="2:8" ht="15" customHeight="1" x14ac:dyDescent="0.4">
      <c r="G3791" s="27">
        <f t="shared" si="68"/>
        <v>0</v>
      </c>
      <c r="H3791" s="28" t="e">
        <f>VLOOKUP(E3791,'Cadastro Produtos (kiwkiw)'!C:E,3,0)</f>
        <v>#N/A</v>
      </c>
    </row>
    <row r="3792" spans="2:8" ht="15" customHeight="1" x14ac:dyDescent="0.4">
      <c r="G3792" s="27">
        <f t="shared" si="68"/>
        <v>0</v>
      </c>
      <c r="H3792" s="28" t="e">
        <f>VLOOKUP(E3792,'Cadastro Produtos (kiwkiw)'!C:E,3,0)</f>
        <v>#N/A</v>
      </c>
    </row>
    <row r="3793" spans="7:8" ht="15" customHeight="1" x14ac:dyDescent="0.4">
      <c r="G3793" s="27">
        <f t="shared" si="68"/>
        <v>0</v>
      </c>
      <c r="H3793" s="28" t="e">
        <f>VLOOKUP(E3793,'Cadastro Produtos (kiwkiw)'!C:E,3,0)</f>
        <v>#N/A</v>
      </c>
    </row>
    <row r="3794" spans="7:8" ht="15" customHeight="1" x14ac:dyDescent="0.4">
      <c r="G3794" s="27">
        <f t="shared" si="68"/>
        <v>0</v>
      </c>
      <c r="H3794" s="28" t="e">
        <f>VLOOKUP(E3794,'Cadastro Produtos (kiwkiw)'!C:E,3,0)</f>
        <v>#N/A</v>
      </c>
    </row>
    <row r="3795" spans="7:8" ht="15" customHeight="1" x14ac:dyDescent="0.4">
      <c r="G3795" s="27">
        <f t="shared" si="68"/>
        <v>0</v>
      </c>
      <c r="H3795" s="28" t="e">
        <f>VLOOKUP(E3795,'Cadastro Produtos (kiwkiw)'!C:E,3,0)</f>
        <v>#N/A</v>
      </c>
    </row>
    <row r="3796" spans="7:8" ht="15" customHeight="1" x14ac:dyDescent="0.4">
      <c r="G3796" s="27">
        <f t="shared" si="68"/>
        <v>0</v>
      </c>
      <c r="H3796" s="28" t="e">
        <f>VLOOKUP(E3796,'Cadastro Produtos (kiwkiw)'!C:E,3,0)</f>
        <v>#N/A</v>
      </c>
    </row>
    <row r="3797" spans="7:8" ht="15" customHeight="1" x14ac:dyDescent="0.4">
      <c r="G3797" s="27">
        <f t="shared" si="68"/>
        <v>0</v>
      </c>
      <c r="H3797" s="28" t="e">
        <f>VLOOKUP(E3797,'Cadastro Produtos (kiwkiw)'!C:E,3,0)</f>
        <v>#N/A</v>
      </c>
    </row>
    <row r="3798" spans="7:8" ht="15" customHeight="1" x14ac:dyDescent="0.4">
      <c r="G3798" s="27">
        <f t="shared" si="68"/>
        <v>0</v>
      </c>
      <c r="H3798" s="28" t="e">
        <f>VLOOKUP(E3798,'Cadastro Produtos (kiwkiw)'!C:E,3,0)</f>
        <v>#N/A</v>
      </c>
    </row>
    <row r="3799" spans="7:8" ht="15" customHeight="1" x14ac:dyDescent="0.4">
      <c r="G3799" s="27">
        <f t="shared" si="68"/>
        <v>0</v>
      </c>
      <c r="H3799" s="28" t="e">
        <f>VLOOKUP(E3799,'Cadastro Produtos (kiwkiw)'!C:E,3,0)</f>
        <v>#N/A</v>
      </c>
    </row>
    <row r="3800" spans="7:8" ht="15" customHeight="1" x14ac:dyDescent="0.4">
      <c r="G3800" s="27">
        <f t="shared" si="68"/>
        <v>0</v>
      </c>
      <c r="H3800" s="28" t="e">
        <f>VLOOKUP(E3800,'Cadastro Produtos (kiwkiw)'!C:E,3,0)</f>
        <v>#N/A</v>
      </c>
    </row>
    <row r="3801" spans="7:8" ht="15" customHeight="1" x14ac:dyDescent="0.4">
      <c r="G3801" s="27">
        <f t="shared" si="68"/>
        <v>0</v>
      </c>
      <c r="H3801" s="28" t="e">
        <f>VLOOKUP(E3801,'Cadastro Produtos (kiwkiw)'!C:E,3,0)</f>
        <v>#N/A</v>
      </c>
    </row>
    <row r="3802" spans="7:8" ht="15" customHeight="1" x14ac:dyDescent="0.4">
      <c r="G3802" s="27">
        <f t="shared" si="68"/>
        <v>0</v>
      </c>
      <c r="H3802" s="28" t="e">
        <f>VLOOKUP(E3802,'Cadastro Produtos (kiwkiw)'!C:E,3,0)</f>
        <v>#N/A</v>
      </c>
    </row>
    <row r="3803" spans="7:8" ht="15" customHeight="1" x14ac:dyDescent="0.4">
      <c r="G3803" s="27">
        <f t="shared" si="68"/>
        <v>0</v>
      </c>
      <c r="H3803" s="28" t="e">
        <f>VLOOKUP(E3803,'Cadastro Produtos (kiwkiw)'!C:E,3,0)</f>
        <v>#N/A</v>
      </c>
    </row>
    <row r="3804" spans="7:8" ht="15" customHeight="1" x14ac:dyDescent="0.4">
      <c r="G3804" s="27">
        <f t="shared" si="68"/>
        <v>0</v>
      </c>
      <c r="H3804" s="28" t="e">
        <f>VLOOKUP(E3804,'Cadastro Produtos (kiwkiw)'!C:E,3,0)</f>
        <v>#N/A</v>
      </c>
    </row>
    <row r="3805" spans="7:8" ht="15" customHeight="1" x14ac:dyDescent="0.4">
      <c r="G3805" s="27">
        <f t="shared" si="68"/>
        <v>0</v>
      </c>
      <c r="H3805" s="28" t="e">
        <f>VLOOKUP(E3805,'Cadastro Produtos (kiwkiw)'!C:E,3,0)</f>
        <v>#N/A</v>
      </c>
    </row>
    <row r="3806" spans="7:8" ht="15" customHeight="1" x14ac:dyDescent="0.4">
      <c r="G3806" s="27">
        <f t="shared" si="68"/>
        <v>0</v>
      </c>
      <c r="H3806" s="28" t="e">
        <f>VLOOKUP(E3806,'Cadastro Produtos (kiwkiw)'!C:E,3,0)</f>
        <v>#N/A</v>
      </c>
    </row>
    <row r="3807" spans="7:8" ht="15" customHeight="1" x14ac:dyDescent="0.4">
      <c r="G3807" s="27">
        <f t="shared" si="68"/>
        <v>0</v>
      </c>
      <c r="H3807" s="28" t="e">
        <f>VLOOKUP(E3807,'Cadastro Produtos (kiwkiw)'!C:E,3,0)</f>
        <v>#N/A</v>
      </c>
    </row>
    <row r="3808" spans="7:8" ht="15" customHeight="1" x14ac:dyDescent="0.4">
      <c r="G3808" s="27">
        <f t="shared" si="68"/>
        <v>0</v>
      </c>
      <c r="H3808" s="28" t="e">
        <f>VLOOKUP(E3808,'Cadastro Produtos (kiwkiw)'!C:E,3,0)</f>
        <v>#N/A</v>
      </c>
    </row>
    <row r="3809" spans="7:8" ht="15" customHeight="1" x14ac:dyDescent="0.4">
      <c r="G3809" s="27">
        <f t="shared" si="68"/>
        <v>0</v>
      </c>
      <c r="H3809" s="28" t="e">
        <f>VLOOKUP(E3809,'Cadastro Produtos (kiwkiw)'!C:E,3,0)</f>
        <v>#N/A</v>
      </c>
    </row>
    <row r="3810" spans="7:8" ht="15" customHeight="1" x14ac:dyDescent="0.4">
      <c r="G3810" s="27">
        <f t="shared" si="68"/>
        <v>0</v>
      </c>
      <c r="H3810" s="28" t="e">
        <f>VLOOKUP(E3810,'Cadastro Produtos (kiwkiw)'!C:E,3,0)</f>
        <v>#N/A</v>
      </c>
    </row>
    <row r="3811" spans="7:8" ht="15" customHeight="1" x14ac:dyDescent="0.4">
      <c r="G3811" s="27">
        <f t="shared" si="68"/>
        <v>0</v>
      </c>
      <c r="H3811" s="28" t="e">
        <f>VLOOKUP(E3811,'Cadastro Produtos (kiwkiw)'!C:E,3,0)</f>
        <v>#N/A</v>
      </c>
    </row>
    <row r="3812" spans="7:8" ht="15" customHeight="1" x14ac:dyDescent="0.4">
      <c r="G3812" s="27">
        <f t="shared" si="68"/>
        <v>0</v>
      </c>
      <c r="H3812" s="28" t="e">
        <f>VLOOKUP(E3812,'Cadastro Produtos (kiwkiw)'!C:E,3,0)</f>
        <v>#N/A</v>
      </c>
    </row>
    <row r="3813" spans="7:8" ht="15" customHeight="1" x14ac:dyDescent="0.4">
      <c r="G3813" s="27">
        <f t="shared" si="68"/>
        <v>0</v>
      </c>
      <c r="H3813" s="28" t="e">
        <f>VLOOKUP(E3813,'Cadastro Produtos (kiwkiw)'!C:E,3,0)</f>
        <v>#N/A</v>
      </c>
    </row>
    <row r="3814" spans="7:8" ht="15" customHeight="1" x14ac:dyDescent="0.4">
      <c r="G3814" s="27">
        <f t="shared" si="68"/>
        <v>0</v>
      </c>
      <c r="H3814" s="28" t="e">
        <f>VLOOKUP(E3814,'Cadastro Produtos (kiwkiw)'!C:E,3,0)</f>
        <v>#N/A</v>
      </c>
    </row>
    <row r="3815" spans="7:8" ht="15" customHeight="1" x14ac:dyDescent="0.4">
      <c r="G3815" s="27">
        <f t="shared" si="68"/>
        <v>0</v>
      </c>
      <c r="H3815" s="28" t="e">
        <f>VLOOKUP(E3815,'Cadastro Produtos (kiwkiw)'!C:E,3,0)</f>
        <v>#N/A</v>
      </c>
    </row>
    <row r="3816" spans="7:8" ht="15" customHeight="1" x14ac:dyDescent="0.4">
      <c r="G3816" s="27">
        <f t="shared" si="68"/>
        <v>0</v>
      </c>
      <c r="H3816" s="28" t="e">
        <f>VLOOKUP(E3816,'Cadastro Produtos (kiwkiw)'!C:E,3,0)</f>
        <v>#N/A</v>
      </c>
    </row>
    <row r="3817" spans="7:8" ht="15" customHeight="1" x14ac:dyDescent="0.4">
      <c r="G3817" s="27">
        <f t="shared" si="68"/>
        <v>0</v>
      </c>
      <c r="H3817" s="28" t="e">
        <f>VLOOKUP(E3817,'Cadastro Produtos (kiwkiw)'!C:E,3,0)</f>
        <v>#N/A</v>
      </c>
    </row>
    <row r="3818" spans="7:8" ht="15" customHeight="1" x14ac:dyDescent="0.4">
      <c r="G3818" s="27">
        <f t="shared" si="68"/>
        <v>0</v>
      </c>
      <c r="H3818" s="28" t="e">
        <f>VLOOKUP(E3818,'Cadastro Produtos (kiwkiw)'!C:E,3,0)</f>
        <v>#N/A</v>
      </c>
    </row>
    <row r="3819" spans="7:8" ht="15" customHeight="1" x14ac:dyDescent="0.4">
      <c r="G3819" s="27">
        <f t="shared" si="68"/>
        <v>0</v>
      </c>
      <c r="H3819" s="28" t="e">
        <f>VLOOKUP(E3819,'Cadastro Produtos (kiwkiw)'!C:E,3,0)</f>
        <v>#N/A</v>
      </c>
    </row>
    <row r="3820" spans="7:8" ht="15" customHeight="1" x14ac:dyDescent="0.4">
      <c r="G3820" s="27">
        <f t="shared" si="68"/>
        <v>0</v>
      </c>
      <c r="H3820" s="28" t="e">
        <f>VLOOKUP(E3820,'Cadastro Produtos (kiwkiw)'!C:E,3,0)</f>
        <v>#N/A</v>
      </c>
    </row>
    <row r="3821" spans="7:8" ht="15" customHeight="1" x14ac:dyDescent="0.4">
      <c r="G3821" s="27">
        <f t="shared" si="68"/>
        <v>0</v>
      </c>
      <c r="H3821" s="28" t="e">
        <f>VLOOKUP(E3821,'Cadastro Produtos (kiwkiw)'!C:E,3,0)</f>
        <v>#N/A</v>
      </c>
    </row>
    <row r="3822" spans="7:8" ht="15" customHeight="1" x14ac:dyDescent="0.4">
      <c r="G3822" s="27">
        <f t="shared" si="68"/>
        <v>0</v>
      </c>
      <c r="H3822" s="28" t="e">
        <f>VLOOKUP(E3822,'Cadastro Produtos (kiwkiw)'!C:E,3,0)</f>
        <v>#N/A</v>
      </c>
    </row>
    <row r="3823" spans="7:8" ht="15" customHeight="1" x14ac:dyDescent="0.4">
      <c r="G3823" s="27">
        <f t="shared" si="68"/>
        <v>0</v>
      </c>
      <c r="H3823" s="28" t="e">
        <f>VLOOKUP(E3823,'Cadastro Produtos (kiwkiw)'!C:E,3,0)</f>
        <v>#N/A</v>
      </c>
    </row>
    <row r="3824" spans="7:8" ht="15" customHeight="1" x14ac:dyDescent="0.4">
      <c r="G3824" s="27">
        <f t="shared" si="68"/>
        <v>0</v>
      </c>
      <c r="H3824" s="28" t="e">
        <f>VLOOKUP(E3824,'Cadastro Produtos (kiwkiw)'!C:E,3,0)</f>
        <v>#N/A</v>
      </c>
    </row>
    <row r="3825" spans="7:8" ht="15" customHeight="1" x14ac:dyDescent="0.4">
      <c r="G3825" s="27">
        <f t="shared" si="68"/>
        <v>0</v>
      </c>
      <c r="H3825" s="28" t="e">
        <f>VLOOKUP(E3825,'Cadastro Produtos (kiwkiw)'!C:E,3,0)</f>
        <v>#N/A</v>
      </c>
    </row>
    <row r="3826" spans="7:8" ht="15" customHeight="1" x14ac:dyDescent="0.4">
      <c r="G3826" s="27">
        <f t="shared" si="68"/>
        <v>0</v>
      </c>
      <c r="H3826" s="28" t="e">
        <f>VLOOKUP(E3826,'Cadastro Produtos (kiwkiw)'!C:E,3,0)</f>
        <v>#N/A</v>
      </c>
    </row>
    <row r="3827" spans="7:8" ht="15" customHeight="1" x14ac:dyDescent="0.4">
      <c r="G3827" s="27">
        <f t="shared" si="68"/>
        <v>0</v>
      </c>
      <c r="H3827" s="28" t="e">
        <f>VLOOKUP(E3827,'Cadastro Produtos (kiwkiw)'!C:E,3,0)</f>
        <v>#N/A</v>
      </c>
    </row>
    <row r="3828" spans="7:8" ht="15" customHeight="1" x14ac:dyDescent="0.4">
      <c r="G3828" s="27">
        <f t="shared" si="68"/>
        <v>0</v>
      </c>
      <c r="H3828" s="28" t="e">
        <f>VLOOKUP(E3828,'Cadastro Produtos (kiwkiw)'!C:E,3,0)</f>
        <v>#N/A</v>
      </c>
    </row>
    <row r="3829" spans="7:8" ht="15" customHeight="1" x14ac:dyDescent="0.4">
      <c r="G3829" s="27">
        <f t="shared" si="68"/>
        <v>0</v>
      </c>
      <c r="H3829" s="28" t="e">
        <f>VLOOKUP(E3829,'Cadastro Produtos (kiwkiw)'!C:E,3,0)</f>
        <v>#N/A</v>
      </c>
    </row>
    <row r="3830" spans="7:8" ht="15" customHeight="1" x14ac:dyDescent="0.4">
      <c r="G3830" s="27">
        <f t="shared" si="68"/>
        <v>0</v>
      </c>
      <c r="H3830" s="28" t="e">
        <f>VLOOKUP(E3830,'Cadastro Produtos (kiwkiw)'!C:E,3,0)</f>
        <v>#N/A</v>
      </c>
    </row>
    <row r="3831" spans="7:8" ht="15" customHeight="1" x14ac:dyDescent="0.4">
      <c r="G3831" s="27">
        <f t="shared" ref="G3831:G3894" si="69">IF(C3831="Entrada",F3831,-F3831)</f>
        <v>0</v>
      </c>
      <c r="H3831" s="28" t="e">
        <f>VLOOKUP(E3831,'Cadastro Produtos (kiwkiw)'!C:E,3,0)</f>
        <v>#N/A</v>
      </c>
    </row>
    <row r="3832" spans="7:8" ht="15" customHeight="1" x14ac:dyDescent="0.4">
      <c r="G3832" s="27">
        <f t="shared" si="69"/>
        <v>0</v>
      </c>
      <c r="H3832" s="28" t="e">
        <f>VLOOKUP(E3832,'Cadastro Produtos (kiwkiw)'!C:E,3,0)</f>
        <v>#N/A</v>
      </c>
    </row>
    <row r="3833" spans="7:8" ht="15" customHeight="1" x14ac:dyDescent="0.4">
      <c r="G3833" s="27">
        <f t="shared" si="69"/>
        <v>0</v>
      </c>
      <c r="H3833" s="28" t="e">
        <f>VLOOKUP(E3833,'Cadastro Produtos (kiwkiw)'!C:E,3,0)</f>
        <v>#N/A</v>
      </c>
    </row>
    <row r="3834" spans="7:8" ht="15" customHeight="1" x14ac:dyDescent="0.4">
      <c r="G3834" s="27">
        <f t="shared" si="69"/>
        <v>0</v>
      </c>
      <c r="H3834" s="28" t="e">
        <f>VLOOKUP(E3834,'Cadastro Produtos (kiwkiw)'!C:E,3,0)</f>
        <v>#N/A</v>
      </c>
    </row>
    <row r="3835" spans="7:8" ht="15" customHeight="1" x14ac:dyDescent="0.4">
      <c r="G3835" s="27">
        <f t="shared" si="69"/>
        <v>0</v>
      </c>
      <c r="H3835" s="28" t="e">
        <f>VLOOKUP(E3835,'Cadastro Produtos (kiwkiw)'!C:E,3,0)</f>
        <v>#N/A</v>
      </c>
    </row>
    <row r="3836" spans="7:8" ht="15" customHeight="1" x14ac:dyDescent="0.4">
      <c r="G3836" s="27">
        <f t="shared" si="69"/>
        <v>0</v>
      </c>
      <c r="H3836" s="28" t="e">
        <f>VLOOKUP(E3836,'Cadastro Produtos (kiwkiw)'!C:E,3,0)</f>
        <v>#N/A</v>
      </c>
    </row>
    <row r="3837" spans="7:8" ht="15" customHeight="1" x14ac:dyDescent="0.4">
      <c r="G3837" s="27">
        <f t="shared" si="69"/>
        <v>0</v>
      </c>
      <c r="H3837" s="28" t="e">
        <f>VLOOKUP(E3837,'Cadastro Produtos (kiwkiw)'!C:E,3,0)</f>
        <v>#N/A</v>
      </c>
    </row>
    <row r="3838" spans="7:8" ht="15" customHeight="1" x14ac:dyDescent="0.4">
      <c r="G3838" s="27">
        <f t="shared" si="69"/>
        <v>0</v>
      </c>
      <c r="H3838" s="28" t="e">
        <f>VLOOKUP(E3838,'Cadastro Produtos (kiwkiw)'!C:E,3,0)</f>
        <v>#N/A</v>
      </c>
    </row>
    <row r="3839" spans="7:8" ht="15" customHeight="1" x14ac:dyDescent="0.4">
      <c r="G3839" s="27">
        <f t="shared" si="69"/>
        <v>0</v>
      </c>
      <c r="H3839" s="28" t="e">
        <f>VLOOKUP(E3839,'Cadastro Produtos (kiwkiw)'!C:E,3,0)</f>
        <v>#N/A</v>
      </c>
    </row>
    <row r="3840" spans="7:8" ht="15" customHeight="1" x14ac:dyDescent="0.4">
      <c r="G3840" s="27">
        <f t="shared" si="69"/>
        <v>0</v>
      </c>
      <c r="H3840" s="28" t="e">
        <f>VLOOKUP(E3840,'Cadastro Produtos (kiwkiw)'!C:E,3,0)</f>
        <v>#N/A</v>
      </c>
    </row>
    <row r="3841" spans="7:8" ht="15" customHeight="1" x14ac:dyDescent="0.4">
      <c r="G3841" s="27">
        <f t="shared" si="69"/>
        <v>0</v>
      </c>
      <c r="H3841" s="28" t="e">
        <f>VLOOKUP(E3841,'Cadastro Produtos (kiwkiw)'!C:E,3,0)</f>
        <v>#N/A</v>
      </c>
    </row>
    <row r="3842" spans="7:8" ht="15" customHeight="1" x14ac:dyDescent="0.4">
      <c r="G3842" s="27">
        <f t="shared" si="69"/>
        <v>0</v>
      </c>
      <c r="H3842" s="28" t="e">
        <f>VLOOKUP(E3842,'Cadastro Produtos (kiwkiw)'!C:E,3,0)</f>
        <v>#N/A</v>
      </c>
    </row>
    <row r="3843" spans="7:8" ht="15" customHeight="1" x14ac:dyDescent="0.4">
      <c r="G3843" s="27">
        <f t="shared" si="69"/>
        <v>0</v>
      </c>
      <c r="H3843" s="28" t="e">
        <f>VLOOKUP(E3843,'Cadastro Produtos (kiwkiw)'!C:E,3,0)</f>
        <v>#N/A</v>
      </c>
    </row>
    <row r="3844" spans="7:8" ht="15" customHeight="1" x14ac:dyDescent="0.4">
      <c r="G3844" s="27">
        <f t="shared" si="69"/>
        <v>0</v>
      </c>
      <c r="H3844" s="28" t="e">
        <f>VLOOKUP(E3844,'Cadastro Produtos (kiwkiw)'!C:E,3,0)</f>
        <v>#N/A</v>
      </c>
    </row>
    <row r="3845" spans="7:8" ht="15" customHeight="1" x14ac:dyDescent="0.4">
      <c r="G3845" s="27">
        <f t="shared" si="69"/>
        <v>0</v>
      </c>
      <c r="H3845" s="28" t="e">
        <f>VLOOKUP(E3845,'Cadastro Produtos (kiwkiw)'!C:E,3,0)</f>
        <v>#N/A</v>
      </c>
    </row>
    <row r="3846" spans="7:8" ht="15" customHeight="1" x14ac:dyDescent="0.4">
      <c r="G3846" s="27">
        <f t="shared" si="69"/>
        <v>0</v>
      </c>
      <c r="H3846" s="28" t="e">
        <f>VLOOKUP(E3846,'Cadastro Produtos (kiwkiw)'!C:E,3,0)</f>
        <v>#N/A</v>
      </c>
    </row>
    <row r="3847" spans="7:8" ht="15" customHeight="1" x14ac:dyDescent="0.4">
      <c r="G3847" s="27">
        <f t="shared" si="69"/>
        <v>0</v>
      </c>
      <c r="H3847" s="28" t="e">
        <f>VLOOKUP(E3847,'Cadastro Produtos (kiwkiw)'!C:E,3,0)</f>
        <v>#N/A</v>
      </c>
    </row>
    <row r="3848" spans="7:8" ht="15" customHeight="1" x14ac:dyDescent="0.4">
      <c r="G3848" s="27">
        <f t="shared" si="69"/>
        <v>0</v>
      </c>
      <c r="H3848" s="28" t="e">
        <f>VLOOKUP(E3848,'Cadastro Produtos (kiwkiw)'!C:E,3,0)</f>
        <v>#N/A</v>
      </c>
    </row>
    <row r="3849" spans="7:8" ht="15" customHeight="1" x14ac:dyDescent="0.4">
      <c r="G3849" s="27">
        <f t="shared" si="69"/>
        <v>0</v>
      </c>
      <c r="H3849" s="28" t="e">
        <f>VLOOKUP(E3849,'Cadastro Produtos (kiwkiw)'!C:E,3,0)</f>
        <v>#N/A</v>
      </c>
    </row>
    <row r="3850" spans="7:8" ht="15" customHeight="1" x14ac:dyDescent="0.4">
      <c r="G3850" s="27">
        <f t="shared" si="69"/>
        <v>0</v>
      </c>
      <c r="H3850" s="28" t="e">
        <f>VLOOKUP(E3850,'Cadastro Produtos (kiwkiw)'!C:E,3,0)</f>
        <v>#N/A</v>
      </c>
    </row>
    <row r="3851" spans="7:8" ht="15" customHeight="1" x14ac:dyDescent="0.4">
      <c r="G3851" s="27">
        <f t="shared" si="69"/>
        <v>0</v>
      </c>
      <c r="H3851" s="28" t="e">
        <f>VLOOKUP(E3851,'Cadastro Produtos (kiwkiw)'!C:E,3,0)</f>
        <v>#N/A</v>
      </c>
    </row>
    <row r="3852" spans="7:8" ht="15" customHeight="1" x14ac:dyDescent="0.4">
      <c r="G3852" s="27">
        <f t="shared" si="69"/>
        <v>0</v>
      </c>
      <c r="H3852" s="28" t="e">
        <f>VLOOKUP(E3852,'Cadastro Produtos (kiwkiw)'!C:E,3,0)</f>
        <v>#N/A</v>
      </c>
    </row>
    <row r="3853" spans="7:8" ht="15" customHeight="1" x14ac:dyDescent="0.4">
      <c r="G3853" s="27">
        <f t="shared" si="69"/>
        <v>0</v>
      </c>
      <c r="H3853" s="28" t="e">
        <f>VLOOKUP(E3853,'Cadastro Produtos (kiwkiw)'!C:E,3,0)</f>
        <v>#N/A</v>
      </c>
    </row>
    <row r="3854" spans="7:8" ht="15" customHeight="1" x14ac:dyDescent="0.4">
      <c r="G3854" s="27">
        <f t="shared" si="69"/>
        <v>0</v>
      </c>
      <c r="H3854" s="28" t="e">
        <f>VLOOKUP(E3854,'Cadastro Produtos (kiwkiw)'!C:E,3,0)</f>
        <v>#N/A</v>
      </c>
    </row>
    <row r="3855" spans="7:8" ht="15" customHeight="1" x14ac:dyDescent="0.4">
      <c r="G3855" s="27">
        <f t="shared" si="69"/>
        <v>0</v>
      </c>
      <c r="H3855" s="28" t="e">
        <f>VLOOKUP(E3855,'Cadastro Produtos (kiwkiw)'!C:E,3,0)</f>
        <v>#N/A</v>
      </c>
    </row>
    <row r="3856" spans="7:8" ht="15" customHeight="1" x14ac:dyDescent="0.4">
      <c r="G3856" s="27">
        <f t="shared" si="69"/>
        <v>0</v>
      </c>
      <c r="H3856" s="28" t="e">
        <f>VLOOKUP(E3856,'Cadastro Produtos (kiwkiw)'!C:E,3,0)</f>
        <v>#N/A</v>
      </c>
    </row>
    <row r="3857" spans="7:8" ht="15" customHeight="1" x14ac:dyDescent="0.4">
      <c r="G3857" s="27">
        <f t="shared" si="69"/>
        <v>0</v>
      </c>
      <c r="H3857" s="28" t="e">
        <f>VLOOKUP(E3857,'Cadastro Produtos (kiwkiw)'!C:E,3,0)</f>
        <v>#N/A</v>
      </c>
    </row>
    <row r="3858" spans="7:8" ht="15" customHeight="1" x14ac:dyDescent="0.4">
      <c r="G3858" s="27">
        <f t="shared" si="69"/>
        <v>0</v>
      </c>
      <c r="H3858" s="28" t="e">
        <f>VLOOKUP(E3858,'Cadastro Produtos (kiwkiw)'!C:E,3,0)</f>
        <v>#N/A</v>
      </c>
    </row>
    <row r="3859" spans="7:8" ht="15" customHeight="1" x14ac:dyDescent="0.4">
      <c r="G3859" s="27">
        <f t="shared" si="69"/>
        <v>0</v>
      </c>
      <c r="H3859" s="28" t="e">
        <f>VLOOKUP(E3859,'Cadastro Produtos (kiwkiw)'!C:E,3,0)</f>
        <v>#N/A</v>
      </c>
    </row>
    <row r="3860" spans="7:8" ht="15" customHeight="1" x14ac:dyDescent="0.4">
      <c r="G3860" s="27">
        <f t="shared" si="69"/>
        <v>0</v>
      </c>
      <c r="H3860" s="28" t="e">
        <f>VLOOKUP(E3860,'Cadastro Produtos (kiwkiw)'!C:E,3,0)</f>
        <v>#N/A</v>
      </c>
    </row>
    <row r="3861" spans="7:8" ht="15" customHeight="1" x14ac:dyDescent="0.4">
      <c r="G3861" s="27">
        <f t="shared" si="69"/>
        <v>0</v>
      </c>
      <c r="H3861" s="28" t="e">
        <f>VLOOKUP(E3861,'Cadastro Produtos (kiwkiw)'!C:E,3,0)</f>
        <v>#N/A</v>
      </c>
    </row>
    <row r="3862" spans="7:8" ht="15" customHeight="1" x14ac:dyDescent="0.4">
      <c r="G3862" s="27">
        <f t="shared" si="69"/>
        <v>0</v>
      </c>
      <c r="H3862" s="28" t="e">
        <f>VLOOKUP(E3862,'Cadastro Produtos (kiwkiw)'!C:E,3,0)</f>
        <v>#N/A</v>
      </c>
    </row>
    <row r="3863" spans="7:8" ht="15" customHeight="1" x14ac:dyDescent="0.4">
      <c r="G3863" s="27">
        <f t="shared" si="69"/>
        <v>0</v>
      </c>
      <c r="H3863" s="28" t="e">
        <f>VLOOKUP(E3863,'Cadastro Produtos (kiwkiw)'!C:E,3,0)</f>
        <v>#N/A</v>
      </c>
    </row>
    <row r="3864" spans="7:8" ht="15" customHeight="1" x14ac:dyDescent="0.4">
      <c r="G3864" s="27">
        <f t="shared" si="69"/>
        <v>0</v>
      </c>
      <c r="H3864" s="28" t="e">
        <f>VLOOKUP(E3864,'Cadastro Produtos (kiwkiw)'!C:E,3,0)</f>
        <v>#N/A</v>
      </c>
    </row>
    <row r="3865" spans="7:8" ht="15" customHeight="1" x14ac:dyDescent="0.4">
      <c r="G3865" s="27">
        <f t="shared" si="69"/>
        <v>0</v>
      </c>
      <c r="H3865" s="28" t="e">
        <f>VLOOKUP(E3865,'Cadastro Produtos (kiwkiw)'!C:E,3,0)</f>
        <v>#N/A</v>
      </c>
    </row>
    <row r="3866" spans="7:8" ht="15" customHeight="1" x14ac:dyDescent="0.4">
      <c r="G3866" s="27">
        <f t="shared" si="69"/>
        <v>0</v>
      </c>
      <c r="H3866" s="28" t="e">
        <f>VLOOKUP(E3866,'Cadastro Produtos (kiwkiw)'!C:E,3,0)</f>
        <v>#N/A</v>
      </c>
    </row>
    <row r="3867" spans="7:8" ht="15" customHeight="1" x14ac:dyDescent="0.4">
      <c r="G3867" s="27">
        <f t="shared" si="69"/>
        <v>0</v>
      </c>
      <c r="H3867" s="28" t="e">
        <f>VLOOKUP(E3867,'Cadastro Produtos (kiwkiw)'!C:E,3,0)</f>
        <v>#N/A</v>
      </c>
    </row>
    <row r="3868" spans="7:8" ht="15" customHeight="1" x14ac:dyDescent="0.4">
      <c r="G3868" s="27">
        <f t="shared" si="69"/>
        <v>0</v>
      </c>
      <c r="H3868" s="28" t="e">
        <f>VLOOKUP(E3868,'Cadastro Produtos (kiwkiw)'!C:E,3,0)</f>
        <v>#N/A</v>
      </c>
    </row>
    <row r="3869" spans="7:8" ht="15" customHeight="1" x14ac:dyDescent="0.4">
      <c r="G3869" s="27">
        <f t="shared" si="69"/>
        <v>0</v>
      </c>
      <c r="H3869" s="28" t="e">
        <f>VLOOKUP(E3869,'Cadastro Produtos (kiwkiw)'!C:E,3,0)</f>
        <v>#N/A</v>
      </c>
    </row>
    <row r="3870" spans="7:8" ht="15" customHeight="1" x14ac:dyDescent="0.4">
      <c r="G3870" s="27">
        <f t="shared" si="69"/>
        <v>0</v>
      </c>
      <c r="H3870" s="28" t="e">
        <f>VLOOKUP(E3870,'Cadastro Produtos (kiwkiw)'!C:E,3,0)</f>
        <v>#N/A</v>
      </c>
    </row>
    <row r="3871" spans="7:8" ht="15" customHeight="1" x14ac:dyDescent="0.4">
      <c r="G3871" s="27">
        <f t="shared" si="69"/>
        <v>0</v>
      </c>
      <c r="H3871" s="28" t="e">
        <f>VLOOKUP(E3871,'Cadastro Produtos (kiwkiw)'!C:E,3,0)</f>
        <v>#N/A</v>
      </c>
    </row>
    <row r="3872" spans="7:8" ht="15" customHeight="1" x14ac:dyDescent="0.4">
      <c r="G3872" s="27">
        <f t="shared" si="69"/>
        <v>0</v>
      </c>
      <c r="H3872" s="28" t="e">
        <f>VLOOKUP(E3872,'Cadastro Produtos (kiwkiw)'!C:E,3,0)</f>
        <v>#N/A</v>
      </c>
    </row>
    <row r="3873" spans="7:8" ht="15" customHeight="1" x14ac:dyDescent="0.4">
      <c r="G3873" s="27">
        <f t="shared" si="69"/>
        <v>0</v>
      </c>
      <c r="H3873" s="28" t="e">
        <f>VLOOKUP(E3873,'Cadastro Produtos (kiwkiw)'!C:E,3,0)</f>
        <v>#N/A</v>
      </c>
    </row>
    <row r="3874" spans="7:8" ht="15" customHeight="1" x14ac:dyDescent="0.4">
      <c r="G3874" s="27">
        <f t="shared" si="69"/>
        <v>0</v>
      </c>
      <c r="H3874" s="28" t="e">
        <f>VLOOKUP(E3874,'Cadastro Produtos (kiwkiw)'!C:E,3,0)</f>
        <v>#N/A</v>
      </c>
    </row>
    <row r="3875" spans="7:8" ht="15" customHeight="1" x14ac:dyDescent="0.4">
      <c r="G3875" s="27">
        <f t="shared" si="69"/>
        <v>0</v>
      </c>
      <c r="H3875" s="28" t="e">
        <f>VLOOKUP(E3875,'Cadastro Produtos (kiwkiw)'!C:E,3,0)</f>
        <v>#N/A</v>
      </c>
    </row>
    <row r="3876" spans="7:8" ht="15" customHeight="1" x14ac:dyDescent="0.4">
      <c r="G3876" s="27">
        <f t="shared" si="69"/>
        <v>0</v>
      </c>
      <c r="H3876" s="28" t="e">
        <f>VLOOKUP(E3876,'Cadastro Produtos (kiwkiw)'!C:E,3,0)</f>
        <v>#N/A</v>
      </c>
    </row>
    <row r="3877" spans="7:8" ht="15" customHeight="1" x14ac:dyDescent="0.4">
      <c r="G3877" s="27">
        <f t="shared" si="69"/>
        <v>0</v>
      </c>
      <c r="H3877" s="28" t="e">
        <f>VLOOKUP(E3877,'Cadastro Produtos (kiwkiw)'!C:E,3,0)</f>
        <v>#N/A</v>
      </c>
    </row>
    <row r="3878" spans="7:8" ht="15" customHeight="1" x14ac:dyDescent="0.4">
      <c r="G3878" s="27">
        <f t="shared" si="69"/>
        <v>0</v>
      </c>
      <c r="H3878" s="28" t="e">
        <f>VLOOKUP(E3878,'Cadastro Produtos (kiwkiw)'!C:E,3,0)</f>
        <v>#N/A</v>
      </c>
    </row>
    <row r="3879" spans="7:8" ht="15" customHeight="1" x14ac:dyDescent="0.4">
      <c r="G3879" s="27">
        <f t="shared" si="69"/>
        <v>0</v>
      </c>
      <c r="H3879" s="28" t="e">
        <f>VLOOKUP(E3879,'Cadastro Produtos (kiwkiw)'!C:E,3,0)</f>
        <v>#N/A</v>
      </c>
    </row>
    <row r="3880" spans="7:8" ht="15" customHeight="1" x14ac:dyDescent="0.4">
      <c r="G3880" s="27">
        <f t="shared" si="69"/>
        <v>0</v>
      </c>
      <c r="H3880" s="28" t="e">
        <f>VLOOKUP(E3880,'Cadastro Produtos (kiwkiw)'!C:E,3,0)</f>
        <v>#N/A</v>
      </c>
    </row>
    <row r="3881" spans="7:8" ht="15" customHeight="1" x14ac:dyDescent="0.4">
      <c r="G3881" s="27">
        <f t="shared" si="69"/>
        <v>0</v>
      </c>
      <c r="H3881" s="28" t="e">
        <f>VLOOKUP(E3881,'Cadastro Produtos (kiwkiw)'!C:E,3,0)</f>
        <v>#N/A</v>
      </c>
    </row>
    <row r="3882" spans="7:8" ht="15" customHeight="1" x14ac:dyDescent="0.4">
      <c r="G3882" s="27">
        <f t="shared" si="69"/>
        <v>0</v>
      </c>
      <c r="H3882" s="28" t="e">
        <f>VLOOKUP(E3882,'Cadastro Produtos (kiwkiw)'!C:E,3,0)</f>
        <v>#N/A</v>
      </c>
    </row>
    <row r="3883" spans="7:8" ht="15" customHeight="1" x14ac:dyDescent="0.4">
      <c r="G3883" s="27">
        <f t="shared" si="69"/>
        <v>0</v>
      </c>
      <c r="H3883" s="28" t="e">
        <f>VLOOKUP(E3883,'Cadastro Produtos (kiwkiw)'!C:E,3,0)</f>
        <v>#N/A</v>
      </c>
    </row>
    <row r="3884" spans="7:8" ht="15" customHeight="1" x14ac:dyDescent="0.4">
      <c r="G3884" s="27">
        <f t="shared" si="69"/>
        <v>0</v>
      </c>
      <c r="H3884" s="28" t="e">
        <f>VLOOKUP(E3884,'Cadastro Produtos (kiwkiw)'!C:E,3,0)</f>
        <v>#N/A</v>
      </c>
    </row>
    <row r="3885" spans="7:8" ht="15" customHeight="1" x14ac:dyDescent="0.4">
      <c r="G3885" s="27">
        <f t="shared" si="69"/>
        <v>0</v>
      </c>
      <c r="H3885" s="28" t="e">
        <f>VLOOKUP(E3885,'Cadastro Produtos (kiwkiw)'!C:E,3,0)</f>
        <v>#N/A</v>
      </c>
    </row>
    <row r="3886" spans="7:8" ht="15" customHeight="1" x14ac:dyDescent="0.4">
      <c r="G3886" s="27">
        <f t="shared" si="69"/>
        <v>0</v>
      </c>
      <c r="H3886" s="28" t="e">
        <f>VLOOKUP(E3886,'Cadastro Produtos (kiwkiw)'!C:E,3,0)</f>
        <v>#N/A</v>
      </c>
    </row>
    <row r="3887" spans="7:8" ht="15" customHeight="1" x14ac:dyDescent="0.4">
      <c r="G3887" s="27">
        <f t="shared" si="69"/>
        <v>0</v>
      </c>
      <c r="H3887" s="28" t="e">
        <f>VLOOKUP(E3887,'Cadastro Produtos (kiwkiw)'!C:E,3,0)</f>
        <v>#N/A</v>
      </c>
    </row>
    <row r="3888" spans="7:8" ht="15" customHeight="1" x14ac:dyDescent="0.4">
      <c r="G3888" s="27">
        <f t="shared" si="69"/>
        <v>0</v>
      </c>
      <c r="H3888" s="28" t="e">
        <f>VLOOKUP(E3888,'Cadastro Produtos (kiwkiw)'!C:E,3,0)</f>
        <v>#N/A</v>
      </c>
    </row>
    <row r="3889" spans="7:8" ht="15" customHeight="1" x14ac:dyDescent="0.4">
      <c r="G3889" s="27">
        <f t="shared" si="69"/>
        <v>0</v>
      </c>
      <c r="H3889" s="28" t="e">
        <f>VLOOKUP(E3889,'Cadastro Produtos (kiwkiw)'!C:E,3,0)</f>
        <v>#N/A</v>
      </c>
    </row>
    <row r="3890" spans="7:8" ht="15" customHeight="1" x14ac:dyDescent="0.4">
      <c r="G3890" s="27">
        <f t="shared" si="69"/>
        <v>0</v>
      </c>
      <c r="H3890" s="28" t="e">
        <f>VLOOKUP(E3890,'Cadastro Produtos (kiwkiw)'!C:E,3,0)</f>
        <v>#N/A</v>
      </c>
    </row>
    <row r="3891" spans="7:8" ht="15" customHeight="1" x14ac:dyDescent="0.4">
      <c r="G3891" s="27">
        <f t="shared" si="69"/>
        <v>0</v>
      </c>
      <c r="H3891" s="28" t="e">
        <f>VLOOKUP(E3891,'Cadastro Produtos (kiwkiw)'!C:E,3,0)</f>
        <v>#N/A</v>
      </c>
    </row>
    <row r="3892" spans="7:8" ht="15" customHeight="1" x14ac:dyDescent="0.4">
      <c r="G3892" s="27">
        <f t="shared" si="69"/>
        <v>0</v>
      </c>
      <c r="H3892" s="28" t="e">
        <f>VLOOKUP(E3892,'Cadastro Produtos (kiwkiw)'!C:E,3,0)</f>
        <v>#N/A</v>
      </c>
    </row>
    <row r="3893" spans="7:8" ht="15" customHeight="1" x14ac:dyDescent="0.4">
      <c r="G3893" s="27">
        <f t="shared" si="69"/>
        <v>0</v>
      </c>
      <c r="H3893" s="28" t="e">
        <f>VLOOKUP(E3893,'Cadastro Produtos (kiwkiw)'!C:E,3,0)</f>
        <v>#N/A</v>
      </c>
    </row>
    <row r="3894" spans="7:8" ht="15" customHeight="1" x14ac:dyDescent="0.4">
      <c r="G3894" s="27">
        <f t="shared" si="69"/>
        <v>0</v>
      </c>
      <c r="H3894" s="28" t="e">
        <f>VLOOKUP(E3894,'Cadastro Produtos (kiwkiw)'!C:E,3,0)</f>
        <v>#N/A</v>
      </c>
    </row>
    <row r="3895" spans="7:8" ht="15" customHeight="1" x14ac:dyDescent="0.4">
      <c r="G3895" s="27">
        <f t="shared" ref="G3895:G3958" si="70">IF(C3895="Entrada",F3895,-F3895)</f>
        <v>0</v>
      </c>
      <c r="H3895" s="28" t="e">
        <f>VLOOKUP(E3895,'Cadastro Produtos (kiwkiw)'!C:E,3,0)</f>
        <v>#N/A</v>
      </c>
    </row>
    <row r="3896" spans="7:8" ht="15" customHeight="1" x14ac:dyDescent="0.4">
      <c r="G3896" s="27">
        <f t="shared" si="70"/>
        <v>0</v>
      </c>
      <c r="H3896" s="28" t="e">
        <f>VLOOKUP(E3896,'Cadastro Produtos (kiwkiw)'!C:E,3,0)</f>
        <v>#N/A</v>
      </c>
    </row>
    <row r="3897" spans="7:8" ht="15" customHeight="1" x14ac:dyDescent="0.4">
      <c r="G3897" s="27">
        <f t="shared" si="70"/>
        <v>0</v>
      </c>
      <c r="H3897" s="28" t="e">
        <f>VLOOKUP(E3897,'Cadastro Produtos (kiwkiw)'!C:E,3,0)</f>
        <v>#N/A</v>
      </c>
    </row>
    <row r="3898" spans="7:8" ht="15" customHeight="1" x14ac:dyDescent="0.4">
      <c r="G3898" s="27">
        <f t="shared" si="70"/>
        <v>0</v>
      </c>
      <c r="H3898" s="28" t="e">
        <f>VLOOKUP(E3898,'Cadastro Produtos (kiwkiw)'!C:E,3,0)</f>
        <v>#N/A</v>
      </c>
    </row>
    <row r="3899" spans="7:8" ht="15" customHeight="1" x14ac:dyDescent="0.4">
      <c r="G3899" s="27">
        <f t="shared" si="70"/>
        <v>0</v>
      </c>
      <c r="H3899" s="28" t="e">
        <f>VLOOKUP(E3899,'Cadastro Produtos (kiwkiw)'!C:E,3,0)</f>
        <v>#N/A</v>
      </c>
    </row>
    <row r="3900" spans="7:8" ht="15" customHeight="1" x14ac:dyDescent="0.4">
      <c r="G3900" s="27">
        <f t="shared" si="70"/>
        <v>0</v>
      </c>
      <c r="H3900" s="28" t="e">
        <f>VLOOKUP(E3900,'Cadastro Produtos (kiwkiw)'!C:E,3,0)</f>
        <v>#N/A</v>
      </c>
    </row>
    <row r="3901" spans="7:8" ht="15" customHeight="1" x14ac:dyDescent="0.4">
      <c r="G3901" s="27">
        <f t="shared" si="70"/>
        <v>0</v>
      </c>
      <c r="H3901" s="28" t="e">
        <f>VLOOKUP(E3901,'Cadastro Produtos (kiwkiw)'!C:E,3,0)</f>
        <v>#N/A</v>
      </c>
    </row>
    <row r="3902" spans="7:8" ht="15" customHeight="1" x14ac:dyDescent="0.4">
      <c r="G3902" s="27">
        <f t="shared" si="70"/>
        <v>0</v>
      </c>
      <c r="H3902" s="28" t="e">
        <f>VLOOKUP(E3902,'Cadastro Produtos (kiwkiw)'!C:E,3,0)</f>
        <v>#N/A</v>
      </c>
    </row>
    <row r="3903" spans="7:8" ht="15" customHeight="1" x14ac:dyDescent="0.4">
      <c r="G3903" s="27">
        <f t="shared" si="70"/>
        <v>0</v>
      </c>
      <c r="H3903" s="28" t="e">
        <f>VLOOKUP(E3903,'Cadastro Produtos (kiwkiw)'!C:E,3,0)</f>
        <v>#N/A</v>
      </c>
    </row>
    <row r="3904" spans="7:8" ht="15" customHeight="1" x14ac:dyDescent="0.4">
      <c r="G3904" s="27">
        <f t="shared" si="70"/>
        <v>0</v>
      </c>
      <c r="H3904" s="28" t="e">
        <f>VLOOKUP(E3904,'Cadastro Produtos (kiwkiw)'!C:E,3,0)</f>
        <v>#N/A</v>
      </c>
    </row>
    <row r="3905" spans="7:8" ht="15" customHeight="1" x14ac:dyDescent="0.4">
      <c r="G3905" s="27">
        <f t="shared" si="70"/>
        <v>0</v>
      </c>
      <c r="H3905" s="28" t="e">
        <f>VLOOKUP(E3905,'Cadastro Produtos (kiwkiw)'!C:E,3,0)</f>
        <v>#N/A</v>
      </c>
    </row>
    <row r="3906" spans="7:8" ht="15" customHeight="1" x14ac:dyDescent="0.4">
      <c r="G3906" s="27">
        <f t="shared" si="70"/>
        <v>0</v>
      </c>
      <c r="H3906" s="28" t="e">
        <f>VLOOKUP(E3906,'Cadastro Produtos (kiwkiw)'!C:E,3,0)</f>
        <v>#N/A</v>
      </c>
    </row>
    <row r="3907" spans="7:8" ht="15" customHeight="1" x14ac:dyDescent="0.4">
      <c r="G3907" s="27">
        <f t="shared" si="70"/>
        <v>0</v>
      </c>
      <c r="H3907" s="28" t="e">
        <f>VLOOKUP(E3907,'Cadastro Produtos (kiwkiw)'!C:E,3,0)</f>
        <v>#N/A</v>
      </c>
    </row>
    <row r="3908" spans="7:8" ht="15" customHeight="1" x14ac:dyDescent="0.4">
      <c r="G3908" s="27">
        <f t="shared" si="70"/>
        <v>0</v>
      </c>
      <c r="H3908" s="28" t="e">
        <f>VLOOKUP(E3908,'Cadastro Produtos (kiwkiw)'!C:E,3,0)</f>
        <v>#N/A</v>
      </c>
    </row>
    <row r="3909" spans="7:8" ht="15" customHeight="1" x14ac:dyDescent="0.4">
      <c r="G3909" s="27">
        <f t="shared" si="70"/>
        <v>0</v>
      </c>
      <c r="H3909" s="28" t="e">
        <f>VLOOKUP(E3909,'Cadastro Produtos (kiwkiw)'!C:E,3,0)</f>
        <v>#N/A</v>
      </c>
    </row>
    <row r="3910" spans="7:8" ht="15" customHeight="1" x14ac:dyDescent="0.4">
      <c r="G3910" s="27">
        <f t="shared" si="70"/>
        <v>0</v>
      </c>
      <c r="H3910" s="28" t="e">
        <f>VLOOKUP(E3910,'Cadastro Produtos (kiwkiw)'!C:E,3,0)</f>
        <v>#N/A</v>
      </c>
    </row>
    <row r="3911" spans="7:8" ht="15" customHeight="1" x14ac:dyDescent="0.4">
      <c r="G3911" s="27">
        <f t="shared" si="70"/>
        <v>0</v>
      </c>
      <c r="H3911" s="28" t="e">
        <f>VLOOKUP(E3911,'Cadastro Produtos (kiwkiw)'!C:E,3,0)</f>
        <v>#N/A</v>
      </c>
    </row>
    <row r="3912" spans="7:8" ht="15" customHeight="1" x14ac:dyDescent="0.4">
      <c r="G3912" s="27">
        <f t="shared" si="70"/>
        <v>0</v>
      </c>
      <c r="H3912" s="28" t="e">
        <f>VLOOKUP(E3912,'Cadastro Produtos (kiwkiw)'!C:E,3,0)</f>
        <v>#N/A</v>
      </c>
    </row>
    <row r="3913" spans="7:8" ht="15" customHeight="1" x14ac:dyDescent="0.4">
      <c r="G3913" s="27">
        <f t="shared" si="70"/>
        <v>0</v>
      </c>
      <c r="H3913" s="28" t="e">
        <f>VLOOKUP(E3913,'Cadastro Produtos (kiwkiw)'!C:E,3,0)</f>
        <v>#N/A</v>
      </c>
    </row>
    <row r="3914" spans="7:8" ht="15" customHeight="1" x14ac:dyDescent="0.4">
      <c r="G3914" s="27">
        <f t="shared" si="70"/>
        <v>0</v>
      </c>
      <c r="H3914" s="28" t="e">
        <f>VLOOKUP(E3914,'Cadastro Produtos (kiwkiw)'!C:E,3,0)</f>
        <v>#N/A</v>
      </c>
    </row>
    <row r="3915" spans="7:8" ht="15" customHeight="1" x14ac:dyDescent="0.4">
      <c r="G3915" s="27">
        <f t="shared" si="70"/>
        <v>0</v>
      </c>
      <c r="H3915" s="28" t="e">
        <f>VLOOKUP(E3915,'Cadastro Produtos (kiwkiw)'!C:E,3,0)</f>
        <v>#N/A</v>
      </c>
    </row>
    <row r="3916" spans="7:8" ht="15" customHeight="1" x14ac:dyDescent="0.4">
      <c r="G3916" s="27">
        <f t="shared" si="70"/>
        <v>0</v>
      </c>
      <c r="H3916" s="28" t="e">
        <f>VLOOKUP(E3916,'Cadastro Produtos (kiwkiw)'!C:E,3,0)</f>
        <v>#N/A</v>
      </c>
    </row>
    <row r="3917" spans="7:8" ht="15" customHeight="1" x14ac:dyDescent="0.4">
      <c r="G3917" s="27">
        <f t="shared" si="70"/>
        <v>0</v>
      </c>
      <c r="H3917" s="28" t="e">
        <f>VLOOKUP(E3917,'Cadastro Produtos (kiwkiw)'!C:E,3,0)</f>
        <v>#N/A</v>
      </c>
    </row>
    <row r="3918" spans="7:8" ht="15" customHeight="1" x14ac:dyDescent="0.4">
      <c r="G3918" s="27">
        <f t="shared" si="70"/>
        <v>0</v>
      </c>
      <c r="H3918" s="28" t="e">
        <f>VLOOKUP(E3918,'Cadastro Produtos (kiwkiw)'!C:E,3,0)</f>
        <v>#N/A</v>
      </c>
    </row>
    <row r="3919" spans="7:8" ht="15" customHeight="1" x14ac:dyDescent="0.4">
      <c r="G3919" s="27">
        <f t="shared" si="70"/>
        <v>0</v>
      </c>
      <c r="H3919" s="28" t="e">
        <f>VLOOKUP(E3919,'Cadastro Produtos (kiwkiw)'!C:E,3,0)</f>
        <v>#N/A</v>
      </c>
    </row>
    <row r="3920" spans="7:8" ht="15" customHeight="1" x14ac:dyDescent="0.4">
      <c r="G3920" s="27">
        <f t="shared" si="70"/>
        <v>0</v>
      </c>
      <c r="H3920" s="28" t="e">
        <f>VLOOKUP(E3920,'Cadastro Produtos (kiwkiw)'!C:E,3,0)</f>
        <v>#N/A</v>
      </c>
    </row>
    <row r="3921" spans="7:8" ht="15" customHeight="1" x14ac:dyDescent="0.4">
      <c r="G3921" s="27">
        <f t="shared" si="70"/>
        <v>0</v>
      </c>
      <c r="H3921" s="28" t="e">
        <f>VLOOKUP(E3921,'Cadastro Produtos (kiwkiw)'!C:E,3,0)</f>
        <v>#N/A</v>
      </c>
    </row>
    <row r="3922" spans="7:8" ht="15" customHeight="1" x14ac:dyDescent="0.4">
      <c r="G3922" s="27">
        <f t="shared" si="70"/>
        <v>0</v>
      </c>
      <c r="H3922" s="28" t="e">
        <f>VLOOKUP(E3922,'Cadastro Produtos (kiwkiw)'!C:E,3,0)</f>
        <v>#N/A</v>
      </c>
    </row>
    <row r="3923" spans="7:8" ht="15" customHeight="1" x14ac:dyDescent="0.4">
      <c r="G3923" s="27">
        <f t="shared" si="70"/>
        <v>0</v>
      </c>
      <c r="H3923" s="28" t="e">
        <f>VLOOKUP(E3923,'Cadastro Produtos (kiwkiw)'!C:E,3,0)</f>
        <v>#N/A</v>
      </c>
    </row>
    <row r="3924" spans="7:8" ht="15" customHeight="1" x14ac:dyDescent="0.4">
      <c r="G3924" s="27">
        <f t="shared" si="70"/>
        <v>0</v>
      </c>
      <c r="H3924" s="28" t="e">
        <f>VLOOKUP(E3924,'Cadastro Produtos (kiwkiw)'!C:E,3,0)</f>
        <v>#N/A</v>
      </c>
    </row>
    <row r="3925" spans="7:8" ht="15" customHeight="1" x14ac:dyDescent="0.4">
      <c r="G3925" s="27">
        <f t="shared" si="70"/>
        <v>0</v>
      </c>
      <c r="H3925" s="28" t="e">
        <f>VLOOKUP(E3925,'Cadastro Produtos (kiwkiw)'!C:E,3,0)</f>
        <v>#N/A</v>
      </c>
    </row>
    <row r="3926" spans="7:8" ht="15" customHeight="1" x14ac:dyDescent="0.4">
      <c r="G3926" s="27">
        <f t="shared" si="70"/>
        <v>0</v>
      </c>
      <c r="H3926" s="28" t="e">
        <f>VLOOKUP(E3926,'Cadastro Produtos (kiwkiw)'!C:E,3,0)</f>
        <v>#N/A</v>
      </c>
    </row>
    <row r="3927" spans="7:8" ht="15" customHeight="1" x14ac:dyDescent="0.4">
      <c r="G3927" s="27">
        <f t="shared" si="70"/>
        <v>0</v>
      </c>
      <c r="H3927" s="28" t="e">
        <f>VLOOKUP(E3927,'Cadastro Produtos (kiwkiw)'!C:E,3,0)</f>
        <v>#N/A</v>
      </c>
    </row>
    <row r="3928" spans="7:8" ht="15" customHeight="1" x14ac:dyDescent="0.4">
      <c r="G3928" s="27">
        <f t="shared" si="70"/>
        <v>0</v>
      </c>
      <c r="H3928" s="28" t="e">
        <f>VLOOKUP(E3928,'Cadastro Produtos (kiwkiw)'!C:E,3,0)</f>
        <v>#N/A</v>
      </c>
    </row>
    <row r="3929" spans="7:8" ht="15" customHeight="1" x14ac:dyDescent="0.4">
      <c r="G3929" s="27">
        <f t="shared" si="70"/>
        <v>0</v>
      </c>
      <c r="H3929" s="28" t="e">
        <f>VLOOKUP(E3929,'Cadastro Produtos (kiwkiw)'!C:E,3,0)</f>
        <v>#N/A</v>
      </c>
    </row>
    <row r="3930" spans="7:8" ht="15" customHeight="1" x14ac:dyDescent="0.4">
      <c r="G3930" s="27">
        <f t="shared" si="70"/>
        <v>0</v>
      </c>
      <c r="H3930" s="28" t="e">
        <f>VLOOKUP(E3930,'Cadastro Produtos (kiwkiw)'!C:E,3,0)</f>
        <v>#N/A</v>
      </c>
    </row>
    <row r="3931" spans="7:8" ht="15" customHeight="1" x14ac:dyDescent="0.4">
      <c r="G3931" s="27">
        <f t="shared" si="70"/>
        <v>0</v>
      </c>
      <c r="H3931" s="28" t="e">
        <f>VLOOKUP(E3931,'Cadastro Produtos (kiwkiw)'!C:E,3,0)</f>
        <v>#N/A</v>
      </c>
    </row>
    <row r="3932" spans="7:8" ht="15" customHeight="1" x14ac:dyDescent="0.4">
      <c r="G3932" s="27">
        <f t="shared" si="70"/>
        <v>0</v>
      </c>
      <c r="H3932" s="28" t="e">
        <f>VLOOKUP(E3932,'Cadastro Produtos (kiwkiw)'!C:E,3,0)</f>
        <v>#N/A</v>
      </c>
    </row>
    <row r="3933" spans="7:8" ht="15" customHeight="1" x14ac:dyDescent="0.4">
      <c r="G3933" s="27">
        <f t="shared" si="70"/>
        <v>0</v>
      </c>
      <c r="H3933" s="28" t="e">
        <f>VLOOKUP(E3933,'Cadastro Produtos (kiwkiw)'!C:E,3,0)</f>
        <v>#N/A</v>
      </c>
    </row>
    <row r="3934" spans="7:8" ht="15" customHeight="1" x14ac:dyDescent="0.4">
      <c r="G3934" s="27">
        <f t="shared" si="70"/>
        <v>0</v>
      </c>
      <c r="H3934" s="28" t="e">
        <f>VLOOKUP(E3934,'Cadastro Produtos (kiwkiw)'!C:E,3,0)</f>
        <v>#N/A</v>
      </c>
    </row>
    <row r="3935" spans="7:8" ht="15" customHeight="1" x14ac:dyDescent="0.4">
      <c r="G3935" s="27">
        <f t="shared" si="70"/>
        <v>0</v>
      </c>
      <c r="H3935" s="28" t="e">
        <f>VLOOKUP(E3935,'Cadastro Produtos (kiwkiw)'!C:E,3,0)</f>
        <v>#N/A</v>
      </c>
    </row>
    <row r="3936" spans="7:8" ht="15" customHeight="1" x14ac:dyDescent="0.4">
      <c r="G3936" s="27">
        <f t="shared" si="70"/>
        <v>0</v>
      </c>
      <c r="H3936" s="28" t="e">
        <f>VLOOKUP(E3936,'Cadastro Produtos (kiwkiw)'!C:E,3,0)</f>
        <v>#N/A</v>
      </c>
    </row>
    <row r="3937" spans="7:8" ht="15" customHeight="1" x14ac:dyDescent="0.4">
      <c r="G3937" s="27">
        <f t="shared" si="70"/>
        <v>0</v>
      </c>
      <c r="H3937" s="28" t="e">
        <f>VLOOKUP(E3937,'Cadastro Produtos (kiwkiw)'!C:E,3,0)</f>
        <v>#N/A</v>
      </c>
    </row>
    <row r="3938" spans="7:8" ht="15" customHeight="1" x14ac:dyDescent="0.4">
      <c r="G3938" s="27">
        <f t="shared" si="70"/>
        <v>0</v>
      </c>
      <c r="H3938" s="28" t="e">
        <f>VLOOKUP(E3938,'Cadastro Produtos (kiwkiw)'!C:E,3,0)</f>
        <v>#N/A</v>
      </c>
    </row>
    <row r="3939" spans="7:8" ht="15" customHeight="1" x14ac:dyDescent="0.4">
      <c r="G3939" s="27">
        <f t="shared" si="70"/>
        <v>0</v>
      </c>
      <c r="H3939" s="28" t="e">
        <f>VLOOKUP(E3939,'Cadastro Produtos (kiwkiw)'!C:E,3,0)</f>
        <v>#N/A</v>
      </c>
    </row>
    <row r="3940" spans="7:8" ht="15" customHeight="1" x14ac:dyDescent="0.4">
      <c r="G3940" s="27">
        <f t="shared" si="70"/>
        <v>0</v>
      </c>
      <c r="H3940" s="28" t="e">
        <f>VLOOKUP(E3940,'Cadastro Produtos (kiwkiw)'!C:E,3,0)</f>
        <v>#N/A</v>
      </c>
    </row>
    <row r="3941" spans="7:8" ht="15" customHeight="1" x14ac:dyDescent="0.4">
      <c r="G3941" s="27">
        <f t="shared" si="70"/>
        <v>0</v>
      </c>
      <c r="H3941" s="28" t="e">
        <f>VLOOKUP(E3941,'Cadastro Produtos (kiwkiw)'!C:E,3,0)</f>
        <v>#N/A</v>
      </c>
    </row>
    <row r="3942" spans="7:8" ht="15" customHeight="1" x14ac:dyDescent="0.4">
      <c r="G3942" s="27">
        <f t="shared" si="70"/>
        <v>0</v>
      </c>
      <c r="H3942" s="28" t="e">
        <f>VLOOKUP(E3942,'Cadastro Produtos (kiwkiw)'!C:E,3,0)</f>
        <v>#N/A</v>
      </c>
    </row>
    <row r="3943" spans="7:8" ht="15" customHeight="1" x14ac:dyDescent="0.4">
      <c r="G3943" s="27">
        <f t="shared" si="70"/>
        <v>0</v>
      </c>
      <c r="H3943" s="28" t="e">
        <f>VLOOKUP(E3943,'Cadastro Produtos (kiwkiw)'!C:E,3,0)</f>
        <v>#N/A</v>
      </c>
    </row>
    <row r="3944" spans="7:8" ht="15" customHeight="1" x14ac:dyDescent="0.4">
      <c r="G3944" s="27">
        <f t="shared" si="70"/>
        <v>0</v>
      </c>
      <c r="H3944" s="28" t="e">
        <f>VLOOKUP(E3944,'Cadastro Produtos (kiwkiw)'!C:E,3,0)</f>
        <v>#N/A</v>
      </c>
    </row>
    <row r="3945" spans="7:8" ht="15" customHeight="1" x14ac:dyDescent="0.4">
      <c r="G3945" s="27">
        <f t="shared" si="70"/>
        <v>0</v>
      </c>
      <c r="H3945" s="28" t="e">
        <f>VLOOKUP(E3945,'Cadastro Produtos (kiwkiw)'!C:E,3,0)</f>
        <v>#N/A</v>
      </c>
    </row>
    <row r="3946" spans="7:8" ht="15" customHeight="1" x14ac:dyDescent="0.4">
      <c r="G3946" s="27">
        <f t="shared" si="70"/>
        <v>0</v>
      </c>
      <c r="H3946" s="28" t="e">
        <f>VLOOKUP(E3946,'Cadastro Produtos (kiwkiw)'!C:E,3,0)</f>
        <v>#N/A</v>
      </c>
    </row>
    <row r="3947" spans="7:8" ht="15" customHeight="1" x14ac:dyDescent="0.4">
      <c r="G3947" s="27">
        <f t="shared" si="70"/>
        <v>0</v>
      </c>
      <c r="H3947" s="28" t="e">
        <f>VLOOKUP(E3947,'Cadastro Produtos (kiwkiw)'!C:E,3,0)</f>
        <v>#N/A</v>
      </c>
    </row>
    <row r="3948" spans="7:8" ht="15" customHeight="1" x14ac:dyDescent="0.4">
      <c r="G3948" s="27">
        <f t="shared" si="70"/>
        <v>0</v>
      </c>
      <c r="H3948" s="28" t="e">
        <f>VLOOKUP(E3948,'Cadastro Produtos (kiwkiw)'!C:E,3,0)</f>
        <v>#N/A</v>
      </c>
    </row>
    <row r="3949" spans="7:8" ht="15" customHeight="1" x14ac:dyDescent="0.4">
      <c r="G3949" s="27">
        <f t="shared" si="70"/>
        <v>0</v>
      </c>
      <c r="H3949" s="28" t="e">
        <f>VLOOKUP(E3949,'Cadastro Produtos (kiwkiw)'!C:E,3,0)</f>
        <v>#N/A</v>
      </c>
    </row>
    <row r="3950" spans="7:8" ht="15" customHeight="1" x14ac:dyDescent="0.4">
      <c r="G3950" s="27">
        <f t="shared" si="70"/>
        <v>0</v>
      </c>
      <c r="H3950" s="28" t="e">
        <f>VLOOKUP(E3950,'Cadastro Produtos (kiwkiw)'!C:E,3,0)</f>
        <v>#N/A</v>
      </c>
    </row>
    <row r="3951" spans="7:8" ht="15" customHeight="1" x14ac:dyDescent="0.4">
      <c r="G3951" s="27">
        <f t="shared" si="70"/>
        <v>0</v>
      </c>
      <c r="H3951" s="28" t="e">
        <f>VLOOKUP(E3951,'Cadastro Produtos (kiwkiw)'!C:E,3,0)</f>
        <v>#N/A</v>
      </c>
    </row>
    <row r="3952" spans="7:8" ht="15" customHeight="1" x14ac:dyDescent="0.4">
      <c r="G3952" s="27">
        <f t="shared" si="70"/>
        <v>0</v>
      </c>
      <c r="H3952" s="28" t="e">
        <f>VLOOKUP(E3952,'Cadastro Produtos (kiwkiw)'!C:E,3,0)</f>
        <v>#N/A</v>
      </c>
    </row>
    <row r="3953" spans="7:8" ht="15" customHeight="1" x14ac:dyDescent="0.4">
      <c r="G3953" s="27">
        <f t="shared" si="70"/>
        <v>0</v>
      </c>
      <c r="H3953" s="28" t="e">
        <f>VLOOKUP(E3953,'Cadastro Produtos (kiwkiw)'!C:E,3,0)</f>
        <v>#N/A</v>
      </c>
    </row>
    <row r="3954" spans="7:8" ht="15" customHeight="1" x14ac:dyDescent="0.4">
      <c r="G3954" s="27">
        <f t="shared" si="70"/>
        <v>0</v>
      </c>
      <c r="H3954" s="28" t="e">
        <f>VLOOKUP(E3954,'Cadastro Produtos (kiwkiw)'!C:E,3,0)</f>
        <v>#N/A</v>
      </c>
    </row>
    <row r="3955" spans="7:8" ht="15" customHeight="1" x14ac:dyDescent="0.4">
      <c r="G3955" s="27">
        <f t="shared" si="70"/>
        <v>0</v>
      </c>
      <c r="H3955" s="28" t="e">
        <f>VLOOKUP(E3955,'Cadastro Produtos (kiwkiw)'!C:E,3,0)</f>
        <v>#N/A</v>
      </c>
    </row>
    <row r="3956" spans="7:8" ht="15" customHeight="1" x14ac:dyDescent="0.4">
      <c r="G3956" s="27">
        <f t="shared" si="70"/>
        <v>0</v>
      </c>
      <c r="H3956" s="28" t="e">
        <f>VLOOKUP(E3956,'Cadastro Produtos (kiwkiw)'!C:E,3,0)</f>
        <v>#N/A</v>
      </c>
    </row>
    <row r="3957" spans="7:8" ht="15" customHeight="1" x14ac:dyDescent="0.4">
      <c r="G3957" s="27">
        <f t="shared" si="70"/>
        <v>0</v>
      </c>
      <c r="H3957" s="28" t="e">
        <f>VLOOKUP(E3957,'Cadastro Produtos (kiwkiw)'!C:E,3,0)</f>
        <v>#N/A</v>
      </c>
    </row>
    <row r="3958" spans="7:8" ht="15" customHeight="1" x14ac:dyDescent="0.4">
      <c r="G3958" s="27">
        <f t="shared" si="70"/>
        <v>0</v>
      </c>
      <c r="H3958" s="28" t="e">
        <f>VLOOKUP(E3958,'Cadastro Produtos (kiwkiw)'!C:E,3,0)</f>
        <v>#N/A</v>
      </c>
    </row>
    <row r="3959" spans="7:8" ht="15" customHeight="1" x14ac:dyDescent="0.4">
      <c r="G3959" s="27">
        <f t="shared" ref="G3959:G4009" si="71">IF(C3959="Entrada",F3959,-F3959)</f>
        <v>0</v>
      </c>
      <c r="H3959" s="28" t="e">
        <f>VLOOKUP(E3959,'Cadastro Produtos (kiwkiw)'!C:E,3,0)</f>
        <v>#N/A</v>
      </c>
    </row>
    <row r="3960" spans="7:8" ht="15" customHeight="1" x14ac:dyDescent="0.4">
      <c r="G3960" s="27">
        <f t="shared" si="71"/>
        <v>0</v>
      </c>
      <c r="H3960" s="28" t="e">
        <f>VLOOKUP(E3960,'Cadastro Produtos (kiwkiw)'!C:E,3,0)</f>
        <v>#N/A</v>
      </c>
    </row>
    <row r="3961" spans="7:8" ht="15" customHeight="1" x14ac:dyDescent="0.4">
      <c r="G3961" s="27">
        <f t="shared" si="71"/>
        <v>0</v>
      </c>
      <c r="H3961" s="28" t="e">
        <f>VLOOKUP(E3961,'Cadastro Produtos (kiwkiw)'!C:E,3,0)</f>
        <v>#N/A</v>
      </c>
    </row>
    <row r="3962" spans="7:8" ht="15" customHeight="1" x14ac:dyDescent="0.4">
      <c r="G3962" s="27">
        <f t="shared" si="71"/>
        <v>0</v>
      </c>
      <c r="H3962" s="28" t="e">
        <f>VLOOKUP(E3962,'Cadastro Produtos (kiwkiw)'!C:E,3,0)</f>
        <v>#N/A</v>
      </c>
    </row>
    <row r="3963" spans="7:8" ht="15" customHeight="1" x14ac:dyDescent="0.4">
      <c r="G3963" s="27">
        <f t="shared" si="71"/>
        <v>0</v>
      </c>
      <c r="H3963" s="28" t="e">
        <f>VLOOKUP(E3963,'Cadastro Produtos (kiwkiw)'!C:E,3,0)</f>
        <v>#N/A</v>
      </c>
    </row>
    <row r="3964" spans="7:8" ht="15" customHeight="1" x14ac:dyDescent="0.4">
      <c r="G3964" s="27">
        <f t="shared" si="71"/>
        <v>0</v>
      </c>
      <c r="H3964" s="28" t="e">
        <f>VLOOKUP(E3964,'Cadastro Produtos (kiwkiw)'!C:E,3,0)</f>
        <v>#N/A</v>
      </c>
    </row>
    <row r="3965" spans="7:8" ht="15" customHeight="1" x14ac:dyDescent="0.4">
      <c r="G3965" s="27">
        <f t="shared" si="71"/>
        <v>0</v>
      </c>
      <c r="H3965" s="28" t="e">
        <f>VLOOKUP(E3965,'Cadastro Produtos (kiwkiw)'!C:E,3,0)</f>
        <v>#N/A</v>
      </c>
    </row>
    <row r="3966" spans="7:8" ht="15" customHeight="1" x14ac:dyDescent="0.4">
      <c r="G3966" s="27">
        <f t="shared" si="71"/>
        <v>0</v>
      </c>
      <c r="H3966" s="28" t="e">
        <f>VLOOKUP(E3966,'Cadastro Produtos (kiwkiw)'!C:E,3,0)</f>
        <v>#N/A</v>
      </c>
    </row>
    <row r="3967" spans="7:8" ht="15" customHeight="1" x14ac:dyDescent="0.4">
      <c r="G3967" s="27">
        <f t="shared" si="71"/>
        <v>0</v>
      </c>
      <c r="H3967" s="28" t="e">
        <f>VLOOKUP(E3967,'Cadastro Produtos (kiwkiw)'!C:E,3,0)</f>
        <v>#N/A</v>
      </c>
    </row>
    <row r="3968" spans="7:8" ht="15" customHeight="1" x14ac:dyDescent="0.4">
      <c r="G3968" s="27">
        <f t="shared" si="71"/>
        <v>0</v>
      </c>
      <c r="H3968" s="28" t="e">
        <f>VLOOKUP(E3968,'Cadastro Produtos (kiwkiw)'!C:E,3,0)</f>
        <v>#N/A</v>
      </c>
    </row>
    <row r="3969" spans="7:8" ht="15" customHeight="1" x14ac:dyDescent="0.4">
      <c r="G3969" s="27">
        <f t="shared" si="71"/>
        <v>0</v>
      </c>
      <c r="H3969" s="28" t="e">
        <f>VLOOKUP(E3969,'Cadastro Produtos (kiwkiw)'!C:E,3,0)</f>
        <v>#N/A</v>
      </c>
    </row>
    <row r="3970" spans="7:8" ht="15" customHeight="1" x14ac:dyDescent="0.4">
      <c r="G3970" s="27">
        <f t="shared" si="71"/>
        <v>0</v>
      </c>
      <c r="H3970" s="28" t="e">
        <f>VLOOKUP(E3970,'Cadastro Produtos (kiwkiw)'!C:E,3,0)</f>
        <v>#N/A</v>
      </c>
    </row>
    <row r="3971" spans="7:8" ht="15" customHeight="1" x14ac:dyDescent="0.4">
      <c r="G3971" s="27">
        <f t="shared" si="71"/>
        <v>0</v>
      </c>
      <c r="H3971" s="28" t="e">
        <f>VLOOKUP(E3971,'Cadastro Produtos (kiwkiw)'!C:E,3,0)</f>
        <v>#N/A</v>
      </c>
    </row>
    <row r="3972" spans="7:8" ht="15" customHeight="1" x14ac:dyDescent="0.4">
      <c r="G3972" s="27">
        <f t="shared" si="71"/>
        <v>0</v>
      </c>
      <c r="H3972" s="28" t="e">
        <f>VLOOKUP(E3972,'Cadastro Produtos (kiwkiw)'!C:E,3,0)</f>
        <v>#N/A</v>
      </c>
    </row>
    <row r="3973" spans="7:8" ht="15" customHeight="1" x14ac:dyDescent="0.4">
      <c r="G3973" s="27">
        <f t="shared" si="71"/>
        <v>0</v>
      </c>
      <c r="H3973" s="28" t="e">
        <f>VLOOKUP(E3973,'Cadastro Produtos (kiwkiw)'!C:E,3,0)</f>
        <v>#N/A</v>
      </c>
    </row>
    <row r="3974" spans="7:8" ht="15" customHeight="1" x14ac:dyDescent="0.4">
      <c r="G3974" s="27">
        <f t="shared" si="71"/>
        <v>0</v>
      </c>
      <c r="H3974" s="28" t="e">
        <f>VLOOKUP(E3974,'Cadastro Produtos (kiwkiw)'!C:E,3,0)</f>
        <v>#N/A</v>
      </c>
    </row>
    <row r="3975" spans="7:8" ht="15" customHeight="1" x14ac:dyDescent="0.4">
      <c r="G3975" s="27">
        <f t="shared" si="71"/>
        <v>0</v>
      </c>
      <c r="H3975" s="28" t="e">
        <f>VLOOKUP(E3975,'Cadastro Produtos (kiwkiw)'!C:E,3,0)</f>
        <v>#N/A</v>
      </c>
    </row>
    <row r="3976" spans="7:8" ht="15" customHeight="1" x14ac:dyDescent="0.4">
      <c r="G3976" s="27">
        <f t="shared" si="71"/>
        <v>0</v>
      </c>
      <c r="H3976" s="28" t="e">
        <f>VLOOKUP(E3976,'Cadastro Produtos (kiwkiw)'!C:E,3,0)</f>
        <v>#N/A</v>
      </c>
    </row>
    <row r="3977" spans="7:8" ht="15" customHeight="1" x14ac:dyDescent="0.4">
      <c r="G3977" s="27">
        <f t="shared" si="71"/>
        <v>0</v>
      </c>
      <c r="H3977" s="28" t="e">
        <f>VLOOKUP(E3977,'Cadastro Produtos (kiwkiw)'!C:E,3,0)</f>
        <v>#N/A</v>
      </c>
    </row>
    <row r="3978" spans="7:8" ht="15" customHeight="1" x14ac:dyDescent="0.4">
      <c r="G3978" s="27">
        <f t="shared" si="71"/>
        <v>0</v>
      </c>
      <c r="H3978" s="28" t="e">
        <f>VLOOKUP(E3978,'Cadastro Produtos (kiwkiw)'!C:E,3,0)</f>
        <v>#N/A</v>
      </c>
    </row>
    <row r="3979" spans="7:8" ht="15" customHeight="1" x14ac:dyDescent="0.4">
      <c r="G3979" s="27">
        <f t="shared" si="71"/>
        <v>0</v>
      </c>
      <c r="H3979" s="28" t="e">
        <f>VLOOKUP(E3979,'Cadastro Produtos (kiwkiw)'!C:E,3,0)</f>
        <v>#N/A</v>
      </c>
    </row>
    <row r="3980" spans="7:8" ht="15" customHeight="1" x14ac:dyDescent="0.4">
      <c r="G3980" s="27">
        <f t="shared" si="71"/>
        <v>0</v>
      </c>
      <c r="H3980" s="28" t="e">
        <f>VLOOKUP(E3980,'Cadastro Produtos (kiwkiw)'!C:E,3,0)</f>
        <v>#N/A</v>
      </c>
    </row>
    <row r="3981" spans="7:8" ht="15" customHeight="1" x14ac:dyDescent="0.4">
      <c r="G3981" s="27">
        <f t="shared" si="71"/>
        <v>0</v>
      </c>
      <c r="H3981" s="28" t="e">
        <f>VLOOKUP(E3981,'Cadastro Produtos (kiwkiw)'!C:E,3,0)</f>
        <v>#N/A</v>
      </c>
    </row>
    <row r="3982" spans="7:8" ht="15" customHeight="1" x14ac:dyDescent="0.4">
      <c r="G3982" s="27">
        <f t="shared" si="71"/>
        <v>0</v>
      </c>
      <c r="H3982" s="28" t="e">
        <f>VLOOKUP(E3982,'Cadastro Produtos (kiwkiw)'!C:E,3,0)</f>
        <v>#N/A</v>
      </c>
    </row>
    <row r="3983" spans="7:8" ht="15" customHeight="1" x14ac:dyDescent="0.4">
      <c r="G3983" s="27">
        <f t="shared" si="71"/>
        <v>0</v>
      </c>
      <c r="H3983" s="28" t="e">
        <f>VLOOKUP(E3983,'Cadastro Produtos (kiwkiw)'!C:E,3,0)</f>
        <v>#N/A</v>
      </c>
    </row>
    <row r="3984" spans="7:8" ht="15" customHeight="1" x14ac:dyDescent="0.4">
      <c r="G3984" s="27">
        <f t="shared" si="71"/>
        <v>0</v>
      </c>
      <c r="H3984" s="28" t="e">
        <f>VLOOKUP(E3984,'Cadastro Produtos (kiwkiw)'!C:E,3,0)</f>
        <v>#N/A</v>
      </c>
    </row>
    <row r="3985" spans="7:8" ht="15" customHeight="1" x14ac:dyDescent="0.4">
      <c r="G3985" s="27">
        <f t="shared" si="71"/>
        <v>0</v>
      </c>
      <c r="H3985" s="28" t="e">
        <f>VLOOKUP(E3985,'Cadastro Produtos (kiwkiw)'!C:E,3,0)</f>
        <v>#N/A</v>
      </c>
    </row>
    <row r="3986" spans="7:8" ht="15" customHeight="1" x14ac:dyDescent="0.4">
      <c r="G3986" s="27">
        <f t="shared" si="71"/>
        <v>0</v>
      </c>
      <c r="H3986" s="28" t="e">
        <f>VLOOKUP(E3986,'Cadastro Produtos (kiwkiw)'!C:E,3,0)</f>
        <v>#N/A</v>
      </c>
    </row>
    <row r="3987" spans="7:8" ht="15" customHeight="1" x14ac:dyDescent="0.4">
      <c r="G3987" s="27">
        <f t="shared" si="71"/>
        <v>0</v>
      </c>
      <c r="H3987" s="28" t="e">
        <f>VLOOKUP(E3987,'Cadastro Produtos (kiwkiw)'!C:E,3,0)</f>
        <v>#N/A</v>
      </c>
    </row>
    <row r="3988" spans="7:8" ht="15" customHeight="1" x14ac:dyDescent="0.4">
      <c r="G3988" s="27">
        <f t="shared" si="71"/>
        <v>0</v>
      </c>
      <c r="H3988" s="28" t="e">
        <f>VLOOKUP(E3988,'Cadastro Produtos (kiwkiw)'!C:E,3,0)</f>
        <v>#N/A</v>
      </c>
    </row>
    <row r="3989" spans="7:8" ht="15" customHeight="1" x14ac:dyDescent="0.4">
      <c r="G3989" s="27">
        <f t="shared" si="71"/>
        <v>0</v>
      </c>
      <c r="H3989" s="28" t="e">
        <f>VLOOKUP(E3989,'Cadastro Produtos (kiwkiw)'!C:E,3,0)</f>
        <v>#N/A</v>
      </c>
    </row>
    <row r="3990" spans="7:8" ht="15" customHeight="1" x14ac:dyDescent="0.4">
      <c r="G3990" s="27">
        <f t="shared" si="71"/>
        <v>0</v>
      </c>
      <c r="H3990" s="28" t="e">
        <f>VLOOKUP(E3990,'Cadastro Produtos (kiwkiw)'!C:E,3,0)</f>
        <v>#N/A</v>
      </c>
    </row>
    <row r="3991" spans="7:8" ht="15" customHeight="1" x14ac:dyDescent="0.4">
      <c r="G3991" s="27">
        <f t="shared" si="71"/>
        <v>0</v>
      </c>
      <c r="H3991" s="28" t="e">
        <f>VLOOKUP(E3991,'Cadastro Produtos (kiwkiw)'!C:E,3,0)</f>
        <v>#N/A</v>
      </c>
    </row>
    <row r="3992" spans="7:8" ht="15" customHeight="1" x14ac:dyDescent="0.4">
      <c r="G3992" s="27">
        <f t="shared" si="71"/>
        <v>0</v>
      </c>
      <c r="H3992" s="28" t="e">
        <f>VLOOKUP(E3992,'Cadastro Produtos (kiwkiw)'!C:E,3,0)</f>
        <v>#N/A</v>
      </c>
    </row>
    <row r="3993" spans="7:8" ht="15" customHeight="1" x14ac:dyDescent="0.4">
      <c r="G3993" s="27">
        <f t="shared" si="71"/>
        <v>0</v>
      </c>
      <c r="H3993" s="28" t="e">
        <f>VLOOKUP(E3993,'Cadastro Produtos (kiwkiw)'!C:E,3,0)</f>
        <v>#N/A</v>
      </c>
    </row>
    <row r="3994" spans="7:8" ht="15" customHeight="1" x14ac:dyDescent="0.4">
      <c r="G3994" s="27">
        <f t="shared" si="71"/>
        <v>0</v>
      </c>
      <c r="H3994" s="28" t="e">
        <f>VLOOKUP(E3994,'Cadastro Produtos (kiwkiw)'!C:E,3,0)</f>
        <v>#N/A</v>
      </c>
    </row>
    <row r="3995" spans="7:8" ht="15" customHeight="1" x14ac:dyDescent="0.4">
      <c r="G3995" s="27">
        <f t="shared" si="71"/>
        <v>0</v>
      </c>
      <c r="H3995" s="28" t="e">
        <f>VLOOKUP(E3995,'Cadastro Produtos (kiwkiw)'!C:E,3,0)</f>
        <v>#N/A</v>
      </c>
    </row>
    <row r="3996" spans="7:8" ht="15" customHeight="1" x14ac:dyDescent="0.4">
      <c r="G3996" s="27">
        <f t="shared" si="71"/>
        <v>0</v>
      </c>
      <c r="H3996" s="28" t="e">
        <f>VLOOKUP(E3996,'Cadastro Produtos (kiwkiw)'!C:E,3,0)</f>
        <v>#N/A</v>
      </c>
    </row>
    <row r="3997" spans="7:8" ht="15" customHeight="1" x14ac:dyDescent="0.4">
      <c r="G3997" s="27">
        <f t="shared" si="71"/>
        <v>0</v>
      </c>
      <c r="H3997" s="28" t="e">
        <f>VLOOKUP(E3997,'Cadastro Produtos (kiwkiw)'!C:E,3,0)</f>
        <v>#N/A</v>
      </c>
    </row>
    <row r="3998" spans="7:8" ht="15" customHeight="1" x14ac:dyDescent="0.4">
      <c r="G3998" s="27">
        <f t="shared" si="71"/>
        <v>0</v>
      </c>
      <c r="H3998" s="28" t="e">
        <f>VLOOKUP(E3998,'Cadastro Produtos (kiwkiw)'!C:E,3,0)</f>
        <v>#N/A</v>
      </c>
    </row>
    <row r="3999" spans="7:8" ht="15" customHeight="1" x14ac:dyDescent="0.4">
      <c r="G3999" s="27">
        <f t="shared" si="71"/>
        <v>0</v>
      </c>
      <c r="H3999" s="28" t="e">
        <f>VLOOKUP(E3999,'Cadastro Produtos (kiwkiw)'!C:E,3,0)</f>
        <v>#N/A</v>
      </c>
    </row>
    <row r="4000" spans="7:8" ht="15" customHeight="1" x14ac:dyDescent="0.4">
      <c r="G4000" s="27">
        <f t="shared" si="71"/>
        <v>0</v>
      </c>
      <c r="H4000" s="28" t="e">
        <f>VLOOKUP(E4000,'Cadastro Produtos (kiwkiw)'!C:E,3,0)</f>
        <v>#N/A</v>
      </c>
    </row>
    <row r="4001" spans="7:8" ht="15" customHeight="1" x14ac:dyDescent="0.4">
      <c r="G4001" s="27">
        <f t="shared" si="71"/>
        <v>0</v>
      </c>
      <c r="H4001" s="28" t="e">
        <f>VLOOKUP(E4001,'Cadastro Produtos (kiwkiw)'!C:E,3,0)</f>
        <v>#N/A</v>
      </c>
    </row>
    <row r="4002" spans="7:8" ht="15" customHeight="1" x14ac:dyDescent="0.4">
      <c r="G4002" s="27">
        <f t="shared" si="71"/>
        <v>0</v>
      </c>
      <c r="H4002" s="28" t="e">
        <f>VLOOKUP(E4002,'Cadastro Produtos (kiwkiw)'!C:E,3,0)</f>
        <v>#N/A</v>
      </c>
    </row>
    <row r="4003" spans="7:8" ht="15" customHeight="1" x14ac:dyDescent="0.4">
      <c r="G4003" s="27">
        <f t="shared" si="71"/>
        <v>0</v>
      </c>
      <c r="H4003" s="28" t="e">
        <f>VLOOKUP(E4003,'Cadastro Produtos (kiwkiw)'!C:E,3,0)</f>
        <v>#N/A</v>
      </c>
    </row>
    <row r="4004" spans="7:8" ht="15" customHeight="1" x14ac:dyDescent="0.4">
      <c r="G4004" s="27">
        <f t="shared" si="71"/>
        <v>0</v>
      </c>
      <c r="H4004" s="28" t="e">
        <f>VLOOKUP(E4004,'Cadastro Produtos (kiwkiw)'!C:E,3,0)</f>
        <v>#N/A</v>
      </c>
    </row>
    <row r="4005" spans="7:8" ht="15" customHeight="1" x14ac:dyDescent="0.4">
      <c r="G4005" s="27">
        <f t="shared" si="71"/>
        <v>0</v>
      </c>
      <c r="H4005" s="28" t="e">
        <f>VLOOKUP(E4005,'Cadastro Produtos (kiwkiw)'!C:E,3,0)</f>
        <v>#N/A</v>
      </c>
    </row>
    <row r="4006" spans="7:8" ht="15" customHeight="1" x14ac:dyDescent="0.4">
      <c r="G4006" s="27">
        <f t="shared" si="71"/>
        <v>0</v>
      </c>
      <c r="H4006" s="28" t="e">
        <f>VLOOKUP(E4006,'Cadastro Produtos (kiwkiw)'!C:E,3,0)</f>
        <v>#N/A</v>
      </c>
    </row>
    <row r="4007" spans="7:8" ht="15" customHeight="1" x14ac:dyDescent="0.4">
      <c r="G4007" s="27">
        <f t="shared" si="71"/>
        <v>0</v>
      </c>
      <c r="H4007" s="28" t="e">
        <f>VLOOKUP(E4007,'Cadastro Produtos (kiwkiw)'!C:E,3,0)</f>
        <v>#N/A</v>
      </c>
    </row>
    <row r="4008" spans="7:8" ht="15" customHeight="1" x14ac:dyDescent="0.4">
      <c r="G4008" s="27">
        <f t="shared" si="71"/>
        <v>0</v>
      </c>
      <c r="H4008" s="28" t="e">
        <f>VLOOKUP(E4008,'Cadastro Produtos (kiwkiw)'!C:E,3,0)</f>
        <v>#N/A</v>
      </c>
    </row>
    <row r="4009" spans="7:8" ht="15" customHeight="1" x14ac:dyDescent="0.4">
      <c r="G4009" s="27">
        <f t="shared" si="71"/>
        <v>0</v>
      </c>
      <c r="H4009" s="28" t="e">
        <f>VLOOKUP(E4009,'Cadastro Produtos (kiwkiw)'!C:E,3,0)</f>
        <v>#N/A</v>
      </c>
    </row>
    <row r="4010" spans="7:8" ht="15" customHeight="1" x14ac:dyDescent="0.4">
      <c r="G4010" s="27">
        <f t="shared" ref="G4010:G4073" si="72">IF(C4010="Entrada",F4010,-F4010)</f>
        <v>0</v>
      </c>
      <c r="H4010" s="28" t="e">
        <f>VLOOKUP(E4010,'Cadastro Produtos (kiwkiw)'!C:E,3,0)</f>
        <v>#N/A</v>
      </c>
    </row>
    <row r="4011" spans="7:8" ht="15" customHeight="1" x14ac:dyDescent="0.4">
      <c r="G4011" s="27">
        <f t="shared" si="72"/>
        <v>0</v>
      </c>
      <c r="H4011" s="28" t="e">
        <f>VLOOKUP(E4011,'Cadastro Produtos (kiwkiw)'!C:E,3,0)</f>
        <v>#N/A</v>
      </c>
    </row>
    <row r="4012" spans="7:8" ht="15" customHeight="1" x14ac:dyDescent="0.4">
      <c r="G4012" s="27">
        <f t="shared" si="72"/>
        <v>0</v>
      </c>
      <c r="H4012" s="28" t="e">
        <f>VLOOKUP(E4012,'Cadastro Produtos (kiwkiw)'!C:E,3,0)</f>
        <v>#N/A</v>
      </c>
    </row>
    <row r="4013" spans="7:8" ht="15" customHeight="1" x14ac:dyDescent="0.4">
      <c r="G4013" s="27">
        <f t="shared" si="72"/>
        <v>0</v>
      </c>
      <c r="H4013" s="28" t="e">
        <f>VLOOKUP(E4013,'Cadastro Produtos (kiwkiw)'!C:E,3,0)</f>
        <v>#N/A</v>
      </c>
    </row>
    <row r="4014" spans="7:8" ht="15" customHeight="1" x14ac:dyDescent="0.4">
      <c r="G4014" s="27">
        <f t="shared" si="72"/>
        <v>0</v>
      </c>
      <c r="H4014" s="28" t="e">
        <f>VLOOKUP(E4014,'Cadastro Produtos (kiwkiw)'!C:E,3,0)</f>
        <v>#N/A</v>
      </c>
    </row>
    <row r="4015" spans="7:8" ht="15" customHeight="1" x14ac:dyDescent="0.4">
      <c r="G4015" s="27">
        <f t="shared" si="72"/>
        <v>0</v>
      </c>
      <c r="H4015" s="28" t="e">
        <f>VLOOKUP(E4015,'Cadastro Produtos (kiwkiw)'!C:E,3,0)</f>
        <v>#N/A</v>
      </c>
    </row>
    <row r="4016" spans="7:8" ht="15" customHeight="1" x14ac:dyDescent="0.4">
      <c r="G4016" s="27">
        <f t="shared" si="72"/>
        <v>0</v>
      </c>
      <c r="H4016" s="28" t="e">
        <f>VLOOKUP(E4016,'Cadastro Produtos (kiwkiw)'!C:E,3,0)</f>
        <v>#N/A</v>
      </c>
    </row>
    <row r="4017" spans="7:8" ht="15" customHeight="1" x14ac:dyDescent="0.4">
      <c r="G4017" s="27">
        <f t="shared" si="72"/>
        <v>0</v>
      </c>
      <c r="H4017" s="28" t="e">
        <f>VLOOKUP(E4017,'Cadastro Produtos (kiwkiw)'!C:E,3,0)</f>
        <v>#N/A</v>
      </c>
    </row>
    <row r="4018" spans="7:8" ht="15" customHeight="1" x14ac:dyDescent="0.4">
      <c r="G4018" s="27">
        <f t="shared" si="72"/>
        <v>0</v>
      </c>
      <c r="H4018" s="28" t="e">
        <f>VLOOKUP(E4018,'Cadastro Produtos (kiwkiw)'!C:E,3,0)</f>
        <v>#N/A</v>
      </c>
    </row>
    <row r="4019" spans="7:8" ht="15" customHeight="1" x14ac:dyDescent="0.4">
      <c r="G4019" s="27">
        <f t="shared" si="72"/>
        <v>0</v>
      </c>
      <c r="H4019" s="28" t="e">
        <f>VLOOKUP(E4019,'Cadastro Produtos (kiwkiw)'!C:E,3,0)</f>
        <v>#N/A</v>
      </c>
    </row>
    <row r="4020" spans="7:8" ht="15" customHeight="1" x14ac:dyDescent="0.4">
      <c r="G4020" s="27">
        <f t="shared" si="72"/>
        <v>0</v>
      </c>
      <c r="H4020" s="28" t="e">
        <f>VLOOKUP(E4020,'Cadastro Produtos (kiwkiw)'!C:E,3,0)</f>
        <v>#N/A</v>
      </c>
    </row>
    <row r="4021" spans="7:8" ht="15" customHeight="1" x14ac:dyDescent="0.4">
      <c r="G4021" s="27">
        <f t="shared" si="72"/>
        <v>0</v>
      </c>
      <c r="H4021" s="28" t="e">
        <f>VLOOKUP(E4021,'Cadastro Produtos (kiwkiw)'!C:E,3,0)</f>
        <v>#N/A</v>
      </c>
    </row>
    <row r="4022" spans="7:8" ht="15" customHeight="1" x14ac:dyDescent="0.4">
      <c r="G4022" s="27">
        <f t="shared" si="72"/>
        <v>0</v>
      </c>
      <c r="H4022" s="28" t="e">
        <f>VLOOKUP(E4022,'Cadastro Produtos (kiwkiw)'!C:E,3,0)</f>
        <v>#N/A</v>
      </c>
    </row>
    <row r="4023" spans="7:8" ht="15" customHeight="1" x14ac:dyDescent="0.4">
      <c r="G4023" s="27">
        <f t="shared" si="72"/>
        <v>0</v>
      </c>
      <c r="H4023" s="28" t="e">
        <f>VLOOKUP(E4023,'Cadastro Produtos (kiwkiw)'!C:E,3,0)</f>
        <v>#N/A</v>
      </c>
    </row>
    <row r="4024" spans="7:8" ht="15" customHeight="1" x14ac:dyDescent="0.4">
      <c r="G4024" s="27">
        <f t="shared" si="72"/>
        <v>0</v>
      </c>
      <c r="H4024" s="28" t="e">
        <f>VLOOKUP(E4024,'Cadastro Produtos (kiwkiw)'!C:E,3,0)</f>
        <v>#N/A</v>
      </c>
    </row>
    <row r="4025" spans="7:8" ht="15" customHeight="1" x14ac:dyDescent="0.4">
      <c r="G4025" s="27">
        <f t="shared" si="72"/>
        <v>0</v>
      </c>
      <c r="H4025" s="28" t="e">
        <f>VLOOKUP(E4025,'Cadastro Produtos (kiwkiw)'!C:E,3,0)</f>
        <v>#N/A</v>
      </c>
    </row>
    <row r="4026" spans="7:8" ht="15" customHeight="1" x14ac:dyDescent="0.4">
      <c r="G4026" s="27">
        <f t="shared" si="72"/>
        <v>0</v>
      </c>
      <c r="H4026" s="28" t="e">
        <f>VLOOKUP(E4026,'Cadastro Produtos (kiwkiw)'!C:E,3,0)</f>
        <v>#N/A</v>
      </c>
    </row>
    <row r="4027" spans="7:8" ht="15" customHeight="1" x14ac:dyDescent="0.4">
      <c r="G4027" s="27">
        <f t="shared" si="72"/>
        <v>0</v>
      </c>
      <c r="H4027" s="28" t="e">
        <f>VLOOKUP(E4027,'Cadastro Produtos (kiwkiw)'!C:E,3,0)</f>
        <v>#N/A</v>
      </c>
    </row>
    <row r="4028" spans="7:8" ht="15" customHeight="1" x14ac:dyDescent="0.4">
      <c r="G4028" s="27">
        <f t="shared" si="72"/>
        <v>0</v>
      </c>
      <c r="H4028" s="28" t="e">
        <f>VLOOKUP(E4028,'Cadastro Produtos (kiwkiw)'!C:E,3,0)</f>
        <v>#N/A</v>
      </c>
    </row>
    <row r="4029" spans="7:8" ht="15" customHeight="1" x14ac:dyDescent="0.4">
      <c r="G4029" s="27">
        <f t="shared" si="72"/>
        <v>0</v>
      </c>
      <c r="H4029" s="28" t="e">
        <f>VLOOKUP(E4029,'Cadastro Produtos (kiwkiw)'!C:E,3,0)</f>
        <v>#N/A</v>
      </c>
    </row>
    <row r="4030" spans="7:8" ht="15" customHeight="1" x14ac:dyDescent="0.4">
      <c r="G4030" s="27">
        <f t="shared" si="72"/>
        <v>0</v>
      </c>
      <c r="H4030" s="28" t="e">
        <f>VLOOKUP(E4030,'Cadastro Produtos (kiwkiw)'!C:E,3,0)</f>
        <v>#N/A</v>
      </c>
    </row>
    <row r="4031" spans="7:8" ht="15" customHeight="1" x14ac:dyDescent="0.4">
      <c r="G4031" s="27">
        <f t="shared" si="72"/>
        <v>0</v>
      </c>
      <c r="H4031" s="28" t="e">
        <f>VLOOKUP(E4031,'Cadastro Produtos (kiwkiw)'!C:E,3,0)</f>
        <v>#N/A</v>
      </c>
    </row>
    <row r="4032" spans="7:8" ht="15" customHeight="1" x14ac:dyDescent="0.4">
      <c r="G4032" s="27">
        <f t="shared" si="72"/>
        <v>0</v>
      </c>
      <c r="H4032" s="28" t="e">
        <f>VLOOKUP(E4032,'Cadastro Produtos (kiwkiw)'!C:E,3,0)</f>
        <v>#N/A</v>
      </c>
    </row>
    <row r="4033" spans="7:8" ht="15" customHeight="1" x14ac:dyDescent="0.4">
      <c r="G4033" s="27">
        <f t="shared" si="72"/>
        <v>0</v>
      </c>
      <c r="H4033" s="28" t="e">
        <f>VLOOKUP(E4033,'Cadastro Produtos (kiwkiw)'!C:E,3,0)</f>
        <v>#N/A</v>
      </c>
    </row>
    <row r="4034" spans="7:8" ht="15" customHeight="1" x14ac:dyDescent="0.4">
      <c r="G4034" s="27">
        <f t="shared" si="72"/>
        <v>0</v>
      </c>
      <c r="H4034" s="28" t="e">
        <f>VLOOKUP(E4034,'Cadastro Produtos (kiwkiw)'!C:E,3,0)</f>
        <v>#N/A</v>
      </c>
    </row>
    <row r="4035" spans="7:8" ht="15" customHeight="1" x14ac:dyDescent="0.4">
      <c r="G4035" s="27">
        <f t="shared" si="72"/>
        <v>0</v>
      </c>
      <c r="H4035" s="28" t="e">
        <f>VLOOKUP(E4035,'Cadastro Produtos (kiwkiw)'!C:E,3,0)</f>
        <v>#N/A</v>
      </c>
    </row>
    <row r="4036" spans="7:8" ht="15" customHeight="1" x14ac:dyDescent="0.4">
      <c r="G4036" s="27">
        <f t="shared" si="72"/>
        <v>0</v>
      </c>
      <c r="H4036" s="28" t="e">
        <f>VLOOKUP(E4036,'Cadastro Produtos (kiwkiw)'!C:E,3,0)</f>
        <v>#N/A</v>
      </c>
    </row>
    <row r="4037" spans="7:8" ht="15" customHeight="1" x14ac:dyDescent="0.4">
      <c r="G4037" s="27">
        <f t="shared" si="72"/>
        <v>0</v>
      </c>
      <c r="H4037" s="28" t="e">
        <f>VLOOKUP(E4037,'Cadastro Produtos (kiwkiw)'!C:E,3,0)</f>
        <v>#N/A</v>
      </c>
    </row>
    <row r="4038" spans="7:8" ht="15" customHeight="1" x14ac:dyDescent="0.4">
      <c r="G4038" s="27">
        <f t="shared" si="72"/>
        <v>0</v>
      </c>
      <c r="H4038" s="28" t="e">
        <f>VLOOKUP(E4038,'Cadastro Produtos (kiwkiw)'!C:E,3,0)</f>
        <v>#N/A</v>
      </c>
    </row>
    <row r="4039" spans="7:8" ht="15" customHeight="1" x14ac:dyDescent="0.4">
      <c r="G4039" s="27">
        <f t="shared" si="72"/>
        <v>0</v>
      </c>
      <c r="H4039" s="28" t="e">
        <f>VLOOKUP(E4039,'Cadastro Produtos (kiwkiw)'!C:E,3,0)</f>
        <v>#N/A</v>
      </c>
    </row>
    <row r="4040" spans="7:8" ht="15" customHeight="1" x14ac:dyDescent="0.4">
      <c r="G4040" s="27">
        <f t="shared" si="72"/>
        <v>0</v>
      </c>
      <c r="H4040" s="28" t="e">
        <f>VLOOKUP(E4040,'Cadastro Produtos (kiwkiw)'!C:E,3,0)</f>
        <v>#N/A</v>
      </c>
    </row>
    <row r="4041" spans="7:8" ht="15" customHeight="1" x14ac:dyDescent="0.4">
      <c r="G4041" s="27">
        <f t="shared" si="72"/>
        <v>0</v>
      </c>
      <c r="H4041" s="28" t="e">
        <f>VLOOKUP(E4041,'Cadastro Produtos (kiwkiw)'!C:E,3,0)</f>
        <v>#N/A</v>
      </c>
    </row>
    <row r="4042" spans="7:8" ht="15" customHeight="1" x14ac:dyDescent="0.4">
      <c r="G4042" s="27">
        <f t="shared" si="72"/>
        <v>0</v>
      </c>
      <c r="H4042" s="28" t="e">
        <f>VLOOKUP(E4042,'Cadastro Produtos (kiwkiw)'!C:E,3,0)</f>
        <v>#N/A</v>
      </c>
    </row>
    <row r="4043" spans="7:8" ht="15" customHeight="1" x14ac:dyDescent="0.4">
      <c r="G4043" s="27">
        <f t="shared" si="72"/>
        <v>0</v>
      </c>
      <c r="H4043" s="28" t="e">
        <f>VLOOKUP(E4043,'Cadastro Produtos (kiwkiw)'!C:E,3,0)</f>
        <v>#N/A</v>
      </c>
    </row>
    <row r="4044" spans="7:8" ht="15" customHeight="1" x14ac:dyDescent="0.4">
      <c r="G4044" s="27">
        <f t="shared" si="72"/>
        <v>0</v>
      </c>
      <c r="H4044" s="28" t="e">
        <f>VLOOKUP(E4044,'Cadastro Produtos (kiwkiw)'!C:E,3,0)</f>
        <v>#N/A</v>
      </c>
    </row>
    <row r="4045" spans="7:8" ht="15" customHeight="1" x14ac:dyDescent="0.4">
      <c r="G4045" s="27">
        <f t="shared" si="72"/>
        <v>0</v>
      </c>
      <c r="H4045" s="28" t="e">
        <f>VLOOKUP(E4045,'Cadastro Produtos (kiwkiw)'!C:E,3,0)</f>
        <v>#N/A</v>
      </c>
    </row>
    <row r="4046" spans="7:8" ht="15" customHeight="1" x14ac:dyDescent="0.4">
      <c r="G4046" s="27">
        <f t="shared" si="72"/>
        <v>0</v>
      </c>
      <c r="H4046" s="28" t="e">
        <f>VLOOKUP(E4046,'Cadastro Produtos (kiwkiw)'!C:E,3,0)</f>
        <v>#N/A</v>
      </c>
    </row>
    <row r="4047" spans="7:8" ht="15" customHeight="1" x14ac:dyDescent="0.4">
      <c r="G4047" s="27">
        <f t="shared" si="72"/>
        <v>0</v>
      </c>
      <c r="H4047" s="28" t="e">
        <f>VLOOKUP(E4047,'Cadastro Produtos (kiwkiw)'!C:E,3,0)</f>
        <v>#N/A</v>
      </c>
    </row>
    <row r="4048" spans="7:8" ht="15" customHeight="1" x14ac:dyDescent="0.4">
      <c r="G4048" s="27">
        <f t="shared" si="72"/>
        <v>0</v>
      </c>
      <c r="H4048" s="28" t="e">
        <f>VLOOKUP(E4048,'Cadastro Produtos (kiwkiw)'!C:E,3,0)</f>
        <v>#N/A</v>
      </c>
    </row>
    <row r="4049" spans="7:8" ht="15" customHeight="1" x14ac:dyDescent="0.4">
      <c r="G4049" s="27">
        <f t="shared" si="72"/>
        <v>0</v>
      </c>
      <c r="H4049" s="28" t="e">
        <f>VLOOKUP(E4049,'Cadastro Produtos (kiwkiw)'!C:E,3,0)</f>
        <v>#N/A</v>
      </c>
    </row>
    <row r="4050" spans="7:8" ht="15" customHeight="1" x14ac:dyDescent="0.4">
      <c r="G4050" s="27">
        <f t="shared" si="72"/>
        <v>0</v>
      </c>
      <c r="H4050" s="28" t="e">
        <f>VLOOKUP(E4050,'Cadastro Produtos (kiwkiw)'!C:E,3,0)</f>
        <v>#N/A</v>
      </c>
    </row>
    <row r="4051" spans="7:8" ht="15" customHeight="1" x14ac:dyDescent="0.4">
      <c r="G4051" s="27">
        <f t="shared" si="72"/>
        <v>0</v>
      </c>
      <c r="H4051" s="28" t="e">
        <f>VLOOKUP(E4051,'Cadastro Produtos (kiwkiw)'!C:E,3,0)</f>
        <v>#N/A</v>
      </c>
    </row>
    <row r="4052" spans="7:8" ht="15" customHeight="1" x14ac:dyDescent="0.4">
      <c r="G4052" s="27">
        <f t="shared" si="72"/>
        <v>0</v>
      </c>
      <c r="H4052" s="28" t="e">
        <f>VLOOKUP(E4052,'Cadastro Produtos (kiwkiw)'!C:E,3,0)</f>
        <v>#N/A</v>
      </c>
    </row>
    <row r="4053" spans="7:8" ht="15" customHeight="1" x14ac:dyDescent="0.4">
      <c r="G4053" s="27">
        <f t="shared" si="72"/>
        <v>0</v>
      </c>
      <c r="H4053" s="28" t="e">
        <f>VLOOKUP(E4053,'Cadastro Produtos (kiwkiw)'!C:E,3,0)</f>
        <v>#N/A</v>
      </c>
    </row>
    <row r="4054" spans="7:8" ht="15" customHeight="1" x14ac:dyDescent="0.4">
      <c r="G4054" s="27">
        <f t="shared" si="72"/>
        <v>0</v>
      </c>
      <c r="H4054" s="28" t="e">
        <f>VLOOKUP(E4054,'Cadastro Produtos (kiwkiw)'!C:E,3,0)</f>
        <v>#N/A</v>
      </c>
    </row>
    <row r="4055" spans="7:8" ht="15" customHeight="1" x14ac:dyDescent="0.4">
      <c r="G4055" s="27">
        <f t="shared" si="72"/>
        <v>0</v>
      </c>
      <c r="H4055" s="28" t="e">
        <f>VLOOKUP(E4055,'Cadastro Produtos (kiwkiw)'!C:E,3,0)</f>
        <v>#N/A</v>
      </c>
    </row>
    <row r="4056" spans="7:8" ht="15" customHeight="1" x14ac:dyDescent="0.4">
      <c r="G4056" s="27">
        <f t="shared" si="72"/>
        <v>0</v>
      </c>
      <c r="H4056" s="28" t="e">
        <f>VLOOKUP(E4056,'Cadastro Produtos (kiwkiw)'!C:E,3,0)</f>
        <v>#N/A</v>
      </c>
    </row>
    <row r="4057" spans="7:8" ht="15" customHeight="1" x14ac:dyDescent="0.4">
      <c r="G4057" s="27">
        <f t="shared" si="72"/>
        <v>0</v>
      </c>
      <c r="H4057" s="28" t="e">
        <f>VLOOKUP(E4057,'Cadastro Produtos (kiwkiw)'!C:E,3,0)</f>
        <v>#N/A</v>
      </c>
    </row>
    <row r="4058" spans="7:8" ht="15" customHeight="1" x14ac:dyDescent="0.4">
      <c r="G4058" s="27">
        <f t="shared" si="72"/>
        <v>0</v>
      </c>
      <c r="H4058" s="28" t="e">
        <f>VLOOKUP(E4058,'Cadastro Produtos (kiwkiw)'!C:E,3,0)</f>
        <v>#N/A</v>
      </c>
    </row>
    <row r="4059" spans="7:8" ht="15" customHeight="1" x14ac:dyDescent="0.4">
      <c r="G4059" s="27">
        <f t="shared" si="72"/>
        <v>0</v>
      </c>
      <c r="H4059" s="28" t="e">
        <f>VLOOKUP(E4059,'Cadastro Produtos (kiwkiw)'!C:E,3,0)</f>
        <v>#N/A</v>
      </c>
    </row>
    <row r="4060" spans="7:8" ht="15" customHeight="1" x14ac:dyDescent="0.4">
      <c r="G4060" s="27">
        <f t="shared" si="72"/>
        <v>0</v>
      </c>
      <c r="H4060" s="28" t="e">
        <f>VLOOKUP(E4060,'Cadastro Produtos (kiwkiw)'!C:E,3,0)</f>
        <v>#N/A</v>
      </c>
    </row>
    <row r="4061" spans="7:8" ht="15" customHeight="1" x14ac:dyDescent="0.4">
      <c r="G4061" s="27">
        <f t="shared" si="72"/>
        <v>0</v>
      </c>
      <c r="H4061" s="28" t="e">
        <f>VLOOKUP(E4061,'Cadastro Produtos (kiwkiw)'!C:E,3,0)</f>
        <v>#N/A</v>
      </c>
    </row>
    <row r="4062" spans="7:8" ht="15" customHeight="1" x14ac:dyDescent="0.4">
      <c r="G4062" s="27">
        <f t="shared" si="72"/>
        <v>0</v>
      </c>
      <c r="H4062" s="28" t="e">
        <f>VLOOKUP(E4062,'Cadastro Produtos (kiwkiw)'!C:E,3,0)</f>
        <v>#N/A</v>
      </c>
    </row>
    <row r="4063" spans="7:8" ht="15" customHeight="1" x14ac:dyDescent="0.4">
      <c r="G4063" s="27">
        <f t="shared" si="72"/>
        <v>0</v>
      </c>
      <c r="H4063" s="28" t="e">
        <f>VLOOKUP(E4063,'Cadastro Produtos (kiwkiw)'!C:E,3,0)</f>
        <v>#N/A</v>
      </c>
    </row>
    <row r="4064" spans="7:8" ht="15" customHeight="1" x14ac:dyDescent="0.4">
      <c r="G4064" s="27">
        <f t="shared" si="72"/>
        <v>0</v>
      </c>
      <c r="H4064" s="28" t="e">
        <f>VLOOKUP(E4064,'Cadastro Produtos (kiwkiw)'!C:E,3,0)</f>
        <v>#N/A</v>
      </c>
    </row>
    <row r="4065" spans="7:8" ht="15" customHeight="1" x14ac:dyDescent="0.4">
      <c r="G4065" s="27">
        <f t="shared" si="72"/>
        <v>0</v>
      </c>
      <c r="H4065" s="28" t="e">
        <f>VLOOKUP(E4065,'Cadastro Produtos (kiwkiw)'!C:E,3,0)</f>
        <v>#N/A</v>
      </c>
    </row>
    <row r="4066" spans="7:8" ht="15" customHeight="1" x14ac:dyDescent="0.4">
      <c r="G4066" s="27">
        <f t="shared" si="72"/>
        <v>0</v>
      </c>
      <c r="H4066" s="28" t="e">
        <f>VLOOKUP(E4066,'Cadastro Produtos (kiwkiw)'!C:E,3,0)</f>
        <v>#N/A</v>
      </c>
    </row>
    <row r="4067" spans="7:8" ht="15" customHeight="1" x14ac:dyDescent="0.4">
      <c r="G4067" s="27">
        <f t="shared" si="72"/>
        <v>0</v>
      </c>
      <c r="H4067" s="28" t="e">
        <f>VLOOKUP(E4067,'Cadastro Produtos (kiwkiw)'!C:E,3,0)</f>
        <v>#N/A</v>
      </c>
    </row>
    <row r="4068" spans="7:8" ht="15" customHeight="1" x14ac:dyDescent="0.4">
      <c r="G4068" s="27">
        <f t="shared" si="72"/>
        <v>0</v>
      </c>
      <c r="H4068" s="28" t="e">
        <f>VLOOKUP(E4068,'Cadastro Produtos (kiwkiw)'!C:E,3,0)</f>
        <v>#N/A</v>
      </c>
    </row>
    <row r="4069" spans="7:8" ht="15" customHeight="1" x14ac:dyDescent="0.4">
      <c r="G4069" s="27">
        <f t="shared" si="72"/>
        <v>0</v>
      </c>
      <c r="H4069" s="28" t="e">
        <f>VLOOKUP(E4069,'Cadastro Produtos (kiwkiw)'!C:E,3,0)</f>
        <v>#N/A</v>
      </c>
    </row>
    <row r="4070" spans="7:8" ht="15" customHeight="1" x14ac:dyDescent="0.4">
      <c r="G4070" s="27">
        <f t="shared" si="72"/>
        <v>0</v>
      </c>
      <c r="H4070" s="28" t="e">
        <f>VLOOKUP(E4070,'Cadastro Produtos (kiwkiw)'!C:E,3,0)</f>
        <v>#N/A</v>
      </c>
    </row>
    <row r="4071" spans="7:8" ht="15" customHeight="1" x14ac:dyDescent="0.4">
      <c r="G4071" s="27">
        <f t="shared" si="72"/>
        <v>0</v>
      </c>
      <c r="H4071" s="28" t="e">
        <f>VLOOKUP(E4071,'Cadastro Produtos (kiwkiw)'!C:E,3,0)</f>
        <v>#N/A</v>
      </c>
    </row>
    <row r="4072" spans="7:8" ht="15" customHeight="1" x14ac:dyDescent="0.4">
      <c r="G4072" s="27">
        <f t="shared" si="72"/>
        <v>0</v>
      </c>
      <c r="H4072" s="28" t="e">
        <f>VLOOKUP(E4072,'Cadastro Produtos (kiwkiw)'!C:E,3,0)</f>
        <v>#N/A</v>
      </c>
    </row>
    <row r="4073" spans="7:8" ht="15" customHeight="1" x14ac:dyDescent="0.4">
      <c r="G4073" s="27">
        <f t="shared" si="72"/>
        <v>0</v>
      </c>
      <c r="H4073" s="28" t="e">
        <f>VLOOKUP(E4073,'Cadastro Produtos (kiwkiw)'!C:E,3,0)</f>
        <v>#N/A</v>
      </c>
    </row>
    <row r="4074" spans="7:8" ht="15" customHeight="1" x14ac:dyDescent="0.4">
      <c r="G4074" s="27">
        <f t="shared" ref="G4074:G4137" si="73">IF(C4074="Entrada",F4074,-F4074)</f>
        <v>0</v>
      </c>
      <c r="H4074" s="28" t="e">
        <f>VLOOKUP(E4074,'Cadastro Produtos (kiwkiw)'!C:E,3,0)</f>
        <v>#N/A</v>
      </c>
    </row>
    <row r="4075" spans="7:8" ht="15" customHeight="1" x14ac:dyDescent="0.4">
      <c r="G4075" s="27">
        <f t="shared" si="73"/>
        <v>0</v>
      </c>
      <c r="H4075" s="28" t="e">
        <f>VLOOKUP(E4075,'Cadastro Produtos (kiwkiw)'!C:E,3,0)</f>
        <v>#N/A</v>
      </c>
    </row>
    <row r="4076" spans="7:8" ht="15" customHeight="1" x14ac:dyDescent="0.4">
      <c r="G4076" s="27">
        <f t="shared" si="73"/>
        <v>0</v>
      </c>
      <c r="H4076" s="28" t="e">
        <f>VLOOKUP(E4076,'Cadastro Produtos (kiwkiw)'!C:E,3,0)</f>
        <v>#N/A</v>
      </c>
    </row>
    <row r="4077" spans="7:8" ht="15" customHeight="1" x14ac:dyDescent="0.4">
      <c r="G4077" s="27">
        <f t="shared" si="73"/>
        <v>0</v>
      </c>
      <c r="H4077" s="28" t="e">
        <f>VLOOKUP(E4077,'Cadastro Produtos (kiwkiw)'!C:E,3,0)</f>
        <v>#N/A</v>
      </c>
    </row>
    <row r="4078" spans="7:8" ht="15" customHeight="1" x14ac:dyDescent="0.4">
      <c r="G4078" s="27">
        <f t="shared" si="73"/>
        <v>0</v>
      </c>
      <c r="H4078" s="28" t="e">
        <f>VLOOKUP(E4078,'Cadastro Produtos (kiwkiw)'!C:E,3,0)</f>
        <v>#N/A</v>
      </c>
    </row>
    <row r="4079" spans="7:8" ht="15" customHeight="1" x14ac:dyDescent="0.4">
      <c r="G4079" s="27">
        <f t="shared" si="73"/>
        <v>0</v>
      </c>
      <c r="H4079" s="28" t="e">
        <f>VLOOKUP(E4079,'Cadastro Produtos (kiwkiw)'!C:E,3,0)</f>
        <v>#N/A</v>
      </c>
    </row>
    <row r="4080" spans="7:8" ht="15" customHeight="1" x14ac:dyDescent="0.4">
      <c r="G4080" s="27">
        <f t="shared" si="73"/>
        <v>0</v>
      </c>
      <c r="H4080" s="28" t="e">
        <f>VLOOKUP(E4080,'Cadastro Produtos (kiwkiw)'!C:E,3,0)</f>
        <v>#N/A</v>
      </c>
    </row>
    <row r="4081" spans="7:8" ht="15" customHeight="1" x14ac:dyDescent="0.4">
      <c r="G4081" s="27">
        <f t="shared" si="73"/>
        <v>0</v>
      </c>
      <c r="H4081" s="28" t="e">
        <f>VLOOKUP(E4081,'Cadastro Produtos (kiwkiw)'!C:E,3,0)</f>
        <v>#N/A</v>
      </c>
    </row>
    <row r="4082" spans="7:8" ht="15" customHeight="1" x14ac:dyDescent="0.4">
      <c r="G4082" s="27">
        <f t="shared" si="73"/>
        <v>0</v>
      </c>
      <c r="H4082" s="28" t="e">
        <f>VLOOKUP(E4082,'Cadastro Produtos (kiwkiw)'!C:E,3,0)</f>
        <v>#N/A</v>
      </c>
    </row>
    <row r="4083" spans="7:8" ht="15" customHeight="1" x14ac:dyDescent="0.4">
      <c r="G4083" s="27">
        <f t="shared" si="73"/>
        <v>0</v>
      </c>
      <c r="H4083" s="28" t="e">
        <f>VLOOKUP(E4083,'Cadastro Produtos (kiwkiw)'!C:E,3,0)</f>
        <v>#N/A</v>
      </c>
    </row>
    <row r="4084" spans="7:8" ht="15" customHeight="1" x14ac:dyDescent="0.4">
      <c r="G4084" s="27">
        <f t="shared" si="73"/>
        <v>0</v>
      </c>
      <c r="H4084" s="28" t="e">
        <f>VLOOKUP(E4084,'Cadastro Produtos (kiwkiw)'!C:E,3,0)</f>
        <v>#N/A</v>
      </c>
    </row>
    <row r="4085" spans="7:8" ht="15" customHeight="1" x14ac:dyDescent="0.4">
      <c r="G4085" s="27">
        <f t="shared" si="73"/>
        <v>0</v>
      </c>
      <c r="H4085" s="28" t="e">
        <f>VLOOKUP(E4085,'Cadastro Produtos (kiwkiw)'!C:E,3,0)</f>
        <v>#N/A</v>
      </c>
    </row>
    <row r="4086" spans="7:8" ht="15" customHeight="1" x14ac:dyDescent="0.4">
      <c r="G4086" s="27">
        <f t="shared" si="73"/>
        <v>0</v>
      </c>
      <c r="H4086" s="28" t="e">
        <f>VLOOKUP(E4086,'Cadastro Produtos (kiwkiw)'!C:E,3,0)</f>
        <v>#N/A</v>
      </c>
    </row>
    <row r="4087" spans="7:8" ht="15" customHeight="1" x14ac:dyDescent="0.4">
      <c r="G4087" s="27">
        <f t="shared" si="73"/>
        <v>0</v>
      </c>
      <c r="H4087" s="28" t="e">
        <f>VLOOKUP(E4087,'Cadastro Produtos (kiwkiw)'!C:E,3,0)</f>
        <v>#N/A</v>
      </c>
    </row>
    <row r="4088" spans="7:8" ht="15" customHeight="1" x14ac:dyDescent="0.4">
      <c r="G4088" s="27">
        <f t="shared" si="73"/>
        <v>0</v>
      </c>
      <c r="H4088" s="28" t="e">
        <f>VLOOKUP(E4088,'Cadastro Produtos (kiwkiw)'!C:E,3,0)</f>
        <v>#N/A</v>
      </c>
    </row>
    <row r="4089" spans="7:8" ht="15" customHeight="1" x14ac:dyDescent="0.4">
      <c r="G4089" s="27">
        <f t="shared" si="73"/>
        <v>0</v>
      </c>
      <c r="H4089" s="28" t="e">
        <f>VLOOKUP(E4089,'Cadastro Produtos (kiwkiw)'!C:E,3,0)</f>
        <v>#N/A</v>
      </c>
    </row>
    <row r="4090" spans="7:8" ht="15" customHeight="1" x14ac:dyDescent="0.4">
      <c r="G4090" s="27">
        <f t="shared" si="73"/>
        <v>0</v>
      </c>
      <c r="H4090" s="28" t="e">
        <f>VLOOKUP(E4090,'Cadastro Produtos (kiwkiw)'!C:E,3,0)</f>
        <v>#N/A</v>
      </c>
    </row>
    <row r="4091" spans="7:8" ht="15" customHeight="1" x14ac:dyDescent="0.4">
      <c r="G4091" s="27">
        <f t="shared" si="73"/>
        <v>0</v>
      </c>
      <c r="H4091" s="28" t="e">
        <f>VLOOKUP(E4091,'Cadastro Produtos (kiwkiw)'!C:E,3,0)</f>
        <v>#N/A</v>
      </c>
    </row>
    <row r="4092" spans="7:8" ht="15" customHeight="1" x14ac:dyDescent="0.4">
      <c r="G4092" s="27">
        <f t="shared" si="73"/>
        <v>0</v>
      </c>
      <c r="H4092" s="28" t="e">
        <f>VLOOKUP(E4092,'Cadastro Produtos (kiwkiw)'!C:E,3,0)</f>
        <v>#N/A</v>
      </c>
    </row>
    <row r="4093" spans="7:8" ht="15" customHeight="1" x14ac:dyDescent="0.4">
      <c r="G4093" s="27">
        <f t="shared" si="73"/>
        <v>0</v>
      </c>
      <c r="H4093" s="28" t="e">
        <f>VLOOKUP(E4093,'Cadastro Produtos (kiwkiw)'!C:E,3,0)</f>
        <v>#N/A</v>
      </c>
    </row>
    <row r="4094" spans="7:8" ht="15" customHeight="1" x14ac:dyDescent="0.4">
      <c r="G4094" s="27">
        <f t="shared" si="73"/>
        <v>0</v>
      </c>
      <c r="H4094" s="28" t="e">
        <f>VLOOKUP(E4094,'Cadastro Produtos (kiwkiw)'!C:E,3,0)</f>
        <v>#N/A</v>
      </c>
    </row>
    <row r="4095" spans="7:8" ht="15" customHeight="1" x14ac:dyDescent="0.4">
      <c r="G4095" s="27">
        <f t="shared" si="73"/>
        <v>0</v>
      </c>
      <c r="H4095" s="28" t="e">
        <f>VLOOKUP(E4095,'Cadastro Produtos (kiwkiw)'!C:E,3,0)</f>
        <v>#N/A</v>
      </c>
    </row>
    <row r="4096" spans="7:8" ht="15" customHeight="1" x14ac:dyDescent="0.4">
      <c r="G4096" s="27">
        <f t="shared" si="73"/>
        <v>0</v>
      </c>
      <c r="H4096" s="28" t="e">
        <f>VLOOKUP(E4096,'Cadastro Produtos (kiwkiw)'!C:E,3,0)</f>
        <v>#N/A</v>
      </c>
    </row>
    <row r="4097" spans="7:8" ht="15" customHeight="1" x14ac:dyDescent="0.4">
      <c r="G4097" s="27">
        <f t="shared" si="73"/>
        <v>0</v>
      </c>
      <c r="H4097" s="28" t="e">
        <f>VLOOKUP(E4097,'Cadastro Produtos (kiwkiw)'!C:E,3,0)</f>
        <v>#N/A</v>
      </c>
    </row>
    <row r="4098" spans="7:8" ht="15" customHeight="1" x14ac:dyDescent="0.4">
      <c r="G4098" s="27">
        <f t="shared" si="73"/>
        <v>0</v>
      </c>
      <c r="H4098" s="28" t="e">
        <f>VLOOKUP(E4098,'Cadastro Produtos (kiwkiw)'!C:E,3,0)</f>
        <v>#N/A</v>
      </c>
    </row>
    <row r="4099" spans="7:8" ht="15" customHeight="1" x14ac:dyDescent="0.4">
      <c r="G4099" s="27">
        <f t="shared" si="73"/>
        <v>0</v>
      </c>
      <c r="H4099" s="28" t="e">
        <f>VLOOKUP(E4099,'Cadastro Produtos (kiwkiw)'!C:E,3,0)</f>
        <v>#N/A</v>
      </c>
    </row>
    <row r="4100" spans="7:8" ht="15" customHeight="1" x14ac:dyDescent="0.4">
      <c r="G4100" s="27">
        <f t="shared" si="73"/>
        <v>0</v>
      </c>
      <c r="H4100" s="28" t="e">
        <f>VLOOKUP(E4100,'Cadastro Produtos (kiwkiw)'!C:E,3,0)</f>
        <v>#N/A</v>
      </c>
    </row>
    <row r="4101" spans="7:8" ht="15" customHeight="1" x14ac:dyDescent="0.4">
      <c r="G4101" s="27">
        <f t="shared" si="73"/>
        <v>0</v>
      </c>
      <c r="H4101" s="28" t="e">
        <f>VLOOKUP(E4101,'Cadastro Produtos (kiwkiw)'!C:E,3,0)</f>
        <v>#N/A</v>
      </c>
    </row>
    <row r="4102" spans="7:8" ht="15" customHeight="1" x14ac:dyDescent="0.4">
      <c r="G4102" s="27">
        <f t="shared" si="73"/>
        <v>0</v>
      </c>
      <c r="H4102" s="28" t="e">
        <f>VLOOKUP(E4102,'Cadastro Produtos (kiwkiw)'!C:E,3,0)</f>
        <v>#N/A</v>
      </c>
    </row>
    <row r="4103" spans="7:8" ht="15" customHeight="1" x14ac:dyDescent="0.4">
      <c r="G4103" s="27">
        <f t="shared" si="73"/>
        <v>0</v>
      </c>
      <c r="H4103" s="28" t="e">
        <f>VLOOKUP(E4103,'Cadastro Produtos (kiwkiw)'!C:E,3,0)</f>
        <v>#N/A</v>
      </c>
    </row>
    <row r="4104" spans="7:8" ht="15" customHeight="1" x14ac:dyDescent="0.4">
      <c r="G4104" s="27">
        <f t="shared" si="73"/>
        <v>0</v>
      </c>
      <c r="H4104" s="28" t="e">
        <f>VLOOKUP(E4104,'Cadastro Produtos (kiwkiw)'!C:E,3,0)</f>
        <v>#N/A</v>
      </c>
    </row>
    <row r="4105" spans="7:8" ht="15" customHeight="1" x14ac:dyDescent="0.4">
      <c r="G4105" s="27">
        <f t="shared" si="73"/>
        <v>0</v>
      </c>
      <c r="H4105" s="28" t="e">
        <f>VLOOKUP(E4105,'Cadastro Produtos (kiwkiw)'!C:E,3,0)</f>
        <v>#N/A</v>
      </c>
    </row>
    <row r="4106" spans="7:8" ht="15" customHeight="1" x14ac:dyDescent="0.4">
      <c r="G4106" s="27">
        <f t="shared" si="73"/>
        <v>0</v>
      </c>
      <c r="H4106" s="28" t="e">
        <f>VLOOKUP(E4106,'Cadastro Produtos (kiwkiw)'!C:E,3,0)</f>
        <v>#N/A</v>
      </c>
    </row>
    <row r="4107" spans="7:8" ht="15" customHeight="1" x14ac:dyDescent="0.4">
      <c r="G4107" s="27">
        <f t="shared" si="73"/>
        <v>0</v>
      </c>
      <c r="H4107" s="28" t="e">
        <f>VLOOKUP(E4107,'Cadastro Produtos (kiwkiw)'!C:E,3,0)</f>
        <v>#N/A</v>
      </c>
    </row>
    <row r="4108" spans="7:8" ht="15" customHeight="1" x14ac:dyDescent="0.4">
      <c r="G4108" s="27">
        <f t="shared" si="73"/>
        <v>0</v>
      </c>
      <c r="H4108" s="28" t="e">
        <f>VLOOKUP(E4108,'Cadastro Produtos (kiwkiw)'!C:E,3,0)</f>
        <v>#N/A</v>
      </c>
    </row>
    <row r="4109" spans="7:8" ht="15" customHeight="1" x14ac:dyDescent="0.4">
      <c r="G4109" s="27">
        <f t="shared" si="73"/>
        <v>0</v>
      </c>
      <c r="H4109" s="28" t="e">
        <f>VLOOKUP(E4109,'Cadastro Produtos (kiwkiw)'!C:E,3,0)</f>
        <v>#N/A</v>
      </c>
    </row>
    <row r="4110" spans="7:8" ht="15" customHeight="1" x14ac:dyDescent="0.4">
      <c r="G4110" s="27">
        <f t="shared" si="73"/>
        <v>0</v>
      </c>
      <c r="H4110" s="28" t="e">
        <f>VLOOKUP(E4110,'Cadastro Produtos (kiwkiw)'!C:E,3,0)</f>
        <v>#N/A</v>
      </c>
    </row>
    <row r="4111" spans="7:8" ht="15" customHeight="1" x14ac:dyDescent="0.4">
      <c r="G4111" s="27">
        <f t="shared" si="73"/>
        <v>0</v>
      </c>
      <c r="H4111" s="28" t="e">
        <f>VLOOKUP(E4111,'Cadastro Produtos (kiwkiw)'!C:E,3,0)</f>
        <v>#N/A</v>
      </c>
    </row>
    <row r="4112" spans="7:8" ht="15" customHeight="1" x14ac:dyDescent="0.4">
      <c r="G4112" s="27">
        <f t="shared" si="73"/>
        <v>0</v>
      </c>
      <c r="H4112" s="28" t="e">
        <f>VLOOKUP(E4112,'Cadastro Produtos (kiwkiw)'!C:E,3,0)</f>
        <v>#N/A</v>
      </c>
    </row>
    <row r="4113" spans="7:8" ht="15" customHeight="1" x14ac:dyDescent="0.4">
      <c r="G4113" s="27">
        <f t="shared" si="73"/>
        <v>0</v>
      </c>
      <c r="H4113" s="28" t="e">
        <f>VLOOKUP(E4113,'Cadastro Produtos (kiwkiw)'!C:E,3,0)</f>
        <v>#N/A</v>
      </c>
    </row>
    <row r="4114" spans="7:8" ht="15" customHeight="1" x14ac:dyDescent="0.4">
      <c r="G4114" s="27">
        <f t="shared" si="73"/>
        <v>0</v>
      </c>
      <c r="H4114" s="28" t="e">
        <f>VLOOKUP(E4114,'Cadastro Produtos (kiwkiw)'!C:E,3,0)</f>
        <v>#N/A</v>
      </c>
    </row>
    <row r="4115" spans="7:8" ht="15" customHeight="1" x14ac:dyDescent="0.4">
      <c r="G4115" s="27">
        <f t="shared" si="73"/>
        <v>0</v>
      </c>
      <c r="H4115" s="28" t="e">
        <f>VLOOKUP(E4115,'Cadastro Produtos (kiwkiw)'!C:E,3,0)</f>
        <v>#N/A</v>
      </c>
    </row>
    <row r="4116" spans="7:8" ht="15" customHeight="1" x14ac:dyDescent="0.4">
      <c r="G4116" s="27">
        <f t="shared" si="73"/>
        <v>0</v>
      </c>
      <c r="H4116" s="28" t="e">
        <f>VLOOKUP(E4116,'Cadastro Produtos (kiwkiw)'!C:E,3,0)</f>
        <v>#N/A</v>
      </c>
    </row>
    <row r="4117" spans="7:8" ht="15" customHeight="1" x14ac:dyDescent="0.4">
      <c r="G4117" s="27">
        <f t="shared" si="73"/>
        <v>0</v>
      </c>
      <c r="H4117" s="28" t="e">
        <f>VLOOKUP(E4117,'Cadastro Produtos (kiwkiw)'!C:E,3,0)</f>
        <v>#N/A</v>
      </c>
    </row>
    <row r="4118" spans="7:8" ht="15" customHeight="1" x14ac:dyDescent="0.4">
      <c r="G4118" s="27">
        <f t="shared" si="73"/>
        <v>0</v>
      </c>
      <c r="H4118" s="28" t="e">
        <f>VLOOKUP(E4118,'Cadastro Produtos (kiwkiw)'!C:E,3,0)</f>
        <v>#N/A</v>
      </c>
    </row>
    <row r="4119" spans="7:8" ht="15" customHeight="1" x14ac:dyDescent="0.4">
      <c r="G4119" s="27">
        <f t="shared" si="73"/>
        <v>0</v>
      </c>
      <c r="H4119" s="28" t="e">
        <f>VLOOKUP(E4119,'Cadastro Produtos (kiwkiw)'!C:E,3,0)</f>
        <v>#N/A</v>
      </c>
    </row>
    <row r="4120" spans="7:8" ht="15" customHeight="1" x14ac:dyDescent="0.4">
      <c r="G4120" s="27">
        <f t="shared" si="73"/>
        <v>0</v>
      </c>
      <c r="H4120" s="28" t="e">
        <f>VLOOKUP(E4120,'Cadastro Produtos (kiwkiw)'!C:E,3,0)</f>
        <v>#N/A</v>
      </c>
    </row>
    <row r="4121" spans="7:8" ht="15" customHeight="1" x14ac:dyDescent="0.4">
      <c r="G4121" s="27">
        <f t="shared" si="73"/>
        <v>0</v>
      </c>
      <c r="H4121" s="28" t="e">
        <f>VLOOKUP(E4121,'Cadastro Produtos (kiwkiw)'!C:E,3,0)</f>
        <v>#N/A</v>
      </c>
    </row>
    <row r="4122" spans="7:8" ht="15" customHeight="1" x14ac:dyDescent="0.4">
      <c r="G4122" s="27">
        <f t="shared" si="73"/>
        <v>0</v>
      </c>
      <c r="H4122" s="28" t="e">
        <f>VLOOKUP(E4122,'Cadastro Produtos (kiwkiw)'!C:E,3,0)</f>
        <v>#N/A</v>
      </c>
    </row>
    <row r="4123" spans="7:8" ht="15" customHeight="1" x14ac:dyDescent="0.4">
      <c r="G4123" s="27">
        <f t="shared" si="73"/>
        <v>0</v>
      </c>
      <c r="H4123" s="28" t="e">
        <f>VLOOKUP(E4123,'Cadastro Produtos (kiwkiw)'!C:E,3,0)</f>
        <v>#N/A</v>
      </c>
    </row>
    <row r="4124" spans="7:8" ht="15" customHeight="1" x14ac:dyDescent="0.4">
      <c r="G4124" s="27">
        <f t="shared" si="73"/>
        <v>0</v>
      </c>
      <c r="H4124" s="28" t="e">
        <f>VLOOKUP(E4124,'Cadastro Produtos (kiwkiw)'!C:E,3,0)</f>
        <v>#N/A</v>
      </c>
    </row>
    <row r="4125" spans="7:8" ht="15" customHeight="1" x14ac:dyDescent="0.4">
      <c r="G4125" s="27">
        <f t="shared" si="73"/>
        <v>0</v>
      </c>
      <c r="H4125" s="28" t="e">
        <f>VLOOKUP(E4125,'Cadastro Produtos (kiwkiw)'!C:E,3,0)</f>
        <v>#N/A</v>
      </c>
    </row>
    <row r="4126" spans="7:8" ht="15" customHeight="1" x14ac:dyDescent="0.4">
      <c r="G4126" s="27">
        <f t="shared" si="73"/>
        <v>0</v>
      </c>
      <c r="H4126" s="28" t="e">
        <f>VLOOKUP(E4126,'Cadastro Produtos (kiwkiw)'!C:E,3,0)</f>
        <v>#N/A</v>
      </c>
    </row>
    <row r="4127" spans="7:8" ht="15" customHeight="1" x14ac:dyDescent="0.4">
      <c r="G4127" s="27">
        <f t="shared" si="73"/>
        <v>0</v>
      </c>
      <c r="H4127" s="28" t="e">
        <f>VLOOKUP(E4127,'Cadastro Produtos (kiwkiw)'!C:E,3,0)</f>
        <v>#N/A</v>
      </c>
    </row>
    <row r="4128" spans="7:8" ht="15" customHeight="1" x14ac:dyDescent="0.4">
      <c r="G4128" s="27">
        <f t="shared" si="73"/>
        <v>0</v>
      </c>
      <c r="H4128" s="28" t="e">
        <f>VLOOKUP(E4128,'Cadastro Produtos (kiwkiw)'!C:E,3,0)</f>
        <v>#N/A</v>
      </c>
    </row>
    <row r="4129" spans="7:8" ht="15" customHeight="1" x14ac:dyDescent="0.4">
      <c r="G4129" s="27">
        <f t="shared" si="73"/>
        <v>0</v>
      </c>
      <c r="H4129" s="28" t="e">
        <f>VLOOKUP(E4129,'Cadastro Produtos (kiwkiw)'!C:E,3,0)</f>
        <v>#N/A</v>
      </c>
    </row>
    <row r="4130" spans="7:8" ht="15" customHeight="1" x14ac:dyDescent="0.4">
      <c r="G4130" s="27">
        <f t="shared" si="73"/>
        <v>0</v>
      </c>
      <c r="H4130" s="28" t="e">
        <f>VLOOKUP(E4130,'Cadastro Produtos (kiwkiw)'!C:E,3,0)</f>
        <v>#N/A</v>
      </c>
    </row>
    <row r="4131" spans="7:8" ht="15" customHeight="1" x14ac:dyDescent="0.4">
      <c r="G4131" s="27">
        <f t="shared" si="73"/>
        <v>0</v>
      </c>
      <c r="H4131" s="28" t="e">
        <f>VLOOKUP(E4131,'Cadastro Produtos (kiwkiw)'!C:E,3,0)</f>
        <v>#N/A</v>
      </c>
    </row>
    <row r="4132" spans="7:8" ht="15" customHeight="1" x14ac:dyDescent="0.4">
      <c r="G4132" s="27">
        <f t="shared" si="73"/>
        <v>0</v>
      </c>
      <c r="H4132" s="28" t="e">
        <f>VLOOKUP(E4132,'Cadastro Produtos (kiwkiw)'!C:E,3,0)</f>
        <v>#N/A</v>
      </c>
    </row>
    <row r="4133" spans="7:8" ht="15" customHeight="1" x14ac:dyDescent="0.4">
      <c r="G4133" s="27">
        <f t="shared" si="73"/>
        <v>0</v>
      </c>
      <c r="H4133" s="28" t="e">
        <f>VLOOKUP(E4133,'Cadastro Produtos (kiwkiw)'!C:E,3,0)</f>
        <v>#N/A</v>
      </c>
    </row>
    <row r="4134" spans="7:8" ht="15" customHeight="1" x14ac:dyDescent="0.4">
      <c r="G4134" s="27">
        <f t="shared" si="73"/>
        <v>0</v>
      </c>
      <c r="H4134" s="28" t="e">
        <f>VLOOKUP(E4134,'Cadastro Produtos (kiwkiw)'!C:E,3,0)</f>
        <v>#N/A</v>
      </c>
    </row>
    <row r="4135" spans="7:8" ht="15" customHeight="1" x14ac:dyDescent="0.4">
      <c r="G4135" s="27">
        <f t="shared" si="73"/>
        <v>0</v>
      </c>
      <c r="H4135" s="28" t="e">
        <f>VLOOKUP(E4135,'Cadastro Produtos (kiwkiw)'!C:E,3,0)</f>
        <v>#N/A</v>
      </c>
    </row>
    <row r="4136" spans="7:8" ht="15" customHeight="1" x14ac:dyDescent="0.4">
      <c r="G4136" s="27">
        <f t="shared" si="73"/>
        <v>0</v>
      </c>
      <c r="H4136" s="28" t="e">
        <f>VLOOKUP(E4136,'Cadastro Produtos (kiwkiw)'!C:E,3,0)</f>
        <v>#N/A</v>
      </c>
    </row>
    <row r="4137" spans="7:8" ht="15" customHeight="1" x14ac:dyDescent="0.4">
      <c r="G4137" s="27">
        <f t="shared" si="73"/>
        <v>0</v>
      </c>
      <c r="H4137" s="28" t="e">
        <f>VLOOKUP(E4137,'Cadastro Produtos (kiwkiw)'!C:E,3,0)</f>
        <v>#N/A</v>
      </c>
    </row>
    <row r="4138" spans="7:8" ht="15" customHeight="1" x14ac:dyDescent="0.4">
      <c r="G4138" s="27">
        <f t="shared" ref="G4138:G4169" si="74">IF(C4138="Entrada",F4138,-F4138)</f>
        <v>0</v>
      </c>
      <c r="H4138" s="28" t="e">
        <f>VLOOKUP(E4138,'Cadastro Produtos (kiwkiw)'!C:E,3,0)</f>
        <v>#N/A</v>
      </c>
    </row>
    <row r="4139" spans="7:8" ht="15" customHeight="1" x14ac:dyDescent="0.4">
      <c r="G4139" s="27">
        <f t="shared" si="74"/>
        <v>0</v>
      </c>
      <c r="H4139" s="28" t="e">
        <f>VLOOKUP(E4139,'Cadastro Produtos (kiwkiw)'!C:E,3,0)</f>
        <v>#N/A</v>
      </c>
    </row>
    <row r="4140" spans="7:8" ht="15" customHeight="1" x14ac:dyDescent="0.4">
      <c r="G4140" s="27">
        <f t="shared" si="74"/>
        <v>0</v>
      </c>
      <c r="H4140" s="28" t="e">
        <f>VLOOKUP(E4140,'Cadastro Produtos (kiwkiw)'!C:E,3,0)</f>
        <v>#N/A</v>
      </c>
    </row>
    <row r="4141" spans="7:8" ht="15" customHeight="1" x14ac:dyDescent="0.4">
      <c r="G4141" s="27">
        <f t="shared" si="74"/>
        <v>0</v>
      </c>
      <c r="H4141" s="28" t="e">
        <f>VLOOKUP(E4141,'Cadastro Produtos (kiwkiw)'!C:E,3,0)</f>
        <v>#N/A</v>
      </c>
    </row>
    <row r="4142" spans="7:8" ht="15" customHeight="1" x14ac:dyDescent="0.4">
      <c r="G4142" s="27">
        <f t="shared" si="74"/>
        <v>0</v>
      </c>
      <c r="H4142" s="28" t="e">
        <f>VLOOKUP(E4142,'Cadastro Produtos (kiwkiw)'!C:E,3,0)</f>
        <v>#N/A</v>
      </c>
    </row>
    <row r="4143" spans="7:8" ht="15" customHeight="1" x14ac:dyDescent="0.4">
      <c r="G4143" s="27">
        <f t="shared" si="74"/>
        <v>0</v>
      </c>
      <c r="H4143" s="28" t="e">
        <f>VLOOKUP(E4143,'Cadastro Produtos (kiwkiw)'!C:E,3,0)</f>
        <v>#N/A</v>
      </c>
    </row>
    <row r="4144" spans="7:8" ht="15" customHeight="1" x14ac:dyDescent="0.4">
      <c r="G4144" s="27">
        <f t="shared" si="74"/>
        <v>0</v>
      </c>
      <c r="H4144" s="28" t="e">
        <f>VLOOKUP(E4144,'Cadastro Produtos (kiwkiw)'!C:E,3,0)</f>
        <v>#N/A</v>
      </c>
    </row>
    <row r="4145" spans="7:8" ht="15" customHeight="1" x14ac:dyDescent="0.4">
      <c r="G4145" s="27">
        <f t="shared" si="74"/>
        <v>0</v>
      </c>
      <c r="H4145" s="28" t="e">
        <f>VLOOKUP(E4145,'Cadastro Produtos (kiwkiw)'!C:E,3,0)</f>
        <v>#N/A</v>
      </c>
    </row>
    <row r="4146" spans="7:8" ht="15" customHeight="1" x14ac:dyDescent="0.4">
      <c r="G4146" s="27">
        <f t="shared" si="74"/>
        <v>0</v>
      </c>
      <c r="H4146" s="28" t="e">
        <f>VLOOKUP(E4146,'Cadastro Produtos (kiwkiw)'!C:E,3,0)</f>
        <v>#N/A</v>
      </c>
    </row>
    <row r="4147" spans="7:8" ht="15" customHeight="1" x14ac:dyDescent="0.4">
      <c r="G4147" s="27">
        <f t="shared" si="74"/>
        <v>0</v>
      </c>
      <c r="H4147" s="28" t="e">
        <f>VLOOKUP(E4147,'Cadastro Produtos (kiwkiw)'!C:E,3,0)</f>
        <v>#N/A</v>
      </c>
    </row>
    <row r="4148" spans="7:8" ht="15" customHeight="1" x14ac:dyDescent="0.4">
      <c r="G4148" s="27">
        <f t="shared" si="74"/>
        <v>0</v>
      </c>
      <c r="H4148" s="28" t="e">
        <f>VLOOKUP(E4148,'Cadastro Produtos (kiwkiw)'!C:E,3,0)</f>
        <v>#N/A</v>
      </c>
    </row>
    <row r="4149" spans="7:8" ht="15" customHeight="1" x14ac:dyDescent="0.4">
      <c r="G4149" s="27">
        <f t="shared" si="74"/>
        <v>0</v>
      </c>
      <c r="H4149" s="28" t="e">
        <f>VLOOKUP(E4149,'Cadastro Produtos (kiwkiw)'!C:E,3,0)</f>
        <v>#N/A</v>
      </c>
    </row>
    <row r="4150" spans="7:8" ht="15" customHeight="1" x14ac:dyDescent="0.4">
      <c r="G4150" s="27">
        <f t="shared" si="74"/>
        <v>0</v>
      </c>
      <c r="H4150" s="28" t="e">
        <f>VLOOKUP(E4150,'Cadastro Produtos (kiwkiw)'!C:E,3,0)</f>
        <v>#N/A</v>
      </c>
    </row>
    <row r="4151" spans="7:8" ht="15" customHeight="1" x14ac:dyDescent="0.4">
      <c r="G4151" s="27">
        <f t="shared" si="74"/>
        <v>0</v>
      </c>
      <c r="H4151" s="28" t="e">
        <f>VLOOKUP(E4151,'Cadastro Produtos (kiwkiw)'!C:E,3,0)</f>
        <v>#N/A</v>
      </c>
    </row>
    <row r="4152" spans="7:8" ht="15" customHeight="1" x14ac:dyDescent="0.4">
      <c r="G4152" s="27">
        <f t="shared" si="74"/>
        <v>0</v>
      </c>
      <c r="H4152" s="28" t="e">
        <f>VLOOKUP(E4152,'Cadastro Produtos (kiwkiw)'!C:E,3,0)</f>
        <v>#N/A</v>
      </c>
    </row>
    <row r="4153" spans="7:8" ht="15" customHeight="1" x14ac:dyDescent="0.4">
      <c r="G4153" s="27">
        <f t="shared" si="74"/>
        <v>0</v>
      </c>
      <c r="H4153" s="28" t="e">
        <f>VLOOKUP(E4153,'Cadastro Produtos (kiwkiw)'!C:E,3,0)</f>
        <v>#N/A</v>
      </c>
    </row>
    <row r="4154" spans="7:8" ht="15" customHeight="1" x14ac:dyDescent="0.4">
      <c r="G4154" s="27">
        <f t="shared" si="74"/>
        <v>0</v>
      </c>
      <c r="H4154" s="28" t="e">
        <f>VLOOKUP(E4154,'Cadastro Produtos (kiwkiw)'!C:E,3,0)</f>
        <v>#N/A</v>
      </c>
    </row>
    <row r="4155" spans="7:8" ht="15" customHeight="1" x14ac:dyDescent="0.4">
      <c r="G4155" s="27">
        <f t="shared" si="74"/>
        <v>0</v>
      </c>
      <c r="H4155" s="28" t="e">
        <f>VLOOKUP(E4155,'Cadastro Produtos (kiwkiw)'!C:E,3,0)</f>
        <v>#N/A</v>
      </c>
    </row>
    <row r="4156" spans="7:8" ht="15" customHeight="1" x14ac:dyDescent="0.4">
      <c r="G4156" s="27">
        <f t="shared" si="74"/>
        <v>0</v>
      </c>
      <c r="H4156" s="28" t="e">
        <f>VLOOKUP(E4156,'Cadastro Produtos (kiwkiw)'!C:E,3,0)</f>
        <v>#N/A</v>
      </c>
    </row>
    <row r="4157" spans="7:8" ht="15" customHeight="1" x14ac:dyDescent="0.4">
      <c r="G4157" s="27">
        <f t="shared" si="74"/>
        <v>0</v>
      </c>
      <c r="H4157" s="28" t="e">
        <f>VLOOKUP(E4157,'Cadastro Produtos (kiwkiw)'!C:E,3,0)</f>
        <v>#N/A</v>
      </c>
    </row>
    <row r="4158" spans="7:8" ht="15" customHeight="1" x14ac:dyDescent="0.4">
      <c r="G4158" s="27">
        <f t="shared" si="74"/>
        <v>0</v>
      </c>
      <c r="H4158" s="28" t="e">
        <f>VLOOKUP(E4158,'Cadastro Produtos (kiwkiw)'!C:E,3,0)</f>
        <v>#N/A</v>
      </c>
    </row>
    <row r="4159" spans="7:8" ht="15" customHeight="1" x14ac:dyDescent="0.4">
      <c r="G4159" s="27">
        <f t="shared" si="74"/>
        <v>0</v>
      </c>
      <c r="H4159" s="28" t="e">
        <f>VLOOKUP(E4159,'Cadastro Produtos (kiwkiw)'!C:E,3,0)</f>
        <v>#N/A</v>
      </c>
    </row>
    <row r="4160" spans="7:8" ht="15" customHeight="1" x14ac:dyDescent="0.4">
      <c r="G4160" s="27">
        <f t="shared" si="74"/>
        <v>0</v>
      </c>
      <c r="H4160" s="28" t="e">
        <f>VLOOKUP(E4160,'Cadastro Produtos (kiwkiw)'!C:E,3,0)</f>
        <v>#N/A</v>
      </c>
    </row>
    <row r="4161" spans="2:8" ht="15" customHeight="1" x14ac:dyDescent="0.4">
      <c r="G4161" s="27">
        <f t="shared" si="74"/>
        <v>0</v>
      </c>
      <c r="H4161" s="28" t="e">
        <f>VLOOKUP(E4161,'Cadastro Produtos (kiwkiw)'!C:E,3,0)</f>
        <v>#N/A</v>
      </c>
    </row>
    <row r="4162" spans="2:8" ht="15" customHeight="1" x14ac:dyDescent="0.4">
      <c r="G4162" s="27">
        <f t="shared" si="74"/>
        <v>0</v>
      </c>
      <c r="H4162" s="28" t="e">
        <f>VLOOKUP(E4162,'Cadastro Produtos (kiwkiw)'!C:E,3,0)</f>
        <v>#N/A</v>
      </c>
    </row>
    <row r="4163" spans="2:8" ht="15" customHeight="1" x14ac:dyDescent="0.4">
      <c r="G4163" s="27">
        <f t="shared" si="74"/>
        <v>0</v>
      </c>
      <c r="H4163" s="28" t="e">
        <f>VLOOKUP(E4163,'Cadastro Produtos (kiwkiw)'!C:E,3,0)</f>
        <v>#N/A</v>
      </c>
    </row>
    <row r="4164" spans="2:8" ht="15" customHeight="1" x14ac:dyDescent="0.4">
      <c r="G4164" s="27">
        <f t="shared" si="74"/>
        <v>0</v>
      </c>
      <c r="H4164" s="28" t="e">
        <f>VLOOKUP(E4164,'Cadastro Produtos (kiwkiw)'!C:E,3,0)</f>
        <v>#N/A</v>
      </c>
    </row>
    <row r="4165" spans="2:8" ht="15" customHeight="1" x14ac:dyDescent="0.4">
      <c r="G4165" s="27">
        <f t="shared" si="74"/>
        <v>0</v>
      </c>
      <c r="H4165" s="28" t="e">
        <f>VLOOKUP(E4165,'Cadastro Produtos (kiwkiw)'!C:E,3,0)</f>
        <v>#N/A</v>
      </c>
    </row>
    <row r="4166" spans="2:8" ht="15" customHeight="1" x14ac:dyDescent="0.4">
      <c r="G4166" s="27">
        <f t="shared" si="74"/>
        <v>0</v>
      </c>
      <c r="H4166" s="28" t="e">
        <f>VLOOKUP(E4166,'Cadastro Produtos (kiwkiw)'!C:E,3,0)</f>
        <v>#N/A</v>
      </c>
    </row>
    <row r="4167" spans="2:8" ht="15" customHeight="1" x14ac:dyDescent="0.4">
      <c r="G4167" s="27">
        <f t="shared" si="74"/>
        <v>0</v>
      </c>
      <c r="H4167" s="28" t="e">
        <f>VLOOKUP(E4167,'Cadastro Produtos (kiwkiw)'!C:E,3,0)</f>
        <v>#N/A</v>
      </c>
    </row>
    <row r="4168" spans="2:8" ht="15" customHeight="1" x14ac:dyDescent="0.4">
      <c r="G4168" s="27">
        <f t="shared" si="74"/>
        <v>0</v>
      </c>
      <c r="H4168" s="28" t="e">
        <f>VLOOKUP(E4168,'Cadastro Produtos (kiwkiw)'!C:E,3,0)</f>
        <v>#N/A</v>
      </c>
    </row>
    <row r="4169" spans="2:8" ht="15" customHeight="1" x14ac:dyDescent="0.4">
      <c r="G4169" s="27">
        <f t="shared" si="74"/>
        <v>0</v>
      </c>
      <c r="H4169" s="28" t="e">
        <f>VLOOKUP(E4169,'Cadastro Produtos (kiwkiw)'!C:E,3,0)</f>
        <v>#N/A</v>
      </c>
    </row>
    <row r="4170" spans="2:8" ht="15" customHeight="1" x14ac:dyDescent="0.4">
      <c r="B4170" s="43"/>
      <c r="G4170" s="27">
        <f t="shared" ref="G4170:G4233" si="75">IF(C4170="Entrada",F4170,-F4170)</f>
        <v>0</v>
      </c>
      <c r="H4170" s="28" t="e">
        <f>VLOOKUP(E4170,'Cadastro Produtos (kiwkiw)'!C:E,3,0)</f>
        <v>#N/A</v>
      </c>
    </row>
    <row r="4171" spans="2:8" ht="15" customHeight="1" x14ac:dyDescent="0.4">
      <c r="G4171" s="27">
        <f t="shared" si="75"/>
        <v>0</v>
      </c>
      <c r="H4171" s="28" t="e">
        <f>VLOOKUP(E4171,'Cadastro Produtos (kiwkiw)'!C:E,3,0)</f>
        <v>#N/A</v>
      </c>
    </row>
    <row r="4172" spans="2:8" ht="15" customHeight="1" x14ac:dyDescent="0.4">
      <c r="G4172" s="27">
        <f t="shared" si="75"/>
        <v>0</v>
      </c>
      <c r="H4172" s="28" t="e">
        <f>VLOOKUP(E4172,'Cadastro Produtos (kiwkiw)'!C:E,3,0)</f>
        <v>#N/A</v>
      </c>
    </row>
    <row r="4173" spans="2:8" ht="15" customHeight="1" x14ac:dyDescent="0.4">
      <c r="G4173" s="27">
        <f t="shared" si="75"/>
        <v>0</v>
      </c>
      <c r="H4173" s="28" t="e">
        <f>VLOOKUP(E4173,'Cadastro Produtos (kiwkiw)'!C:E,3,0)</f>
        <v>#N/A</v>
      </c>
    </row>
    <row r="4174" spans="2:8" ht="15" customHeight="1" x14ac:dyDescent="0.4">
      <c r="G4174" s="27">
        <f t="shared" si="75"/>
        <v>0</v>
      </c>
      <c r="H4174" s="28" t="e">
        <f>VLOOKUP(E4174,'Cadastro Produtos (kiwkiw)'!C:E,3,0)</f>
        <v>#N/A</v>
      </c>
    </row>
    <row r="4175" spans="2:8" ht="15" customHeight="1" x14ac:dyDescent="0.4">
      <c r="G4175" s="27">
        <f t="shared" si="75"/>
        <v>0</v>
      </c>
      <c r="H4175" s="28" t="e">
        <f>VLOOKUP(E4175,'Cadastro Produtos (kiwkiw)'!C:E,3,0)</f>
        <v>#N/A</v>
      </c>
    </row>
    <row r="4176" spans="2:8" ht="15" customHeight="1" x14ac:dyDescent="0.4">
      <c r="G4176" s="27">
        <f t="shared" si="75"/>
        <v>0</v>
      </c>
      <c r="H4176" s="28" t="e">
        <f>VLOOKUP(E4176,'Cadastro Produtos (kiwkiw)'!C:E,3,0)</f>
        <v>#N/A</v>
      </c>
    </row>
    <row r="4177" spans="7:8" ht="15" customHeight="1" x14ac:dyDescent="0.4">
      <c r="G4177" s="27">
        <f t="shared" si="75"/>
        <v>0</v>
      </c>
      <c r="H4177" s="28" t="e">
        <f>VLOOKUP(E4177,'Cadastro Produtos (kiwkiw)'!C:E,3,0)</f>
        <v>#N/A</v>
      </c>
    </row>
    <row r="4178" spans="7:8" ht="15" customHeight="1" x14ac:dyDescent="0.4">
      <c r="G4178" s="27">
        <f t="shared" si="75"/>
        <v>0</v>
      </c>
      <c r="H4178" s="28" t="e">
        <f>VLOOKUP(E4178,'Cadastro Produtos (kiwkiw)'!C:E,3,0)</f>
        <v>#N/A</v>
      </c>
    </row>
    <row r="4179" spans="7:8" ht="15" customHeight="1" x14ac:dyDescent="0.4">
      <c r="G4179" s="27">
        <f t="shared" si="75"/>
        <v>0</v>
      </c>
      <c r="H4179" s="28" t="e">
        <f>VLOOKUP(E4179,'Cadastro Produtos (kiwkiw)'!C:E,3,0)</f>
        <v>#N/A</v>
      </c>
    </row>
    <row r="4180" spans="7:8" ht="15" customHeight="1" x14ac:dyDescent="0.4">
      <c r="G4180" s="27">
        <f t="shared" si="75"/>
        <v>0</v>
      </c>
      <c r="H4180" s="28" t="e">
        <f>VLOOKUP(E4180,'Cadastro Produtos (kiwkiw)'!C:E,3,0)</f>
        <v>#N/A</v>
      </c>
    </row>
    <row r="4181" spans="7:8" ht="15" customHeight="1" x14ac:dyDescent="0.4">
      <c r="G4181" s="27">
        <f t="shared" si="75"/>
        <v>0</v>
      </c>
      <c r="H4181" s="28" t="e">
        <f>VLOOKUP(E4181,'Cadastro Produtos (kiwkiw)'!C:E,3,0)</f>
        <v>#N/A</v>
      </c>
    </row>
    <row r="4182" spans="7:8" ht="15" customHeight="1" x14ac:dyDescent="0.4">
      <c r="G4182" s="27">
        <f t="shared" si="75"/>
        <v>0</v>
      </c>
      <c r="H4182" s="28" t="e">
        <f>VLOOKUP(E4182,'Cadastro Produtos (kiwkiw)'!C:E,3,0)</f>
        <v>#N/A</v>
      </c>
    </row>
    <row r="4183" spans="7:8" ht="15" customHeight="1" x14ac:dyDescent="0.4">
      <c r="G4183" s="27">
        <f t="shared" si="75"/>
        <v>0</v>
      </c>
      <c r="H4183" s="28" t="e">
        <f>VLOOKUP(E4183,'Cadastro Produtos (kiwkiw)'!C:E,3,0)</f>
        <v>#N/A</v>
      </c>
    </row>
    <row r="4184" spans="7:8" ht="15" customHeight="1" x14ac:dyDescent="0.4">
      <c r="G4184" s="27">
        <f t="shared" si="75"/>
        <v>0</v>
      </c>
      <c r="H4184" s="28" t="e">
        <f>VLOOKUP(E4184,'Cadastro Produtos (kiwkiw)'!C:E,3,0)</f>
        <v>#N/A</v>
      </c>
    </row>
    <row r="4185" spans="7:8" ht="15" customHeight="1" x14ac:dyDescent="0.4">
      <c r="G4185" s="27">
        <f t="shared" si="75"/>
        <v>0</v>
      </c>
      <c r="H4185" s="28" t="e">
        <f>VLOOKUP(E4185,'Cadastro Produtos (kiwkiw)'!C:E,3,0)</f>
        <v>#N/A</v>
      </c>
    </row>
    <row r="4186" spans="7:8" ht="15" customHeight="1" x14ac:dyDescent="0.4">
      <c r="G4186" s="27">
        <f t="shared" si="75"/>
        <v>0</v>
      </c>
      <c r="H4186" s="28" t="e">
        <f>VLOOKUP(E4186,'Cadastro Produtos (kiwkiw)'!C:E,3,0)</f>
        <v>#N/A</v>
      </c>
    </row>
    <row r="4187" spans="7:8" ht="15" customHeight="1" x14ac:dyDescent="0.4">
      <c r="G4187" s="27">
        <f t="shared" si="75"/>
        <v>0</v>
      </c>
      <c r="H4187" s="28" t="e">
        <f>VLOOKUP(E4187,'Cadastro Produtos (kiwkiw)'!C:E,3,0)</f>
        <v>#N/A</v>
      </c>
    </row>
    <row r="4188" spans="7:8" ht="15" customHeight="1" x14ac:dyDescent="0.4">
      <c r="G4188" s="27">
        <f t="shared" si="75"/>
        <v>0</v>
      </c>
      <c r="H4188" s="28" t="e">
        <f>VLOOKUP(E4188,'Cadastro Produtos (kiwkiw)'!C:E,3,0)</f>
        <v>#N/A</v>
      </c>
    </row>
    <row r="4189" spans="7:8" ht="15" customHeight="1" x14ac:dyDescent="0.4">
      <c r="G4189" s="27">
        <f t="shared" si="75"/>
        <v>0</v>
      </c>
      <c r="H4189" s="28" t="e">
        <f>VLOOKUP(E4189,'Cadastro Produtos (kiwkiw)'!C:E,3,0)</f>
        <v>#N/A</v>
      </c>
    </row>
    <row r="4190" spans="7:8" ht="15" customHeight="1" x14ac:dyDescent="0.4">
      <c r="G4190" s="27">
        <f t="shared" si="75"/>
        <v>0</v>
      </c>
      <c r="H4190" s="28" t="e">
        <f>VLOOKUP(E4190,'Cadastro Produtos (kiwkiw)'!C:E,3,0)</f>
        <v>#N/A</v>
      </c>
    </row>
    <row r="4191" spans="7:8" ht="15" customHeight="1" x14ac:dyDescent="0.4">
      <c r="G4191" s="27">
        <f t="shared" si="75"/>
        <v>0</v>
      </c>
      <c r="H4191" s="28" t="e">
        <f>VLOOKUP(E4191,'Cadastro Produtos (kiwkiw)'!C:E,3,0)</f>
        <v>#N/A</v>
      </c>
    </row>
    <row r="4192" spans="7:8" ht="15" customHeight="1" x14ac:dyDescent="0.4">
      <c r="G4192" s="27">
        <f t="shared" si="75"/>
        <v>0</v>
      </c>
      <c r="H4192" s="28" t="e">
        <f>VLOOKUP(E4192,'Cadastro Produtos (kiwkiw)'!C:E,3,0)</f>
        <v>#N/A</v>
      </c>
    </row>
    <row r="4193" spans="7:8" ht="15" customHeight="1" x14ac:dyDescent="0.4">
      <c r="G4193" s="27">
        <f t="shared" si="75"/>
        <v>0</v>
      </c>
      <c r="H4193" s="28" t="e">
        <f>VLOOKUP(E4193,'Cadastro Produtos (kiwkiw)'!C:E,3,0)</f>
        <v>#N/A</v>
      </c>
    </row>
    <row r="4194" spans="7:8" ht="15" customHeight="1" x14ac:dyDescent="0.4">
      <c r="G4194" s="27">
        <f t="shared" si="75"/>
        <v>0</v>
      </c>
      <c r="H4194" s="28" t="e">
        <f>VLOOKUP(E4194,'Cadastro Produtos (kiwkiw)'!C:E,3,0)</f>
        <v>#N/A</v>
      </c>
    </row>
    <row r="4195" spans="7:8" ht="15" customHeight="1" x14ac:dyDescent="0.4">
      <c r="G4195" s="27">
        <f t="shared" si="75"/>
        <v>0</v>
      </c>
      <c r="H4195" s="28" t="e">
        <f>VLOOKUP(E4195,'Cadastro Produtos (kiwkiw)'!C:E,3,0)</f>
        <v>#N/A</v>
      </c>
    </row>
    <row r="4196" spans="7:8" ht="15" customHeight="1" x14ac:dyDescent="0.4">
      <c r="G4196" s="27">
        <f t="shared" si="75"/>
        <v>0</v>
      </c>
      <c r="H4196" s="28" t="e">
        <f>VLOOKUP(E4196,'Cadastro Produtos (kiwkiw)'!C:E,3,0)</f>
        <v>#N/A</v>
      </c>
    </row>
    <row r="4197" spans="7:8" ht="15" customHeight="1" x14ac:dyDescent="0.4">
      <c r="G4197" s="27">
        <f t="shared" si="75"/>
        <v>0</v>
      </c>
      <c r="H4197" s="28" t="e">
        <f>VLOOKUP(E4197,'Cadastro Produtos (kiwkiw)'!C:E,3,0)</f>
        <v>#N/A</v>
      </c>
    </row>
    <row r="4198" spans="7:8" ht="15" customHeight="1" x14ac:dyDescent="0.4">
      <c r="G4198" s="27">
        <f t="shared" si="75"/>
        <v>0</v>
      </c>
      <c r="H4198" s="28" t="e">
        <f>VLOOKUP(E4198,'Cadastro Produtos (kiwkiw)'!C:E,3,0)</f>
        <v>#N/A</v>
      </c>
    </row>
    <row r="4199" spans="7:8" ht="15" customHeight="1" x14ac:dyDescent="0.4">
      <c r="G4199" s="27">
        <f t="shared" si="75"/>
        <v>0</v>
      </c>
      <c r="H4199" s="28" t="e">
        <f>VLOOKUP(E4199,'Cadastro Produtos (kiwkiw)'!C:E,3,0)</f>
        <v>#N/A</v>
      </c>
    </row>
    <row r="4200" spans="7:8" ht="15" customHeight="1" x14ac:dyDescent="0.4">
      <c r="G4200" s="27">
        <f t="shared" si="75"/>
        <v>0</v>
      </c>
      <c r="H4200" s="28" t="e">
        <f>VLOOKUP(E4200,'Cadastro Produtos (kiwkiw)'!C:E,3,0)</f>
        <v>#N/A</v>
      </c>
    </row>
    <row r="4201" spans="7:8" ht="15" customHeight="1" x14ac:dyDescent="0.4">
      <c r="G4201" s="27">
        <f t="shared" si="75"/>
        <v>0</v>
      </c>
      <c r="H4201" s="28" t="e">
        <f>VLOOKUP(E4201,'Cadastro Produtos (kiwkiw)'!C:E,3,0)</f>
        <v>#N/A</v>
      </c>
    </row>
    <row r="4202" spans="7:8" ht="15" customHeight="1" x14ac:dyDescent="0.4">
      <c r="G4202" s="27">
        <f t="shared" si="75"/>
        <v>0</v>
      </c>
      <c r="H4202" s="28" t="e">
        <f>VLOOKUP(E4202,'Cadastro Produtos (kiwkiw)'!C:E,3,0)</f>
        <v>#N/A</v>
      </c>
    </row>
    <row r="4203" spans="7:8" ht="15" customHeight="1" x14ac:dyDescent="0.4">
      <c r="G4203" s="27">
        <f t="shared" si="75"/>
        <v>0</v>
      </c>
      <c r="H4203" s="28" t="e">
        <f>VLOOKUP(E4203,'Cadastro Produtos (kiwkiw)'!C:E,3,0)</f>
        <v>#N/A</v>
      </c>
    </row>
    <row r="4204" spans="7:8" ht="15" customHeight="1" x14ac:dyDescent="0.4">
      <c r="G4204" s="27">
        <f t="shared" si="75"/>
        <v>0</v>
      </c>
      <c r="H4204" s="28" t="e">
        <f>VLOOKUP(E4204,'Cadastro Produtos (kiwkiw)'!C:E,3,0)</f>
        <v>#N/A</v>
      </c>
    </row>
    <row r="4205" spans="7:8" ht="15" customHeight="1" x14ac:dyDescent="0.4">
      <c r="G4205" s="27">
        <f t="shared" si="75"/>
        <v>0</v>
      </c>
      <c r="H4205" s="28" t="e">
        <f>VLOOKUP(E4205,'Cadastro Produtos (kiwkiw)'!C:E,3,0)</f>
        <v>#N/A</v>
      </c>
    </row>
    <row r="4206" spans="7:8" ht="15" customHeight="1" x14ac:dyDescent="0.4">
      <c r="G4206" s="27">
        <f t="shared" si="75"/>
        <v>0</v>
      </c>
      <c r="H4206" s="28" t="e">
        <f>VLOOKUP(E4206,'Cadastro Produtos (kiwkiw)'!C:E,3,0)</f>
        <v>#N/A</v>
      </c>
    </row>
    <row r="4207" spans="7:8" ht="15" customHeight="1" x14ac:dyDescent="0.4">
      <c r="G4207" s="27">
        <f t="shared" si="75"/>
        <v>0</v>
      </c>
      <c r="H4207" s="28" t="e">
        <f>VLOOKUP(E4207,'Cadastro Produtos (kiwkiw)'!C:E,3,0)</f>
        <v>#N/A</v>
      </c>
    </row>
    <row r="4208" spans="7:8" ht="15" customHeight="1" x14ac:dyDescent="0.4">
      <c r="G4208" s="27">
        <f t="shared" si="75"/>
        <v>0</v>
      </c>
      <c r="H4208" s="28" t="e">
        <f>VLOOKUP(E4208,'Cadastro Produtos (kiwkiw)'!C:E,3,0)</f>
        <v>#N/A</v>
      </c>
    </row>
    <row r="4209" spans="7:8" ht="15" customHeight="1" x14ac:dyDescent="0.4">
      <c r="G4209" s="27">
        <f t="shared" si="75"/>
        <v>0</v>
      </c>
      <c r="H4209" s="28" t="e">
        <f>VLOOKUP(E4209,'Cadastro Produtos (kiwkiw)'!C:E,3,0)</f>
        <v>#N/A</v>
      </c>
    </row>
    <row r="4210" spans="7:8" ht="15" customHeight="1" x14ac:dyDescent="0.4">
      <c r="G4210" s="27">
        <f t="shared" si="75"/>
        <v>0</v>
      </c>
      <c r="H4210" s="28" t="e">
        <f>VLOOKUP(E4210,'Cadastro Produtos (kiwkiw)'!C:E,3,0)</f>
        <v>#N/A</v>
      </c>
    </row>
    <row r="4211" spans="7:8" ht="15" customHeight="1" x14ac:dyDescent="0.4">
      <c r="G4211" s="27">
        <f t="shared" si="75"/>
        <v>0</v>
      </c>
      <c r="H4211" s="28" t="e">
        <f>VLOOKUP(E4211,'Cadastro Produtos (kiwkiw)'!C:E,3,0)</f>
        <v>#N/A</v>
      </c>
    </row>
    <row r="4212" spans="7:8" ht="15" customHeight="1" x14ac:dyDescent="0.4">
      <c r="G4212" s="27">
        <f t="shared" si="75"/>
        <v>0</v>
      </c>
      <c r="H4212" s="28" t="e">
        <f>VLOOKUP(E4212,'Cadastro Produtos (kiwkiw)'!C:E,3,0)</f>
        <v>#N/A</v>
      </c>
    </row>
    <row r="4213" spans="7:8" ht="15" customHeight="1" x14ac:dyDescent="0.4">
      <c r="G4213" s="27">
        <f t="shared" si="75"/>
        <v>0</v>
      </c>
      <c r="H4213" s="28" t="e">
        <f>VLOOKUP(E4213,'Cadastro Produtos (kiwkiw)'!C:E,3,0)</f>
        <v>#N/A</v>
      </c>
    </row>
    <row r="4214" spans="7:8" ht="15" customHeight="1" x14ac:dyDescent="0.4">
      <c r="G4214" s="27">
        <f t="shared" si="75"/>
        <v>0</v>
      </c>
      <c r="H4214" s="28" t="e">
        <f>VLOOKUP(E4214,'Cadastro Produtos (kiwkiw)'!C:E,3,0)</f>
        <v>#N/A</v>
      </c>
    </row>
    <row r="4215" spans="7:8" ht="15" customHeight="1" x14ac:dyDescent="0.4">
      <c r="G4215" s="27">
        <f t="shared" si="75"/>
        <v>0</v>
      </c>
      <c r="H4215" s="28" t="e">
        <f>VLOOKUP(E4215,'Cadastro Produtos (kiwkiw)'!C:E,3,0)</f>
        <v>#N/A</v>
      </c>
    </row>
    <row r="4216" spans="7:8" ht="15" customHeight="1" x14ac:dyDescent="0.4">
      <c r="G4216" s="27">
        <f t="shared" si="75"/>
        <v>0</v>
      </c>
      <c r="H4216" s="28" t="e">
        <f>VLOOKUP(E4216,'Cadastro Produtos (kiwkiw)'!C:E,3,0)</f>
        <v>#N/A</v>
      </c>
    </row>
    <row r="4217" spans="7:8" ht="15" customHeight="1" x14ac:dyDescent="0.4">
      <c r="G4217" s="27">
        <f t="shared" si="75"/>
        <v>0</v>
      </c>
      <c r="H4217" s="28" t="e">
        <f>VLOOKUP(E4217,'Cadastro Produtos (kiwkiw)'!C:E,3,0)</f>
        <v>#N/A</v>
      </c>
    </row>
    <row r="4218" spans="7:8" ht="15" customHeight="1" x14ac:dyDescent="0.4">
      <c r="G4218" s="27">
        <f t="shared" si="75"/>
        <v>0</v>
      </c>
      <c r="H4218" s="28" t="e">
        <f>VLOOKUP(E4218,'Cadastro Produtos (kiwkiw)'!C:E,3,0)</f>
        <v>#N/A</v>
      </c>
    </row>
    <row r="4219" spans="7:8" ht="15" customHeight="1" x14ac:dyDescent="0.4">
      <c r="G4219" s="27">
        <f t="shared" si="75"/>
        <v>0</v>
      </c>
      <c r="H4219" s="28" t="e">
        <f>VLOOKUP(E4219,'Cadastro Produtos (kiwkiw)'!C:E,3,0)</f>
        <v>#N/A</v>
      </c>
    </row>
    <row r="4220" spans="7:8" ht="15" customHeight="1" x14ac:dyDescent="0.4">
      <c r="G4220" s="27">
        <f t="shared" si="75"/>
        <v>0</v>
      </c>
      <c r="H4220" s="28" t="e">
        <f>VLOOKUP(E4220,'Cadastro Produtos (kiwkiw)'!C:E,3,0)</f>
        <v>#N/A</v>
      </c>
    </row>
    <row r="4221" spans="7:8" ht="15" customHeight="1" x14ac:dyDescent="0.4">
      <c r="G4221" s="27">
        <f t="shared" si="75"/>
        <v>0</v>
      </c>
      <c r="H4221" s="28" t="e">
        <f>VLOOKUP(E4221,'Cadastro Produtos (kiwkiw)'!C:E,3,0)</f>
        <v>#N/A</v>
      </c>
    </row>
    <row r="4222" spans="7:8" ht="15" customHeight="1" x14ac:dyDescent="0.4">
      <c r="G4222" s="27">
        <f t="shared" si="75"/>
        <v>0</v>
      </c>
      <c r="H4222" s="28" t="e">
        <f>VLOOKUP(E4222,'Cadastro Produtos (kiwkiw)'!C:E,3,0)</f>
        <v>#N/A</v>
      </c>
    </row>
    <row r="4223" spans="7:8" ht="15" customHeight="1" x14ac:dyDescent="0.4">
      <c r="G4223" s="27">
        <f t="shared" si="75"/>
        <v>0</v>
      </c>
      <c r="H4223" s="28" t="e">
        <f>VLOOKUP(E4223,'Cadastro Produtos (kiwkiw)'!C:E,3,0)</f>
        <v>#N/A</v>
      </c>
    </row>
    <row r="4224" spans="7:8" ht="15" customHeight="1" x14ac:dyDescent="0.4">
      <c r="G4224" s="27">
        <f t="shared" si="75"/>
        <v>0</v>
      </c>
      <c r="H4224" s="28" t="e">
        <f>VLOOKUP(E4224,'Cadastro Produtos (kiwkiw)'!C:E,3,0)</f>
        <v>#N/A</v>
      </c>
    </row>
    <row r="4225" spans="7:8" ht="15" customHeight="1" x14ac:dyDescent="0.4">
      <c r="G4225" s="27">
        <f t="shared" si="75"/>
        <v>0</v>
      </c>
      <c r="H4225" s="28" t="e">
        <f>VLOOKUP(E4225,'Cadastro Produtos (kiwkiw)'!C:E,3,0)</f>
        <v>#N/A</v>
      </c>
    </row>
    <row r="4226" spans="7:8" ht="15" customHeight="1" x14ac:dyDescent="0.4">
      <c r="G4226" s="27">
        <f t="shared" si="75"/>
        <v>0</v>
      </c>
      <c r="H4226" s="28" t="e">
        <f>VLOOKUP(E4226,'Cadastro Produtos (kiwkiw)'!C:E,3,0)</f>
        <v>#N/A</v>
      </c>
    </row>
    <row r="4227" spans="7:8" ht="15" customHeight="1" x14ac:dyDescent="0.4">
      <c r="G4227" s="27">
        <f t="shared" si="75"/>
        <v>0</v>
      </c>
      <c r="H4227" s="28" t="e">
        <f>VLOOKUP(E4227,'Cadastro Produtos (kiwkiw)'!C:E,3,0)</f>
        <v>#N/A</v>
      </c>
    </row>
    <row r="4228" spans="7:8" ht="15" customHeight="1" x14ac:dyDescent="0.4">
      <c r="G4228" s="27">
        <f t="shared" si="75"/>
        <v>0</v>
      </c>
      <c r="H4228" s="28" t="e">
        <f>VLOOKUP(E4228,'Cadastro Produtos (kiwkiw)'!C:E,3,0)</f>
        <v>#N/A</v>
      </c>
    </row>
    <row r="4229" spans="7:8" ht="15" customHeight="1" x14ac:dyDescent="0.4">
      <c r="G4229" s="27">
        <f t="shared" si="75"/>
        <v>0</v>
      </c>
      <c r="H4229" s="28" t="e">
        <f>VLOOKUP(E4229,'Cadastro Produtos (kiwkiw)'!C:E,3,0)</f>
        <v>#N/A</v>
      </c>
    </row>
    <row r="4230" spans="7:8" ht="15" customHeight="1" x14ac:dyDescent="0.4">
      <c r="G4230" s="27">
        <f t="shared" si="75"/>
        <v>0</v>
      </c>
      <c r="H4230" s="28" t="e">
        <f>VLOOKUP(E4230,'Cadastro Produtos (kiwkiw)'!C:E,3,0)</f>
        <v>#N/A</v>
      </c>
    </row>
    <row r="4231" spans="7:8" ht="15" customHeight="1" x14ac:dyDescent="0.4">
      <c r="G4231" s="27">
        <f t="shared" si="75"/>
        <v>0</v>
      </c>
      <c r="H4231" s="28" t="e">
        <f>VLOOKUP(E4231,'Cadastro Produtos (kiwkiw)'!C:E,3,0)</f>
        <v>#N/A</v>
      </c>
    </row>
    <row r="4232" spans="7:8" ht="15" customHeight="1" x14ac:dyDescent="0.4">
      <c r="G4232" s="27">
        <f t="shared" si="75"/>
        <v>0</v>
      </c>
      <c r="H4232" s="28" t="e">
        <f>VLOOKUP(E4232,'Cadastro Produtos (kiwkiw)'!C:E,3,0)</f>
        <v>#N/A</v>
      </c>
    </row>
    <row r="4233" spans="7:8" ht="15" customHeight="1" x14ac:dyDescent="0.4">
      <c r="G4233" s="27">
        <f t="shared" si="75"/>
        <v>0</v>
      </c>
      <c r="H4233" s="28" t="e">
        <f>VLOOKUP(E4233,'Cadastro Produtos (kiwkiw)'!C:E,3,0)</f>
        <v>#N/A</v>
      </c>
    </row>
    <row r="4234" spans="7:8" ht="15" customHeight="1" x14ac:dyDescent="0.4">
      <c r="G4234" s="27">
        <f t="shared" ref="G4234:G4297" si="76">IF(C4234="Entrada",F4234,-F4234)</f>
        <v>0</v>
      </c>
      <c r="H4234" s="28" t="e">
        <f>VLOOKUP(E4234,'Cadastro Produtos (kiwkiw)'!C:E,3,0)</f>
        <v>#N/A</v>
      </c>
    </row>
    <row r="4235" spans="7:8" ht="15" customHeight="1" x14ac:dyDescent="0.4">
      <c r="G4235" s="27">
        <f t="shared" si="76"/>
        <v>0</v>
      </c>
      <c r="H4235" s="28" t="e">
        <f>VLOOKUP(E4235,'Cadastro Produtos (kiwkiw)'!C:E,3,0)</f>
        <v>#N/A</v>
      </c>
    </row>
    <row r="4236" spans="7:8" ht="15" customHeight="1" x14ac:dyDescent="0.4">
      <c r="G4236" s="27">
        <f t="shared" si="76"/>
        <v>0</v>
      </c>
      <c r="H4236" s="28" t="e">
        <f>VLOOKUP(E4236,'Cadastro Produtos (kiwkiw)'!C:E,3,0)</f>
        <v>#N/A</v>
      </c>
    </row>
    <row r="4237" spans="7:8" ht="15" customHeight="1" x14ac:dyDescent="0.4">
      <c r="G4237" s="27">
        <f t="shared" si="76"/>
        <v>0</v>
      </c>
      <c r="H4237" s="28" t="e">
        <f>VLOOKUP(E4237,'Cadastro Produtos (kiwkiw)'!C:E,3,0)</f>
        <v>#N/A</v>
      </c>
    </row>
    <row r="4238" spans="7:8" ht="15" customHeight="1" x14ac:dyDescent="0.4">
      <c r="G4238" s="27">
        <f t="shared" si="76"/>
        <v>0</v>
      </c>
      <c r="H4238" s="28" t="e">
        <f>VLOOKUP(E4238,'Cadastro Produtos (kiwkiw)'!C:E,3,0)</f>
        <v>#N/A</v>
      </c>
    </row>
    <row r="4239" spans="7:8" ht="15" customHeight="1" x14ac:dyDescent="0.4">
      <c r="G4239" s="27">
        <f t="shared" si="76"/>
        <v>0</v>
      </c>
      <c r="H4239" s="28" t="e">
        <f>VLOOKUP(E4239,'Cadastro Produtos (kiwkiw)'!C:E,3,0)</f>
        <v>#N/A</v>
      </c>
    </row>
    <row r="4240" spans="7:8" ht="15" customHeight="1" x14ac:dyDescent="0.4">
      <c r="G4240" s="27">
        <f t="shared" si="76"/>
        <v>0</v>
      </c>
      <c r="H4240" s="28" t="e">
        <f>VLOOKUP(E4240,'Cadastro Produtos (kiwkiw)'!C:E,3,0)</f>
        <v>#N/A</v>
      </c>
    </row>
    <row r="4241" spans="7:8" ht="15" customHeight="1" x14ac:dyDescent="0.4">
      <c r="G4241" s="27">
        <f t="shared" si="76"/>
        <v>0</v>
      </c>
      <c r="H4241" s="28" t="e">
        <f>VLOOKUP(E4241,'Cadastro Produtos (kiwkiw)'!C:E,3,0)</f>
        <v>#N/A</v>
      </c>
    </row>
    <row r="4242" spans="7:8" ht="15" customHeight="1" x14ac:dyDescent="0.4">
      <c r="G4242" s="27">
        <f t="shared" si="76"/>
        <v>0</v>
      </c>
      <c r="H4242" s="28" t="e">
        <f>VLOOKUP(E4242,'Cadastro Produtos (kiwkiw)'!C:E,3,0)</f>
        <v>#N/A</v>
      </c>
    </row>
    <row r="4243" spans="7:8" ht="15" customHeight="1" x14ac:dyDescent="0.4">
      <c r="G4243" s="27">
        <f t="shared" si="76"/>
        <v>0</v>
      </c>
      <c r="H4243" s="28" t="e">
        <f>VLOOKUP(E4243,'Cadastro Produtos (kiwkiw)'!C:E,3,0)</f>
        <v>#N/A</v>
      </c>
    </row>
    <row r="4244" spans="7:8" ht="15" customHeight="1" x14ac:dyDescent="0.4">
      <c r="G4244" s="27">
        <f t="shared" si="76"/>
        <v>0</v>
      </c>
      <c r="H4244" s="28" t="e">
        <f>VLOOKUP(E4244,'Cadastro Produtos (kiwkiw)'!C:E,3,0)</f>
        <v>#N/A</v>
      </c>
    </row>
    <row r="4245" spans="7:8" ht="15" customHeight="1" x14ac:dyDescent="0.4">
      <c r="G4245" s="27">
        <f t="shared" si="76"/>
        <v>0</v>
      </c>
      <c r="H4245" s="28" t="e">
        <f>VLOOKUP(E4245,'Cadastro Produtos (kiwkiw)'!C:E,3,0)</f>
        <v>#N/A</v>
      </c>
    </row>
    <row r="4246" spans="7:8" ht="15" customHeight="1" x14ac:dyDescent="0.4">
      <c r="G4246" s="27">
        <f t="shared" si="76"/>
        <v>0</v>
      </c>
      <c r="H4246" s="28" t="e">
        <f>VLOOKUP(E4246,'Cadastro Produtos (kiwkiw)'!C:E,3,0)</f>
        <v>#N/A</v>
      </c>
    </row>
    <row r="4247" spans="7:8" ht="15" customHeight="1" x14ac:dyDescent="0.4">
      <c r="G4247" s="27">
        <f t="shared" si="76"/>
        <v>0</v>
      </c>
      <c r="H4247" s="28" t="e">
        <f>VLOOKUP(E4247,'Cadastro Produtos (kiwkiw)'!C:E,3,0)</f>
        <v>#N/A</v>
      </c>
    </row>
    <row r="4248" spans="7:8" ht="15" customHeight="1" x14ac:dyDescent="0.4">
      <c r="G4248" s="27">
        <f t="shared" si="76"/>
        <v>0</v>
      </c>
      <c r="H4248" s="28" t="e">
        <f>VLOOKUP(E4248,'Cadastro Produtos (kiwkiw)'!C:E,3,0)</f>
        <v>#N/A</v>
      </c>
    </row>
    <row r="4249" spans="7:8" ht="15" customHeight="1" x14ac:dyDescent="0.4">
      <c r="G4249" s="27">
        <f t="shared" si="76"/>
        <v>0</v>
      </c>
      <c r="H4249" s="28" t="e">
        <f>VLOOKUP(E4249,'Cadastro Produtos (kiwkiw)'!C:E,3,0)</f>
        <v>#N/A</v>
      </c>
    </row>
    <row r="4250" spans="7:8" ht="15" customHeight="1" x14ac:dyDescent="0.4">
      <c r="G4250" s="27">
        <f t="shared" si="76"/>
        <v>0</v>
      </c>
      <c r="H4250" s="28" t="e">
        <f>VLOOKUP(E4250,'Cadastro Produtos (kiwkiw)'!C:E,3,0)</f>
        <v>#N/A</v>
      </c>
    </row>
    <row r="4251" spans="7:8" ht="15" customHeight="1" x14ac:dyDescent="0.4">
      <c r="G4251" s="27">
        <f t="shared" si="76"/>
        <v>0</v>
      </c>
      <c r="H4251" s="28" t="e">
        <f>VLOOKUP(E4251,'Cadastro Produtos (kiwkiw)'!C:E,3,0)</f>
        <v>#N/A</v>
      </c>
    </row>
    <row r="4252" spans="7:8" ht="15" customHeight="1" x14ac:dyDescent="0.4">
      <c r="G4252" s="27">
        <f t="shared" si="76"/>
        <v>0</v>
      </c>
      <c r="H4252" s="28" t="e">
        <f>VLOOKUP(E4252,'Cadastro Produtos (kiwkiw)'!C:E,3,0)</f>
        <v>#N/A</v>
      </c>
    </row>
    <row r="4253" spans="7:8" ht="15" customHeight="1" x14ac:dyDescent="0.4">
      <c r="G4253" s="27">
        <f t="shared" si="76"/>
        <v>0</v>
      </c>
      <c r="H4253" s="28" t="e">
        <f>VLOOKUP(E4253,'Cadastro Produtos (kiwkiw)'!C:E,3,0)</f>
        <v>#N/A</v>
      </c>
    </row>
    <row r="4254" spans="7:8" ht="15" customHeight="1" x14ac:dyDescent="0.4">
      <c r="G4254" s="27">
        <f t="shared" si="76"/>
        <v>0</v>
      </c>
      <c r="H4254" s="28" t="e">
        <f>VLOOKUP(E4254,'Cadastro Produtos (kiwkiw)'!C:E,3,0)</f>
        <v>#N/A</v>
      </c>
    </row>
    <row r="4255" spans="7:8" ht="15" customHeight="1" x14ac:dyDescent="0.4">
      <c r="G4255" s="27">
        <f t="shared" si="76"/>
        <v>0</v>
      </c>
      <c r="H4255" s="28" t="e">
        <f>VLOOKUP(E4255,'Cadastro Produtos (kiwkiw)'!C:E,3,0)</f>
        <v>#N/A</v>
      </c>
    </row>
    <row r="4256" spans="7:8" ht="15" customHeight="1" x14ac:dyDescent="0.4">
      <c r="G4256" s="27">
        <f t="shared" si="76"/>
        <v>0</v>
      </c>
      <c r="H4256" s="28" t="e">
        <f>VLOOKUP(E4256,'Cadastro Produtos (kiwkiw)'!C:E,3,0)</f>
        <v>#N/A</v>
      </c>
    </row>
    <row r="4257" spans="7:8" ht="15" customHeight="1" x14ac:dyDescent="0.4">
      <c r="G4257" s="27">
        <f t="shared" si="76"/>
        <v>0</v>
      </c>
      <c r="H4257" s="28" t="e">
        <f>VLOOKUP(E4257,'Cadastro Produtos (kiwkiw)'!C:E,3,0)</f>
        <v>#N/A</v>
      </c>
    </row>
    <row r="4258" spans="7:8" ht="15" customHeight="1" x14ac:dyDescent="0.4">
      <c r="G4258" s="27">
        <f t="shared" si="76"/>
        <v>0</v>
      </c>
      <c r="H4258" s="28" t="e">
        <f>VLOOKUP(E4258,'Cadastro Produtos (kiwkiw)'!C:E,3,0)</f>
        <v>#N/A</v>
      </c>
    </row>
    <row r="4259" spans="7:8" ht="15" customHeight="1" x14ac:dyDescent="0.4">
      <c r="G4259" s="27">
        <f t="shared" si="76"/>
        <v>0</v>
      </c>
      <c r="H4259" s="28" t="e">
        <f>VLOOKUP(E4259,'Cadastro Produtos (kiwkiw)'!C:E,3,0)</f>
        <v>#N/A</v>
      </c>
    </row>
    <row r="4260" spans="7:8" ht="15" customHeight="1" x14ac:dyDescent="0.4">
      <c r="G4260" s="27">
        <f t="shared" si="76"/>
        <v>0</v>
      </c>
      <c r="H4260" s="28" t="e">
        <f>VLOOKUP(E4260,'Cadastro Produtos (kiwkiw)'!C:E,3,0)</f>
        <v>#N/A</v>
      </c>
    </row>
    <row r="4261" spans="7:8" ht="15" customHeight="1" x14ac:dyDescent="0.4">
      <c r="G4261" s="27">
        <f t="shared" si="76"/>
        <v>0</v>
      </c>
      <c r="H4261" s="28" t="e">
        <f>VLOOKUP(E4261,'Cadastro Produtos (kiwkiw)'!C:E,3,0)</f>
        <v>#N/A</v>
      </c>
    </row>
    <row r="4262" spans="7:8" ht="15" customHeight="1" x14ac:dyDescent="0.4">
      <c r="G4262" s="27">
        <f t="shared" si="76"/>
        <v>0</v>
      </c>
      <c r="H4262" s="28" t="e">
        <f>VLOOKUP(E4262,'Cadastro Produtos (kiwkiw)'!C:E,3,0)</f>
        <v>#N/A</v>
      </c>
    </row>
    <row r="4263" spans="7:8" ht="15" customHeight="1" x14ac:dyDescent="0.4">
      <c r="G4263" s="27">
        <f t="shared" si="76"/>
        <v>0</v>
      </c>
      <c r="H4263" s="28" t="e">
        <f>VLOOKUP(E4263,'Cadastro Produtos (kiwkiw)'!C:E,3,0)</f>
        <v>#N/A</v>
      </c>
    </row>
    <row r="4264" spans="7:8" ht="15" customHeight="1" x14ac:dyDescent="0.4">
      <c r="G4264" s="27">
        <f t="shared" si="76"/>
        <v>0</v>
      </c>
      <c r="H4264" s="28" t="e">
        <f>VLOOKUP(E4264,'Cadastro Produtos (kiwkiw)'!C:E,3,0)</f>
        <v>#N/A</v>
      </c>
    </row>
    <row r="4265" spans="7:8" ht="15" customHeight="1" x14ac:dyDescent="0.4">
      <c r="G4265" s="27">
        <f t="shared" si="76"/>
        <v>0</v>
      </c>
      <c r="H4265" s="28" t="e">
        <f>VLOOKUP(E4265,'Cadastro Produtos (kiwkiw)'!C:E,3,0)</f>
        <v>#N/A</v>
      </c>
    </row>
    <row r="4266" spans="7:8" ht="15" customHeight="1" x14ac:dyDescent="0.4">
      <c r="G4266" s="27">
        <f t="shared" si="76"/>
        <v>0</v>
      </c>
      <c r="H4266" s="28" t="e">
        <f>VLOOKUP(E4266,'Cadastro Produtos (kiwkiw)'!C:E,3,0)</f>
        <v>#N/A</v>
      </c>
    </row>
    <row r="4267" spans="7:8" ht="15" customHeight="1" x14ac:dyDescent="0.4">
      <c r="G4267" s="27">
        <f t="shared" si="76"/>
        <v>0</v>
      </c>
      <c r="H4267" s="28" t="e">
        <f>VLOOKUP(E4267,'Cadastro Produtos (kiwkiw)'!C:E,3,0)</f>
        <v>#N/A</v>
      </c>
    </row>
    <row r="4268" spans="7:8" ht="15" customHeight="1" x14ac:dyDescent="0.4">
      <c r="G4268" s="27">
        <f t="shared" si="76"/>
        <v>0</v>
      </c>
      <c r="H4268" s="28" t="e">
        <f>VLOOKUP(E4268,'Cadastro Produtos (kiwkiw)'!C:E,3,0)</f>
        <v>#N/A</v>
      </c>
    </row>
    <row r="4269" spans="7:8" ht="15" customHeight="1" x14ac:dyDescent="0.4">
      <c r="G4269" s="27">
        <f t="shared" si="76"/>
        <v>0</v>
      </c>
      <c r="H4269" s="28" t="e">
        <f>VLOOKUP(E4269,'Cadastro Produtos (kiwkiw)'!C:E,3,0)</f>
        <v>#N/A</v>
      </c>
    </row>
    <row r="4270" spans="7:8" ht="15" customHeight="1" x14ac:dyDescent="0.4">
      <c r="G4270" s="27">
        <f t="shared" si="76"/>
        <v>0</v>
      </c>
      <c r="H4270" s="28" t="e">
        <f>VLOOKUP(E4270,'Cadastro Produtos (kiwkiw)'!C:E,3,0)</f>
        <v>#N/A</v>
      </c>
    </row>
    <row r="4271" spans="7:8" ht="15" customHeight="1" x14ac:dyDescent="0.4">
      <c r="G4271" s="27">
        <f t="shared" si="76"/>
        <v>0</v>
      </c>
      <c r="H4271" s="28" t="e">
        <f>VLOOKUP(E4271,'Cadastro Produtos (kiwkiw)'!C:E,3,0)</f>
        <v>#N/A</v>
      </c>
    </row>
    <row r="4272" spans="7:8" ht="15" customHeight="1" x14ac:dyDescent="0.4">
      <c r="G4272" s="27">
        <f t="shared" si="76"/>
        <v>0</v>
      </c>
      <c r="H4272" s="28" t="e">
        <f>VLOOKUP(E4272,'Cadastro Produtos (kiwkiw)'!C:E,3,0)</f>
        <v>#N/A</v>
      </c>
    </row>
    <row r="4273" spans="7:8" ht="15" customHeight="1" x14ac:dyDescent="0.4">
      <c r="G4273" s="27">
        <f t="shared" si="76"/>
        <v>0</v>
      </c>
      <c r="H4273" s="28" t="e">
        <f>VLOOKUP(E4273,'Cadastro Produtos (kiwkiw)'!C:E,3,0)</f>
        <v>#N/A</v>
      </c>
    </row>
    <row r="4274" spans="7:8" ht="15" customHeight="1" x14ac:dyDescent="0.4">
      <c r="G4274" s="27">
        <f t="shared" si="76"/>
        <v>0</v>
      </c>
      <c r="H4274" s="28" t="e">
        <f>VLOOKUP(E4274,'Cadastro Produtos (kiwkiw)'!C:E,3,0)</f>
        <v>#N/A</v>
      </c>
    </row>
    <row r="4275" spans="7:8" ht="15" customHeight="1" x14ac:dyDescent="0.4">
      <c r="G4275" s="27">
        <f t="shared" si="76"/>
        <v>0</v>
      </c>
      <c r="H4275" s="28" t="e">
        <f>VLOOKUP(E4275,'Cadastro Produtos (kiwkiw)'!C:E,3,0)</f>
        <v>#N/A</v>
      </c>
    </row>
    <row r="4276" spans="7:8" ht="15" customHeight="1" x14ac:dyDescent="0.4">
      <c r="G4276" s="27">
        <f t="shared" si="76"/>
        <v>0</v>
      </c>
      <c r="H4276" s="28" t="e">
        <f>VLOOKUP(E4276,'Cadastro Produtos (kiwkiw)'!C:E,3,0)</f>
        <v>#N/A</v>
      </c>
    </row>
    <row r="4277" spans="7:8" ht="15" customHeight="1" x14ac:dyDescent="0.4">
      <c r="G4277" s="27">
        <f t="shared" si="76"/>
        <v>0</v>
      </c>
      <c r="H4277" s="28" t="e">
        <f>VLOOKUP(E4277,'Cadastro Produtos (kiwkiw)'!C:E,3,0)</f>
        <v>#N/A</v>
      </c>
    </row>
    <row r="4278" spans="7:8" ht="15" customHeight="1" x14ac:dyDescent="0.4">
      <c r="G4278" s="27">
        <f t="shared" si="76"/>
        <v>0</v>
      </c>
      <c r="H4278" s="28" t="e">
        <f>VLOOKUP(E4278,'Cadastro Produtos (kiwkiw)'!C:E,3,0)</f>
        <v>#N/A</v>
      </c>
    </row>
    <row r="4279" spans="7:8" ht="15" customHeight="1" x14ac:dyDescent="0.4">
      <c r="G4279" s="27">
        <f t="shared" si="76"/>
        <v>0</v>
      </c>
      <c r="H4279" s="28" t="e">
        <f>VLOOKUP(E4279,'Cadastro Produtos (kiwkiw)'!C:E,3,0)</f>
        <v>#N/A</v>
      </c>
    </row>
    <row r="4280" spans="7:8" ht="15" customHeight="1" x14ac:dyDescent="0.4">
      <c r="G4280" s="27">
        <f t="shared" si="76"/>
        <v>0</v>
      </c>
      <c r="H4280" s="28" t="e">
        <f>VLOOKUP(E4280,'Cadastro Produtos (kiwkiw)'!C:E,3,0)</f>
        <v>#N/A</v>
      </c>
    </row>
    <row r="4281" spans="7:8" ht="15" customHeight="1" x14ac:dyDescent="0.4">
      <c r="G4281" s="27">
        <f t="shared" si="76"/>
        <v>0</v>
      </c>
      <c r="H4281" s="28" t="e">
        <f>VLOOKUP(E4281,'Cadastro Produtos (kiwkiw)'!C:E,3,0)</f>
        <v>#N/A</v>
      </c>
    </row>
    <row r="4282" spans="7:8" ht="15" customHeight="1" x14ac:dyDescent="0.4">
      <c r="G4282" s="27">
        <f t="shared" si="76"/>
        <v>0</v>
      </c>
      <c r="H4282" s="28" t="e">
        <f>VLOOKUP(E4282,'Cadastro Produtos (kiwkiw)'!C:E,3,0)</f>
        <v>#N/A</v>
      </c>
    </row>
    <row r="4283" spans="7:8" ht="15" customHeight="1" x14ac:dyDescent="0.4">
      <c r="G4283" s="27">
        <f t="shared" si="76"/>
        <v>0</v>
      </c>
      <c r="H4283" s="28" t="e">
        <f>VLOOKUP(E4283,'Cadastro Produtos (kiwkiw)'!C:E,3,0)</f>
        <v>#N/A</v>
      </c>
    </row>
    <row r="4284" spans="7:8" ht="15" customHeight="1" x14ac:dyDescent="0.4">
      <c r="G4284" s="27">
        <f t="shared" si="76"/>
        <v>0</v>
      </c>
      <c r="H4284" s="28" t="e">
        <f>VLOOKUP(E4284,'Cadastro Produtos (kiwkiw)'!C:E,3,0)</f>
        <v>#N/A</v>
      </c>
    </row>
    <row r="4285" spans="7:8" ht="15" customHeight="1" x14ac:dyDescent="0.4">
      <c r="G4285" s="27">
        <f t="shared" si="76"/>
        <v>0</v>
      </c>
      <c r="H4285" s="28" t="e">
        <f>VLOOKUP(E4285,'Cadastro Produtos (kiwkiw)'!C:E,3,0)</f>
        <v>#N/A</v>
      </c>
    </row>
    <row r="4286" spans="7:8" ht="15" customHeight="1" x14ac:dyDescent="0.4">
      <c r="G4286" s="27">
        <f t="shared" si="76"/>
        <v>0</v>
      </c>
      <c r="H4286" s="28" t="e">
        <f>VLOOKUP(E4286,'Cadastro Produtos (kiwkiw)'!C:E,3,0)</f>
        <v>#N/A</v>
      </c>
    </row>
    <row r="4287" spans="7:8" ht="15" customHeight="1" x14ac:dyDescent="0.4">
      <c r="G4287" s="27">
        <f t="shared" si="76"/>
        <v>0</v>
      </c>
      <c r="H4287" s="28" t="e">
        <f>VLOOKUP(E4287,'Cadastro Produtos (kiwkiw)'!C:E,3,0)</f>
        <v>#N/A</v>
      </c>
    </row>
    <row r="4288" spans="7:8" ht="15" customHeight="1" x14ac:dyDescent="0.4">
      <c r="G4288" s="27">
        <f t="shared" si="76"/>
        <v>0</v>
      </c>
      <c r="H4288" s="28" t="e">
        <f>VLOOKUP(E4288,'Cadastro Produtos (kiwkiw)'!C:E,3,0)</f>
        <v>#N/A</v>
      </c>
    </row>
    <row r="4289" spans="7:8" ht="15" customHeight="1" x14ac:dyDescent="0.4">
      <c r="G4289" s="27">
        <f t="shared" si="76"/>
        <v>0</v>
      </c>
      <c r="H4289" s="28" t="e">
        <f>VLOOKUP(E4289,'Cadastro Produtos (kiwkiw)'!C:E,3,0)</f>
        <v>#N/A</v>
      </c>
    </row>
    <row r="4290" spans="7:8" ht="15" customHeight="1" x14ac:dyDescent="0.4">
      <c r="G4290" s="27">
        <f t="shared" si="76"/>
        <v>0</v>
      </c>
      <c r="H4290" s="28" t="e">
        <f>VLOOKUP(E4290,'Cadastro Produtos (kiwkiw)'!C:E,3,0)</f>
        <v>#N/A</v>
      </c>
    </row>
    <row r="4291" spans="7:8" ht="15" customHeight="1" x14ac:dyDescent="0.4">
      <c r="G4291" s="27">
        <f t="shared" si="76"/>
        <v>0</v>
      </c>
      <c r="H4291" s="28" t="e">
        <f>VLOOKUP(E4291,'Cadastro Produtos (kiwkiw)'!C:E,3,0)</f>
        <v>#N/A</v>
      </c>
    </row>
    <row r="4292" spans="7:8" ht="15" customHeight="1" x14ac:dyDescent="0.4">
      <c r="G4292" s="27">
        <f t="shared" si="76"/>
        <v>0</v>
      </c>
      <c r="H4292" s="28" t="e">
        <f>VLOOKUP(E4292,'Cadastro Produtos (kiwkiw)'!C:E,3,0)</f>
        <v>#N/A</v>
      </c>
    </row>
    <row r="4293" spans="7:8" ht="15" customHeight="1" x14ac:dyDescent="0.4">
      <c r="G4293" s="27">
        <f t="shared" si="76"/>
        <v>0</v>
      </c>
      <c r="H4293" s="28" t="e">
        <f>VLOOKUP(E4293,'Cadastro Produtos (kiwkiw)'!C:E,3,0)</f>
        <v>#N/A</v>
      </c>
    </row>
    <row r="4294" spans="7:8" ht="15" customHeight="1" x14ac:dyDescent="0.4">
      <c r="G4294" s="27">
        <f t="shared" si="76"/>
        <v>0</v>
      </c>
      <c r="H4294" s="28" t="e">
        <f>VLOOKUP(E4294,'Cadastro Produtos (kiwkiw)'!C:E,3,0)</f>
        <v>#N/A</v>
      </c>
    </row>
    <row r="4295" spans="7:8" ht="15" customHeight="1" x14ac:dyDescent="0.4">
      <c r="G4295" s="27">
        <f t="shared" si="76"/>
        <v>0</v>
      </c>
      <c r="H4295" s="28" t="e">
        <f>VLOOKUP(E4295,'Cadastro Produtos (kiwkiw)'!C:E,3,0)</f>
        <v>#N/A</v>
      </c>
    </row>
    <row r="4296" spans="7:8" ht="15" customHeight="1" x14ac:dyDescent="0.4">
      <c r="G4296" s="27">
        <f t="shared" si="76"/>
        <v>0</v>
      </c>
      <c r="H4296" s="28" t="e">
        <f>VLOOKUP(E4296,'Cadastro Produtos (kiwkiw)'!C:E,3,0)</f>
        <v>#N/A</v>
      </c>
    </row>
    <row r="4297" spans="7:8" ht="15" customHeight="1" x14ac:dyDescent="0.4">
      <c r="G4297" s="27">
        <f t="shared" si="76"/>
        <v>0</v>
      </c>
      <c r="H4297" s="28" t="e">
        <f>VLOOKUP(E4297,'Cadastro Produtos (kiwkiw)'!C:E,3,0)</f>
        <v>#N/A</v>
      </c>
    </row>
    <row r="4298" spans="7:8" ht="15" customHeight="1" x14ac:dyDescent="0.4">
      <c r="G4298" s="27">
        <f t="shared" ref="G4298:G4361" si="77">IF(C4298="Entrada",F4298,-F4298)</f>
        <v>0</v>
      </c>
      <c r="H4298" s="28" t="e">
        <f>VLOOKUP(E4298,'Cadastro Produtos (kiwkiw)'!C:E,3,0)</f>
        <v>#N/A</v>
      </c>
    </row>
    <row r="4299" spans="7:8" ht="15" customHeight="1" x14ac:dyDescent="0.4">
      <c r="G4299" s="27">
        <f t="shared" si="77"/>
        <v>0</v>
      </c>
      <c r="H4299" s="28" t="e">
        <f>VLOOKUP(E4299,'Cadastro Produtos (kiwkiw)'!C:E,3,0)</f>
        <v>#N/A</v>
      </c>
    </row>
    <row r="4300" spans="7:8" ht="15" customHeight="1" x14ac:dyDescent="0.4">
      <c r="G4300" s="27">
        <f t="shared" si="77"/>
        <v>0</v>
      </c>
      <c r="H4300" s="28" t="e">
        <f>VLOOKUP(E4300,'Cadastro Produtos (kiwkiw)'!C:E,3,0)</f>
        <v>#N/A</v>
      </c>
    </row>
    <row r="4301" spans="7:8" ht="15" customHeight="1" x14ac:dyDescent="0.4">
      <c r="G4301" s="27">
        <f t="shared" si="77"/>
        <v>0</v>
      </c>
      <c r="H4301" s="28" t="e">
        <f>VLOOKUP(E4301,'Cadastro Produtos (kiwkiw)'!C:E,3,0)</f>
        <v>#N/A</v>
      </c>
    </row>
    <row r="4302" spans="7:8" ht="15" customHeight="1" x14ac:dyDescent="0.4">
      <c r="G4302" s="27">
        <f t="shared" si="77"/>
        <v>0</v>
      </c>
      <c r="H4302" s="28" t="e">
        <f>VLOOKUP(E4302,'Cadastro Produtos (kiwkiw)'!C:E,3,0)</f>
        <v>#N/A</v>
      </c>
    </row>
    <row r="4303" spans="7:8" ht="15" customHeight="1" x14ac:dyDescent="0.4">
      <c r="G4303" s="27">
        <f t="shared" si="77"/>
        <v>0</v>
      </c>
      <c r="H4303" s="28" t="e">
        <f>VLOOKUP(E4303,'Cadastro Produtos (kiwkiw)'!C:E,3,0)</f>
        <v>#N/A</v>
      </c>
    </row>
    <row r="4304" spans="7:8" ht="15" customHeight="1" x14ac:dyDescent="0.4">
      <c r="G4304" s="27">
        <f t="shared" si="77"/>
        <v>0</v>
      </c>
      <c r="H4304" s="28" t="e">
        <f>VLOOKUP(E4304,'Cadastro Produtos (kiwkiw)'!C:E,3,0)</f>
        <v>#N/A</v>
      </c>
    </row>
    <row r="4305" spans="7:8" ht="15" customHeight="1" x14ac:dyDescent="0.4">
      <c r="G4305" s="27">
        <f t="shared" si="77"/>
        <v>0</v>
      </c>
      <c r="H4305" s="28" t="e">
        <f>VLOOKUP(E4305,'Cadastro Produtos (kiwkiw)'!C:E,3,0)</f>
        <v>#N/A</v>
      </c>
    </row>
    <row r="4306" spans="7:8" ht="15" customHeight="1" x14ac:dyDescent="0.4">
      <c r="G4306" s="27">
        <f t="shared" si="77"/>
        <v>0</v>
      </c>
      <c r="H4306" s="28" t="e">
        <f>VLOOKUP(E4306,'Cadastro Produtos (kiwkiw)'!C:E,3,0)</f>
        <v>#N/A</v>
      </c>
    </row>
    <row r="4307" spans="7:8" ht="15" customHeight="1" x14ac:dyDescent="0.4">
      <c r="G4307" s="27">
        <f t="shared" si="77"/>
        <v>0</v>
      </c>
      <c r="H4307" s="28" t="e">
        <f>VLOOKUP(E4307,'Cadastro Produtos (kiwkiw)'!C:E,3,0)</f>
        <v>#N/A</v>
      </c>
    </row>
    <row r="4308" spans="7:8" ht="15" customHeight="1" x14ac:dyDescent="0.4">
      <c r="G4308" s="27">
        <f t="shared" si="77"/>
        <v>0</v>
      </c>
      <c r="H4308" s="28" t="e">
        <f>VLOOKUP(E4308,'Cadastro Produtos (kiwkiw)'!C:E,3,0)</f>
        <v>#N/A</v>
      </c>
    </row>
    <row r="4309" spans="7:8" ht="15" customHeight="1" x14ac:dyDescent="0.4">
      <c r="G4309" s="27">
        <f t="shared" si="77"/>
        <v>0</v>
      </c>
      <c r="H4309" s="28" t="e">
        <f>VLOOKUP(E4309,'Cadastro Produtos (kiwkiw)'!C:E,3,0)</f>
        <v>#N/A</v>
      </c>
    </row>
    <row r="4310" spans="7:8" ht="15" customHeight="1" x14ac:dyDescent="0.4">
      <c r="G4310" s="27">
        <f t="shared" si="77"/>
        <v>0</v>
      </c>
      <c r="H4310" s="28" t="e">
        <f>VLOOKUP(E4310,'Cadastro Produtos (kiwkiw)'!C:E,3,0)</f>
        <v>#N/A</v>
      </c>
    </row>
    <row r="4311" spans="7:8" ht="15" customHeight="1" x14ac:dyDescent="0.4">
      <c r="G4311" s="27">
        <f t="shared" si="77"/>
        <v>0</v>
      </c>
      <c r="H4311" s="28" t="e">
        <f>VLOOKUP(E4311,'Cadastro Produtos (kiwkiw)'!C:E,3,0)</f>
        <v>#N/A</v>
      </c>
    </row>
    <row r="4312" spans="7:8" ht="15" customHeight="1" x14ac:dyDescent="0.4">
      <c r="G4312" s="27">
        <f t="shared" si="77"/>
        <v>0</v>
      </c>
      <c r="H4312" s="28" t="e">
        <f>VLOOKUP(E4312,'Cadastro Produtos (kiwkiw)'!C:E,3,0)</f>
        <v>#N/A</v>
      </c>
    </row>
    <row r="4313" spans="7:8" ht="15" customHeight="1" x14ac:dyDescent="0.4">
      <c r="G4313" s="27">
        <f t="shared" si="77"/>
        <v>0</v>
      </c>
      <c r="H4313" s="28" t="e">
        <f>VLOOKUP(E4313,'Cadastro Produtos (kiwkiw)'!C:E,3,0)</f>
        <v>#N/A</v>
      </c>
    </row>
    <row r="4314" spans="7:8" ht="15" customHeight="1" x14ac:dyDescent="0.4">
      <c r="G4314" s="27">
        <f t="shared" si="77"/>
        <v>0</v>
      </c>
      <c r="H4314" s="28" t="e">
        <f>VLOOKUP(E4314,'Cadastro Produtos (kiwkiw)'!C:E,3,0)</f>
        <v>#N/A</v>
      </c>
    </row>
    <row r="4315" spans="7:8" ht="15" customHeight="1" x14ac:dyDescent="0.4">
      <c r="G4315" s="27">
        <f t="shared" si="77"/>
        <v>0</v>
      </c>
      <c r="H4315" s="28" t="e">
        <f>VLOOKUP(E4315,'Cadastro Produtos (kiwkiw)'!C:E,3,0)</f>
        <v>#N/A</v>
      </c>
    </row>
    <row r="4316" spans="7:8" ht="15" customHeight="1" x14ac:dyDescent="0.4">
      <c r="G4316" s="27">
        <f t="shared" si="77"/>
        <v>0</v>
      </c>
      <c r="H4316" s="28" t="e">
        <f>VLOOKUP(E4316,'Cadastro Produtos (kiwkiw)'!C:E,3,0)</f>
        <v>#N/A</v>
      </c>
    </row>
    <row r="4317" spans="7:8" ht="15" customHeight="1" x14ac:dyDescent="0.4">
      <c r="G4317" s="27">
        <f t="shared" si="77"/>
        <v>0</v>
      </c>
      <c r="H4317" s="28" t="e">
        <f>VLOOKUP(E4317,'Cadastro Produtos (kiwkiw)'!C:E,3,0)</f>
        <v>#N/A</v>
      </c>
    </row>
    <row r="4318" spans="7:8" ht="15" customHeight="1" x14ac:dyDescent="0.4">
      <c r="G4318" s="27">
        <f t="shared" si="77"/>
        <v>0</v>
      </c>
      <c r="H4318" s="28" t="e">
        <f>VLOOKUP(E4318,'Cadastro Produtos (kiwkiw)'!C:E,3,0)</f>
        <v>#N/A</v>
      </c>
    </row>
    <row r="4319" spans="7:8" ht="15" customHeight="1" x14ac:dyDescent="0.4">
      <c r="G4319" s="27">
        <f t="shared" si="77"/>
        <v>0</v>
      </c>
      <c r="H4319" s="28" t="e">
        <f>VLOOKUP(E4319,'Cadastro Produtos (kiwkiw)'!C:E,3,0)</f>
        <v>#N/A</v>
      </c>
    </row>
    <row r="4320" spans="7:8" ht="15" customHeight="1" x14ac:dyDescent="0.4">
      <c r="G4320" s="27">
        <f t="shared" si="77"/>
        <v>0</v>
      </c>
      <c r="H4320" s="28" t="e">
        <f>VLOOKUP(E4320,'Cadastro Produtos (kiwkiw)'!C:E,3,0)</f>
        <v>#N/A</v>
      </c>
    </row>
    <row r="4321" spans="7:8" ht="15" customHeight="1" x14ac:dyDescent="0.4">
      <c r="G4321" s="27">
        <f t="shared" si="77"/>
        <v>0</v>
      </c>
      <c r="H4321" s="28" t="e">
        <f>VLOOKUP(E4321,'Cadastro Produtos (kiwkiw)'!C:E,3,0)</f>
        <v>#N/A</v>
      </c>
    </row>
    <row r="4322" spans="7:8" ht="15" customHeight="1" x14ac:dyDescent="0.4">
      <c r="G4322" s="27">
        <f t="shared" si="77"/>
        <v>0</v>
      </c>
      <c r="H4322" s="28" t="e">
        <f>VLOOKUP(E4322,'Cadastro Produtos (kiwkiw)'!C:E,3,0)</f>
        <v>#N/A</v>
      </c>
    </row>
    <row r="4323" spans="7:8" ht="15" customHeight="1" x14ac:dyDescent="0.4">
      <c r="G4323" s="27">
        <f t="shared" si="77"/>
        <v>0</v>
      </c>
      <c r="H4323" s="28" t="e">
        <f>VLOOKUP(E4323,'Cadastro Produtos (kiwkiw)'!C:E,3,0)</f>
        <v>#N/A</v>
      </c>
    </row>
    <row r="4324" spans="7:8" ht="15" customHeight="1" x14ac:dyDescent="0.4">
      <c r="G4324" s="27">
        <f t="shared" si="77"/>
        <v>0</v>
      </c>
      <c r="H4324" s="28" t="e">
        <f>VLOOKUP(E4324,'Cadastro Produtos (kiwkiw)'!C:E,3,0)</f>
        <v>#N/A</v>
      </c>
    </row>
    <row r="4325" spans="7:8" ht="15" customHeight="1" x14ac:dyDescent="0.4">
      <c r="G4325" s="27">
        <f t="shared" si="77"/>
        <v>0</v>
      </c>
      <c r="H4325" s="28" t="e">
        <f>VLOOKUP(E4325,'Cadastro Produtos (kiwkiw)'!C:E,3,0)</f>
        <v>#N/A</v>
      </c>
    </row>
    <row r="4326" spans="7:8" ht="15" customHeight="1" x14ac:dyDescent="0.4">
      <c r="G4326" s="27">
        <f t="shared" si="77"/>
        <v>0</v>
      </c>
      <c r="H4326" s="28" t="e">
        <f>VLOOKUP(E4326,'Cadastro Produtos (kiwkiw)'!C:E,3,0)</f>
        <v>#N/A</v>
      </c>
    </row>
    <row r="4327" spans="7:8" ht="15" customHeight="1" x14ac:dyDescent="0.4">
      <c r="G4327" s="27">
        <f t="shared" si="77"/>
        <v>0</v>
      </c>
      <c r="H4327" s="28" t="e">
        <f>VLOOKUP(E4327,'Cadastro Produtos (kiwkiw)'!C:E,3,0)</f>
        <v>#N/A</v>
      </c>
    </row>
    <row r="4328" spans="7:8" ht="15" customHeight="1" x14ac:dyDescent="0.4">
      <c r="G4328" s="27">
        <f t="shared" si="77"/>
        <v>0</v>
      </c>
      <c r="H4328" s="28" t="e">
        <f>VLOOKUP(E4328,'Cadastro Produtos (kiwkiw)'!C:E,3,0)</f>
        <v>#N/A</v>
      </c>
    </row>
    <row r="4329" spans="7:8" ht="15" customHeight="1" x14ac:dyDescent="0.4">
      <c r="G4329" s="27">
        <f t="shared" si="77"/>
        <v>0</v>
      </c>
      <c r="H4329" s="28" t="e">
        <f>VLOOKUP(E4329,'Cadastro Produtos (kiwkiw)'!C:E,3,0)</f>
        <v>#N/A</v>
      </c>
    </row>
    <row r="4330" spans="7:8" ht="15" customHeight="1" x14ac:dyDescent="0.4">
      <c r="G4330" s="27">
        <f t="shared" si="77"/>
        <v>0</v>
      </c>
      <c r="H4330" s="28" t="e">
        <f>VLOOKUP(E4330,'Cadastro Produtos (kiwkiw)'!C:E,3,0)</f>
        <v>#N/A</v>
      </c>
    </row>
    <row r="4331" spans="7:8" ht="15" customHeight="1" x14ac:dyDescent="0.4">
      <c r="G4331" s="27">
        <f t="shared" si="77"/>
        <v>0</v>
      </c>
      <c r="H4331" s="28" t="e">
        <f>VLOOKUP(E4331,'Cadastro Produtos (kiwkiw)'!C:E,3,0)</f>
        <v>#N/A</v>
      </c>
    </row>
    <row r="4332" spans="7:8" ht="15" customHeight="1" x14ac:dyDescent="0.4">
      <c r="G4332" s="27">
        <f t="shared" si="77"/>
        <v>0</v>
      </c>
      <c r="H4332" s="28" t="e">
        <f>VLOOKUP(E4332,'Cadastro Produtos (kiwkiw)'!C:E,3,0)</f>
        <v>#N/A</v>
      </c>
    </row>
    <row r="4333" spans="7:8" ht="15" customHeight="1" x14ac:dyDescent="0.4">
      <c r="G4333" s="27">
        <f t="shared" si="77"/>
        <v>0</v>
      </c>
      <c r="H4333" s="28" t="e">
        <f>VLOOKUP(E4333,'Cadastro Produtos (kiwkiw)'!C:E,3,0)</f>
        <v>#N/A</v>
      </c>
    </row>
    <row r="4334" spans="7:8" ht="15" customHeight="1" x14ac:dyDescent="0.4">
      <c r="G4334" s="27">
        <f t="shared" si="77"/>
        <v>0</v>
      </c>
      <c r="H4334" s="28" t="e">
        <f>VLOOKUP(E4334,'Cadastro Produtos (kiwkiw)'!C:E,3,0)</f>
        <v>#N/A</v>
      </c>
    </row>
    <row r="4335" spans="7:8" ht="15" customHeight="1" x14ac:dyDescent="0.4">
      <c r="G4335" s="27">
        <f t="shared" si="77"/>
        <v>0</v>
      </c>
      <c r="H4335" s="28" t="e">
        <f>VLOOKUP(E4335,'Cadastro Produtos (kiwkiw)'!C:E,3,0)</f>
        <v>#N/A</v>
      </c>
    </row>
    <row r="4336" spans="7:8" ht="15" customHeight="1" x14ac:dyDescent="0.4">
      <c r="G4336" s="27">
        <f t="shared" si="77"/>
        <v>0</v>
      </c>
      <c r="H4336" s="28" t="e">
        <f>VLOOKUP(E4336,'Cadastro Produtos (kiwkiw)'!C:E,3,0)</f>
        <v>#N/A</v>
      </c>
    </row>
    <row r="4337" spans="7:8" ht="15" customHeight="1" x14ac:dyDescent="0.4">
      <c r="G4337" s="27">
        <f t="shared" si="77"/>
        <v>0</v>
      </c>
      <c r="H4337" s="28" t="e">
        <f>VLOOKUP(E4337,'Cadastro Produtos (kiwkiw)'!C:E,3,0)</f>
        <v>#N/A</v>
      </c>
    </row>
    <row r="4338" spans="7:8" ht="15" customHeight="1" x14ac:dyDescent="0.4">
      <c r="G4338" s="27">
        <f t="shared" si="77"/>
        <v>0</v>
      </c>
      <c r="H4338" s="28" t="e">
        <f>VLOOKUP(E4338,'Cadastro Produtos (kiwkiw)'!C:E,3,0)</f>
        <v>#N/A</v>
      </c>
    </row>
    <row r="4339" spans="7:8" ht="15" customHeight="1" x14ac:dyDescent="0.4">
      <c r="G4339" s="27">
        <f t="shared" si="77"/>
        <v>0</v>
      </c>
      <c r="H4339" s="28" t="e">
        <f>VLOOKUP(E4339,'Cadastro Produtos (kiwkiw)'!C:E,3,0)</f>
        <v>#N/A</v>
      </c>
    </row>
    <row r="4340" spans="7:8" ht="15" customHeight="1" x14ac:dyDescent="0.4">
      <c r="G4340" s="27">
        <f t="shared" si="77"/>
        <v>0</v>
      </c>
      <c r="H4340" s="28" t="e">
        <f>VLOOKUP(E4340,'Cadastro Produtos (kiwkiw)'!C:E,3,0)</f>
        <v>#N/A</v>
      </c>
    </row>
    <row r="4341" spans="7:8" ht="15" customHeight="1" x14ac:dyDescent="0.4">
      <c r="G4341" s="27">
        <f t="shared" si="77"/>
        <v>0</v>
      </c>
      <c r="H4341" s="28" t="e">
        <f>VLOOKUP(E4341,'Cadastro Produtos (kiwkiw)'!C:E,3,0)</f>
        <v>#N/A</v>
      </c>
    </row>
    <row r="4342" spans="7:8" ht="15" customHeight="1" x14ac:dyDescent="0.4">
      <c r="G4342" s="27">
        <f t="shared" si="77"/>
        <v>0</v>
      </c>
      <c r="H4342" s="28" t="e">
        <f>VLOOKUP(E4342,'Cadastro Produtos (kiwkiw)'!C:E,3,0)</f>
        <v>#N/A</v>
      </c>
    </row>
    <row r="4343" spans="7:8" ht="15" customHeight="1" x14ac:dyDescent="0.4">
      <c r="G4343" s="27">
        <f t="shared" si="77"/>
        <v>0</v>
      </c>
      <c r="H4343" s="28" t="e">
        <f>VLOOKUP(E4343,'Cadastro Produtos (kiwkiw)'!C:E,3,0)</f>
        <v>#N/A</v>
      </c>
    </row>
    <row r="4344" spans="7:8" ht="15" customHeight="1" x14ac:dyDescent="0.4">
      <c r="G4344" s="27">
        <f t="shared" si="77"/>
        <v>0</v>
      </c>
      <c r="H4344" s="28" t="e">
        <f>VLOOKUP(E4344,'Cadastro Produtos (kiwkiw)'!C:E,3,0)</f>
        <v>#N/A</v>
      </c>
    </row>
    <row r="4345" spans="7:8" ht="15" customHeight="1" x14ac:dyDescent="0.4">
      <c r="G4345" s="27">
        <f t="shared" si="77"/>
        <v>0</v>
      </c>
      <c r="H4345" s="28" t="e">
        <f>VLOOKUP(E4345,'Cadastro Produtos (kiwkiw)'!C:E,3,0)</f>
        <v>#N/A</v>
      </c>
    </row>
    <row r="4346" spans="7:8" ht="15" customHeight="1" x14ac:dyDescent="0.4">
      <c r="G4346" s="27">
        <f t="shared" si="77"/>
        <v>0</v>
      </c>
      <c r="H4346" s="28" t="e">
        <f>VLOOKUP(E4346,'Cadastro Produtos (kiwkiw)'!C:E,3,0)</f>
        <v>#N/A</v>
      </c>
    </row>
    <row r="4347" spans="7:8" ht="15" customHeight="1" x14ac:dyDescent="0.4">
      <c r="G4347" s="27">
        <f t="shared" si="77"/>
        <v>0</v>
      </c>
      <c r="H4347" s="28" t="e">
        <f>VLOOKUP(E4347,'Cadastro Produtos (kiwkiw)'!C:E,3,0)</f>
        <v>#N/A</v>
      </c>
    </row>
    <row r="4348" spans="7:8" ht="15" customHeight="1" x14ac:dyDescent="0.4">
      <c r="G4348" s="27">
        <f t="shared" si="77"/>
        <v>0</v>
      </c>
      <c r="H4348" s="28" t="e">
        <f>VLOOKUP(E4348,'Cadastro Produtos (kiwkiw)'!C:E,3,0)</f>
        <v>#N/A</v>
      </c>
    </row>
    <row r="4349" spans="7:8" ht="15" customHeight="1" x14ac:dyDescent="0.4">
      <c r="G4349" s="27">
        <f t="shared" si="77"/>
        <v>0</v>
      </c>
      <c r="H4349" s="28" t="e">
        <f>VLOOKUP(E4349,'Cadastro Produtos (kiwkiw)'!C:E,3,0)</f>
        <v>#N/A</v>
      </c>
    </row>
    <row r="4350" spans="7:8" ht="15" customHeight="1" x14ac:dyDescent="0.4">
      <c r="G4350" s="27">
        <f t="shared" si="77"/>
        <v>0</v>
      </c>
      <c r="H4350" s="28" t="e">
        <f>VLOOKUP(E4350,'Cadastro Produtos (kiwkiw)'!C:E,3,0)</f>
        <v>#N/A</v>
      </c>
    </row>
    <row r="4351" spans="7:8" ht="15" customHeight="1" x14ac:dyDescent="0.4">
      <c r="G4351" s="27">
        <f t="shared" si="77"/>
        <v>0</v>
      </c>
      <c r="H4351" s="28" t="e">
        <f>VLOOKUP(E4351,'Cadastro Produtos (kiwkiw)'!C:E,3,0)</f>
        <v>#N/A</v>
      </c>
    </row>
    <row r="4352" spans="7:8" ht="15" customHeight="1" x14ac:dyDescent="0.4">
      <c r="G4352" s="27">
        <f t="shared" si="77"/>
        <v>0</v>
      </c>
      <c r="H4352" s="28" t="e">
        <f>VLOOKUP(E4352,'Cadastro Produtos (kiwkiw)'!C:E,3,0)</f>
        <v>#N/A</v>
      </c>
    </row>
    <row r="4353" spans="2:8" ht="15" customHeight="1" x14ac:dyDescent="0.4">
      <c r="G4353" s="27">
        <f t="shared" si="77"/>
        <v>0</v>
      </c>
      <c r="H4353" s="28" t="e">
        <f>VLOOKUP(E4353,'Cadastro Produtos (kiwkiw)'!C:E,3,0)</f>
        <v>#N/A</v>
      </c>
    </row>
    <row r="4354" spans="2:8" ht="15" customHeight="1" x14ac:dyDescent="0.4">
      <c r="G4354" s="27">
        <f t="shared" si="77"/>
        <v>0</v>
      </c>
      <c r="H4354" s="28" t="e">
        <f>VLOOKUP(E4354,'Cadastro Produtos (kiwkiw)'!C:E,3,0)</f>
        <v>#N/A</v>
      </c>
    </row>
    <row r="4355" spans="2:8" ht="15" customHeight="1" x14ac:dyDescent="0.4">
      <c r="G4355" s="27">
        <f t="shared" si="77"/>
        <v>0</v>
      </c>
      <c r="H4355" s="28" t="e">
        <f>VLOOKUP(E4355,'Cadastro Produtos (kiwkiw)'!C:E,3,0)</f>
        <v>#N/A</v>
      </c>
    </row>
    <row r="4356" spans="2:8" ht="15" customHeight="1" x14ac:dyDescent="0.4">
      <c r="G4356" s="27">
        <f t="shared" si="77"/>
        <v>0</v>
      </c>
      <c r="H4356" s="28" t="e">
        <f>VLOOKUP(E4356,'Cadastro Produtos (kiwkiw)'!C:E,3,0)</f>
        <v>#N/A</v>
      </c>
    </row>
    <row r="4357" spans="2:8" ht="15" customHeight="1" x14ac:dyDescent="0.4">
      <c r="G4357" s="27">
        <f t="shared" si="77"/>
        <v>0</v>
      </c>
      <c r="H4357" s="28" t="e">
        <f>VLOOKUP(E4357,'Cadastro Produtos (kiwkiw)'!C:E,3,0)</f>
        <v>#N/A</v>
      </c>
    </row>
    <row r="4358" spans="2:8" ht="15" customHeight="1" x14ac:dyDescent="0.4">
      <c r="G4358" s="27">
        <f t="shared" si="77"/>
        <v>0</v>
      </c>
      <c r="H4358" s="28" t="e">
        <f>VLOOKUP(E4358,'Cadastro Produtos (kiwkiw)'!C:E,3,0)</f>
        <v>#N/A</v>
      </c>
    </row>
    <row r="4359" spans="2:8" ht="15" customHeight="1" x14ac:dyDescent="0.4">
      <c r="G4359" s="27">
        <f t="shared" si="77"/>
        <v>0</v>
      </c>
      <c r="H4359" s="28" t="e">
        <f>VLOOKUP(E4359,'Cadastro Produtos (kiwkiw)'!C:E,3,0)</f>
        <v>#N/A</v>
      </c>
    </row>
    <row r="4360" spans="2:8" ht="15" customHeight="1" x14ac:dyDescent="0.4">
      <c r="G4360" s="27">
        <f t="shared" si="77"/>
        <v>0</v>
      </c>
      <c r="H4360" s="28" t="e">
        <f>VLOOKUP(E4360,'Cadastro Produtos (kiwkiw)'!C:E,3,0)</f>
        <v>#N/A</v>
      </c>
    </row>
    <row r="4361" spans="2:8" ht="15" customHeight="1" x14ac:dyDescent="0.4">
      <c r="G4361" s="27">
        <f t="shared" si="77"/>
        <v>0</v>
      </c>
      <c r="H4361" s="28" t="e">
        <f>VLOOKUP(E4361,'Cadastro Produtos (kiwkiw)'!C:E,3,0)</f>
        <v>#N/A</v>
      </c>
    </row>
    <row r="4362" spans="2:8" ht="15" customHeight="1" x14ac:dyDescent="0.4">
      <c r="G4362" s="27">
        <f t="shared" ref="G4362:G4364" si="78">IF(C4362="Entrada",F4362,-F4362)</f>
        <v>0</v>
      </c>
      <c r="H4362" s="28" t="e">
        <f>VLOOKUP(E4362,'Cadastro Produtos (kiwkiw)'!C:E,3,0)</f>
        <v>#N/A</v>
      </c>
    </row>
    <row r="4363" spans="2:8" ht="15" customHeight="1" x14ac:dyDescent="0.4">
      <c r="G4363" s="27">
        <f t="shared" si="78"/>
        <v>0</v>
      </c>
      <c r="H4363" s="28" t="e">
        <f>VLOOKUP(E4363,'Cadastro Produtos (kiwkiw)'!C:E,3,0)</f>
        <v>#N/A</v>
      </c>
    </row>
    <row r="4364" spans="2:8" ht="15" customHeight="1" x14ac:dyDescent="0.4">
      <c r="G4364" s="27">
        <f t="shared" si="78"/>
        <v>0</v>
      </c>
      <c r="H4364" s="28" t="e">
        <f>VLOOKUP(E4364,'Cadastro Produtos (kiwkiw)'!C:E,3,0)</f>
        <v>#N/A</v>
      </c>
    </row>
    <row r="4365" spans="2:8" ht="15" customHeight="1" x14ac:dyDescent="0.4">
      <c r="B4365" s="43"/>
      <c r="G4365" s="27">
        <f t="shared" ref="G4365:G4416" si="79">IF(C4365="Entrada",F4365,-F4365)</f>
        <v>0</v>
      </c>
      <c r="H4365" s="28" t="e">
        <f>VLOOKUP(E4365,'Cadastro Produtos (kiwkiw)'!C:E,3,0)</f>
        <v>#N/A</v>
      </c>
    </row>
    <row r="4366" spans="2:8" ht="15" customHeight="1" x14ac:dyDescent="0.4">
      <c r="G4366" s="27">
        <f t="shared" si="79"/>
        <v>0</v>
      </c>
      <c r="H4366" s="28" t="e">
        <f>VLOOKUP(E4366,'Cadastro Produtos (kiwkiw)'!C:E,3,0)</f>
        <v>#N/A</v>
      </c>
    </row>
    <row r="4367" spans="2:8" ht="15" customHeight="1" x14ac:dyDescent="0.4">
      <c r="G4367" s="27">
        <f t="shared" si="79"/>
        <v>0</v>
      </c>
      <c r="H4367" s="28" t="e">
        <f>VLOOKUP(E4367,'Cadastro Produtos (kiwkiw)'!C:E,3,0)</f>
        <v>#N/A</v>
      </c>
    </row>
    <row r="4368" spans="2:8" ht="15" customHeight="1" x14ac:dyDescent="0.4">
      <c r="G4368" s="27">
        <f t="shared" si="79"/>
        <v>0</v>
      </c>
      <c r="H4368" s="28" t="e">
        <f>VLOOKUP(E4368,'Cadastro Produtos (kiwkiw)'!C:E,3,0)</f>
        <v>#N/A</v>
      </c>
    </row>
    <row r="4369" spans="7:8" ht="15" customHeight="1" x14ac:dyDescent="0.4">
      <c r="G4369" s="27">
        <f t="shared" si="79"/>
        <v>0</v>
      </c>
      <c r="H4369" s="28" t="e">
        <f>VLOOKUP(E4369,'Cadastro Produtos (kiwkiw)'!C:E,3,0)</f>
        <v>#N/A</v>
      </c>
    </row>
    <row r="4370" spans="7:8" ht="15" customHeight="1" x14ac:dyDescent="0.4">
      <c r="G4370" s="27">
        <f t="shared" si="79"/>
        <v>0</v>
      </c>
      <c r="H4370" s="28" t="e">
        <f>VLOOKUP(E4370,'Cadastro Produtos (kiwkiw)'!C:E,3,0)</f>
        <v>#N/A</v>
      </c>
    </row>
    <row r="4371" spans="7:8" ht="15" customHeight="1" x14ac:dyDescent="0.4">
      <c r="G4371" s="27">
        <f t="shared" si="79"/>
        <v>0</v>
      </c>
      <c r="H4371" s="28" t="e">
        <f>VLOOKUP(E4371,'Cadastro Produtos (kiwkiw)'!C:E,3,0)</f>
        <v>#N/A</v>
      </c>
    </row>
    <row r="4372" spans="7:8" ht="15" customHeight="1" x14ac:dyDescent="0.4">
      <c r="G4372" s="27">
        <f t="shared" si="79"/>
        <v>0</v>
      </c>
      <c r="H4372" s="28" t="e">
        <f>VLOOKUP(E4372,'Cadastro Produtos (kiwkiw)'!C:E,3,0)</f>
        <v>#N/A</v>
      </c>
    </row>
    <row r="4373" spans="7:8" ht="15" customHeight="1" x14ac:dyDescent="0.4">
      <c r="G4373" s="27">
        <f t="shared" si="79"/>
        <v>0</v>
      </c>
      <c r="H4373" s="28" t="e">
        <f>VLOOKUP(E4373,'Cadastro Produtos (kiwkiw)'!C:E,3,0)</f>
        <v>#N/A</v>
      </c>
    </row>
    <row r="4374" spans="7:8" ht="15" customHeight="1" x14ac:dyDescent="0.4">
      <c r="G4374" s="27">
        <f t="shared" si="79"/>
        <v>0</v>
      </c>
      <c r="H4374" s="28" t="e">
        <f>VLOOKUP(E4374,'Cadastro Produtos (kiwkiw)'!C:E,3,0)</f>
        <v>#N/A</v>
      </c>
    </row>
    <row r="4375" spans="7:8" ht="15" customHeight="1" x14ac:dyDescent="0.4">
      <c r="G4375" s="27">
        <f t="shared" si="79"/>
        <v>0</v>
      </c>
      <c r="H4375" s="28" t="e">
        <f>VLOOKUP(E4375,'Cadastro Produtos (kiwkiw)'!C:E,3,0)</f>
        <v>#N/A</v>
      </c>
    </row>
    <row r="4376" spans="7:8" ht="15" customHeight="1" x14ac:dyDescent="0.4">
      <c r="G4376" s="27">
        <f t="shared" si="79"/>
        <v>0</v>
      </c>
      <c r="H4376" s="28" t="e">
        <f>VLOOKUP(E4376,'Cadastro Produtos (kiwkiw)'!C:E,3,0)</f>
        <v>#N/A</v>
      </c>
    </row>
    <row r="4377" spans="7:8" ht="15" customHeight="1" x14ac:dyDescent="0.4">
      <c r="G4377" s="27">
        <f t="shared" si="79"/>
        <v>0</v>
      </c>
      <c r="H4377" s="28" t="e">
        <f>VLOOKUP(E4377,'Cadastro Produtos (kiwkiw)'!C:E,3,0)</f>
        <v>#N/A</v>
      </c>
    </row>
    <row r="4378" spans="7:8" ht="15" customHeight="1" x14ac:dyDescent="0.4">
      <c r="G4378" s="27">
        <f t="shared" si="79"/>
        <v>0</v>
      </c>
      <c r="H4378" s="28" t="e">
        <f>VLOOKUP(E4378,'Cadastro Produtos (kiwkiw)'!C:E,3,0)</f>
        <v>#N/A</v>
      </c>
    </row>
    <row r="4379" spans="7:8" ht="15" customHeight="1" x14ac:dyDescent="0.4">
      <c r="G4379" s="27">
        <f t="shared" si="79"/>
        <v>0</v>
      </c>
      <c r="H4379" s="28" t="e">
        <f>VLOOKUP(E4379,'Cadastro Produtos (kiwkiw)'!C:E,3,0)</f>
        <v>#N/A</v>
      </c>
    </row>
    <row r="4380" spans="7:8" ht="15" customHeight="1" x14ac:dyDescent="0.4">
      <c r="G4380" s="27">
        <f t="shared" si="79"/>
        <v>0</v>
      </c>
      <c r="H4380" s="28" t="e">
        <f>VLOOKUP(E4380,'Cadastro Produtos (kiwkiw)'!C:E,3,0)</f>
        <v>#N/A</v>
      </c>
    </row>
    <row r="4381" spans="7:8" ht="15" customHeight="1" x14ac:dyDescent="0.4">
      <c r="G4381" s="27">
        <f t="shared" si="79"/>
        <v>0</v>
      </c>
      <c r="H4381" s="28" t="e">
        <f>VLOOKUP(E4381,'Cadastro Produtos (kiwkiw)'!C:E,3,0)</f>
        <v>#N/A</v>
      </c>
    </row>
    <row r="4382" spans="7:8" ht="15" customHeight="1" x14ac:dyDescent="0.4">
      <c r="G4382" s="27">
        <f t="shared" si="79"/>
        <v>0</v>
      </c>
      <c r="H4382" s="28" t="e">
        <f>VLOOKUP(E4382,'Cadastro Produtos (kiwkiw)'!C:E,3,0)</f>
        <v>#N/A</v>
      </c>
    </row>
    <row r="4383" spans="7:8" ht="15" customHeight="1" x14ac:dyDescent="0.4">
      <c r="G4383" s="27">
        <f t="shared" si="79"/>
        <v>0</v>
      </c>
      <c r="H4383" s="28" t="e">
        <f>VLOOKUP(E4383,'Cadastro Produtos (kiwkiw)'!C:E,3,0)</f>
        <v>#N/A</v>
      </c>
    </row>
    <row r="4384" spans="7:8" ht="15" customHeight="1" x14ac:dyDescent="0.4">
      <c r="G4384" s="27">
        <f t="shared" si="79"/>
        <v>0</v>
      </c>
      <c r="H4384" s="28" t="e">
        <f>VLOOKUP(E4384,'Cadastro Produtos (kiwkiw)'!C:E,3,0)</f>
        <v>#N/A</v>
      </c>
    </row>
    <row r="4385" spans="7:8" ht="15" customHeight="1" x14ac:dyDescent="0.4">
      <c r="G4385" s="27">
        <f t="shared" si="79"/>
        <v>0</v>
      </c>
      <c r="H4385" s="28" t="e">
        <f>VLOOKUP(E4385,'Cadastro Produtos (kiwkiw)'!C:E,3,0)</f>
        <v>#N/A</v>
      </c>
    </row>
    <row r="4386" spans="7:8" ht="15" customHeight="1" x14ac:dyDescent="0.4">
      <c r="G4386" s="27">
        <f t="shared" si="79"/>
        <v>0</v>
      </c>
      <c r="H4386" s="28" t="e">
        <f>VLOOKUP(E4386,'Cadastro Produtos (kiwkiw)'!C:E,3,0)</f>
        <v>#N/A</v>
      </c>
    </row>
    <row r="4387" spans="7:8" ht="15" customHeight="1" x14ac:dyDescent="0.4">
      <c r="G4387" s="27">
        <f t="shared" si="79"/>
        <v>0</v>
      </c>
      <c r="H4387" s="28" t="e">
        <f>VLOOKUP(E4387,'Cadastro Produtos (kiwkiw)'!C:E,3,0)</f>
        <v>#N/A</v>
      </c>
    </row>
    <row r="4388" spans="7:8" ht="15" customHeight="1" x14ac:dyDescent="0.4">
      <c r="G4388" s="27">
        <f t="shared" si="79"/>
        <v>0</v>
      </c>
      <c r="H4388" s="28" t="e">
        <f>VLOOKUP(E4388,'Cadastro Produtos (kiwkiw)'!C:E,3,0)</f>
        <v>#N/A</v>
      </c>
    </row>
    <row r="4389" spans="7:8" ht="15" customHeight="1" x14ac:dyDescent="0.4">
      <c r="G4389" s="27">
        <f t="shared" si="79"/>
        <v>0</v>
      </c>
      <c r="H4389" s="28" t="e">
        <f>VLOOKUP(E4389,'Cadastro Produtos (kiwkiw)'!C:E,3,0)</f>
        <v>#N/A</v>
      </c>
    </row>
    <row r="4390" spans="7:8" ht="15" customHeight="1" x14ac:dyDescent="0.4">
      <c r="G4390" s="27">
        <f t="shared" si="79"/>
        <v>0</v>
      </c>
      <c r="H4390" s="28" t="e">
        <f>VLOOKUP(E4390,'Cadastro Produtos (kiwkiw)'!C:E,3,0)</f>
        <v>#N/A</v>
      </c>
    </row>
    <row r="4391" spans="7:8" ht="15" customHeight="1" x14ac:dyDescent="0.4">
      <c r="G4391" s="27">
        <f t="shared" si="79"/>
        <v>0</v>
      </c>
      <c r="H4391" s="28" t="e">
        <f>VLOOKUP(E4391,'Cadastro Produtos (kiwkiw)'!C:E,3,0)</f>
        <v>#N/A</v>
      </c>
    </row>
    <row r="4392" spans="7:8" ht="15" customHeight="1" x14ac:dyDescent="0.4">
      <c r="G4392" s="27">
        <f t="shared" si="79"/>
        <v>0</v>
      </c>
      <c r="H4392" s="28" t="e">
        <f>VLOOKUP(E4392,'Cadastro Produtos (kiwkiw)'!C:E,3,0)</f>
        <v>#N/A</v>
      </c>
    </row>
    <row r="4393" spans="7:8" ht="15" customHeight="1" x14ac:dyDescent="0.4">
      <c r="G4393" s="27">
        <f t="shared" si="79"/>
        <v>0</v>
      </c>
      <c r="H4393" s="28" t="e">
        <f>VLOOKUP(E4393,'Cadastro Produtos (kiwkiw)'!C:E,3,0)</f>
        <v>#N/A</v>
      </c>
    </row>
    <row r="4394" spans="7:8" ht="15" customHeight="1" x14ac:dyDescent="0.4">
      <c r="G4394" s="27">
        <f t="shared" si="79"/>
        <v>0</v>
      </c>
      <c r="H4394" s="28" t="e">
        <f>VLOOKUP(E4394,'Cadastro Produtos (kiwkiw)'!C:E,3,0)</f>
        <v>#N/A</v>
      </c>
    </row>
    <row r="4395" spans="7:8" ht="15" customHeight="1" x14ac:dyDescent="0.4">
      <c r="G4395" s="27">
        <f t="shared" si="79"/>
        <v>0</v>
      </c>
      <c r="H4395" s="28" t="e">
        <f>VLOOKUP(E4395,'Cadastro Produtos (kiwkiw)'!C:E,3,0)</f>
        <v>#N/A</v>
      </c>
    </row>
    <row r="4396" spans="7:8" ht="15" customHeight="1" x14ac:dyDescent="0.4">
      <c r="G4396" s="27">
        <f t="shared" si="79"/>
        <v>0</v>
      </c>
      <c r="H4396" s="28" t="e">
        <f>VLOOKUP(E4396,'Cadastro Produtos (kiwkiw)'!C:E,3,0)</f>
        <v>#N/A</v>
      </c>
    </row>
    <row r="4397" spans="7:8" ht="15" customHeight="1" x14ac:dyDescent="0.4">
      <c r="G4397" s="27">
        <f t="shared" si="79"/>
        <v>0</v>
      </c>
      <c r="H4397" s="28" t="e">
        <f>VLOOKUP(E4397,'Cadastro Produtos (kiwkiw)'!C:E,3,0)</f>
        <v>#N/A</v>
      </c>
    </row>
    <row r="4398" spans="7:8" ht="15" customHeight="1" x14ac:dyDescent="0.4">
      <c r="G4398" s="27">
        <f t="shared" si="79"/>
        <v>0</v>
      </c>
      <c r="H4398" s="28" t="e">
        <f>VLOOKUP(E4398,'Cadastro Produtos (kiwkiw)'!C:E,3,0)</f>
        <v>#N/A</v>
      </c>
    </row>
    <row r="4399" spans="7:8" ht="15" customHeight="1" x14ac:dyDescent="0.4">
      <c r="G4399" s="27">
        <f t="shared" si="79"/>
        <v>0</v>
      </c>
      <c r="H4399" s="28" t="e">
        <f>VLOOKUP(E4399,'Cadastro Produtos (kiwkiw)'!C:E,3,0)</f>
        <v>#N/A</v>
      </c>
    </row>
    <row r="4400" spans="7:8" ht="15" customHeight="1" x14ac:dyDescent="0.4">
      <c r="G4400" s="27">
        <f t="shared" si="79"/>
        <v>0</v>
      </c>
      <c r="H4400" s="28" t="e">
        <f>VLOOKUP(E4400,'Cadastro Produtos (kiwkiw)'!C:E,3,0)</f>
        <v>#N/A</v>
      </c>
    </row>
    <row r="4401" spans="7:8" ht="15" customHeight="1" x14ac:dyDescent="0.4">
      <c r="G4401" s="27">
        <f t="shared" si="79"/>
        <v>0</v>
      </c>
      <c r="H4401" s="28" t="e">
        <f>VLOOKUP(E4401,'Cadastro Produtos (kiwkiw)'!C:E,3,0)</f>
        <v>#N/A</v>
      </c>
    </row>
    <row r="4402" spans="7:8" ht="15" customHeight="1" x14ac:dyDescent="0.4">
      <c r="G4402" s="27">
        <f t="shared" si="79"/>
        <v>0</v>
      </c>
      <c r="H4402" s="28" t="e">
        <f>VLOOKUP(E4402,'Cadastro Produtos (kiwkiw)'!C:E,3,0)</f>
        <v>#N/A</v>
      </c>
    </row>
    <row r="4403" spans="7:8" ht="15" customHeight="1" x14ac:dyDescent="0.4">
      <c r="G4403" s="27">
        <f t="shared" si="79"/>
        <v>0</v>
      </c>
      <c r="H4403" s="28" t="e">
        <f>VLOOKUP(E4403,'Cadastro Produtos (kiwkiw)'!C:E,3,0)</f>
        <v>#N/A</v>
      </c>
    </row>
    <row r="4404" spans="7:8" ht="15" customHeight="1" x14ac:dyDescent="0.4">
      <c r="G4404" s="27">
        <f t="shared" si="79"/>
        <v>0</v>
      </c>
      <c r="H4404" s="28" t="e">
        <f>VLOOKUP(E4404,'Cadastro Produtos (kiwkiw)'!C:E,3,0)</f>
        <v>#N/A</v>
      </c>
    </row>
    <row r="4405" spans="7:8" ht="15" customHeight="1" x14ac:dyDescent="0.4">
      <c r="G4405" s="27">
        <f t="shared" si="79"/>
        <v>0</v>
      </c>
      <c r="H4405" s="28" t="e">
        <f>VLOOKUP(E4405,'Cadastro Produtos (kiwkiw)'!C:E,3,0)</f>
        <v>#N/A</v>
      </c>
    </row>
    <row r="4406" spans="7:8" ht="15" customHeight="1" x14ac:dyDescent="0.4">
      <c r="G4406" s="27">
        <f t="shared" si="79"/>
        <v>0</v>
      </c>
      <c r="H4406" s="28" t="e">
        <f>VLOOKUP(E4406,'Cadastro Produtos (kiwkiw)'!C:E,3,0)</f>
        <v>#N/A</v>
      </c>
    </row>
    <row r="4407" spans="7:8" ht="15" customHeight="1" x14ac:dyDescent="0.4">
      <c r="G4407" s="27">
        <f t="shared" si="79"/>
        <v>0</v>
      </c>
      <c r="H4407" s="28" t="e">
        <f>VLOOKUP(E4407,'Cadastro Produtos (kiwkiw)'!C:E,3,0)</f>
        <v>#N/A</v>
      </c>
    </row>
    <row r="4408" spans="7:8" ht="15" customHeight="1" x14ac:dyDescent="0.4">
      <c r="G4408" s="27">
        <f t="shared" si="79"/>
        <v>0</v>
      </c>
      <c r="H4408" s="28" t="e">
        <f>VLOOKUP(E4408,'Cadastro Produtos (kiwkiw)'!C:E,3,0)</f>
        <v>#N/A</v>
      </c>
    </row>
    <row r="4409" spans="7:8" ht="15" customHeight="1" x14ac:dyDescent="0.4">
      <c r="G4409" s="27">
        <f t="shared" si="79"/>
        <v>0</v>
      </c>
      <c r="H4409" s="28" t="e">
        <f>VLOOKUP(E4409,'Cadastro Produtos (kiwkiw)'!C:E,3,0)</f>
        <v>#N/A</v>
      </c>
    </row>
    <row r="4410" spans="7:8" ht="15" customHeight="1" x14ac:dyDescent="0.4">
      <c r="G4410" s="27">
        <f t="shared" si="79"/>
        <v>0</v>
      </c>
      <c r="H4410" s="28" t="e">
        <f>VLOOKUP(E4410,'Cadastro Produtos (kiwkiw)'!C:E,3,0)</f>
        <v>#N/A</v>
      </c>
    </row>
    <row r="4411" spans="7:8" ht="15" customHeight="1" x14ac:dyDescent="0.4">
      <c r="G4411" s="27">
        <f t="shared" si="79"/>
        <v>0</v>
      </c>
      <c r="H4411" s="28" t="e">
        <f>VLOOKUP(E4411,'Cadastro Produtos (kiwkiw)'!C:E,3,0)</f>
        <v>#N/A</v>
      </c>
    </row>
    <row r="4412" spans="7:8" ht="15" customHeight="1" x14ac:dyDescent="0.4">
      <c r="G4412" s="27">
        <f t="shared" si="79"/>
        <v>0</v>
      </c>
      <c r="H4412" s="28" t="e">
        <f>VLOOKUP(E4412,'Cadastro Produtos (kiwkiw)'!C:E,3,0)</f>
        <v>#N/A</v>
      </c>
    </row>
    <row r="4413" spans="7:8" ht="15" customHeight="1" x14ac:dyDescent="0.4">
      <c r="G4413" s="27">
        <f t="shared" si="79"/>
        <v>0</v>
      </c>
      <c r="H4413" s="28" t="e">
        <f>VLOOKUP(E4413,'Cadastro Produtos (kiwkiw)'!C:E,3,0)</f>
        <v>#N/A</v>
      </c>
    </row>
    <row r="4414" spans="7:8" ht="15" customHeight="1" x14ac:dyDescent="0.4">
      <c r="G4414" s="27">
        <f t="shared" si="79"/>
        <v>0</v>
      </c>
      <c r="H4414" s="28" t="e">
        <f>VLOOKUP(E4414,'Cadastro Produtos (kiwkiw)'!C:E,3,0)</f>
        <v>#N/A</v>
      </c>
    </row>
    <row r="4415" spans="7:8" ht="15" customHeight="1" x14ac:dyDescent="0.4">
      <c r="G4415" s="27">
        <f t="shared" si="79"/>
        <v>0</v>
      </c>
      <c r="H4415" s="28" t="e">
        <f>VLOOKUP(E4415,'Cadastro Produtos (kiwkiw)'!C:E,3,0)</f>
        <v>#N/A</v>
      </c>
    </row>
    <row r="4416" spans="7:8" ht="15" customHeight="1" x14ac:dyDescent="0.4">
      <c r="G4416" s="27">
        <f t="shared" si="79"/>
        <v>0</v>
      </c>
      <c r="H4416" s="28" t="e">
        <f>VLOOKUP(E4416,'Cadastro Produtos (kiwkiw)'!C:E,3,0)</f>
        <v>#N/A</v>
      </c>
    </row>
    <row r="4417" spans="2:8" ht="15" customHeight="1" x14ac:dyDescent="0.4">
      <c r="G4417" s="27">
        <f t="shared" ref="G4417:G4480" si="80">IF(C4417="Entrada",F4417,-F4417)</f>
        <v>0</v>
      </c>
      <c r="H4417" s="28" t="e">
        <f>VLOOKUP(E4417,'Cadastro Produtos (kiwkiw)'!C:E,3,0)</f>
        <v>#N/A</v>
      </c>
    </row>
    <row r="4418" spans="2:8" ht="15" customHeight="1" x14ac:dyDescent="0.4">
      <c r="G4418" s="27">
        <f t="shared" si="80"/>
        <v>0</v>
      </c>
      <c r="H4418" s="28" t="e">
        <f>VLOOKUP(E4418,'Cadastro Produtos (kiwkiw)'!C:E,3,0)</f>
        <v>#N/A</v>
      </c>
    </row>
    <row r="4419" spans="2:8" ht="15" customHeight="1" x14ac:dyDescent="0.4">
      <c r="G4419" s="27">
        <f t="shared" si="80"/>
        <v>0</v>
      </c>
      <c r="H4419" s="28" t="e">
        <f>VLOOKUP(E4419,'Cadastro Produtos (kiwkiw)'!C:E,3,0)</f>
        <v>#N/A</v>
      </c>
    </row>
    <row r="4420" spans="2:8" ht="15" customHeight="1" x14ac:dyDescent="0.4">
      <c r="G4420" s="27">
        <f t="shared" si="80"/>
        <v>0</v>
      </c>
      <c r="H4420" s="28" t="e">
        <f>VLOOKUP(E4420,'Cadastro Produtos (kiwkiw)'!C:E,3,0)</f>
        <v>#N/A</v>
      </c>
    </row>
    <row r="4421" spans="2:8" ht="15" customHeight="1" x14ac:dyDescent="0.4">
      <c r="G4421" s="27">
        <f t="shared" si="80"/>
        <v>0</v>
      </c>
      <c r="H4421" s="28" t="e">
        <f>VLOOKUP(E4421,'Cadastro Produtos (kiwkiw)'!C:E,3,0)</f>
        <v>#N/A</v>
      </c>
    </row>
    <row r="4422" spans="2:8" ht="15" customHeight="1" x14ac:dyDescent="0.4">
      <c r="G4422" s="27">
        <f t="shared" si="80"/>
        <v>0</v>
      </c>
      <c r="H4422" s="28" t="e">
        <f>VLOOKUP(E4422,'Cadastro Produtos (kiwkiw)'!C:E,3,0)</f>
        <v>#N/A</v>
      </c>
    </row>
    <row r="4423" spans="2:8" ht="15" customHeight="1" x14ac:dyDescent="0.4">
      <c r="G4423" s="27">
        <f t="shared" si="80"/>
        <v>0</v>
      </c>
      <c r="H4423" s="28" t="e">
        <f>VLOOKUP(E4423,'Cadastro Produtos (kiwkiw)'!C:E,3,0)</f>
        <v>#N/A</v>
      </c>
    </row>
    <row r="4424" spans="2:8" ht="15" customHeight="1" x14ac:dyDescent="0.4">
      <c r="G4424" s="27">
        <f t="shared" si="80"/>
        <v>0</v>
      </c>
      <c r="H4424" s="28" t="e">
        <f>VLOOKUP(E4424,'Cadastro Produtos (kiwkiw)'!C:E,3,0)</f>
        <v>#N/A</v>
      </c>
    </row>
    <row r="4425" spans="2:8" ht="15" customHeight="1" x14ac:dyDescent="0.4">
      <c r="G4425" s="27">
        <f t="shared" si="80"/>
        <v>0</v>
      </c>
      <c r="H4425" s="28" t="e">
        <f>VLOOKUP(E4425,'Cadastro Produtos (kiwkiw)'!C:E,3,0)</f>
        <v>#N/A</v>
      </c>
    </row>
    <row r="4426" spans="2:8" ht="15" customHeight="1" x14ac:dyDescent="0.4">
      <c r="G4426" s="27">
        <f t="shared" si="80"/>
        <v>0</v>
      </c>
      <c r="H4426" s="28" t="e">
        <f>VLOOKUP(E4426,'Cadastro Produtos (kiwkiw)'!C:E,3,0)</f>
        <v>#N/A</v>
      </c>
    </row>
    <row r="4427" spans="2:8" ht="15" customHeight="1" x14ac:dyDescent="0.4">
      <c r="G4427" s="27">
        <f t="shared" si="80"/>
        <v>0</v>
      </c>
      <c r="H4427" s="28" t="e">
        <f>VLOOKUP(E4427,'Cadastro Produtos (kiwkiw)'!C:E,3,0)</f>
        <v>#N/A</v>
      </c>
    </row>
    <row r="4428" spans="2:8" ht="15" customHeight="1" x14ac:dyDescent="0.4">
      <c r="B4428" s="43"/>
      <c r="G4428" s="27">
        <f t="shared" si="80"/>
        <v>0</v>
      </c>
      <c r="H4428" s="28" t="e">
        <f>VLOOKUP(E4428,'Cadastro Produtos (kiwkiw)'!C:E,3,0)</f>
        <v>#N/A</v>
      </c>
    </row>
    <row r="4429" spans="2:8" ht="15" customHeight="1" x14ac:dyDescent="0.4">
      <c r="G4429" s="27">
        <f t="shared" si="80"/>
        <v>0</v>
      </c>
      <c r="H4429" s="28" t="e">
        <f>VLOOKUP(E4429,'Cadastro Produtos (kiwkiw)'!C:E,3,0)</f>
        <v>#N/A</v>
      </c>
    </row>
    <row r="4430" spans="2:8" ht="15" customHeight="1" x14ac:dyDescent="0.4">
      <c r="G4430" s="27">
        <f t="shared" si="80"/>
        <v>0</v>
      </c>
      <c r="H4430" s="28" t="e">
        <f>VLOOKUP(E4430,'Cadastro Produtos (kiwkiw)'!C:E,3,0)</f>
        <v>#N/A</v>
      </c>
    </row>
    <row r="4431" spans="2:8" ht="15" customHeight="1" x14ac:dyDescent="0.4">
      <c r="G4431" s="27">
        <f t="shared" si="80"/>
        <v>0</v>
      </c>
      <c r="H4431" s="28" t="e">
        <f>VLOOKUP(E4431,'Cadastro Produtos (kiwkiw)'!C:E,3,0)</f>
        <v>#N/A</v>
      </c>
    </row>
    <row r="4432" spans="2:8" ht="15" customHeight="1" x14ac:dyDescent="0.4">
      <c r="G4432" s="27">
        <f t="shared" si="80"/>
        <v>0</v>
      </c>
      <c r="H4432" s="28" t="e">
        <f>VLOOKUP(E4432,'Cadastro Produtos (kiwkiw)'!C:E,3,0)</f>
        <v>#N/A</v>
      </c>
    </row>
    <row r="4433" spans="7:8" ht="15" customHeight="1" x14ac:dyDescent="0.4">
      <c r="G4433" s="27">
        <f t="shared" si="80"/>
        <v>0</v>
      </c>
      <c r="H4433" s="28" t="e">
        <f>VLOOKUP(E4433,'Cadastro Produtos (kiwkiw)'!C:E,3,0)</f>
        <v>#N/A</v>
      </c>
    </row>
    <row r="4434" spans="7:8" ht="15" customHeight="1" x14ac:dyDescent="0.4">
      <c r="G4434" s="27">
        <f t="shared" si="80"/>
        <v>0</v>
      </c>
      <c r="H4434" s="28" t="e">
        <f>VLOOKUP(E4434,'Cadastro Produtos (kiwkiw)'!C:E,3,0)</f>
        <v>#N/A</v>
      </c>
    </row>
    <row r="4435" spans="7:8" ht="15" customHeight="1" x14ac:dyDescent="0.4">
      <c r="G4435" s="27">
        <f t="shared" si="80"/>
        <v>0</v>
      </c>
      <c r="H4435" s="28" t="e">
        <f>VLOOKUP(E4435,'Cadastro Produtos (kiwkiw)'!C:E,3,0)</f>
        <v>#N/A</v>
      </c>
    </row>
    <row r="4436" spans="7:8" ht="15" customHeight="1" x14ac:dyDescent="0.4">
      <c r="G4436" s="27">
        <f t="shared" si="80"/>
        <v>0</v>
      </c>
      <c r="H4436" s="28" t="e">
        <f>VLOOKUP(E4436,'Cadastro Produtos (kiwkiw)'!C:E,3,0)</f>
        <v>#N/A</v>
      </c>
    </row>
    <row r="4437" spans="7:8" ht="15" customHeight="1" x14ac:dyDescent="0.4">
      <c r="G4437" s="27">
        <f t="shared" si="80"/>
        <v>0</v>
      </c>
      <c r="H4437" s="28" t="e">
        <f>VLOOKUP(E4437,'Cadastro Produtos (kiwkiw)'!C:E,3,0)</f>
        <v>#N/A</v>
      </c>
    </row>
    <row r="4438" spans="7:8" ht="15" customHeight="1" x14ac:dyDescent="0.4">
      <c r="G4438" s="27">
        <f t="shared" si="80"/>
        <v>0</v>
      </c>
      <c r="H4438" s="28" t="e">
        <f>VLOOKUP(E4438,'Cadastro Produtos (kiwkiw)'!C:E,3,0)</f>
        <v>#N/A</v>
      </c>
    </row>
    <row r="4439" spans="7:8" ht="15" customHeight="1" x14ac:dyDescent="0.4">
      <c r="G4439" s="27">
        <f t="shared" si="80"/>
        <v>0</v>
      </c>
      <c r="H4439" s="28" t="e">
        <f>VLOOKUP(E4439,'Cadastro Produtos (kiwkiw)'!C:E,3,0)</f>
        <v>#N/A</v>
      </c>
    </row>
    <row r="4440" spans="7:8" ht="15" customHeight="1" x14ac:dyDescent="0.4">
      <c r="G4440" s="27">
        <f t="shared" si="80"/>
        <v>0</v>
      </c>
      <c r="H4440" s="28" t="e">
        <f>VLOOKUP(E4440,'Cadastro Produtos (kiwkiw)'!C:E,3,0)</f>
        <v>#N/A</v>
      </c>
    </row>
    <row r="4441" spans="7:8" ht="15" customHeight="1" x14ac:dyDescent="0.4">
      <c r="G4441" s="27">
        <f t="shared" si="80"/>
        <v>0</v>
      </c>
      <c r="H4441" s="28" t="e">
        <f>VLOOKUP(E4441,'Cadastro Produtos (kiwkiw)'!C:E,3,0)</f>
        <v>#N/A</v>
      </c>
    </row>
    <row r="4442" spans="7:8" ht="15" customHeight="1" x14ac:dyDescent="0.4">
      <c r="G4442" s="27">
        <f t="shared" si="80"/>
        <v>0</v>
      </c>
      <c r="H4442" s="28" t="e">
        <f>VLOOKUP(E4442,'Cadastro Produtos (kiwkiw)'!C:E,3,0)</f>
        <v>#N/A</v>
      </c>
    </row>
    <row r="4443" spans="7:8" ht="15" customHeight="1" x14ac:dyDescent="0.4">
      <c r="G4443" s="27">
        <f t="shared" si="80"/>
        <v>0</v>
      </c>
      <c r="H4443" s="28" t="e">
        <f>VLOOKUP(E4443,'Cadastro Produtos (kiwkiw)'!C:E,3,0)</f>
        <v>#N/A</v>
      </c>
    </row>
    <row r="4444" spans="7:8" ht="15" customHeight="1" x14ac:dyDescent="0.4">
      <c r="G4444" s="27">
        <f t="shared" si="80"/>
        <v>0</v>
      </c>
      <c r="H4444" s="28" t="e">
        <f>VLOOKUP(E4444,'Cadastro Produtos (kiwkiw)'!C:E,3,0)</f>
        <v>#N/A</v>
      </c>
    </row>
    <row r="4445" spans="7:8" ht="15" customHeight="1" x14ac:dyDescent="0.4">
      <c r="G4445" s="27">
        <f t="shared" si="80"/>
        <v>0</v>
      </c>
      <c r="H4445" s="28" t="e">
        <f>VLOOKUP(E4445,'Cadastro Produtos (kiwkiw)'!C:E,3,0)</f>
        <v>#N/A</v>
      </c>
    </row>
    <row r="4446" spans="7:8" ht="15" customHeight="1" x14ac:dyDescent="0.4">
      <c r="G4446" s="27">
        <f t="shared" si="80"/>
        <v>0</v>
      </c>
      <c r="H4446" s="28" t="e">
        <f>VLOOKUP(E4446,'Cadastro Produtos (kiwkiw)'!C:E,3,0)</f>
        <v>#N/A</v>
      </c>
    </row>
    <row r="4447" spans="7:8" ht="15" customHeight="1" x14ac:dyDescent="0.4">
      <c r="G4447" s="27">
        <f t="shared" si="80"/>
        <v>0</v>
      </c>
      <c r="H4447" s="28" t="e">
        <f>VLOOKUP(E4447,'Cadastro Produtos (kiwkiw)'!C:E,3,0)</f>
        <v>#N/A</v>
      </c>
    </row>
    <row r="4448" spans="7:8" ht="15" customHeight="1" x14ac:dyDescent="0.4">
      <c r="G4448" s="27">
        <f t="shared" si="80"/>
        <v>0</v>
      </c>
      <c r="H4448" s="28" t="e">
        <f>VLOOKUP(E4448,'Cadastro Produtos (kiwkiw)'!C:E,3,0)</f>
        <v>#N/A</v>
      </c>
    </row>
    <row r="4449" spans="7:8" ht="15" customHeight="1" x14ac:dyDescent="0.4">
      <c r="G4449" s="27">
        <f t="shared" si="80"/>
        <v>0</v>
      </c>
      <c r="H4449" s="28" t="e">
        <f>VLOOKUP(E4449,'Cadastro Produtos (kiwkiw)'!C:E,3,0)</f>
        <v>#N/A</v>
      </c>
    </row>
    <row r="4450" spans="7:8" ht="15" customHeight="1" x14ac:dyDescent="0.4">
      <c r="G4450" s="27">
        <f t="shared" si="80"/>
        <v>0</v>
      </c>
      <c r="H4450" s="28" t="e">
        <f>VLOOKUP(E4450,'Cadastro Produtos (kiwkiw)'!C:E,3,0)</f>
        <v>#N/A</v>
      </c>
    </row>
    <row r="4451" spans="7:8" ht="15" customHeight="1" x14ac:dyDescent="0.4">
      <c r="G4451" s="27">
        <f t="shared" si="80"/>
        <v>0</v>
      </c>
      <c r="H4451" s="28" t="e">
        <f>VLOOKUP(E4451,'Cadastro Produtos (kiwkiw)'!C:E,3,0)</f>
        <v>#N/A</v>
      </c>
    </row>
    <row r="4452" spans="7:8" ht="15" customHeight="1" x14ac:dyDescent="0.4">
      <c r="G4452" s="27">
        <f t="shared" si="80"/>
        <v>0</v>
      </c>
      <c r="H4452" s="28" t="e">
        <f>VLOOKUP(E4452,'Cadastro Produtos (kiwkiw)'!C:E,3,0)</f>
        <v>#N/A</v>
      </c>
    </row>
    <row r="4453" spans="7:8" ht="15" customHeight="1" x14ac:dyDescent="0.4">
      <c r="G4453" s="27">
        <f t="shared" si="80"/>
        <v>0</v>
      </c>
      <c r="H4453" s="28" t="e">
        <f>VLOOKUP(E4453,'Cadastro Produtos (kiwkiw)'!C:E,3,0)</f>
        <v>#N/A</v>
      </c>
    </row>
    <row r="4454" spans="7:8" ht="15" customHeight="1" x14ac:dyDescent="0.4">
      <c r="G4454" s="27">
        <f t="shared" si="80"/>
        <v>0</v>
      </c>
      <c r="H4454" s="28" t="e">
        <f>VLOOKUP(E4454,'Cadastro Produtos (kiwkiw)'!C:E,3,0)</f>
        <v>#N/A</v>
      </c>
    </row>
    <row r="4455" spans="7:8" ht="15" customHeight="1" x14ac:dyDescent="0.4">
      <c r="G4455" s="27">
        <f t="shared" si="80"/>
        <v>0</v>
      </c>
      <c r="H4455" s="28" t="e">
        <f>VLOOKUP(E4455,'Cadastro Produtos (kiwkiw)'!C:E,3,0)</f>
        <v>#N/A</v>
      </c>
    </row>
    <row r="4456" spans="7:8" ht="15" customHeight="1" x14ac:dyDescent="0.4">
      <c r="G4456" s="27">
        <f t="shared" si="80"/>
        <v>0</v>
      </c>
      <c r="H4456" s="28" t="e">
        <f>VLOOKUP(E4456,'Cadastro Produtos (kiwkiw)'!C:E,3,0)</f>
        <v>#N/A</v>
      </c>
    </row>
    <row r="4457" spans="7:8" ht="15" customHeight="1" x14ac:dyDescent="0.4">
      <c r="G4457" s="27">
        <f t="shared" si="80"/>
        <v>0</v>
      </c>
      <c r="H4457" s="28" t="e">
        <f>VLOOKUP(E4457,'Cadastro Produtos (kiwkiw)'!C:E,3,0)</f>
        <v>#N/A</v>
      </c>
    </row>
    <row r="4458" spans="7:8" ht="15" customHeight="1" x14ac:dyDescent="0.4">
      <c r="G4458" s="27">
        <f t="shared" si="80"/>
        <v>0</v>
      </c>
      <c r="H4458" s="28" t="e">
        <f>VLOOKUP(E4458,'Cadastro Produtos (kiwkiw)'!C:E,3,0)</f>
        <v>#N/A</v>
      </c>
    </row>
    <row r="4459" spans="7:8" ht="15" customHeight="1" x14ac:dyDescent="0.4">
      <c r="G4459" s="27">
        <f t="shared" si="80"/>
        <v>0</v>
      </c>
      <c r="H4459" s="28" t="e">
        <f>VLOOKUP(E4459,'Cadastro Produtos (kiwkiw)'!C:E,3,0)</f>
        <v>#N/A</v>
      </c>
    </row>
    <row r="4460" spans="7:8" ht="15" customHeight="1" x14ac:dyDescent="0.4">
      <c r="G4460" s="27">
        <f t="shared" si="80"/>
        <v>0</v>
      </c>
      <c r="H4460" s="28" t="e">
        <f>VLOOKUP(E4460,'Cadastro Produtos (kiwkiw)'!C:E,3,0)</f>
        <v>#N/A</v>
      </c>
    </row>
    <row r="4461" spans="7:8" ht="15" customHeight="1" x14ac:dyDescent="0.4">
      <c r="G4461" s="27">
        <f t="shared" si="80"/>
        <v>0</v>
      </c>
      <c r="H4461" s="28" t="e">
        <f>VLOOKUP(E4461,'Cadastro Produtos (kiwkiw)'!C:E,3,0)</f>
        <v>#N/A</v>
      </c>
    </row>
    <row r="4462" spans="7:8" ht="15" customHeight="1" x14ac:dyDescent="0.4">
      <c r="G4462" s="27">
        <f t="shared" si="80"/>
        <v>0</v>
      </c>
      <c r="H4462" s="28" t="e">
        <f>VLOOKUP(E4462,'Cadastro Produtos (kiwkiw)'!C:E,3,0)</f>
        <v>#N/A</v>
      </c>
    </row>
    <row r="4463" spans="7:8" ht="15" customHeight="1" x14ac:dyDescent="0.4">
      <c r="G4463" s="27">
        <f t="shared" si="80"/>
        <v>0</v>
      </c>
      <c r="H4463" s="28" t="e">
        <f>VLOOKUP(E4463,'Cadastro Produtos (kiwkiw)'!C:E,3,0)</f>
        <v>#N/A</v>
      </c>
    </row>
    <row r="4464" spans="7:8" ht="15" customHeight="1" x14ac:dyDescent="0.4">
      <c r="G4464" s="27">
        <f t="shared" si="80"/>
        <v>0</v>
      </c>
      <c r="H4464" s="28" t="e">
        <f>VLOOKUP(E4464,'Cadastro Produtos (kiwkiw)'!C:E,3,0)</f>
        <v>#N/A</v>
      </c>
    </row>
    <row r="4465" spans="7:8" ht="15" customHeight="1" x14ac:dyDescent="0.4">
      <c r="G4465" s="27">
        <f t="shared" si="80"/>
        <v>0</v>
      </c>
      <c r="H4465" s="28" t="e">
        <f>VLOOKUP(E4465,'Cadastro Produtos (kiwkiw)'!C:E,3,0)</f>
        <v>#N/A</v>
      </c>
    </row>
    <row r="4466" spans="7:8" ht="15" customHeight="1" x14ac:dyDescent="0.4">
      <c r="G4466" s="27">
        <f t="shared" si="80"/>
        <v>0</v>
      </c>
      <c r="H4466" s="28" t="e">
        <f>VLOOKUP(E4466,'Cadastro Produtos (kiwkiw)'!C:E,3,0)</f>
        <v>#N/A</v>
      </c>
    </row>
    <row r="4467" spans="7:8" ht="15" customHeight="1" x14ac:dyDescent="0.4">
      <c r="G4467" s="27">
        <f t="shared" si="80"/>
        <v>0</v>
      </c>
      <c r="H4467" s="28" t="e">
        <f>VLOOKUP(E4467,'Cadastro Produtos (kiwkiw)'!C:E,3,0)</f>
        <v>#N/A</v>
      </c>
    </row>
    <row r="4468" spans="7:8" ht="15" customHeight="1" x14ac:dyDescent="0.4">
      <c r="G4468" s="27">
        <f t="shared" si="80"/>
        <v>0</v>
      </c>
      <c r="H4468" s="28" t="e">
        <f>VLOOKUP(E4468,'Cadastro Produtos (kiwkiw)'!C:E,3,0)</f>
        <v>#N/A</v>
      </c>
    </row>
    <row r="4469" spans="7:8" ht="15" customHeight="1" x14ac:dyDescent="0.4">
      <c r="G4469" s="27">
        <f t="shared" si="80"/>
        <v>0</v>
      </c>
      <c r="H4469" s="28" t="e">
        <f>VLOOKUP(E4469,'Cadastro Produtos (kiwkiw)'!C:E,3,0)</f>
        <v>#N/A</v>
      </c>
    </row>
    <row r="4470" spans="7:8" ht="15" customHeight="1" x14ac:dyDescent="0.4">
      <c r="G4470" s="27">
        <f t="shared" si="80"/>
        <v>0</v>
      </c>
      <c r="H4470" s="28" t="e">
        <f>VLOOKUP(E4470,'Cadastro Produtos (kiwkiw)'!C:E,3,0)</f>
        <v>#N/A</v>
      </c>
    </row>
    <row r="4471" spans="7:8" ht="15" customHeight="1" x14ac:dyDescent="0.4">
      <c r="G4471" s="27">
        <f t="shared" si="80"/>
        <v>0</v>
      </c>
      <c r="H4471" s="28" t="e">
        <f>VLOOKUP(E4471,'Cadastro Produtos (kiwkiw)'!C:E,3,0)</f>
        <v>#N/A</v>
      </c>
    </row>
    <row r="4472" spans="7:8" ht="15" customHeight="1" x14ac:dyDescent="0.4">
      <c r="G4472" s="27">
        <f t="shared" si="80"/>
        <v>0</v>
      </c>
      <c r="H4472" s="28" t="e">
        <f>VLOOKUP(E4472,'Cadastro Produtos (kiwkiw)'!C:E,3,0)</f>
        <v>#N/A</v>
      </c>
    </row>
    <row r="4473" spans="7:8" ht="15" customHeight="1" x14ac:dyDescent="0.4">
      <c r="G4473" s="27">
        <f t="shared" si="80"/>
        <v>0</v>
      </c>
      <c r="H4473" s="28" t="e">
        <f>VLOOKUP(E4473,'Cadastro Produtos (kiwkiw)'!C:E,3,0)</f>
        <v>#N/A</v>
      </c>
    </row>
    <row r="4474" spans="7:8" ht="15" customHeight="1" x14ac:dyDescent="0.4">
      <c r="G4474" s="27">
        <f t="shared" si="80"/>
        <v>0</v>
      </c>
      <c r="H4474" s="28" t="e">
        <f>VLOOKUP(E4474,'Cadastro Produtos (kiwkiw)'!C:E,3,0)</f>
        <v>#N/A</v>
      </c>
    </row>
    <row r="4475" spans="7:8" ht="15" customHeight="1" x14ac:dyDescent="0.4">
      <c r="G4475" s="27">
        <f t="shared" si="80"/>
        <v>0</v>
      </c>
      <c r="H4475" s="28" t="e">
        <f>VLOOKUP(E4475,'Cadastro Produtos (kiwkiw)'!C:E,3,0)</f>
        <v>#N/A</v>
      </c>
    </row>
    <row r="4476" spans="7:8" ht="15" customHeight="1" x14ac:dyDescent="0.4">
      <c r="G4476" s="27">
        <f t="shared" si="80"/>
        <v>0</v>
      </c>
      <c r="H4476" s="28" t="e">
        <f>VLOOKUP(E4476,'Cadastro Produtos (kiwkiw)'!C:E,3,0)</f>
        <v>#N/A</v>
      </c>
    </row>
    <row r="4477" spans="7:8" ht="15" customHeight="1" x14ac:dyDescent="0.4">
      <c r="G4477" s="27">
        <f t="shared" si="80"/>
        <v>0</v>
      </c>
      <c r="H4477" s="28" t="e">
        <f>VLOOKUP(E4477,'Cadastro Produtos (kiwkiw)'!C:E,3,0)</f>
        <v>#N/A</v>
      </c>
    </row>
    <row r="4478" spans="7:8" ht="15" customHeight="1" x14ac:dyDescent="0.4">
      <c r="G4478" s="27">
        <f t="shared" si="80"/>
        <v>0</v>
      </c>
      <c r="H4478" s="28" t="e">
        <f>VLOOKUP(E4478,'Cadastro Produtos (kiwkiw)'!C:E,3,0)</f>
        <v>#N/A</v>
      </c>
    </row>
    <row r="4479" spans="7:8" ht="15" customHeight="1" x14ac:dyDescent="0.4">
      <c r="G4479" s="27">
        <f t="shared" si="80"/>
        <v>0</v>
      </c>
      <c r="H4479" s="28" t="e">
        <f>VLOOKUP(E4479,'Cadastro Produtos (kiwkiw)'!C:E,3,0)</f>
        <v>#N/A</v>
      </c>
    </row>
    <row r="4480" spans="7:8" ht="15" customHeight="1" x14ac:dyDescent="0.4">
      <c r="G4480" s="27">
        <f t="shared" si="80"/>
        <v>0</v>
      </c>
      <c r="H4480" s="28" t="e">
        <f>VLOOKUP(E4480,'Cadastro Produtos (kiwkiw)'!C:E,3,0)</f>
        <v>#N/A</v>
      </c>
    </row>
    <row r="4481" spans="7:8" ht="15" customHeight="1" x14ac:dyDescent="0.4">
      <c r="G4481" s="27">
        <f t="shared" ref="G4481:G4544" si="81">IF(C4481="Entrada",F4481,-F4481)</f>
        <v>0</v>
      </c>
      <c r="H4481" s="28" t="e">
        <f>VLOOKUP(E4481,'Cadastro Produtos (kiwkiw)'!C:E,3,0)</f>
        <v>#N/A</v>
      </c>
    </row>
    <row r="4482" spans="7:8" ht="15" customHeight="1" x14ac:dyDescent="0.4">
      <c r="G4482" s="27">
        <f t="shared" si="81"/>
        <v>0</v>
      </c>
      <c r="H4482" s="28" t="e">
        <f>VLOOKUP(E4482,'Cadastro Produtos (kiwkiw)'!C:E,3,0)</f>
        <v>#N/A</v>
      </c>
    </row>
    <row r="4483" spans="7:8" ht="15" customHeight="1" x14ac:dyDescent="0.4">
      <c r="G4483" s="27">
        <f t="shared" si="81"/>
        <v>0</v>
      </c>
      <c r="H4483" s="28" t="e">
        <f>VLOOKUP(E4483,'Cadastro Produtos (kiwkiw)'!C:E,3,0)</f>
        <v>#N/A</v>
      </c>
    </row>
    <row r="4484" spans="7:8" ht="15" customHeight="1" x14ac:dyDescent="0.4">
      <c r="G4484" s="27">
        <f t="shared" si="81"/>
        <v>0</v>
      </c>
      <c r="H4484" s="28" t="e">
        <f>VLOOKUP(E4484,'Cadastro Produtos (kiwkiw)'!C:E,3,0)</f>
        <v>#N/A</v>
      </c>
    </row>
    <row r="4485" spans="7:8" ht="15" customHeight="1" x14ac:dyDescent="0.4">
      <c r="G4485" s="27">
        <f t="shared" si="81"/>
        <v>0</v>
      </c>
      <c r="H4485" s="28" t="e">
        <f>VLOOKUP(E4485,'Cadastro Produtos (kiwkiw)'!C:E,3,0)</f>
        <v>#N/A</v>
      </c>
    </row>
    <row r="4486" spans="7:8" ht="15" customHeight="1" x14ac:dyDescent="0.4">
      <c r="G4486" s="27">
        <f t="shared" si="81"/>
        <v>0</v>
      </c>
      <c r="H4486" s="28" t="e">
        <f>VLOOKUP(E4486,'Cadastro Produtos (kiwkiw)'!C:E,3,0)</f>
        <v>#N/A</v>
      </c>
    </row>
    <row r="4487" spans="7:8" ht="15" customHeight="1" x14ac:dyDescent="0.4">
      <c r="G4487" s="27">
        <f t="shared" si="81"/>
        <v>0</v>
      </c>
      <c r="H4487" s="28" t="e">
        <f>VLOOKUP(E4487,'Cadastro Produtos (kiwkiw)'!C:E,3,0)</f>
        <v>#N/A</v>
      </c>
    </row>
    <row r="4488" spans="7:8" ht="15" customHeight="1" x14ac:dyDescent="0.4">
      <c r="G4488" s="27">
        <f t="shared" si="81"/>
        <v>0</v>
      </c>
      <c r="H4488" s="28" t="e">
        <f>VLOOKUP(E4488,'Cadastro Produtos (kiwkiw)'!C:E,3,0)</f>
        <v>#N/A</v>
      </c>
    </row>
    <row r="4489" spans="7:8" ht="15" customHeight="1" x14ac:dyDescent="0.4">
      <c r="G4489" s="27">
        <f t="shared" si="81"/>
        <v>0</v>
      </c>
      <c r="H4489" s="28" t="e">
        <f>VLOOKUP(E4489,'Cadastro Produtos (kiwkiw)'!C:E,3,0)</f>
        <v>#N/A</v>
      </c>
    </row>
    <row r="4490" spans="7:8" ht="15" customHeight="1" x14ac:dyDescent="0.4">
      <c r="G4490" s="27">
        <f t="shared" si="81"/>
        <v>0</v>
      </c>
      <c r="H4490" s="28" t="e">
        <f>VLOOKUP(E4490,'Cadastro Produtos (kiwkiw)'!C:E,3,0)</f>
        <v>#N/A</v>
      </c>
    </row>
    <row r="4491" spans="7:8" ht="15" customHeight="1" x14ac:dyDescent="0.4">
      <c r="G4491" s="27">
        <f t="shared" si="81"/>
        <v>0</v>
      </c>
      <c r="H4491" s="28" t="e">
        <f>VLOOKUP(E4491,'Cadastro Produtos (kiwkiw)'!C:E,3,0)</f>
        <v>#N/A</v>
      </c>
    </row>
    <row r="4492" spans="7:8" ht="15" customHeight="1" x14ac:dyDescent="0.4">
      <c r="G4492" s="27">
        <f t="shared" si="81"/>
        <v>0</v>
      </c>
      <c r="H4492" s="28" t="e">
        <f>VLOOKUP(E4492,'Cadastro Produtos (kiwkiw)'!C:E,3,0)</f>
        <v>#N/A</v>
      </c>
    </row>
    <row r="4493" spans="7:8" ht="15" customHeight="1" x14ac:dyDescent="0.4">
      <c r="G4493" s="27">
        <f t="shared" si="81"/>
        <v>0</v>
      </c>
      <c r="H4493" s="28" t="e">
        <f>VLOOKUP(E4493,'Cadastro Produtos (kiwkiw)'!C:E,3,0)</f>
        <v>#N/A</v>
      </c>
    </row>
    <row r="4494" spans="7:8" ht="15" customHeight="1" x14ac:dyDescent="0.4">
      <c r="G4494" s="27">
        <f t="shared" si="81"/>
        <v>0</v>
      </c>
      <c r="H4494" s="28" t="e">
        <f>VLOOKUP(E4494,'Cadastro Produtos (kiwkiw)'!C:E,3,0)</f>
        <v>#N/A</v>
      </c>
    </row>
    <row r="4495" spans="7:8" ht="15" customHeight="1" x14ac:dyDescent="0.4">
      <c r="G4495" s="27">
        <f t="shared" si="81"/>
        <v>0</v>
      </c>
      <c r="H4495" s="28" t="e">
        <f>VLOOKUP(E4495,'Cadastro Produtos (kiwkiw)'!C:E,3,0)</f>
        <v>#N/A</v>
      </c>
    </row>
    <row r="4496" spans="7:8" ht="15" customHeight="1" x14ac:dyDescent="0.4">
      <c r="G4496" s="27">
        <f t="shared" si="81"/>
        <v>0</v>
      </c>
      <c r="H4496" s="28" t="e">
        <f>VLOOKUP(E4496,'Cadastro Produtos (kiwkiw)'!C:E,3,0)</f>
        <v>#N/A</v>
      </c>
    </row>
    <row r="4497" spans="2:8" ht="15" customHeight="1" x14ac:dyDescent="0.4">
      <c r="G4497" s="27">
        <f t="shared" si="81"/>
        <v>0</v>
      </c>
      <c r="H4497" s="28" t="e">
        <f>VLOOKUP(E4497,'Cadastro Produtos (kiwkiw)'!C:E,3,0)</f>
        <v>#N/A</v>
      </c>
    </row>
    <row r="4498" spans="2:8" ht="15" customHeight="1" x14ac:dyDescent="0.4">
      <c r="G4498" s="27">
        <f t="shared" si="81"/>
        <v>0</v>
      </c>
      <c r="H4498" s="28" t="e">
        <f>VLOOKUP(E4498,'Cadastro Produtos (kiwkiw)'!C:E,3,0)</f>
        <v>#N/A</v>
      </c>
    </row>
    <row r="4499" spans="2:8" ht="15" customHeight="1" x14ac:dyDescent="0.4">
      <c r="G4499" s="27">
        <f t="shared" si="81"/>
        <v>0</v>
      </c>
      <c r="H4499" s="28" t="e">
        <f>VLOOKUP(E4499,'Cadastro Produtos (kiwkiw)'!C:E,3,0)</f>
        <v>#N/A</v>
      </c>
    </row>
    <row r="4500" spans="2:8" ht="15" customHeight="1" x14ac:dyDescent="0.4">
      <c r="G4500" s="27">
        <f t="shared" si="81"/>
        <v>0</v>
      </c>
      <c r="H4500" s="28" t="e">
        <f>VLOOKUP(E4500,'Cadastro Produtos (kiwkiw)'!C:E,3,0)</f>
        <v>#N/A</v>
      </c>
    </row>
    <row r="4501" spans="2:8" ht="15" customHeight="1" x14ac:dyDescent="0.4">
      <c r="G4501" s="27">
        <f t="shared" si="81"/>
        <v>0</v>
      </c>
      <c r="H4501" s="28" t="e">
        <f>VLOOKUP(E4501,'Cadastro Produtos (kiwkiw)'!C:E,3,0)</f>
        <v>#N/A</v>
      </c>
    </row>
    <row r="4502" spans="2:8" ht="15" customHeight="1" x14ac:dyDescent="0.4">
      <c r="G4502" s="27">
        <f t="shared" si="81"/>
        <v>0</v>
      </c>
      <c r="H4502" s="28" t="e">
        <f>VLOOKUP(E4502,'Cadastro Produtos (kiwkiw)'!C:E,3,0)</f>
        <v>#N/A</v>
      </c>
    </row>
    <row r="4503" spans="2:8" ht="15" customHeight="1" x14ac:dyDescent="0.4">
      <c r="G4503" s="27">
        <f t="shared" si="81"/>
        <v>0</v>
      </c>
      <c r="H4503" s="28" t="e">
        <f>VLOOKUP(E4503,'Cadastro Produtos (kiwkiw)'!C:E,3,0)</f>
        <v>#N/A</v>
      </c>
    </row>
    <row r="4504" spans="2:8" ht="15" customHeight="1" x14ac:dyDescent="0.4">
      <c r="G4504" s="27">
        <f t="shared" si="81"/>
        <v>0</v>
      </c>
      <c r="H4504" s="28" t="e">
        <f>VLOOKUP(E4504,'Cadastro Produtos (kiwkiw)'!C:E,3,0)</f>
        <v>#N/A</v>
      </c>
    </row>
    <row r="4505" spans="2:8" ht="15" customHeight="1" x14ac:dyDescent="0.4">
      <c r="B4505" s="43"/>
      <c r="G4505" s="27">
        <f t="shared" si="81"/>
        <v>0</v>
      </c>
      <c r="H4505" s="28" t="e">
        <f>VLOOKUP(E4505,'Cadastro Produtos (kiwkiw)'!C:E,3,0)</f>
        <v>#N/A</v>
      </c>
    </row>
    <row r="4506" spans="2:8" ht="15" customHeight="1" x14ac:dyDescent="0.4">
      <c r="G4506" s="27">
        <f t="shared" si="81"/>
        <v>0</v>
      </c>
      <c r="H4506" s="28" t="e">
        <f>VLOOKUP(E4506,'Cadastro Produtos (kiwkiw)'!C:E,3,0)</f>
        <v>#N/A</v>
      </c>
    </row>
    <row r="4507" spans="2:8" ht="15" customHeight="1" x14ac:dyDescent="0.4">
      <c r="G4507" s="27">
        <f t="shared" si="81"/>
        <v>0</v>
      </c>
      <c r="H4507" s="28" t="e">
        <f>VLOOKUP(E4507,'Cadastro Produtos (kiwkiw)'!C:E,3,0)</f>
        <v>#N/A</v>
      </c>
    </row>
    <row r="4508" spans="2:8" ht="15" customHeight="1" x14ac:dyDescent="0.4">
      <c r="G4508" s="27">
        <f t="shared" si="81"/>
        <v>0</v>
      </c>
      <c r="H4508" s="28" t="e">
        <f>VLOOKUP(E4508,'Cadastro Produtos (kiwkiw)'!C:E,3,0)</f>
        <v>#N/A</v>
      </c>
    </row>
    <row r="4509" spans="2:8" ht="15" customHeight="1" x14ac:dyDescent="0.4">
      <c r="G4509" s="27">
        <f t="shared" si="81"/>
        <v>0</v>
      </c>
      <c r="H4509" s="28" t="e">
        <f>VLOOKUP(E4509,'Cadastro Produtos (kiwkiw)'!C:E,3,0)</f>
        <v>#N/A</v>
      </c>
    </row>
    <row r="4510" spans="2:8" ht="15" customHeight="1" x14ac:dyDescent="0.4">
      <c r="G4510" s="27">
        <f t="shared" si="81"/>
        <v>0</v>
      </c>
      <c r="H4510" s="28" t="e">
        <f>VLOOKUP(E4510,'Cadastro Produtos (kiwkiw)'!C:E,3,0)</f>
        <v>#N/A</v>
      </c>
    </row>
    <row r="4511" spans="2:8" ht="15" customHeight="1" x14ac:dyDescent="0.4">
      <c r="G4511" s="27">
        <f t="shared" si="81"/>
        <v>0</v>
      </c>
      <c r="H4511" s="28" t="e">
        <f>VLOOKUP(E4511,'Cadastro Produtos (kiwkiw)'!C:E,3,0)</f>
        <v>#N/A</v>
      </c>
    </row>
    <row r="4512" spans="2:8" ht="15" customHeight="1" x14ac:dyDescent="0.4">
      <c r="G4512" s="27">
        <f t="shared" si="81"/>
        <v>0</v>
      </c>
      <c r="H4512" s="28" t="e">
        <f>VLOOKUP(E4512,'Cadastro Produtos (kiwkiw)'!C:E,3,0)</f>
        <v>#N/A</v>
      </c>
    </row>
    <row r="4513" spans="7:8" ht="15" customHeight="1" x14ac:dyDescent="0.4">
      <c r="G4513" s="27">
        <f t="shared" si="81"/>
        <v>0</v>
      </c>
      <c r="H4513" s="28" t="e">
        <f>VLOOKUP(E4513,'Cadastro Produtos (kiwkiw)'!C:E,3,0)</f>
        <v>#N/A</v>
      </c>
    </row>
    <row r="4514" spans="7:8" ht="15" customHeight="1" x14ac:dyDescent="0.4">
      <c r="G4514" s="27">
        <f t="shared" si="81"/>
        <v>0</v>
      </c>
      <c r="H4514" s="28" t="e">
        <f>VLOOKUP(E4514,'Cadastro Produtos (kiwkiw)'!C:E,3,0)</f>
        <v>#N/A</v>
      </c>
    </row>
    <row r="4515" spans="7:8" ht="15" customHeight="1" x14ac:dyDescent="0.4">
      <c r="G4515" s="27">
        <f t="shared" si="81"/>
        <v>0</v>
      </c>
      <c r="H4515" s="28" t="e">
        <f>VLOOKUP(E4515,'Cadastro Produtos (kiwkiw)'!C:E,3,0)</f>
        <v>#N/A</v>
      </c>
    </row>
    <row r="4516" spans="7:8" ht="15" customHeight="1" x14ac:dyDescent="0.4">
      <c r="G4516" s="27">
        <f t="shared" si="81"/>
        <v>0</v>
      </c>
      <c r="H4516" s="28" t="e">
        <f>VLOOKUP(E4516,'Cadastro Produtos (kiwkiw)'!C:E,3,0)</f>
        <v>#N/A</v>
      </c>
    </row>
    <row r="4517" spans="7:8" ht="15" customHeight="1" x14ac:dyDescent="0.4">
      <c r="G4517" s="27">
        <f t="shared" si="81"/>
        <v>0</v>
      </c>
      <c r="H4517" s="28" t="e">
        <f>VLOOKUP(E4517,'Cadastro Produtos (kiwkiw)'!C:E,3,0)</f>
        <v>#N/A</v>
      </c>
    </row>
    <row r="4518" spans="7:8" ht="15" customHeight="1" x14ac:dyDescent="0.4">
      <c r="G4518" s="27">
        <f t="shared" si="81"/>
        <v>0</v>
      </c>
      <c r="H4518" s="28" t="e">
        <f>VLOOKUP(E4518,'Cadastro Produtos (kiwkiw)'!C:E,3,0)</f>
        <v>#N/A</v>
      </c>
    </row>
    <row r="4519" spans="7:8" ht="15" customHeight="1" x14ac:dyDescent="0.4">
      <c r="G4519" s="27">
        <f t="shared" si="81"/>
        <v>0</v>
      </c>
      <c r="H4519" s="28" t="e">
        <f>VLOOKUP(E4519,'Cadastro Produtos (kiwkiw)'!C:E,3,0)</f>
        <v>#N/A</v>
      </c>
    </row>
    <row r="4520" spans="7:8" ht="15" customHeight="1" x14ac:dyDescent="0.4">
      <c r="G4520" s="27">
        <f t="shared" si="81"/>
        <v>0</v>
      </c>
      <c r="H4520" s="28" t="e">
        <f>VLOOKUP(E4520,'Cadastro Produtos (kiwkiw)'!C:E,3,0)</f>
        <v>#N/A</v>
      </c>
    </row>
    <row r="4521" spans="7:8" ht="15" customHeight="1" x14ac:dyDescent="0.4">
      <c r="G4521" s="27">
        <f t="shared" si="81"/>
        <v>0</v>
      </c>
      <c r="H4521" s="28" t="e">
        <f>VLOOKUP(E4521,'Cadastro Produtos (kiwkiw)'!C:E,3,0)</f>
        <v>#N/A</v>
      </c>
    </row>
    <row r="4522" spans="7:8" ht="15" customHeight="1" x14ac:dyDescent="0.4">
      <c r="G4522" s="27">
        <f t="shared" si="81"/>
        <v>0</v>
      </c>
      <c r="H4522" s="28" t="e">
        <f>VLOOKUP(E4522,'Cadastro Produtos (kiwkiw)'!C:E,3,0)</f>
        <v>#N/A</v>
      </c>
    </row>
    <row r="4523" spans="7:8" ht="15" customHeight="1" x14ac:dyDescent="0.4">
      <c r="G4523" s="27">
        <f t="shared" si="81"/>
        <v>0</v>
      </c>
      <c r="H4523" s="28" t="e">
        <f>VLOOKUP(E4523,'Cadastro Produtos (kiwkiw)'!C:E,3,0)</f>
        <v>#N/A</v>
      </c>
    </row>
    <row r="4524" spans="7:8" ht="15" customHeight="1" x14ac:dyDescent="0.4">
      <c r="G4524" s="27">
        <f t="shared" si="81"/>
        <v>0</v>
      </c>
      <c r="H4524" s="28" t="e">
        <f>VLOOKUP(E4524,'Cadastro Produtos (kiwkiw)'!C:E,3,0)</f>
        <v>#N/A</v>
      </c>
    </row>
    <row r="4525" spans="7:8" ht="15" customHeight="1" x14ac:dyDescent="0.4">
      <c r="G4525" s="27">
        <f t="shared" si="81"/>
        <v>0</v>
      </c>
      <c r="H4525" s="28" t="e">
        <f>VLOOKUP(E4525,'Cadastro Produtos (kiwkiw)'!C:E,3,0)</f>
        <v>#N/A</v>
      </c>
    </row>
    <row r="4526" spans="7:8" ht="15" customHeight="1" x14ac:dyDescent="0.4">
      <c r="G4526" s="27">
        <f t="shared" si="81"/>
        <v>0</v>
      </c>
      <c r="H4526" s="28" t="e">
        <f>VLOOKUP(E4526,'Cadastro Produtos (kiwkiw)'!C:E,3,0)</f>
        <v>#N/A</v>
      </c>
    </row>
    <row r="4527" spans="7:8" ht="15" customHeight="1" x14ac:dyDescent="0.4">
      <c r="G4527" s="27">
        <f t="shared" si="81"/>
        <v>0</v>
      </c>
      <c r="H4527" s="28" t="e">
        <f>VLOOKUP(E4527,'Cadastro Produtos (kiwkiw)'!C:E,3,0)</f>
        <v>#N/A</v>
      </c>
    </row>
    <row r="4528" spans="7:8" ht="15" customHeight="1" x14ac:dyDescent="0.4">
      <c r="G4528" s="27">
        <f t="shared" si="81"/>
        <v>0</v>
      </c>
      <c r="H4528" s="28" t="e">
        <f>VLOOKUP(E4528,'Cadastro Produtos (kiwkiw)'!C:E,3,0)</f>
        <v>#N/A</v>
      </c>
    </row>
    <row r="4529" spans="7:8" ht="15" customHeight="1" x14ac:dyDescent="0.4">
      <c r="G4529" s="27">
        <f t="shared" si="81"/>
        <v>0</v>
      </c>
      <c r="H4529" s="28" t="e">
        <f>VLOOKUP(E4529,'Cadastro Produtos (kiwkiw)'!C:E,3,0)</f>
        <v>#N/A</v>
      </c>
    </row>
    <row r="4530" spans="7:8" ht="15" customHeight="1" x14ac:dyDescent="0.4">
      <c r="G4530" s="27">
        <f t="shared" si="81"/>
        <v>0</v>
      </c>
      <c r="H4530" s="28" t="e">
        <f>VLOOKUP(E4530,'Cadastro Produtos (kiwkiw)'!C:E,3,0)</f>
        <v>#N/A</v>
      </c>
    </row>
    <row r="4531" spans="7:8" ht="15" customHeight="1" x14ac:dyDescent="0.4">
      <c r="G4531" s="27">
        <f t="shared" si="81"/>
        <v>0</v>
      </c>
      <c r="H4531" s="28" t="e">
        <f>VLOOKUP(E4531,'Cadastro Produtos (kiwkiw)'!C:E,3,0)</f>
        <v>#N/A</v>
      </c>
    </row>
    <row r="4532" spans="7:8" ht="15" customHeight="1" x14ac:dyDescent="0.4">
      <c r="G4532" s="27">
        <f t="shared" si="81"/>
        <v>0</v>
      </c>
      <c r="H4532" s="28" t="e">
        <f>VLOOKUP(E4532,'Cadastro Produtos (kiwkiw)'!C:E,3,0)</f>
        <v>#N/A</v>
      </c>
    </row>
    <row r="4533" spans="7:8" ht="15" customHeight="1" x14ac:dyDescent="0.4">
      <c r="G4533" s="27">
        <f t="shared" si="81"/>
        <v>0</v>
      </c>
      <c r="H4533" s="28" t="e">
        <f>VLOOKUP(E4533,'Cadastro Produtos (kiwkiw)'!C:E,3,0)</f>
        <v>#N/A</v>
      </c>
    </row>
    <row r="4534" spans="7:8" ht="15" customHeight="1" x14ac:dyDescent="0.4">
      <c r="G4534" s="27">
        <f t="shared" si="81"/>
        <v>0</v>
      </c>
      <c r="H4534" s="28" t="e">
        <f>VLOOKUP(E4534,'Cadastro Produtos (kiwkiw)'!C:E,3,0)</f>
        <v>#N/A</v>
      </c>
    </row>
    <row r="4535" spans="7:8" ht="15" customHeight="1" x14ac:dyDescent="0.4">
      <c r="G4535" s="27">
        <f t="shared" si="81"/>
        <v>0</v>
      </c>
      <c r="H4535" s="28" t="e">
        <f>VLOOKUP(E4535,'Cadastro Produtos (kiwkiw)'!C:E,3,0)</f>
        <v>#N/A</v>
      </c>
    </row>
    <row r="4536" spans="7:8" ht="15" customHeight="1" x14ac:dyDescent="0.4">
      <c r="G4536" s="27">
        <f t="shared" si="81"/>
        <v>0</v>
      </c>
      <c r="H4536" s="28" t="e">
        <f>VLOOKUP(E4536,'Cadastro Produtos (kiwkiw)'!C:E,3,0)</f>
        <v>#N/A</v>
      </c>
    </row>
    <row r="4537" spans="7:8" ht="15" customHeight="1" x14ac:dyDescent="0.4">
      <c r="G4537" s="27">
        <f t="shared" si="81"/>
        <v>0</v>
      </c>
      <c r="H4537" s="28" t="e">
        <f>VLOOKUP(E4537,'Cadastro Produtos (kiwkiw)'!C:E,3,0)</f>
        <v>#N/A</v>
      </c>
    </row>
    <row r="4538" spans="7:8" ht="15" customHeight="1" x14ac:dyDescent="0.4">
      <c r="G4538" s="27">
        <f t="shared" si="81"/>
        <v>0</v>
      </c>
      <c r="H4538" s="28" t="e">
        <f>VLOOKUP(E4538,'Cadastro Produtos (kiwkiw)'!C:E,3,0)</f>
        <v>#N/A</v>
      </c>
    </row>
    <row r="4539" spans="7:8" ht="15" customHeight="1" x14ac:dyDescent="0.4">
      <c r="G4539" s="27">
        <f t="shared" si="81"/>
        <v>0</v>
      </c>
      <c r="H4539" s="28" t="e">
        <f>VLOOKUP(E4539,'Cadastro Produtos (kiwkiw)'!C:E,3,0)</f>
        <v>#N/A</v>
      </c>
    </row>
    <row r="4540" spans="7:8" ht="15" customHeight="1" x14ac:dyDescent="0.4">
      <c r="G4540" s="27">
        <f t="shared" si="81"/>
        <v>0</v>
      </c>
      <c r="H4540" s="28" t="e">
        <f>VLOOKUP(E4540,'Cadastro Produtos (kiwkiw)'!C:E,3,0)</f>
        <v>#N/A</v>
      </c>
    </row>
    <row r="4541" spans="7:8" ht="15" customHeight="1" x14ac:dyDescent="0.4">
      <c r="G4541" s="27">
        <f t="shared" si="81"/>
        <v>0</v>
      </c>
      <c r="H4541" s="28" t="e">
        <f>VLOOKUP(E4541,'Cadastro Produtos (kiwkiw)'!C:E,3,0)</f>
        <v>#N/A</v>
      </c>
    </row>
    <row r="4542" spans="7:8" ht="15" customHeight="1" x14ac:dyDescent="0.4">
      <c r="G4542" s="27">
        <f t="shared" si="81"/>
        <v>0</v>
      </c>
      <c r="H4542" s="28" t="e">
        <f>VLOOKUP(E4542,'Cadastro Produtos (kiwkiw)'!C:E,3,0)</f>
        <v>#N/A</v>
      </c>
    </row>
    <row r="4543" spans="7:8" ht="15" customHeight="1" x14ac:dyDescent="0.4">
      <c r="G4543" s="27">
        <f t="shared" si="81"/>
        <v>0</v>
      </c>
      <c r="H4543" s="28" t="e">
        <f>VLOOKUP(E4543,'Cadastro Produtos (kiwkiw)'!C:E,3,0)</f>
        <v>#N/A</v>
      </c>
    </row>
    <row r="4544" spans="7:8" ht="15" customHeight="1" x14ac:dyDescent="0.4">
      <c r="G4544" s="27">
        <f t="shared" si="81"/>
        <v>0</v>
      </c>
      <c r="H4544" s="28" t="e">
        <f>VLOOKUP(E4544,'Cadastro Produtos (kiwkiw)'!C:E,3,0)</f>
        <v>#N/A</v>
      </c>
    </row>
    <row r="4545" spans="7:8" ht="15" customHeight="1" x14ac:dyDescent="0.4">
      <c r="G4545" s="27">
        <f t="shared" ref="G4545:G4608" si="82">IF(C4545="Entrada",F4545,-F4545)</f>
        <v>0</v>
      </c>
      <c r="H4545" s="28" t="e">
        <f>VLOOKUP(E4545,'Cadastro Produtos (kiwkiw)'!C:E,3,0)</f>
        <v>#N/A</v>
      </c>
    </row>
    <row r="4546" spans="7:8" ht="15" customHeight="1" x14ac:dyDescent="0.4">
      <c r="G4546" s="27">
        <f t="shared" si="82"/>
        <v>0</v>
      </c>
      <c r="H4546" s="28" t="e">
        <f>VLOOKUP(E4546,'Cadastro Produtos (kiwkiw)'!C:E,3,0)</f>
        <v>#N/A</v>
      </c>
    </row>
    <row r="4547" spans="7:8" ht="15" customHeight="1" x14ac:dyDescent="0.4">
      <c r="G4547" s="27">
        <f t="shared" si="82"/>
        <v>0</v>
      </c>
      <c r="H4547" s="28" t="e">
        <f>VLOOKUP(E4547,'Cadastro Produtos (kiwkiw)'!C:E,3,0)</f>
        <v>#N/A</v>
      </c>
    </row>
    <row r="4548" spans="7:8" ht="15" customHeight="1" x14ac:dyDescent="0.4">
      <c r="G4548" s="27">
        <f t="shared" si="82"/>
        <v>0</v>
      </c>
      <c r="H4548" s="28" t="e">
        <f>VLOOKUP(E4548,'Cadastro Produtos (kiwkiw)'!C:E,3,0)</f>
        <v>#N/A</v>
      </c>
    </row>
    <row r="4549" spans="7:8" ht="15" customHeight="1" x14ac:dyDescent="0.4">
      <c r="G4549" s="27">
        <f t="shared" si="82"/>
        <v>0</v>
      </c>
      <c r="H4549" s="28" t="e">
        <f>VLOOKUP(E4549,'Cadastro Produtos (kiwkiw)'!C:E,3,0)</f>
        <v>#N/A</v>
      </c>
    </row>
    <row r="4550" spans="7:8" ht="15" customHeight="1" x14ac:dyDescent="0.4">
      <c r="G4550" s="27">
        <f t="shared" si="82"/>
        <v>0</v>
      </c>
      <c r="H4550" s="28" t="e">
        <f>VLOOKUP(E4550,'Cadastro Produtos (kiwkiw)'!C:E,3,0)</f>
        <v>#N/A</v>
      </c>
    </row>
    <row r="4551" spans="7:8" ht="15" customHeight="1" x14ac:dyDescent="0.4">
      <c r="G4551" s="27">
        <f t="shared" si="82"/>
        <v>0</v>
      </c>
      <c r="H4551" s="28" t="e">
        <f>VLOOKUP(E4551,'Cadastro Produtos (kiwkiw)'!C:E,3,0)</f>
        <v>#N/A</v>
      </c>
    </row>
    <row r="4552" spans="7:8" ht="15" customHeight="1" x14ac:dyDescent="0.4">
      <c r="G4552" s="27">
        <f t="shared" si="82"/>
        <v>0</v>
      </c>
      <c r="H4552" s="28" t="e">
        <f>VLOOKUP(E4552,'Cadastro Produtos (kiwkiw)'!C:E,3,0)</f>
        <v>#N/A</v>
      </c>
    </row>
    <row r="4553" spans="7:8" ht="15" customHeight="1" x14ac:dyDescent="0.4">
      <c r="G4553" s="27">
        <f t="shared" si="82"/>
        <v>0</v>
      </c>
      <c r="H4553" s="28" t="e">
        <f>VLOOKUP(E4553,'Cadastro Produtos (kiwkiw)'!C:E,3,0)</f>
        <v>#N/A</v>
      </c>
    </row>
    <row r="4554" spans="7:8" ht="15" customHeight="1" x14ac:dyDescent="0.4">
      <c r="G4554" s="27">
        <f t="shared" si="82"/>
        <v>0</v>
      </c>
      <c r="H4554" s="28" t="e">
        <f>VLOOKUP(E4554,'Cadastro Produtos (kiwkiw)'!C:E,3,0)</f>
        <v>#N/A</v>
      </c>
    </row>
    <row r="4555" spans="7:8" ht="15" customHeight="1" x14ac:dyDescent="0.4">
      <c r="G4555" s="27">
        <f t="shared" si="82"/>
        <v>0</v>
      </c>
      <c r="H4555" s="28" t="e">
        <f>VLOOKUP(E4555,'Cadastro Produtos (kiwkiw)'!C:E,3,0)</f>
        <v>#N/A</v>
      </c>
    </row>
    <row r="4556" spans="7:8" ht="15" customHeight="1" x14ac:dyDescent="0.4">
      <c r="G4556" s="27">
        <f t="shared" si="82"/>
        <v>0</v>
      </c>
      <c r="H4556" s="28" t="e">
        <f>VLOOKUP(E4556,'Cadastro Produtos (kiwkiw)'!C:E,3,0)</f>
        <v>#N/A</v>
      </c>
    </row>
    <row r="4557" spans="7:8" ht="15" customHeight="1" x14ac:dyDescent="0.4">
      <c r="G4557" s="27">
        <f t="shared" si="82"/>
        <v>0</v>
      </c>
      <c r="H4557" s="28" t="e">
        <f>VLOOKUP(E4557,'Cadastro Produtos (kiwkiw)'!C:E,3,0)</f>
        <v>#N/A</v>
      </c>
    </row>
    <row r="4558" spans="7:8" ht="15" customHeight="1" x14ac:dyDescent="0.4">
      <c r="G4558" s="27">
        <f t="shared" si="82"/>
        <v>0</v>
      </c>
      <c r="H4558" s="28" t="e">
        <f>VLOOKUP(E4558,'Cadastro Produtos (kiwkiw)'!C:E,3,0)</f>
        <v>#N/A</v>
      </c>
    </row>
    <row r="4559" spans="7:8" ht="15" customHeight="1" x14ac:dyDescent="0.4">
      <c r="G4559" s="27">
        <f t="shared" si="82"/>
        <v>0</v>
      </c>
      <c r="H4559" s="28" t="e">
        <f>VLOOKUP(E4559,'Cadastro Produtos (kiwkiw)'!C:E,3,0)</f>
        <v>#N/A</v>
      </c>
    </row>
    <row r="4560" spans="7:8" ht="15" customHeight="1" x14ac:dyDescent="0.4">
      <c r="G4560" s="27">
        <f t="shared" si="82"/>
        <v>0</v>
      </c>
      <c r="H4560" s="28" t="e">
        <f>VLOOKUP(E4560,'Cadastro Produtos (kiwkiw)'!C:E,3,0)</f>
        <v>#N/A</v>
      </c>
    </row>
    <row r="4561" spans="2:8" ht="15" customHeight="1" x14ac:dyDescent="0.4">
      <c r="G4561" s="27">
        <f t="shared" si="82"/>
        <v>0</v>
      </c>
      <c r="H4561" s="28" t="e">
        <f>VLOOKUP(E4561,'Cadastro Produtos (kiwkiw)'!C:E,3,0)</f>
        <v>#N/A</v>
      </c>
    </row>
    <row r="4562" spans="2:8" ht="15" customHeight="1" x14ac:dyDescent="0.4">
      <c r="G4562" s="27">
        <f t="shared" si="82"/>
        <v>0</v>
      </c>
      <c r="H4562" s="28" t="e">
        <f>VLOOKUP(E4562,'Cadastro Produtos (kiwkiw)'!C:E,3,0)</f>
        <v>#N/A</v>
      </c>
    </row>
    <row r="4563" spans="2:8" ht="15" customHeight="1" x14ac:dyDescent="0.4">
      <c r="G4563" s="27">
        <f t="shared" si="82"/>
        <v>0</v>
      </c>
      <c r="H4563" s="28" t="e">
        <f>VLOOKUP(E4563,'Cadastro Produtos (kiwkiw)'!C:E,3,0)</f>
        <v>#N/A</v>
      </c>
    </row>
    <row r="4564" spans="2:8" ht="15" customHeight="1" x14ac:dyDescent="0.4">
      <c r="G4564" s="27">
        <f t="shared" si="82"/>
        <v>0</v>
      </c>
      <c r="H4564" s="28" t="e">
        <f>VLOOKUP(E4564,'Cadastro Produtos (kiwkiw)'!C:E,3,0)</f>
        <v>#N/A</v>
      </c>
    </row>
    <row r="4565" spans="2:8" ht="15" customHeight="1" x14ac:dyDescent="0.4">
      <c r="G4565" s="27">
        <f t="shared" si="82"/>
        <v>0</v>
      </c>
      <c r="H4565" s="28" t="e">
        <f>VLOOKUP(E4565,'Cadastro Produtos (kiwkiw)'!C:E,3,0)</f>
        <v>#N/A</v>
      </c>
    </row>
    <row r="4566" spans="2:8" ht="15" customHeight="1" x14ac:dyDescent="0.4">
      <c r="G4566" s="27">
        <f t="shared" si="82"/>
        <v>0</v>
      </c>
      <c r="H4566" s="28" t="e">
        <f>VLOOKUP(E4566,'Cadastro Produtos (kiwkiw)'!C:E,3,0)</f>
        <v>#N/A</v>
      </c>
    </row>
    <row r="4567" spans="2:8" ht="15" customHeight="1" x14ac:dyDescent="0.4">
      <c r="G4567" s="27">
        <f t="shared" si="82"/>
        <v>0</v>
      </c>
      <c r="H4567" s="28" t="e">
        <f>VLOOKUP(E4567,'Cadastro Produtos (kiwkiw)'!C:E,3,0)</f>
        <v>#N/A</v>
      </c>
    </row>
    <row r="4568" spans="2:8" ht="15" customHeight="1" x14ac:dyDescent="0.4">
      <c r="G4568" s="27">
        <f t="shared" si="82"/>
        <v>0</v>
      </c>
      <c r="H4568" s="28" t="e">
        <f>VLOOKUP(E4568,'Cadastro Produtos (kiwkiw)'!C:E,3,0)</f>
        <v>#N/A</v>
      </c>
    </row>
    <row r="4569" spans="2:8" ht="15" customHeight="1" x14ac:dyDescent="0.4">
      <c r="G4569" s="27">
        <f t="shared" si="82"/>
        <v>0</v>
      </c>
      <c r="H4569" s="28" t="e">
        <f>VLOOKUP(E4569,'Cadastro Produtos (kiwkiw)'!C:E,3,0)</f>
        <v>#N/A</v>
      </c>
    </row>
    <row r="4570" spans="2:8" ht="15" customHeight="1" x14ac:dyDescent="0.4">
      <c r="G4570" s="27">
        <f t="shared" si="82"/>
        <v>0</v>
      </c>
      <c r="H4570" s="28" t="e">
        <f>VLOOKUP(E4570,'Cadastro Produtos (kiwkiw)'!C:E,3,0)</f>
        <v>#N/A</v>
      </c>
    </row>
    <row r="4571" spans="2:8" ht="15" customHeight="1" x14ac:dyDescent="0.4">
      <c r="G4571" s="27">
        <f t="shared" si="82"/>
        <v>0</v>
      </c>
      <c r="H4571" s="28" t="e">
        <f>VLOOKUP(E4571,'Cadastro Produtos (kiwkiw)'!C:E,3,0)</f>
        <v>#N/A</v>
      </c>
    </row>
    <row r="4572" spans="2:8" ht="15" customHeight="1" x14ac:dyDescent="0.4">
      <c r="G4572" s="27">
        <f t="shared" si="82"/>
        <v>0</v>
      </c>
      <c r="H4572" s="28" t="e">
        <f>VLOOKUP(E4572,'Cadastro Produtos (kiwkiw)'!C:E,3,0)</f>
        <v>#N/A</v>
      </c>
    </row>
    <row r="4573" spans="2:8" ht="15" customHeight="1" x14ac:dyDescent="0.4">
      <c r="G4573" s="27">
        <f t="shared" si="82"/>
        <v>0</v>
      </c>
      <c r="H4573" s="28" t="e">
        <f>VLOOKUP(E4573,'Cadastro Produtos (kiwkiw)'!C:E,3,0)</f>
        <v>#N/A</v>
      </c>
    </row>
    <row r="4574" spans="2:8" ht="15" customHeight="1" x14ac:dyDescent="0.4">
      <c r="G4574" s="27">
        <f t="shared" si="82"/>
        <v>0</v>
      </c>
      <c r="H4574" s="28" t="e">
        <f>VLOOKUP(E4574,'Cadastro Produtos (kiwkiw)'!C:E,3,0)</f>
        <v>#N/A</v>
      </c>
    </row>
    <row r="4575" spans="2:8" ht="15" customHeight="1" x14ac:dyDescent="0.4">
      <c r="B4575" s="43"/>
      <c r="G4575" s="27">
        <f t="shared" si="82"/>
        <v>0</v>
      </c>
      <c r="H4575" s="28" t="e">
        <f>VLOOKUP(E4575,'Cadastro Produtos (kiwkiw)'!C:E,3,0)</f>
        <v>#N/A</v>
      </c>
    </row>
    <row r="4576" spans="2:8" ht="15" customHeight="1" x14ac:dyDescent="0.4">
      <c r="G4576" s="27">
        <f t="shared" si="82"/>
        <v>0</v>
      </c>
      <c r="H4576" s="28" t="e">
        <f>VLOOKUP(E4576,'Cadastro Produtos (kiwkiw)'!C:E,3,0)</f>
        <v>#N/A</v>
      </c>
    </row>
    <row r="4577" spans="7:8" ht="15" customHeight="1" x14ac:dyDescent="0.4">
      <c r="G4577" s="27">
        <f t="shared" si="82"/>
        <v>0</v>
      </c>
      <c r="H4577" s="28" t="e">
        <f>VLOOKUP(E4577,'Cadastro Produtos (kiwkiw)'!C:E,3,0)</f>
        <v>#N/A</v>
      </c>
    </row>
    <row r="4578" spans="7:8" ht="15" customHeight="1" x14ac:dyDescent="0.4">
      <c r="G4578" s="27">
        <f t="shared" si="82"/>
        <v>0</v>
      </c>
      <c r="H4578" s="28" t="e">
        <f>VLOOKUP(E4578,'Cadastro Produtos (kiwkiw)'!C:E,3,0)</f>
        <v>#N/A</v>
      </c>
    </row>
    <row r="4579" spans="7:8" ht="15" customHeight="1" x14ac:dyDescent="0.4">
      <c r="G4579" s="27">
        <f t="shared" si="82"/>
        <v>0</v>
      </c>
      <c r="H4579" s="28" t="e">
        <f>VLOOKUP(E4579,'Cadastro Produtos (kiwkiw)'!C:E,3,0)</f>
        <v>#N/A</v>
      </c>
    </row>
    <row r="4580" spans="7:8" ht="15" customHeight="1" x14ac:dyDescent="0.4">
      <c r="G4580" s="27">
        <f t="shared" si="82"/>
        <v>0</v>
      </c>
      <c r="H4580" s="28" t="e">
        <f>VLOOKUP(E4580,'Cadastro Produtos (kiwkiw)'!C:E,3,0)</f>
        <v>#N/A</v>
      </c>
    </row>
    <row r="4581" spans="7:8" ht="15" customHeight="1" x14ac:dyDescent="0.4">
      <c r="G4581" s="27">
        <f t="shared" si="82"/>
        <v>0</v>
      </c>
      <c r="H4581" s="28" t="e">
        <f>VLOOKUP(E4581,'Cadastro Produtos (kiwkiw)'!C:E,3,0)</f>
        <v>#N/A</v>
      </c>
    </row>
    <row r="4582" spans="7:8" ht="15" customHeight="1" x14ac:dyDescent="0.4">
      <c r="G4582" s="27">
        <f t="shared" si="82"/>
        <v>0</v>
      </c>
      <c r="H4582" s="28" t="e">
        <f>VLOOKUP(E4582,'Cadastro Produtos (kiwkiw)'!C:E,3,0)</f>
        <v>#N/A</v>
      </c>
    </row>
    <row r="4583" spans="7:8" ht="15" customHeight="1" x14ac:dyDescent="0.4">
      <c r="G4583" s="27">
        <f t="shared" si="82"/>
        <v>0</v>
      </c>
      <c r="H4583" s="28" t="e">
        <f>VLOOKUP(E4583,'Cadastro Produtos (kiwkiw)'!C:E,3,0)</f>
        <v>#N/A</v>
      </c>
    </row>
    <row r="4584" spans="7:8" ht="15" customHeight="1" x14ac:dyDescent="0.4">
      <c r="G4584" s="27">
        <f t="shared" si="82"/>
        <v>0</v>
      </c>
      <c r="H4584" s="28" t="e">
        <f>VLOOKUP(E4584,'Cadastro Produtos (kiwkiw)'!C:E,3,0)</f>
        <v>#N/A</v>
      </c>
    </row>
    <row r="4585" spans="7:8" ht="15" customHeight="1" x14ac:dyDescent="0.4">
      <c r="G4585" s="27">
        <f t="shared" si="82"/>
        <v>0</v>
      </c>
      <c r="H4585" s="28" t="e">
        <f>VLOOKUP(E4585,'Cadastro Produtos (kiwkiw)'!C:E,3,0)</f>
        <v>#N/A</v>
      </c>
    </row>
    <row r="4586" spans="7:8" ht="15" customHeight="1" x14ac:dyDescent="0.4">
      <c r="G4586" s="27">
        <f t="shared" si="82"/>
        <v>0</v>
      </c>
      <c r="H4586" s="28" t="e">
        <f>VLOOKUP(E4586,'Cadastro Produtos (kiwkiw)'!C:E,3,0)</f>
        <v>#N/A</v>
      </c>
    </row>
    <row r="4587" spans="7:8" ht="15" customHeight="1" x14ac:dyDescent="0.4">
      <c r="G4587" s="27">
        <f t="shared" si="82"/>
        <v>0</v>
      </c>
      <c r="H4587" s="28" t="e">
        <f>VLOOKUP(E4587,'Cadastro Produtos (kiwkiw)'!C:E,3,0)</f>
        <v>#N/A</v>
      </c>
    </row>
    <row r="4588" spans="7:8" ht="15" customHeight="1" x14ac:dyDescent="0.4">
      <c r="G4588" s="27">
        <f t="shared" si="82"/>
        <v>0</v>
      </c>
      <c r="H4588" s="28" t="e">
        <f>VLOOKUP(E4588,'Cadastro Produtos (kiwkiw)'!C:E,3,0)</f>
        <v>#N/A</v>
      </c>
    </row>
    <row r="4589" spans="7:8" ht="15" customHeight="1" x14ac:dyDescent="0.4">
      <c r="G4589" s="27">
        <f t="shared" si="82"/>
        <v>0</v>
      </c>
      <c r="H4589" s="28" t="e">
        <f>VLOOKUP(E4589,'Cadastro Produtos (kiwkiw)'!C:E,3,0)</f>
        <v>#N/A</v>
      </c>
    </row>
    <row r="4590" spans="7:8" ht="15" customHeight="1" x14ac:dyDescent="0.4">
      <c r="G4590" s="27">
        <f t="shared" si="82"/>
        <v>0</v>
      </c>
      <c r="H4590" s="28" t="e">
        <f>VLOOKUP(E4590,'Cadastro Produtos (kiwkiw)'!C:E,3,0)</f>
        <v>#N/A</v>
      </c>
    </row>
    <row r="4591" spans="7:8" ht="15" customHeight="1" x14ac:dyDescent="0.4">
      <c r="G4591" s="27">
        <f t="shared" si="82"/>
        <v>0</v>
      </c>
      <c r="H4591" s="28" t="e">
        <f>VLOOKUP(E4591,'Cadastro Produtos (kiwkiw)'!C:E,3,0)</f>
        <v>#N/A</v>
      </c>
    </row>
    <row r="4592" spans="7:8" ht="15" customHeight="1" x14ac:dyDescent="0.4">
      <c r="G4592" s="27">
        <f t="shared" si="82"/>
        <v>0</v>
      </c>
      <c r="H4592" s="28" t="e">
        <f>VLOOKUP(E4592,'Cadastro Produtos (kiwkiw)'!C:E,3,0)</f>
        <v>#N/A</v>
      </c>
    </row>
    <row r="4593" spans="7:8" ht="15" customHeight="1" x14ac:dyDescent="0.4">
      <c r="G4593" s="27">
        <f t="shared" si="82"/>
        <v>0</v>
      </c>
      <c r="H4593" s="28" t="e">
        <f>VLOOKUP(E4593,'Cadastro Produtos (kiwkiw)'!C:E,3,0)</f>
        <v>#N/A</v>
      </c>
    </row>
    <row r="4594" spans="7:8" ht="15" customHeight="1" x14ac:dyDescent="0.4">
      <c r="G4594" s="27">
        <f t="shared" si="82"/>
        <v>0</v>
      </c>
      <c r="H4594" s="28" t="e">
        <f>VLOOKUP(E4594,'Cadastro Produtos (kiwkiw)'!C:E,3,0)</f>
        <v>#N/A</v>
      </c>
    </row>
    <row r="4595" spans="7:8" ht="15" customHeight="1" x14ac:dyDescent="0.4">
      <c r="G4595" s="27">
        <f t="shared" si="82"/>
        <v>0</v>
      </c>
      <c r="H4595" s="28" t="e">
        <f>VLOOKUP(E4595,'Cadastro Produtos (kiwkiw)'!C:E,3,0)</f>
        <v>#N/A</v>
      </c>
    </row>
    <row r="4596" spans="7:8" ht="15" customHeight="1" x14ac:dyDescent="0.4">
      <c r="G4596" s="27">
        <f t="shared" si="82"/>
        <v>0</v>
      </c>
      <c r="H4596" s="28" t="e">
        <f>VLOOKUP(E4596,'Cadastro Produtos (kiwkiw)'!C:E,3,0)</f>
        <v>#N/A</v>
      </c>
    </row>
    <row r="4597" spans="7:8" ht="15" customHeight="1" x14ac:dyDescent="0.4">
      <c r="G4597" s="27">
        <f t="shared" si="82"/>
        <v>0</v>
      </c>
      <c r="H4597" s="28" t="e">
        <f>VLOOKUP(E4597,'Cadastro Produtos (kiwkiw)'!C:E,3,0)</f>
        <v>#N/A</v>
      </c>
    </row>
    <row r="4598" spans="7:8" ht="15" customHeight="1" x14ac:dyDescent="0.4">
      <c r="G4598" s="27">
        <f t="shared" si="82"/>
        <v>0</v>
      </c>
      <c r="H4598" s="28" t="e">
        <f>VLOOKUP(E4598,'Cadastro Produtos (kiwkiw)'!C:E,3,0)</f>
        <v>#N/A</v>
      </c>
    </row>
    <row r="4599" spans="7:8" ht="15" customHeight="1" x14ac:dyDescent="0.4">
      <c r="G4599" s="27">
        <f t="shared" si="82"/>
        <v>0</v>
      </c>
      <c r="H4599" s="28" t="e">
        <f>VLOOKUP(E4599,'Cadastro Produtos (kiwkiw)'!C:E,3,0)</f>
        <v>#N/A</v>
      </c>
    </row>
    <row r="4600" spans="7:8" ht="15" customHeight="1" x14ac:dyDescent="0.4">
      <c r="G4600" s="27">
        <f t="shared" si="82"/>
        <v>0</v>
      </c>
      <c r="H4600" s="28" t="e">
        <f>VLOOKUP(E4600,'Cadastro Produtos (kiwkiw)'!C:E,3,0)</f>
        <v>#N/A</v>
      </c>
    </row>
    <row r="4601" spans="7:8" ht="15" customHeight="1" x14ac:dyDescent="0.4">
      <c r="G4601" s="27">
        <f t="shared" si="82"/>
        <v>0</v>
      </c>
      <c r="H4601" s="28" t="e">
        <f>VLOOKUP(E4601,'Cadastro Produtos (kiwkiw)'!C:E,3,0)</f>
        <v>#N/A</v>
      </c>
    </row>
    <row r="4602" spans="7:8" ht="15" customHeight="1" x14ac:dyDescent="0.4">
      <c r="G4602" s="27">
        <f t="shared" si="82"/>
        <v>0</v>
      </c>
      <c r="H4602" s="28" t="e">
        <f>VLOOKUP(E4602,'Cadastro Produtos (kiwkiw)'!C:E,3,0)</f>
        <v>#N/A</v>
      </c>
    </row>
    <row r="4603" spans="7:8" ht="15" customHeight="1" x14ac:dyDescent="0.4">
      <c r="G4603" s="27">
        <f t="shared" si="82"/>
        <v>0</v>
      </c>
      <c r="H4603" s="28" t="e">
        <f>VLOOKUP(E4603,'Cadastro Produtos (kiwkiw)'!C:E,3,0)</f>
        <v>#N/A</v>
      </c>
    </row>
    <row r="4604" spans="7:8" ht="15" customHeight="1" x14ac:dyDescent="0.4">
      <c r="G4604" s="27">
        <f t="shared" si="82"/>
        <v>0</v>
      </c>
      <c r="H4604" s="28" t="e">
        <f>VLOOKUP(E4604,'Cadastro Produtos (kiwkiw)'!C:E,3,0)</f>
        <v>#N/A</v>
      </c>
    </row>
    <row r="4605" spans="7:8" ht="15" customHeight="1" x14ac:dyDescent="0.4">
      <c r="G4605" s="27">
        <f t="shared" si="82"/>
        <v>0</v>
      </c>
      <c r="H4605" s="28" t="e">
        <f>VLOOKUP(E4605,'Cadastro Produtos (kiwkiw)'!C:E,3,0)</f>
        <v>#N/A</v>
      </c>
    </row>
    <row r="4606" spans="7:8" ht="15" customHeight="1" x14ac:dyDescent="0.4">
      <c r="G4606" s="27">
        <f t="shared" si="82"/>
        <v>0</v>
      </c>
      <c r="H4606" s="28" t="e">
        <f>VLOOKUP(E4606,'Cadastro Produtos (kiwkiw)'!C:E,3,0)</f>
        <v>#N/A</v>
      </c>
    </row>
    <row r="4607" spans="7:8" ht="15" customHeight="1" x14ac:dyDescent="0.4">
      <c r="G4607" s="27">
        <f t="shared" si="82"/>
        <v>0</v>
      </c>
      <c r="H4607" s="28" t="e">
        <f>VLOOKUP(E4607,'Cadastro Produtos (kiwkiw)'!C:E,3,0)</f>
        <v>#N/A</v>
      </c>
    </row>
    <row r="4608" spans="7:8" ht="15" customHeight="1" x14ac:dyDescent="0.4">
      <c r="G4608" s="27">
        <f t="shared" si="82"/>
        <v>0</v>
      </c>
      <c r="H4608" s="28" t="e">
        <f>VLOOKUP(E4608,'Cadastro Produtos (kiwkiw)'!C:E,3,0)</f>
        <v>#N/A</v>
      </c>
    </row>
    <row r="4609" spans="7:8" ht="15" customHeight="1" x14ac:dyDescent="0.4">
      <c r="G4609" s="27">
        <f t="shared" ref="G4609:G4672" si="83">IF(C4609="Entrada",F4609,-F4609)</f>
        <v>0</v>
      </c>
      <c r="H4609" s="28" t="e">
        <f>VLOOKUP(E4609,'Cadastro Produtos (kiwkiw)'!C:E,3,0)</f>
        <v>#N/A</v>
      </c>
    </row>
    <row r="4610" spans="7:8" ht="15" customHeight="1" x14ac:dyDescent="0.4">
      <c r="G4610" s="27">
        <f t="shared" si="83"/>
        <v>0</v>
      </c>
      <c r="H4610" s="28" t="e">
        <f>VLOOKUP(E4610,'Cadastro Produtos (kiwkiw)'!C:E,3,0)</f>
        <v>#N/A</v>
      </c>
    </row>
    <row r="4611" spans="7:8" ht="15" customHeight="1" x14ac:dyDescent="0.4">
      <c r="G4611" s="27">
        <f t="shared" si="83"/>
        <v>0</v>
      </c>
      <c r="H4611" s="28" t="e">
        <f>VLOOKUP(E4611,'Cadastro Produtos (kiwkiw)'!C:E,3,0)</f>
        <v>#N/A</v>
      </c>
    </row>
    <row r="4612" spans="7:8" ht="15" customHeight="1" x14ac:dyDescent="0.4">
      <c r="G4612" s="27">
        <f t="shared" si="83"/>
        <v>0</v>
      </c>
      <c r="H4612" s="28" t="e">
        <f>VLOOKUP(E4612,'Cadastro Produtos (kiwkiw)'!C:E,3,0)</f>
        <v>#N/A</v>
      </c>
    </row>
    <row r="4613" spans="7:8" ht="15" customHeight="1" x14ac:dyDescent="0.4">
      <c r="G4613" s="27">
        <f t="shared" si="83"/>
        <v>0</v>
      </c>
      <c r="H4613" s="28" t="e">
        <f>VLOOKUP(E4613,'Cadastro Produtos (kiwkiw)'!C:E,3,0)</f>
        <v>#N/A</v>
      </c>
    </row>
    <row r="4614" spans="7:8" ht="15" customHeight="1" x14ac:dyDescent="0.4">
      <c r="G4614" s="27">
        <f t="shared" si="83"/>
        <v>0</v>
      </c>
      <c r="H4614" s="28" t="e">
        <f>VLOOKUP(E4614,'Cadastro Produtos (kiwkiw)'!C:E,3,0)</f>
        <v>#N/A</v>
      </c>
    </row>
    <row r="4615" spans="7:8" ht="15" customHeight="1" x14ac:dyDescent="0.4">
      <c r="G4615" s="27">
        <f t="shared" si="83"/>
        <v>0</v>
      </c>
      <c r="H4615" s="28" t="e">
        <f>VLOOKUP(E4615,'Cadastro Produtos (kiwkiw)'!C:E,3,0)</f>
        <v>#N/A</v>
      </c>
    </row>
    <row r="4616" spans="7:8" ht="15" customHeight="1" x14ac:dyDescent="0.4">
      <c r="G4616" s="27">
        <f t="shared" si="83"/>
        <v>0</v>
      </c>
      <c r="H4616" s="28" t="e">
        <f>VLOOKUP(E4616,'Cadastro Produtos (kiwkiw)'!C:E,3,0)</f>
        <v>#N/A</v>
      </c>
    </row>
    <row r="4617" spans="7:8" ht="15" customHeight="1" x14ac:dyDescent="0.4">
      <c r="G4617" s="27">
        <f t="shared" si="83"/>
        <v>0</v>
      </c>
      <c r="H4617" s="28" t="e">
        <f>VLOOKUP(E4617,'Cadastro Produtos (kiwkiw)'!C:E,3,0)</f>
        <v>#N/A</v>
      </c>
    </row>
    <row r="4618" spans="7:8" ht="15" customHeight="1" x14ac:dyDescent="0.4">
      <c r="G4618" s="27">
        <f t="shared" si="83"/>
        <v>0</v>
      </c>
      <c r="H4618" s="28" t="e">
        <f>VLOOKUP(E4618,'Cadastro Produtos (kiwkiw)'!C:E,3,0)</f>
        <v>#N/A</v>
      </c>
    </row>
    <row r="4619" spans="7:8" ht="15" customHeight="1" x14ac:dyDescent="0.4">
      <c r="G4619" s="27">
        <f t="shared" si="83"/>
        <v>0</v>
      </c>
      <c r="H4619" s="28" t="e">
        <f>VLOOKUP(E4619,'Cadastro Produtos (kiwkiw)'!C:E,3,0)</f>
        <v>#N/A</v>
      </c>
    </row>
    <row r="4620" spans="7:8" ht="15" customHeight="1" x14ac:dyDescent="0.4">
      <c r="G4620" s="27">
        <f t="shared" si="83"/>
        <v>0</v>
      </c>
      <c r="H4620" s="28" t="e">
        <f>VLOOKUP(E4620,'Cadastro Produtos (kiwkiw)'!C:E,3,0)</f>
        <v>#N/A</v>
      </c>
    </row>
    <row r="4621" spans="7:8" ht="15" customHeight="1" x14ac:dyDescent="0.4">
      <c r="G4621" s="27">
        <f t="shared" si="83"/>
        <v>0</v>
      </c>
      <c r="H4621" s="28" t="e">
        <f>VLOOKUP(E4621,'Cadastro Produtos (kiwkiw)'!C:E,3,0)</f>
        <v>#N/A</v>
      </c>
    </row>
    <row r="4622" spans="7:8" ht="15" customHeight="1" x14ac:dyDescent="0.4">
      <c r="G4622" s="27">
        <f t="shared" si="83"/>
        <v>0</v>
      </c>
      <c r="H4622" s="28" t="e">
        <f>VLOOKUP(E4622,'Cadastro Produtos (kiwkiw)'!C:E,3,0)</f>
        <v>#N/A</v>
      </c>
    </row>
    <row r="4623" spans="7:8" ht="15" customHeight="1" x14ac:dyDescent="0.4">
      <c r="G4623" s="27">
        <f t="shared" si="83"/>
        <v>0</v>
      </c>
      <c r="H4623" s="28" t="e">
        <f>VLOOKUP(E4623,'Cadastro Produtos (kiwkiw)'!C:E,3,0)</f>
        <v>#N/A</v>
      </c>
    </row>
    <row r="4624" spans="7:8" ht="15" customHeight="1" x14ac:dyDescent="0.4">
      <c r="G4624" s="27">
        <f t="shared" si="83"/>
        <v>0</v>
      </c>
      <c r="H4624" s="28" t="e">
        <f>VLOOKUP(E4624,'Cadastro Produtos (kiwkiw)'!C:E,3,0)</f>
        <v>#N/A</v>
      </c>
    </row>
    <row r="4625" spans="7:8" ht="15" customHeight="1" x14ac:dyDescent="0.4">
      <c r="G4625" s="27">
        <f t="shared" si="83"/>
        <v>0</v>
      </c>
      <c r="H4625" s="28" t="e">
        <f>VLOOKUP(E4625,'Cadastro Produtos (kiwkiw)'!C:E,3,0)</f>
        <v>#N/A</v>
      </c>
    </row>
    <row r="4626" spans="7:8" ht="15" customHeight="1" x14ac:dyDescent="0.4">
      <c r="G4626" s="27">
        <f t="shared" si="83"/>
        <v>0</v>
      </c>
      <c r="H4626" s="28" t="e">
        <f>VLOOKUP(E4626,'Cadastro Produtos (kiwkiw)'!C:E,3,0)</f>
        <v>#N/A</v>
      </c>
    </row>
    <row r="4627" spans="7:8" ht="15" customHeight="1" x14ac:dyDescent="0.4">
      <c r="G4627" s="27">
        <f t="shared" si="83"/>
        <v>0</v>
      </c>
      <c r="H4627" s="28" t="e">
        <f>VLOOKUP(E4627,'Cadastro Produtos (kiwkiw)'!C:E,3,0)</f>
        <v>#N/A</v>
      </c>
    </row>
    <row r="4628" spans="7:8" ht="15" customHeight="1" x14ac:dyDescent="0.4">
      <c r="G4628" s="27">
        <f t="shared" si="83"/>
        <v>0</v>
      </c>
      <c r="H4628" s="28" t="e">
        <f>VLOOKUP(E4628,'Cadastro Produtos (kiwkiw)'!C:E,3,0)</f>
        <v>#N/A</v>
      </c>
    </row>
    <row r="4629" spans="7:8" ht="15" customHeight="1" x14ac:dyDescent="0.4">
      <c r="G4629" s="27">
        <f t="shared" si="83"/>
        <v>0</v>
      </c>
      <c r="H4629" s="28" t="e">
        <f>VLOOKUP(E4629,'Cadastro Produtos (kiwkiw)'!C:E,3,0)</f>
        <v>#N/A</v>
      </c>
    </row>
    <row r="4630" spans="7:8" ht="15" customHeight="1" x14ac:dyDescent="0.4">
      <c r="G4630" s="27">
        <f t="shared" si="83"/>
        <v>0</v>
      </c>
      <c r="H4630" s="28" t="e">
        <f>VLOOKUP(E4630,'Cadastro Produtos (kiwkiw)'!C:E,3,0)</f>
        <v>#N/A</v>
      </c>
    </row>
    <row r="4631" spans="7:8" ht="15" customHeight="1" x14ac:dyDescent="0.4">
      <c r="G4631" s="27">
        <f t="shared" si="83"/>
        <v>0</v>
      </c>
      <c r="H4631" s="28" t="e">
        <f>VLOOKUP(E4631,'Cadastro Produtos (kiwkiw)'!C:E,3,0)</f>
        <v>#N/A</v>
      </c>
    </row>
    <row r="4632" spans="7:8" ht="15" customHeight="1" x14ac:dyDescent="0.4">
      <c r="G4632" s="27">
        <f t="shared" si="83"/>
        <v>0</v>
      </c>
      <c r="H4632" s="28" t="e">
        <f>VLOOKUP(E4632,'Cadastro Produtos (kiwkiw)'!C:E,3,0)</f>
        <v>#N/A</v>
      </c>
    </row>
    <row r="4633" spans="7:8" ht="15" customHeight="1" x14ac:dyDescent="0.4">
      <c r="G4633" s="27">
        <f t="shared" si="83"/>
        <v>0</v>
      </c>
      <c r="H4633" s="28" t="e">
        <f>VLOOKUP(E4633,'Cadastro Produtos (kiwkiw)'!C:E,3,0)</f>
        <v>#N/A</v>
      </c>
    </row>
    <row r="4634" spans="7:8" ht="15" customHeight="1" x14ac:dyDescent="0.4">
      <c r="G4634" s="27">
        <f t="shared" si="83"/>
        <v>0</v>
      </c>
      <c r="H4634" s="28" t="e">
        <f>VLOOKUP(E4634,'Cadastro Produtos (kiwkiw)'!C:E,3,0)</f>
        <v>#N/A</v>
      </c>
    </row>
    <row r="4635" spans="7:8" ht="15" customHeight="1" x14ac:dyDescent="0.4">
      <c r="G4635" s="27">
        <f t="shared" si="83"/>
        <v>0</v>
      </c>
      <c r="H4635" s="28" t="e">
        <f>VLOOKUP(E4635,'Cadastro Produtos (kiwkiw)'!C:E,3,0)</f>
        <v>#N/A</v>
      </c>
    </row>
    <row r="4636" spans="7:8" ht="15" customHeight="1" x14ac:dyDescent="0.4">
      <c r="G4636" s="27">
        <f t="shared" si="83"/>
        <v>0</v>
      </c>
      <c r="H4636" s="28" t="e">
        <f>VLOOKUP(E4636,'Cadastro Produtos (kiwkiw)'!C:E,3,0)</f>
        <v>#N/A</v>
      </c>
    </row>
    <row r="4637" spans="7:8" ht="15" customHeight="1" x14ac:dyDescent="0.4">
      <c r="G4637" s="27">
        <f t="shared" si="83"/>
        <v>0</v>
      </c>
      <c r="H4637" s="28" t="e">
        <f>VLOOKUP(E4637,'Cadastro Produtos (kiwkiw)'!C:E,3,0)</f>
        <v>#N/A</v>
      </c>
    </row>
    <row r="4638" spans="7:8" ht="15" customHeight="1" x14ac:dyDescent="0.4">
      <c r="G4638" s="27">
        <f t="shared" si="83"/>
        <v>0</v>
      </c>
      <c r="H4638" s="28" t="e">
        <f>VLOOKUP(E4638,'Cadastro Produtos (kiwkiw)'!C:E,3,0)</f>
        <v>#N/A</v>
      </c>
    </row>
    <row r="4639" spans="7:8" ht="15" customHeight="1" x14ac:dyDescent="0.4">
      <c r="G4639" s="27">
        <f t="shared" si="83"/>
        <v>0</v>
      </c>
      <c r="H4639" s="28" t="e">
        <f>VLOOKUP(E4639,'Cadastro Produtos (kiwkiw)'!C:E,3,0)</f>
        <v>#N/A</v>
      </c>
    </row>
    <row r="4640" spans="7:8" ht="15" customHeight="1" x14ac:dyDescent="0.4">
      <c r="G4640" s="27">
        <f t="shared" si="83"/>
        <v>0</v>
      </c>
      <c r="H4640" s="28" t="e">
        <f>VLOOKUP(E4640,'Cadastro Produtos (kiwkiw)'!C:E,3,0)</f>
        <v>#N/A</v>
      </c>
    </row>
    <row r="4641" spans="2:8" ht="15" customHeight="1" x14ac:dyDescent="0.4">
      <c r="G4641" s="27">
        <f t="shared" si="83"/>
        <v>0</v>
      </c>
      <c r="H4641" s="28" t="e">
        <f>VLOOKUP(E4641,'Cadastro Produtos (kiwkiw)'!C:E,3,0)</f>
        <v>#N/A</v>
      </c>
    </row>
    <row r="4642" spans="2:8" ht="15" customHeight="1" x14ac:dyDescent="0.4">
      <c r="G4642" s="27">
        <f t="shared" si="83"/>
        <v>0</v>
      </c>
      <c r="H4642" s="28" t="e">
        <f>VLOOKUP(E4642,'Cadastro Produtos (kiwkiw)'!C:E,3,0)</f>
        <v>#N/A</v>
      </c>
    </row>
    <row r="4643" spans="2:8" ht="15" customHeight="1" x14ac:dyDescent="0.4">
      <c r="G4643" s="27">
        <f t="shared" si="83"/>
        <v>0</v>
      </c>
      <c r="H4643" s="28" t="e">
        <f>VLOOKUP(E4643,'Cadastro Produtos (kiwkiw)'!C:E,3,0)</f>
        <v>#N/A</v>
      </c>
    </row>
    <row r="4644" spans="2:8" ht="15" customHeight="1" x14ac:dyDescent="0.4">
      <c r="G4644" s="27">
        <f t="shared" si="83"/>
        <v>0</v>
      </c>
      <c r="H4644" s="28" t="e">
        <f>VLOOKUP(E4644,'Cadastro Produtos (kiwkiw)'!C:E,3,0)</f>
        <v>#N/A</v>
      </c>
    </row>
    <row r="4645" spans="2:8" ht="15" customHeight="1" x14ac:dyDescent="0.4">
      <c r="G4645" s="27">
        <f t="shared" si="83"/>
        <v>0</v>
      </c>
      <c r="H4645" s="28" t="e">
        <f>VLOOKUP(E4645,'Cadastro Produtos (kiwkiw)'!C:E,3,0)</f>
        <v>#N/A</v>
      </c>
    </row>
    <row r="4646" spans="2:8" ht="15" customHeight="1" x14ac:dyDescent="0.4">
      <c r="G4646" s="27">
        <f t="shared" si="83"/>
        <v>0</v>
      </c>
      <c r="H4646" s="28" t="e">
        <f>VLOOKUP(E4646,'Cadastro Produtos (kiwkiw)'!C:E,3,0)</f>
        <v>#N/A</v>
      </c>
    </row>
    <row r="4647" spans="2:8" ht="15" customHeight="1" x14ac:dyDescent="0.4">
      <c r="G4647" s="27">
        <f t="shared" si="83"/>
        <v>0</v>
      </c>
      <c r="H4647" s="28" t="e">
        <f>VLOOKUP(E4647,'Cadastro Produtos (kiwkiw)'!C:E,3,0)</f>
        <v>#N/A</v>
      </c>
    </row>
    <row r="4648" spans="2:8" ht="15" customHeight="1" x14ac:dyDescent="0.4">
      <c r="G4648" s="27">
        <f t="shared" si="83"/>
        <v>0</v>
      </c>
      <c r="H4648" s="28" t="e">
        <f>VLOOKUP(E4648,'Cadastro Produtos (kiwkiw)'!C:E,3,0)</f>
        <v>#N/A</v>
      </c>
    </row>
    <row r="4649" spans="2:8" ht="15" customHeight="1" x14ac:dyDescent="0.4">
      <c r="G4649" s="27">
        <f t="shared" si="83"/>
        <v>0</v>
      </c>
      <c r="H4649" s="28" t="e">
        <f>VLOOKUP(E4649,'Cadastro Produtos (kiwkiw)'!C:E,3,0)</f>
        <v>#N/A</v>
      </c>
    </row>
    <row r="4650" spans="2:8" ht="15" customHeight="1" x14ac:dyDescent="0.4">
      <c r="G4650" s="27">
        <f t="shared" si="83"/>
        <v>0</v>
      </c>
      <c r="H4650" s="28" t="e">
        <f>VLOOKUP(E4650,'Cadastro Produtos (kiwkiw)'!C:E,3,0)</f>
        <v>#N/A</v>
      </c>
    </row>
    <row r="4651" spans="2:8" ht="15" customHeight="1" x14ac:dyDescent="0.4">
      <c r="B4651" s="43"/>
      <c r="G4651" s="27">
        <f t="shared" si="83"/>
        <v>0</v>
      </c>
      <c r="H4651" s="28" t="e">
        <f>VLOOKUP(E4651,'Cadastro Produtos (kiwkiw)'!C:E,3,0)</f>
        <v>#N/A</v>
      </c>
    </row>
    <row r="4652" spans="2:8" ht="15" customHeight="1" x14ac:dyDescent="0.4">
      <c r="G4652" s="27">
        <f t="shared" si="83"/>
        <v>0</v>
      </c>
      <c r="H4652" s="28" t="e">
        <f>VLOOKUP(E4652,'Cadastro Produtos (kiwkiw)'!C:E,3,0)</f>
        <v>#N/A</v>
      </c>
    </row>
    <row r="4653" spans="2:8" ht="15" customHeight="1" x14ac:dyDescent="0.4">
      <c r="G4653" s="27">
        <f t="shared" si="83"/>
        <v>0</v>
      </c>
      <c r="H4653" s="28" t="e">
        <f>VLOOKUP(E4653,'Cadastro Produtos (kiwkiw)'!C:E,3,0)</f>
        <v>#N/A</v>
      </c>
    </row>
    <row r="4654" spans="2:8" ht="15" customHeight="1" x14ac:dyDescent="0.4">
      <c r="G4654" s="27">
        <f t="shared" si="83"/>
        <v>0</v>
      </c>
      <c r="H4654" s="28" t="e">
        <f>VLOOKUP(E4654,'Cadastro Produtos (kiwkiw)'!C:E,3,0)</f>
        <v>#N/A</v>
      </c>
    </row>
    <row r="4655" spans="2:8" ht="15" customHeight="1" x14ac:dyDescent="0.4">
      <c r="G4655" s="27">
        <f t="shared" si="83"/>
        <v>0</v>
      </c>
      <c r="H4655" s="28" t="e">
        <f>VLOOKUP(E4655,'Cadastro Produtos (kiwkiw)'!C:E,3,0)</f>
        <v>#N/A</v>
      </c>
    </row>
    <row r="4656" spans="2:8" ht="15" customHeight="1" x14ac:dyDescent="0.4">
      <c r="G4656" s="27">
        <f t="shared" si="83"/>
        <v>0</v>
      </c>
      <c r="H4656" s="28" t="e">
        <f>VLOOKUP(E4656,'Cadastro Produtos (kiwkiw)'!C:E,3,0)</f>
        <v>#N/A</v>
      </c>
    </row>
    <row r="4657" spans="2:8" ht="15" customHeight="1" x14ac:dyDescent="0.4">
      <c r="G4657" s="27">
        <f t="shared" si="83"/>
        <v>0</v>
      </c>
      <c r="H4657" s="28" t="e">
        <f>VLOOKUP(E4657,'Cadastro Produtos (kiwkiw)'!C:E,3,0)</f>
        <v>#N/A</v>
      </c>
    </row>
    <row r="4658" spans="2:8" ht="15" customHeight="1" x14ac:dyDescent="0.4">
      <c r="G4658" s="27">
        <f t="shared" si="83"/>
        <v>0</v>
      </c>
      <c r="H4658" s="28" t="e">
        <f>VLOOKUP(E4658,'Cadastro Produtos (kiwkiw)'!C:E,3,0)</f>
        <v>#N/A</v>
      </c>
    </row>
    <row r="4659" spans="2:8" ht="15" customHeight="1" x14ac:dyDescent="0.4">
      <c r="G4659" s="27">
        <f t="shared" si="83"/>
        <v>0</v>
      </c>
      <c r="H4659" s="28" t="e">
        <f>VLOOKUP(E4659,'Cadastro Produtos (kiwkiw)'!C:E,3,0)</f>
        <v>#N/A</v>
      </c>
    </row>
    <row r="4660" spans="2:8" ht="15" customHeight="1" x14ac:dyDescent="0.4">
      <c r="B4660" s="43"/>
      <c r="G4660" s="27">
        <f t="shared" si="83"/>
        <v>0</v>
      </c>
      <c r="H4660" s="28" t="e">
        <f>VLOOKUP(E4660,'Cadastro Produtos (kiwkiw)'!C:E,3,0)</f>
        <v>#N/A</v>
      </c>
    </row>
    <row r="4661" spans="2:8" ht="15" customHeight="1" x14ac:dyDescent="0.4">
      <c r="G4661" s="27">
        <f t="shared" si="83"/>
        <v>0</v>
      </c>
      <c r="H4661" s="28" t="e">
        <f>VLOOKUP(E4661,'Cadastro Produtos (kiwkiw)'!C:E,3,0)</f>
        <v>#N/A</v>
      </c>
    </row>
    <row r="4662" spans="2:8" ht="15" customHeight="1" x14ac:dyDescent="0.4">
      <c r="G4662" s="27">
        <f t="shared" si="83"/>
        <v>0</v>
      </c>
      <c r="H4662" s="28" t="e">
        <f>VLOOKUP(E4662,'Cadastro Produtos (kiwkiw)'!C:E,3,0)</f>
        <v>#N/A</v>
      </c>
    </row>
    <row r="4663" spans="2:8" ht="15" customHeight="1" x14ac:dyDescent="0.4">
      <c r="G4663" s="27">
        <f t="shared" si="83"/>
        <v>0</v>
      </c>
      <c r="H4663" s="28" t="e">
        <f>VLOOKUP(E4663,'Cadastro Produtos (kiwkiw)'!C:E,3,0)</f>
        <v>#N/A</v>
      </c>
    </row>
    <row r="4664" spans="2:8" ht="15" customHeight="1" x14ac:dyDescent="0.4">
      <c r="G4664" s="27">
        <f t="shared" si="83"/>
        <v>0</v>
      </c>
      <c r="H4664" s="28" t="e">
        <f>VLOOKUP(E4664,'Cadastro Produtos (kiwkiw)'!C:E,3,0)</f>
        <v>#N/A</v>
      </c>
    </row>
    <row r="4665" spans="2:8" ht="15" customHeight="1" x14ac:dyDescent="0.4">
      <c r="G4665" s="27">
        <f t="shared" si="83"/>
        <v>0</v>
      </c>
      <c r="H4665" s="28" t="e">
        <f>VLOOKUP(E4665,'Cadastro Produtos (kiwkiw)'!C:E,3,0)</f>
        <v>#N/A</v>
      </c>
    </row>
    <row r="4666" spans="2:8" ht="15" customHeight="1" x14ac:dyDescent="0.4">
      <c r="G4666" s="27">
        <f t="shared" si="83"/>
        <v>0</v>
      </c>
      <c r="H4666" s="28" t="e">
        <f>VLOOKUP(E4666,'Cadastro Produtos (kiwkiw)'!C:E,3,0)</f>
        <v>#N/A</v>
      </c>
    </row>
    <row r="4667" spans="2:8" ht="15" customHeight="1" x14ac:dyDescent="0.4">
      <c r="G4667" s="27">
        <f t="shared" si="83"/>
        <v>0</v>
      </c>
      <c r="H4667" s="28" t="e">
        <f>VLOOKUP(E4667,'Cadastro Produtos (kiwkiw)'!C:E,3,0)</f>
        <v>#N/A</v>
      </c>
    </row>
    <row r="4668" spans="2:8" ht="15" customHeight="1" x14ac:dyDescent="0.4">
      <c r="G4668" s="27">
        <f t="shared" si="83"/>
        <v>0</v>
      </c>
      <c r="H4668" s="28" t="e">
        <f>VLOOKUP(E4668,'Cadastro Produtos (kiwkiw)'!C:E,3,0)</f>
        <v>#N/A</v>
      </c>
    </row>
    <row r="4669" spans="2:8" ht="15" customHeight="1" x14ac:dyDescent="0.4">
      <c r="G4669" s="27">
        <f t="shared" si="83"/>
        <v>0</v>
      </c>
      <c r="H4669" s="28" t="e">
        <f>VLOOKUP(E4669,'Cadastro Produtos (kiwkiw)'!C:E,3,0)</f>
        <v>#N/A</v>
      </c>
    </row>
    <row r="4670" spans="2:8" ht="15" customHeight="1" x14ac:dyDescent="0.4">
      <c r="G4670" s="27">
        <f t="shared" si="83"/>
        <v>0</v>
      </c>
      <c r="H4670" s="28" t="e">
        <f>VLOOKUP(E4670,'Cadastro Produtos (kiwkiw)'!C:E,3,0)</f>
        <v>#N/A</v>
      </c>
    </row>
    <row r="4671" spans="2:8" ht="15" customHeight="1" x14ac:dyDescent="0.4">
      <c r="G4671" s="27">
        <f t="shared" si="83"/>
        <v>0</v>
      </c>
      <c r="H4671" s="28" t="e">
        <f>VLOOKUP(E4671,'Cadastro Produtos (kiwkiw)'!C:E,3,0)</f>
        <v>#N/A</v>
      </c>
    </row>
    <row r="4672" spans="2:8" ht="15" customHeight="1" x14ac:dyDescent="0.4">
      <c r="G4672" s="27">
        <f t="shared" si="83"/>
        <v>0</v>
      </c>
      <c r="H4672" s="28" t="e">
        <f>VLOOKUP(E4672,'Cadastro Produtos (kiwkiw)'!C:E,3,0)</f>
        <v>#N/A</v>
      </c>
    </row>
    <row r="4673" spans="7:8" ht="15" customHeight="1" x14ac:dyDescent="0.4">
      <c r="G4673" s="27">
        <f t="shared" ref="G4673:G4736" si="84">IF(C4673="Entrada",F4673,-F4673)</f>
        <v>0</v>
      </c>
      <c r="H4673" s="28" t="e">
        <f>VLOOKUP(E4673,'Cadastro Produtos (kiwkiw)'!C:E,3,0)</f>
        <v>#N/A</v>
      </c>
    </row>
    <row r="4674" spans="7:8" ht="15" customHeight="1" x14ac:dyDescent="0.4">
      <c r="G4674" s="27">
        <f t="shared" si="84"/>
        <v>0</v>
      </c>
      <c r="H4674" s="28" t="e">
        <f>VLOOKUP(E4674,'Cadastro Produtos (kiwkiw)'!C:E,3,0)</f>
        <v>#N/A</v>
      </c>
    </row>
    <row r="4675" spans="7:8" ht="15" customHeight="1" x14ac:dyDescent="0.4">
      <c r="G4675" s="27">
        <f t="shared" si="84"/>
        <v>0</v>
      </c>
      <c r="H4675" s="28" t="e">
        <f>VLOOKUP(E4675,'Cadastro Produtos (kiwkiw)'!C:E,3,0)</f>
        <v>#N/A</v>
      </c>
    </row>
    <row r="4676" spans="7:8" ht="15" customHeight="1" x14ac:dyDescent="0.4">
      <c r="G4676" s="27">
        <f t="shared" si="84"/>
        <v>0</v>
      </c>
      <c r="H4676" s="28" t="e">
        <f>VLOOKUP(E4676,'Cadastro Produtos (kiwkiw)'!C:E,3,0)</f>
        <v>#N/A</v>
      </c>
    </row>
    <row r="4677" spans="7:8" ht="15" customHeight="1" x14ac:dyDescent="0.4">
      <c r="G4677" s="27">
        <f t="shared" si="84"/>
        <v>0</v>
      </c>
      <c r="H4677" s="28" t="e">
        <f>VLOOKUP(E4677,'Cadastro Produtos (kiwkiw)'!C:E,3,0)</f>
        <v>#N/A</v>
      </c>
    </row>
    <row r="4678" spans="7:8" ht="15" customHeight="1" x14ac:dyDescent="0.4">
      <c r="G4678" s="27">
        <f t="shared" si="84"/>
        <v>0</v>
      </c>
      <c r="H4678" s="28" t="e">
        <f>VLOOKUP(E4678,'Cadastro Produtos (kiwkiw)'!C:E,3,0)</f>
        <v>#N/A</v>
      </c>
    </row>
    <row r="4679" spans="7:8" ht="15" customHeight="1" x14ac:dyDescent="0.4">
      <c r="G4679" s="27">
        <f t="shared" si="84"/>
        <v>0</v>
      </c>
      <c r="H4679" s="28" t="e">
        <f>VLOOKUP(E4679,'Cadastro Produtos (kiwkiw)'!C:E,3,0)</f>
        <v>#N/A</v>
      </c>
    </row>
    <row r="4680" spans="7:8" ht="15" customHeight="1" x14ac:dyDescent="0.4">
      <c r="G4680" s="27">
        <f t="shared" si="84"/>
        <v>0</v>
      </c>
      <c r="H4680" s="28" t="e">
        <f>VLOOKUP(E4680,'Cadastro Produtos (kiwkiw)'!C:E,3,0)</f>
        <v>#N/A</v>
      </c>
    </row>
    <row r="4681" spans="7:8" ht="15" customHeight="1" x14ac:dyDescent="0.4">
      <c r="G4681" s="27">
        <f t="shared" si="84"/>
        <v>0</v>
      </c>
      <c r="H4681" s="28" t="e">
        <f>VLOOKUP(E4681,'Cadastro Produtos (kiwkiw)'!C:E,3,0)</f>
        <v>#N/A</v>
      </c>
    </row>
    <row r="4682" spans="7:8" ht="15" customHeight="1" x14ac:dyDescent="0.4">
      <c r="G4682" s="27">
        <f t="shared" si="84"/>
        <v>0</v>
      </c>
      <c r="H4682" s="28" t="e">
        <f>VLOOKUP(E4682,'Cadastro Produtos (kiwkiw)'!C:E,3,0)</f>
        <v>#N/A</v>
      </c>
    </row>
    <row r="4683" spans="7:8" ht="15" customHeight="1" x14ac:dyDescent="0.4">
      <c r="G4683" s="27">
        <f t="shared" si="84"/>
        <v>0</v>
      </c>
      <c r="H4683" s="28" t="e">
        <f>VLOOKUP(E4683,'Cadastro Produtos (kiwkiw)'!C:E,3,0)</f>
        <v>#N/A</v>
      </c>
    </row>
    <row r="4684" spans="7:8" ht="15" customHeight="1" x14ac:dyDescent="0.4">
      <c r="G4684" s="27">
        <f t="shared" si="84"/>
        <v>0</v>
      </c>
      <c r="H4684" s="28" t="e">
        <f>VLOOKUP(E4684,'Cadastro Produtos (kiwkiw)'!C:E,3,0)</f>
        <v>#N/A</v>
      </c>
    </row>
    <row r="4685" spans="7:8" ht="15" customHeight="1" x14ac:dyDescent="0.4">
      <c r="G4685" s="27">
        <f t="shared" si="84"/>
        <v>0</v>
      </c>
      <c r="H4685" s="28" t="e">
        <f>VLOOKUP(E4685,'Cadastro Produtos (kiwkiw)'!C:E,3,0)</f>
        <v>#N/A</v>
      </c>
    </row>
    <row r="4686" spans="7:8" ht="15" customHeight="1" x14ac:dyDescent="0.4">
      <c r="G4686" s="27">
        <f t="shared" si="84"/>
        <v>0</v>
      </c>
      <c r="H4686" s="28" t="e">
        <f>VLOOKUP(E4686,'Cadastro Produtos (kiwkiw)'!C:E,3,0)</f>
        <v>#N/A</v>
      </c>
    </row>
    <row r="4687" spans="7:8" ht="15" customHeight="1" x14ac:dyDescent="0.4">
      <c r="G4687" s="27">
        <f t="shared" si="84"/>
        <v>0</v>
      </c>
      <c r="H4687" s="28" t="e">
        <f>VLOOKUP(E4687,'Cadastro Produtos (kiwkiw)'!C:E,3,0)</f>
        <v>#N/A</v>
      </c>
    </row>
    <row r="4688" spans="7:8" ht="15" customHeight="1" x14ac:dyDescent="0.4">
      <c r="G4688" s="27">
        <f t="shared" si="84"/>
        <v>0</v>
      </c>
      <c r="H4688" s="28" t="e">
        <f>VLOOKUP(E4688,'Cadastro Produtos (kiwkiw)'!C:E,3,0)</f>
        <v>#N/A</v>
      </c>
    </row>
    <row r="4689" spans="7:8" ht="15" customHeight="1" x14ac:dyDescent="0.4">
      <c r="G4689" s="27">
        <f t="shared" si="84"/>
        <v>0</v>
      </c>
      <c r="H4689" s="28" t="e">
        <f>VLOOKUP(E4689,'Cadastro Produtos (kiwkiw)'!C:E,3,0)</f>
        <v>#N/A</v>
      </c>
    </row>
    <row r="4690" spans="7:8" ht="15" customHeight="1" x14ac:dyDescent="0.4">
      <c r="G4690" s="27">
        <f t="shared" si="84"/>
        <v>0</v>
      </c>
      <c r="H4690" s="28" t="e">
        <f>VLOOKUP(E4690,'Cadastro Produtos (kiwkiw)'!C:E,3,0)</f>
        <v>#N/A</v>
      </c>
    </row>
    <row r="4691" spans="7:8" ht="15" customHeight="1" x14ac:dyDescent="0.4">
      <c r="G4691" s="27">
        <f t="shared" si="84"/>
        <v>0</v>
      </c>
      <c r="H4691" s="28" t="e">
        <f>VLOOKUP(E4691,'Cadastro Produtos (kiwkiw)'!C:E,3,0)</f>
        <v>#N/A</v>
      </c>
    </row>
    <row r="4692" spans="7:8" ht="15" customHeight="1" x14ac:dyDescent="0.4">
      <c r="G4692" s="27">
        <f t="shared" si="84"/>
        <v>0</v>
      </c>
      <c r="H4692" s="28" t="e">
        <f>VLOOKUP(E4692,'Cadastro Produtos (kiwkiw)'!C:E,3,0)</f>
        <v>#N/A</v>
      </c>
    </row>
    <row r="4693" spans="7:8" ht="15" customHeight="1" x14ac:dyDescent="0.4">
      <c r="G4693" s="27">
        <f t="shared" si="84"/>
        <v>0</v>
      </c>
      <c r="H4693" s="28" t="e">
        <f>VLOOKUP(E4693,'Cadastro Produtos (kiwkiw)'!C:E,3,0)</f>
        <v>#N/A</v>
      </c>
    </row>
    <row r="4694" spans="7:8" ht="15" customHeight="1" x14ac:dyDescent="0.4">
      <c r="G4694" s="27">
        <f t="shared" si="84"/>
        <v>0</v>
      </c>
      <c r="H4694" s="28" t="e">
        <f>VLOOKUP(E4694,'Cadastro Produtos (kiwkiw)'!C:E,3,0)</f>
        <v>#N/A</v>
      </c>
    </row>
    <row r="4695" spans="7:8" ht="15" customHeight="1" x14ac:dyDescent="0.4">
      <c r="G4695" s="27">
        <f t="shared" si="84"/>
        <v>0</v>
      </c>
      <c r="H4695" s="28" t="e">
        <f>VLOOKUP(E4695,'Cadastro Produtos (kiwkiw)'!C:E,3,0)</f>
        <v>#N/A</v>
      </c>
    </row>
    <row r="4696" spans="7:8" ht="15" customHeight="1" x14ac:dyDescent="0.4">
      <c r="G4696" s="27">
        <f t="shared" si="84"/>
        <v>0</v>
      </c>
      <c r="H4696" s="28" t="e">
        <f>VLOOKUP(E4696,'Cadastro Produtos (kiwkiw)'!C:E,3,0)</f>
        <v>#N/A</v>
      </c>
    </row>
    <row r="4697" spans="7:8" ht="15" customHeight="1" x14ac:dyDescent="0.4">
      <c r="G4697" s="27">
        <f t="shared" si="84"/>
        <v>0</v>
      </c>
      <c r="H4697" s="28" t="e">
        <f>VLOOKUP(E4697,'Cadastro Produtos (kiwkiw)'!C:E,3,0)</f>
        <v>#N/A</v>
      </c>
    </row>
    <row r="4698" spans="7:8" ht="15" customHeight="1" x14ac:dyDescent="0.4">
      <c r="G4698" s="27">
        <f t="shared" si="84"/>
        <v>0</v>
      </c>
      <c r="H4698" s="28" t="e">
        <f>VLOOKUP(E4698,'Cadastro Produtos (kiwkiw)'!C:E,3,0)</f>
        <v>#N/A</v>
      </c>
    </row>
    <row r="4699" spans="7:8" ht="15" customHeight="1" x14ac:dyDescent="0.4">
      <c r="G4699" s="27">
        <f t="shared" si="84"/>
        <v>0</v>
      </c>
      <c r="H4699" s="28" t="e">
        <f>VLOOKUP(E4699,'Cadastro Produtos (kiwkiw)'!C:E,3,0)</f>
        <v>#N/A</v>
      </c>
    </row>
    <row r="4700" spans="7:8" ht="15" customHeight="1" x14ac:dyDescent="0.4">
      <c r="G4700" s="27">
        <f t="shared" si="84"/>
        <v>0</v>
      </c>
      <c r="H4700" s="28" t="e">
        <f>VLOOKUP(E4700,'Cadastro Produtos (kiwkiw)'!C:E,3,0)</f>
        <v>#N/A</v>
      </c>
    </row>
    <row r="4701" spans="7:8" ht="15" customHeight="1" x14ac:dyDescent="0.4">
      <c r="G4701" s="27">
        <f t="shared" si="84"/>
        <v>0</v>
      </c>
      <c r="H4701" s="28" t="e">
        <f>VLOOKUP(E4701,'Cadastro Produtos (kiwkiw)'!C:E,3,0)</f>
        <v>#N/A</v>
      </c>
    </row>
    <row r="4702" spans="7:8" ht="15" customHeight="1" x14ac:dyDescent="0.4">
      <c r="G4702" s="27">
        <f t="shared" si="84"/>
        <v>0</v>
      </c>
      <c r="H4702" s="28" t="e">
        <f>VLOOKUP(E4702,'Cadastro Produtos (kiwkiw)'!C:E,3,0)</f>
        <v>#N/A</v>
      </c>
    </row>
    <row r="4703" spans="7:8" ht="15" customHeight="1" x14ac:dyDescent="0.4">
      <c r="G4703" s="27">
        <f t="shared" si="84"/>
        <v>0</v>
      </c>
      <c r="H4703" s="28" t="e">
        <f>VLOOKUP(E4703,'Cadastro Produtos (kiwkiw)'!C:E,3,0)</f>
        <v>#N/A</v>
      </c>
    </row>
    <row r="4704" spans="7:8" ht="15" customHeight="1" x14ac:dyDescent="0.4">
      <c r="G4704" s="27">
        <f t="shared" si="84"/>
        <v>0</v>
      </c>
      <c r="H4704" s="28" t="e">
        <f>VLOOKUP(E4704,'Cadastro Produtos (kiwkiw)'!C:E,3,0)</f>
        <v>#N/A</v>
      </c>
    </row>
    <row r="4705" spans="7:8" ht="15" customHeight="1" x14ac:dyDescent="0.4">
      <c r="G4705" s="27">
        <f t="shared" si="84"/>
        <v>0</v>
      </c>
      <c r="H4705" s="28" t="e">
        <f>VLOOKUP(E4705,'Cadastro Produtos (kiwkiw)'!C:E,3,0)</f>
        <v>#N/A</v>
      </c>
    </row>
    <row r="4706" spans="7:8" ht="15" customHeight="1" x14ac:dyDescent="0.4">
      <c r="G4706" s="27">
        <f t="shared" si="84"/>
        <v>0</v>
      </c>
      <c r="H4706" s="28" t="e">
        <f>VLOOKUP(E4706,'Cadastro Produtos (kiwkiw)'!C:E,3,0)</f>
        <v>#N/A</v>
      </c>
    </row>
    <row r="4707" spans="7:8" ht="15" customHeight="1" x14ac:dyDescent="0.4">
      <c r="G4707" s="27">
        <f t="shared" si="84"/>
        <v>0</v>
      </c>
      <c r="H4707" s="28" t="e">
        <f>VLOOKUP(E4707,'Cadastro Produtos (kiwkiw)'!C:E,3,0)</f>
        <v>#N/A</v>
      </c>
    </row>
    <row r="4708" spans="7:8" ht="15" customHeight="1" x14ac:dyDescent="0.4">
      <c r="G4708" s="27">
        <f t="shared" si="84"/>
        <v>0</v>
      </c>
      <c r="H4708" s="28" t="e">
        <f>VLOOKUP(E4708,'Cadastro Produtos (kiwkiw)'!C:E,3,0)</f>
        <v>#N/A</v>
      </c>
    </row>
    <row r="4709" spans="7:8" ht="15" customHeight="1" x14ac:dyDescent="0.4">
      <c r="G4709" s="27">
        <f t="shared" si="84"/>
        <v>0</v>
      </c>
      <c r="H4709" s="28" t="e">
        <f>VLOOKUP(E4709,'Cadastro Produtos (kiwkiw)'!C:E,3,0)</f>
        <v>#N/A</v>
      </c>
    </row>
    <row r="4710" spans="7:8" ht="15" customHeight="1" x14ac:dyDescent="0.4">
      <c r="G4710" s="27">
        <f t="shared" si="84"/>
        <v>0</v>
      </c>
      <c r="H4710" s="28" t="e">
        <f>VLOOKUP(E4710,'Cadastro Produtos (kiwkiw)'!C:E,3,0)</f>
        <v>#N/A</v>
      </c>
    </row>
    <row r="4711" spans="7:8" ht="15" customHeight="1" x14ac:dyDescent="0.4">
      <c r="G4711" s="27">
        <f t="shared" si="84"/>
        <v>0</v>
      </c>
      <c r="H4711" s="28" t="e">
        <f>VLOOKUP(E4711,'Cadastro Produtos (kiwkiw)'!C:E,3,0)</f>
        <v>#N/A</v>
      </c>
    </row>
    <row r="4712" spans="7:8" ht="15" customHeight="1" x14ac:dyDescent="0.4">
      <c r="G4712" s="27">
        <f t="shared" si="84"/>
        <v>0</v>
      </c>
      <c r="H4712" s="28" t="e">
        <f>VLOOKUP(E4712,'Cadastro Produtos (kiwkiw)'!C:E,3,0)</f>
        <v>#N/A</v>
      </c>
    </row>
    <row r="4713" spans="7:8" ht="15" customHeight="1" x14ac:dyDescent="0.4">
      <c r="G4713" s="27">
        <f t="shared" si="84"/>
        <v>0</v>
      </c>
      <c r="H4713" s="28" t="e">
        <f>VLOOKUP(E4713,'Cadastro Produtos (kiwkiw)'!C:E,3,0)</f>
        <v>#N/A</v>
      </c>
    </row>
    <row r="4714" spans="7:8" ht="15" customHeight="1" x14ac:dyDescent="0.4">
      <c r="G4714" s="27">
        <f t="shared" si="84"/>
        <v>0</v>
      </c>
      <c r="H4714" s="28" t="e">
        <f>VLOOKUP(E4714,'Cadastro Produtos (kiwkiw)'!C:E,3,0)</f>
        <v>#N/A</v>
      </c>
    </row>
    <row r="4715" spans="7:8" ht="15" customHeight="1" x14ac:dyDescent="0.4">
      <c r="G4715" s="27">
        <f t="shared" si="84"/>
        <v>0</v>
      </c>
      <c r="H4715" s="28" t="e">
        <f>VLOOKUP(E4715,'Cadastro Produtos (kiwkiw)'!C:E,3,0)</f>
        <v>#N/A</v>
      </c>
    </row>
    <row r="4716" spans="7:8" ht="15" customHeight="1" x14ac:dyDescent="0.4">
      <c r="G4716" s="27">
        <f t="shared" si="84"/>
        <v>0</v>
      </c>
      <c r="H4716" s="28" t="e">
        <f>VLOOKUP(E4716,'Cadastro Produtos (kiwkiw)'!C:E,3,0)</f>
        <v>#N/A</v>
      </c>
    </row>
    <row r="4717" spans="7:8" ht="15" customHeight="1" x14ac:dyDescent="0.4">
      <c r="G4717" s="27">
        <f t="shared" si="84"/>
        <v>0</v>
      </c>
      <c r="H4717" s="28" t="e">
        <f>VLOOKUP(E4717,'Cadastro Produtos (kiwkiw)'!C:E,3,0)</f>
        <v>#N/A</v>
      </c>
    </row>
    <row r="4718" spans="7:8" ht="15" customHeight="1" x14ac:dyDescent="0.4">
      <c r="G4718" s="27">
        <f t="shared" si="84"/>
        <v>0</v>
      </c>
      <c r="H4718" s="28" t="e">
        <f>VLOOKUP(E4718,'Cadastro Produtos (kiwkiw)'!C:E,3,0)</f>
        <v>#N/A</v>
      </c>
    </row>
    <row r="4719" spans="7:8" ht="15" customHeight="1" x14ac:dyDescent="0.4">
      <c r="G4719" s="27">
        <f t="shared" si="84"/>
        <v>0</v>
      </c>
      <c r="H4719" s="28" t="e">
        <f>VLOOKUP(E4719,'Cadastro Produtos (kiwkiw)'!C:E,3,0)</f>
        <v>#N/A</v>
      </c>
    </row>
    <row r="4720" spans="7:8" ht="15" customHeight="1" x14ac:dyDescent="0.4">
      <c r="G4720" s="27">
        <f t="shared" si="84"/>
        <v>0</v>
      </c>
      <c r="H4720" s="28" t="e">
        <f>VLOOKUP(E4720,'Cadastro Produtos (kiwkiw)'!C:E,3,0)</f>
        <v>#N/A</v>
      </c>
    </row>
    <row r="4721" spans="7:8" ht="15" customHeight="1" x14ac:dyDescent="0.4">
      <c r="G4721" s="27">
        <f t="shared" si="84"/>
        <v>0</v>
      </c>
      <c r="H4721" s="28" t="e">
        <f>VLOOKUP(E4721,'Cadastro Produtos (kiwkiw)'!C:E,3,0)</f>
        <v>#N/A</v>
      </c>
    </row>
    <row r="4722" spans="7:8" ht="15" customHeight="1" x14ac:dyDescent="0.4">
      <c r="G4722" s="27">
        <f t="shared" si="84"/>
        <v>0</v>
      </c>
      <c r="H4722" s="28" t="e">
        <f>VLOOKUP(E4722,'Cadastro Produtos (kiwkiw)'!C:E,3,0)</f>
        <v>#N/A</v>
      </c>
    </row>
    <row r="4723" spans="7:8" ht="15" customHeight="1" x14ac:dyDescent="0.4">
      <c r="G4723" s="27">
        <f t="shared" si="84"/>
        <v>0</v>
      </c>
      <c r="H4723" s="28" t="e">
        <f>VLOOKUP(E4723,'Cadastro Produtos (kiwkiw)'!C:E,3,0)</f>
        <v>#N/A</v>
      </c>
    </row>
    <row r="4724" spans="7:8" ht="15" customHeight="1" x14ac:dyDescent="0.4">
      <c r="G4724" s="27">
        <f t="shared" si="84"/>
        <v>0</v>
      </c>
      <c r="H4724" s="28" t="e">
        <f>VLOOKUP(E4724,'Cadastro Produtos (kiwkiw)'!C:E,3,0)</f>
        <v>#N/A</v>
      </c>
    </row>
    <row r="4725" spans="7:8" ht="15" customHeight="1" x14ac:dyDescent="0.4">
      <c r="G4725" s="27">
        <f t="shared" si="84"/>
        <v>0</v>
      </c>
      <c r="H4725" s="28" t="e">
        <f>VLOOKUP(E4725,'Cadastro Produtos (kiwkiw)'!C:E,3,0)</f>
        <v>#N/A</v>
      </c>
    </row>
    <row r="4726" spans="7:8" ht="15" customHeight="1" x14ac:dyDescent="0.4">
      <c r="G4726" s="27">
        <f t="shared" si="84"/>
        <v>0</v>
      </c>
      <c r="H4726" s="28" t="e">
        <f>VLOOKUP(E4726,'Cadastro Produtos (kiwkiw)'!C:E,3,0)</f>
        <v>#N/A</v>
      </c>
    </row>
    <row r="4727" spans="7:8" ht="15" customHeight="1" x14ac:dyDescent="0.4">
      <c r="G4727" s="27">
        <f t="shared" si="84"/>
        <v>0</v>
      </c>
      <c r="H4727" s="28" t="e">
        <f>VLOOKUP(E4727,'Cadastro Produtos (kiwkiw)'!C:E,3,0)</f>
        <v>#N/A</v>
      </c>
    </row>
    <row r="4728" spans="7:8" ht="15" customHeight="1" x14ac:dyDescent="0.4">
      <c r="G4728" s="27">
        <f t="shared" si="84"/>
        <v>0</v>
      </c>
      <c r="H4728" s="28" t="e">
        <f>VLOOKUP(E4728,'Cadastro Produtos (kiwkiw)'!C:E,3,0)</f>
        <v>#N/A</v>
      </c>
    </row>
    <row r="4729" spans="7:8" ht="15" customHeight="1" x14ac:dyDescent="0.4">
      <c r="G4729" s="27">
        <f t="shared" si="84"/>
        <v>0</v>
      </c>
      <c r="H4729" s="28" t="e">
        <f>VLOOKUP(E4729,'Cadastro Produtos (kiwkiw)'!C:E,3,0)</f>
        <v>#N/A</v>
      </c>
    </row>
    <row r="4730" spans="7:8" ht="15" customHeight="1" x14ac:dyDescent="0.4">
      <c r="G4730" s="27">
        <f t="shared" si="84"/>
        <v>0</v>
      </c>
      <c r="H4730" s="28" t="e">
        <f>VLOOKUP(E4730,'Cadastro Produtos (kiwkiw)'!C:E,3,0)</f>
        <v>#N/A</v>
      </c>
    </row>
    <row r="4731" spans="7:8" ht="15" customHeight="1" x14ac:dyDescent="0.4">
      <c r="G4731" s="27">
        <f t="shared" si="84"/>
        <v>0</v>
      </c>
      <c r="H4731" s="28" t="e">
        <f>VLOOKUP(E4731,'Cadastro Produtos (kiwkiw)'!C:E,3,0)</f>
        <v>#N/A</v>
      </c>
    </row>
    <row r="4732" spans="7:8" ht="15" customHeight="1" x14ac:dyDescent="0.4">
      <c r="G4732" s="27">
        <f t="shared" si="84"/>
        <v>0</v>
      </c>
      <c r="H4732" s="28" t="e">
        <f>VLOOKUP(E4732,'Cadastro Produtos (kiwkiw)'!C:E,3,0)</f>
        <v>#N/A</v>
      </c>
    </row>
    <row r="4733" spans="7:8" ht="15" customHeight="1" x14ac:dyDescent="0.4">
      <c r="G4733" s="27">
        <f t="shared" si="84"/>
        <v>0</v>
      </c>
      <c r="H4733" s="28" t="e">
        <f>VLOOKUP(E4733,'Cadastro Produtos (kiwkiw)'!C:E,3,0)</f>
        <v>#N/A</v>
      </c>
    </row>
    <row r="4734" spans="7:8" ht="15" customHeight="1" x14ac:dyDescent="0.4">
      <c r="G4734" s="27">
        <f t="shared" si="84"/>
        <v>0</v>
      </c>
      <c r="H4734" s="28" t="e">
        <f>VLOOKUP(E4734,'Cadastro Produtos (kiwkiw)'!C:E,3,0)</f>
        <v>#N/A</v>
      </c>
    </row>
    <row r="4735" spans="7:8" ht="15" customHeight="1" x14ac:dyDescent="0.4">
      <c r="G4735" s="27">
        <f t="shared" si="84"/>
        <v>0</v>
      </c>
      <c r="H4735" s="28" t="e">
        <f>VLOOKUP(E4735,'Cadastro Produtos (kiwkiw)'!C:E,3,0)</f>
        <v>#N/A</v>
      </c>
    </row>
    <row r="4736" spans="7:8" ht="15" customHeight="1" x14ac:dyDescent="0.4">
      <c r="G4736" s="27">
        <f t="shared" si="84"/>
        <v>0</v>
      </c>
      <c r="H4736" s="28" t="e">
        <f>VLOOKUP(E4736,'Cadastro Produtos (kiwkiw)'!C:E,3,0)</f>
        <v>#N/A</v>
      </c>
    </row>
    <row r="4737" spans="7:8" ht="15" customHeight="1" x14ac:dyDescent="0.4">
      <c r="G4737" s="27">
        <f t="shared" ref="G4737:G4800" si="85">IF(C4737="Entrada",F4737,-F4737)</f>
        <v>0</v>
      </c>
      <c r="H4737" s="28" t="e">
        <f>VLOOKUP(E4737,'Cadastro Produtos (kiwkiw)'!C:E,3,0)</f>
        <v>#N/A</v>
      </c>
    </row>
    <row r="4738" spans="7:8" ht="15" customHeight="1" x14ac:dyDescent="0.4">
      <c r="G4738" s="27">
        <f t="shared" si="85"/>
        <v>0</v>
      </c>
      <c r="H4738" s="28" t="e">
        <f>VLOOKUP(E4738,'Cadastro Produtos (kiwkiw)'!C:E,3,0)</f>
        <v>#N/A</v>
      </c>
    </row>
    <row r="4739" spans="7:8" ht="15" customHeight="1" x14ac:dyDescent="0.4">
      <c r="G4739" s="27">
        <f t="shared" si="85"/>
        <v>0</v>
      </c>
      <c r="H4739" s="28" t="e">
        <f>VLOOKUP(E4739,'Cadastro Produtos (kiwkiw)'!C:E,3,0)</f>
        <v>#N/A</v>
      </c>
    </row>
    <row r="4740" spans="7:8" ht="15" customHeight="1" x14ac:dyDescent="0.4">
      <c r="G4740" s="27">
        <f t="shared" si="85"/>
        <v>0</v>
      </c>
      <c r="H4740" s="28" t="e">
        <f>VLOOKUP(E4740,'Cadastro Produtos (kiwkiw)'!C:E,3,0)</f>
        <v>#N/A</v>
      </c>
    </row>
    <row r="4741" spans="7:8" ht="15" customHeight="1" x14ac:dyDescent="0.4">
      <c r="G4741" s="27">
        <f t="shared" si="85"/>
        <v>0</v>
      </c>
      <c r="H4741" s="28" t="e">
        <f>VLOOKUP(E4741,'Cadastro Produtos (kiwkiw)'!C:E,3,0)</f>
        <v>#N/A</v>
      </c>
    </row>
    <row r="4742" spans="7:8" ht="15" customHeight="1" x14ac:dyDescent="0.4">
      <c r="G4742" s="27">
        <f t="shared" si="85"/>
        <v>0</v>
      </c>
      <c r="H4742" s="28" t="e">
        <f>VLOOKUP(E4742,'Cadastro Produtos (kiwkiw)'!C:E,3,0)</f>
        <v>#N/A</v>
      </c>
    </row>
    <row r="4743" spans="7:8" ht="15" customHeight="1" x14ac:dyDescent="0.4">
      <c r="G4743" s="27">
        <f t="shared" si="85"/>
        <v>0</v>
      </c>
      <c r="H4743" s="28" t="e">
        <f>VLOOKUP(E4743,'Cadastro Produtos (kiwkiw)'!C:E,3,0)</f>
        <v>#N/A</v>
      </c>
    </row>
    <row r="4744" spans="7:8" ht="15" customHeight="1" x14ac:dyDescent="0.4">
      <c r="G4744" s="27">
        <f t="shared" si="85"/>
        <v>0</v>
      </c>
      <c r="H4744" s="28" t="e">
        <f>VLOOKUP(E4744,'Cadastro Produtos (kiwkiw)'!C:E,3,0)</f>
        <v>#N/A</v>
      </c>
    </row>
    <row r="4745" spans="7:8" ht="15" customHeight="1" x14ac:dyDescent="0.4">
      <c r="G4745" s="27">
        <f t="shared" si="85"/>
        <v>0</v>
      </c>
      <c r="H4745" s="28" t="e">
        <f>VLOOKUP(E4745,'Cadastro Produtos (kiwkiw)'!C:E,3,0)</f>
        <v>#N/A</v>
      </c>
    </row>
    <row r="4746" spans="7:8" ht="15" customHeight="1" x14ac:dyDescent="0.4">
      <c r="G4746" s="27">
        <f t="shared" si="85"/>
        <v>0</v>
      </c>
      <c r="H4746" s="28" t="e">
        <f>VLOOKUP(E4746,'Cadastro Produtos (kiwkiw)'!C:E,3,0)</f>
        <v>#N/A</v>
      </c>
    </row>
    <row r="4747" spans="7:8" ht="15" customHeight="1" x14ac:dyDescent="0.4">
      <c r="G4747" s="27">
        <f t="shared" si="85"/>
        <v>0</v>
      </c>
      <c r="H4747" s="28" t="e">
        <f>VLOOKUP(E4747,'Cadastro Produtos (kiwkiw)'!C:E,3,0)</f>
        <v>#N/A</v>
      </c>
    </row>
    <row r="4748" spans="7:8" ht="15" customHeight="1" x14ac:dyDescent="0.4">
      <c r="G4748" s="27">
        <f t="shared" si="85"/>
        <v>0</v>
      </c>
      <c r="H4748" s="28" t="e">
        <f>VLOOKUP(E4748,'Cadastro Produtos (kiwkiw)'!C:E,3,0)</f>
        <v>#N/A</v>
      </c>
    </row>
    <row r="4749" spans="7:8" ht="15" customHeight="1" x14ac:dyDescent="0.4">
      <c r="G4749" s="27">
        <f t="shared" si="85"/>
        <v>0</v>
      </c>
      <c r="H4749" s="28" t="e">
        <f>VLOOKUP(E4749,'Cadastro Produtos (kiwkiw)'!C:E,3,0)</f>
        <v>#N/A</v>
      </c>
    </row>
    <row r="4750" spans="7:8" ht="15" customHeight="1" x14ac:dyDescent="0.4">
      <c r="G4750" s="27">
        <f t="shared" si="85"/>
        <v>0</v>
      </c>
      <c r="H4750" s="28" t="e">
        <f>VLOOKUP(E4750,'Cadastro Produtos (kiwkiw)'!C:E,3,0)</f>
        <v>#N/A</v>
      </c>
    </row>
    <row r="4751" spans="7:8" ht="15" customHeight="1" x14ac:dyDescent="0.4">
      <c r="G4751" s="27">
        <f t="shared" si="85"/>
        <v>0</v>
      </c>
      <c r="H4751" s="28" t="e">
        <f>VLOOKUP(E4751,'Cadastro Produtos (kiwkiw)'!C:E,3,0)</f>
        <v>#N/A</v>
      </c>
    </row>
    <row r="4752" spans="7:8" ht="15" customHeight="1" x14ac:dyDescent="0.4">
      <c r="G4752" s="27">
        <f t="shared" si="85"/>
        <v>0</v>
      </c>
      <c r="H4752" s="28" t="e">
        <f>VLOOKUP(E4752,'Cadastro Produtos (kiwkiw)'!C:E,3,0)</f>
        <v>#N/A</v>
      </c>
    </row>
    <row r="4753" spans="7:9" ht="15" customHeight="1" x14ac:dyDescent="0.4">
      <c r="G4753" s="27">
        <f t="shared" si="85"/>
        <v>0</v>
      </c>
      <c r="H4753" s="28" t="e">
        <f>VLOOKUP(E4753,'Cadastro Produtos (kiwkiw)'!C:E,3,0)</f>
        <v>#N/A</v>
      </c>
    </row>
    <row r="4754" spans="7:9" ht="15" customHeight="1" x14ac:dyDescent="0.4">
      <c r="G4754" s="27">
        <f t="shared" si="85"/>
        <v>0</v>
      </c>
      <c r="H4754" s="28" t="e">
        <f>VLOOKUP(E4754,'Cadastro Produtos (kiwkiw)'!C:E,3,0)</f>
        <v>#N/A</v>
      </c>
    </row>
    <row r="4755" spans="7:9" ht="15" customHeight="1" x14ac:dyDescent="0.4">
      <c r="G4755" s="27">
        <f t="shared" si="85"/>
        <v>0</v>
      </c>
      <c r="H4755" s="28" t="e">
        <f>VLOOKUP(E4755,'Cadastro Produtos (kiwkiw)'!C:E,3,0)</f>
        <v>#N/A</v>
      </c>
    </row>
    <row r="4756" spans="7:9" ht="15" customHeight="1" x14ac:dyDescent="0.4">
      <c r="G4756" s="27">
        <f t="shared" si="85"/>
        <v>0</v>
      </c>
      <c r="H4756" s="28" t="e">
        <f>VLOOKUP(E4756,'Cadastro Produtos (kiwkiw)'!C:E,3,0)</f>
        <v>#N/A</v>
      </c>
    </row>
    <row r="4757" spans="7:9" ht="15" customHeight="1" x14ac:dyDescent="0.4">
      <c r="G4757" s="27">
        <f t="shared" si="85"/>
        <v>0</v>
      </c>
      <c r="H4757" s="28" t="e">
        <f>VLOOKUP(E4757,'Cadastro Produtos (kiwkiw)'!C:E,3,0)</f>
        <v>#N/A</v>
      </c>
    </row>
    <row r="4758" spans="7:9" ht="15" customHeight="1" x14ac:dyDescent="0.4">
      <c r="G4758" s="27">
        <f t="shared" si="85"/>
        <v>0</v>
      </c>
      <c r="H4758" s="28" t="e">
        <f>VLOOKUP(E4758,'Cadastro Produtos (kiwkiw)'!C:E,3,0)</f>
        <v>#N/A</v>
      </c>
    </row>
    <row r="4759" spans="7:9" ht="15" customHeight="1" x14ac:dyDescent="0.4">
      <c r="G4759" s="27">
        <f t="shared" si="85"/>
        <v>0</v>
      </c>
      <c r="H4759" s="28" t="e">
        <f>VLOOKUP(E4759,'Cadastro Produtos (kiwkiw)'!C:E,3,0)</f>
        <v>#N/A</v>
      </c>
    </row>
    <row r="4760" spans="7:9" ht="15" customHeight="1" x14ac:dyDescent="0.4">
      <c r="G4760" s="27">
        <f t="shared" si="85"/>
        <v>0</v>
      </c>
      <c r="H4760" s="28" t="e">
        <f>VLOOKUP(E4760,'Cadastro Produtos (kiwkiw)'!C:E,3,0)</f>
        <v>#N/A</v>
      </c>
    </row>
    <row r="4761" spans="7:9" ht="15" customHeight="1" x14ac:dyDescent="0.4">
      <c r="G4761" s="27">
        <f t="shared" si="85"/>
        <v>0</v>
      </c>
      <c r="H4761" s="28" t="e">
        <f>VLOOKUP(E4761,'Cadastro Produtos (kiwkiw)'!C:E,3,0)</f>
        <v>#N/A</v>
      </c>
    </row>
    <row r="4762" spans="7:9" ht="15" customHeight="1" x14ac:dyDescent="0.4">
      <c r="G4762" s="27">
        <f t="shared" si="85"/>
        <v>0</v>
      </c>
      <c r="H4762" s="28" t="e">
        <f>VLOOKUP(E4762,'Cadastro Produtos (kiwkiw)'!C:E,3,0)</f>
        <v>#N/A</v>
      </c>
    </row>
    <row r="4763" spans="7:9" ht="15" customHeight="1" x14ac:dyDescent="0.4">
      <c r="G4763" s="27">
        <f t="shared" si="85"/>
        <v>0</v>
      </c>
      <c r="H4763" s="28" t="e">
        <f>VLOOKUP(E4763,'Cadastro Produtos (kiwkiw)'!C:E,3,0)</f>
        <v>#N/A</v>
      </c>
    </row>
    <row r="4764" spans="7:9" ht="15" customHeight="1" x14ac:dyDescent="0.4">
      <c r="G4764" s="27">
        <f t="shared" si="85"/>
        <v>0</v>
      </c>
      <c r="H4764" s="28" t="e">
        <f>VLOOKUP(E4764,'Cadastro Produtos (kiwkiw)'!C:E,3,0)</f>
        <v>#N/A</v>
      </c>
    </row>
    <row r="4765" spans="7:9" ht="15" customHeight="1" x14ac:dyDescent="0.4">
      <c r="G4765" s="27">
        <f t="shared" si="85"/>
        <v>0</v>
      </c>
      <c r="H4765" s="28" t="e">
        <f>VLOOKUP(E4765,'Cadastro Produtos (kiwkiw)'!C:E,3,0)</f>
        <v>#N/A</v>
      </c>
    </row>
    <row r="4766" spans="7:9" ht="15" customHeight="1" x14ac:dyDescent="0.4">
      <c r="G4766" s="27">
        <f t="shared" si="85"/>
        <v>0</v>
      </c>
      <c r="H4766" s="28" t="e">
        <f>VLOOKUP(E4766,'Cadastro Produtos (kiwkiw)'!C:E,3,0)</f>
        <v>#N/A</v>
      </c>
      <c r="I4766" s="38"/>
    </row>
    <row r="4767" spans="7:9" ht="15" customHeight="1" x14ac:dyDescent="0.4">
      <c r="G4767" s="27">
        <f t="shared" si="85"/>
        <v>0</v>
      </c>
      <c r="H4767" s="28" t="e">
        <f>VLOOKUP(E4767,'Cadastro Produtos (kiwkiw)'!C:E,3,0)</f>
        <v>#N/A</v>
      </c>
    </row>
    <row r="4768" spans="7:9" ht="15" customHeight="1" x14ac:dyDescent="0.4">
      <c r="G4768" s="27">
        <f t="shared" si="85"/>
        <v>0</v>
      </c>
      <c r="H4768" s="28" t="e">
        <f>VLOOKUP(E4768,'Cadastro Produtos (kiwkiw)'!C:E,3,0)</f>
        <v>#N/A</v>
      </c>
    </row>
    <row r="4769" spans="2:8" ht="15" customHeight="1" x14ac:dyDescent="0.4">
      <c r="G4769" s="27">
        <f t="shared" si="85"/>
        <v>0</v>
      </c>
      <c r="H4769" s="28" t="e">
        <f>VLOOKUP(E4769,'Cadastro Produtos (kiwkiw)'!C:E,3,0)</f>
        <v>#N/A</v>
      </c>
    </row>
    <row r="4770" spans="2:8" ht="15" customHeight="1" x14ac:dyDescent="0.4">
      <c r="G4770" s="27">
        <f t="shared" si="85"/>
        <v>0</v>
      </c>
      <c r="H4770" s="28" t="e">
        <f>VLOOKUP(E4770,'Cadastro Produtos (kiwkiw)'!C:E,3,0)</f>
        <v>#N/A</v>
      </c>
    </row>
    <row r="4771" spans="2:8" ht="15" customHeight="1" x14ac:dyDescent="0.4">
      <c r="G4771" s="27">
        <f t="shared" si="85"/>
        <v>0</v>
      </c>
      <c r="H4771" s="28" t="e">
        <f>VLOOKUP(E4771,'Cadastro Produtos (kiwkiw)'!C:E,3,0)</f>
        <v>#N/A</v>
      </c>
    </row>
    <row r="4772" spans="2:8" ht="15" customHeight="1" x14ac:dyDescent="0.4">
      <c r="G4772" s="27">
        <f t="shared" si="85"/>
        <v>0</v>
      </c>
      <c r="H4772" s="28" t="e">
        <f>VLOOKUP(E4772,'Cadastro Produtos (kiwkiw)'!C:E,3,0)</f>
        <v>#N/A</v>
      </c>
    </row>
    <row r="4773" spans="2:8" ht="15" customHeight="1" x14ac:dyDescent="0.4">
      <c r="G4773" s="27">
        <f t="shared" si="85"/>
        <v>0</v>
      </c>
      <c r="H4773" s="28" t="e">
        <f>VLOOKUP(E4773,'Cadastro Produtos (kiwkiw)'!C:E,3,0)</f>
        <v>#N/A</v>
      </c>
    </row>
    <row r="4774" spans="2:8" ht="15" customHeight="1" x14ac:dyDescent="0.4">
      <c r="G4774" s="27">
        <f t="shared" si="85"/>
        <v>0</v>
      </c>
      <c r="H4774" s="28" t="e">
        <f>VLOOKUP(E4774,'Cadastro Produtos (kiwkiw)'!C:E,3,0)</f>
        <v>#N/A</v>
      </c>
    </row>
    <row r="4775" spans="2:8" ht="15" customHeight="1" x14ac:dyDescent="0.4">
      <c r="G4775" s="27">
        <f t="shared" si="85"/>
        <v>0</v>
      </c>
      <c r="H4775" s="28" t="e">
        <f>VLOOKUP(E4775,'Cadastro Produtos (kiwkiw)'!C:E,3,0)</f>
        <v>#N/A</v>
      </c>
    </row>
    <row r="4776" spans="2:8" ht="15" customHeight="1" x14ac:dyDescent="0.4">
      <c r="G4776" s="27">
        <f t="shared" si="85"/>
        <v>0</v>
      </c>
      <c r="H4776" s="28" t="e">
        <f>VLOOKUP(E4776,'Cadastro Produtos (kiwkiw)'!C:E,3,0)</f>
        <v>#N/A</v>
      </c>
    </row>
    <row r="4777" spans="2:8" ht="15" customHeight="1" x14ac:dyDescent="0.4">
      <c r="G4777" s="27">
        <f t="shared" si="85"/>
        <v>0</v>
      </c>
      <c r="H4777" s="28" t="e">
        <f>VLOOKUP(E4777,'Cadastro Produtos (kiwkiw)'!C:E,3,0)</f>
        <v>#N/A</v>
      </c>
    </row>
    <row r="4778" spans="2:8" ht="15" customHeight="1" x14ac:dyDescent="0.4">
      <c r="G4778" s="27">
        <f t="shared" si="85"/>
        <v>0</v>
      </c>
      <c r="H4778" s="28" t="e">
        <f>VLOOKUP(E4778,'Cadastro Produtos (kiwkiw)'!C:E,3,0)</f>
        <v>#N/A</v>
      </c>
    </row>
    <row r="4779" spans="2:8" ht="15" customHeight="1" x14ac:dyDescent="0.4">
      <c r="G4779" s="27">
        <f t="shared" si="85"/>
        <v>0</v>
      </c>
      <c r="H4779" s="28" t="e">
        <f>VLOOKUP(E4779,'Cadastro Produtos (kiwkiw)'!C:E,3,0)</f>
        <v>#N/A</v>
      </c>
    </row>
    <row r="4780" spans="2:8" ht="15" customHeight="1" x14ac:dyDescent="0.4">
      <c r="G4780" s="27">
        <f t="shared" si="85"/>
        <v>0</v>
      </c>
      <c r="H4780" s="28" t="e">
        <f>VLOOKUP(E4780,'Cadastro Produtos (kiwkiw)'!C:E,3,0)</f>
        <v>#N/A</v>
      </c>
    </row>
    <row r="4781" spans="2:8" ht="15" customHeight="1" x14ac:dyDescent="0.4">
      <c r="G4781" s="27">
        <f t="shared" si="85"/>
        <v>0</v>
      </c>
      <c r="H4781" s="28" t="e">
        <f>VLOOKUP(E4781,'Cadastro Produtos (kiwkiw)'!C:E,3,0)</f>
        <v>#N/A</v>
      </c>
    </row>
    <row r="4782" spans="2:8" ht="15" customHeight="1" x14ac:dyDescent="0.4">
      <c r="G4782" s="27">
        <f t="shared" si="85"/>
        <v>0</v>
      </c>
      <c r="H4782" s="28" t="e">
        <f>VLOOKUP(E4782,'Cadastro Produtos (kiwkiw)'!C:E,3,0)</f>
        <v>#N/A</v>
      </c>
    </row>
    <row r="4783" spans="2:8" ht="15" customHeight="1" x14ac:dyDescent="0.4">
      <c r="G4783" s="27">
        <f t="shared" si="85"/>
        <v>0</v>
      </c>
      <c r="H4783" s="28" t="e">
        <f>VLOOKUP(E4783,'Cadastro Produtos (kiwkiw)'!C:E,3,0)</f>
        <v>#N/A</v>
      </c>
    </row>
    <row r="4784" spans="2:8" ht="15" customHeight="1" x14ac:dyDescent="0.4">
      <c r="B4784" s="43"/>
      <c r="G4784" s="27">
        <f t="shared" si="85"/>
        <v>0</v>
      </c>
      <c r="H4784" s="28" t="e">
        <f>VLOOKUP(E4784,'Cadastro Produtos (kiwkiw)'!C:E,3,0)</f>
        <v>#N/A</v>
      </c>
    </row>
    <row r="4785" spans="7:8" ht="15" customHeight="1" x14ac:dyDescent="0.4">
      <c r="G4785" s="27">
        <f t="shared" si="85"/>
        <v>0</v>
      </c>
      <c r="H4785" s="28" t="e">
        <f>VLOOKUP(E4785,'Cadastro Produtos (kiwkiw)'!C:E,3,0)</f>
        <v>#N/A</v>
      </c>
    </row>
    <row r="4786" spans="7:8" ht="15" customHeight="1" x14ac:dyDescent="0.4">
      <c r="G4786" s="27">
        <f t="shared" si="85"/>
        <v>0</v>
      </c>
      <c r="H4786" s="28" t="e">
        <f>VLOOKUP(E4786,'Cadastro Produtos (kiwkiw)'!C:E,3,0)</f>
        <v>#N/A</v>
      </c>
    </row>
    <row r="4787" spans="7:8" ht="15" customHeight="1" x14ac:dyDescent="0.4">
      <c r="G4787" s="27">
        <f t="shared" si="85"/>
        <v>0</v>
      </c>
      <c r="H4787" s="28" t="e">
        <f>VLOOKUP(E4787,'Cadastro Produtos (kiwkiw)'!C:E,3,0)</f>
        <v>#N/A</v>
      </c>
    </row>
    <row r="4788" spans="7:8" ht="15" customHeight="1" x14ac:dyDescent="0.4">
      <c r="G4788" s="27">
        <f t="shared" si="85"/>
        <v>0</v>
      </c>
      <c r="H4788" s="28" t="e">
        <f>VLOOKUP(E4788,'Cadastro Produtos (kiwkiw)'!C:E,3,0)</f>
        <v>#N/A</v>
      </c>
    </row>
    <row r="4789" spans="7:8" ht="15" customHeight="1" x14ac:dyDescent="0.4">
      <c r="G4789" s="27">
        <f t="shared" si="85"/>
        <v>0</v>
      </c>
      <c r="H4789" s="28" t="e">
        <f>VLOOKUP(E4789,'Cadastro Produtos (kiwkiw)'!C:E,3,0)</f>
        <v>#N/A</v>
      </c>
    </row>
    <row r="4790" spans="7:8" ht="15" customHeight="1" x14ac:dyDescent="0.4">
      <c r="G4790" s="27">
        <f t="shared" si="85"/>
        <v>0</v>
      </c>
      <c r="H4790" s="28" t="e">
        <f>VLOOKUP(E4790,'Cadastro Produtos (kiwkiw)'!C:E,3,0)</f>
        <v>#N/A</v>
      </c>
    </row>
    <row r="4791" spans="7:8" ht="15" customHeight="1" x14ac:dyDescent="0.4">
      <c r="G4791" s="27">
        <f t="shared" si="85"/>
        <v>0</v>
      </c>
      <c r="H4791" s="28" t="e">
        <f>VLOOKUP(E4791,'Cadastro Produtos (kiwkiw)'!C:E,3,0)</f>
        <v>#N/A</v>
      </c>
    </row>
    <row r="4792" spans="7:8" ht="15" customHeight="1" x14ac:dyDescent="0.4">
      <c r="G4792" s="27">
        <f t="shared" si="85"/>
        <v>0</v>
      </c>
      <c r="H4792" s="28" t="e">
        <f>VLOOKUP(E4792,'Cadastro Produtos (kiwkiw)'!C:E,3,0)</f>
        <v>#N/A</v>
      </c>
    </row>
    <row r="4793" spans="7:8" ht="15" customHeight="1" x14ac:dyDescent="0.4">
      <c r="G4793" s="27">
        <f t="shared" si="85"/>
        <v>0</v>
      </c>
      <c r="H4793" s="28" t="e">
        <f>VLOOKUP(E4793,'Cadastro Produtos (kiwkiw)'!C:E,3,0)</f>
        <v>#N/A</v>
      </c>
    </row>
    <row r="4794" spans="7:8" ht="15" customHeight="1" x14ac:dyDescent="0.4">
      <c r="G4794" s="27">
        <f t="shared" si="85"/>
        <v>0</v>
      </c>
      <c r="H4794" s="28" t="e">
        <f>VLOOKUP(E4794,'Cadastro Produtos (kiwkiw)'!C:E,3,0)</f>
        <v>#N/A</v>
      </c>
    </row>
    <row r="4795" spans="7:8" ht="15" customHeight="1" x14ac:dyDescent="0.4">
      <c r="G4795" s="27">
        <f t="shared" si="85"/>
        <v>0</v>
      </c>
      <c r="H4795" s="28" t="e">
        <f>VLOOKUP(E4795,'Cadastro Produtos (kiwkiw)'!C:E,3,0)</f>
        <v>#N/A</v>
      </c>
    </row>
    <row r="4796" spans="7:8" ht="15" customHeight="1" x14ac:dyDescent="0.4">
      <c r="G4796" s="27">
        <f t="shared" si="85"/>
        <v>0</v>
      </c>
      <c r="H4796" s="28" t="e">
        <f>VLOOKUP(E4796,'Cadastro Produtos (kiwkiw)'!C:E,3,0)</f>
        <v>#N/A</v>
      </c>
    </row>
    <row r="4797" spans="7:8" ht="15" customHeight="1" x14ac:dyDescent="0.4">
      <c r="G4797" s="27">
        <f t="shared" si="85"/>
        <v>0</v>
      </c>
      <c r="H4797" s="28" t="e">
        <f>VLOOKUP(E4797,'Cadastro Produtos (kiwkiw)'!C:E,3,0)</f>
        <v>#N/A</v>
      </c>
    </row>
    <row r="4798" spans="7:8" ht="15" customHeight="1" x14ac:dyDescent="0.4">
      <c r="G4798" s="27">
        <f t="shared" si="85"/>
        <v>0</v>
      </c>
      <c r="H4798" s="28" t="e">
        <f>VLOOKUP(E4798,'Cadastro Produtos (kiwkiw)'!C:E,3,0)</f>
        <v>#N/A</v>
      </c>
    </row>
    <row r="4799" spans="7:8" ht="15" customHeight="1" x14ac:dyDescent="0.4">
      <c r="G4799" s="27">
        <f t="shared" si="85"/>
        <v>0</v>
      </c>
      <c r="H4799" s="28" t="e">
        <f>VLOOKUP(E4799,'Cadastro Produtos (kiwkiw)'!C:E,3,0)</f>
        <v>#N/A</v>
      </c>
    </row>
    <row r="4800" spans="7:8" ht="15" customHeight="1" x14ac:dyDescent="0.4">
      <c r="G4800" s="27">
        <f t="shared" si="85"/>
        <v>0</v>
      </c>
      <c r="H4800" s="28" t="e">
        <f>VLOOKUP(E4800,'Cadastro Produtos (kiwkiw)'!C:E,3,0)</f>
        <v>#N/A</v>
      </c>
    </row>
    <row r="4801" spans="7:8" ht="15" customHeight="1" x14ac:dyDescent="0.4">
      <c r="G4801" s="27">
        <f t="shared" ref="G4801:G4864" si="86">IF(C4801="Entrada",F4801,-F4801)</f>
        <v>0</v>
      </c>
      <c r="H4801" s="28" t="e">
        <f>VLOOKUP(E4801,'Cadastro Produtos (kiwkiw)'!C:E,3,0)</f>
        <v>#N/A</v>
      </c>
    </row>
    <row r="4802" spans="7:8" ht="15" customHeight="1" x14ac:dyDescent="0.4">
      <c r="G4802" s="27">
        <f t="shared" si="86"/>
        <v>0</v>
      </c>
      <c r="H4802" s="28" t="e">
        <f>VLOOKUP(E4802,'Cadastro Produtos (kiwkiw)'!C:E,3,0)</f>
        <v>#N/A</v>
      </c>
    </row>
    <row r="4803" spans="7:8" ht="15" customHeight="1" x14ac:dyDescent="0.4">
      <c r="G4803" s="27">
        <f t="shared" si="86"/>
        <v>0</v>
      </c>
      <c r="H4803" s="28" t="e">
        <f>VLOOKUP(E4803,'Cadastro Produtos (kiwkiw)'!C:E,3,0)</f>
        <v>#N/A</v>
      </c>
    </row>
    <row r="4804" spans="7:8" ht="15" customHeight="1" x14ac:dyDescent="0.4">
      <c r="G4804" s="27">
        <f t="shared" si="86"/>
        <v>0</v>
      </c>
      <c r="H4804" s="28" t="e">
        <f>VLOOKUP(E4804,'Cadastro Produtos (kiwkiw)'!C:E,3,0)</f>
        <v>#N/A</v>
      </c>
    </row>
    <row r="4805" spans="7:8" ht="15" customHeight="1" x14ac:dyDescent="0.4">
      <c r="G4805" s="27">
        <f t="shared" si="86"/>
        <v>0</v>
      </c>
      <c r="H4805" s="28" t="e">
        <f>VLOOKUP(E4805,'Cadastro Produtos (kiwkiw)'!C:E,3,0)</f>
        <v>#N/A</v>
      </c>
    </row>
    <row r="4806" spans="7:8" ht="15" customHeight="1" x14ac:dyDescent="0.4">
      <c r="G4806" s="27">
        <f t="shared" si="86"/>
        <v>0</v>
      </c>
      <c r="H4806" s="28" t="e">
        <f>VLOOKUP(E4806,'Cadastro Produtos (kiwkiw)'!C:E,3,0)</f>
        <v>#N/A</v>
      </c>
    </row>
    <row r="4807" spans="7:8" ht="15" customHeight="1" x14ac:dyDescent="0.4">
      <c r="G4807" s="27">
        <f t="shared" si="86"/>
        <v>0</v>
      </c>
      <c r="H4807" s="28" t="e">
        <f>VLOOKUP(E4807,'Cadastro Produtos (kiwkiw)'!C:E,3,0)</f>
        <v>#N/A</v>
      </c>
    </row>
    <row r="4808" spans="7:8" ht="15" customHeight="1" x14ac:dyDescent="0.4">
      <c r="G4808" s="27">
        <f t="shared" si="86"/>
        <v>0</v>
      </c>
      <c r="H4808" s="28" t="e">
        <f>VLOOKUP(E4808,'Cadastro Produtos (kiwkiw)'!C:E,3,0)</f>
        <v>#N/A</v>
      </c>
    </row>
    <row r="4809" spans="7:8" ht="15" customHeight="1" x14ac:dyDescent="0.4">
      <c r="G4809" s="27">
        <f t="shared" si="86"/>
        <v>0</v>
      </c>
      <c r="H4809" s="28" t="e">
        <f>VLOOKUP(E4809,'Cadastro Produtos (kiwkiw)'!C:E,3,0)</f>
        <v>#N/A</v>
      </c>
    </row>
    <row r="4810" spans="7:8" ht="15" customHeight="1" x14ac:dyDescent="0.4">
      <c r="G4810" s="27">
        <f t="shared" si="86"/>
        <v>0</v>
      </c>
      <c r="H4810" s="28" t="e">
        <f>VLOOKUP(E4810,'Cadastro Produtos (kiwkiw)'!C:E,3,0)</f>
        <v>#N/A</v>
      </c>
    </row>
    <row r="4811" spans="7:8" ht="15" customHeight="1" x14ac:dyDescent="0.4">
      <c r="G4811" s="27">
        <f t="shared" si="86"/>
        <v>0</v>
      </c>
      <c r="H4811" s="28" t="e">
        <f>VLOOKUP(E4811,'Cadastro Produtos (kiwkiw)'!C:E,3,0)</f>
        <v>#N/A</v>
      </c>
    </row>
    <row r="4812" spans="7:8" ht="15" customHeight="1" x14ac:dyDescent="0.4">
      <c r="G4812" s="27">
        <f t="shared" si="86"/>
        <v>0</v>
      </c>
      <c r="H4812" s="28" t="e">
        <f>VLOOKUP(E4812,'Cadastro Produtos (kiwkiw)'!C:E,3,0)</f>
        <v>#N/A</v>
      </c>
    </row>
    <row r="4813" spans="7:8" ht="15" customHeight="1" x14ac:dyDescent="0.4">
      <c r="G4813" s="27">
        <f t="shared" si="86"/>
        <v>0</v>
      </c>
      <c r="H4813" s="28" t="e">
        <f>VLOOKUP(E4813,'Cadastro Produtos (kiwkiw)'!C:E,3,0)</f>
        <v>#N/A</v>
      </c>
    </row>
    <row r="4814" spans="7:8" ht="15" customHeight="1" x14ac:dyDescent="0.4">
      <c r="G4814" s="27">
        <f t="shared" si="86"/>
        <v>0</v>
      </c>
      <c r="H4814" s="28" t="e">
        <f>VLOOKUP(E4814,'Cadastro Produtos (kiwkiw)'!C:E,3,0)</f>
        <v>#N/A</v>
      </c>
    </row>
    <row r="4815" spans="7:8" ht="15" customHeight="1" x14ac:dyDescent="0.4">
      <c r="G4815" s="27">
        <f t="shared" si="86"/>
        <v>0</v>
      </c>
      <c r="H4815" s="28" t="e">
        <f>VLOOKUP(E4815,'Cadastro Produtos (kiwkiw)'!C:E,3,0)</f>
        <v>#N/A</v>
      </c>
    </row>
    <row r="4816" spans="7:8" ht="15" customHeight="1" x14ac:dyDescent="0.4">
      <c r="G4816" s="27">
        <f t="shared" si="86"/>
        <v>0</v>
      </c>
      <c r="H4816" s="28" t="e">
        <f>VLOOKUP(E4816,'Cadastro Produtos (kiwkiw)'!C:E,3,0)</f>
        <v>#N/A</v>
      </c>
    </row>
    <row r="4817" spans="7:8" ht="15" customHeight="1" x14ac:dyDescent="0.4">
      <c r="G4817" s="27">
        <f t="shared" si="86"/>
        <v>0</v>
      </c>
      <c r="H4817" s="28" t="e">
        <f>VLOOKUP(E4817,'Cadastro Produtos (kiwkiw)'!C:E,3,0)</f>
        <v>#N/A</v>
      </c>
    </row>
    <row r="4818" spans="7:8" ht="15" customHeight="1" x14ac:dyDescent="0.4">
      <c r="G4818" s="27">
        <f t="shared" si="86"/>
        <v>0</v>
      </c>
      <c r="H4818" s="28" t="e">
        <f>VLOOKUP(E4818,'Cadastro Produtos (kiwkiw)'!C:E,3,0)</f>
        <v>#N/A</v>
      </c>
    </row>
    <row r="4819" spans="7:8" ht="15" customHeight="1" x14ac:dyDescent="0.4">
      <c r="G4819" s="27">
        <f t="shared" si="86"/>
        <v>0</v>
      </c>
      <c r="H4819" s="28" t="e">
        <f>VLOOKUP(E4819,'Cadastro Produtos (kiwkiw)'!C:E,3,0)</f>
        <v>#N/A</v>
      </c>
    </row>
    <row r="4820" spans="7:8" ht="15" customHeight="1" x14ac:dyDescent="0.4">
      <c r="G4820" s="27">
        <f t="shared" si="86"/>
        <v>0</v>
      </c>
      <c r="H4820" s="28" t="e">
        <f>VLOOKUP(E4820,'Cadastro Produtos (kiwkiw)'!C:E,3,0)</f>
        <v>#N/A</v>
      </c>
    </row>
    <row r="4821" spans="7:8" ht="15" customHeight="1" x14ac:dyDescent="0.4">
      <c r="G4821" s="27">
        <f t="shared" si="86"/>
        <v>0</v>
      </c>
      <c r="H4821" s="28" t="e">
        <f>VLOOKUP(E4821,'Cadastro Produtos (kiwkiw)'!C:E,3,0)</f>
        <v>#N/A</v>
      </c>
    </row>
    <row r="4822" spans="7:8" ht="15" customHeight="1" x14ac:dyDescent="0.4">
      <c r="G4822" s="27">
        <f t="shared" si="86"/>
        <v>0</v>
      </c>
      <c r="H4822" s="28" t="e">
        <f>VLOOKUP(E4822,'Cadastro Produtos (kiwkiw)'!C:E,3,0)</f>
        <v>#N/A</v>
      </c>
    </row>
    <row r="4823" spans="7:8" ht="15" customHeight="1" x14ac:dyDescent="0.4">
      <c r="G4823" s="27">
        <f t="shared" si="86"/>
        <v>0</v>
      </c>
      <c r="H4823" s="28" t="e">
        <f>VLOOKUP(E4823,'Cadastro Produtos (kiwkiw)'!C:E,3,0)</f>
        <v>#N/A</v>
      </c>
    </row>
    <row r="4824" spans="7:8" ht="15" customHeight="1" x14ac:dyDescent="0.4">
      <c r="G4824" s="27">
        <f t="shared" si="86"/>
        <v>0</v>
      </c>
      <c r="H4824" s="28" t="e">
        <f>VLOOKUP(E4824,'Cadastro Produtos (kiwkiw)'!C:E,3,0)</f>
        <v>#N/A</v>
      </c>
    </row>
    <row r="4825" spans="7:8" ht="15" customHeight="1" x14ac:dyDescent="0.4">
      <c r="G4825" s="27">
        <f t="shared" si="86"/>
        <v>0</v>
      </c>
      <c r="H4825" s="28" t="e">
        <f>VLOOKUP(E4825,'Cadastro Produtos (kiwkiw)'!C:E,3,0)</f>
        <v>#N/A</v>
      </c>
    </row>
    <row r="4826" spans="7:8" ht="15" customHeight="1" x14ac:dyDescent="0.4">
      <c r="G4826" s="27">
        <f t="shared" si="86"/>
        <v>0</v>
      </c>
      <c r="H4826" s="28" t="e">
        <f>VLOOKUP(E4826,'Cadastro Produtos (kiwkiw)'!C:E,3,0)</f>
        <v>#N/A</v>
      </c>
    </row>
    <row r="4827" spans="7:8" ht="15" customHeight="1" x14ac:dyDescent="0.4">
      <c r="G4827" s="27">
        <f t="shared" si="86"/>
        <v>0</v>
      </c>
      <c r="H4827" s="28" t="e">
        <f>VLOOKUP(E4827,'Cadastro Produtos (kiwkiw)'!C:E,3,0)</f>
        <v>#N/A</v>
      </c>
    </row>
    <row r="4828" spans="7:8" ht="15" customHeight="1" x14ac:dyDescent="0.4">
      <c r="G4828" s="27">
        <f t="shared" si="86"/>
        <v>0</v>
      </c>
      <c r="H4828" s="28" t="e">
        <f>VLOOKUP(E4828,'Cadastro Produtos (kiwkiw)'!C:E,3,0)</f>
        <v>#N/A</v>
      </c>
    </row>
    <row r="4829" spans="7:8" ht="15" customHeight="1" x14ac:dyDescent="0.4">
      <c r="G4829" s="27">
        <f t="shared" si="86"/>
        <v>0</v>
      </c>
      <c r="H4829" s="28" t="e">
        <f>VLOOKUP(E4829,'Cadastro Produtos (kiwkiw)'!C:E,3,0)</f>
        <v>#N/A</v>
      </c>
    </row>
    <row r="4830" spans="7:8" ht="15" customHeight="1" x14ac:dyDescent="0.4">
      <c r="G4830" s="27">
        <f t="shared" si="86"/>
        <v>0</v>
      </c>
      <c r="H4830" s="28" t="e">
        <f>VLOOKUP(E4830,'Cadastro Produtos (kiwkiw)'!C:E,3,0)</f>
        <v>#N/A</v>
      </c>
    </row>
    <row r="4831" spans="7:8" ht="15" customHeight="1" x14ac:dyDescent="0.4">
      <c r="G4831" s="27">
        <f t="shared" si="86"/>
        <v>0</v>
      </c>
      <c r="H4831" s="28" t="e">
        <f>VLOOKUP(E4831,'Cadastro Produtos (kiwkiw)'!C:E,3,0)</f>
        <v>#N/A</v>
      </c>
    </row>
    <row r="4832" spans="7:8" ht="15" customHeight="1" x14ac:dyDescent="0.4">
      <c r="G4832" s="27">
        <f t="shared" si="86"/>
        <v>0</v>
      </c>
      <c r="H4832" s="28" t="e">
        <f>VLOOKUP(E4832,'Cadastro Produtos (kiwkiw)'!C:E,3,0)</f>
        <v>#N/A</v>
      </c>
    </row>
    <row r="4833" spans="7:8" ht="15" customHeight="1" x14ac:dyDescent="0.4">
      <c r="G4833" s="27">
        <f t="shared" si="86"/>
        <v>0</v>
      </c>
      <c r="H4833" s="28" t="e">
        <f>VLOOKUP(E4833,'Cadastro Produtos (kiwkiw)'!C:E,3,0)</f>
        <v>#N/A</v>
      </c>
    </row>
    <row r="4834" spans="7:8" ht="15" customHeight="1" x14ac:dyDescent="0.4">
      <c r="G4834" s="27">
        <f t="shared" si="86"/>
        <v>0</v>
      </c>
      <c r="H4834" s="28" t="e">
        <f>VLOOKUP(E4834,'Cadastro Produtos (kiwkiw)'!C:E,3,0)</f>
        <v>#N/A</v>
      </c>
    </row>
    <row r="4835" spans="7:8" ht="15" customHeight="1" x14ac:dyDescent="0.4">
      <c r="G4835" s="27">
        <f t="shared" si="86"/>
        <v>0</v>
      </c>
      <c r="H4835" s="28" t="e">
        <f>VLOOKUP(E4835,'Cadastro Produtos (kiwkiw)'!C:E,3,0)</f>
        <v>#N/A</v>
      </c>
    </row>
    <row r="4836" spans="7:8" ht="15" customHeight="1" x14ac:dyDescent="0.4">
      <c r="G4836" s="27">
        <f t="shared" si="86"/>
        <v>0</v>
      </c>
      <c r="H4836" s="28" t="e">
        <f>VLOOKUP(E4836,'Cadastro Produtos (kiwkiw)'!C:E,3,0)</f>
        <v>#N/A</v>
      </c>
    </row>
    <row r="4837" spans="7:8" ht="15" customHeight="1" x14ac:dyDescent="0.4">
      <c r="G4837" s="27">
        <f t="shared" si="86"/>
        <v>0</v>
      </c>
      <c r="H4837" s="28" t="e">
        <f>VLOOKUP(E4837,'Cadastro Produtos (kiwkiw)'!C:E,3,0)</f>
        <v>#N/A</v>
      </c>
    </row>
    <row r="4838" spans="7:8" ht="15" customHeight="1" x14ac:dyDescent="0.4">
      <c r="G4838" s="27">
        <f t="shared" si="86"/>
        <v>0</v>
      </c>
      <c r="H4838" s="28" t="e">
        <f>VLOOKUP(E4838,'Cadastro Produtos (kiwkiw)'!C:E,3,0)</f>
        <v>#N/A</v>
      </c>
    </row>
    <row r="4839" spans="7:8" ht="15" customHeight="1" x14ac:dyDescent="0.4">
      <c r="G4839" s="27">
        <f t="shared" si="86"/>
        <v>0</v>
      </c>
      <c r="H4839" s="28" t="e">
        <f>VLOOKUP(E4839,'Cadastro Produtos (kiwkiw)'!C:E,3,0)</f>
        <v>#N/A</v>
      </c>
    </row>
    <row r="4840" spans="7:8" ht="15" customHeight="1" x14ac:dyDescent="0.4">
      <c r="G4840" s="27">
        <f t="shared" si="86"/>
        <v>0</v>
      </c>
      <c r="H4840" s="28" t="e">
        <f>VLOOKUP(E4840,'Cadastro Produtos (kiwkiw)'!C:E,3,0)</f>
        <v>#N/A</v>
      </c>
    </row>
    <row r="4841" spans="7:8" ht="15" customHeight="1" x14ac:dyDescent="0.4">
      <c r="G4841" s="27">
        <f t="shared" si="86"/>
        <v>0</v>
      </c>
      <c r="H4841" s="28" t="e">
        <f>VLOOKUP(E4841,'Cadastro Produtos (kiwkiw)'!C:E,3,0)</f>
        <v>#N/A</v>
      </c>
    </row>
    <row r="4842" spans="7:8" ht="15" customHeight="1" x14ac:dyDescent="0.4">
      <c r="G4842" s="27">
        <f t="shared" si="86"/>
        <v>0</v>
      </c>
      <c r="H4842" s="28" t="e">
        <f>VLOOKUP(E4842,'Cadastro Produtos (kiwkiw)'!C:E,3,0)</f>
        <v>#N/A</v>
      </c>
    </row>
    <row r="4843" spans="7:8" ht="15" customHeight="1" x14ac:dyDescent="0.4">
      <c r="G4843" s="27">
        <f t="shared" si="86"/>
        <v>0</v>
      </c>
      <c r="H4843" s="28" t="e">
        <f>VLOOKUP(E4843,'Cadastro Produtos (kiwkiw)'!C:E,3,0)</f>
        <v>#N/A</v>
      </c>
    </row>
    <row r="4844" spans="7:8" ht="15" customHeight="1" x14ac:dyDescent="0.4">
      <c r="G4844" s="27">
        <f t="shared" si="86"/>
        <v>0</v>
      </c>
      <c r="H4844" s="28" t="e">
        <f>VLOOKUP(E4844,'Cadastro Produtos (kiwkiw)'!C:E,3,0)</f>
        <v>#N/A</v>
      </c>
    </row>
    <row r="4845" spans="7:8" ht="15" customHeight="1" x14ac:dyDescent="0.4">
      <c r="G4845" s="27">
        <f t="shared" si="86"/>
        <v>0</v>
      </c>
      <c r="H4845" s="28" t="e">
        <f>VLOOKUP(E4845,'Cadastro Produtos (kiwkiw)'!C:E,3,0)</f>
        <v>#N/A</v>
      </c>
    </row>
    <row r="4846" spans="7:8" ht="15" customHeight="1" x14ac:dyDescent="0.4">
      <c r="G4846" s="27">
        <f t="shared" si="86"/>
        <v>0</v>
      </c>
      <c r="H4846" s="28" t="e">
        <f>VLOOKUP(E4846,'Cadastro Produtos (kiwkiw)'!C:E,3,0)</f>
        <v>#N/A</v>
      </c>
    </row>
    <row r="4847" spans="7:8" ht="15" customHeight="1" x14ac:dyDescent="0.4">
      <c r="G4847" s="27">
        <f t="shared" si="86"/>
        <v>0</v>
      </c>
      <c r="H4847" s="28" t="e">
        <f>VLOOKUP(E4847,'Cadastro Produtos (kiwkiw)'!C:E,3,0)</f>
        <v>#N/A</v>
      </c>
    </row>
    <row r="4848" spans="7:8" ht="15" customHeight="1" x14ac:dyDescent="0.4">
      <c r="G4848" s="27">
        <f t="shared" si="86"/>
        <v>0</v>
      </c>
      <c r="H4848" s="28" t="e">
        <f>VLOOKUP(E4848,'Cadastro Produtos (kiwkiw)'!C:E,3,0)</f>
        <v>#N/A</v>
      </c>
    </row>
    <row r="4849" spans="2:8" ht="15" customHeight="1" x14ac:dyDescent="0.4">
      <c r="G4849" s="27">
        <f t="shared" si="86"/>
        <v>0</v>
      </c>
      <c r="H4849" s="28" t="e">
        <f>VLOOKUP(E4849,'Cadastro Produtos (kiwkiw)'!C:E,3,0)</f>
        <v>#N/A</v>
      </c>
    </row>
    <row r="4850" spans="2:8" ht="15" customHeight="1" x14ac:dyDescent="0.4">
      <c r="G4850" s="27">
        <f t="shared" si="86"/>
        <v>0</v>
      </c>
      <c r="H4850" s="28" t="e">
        <f>VLOOKUP(E4850,'Cadastro Produtos (kiwkiw)'!C:E,3,0)</f>
        <v>#N/A</v>
      </c>
    </row>
    <row r="4851" spans="2:8" ht="15" customHeight="1" x14ac:dyDescent="0.4">
      <c r="G4851" s="27">
        <f t="shared" si="86"/>
        <v>0</v>
      </c>
      <c r="H4851" s="28" t="e">
        <f>VLOOKUP(E4851,'Cadastro Produtos (kiwkiw)'!C:E,3,0)</f>
        <v>#N/A</v>
      </c>
    </row>
    <row r="4852" spans="2:8" ht="15" customHeight="1" x14ac:dyDescent="0.4">
      <c r="G4852" s="27">
        <f t="shared" si="86"/>
        <v>0</v>
      </c>
      <c r="H4852" s="28" t="e">
        <f>VLOOKUP(E4852,'Cadastro Produtos (kiwkiw)'!C:E,3,0)</f>
        <v>#N/A</v>
      </c>
    </row>
    <row r="4853" spans="2:8" ht="15" customHeight="1" x14ac:dyDescent="0.4">
      <c r="G4853" s="27">
        <f t="shared" si="86"/>
        <v>0</v>
      </c>
      <c r="H4853" s="28" t="e">
        <f>VLOOKUP(E4853,'Cadastro Produtos (kiwkiw)'!C:E,3,0)</f>
        <v>#N/A</v>
      </c>
    </row>
    <row r="4854" spans="2:8" ht="15" customHeight="1" x14ac:dyDescent="0.4">
      <c r="G4854" s="27">
        <f t="shared" si="86"/>
        <v>0</v>
      </c>
      <c r="H4854" s="28" t="e">
        <f>VLOOKUP(E4854,'Cadastro Produtos (kiwkiw)'!C:E,3,0)</f>
        <v>#N/A</v>
      </c>
    </row>
    <row r="4855" spans="2:8" ht="15" customHeight="1" x14ac:dyDescent="0.4">
      <c r="G4855" s="27">
        <f t="shared" si="86"/>
        <v>0</v>
      </c>
      <c r="H4855" s="28" t="e">
        <f>VLOOKUP(E4855,'Cadastro Produtos (kiwkiw)'!C:E,3,0)</f>
        <v>#N/A</v>
      </c>
    </row>
    <row r="4856" spans="2:8" ht="15" customHeight="1" x14ac:dyDescent="0.4">
      <c r="G4856" s="27">
        <f t="shared" si="86"/>
        <v>0</v>
      </c>
      <c r="H4856" s="28" t="e">
        <f>VLOOKUP(E4856,'Cadastro Produtos (kiwkiw)'!C:E,3,0)</f>
        <v>#N/A</v>
      </c>
    </row>
    <row r="4857" spans="2:8" ht="15" customHeight="1" x14ac:dyDescent="0.4">
      <c r="B4857" s="43"/>
      <c r="G4857" s="27">
        <f t="shared" si="86"/>
        <v>0</v>
      </c>
      <c r="H4857" s="28" t="e">
        <f>VLOOKUP(E4857,'Cadastro Produtos (kiwkiw)'!C:E,3,0)</f>
        <v>#N/A</v>
      </c>
    </row>
    <row r="4858" spans="2:8" ht="15" customHeight="1" x14ac:dyDescent="0.4">
      <c r="G4858" s="27">
        <f t="shared" si="86"/>
        <v>0</v>
      </c>
      <c r="H4858" s="28" t="e">
        <f>VLOOKUP(E4858,'Cadastro Produtos (kiwkiw)'!C:E,3,0)</f>
        <v>#N/A</v>
      </c>
    </row>
    <row r="4859" spans="2:8" ht="15" customHeight="1" x14ac:dyDescent="0.4">
      <c r="G4859" s="27">
        <f t="shared" si="86"/>
        <v>0</v>
      </c>
      <c r="H4859" s="28" t="e">
        <f>VLOOKUP(E4859,'Cadastro Produtos (kiwkiw)'!C:E,3,0)</f>
        <v>#N/A</v>
      </c>
    </row>
    <row r="4860" spans="2:8" ht="15" customHeight="1" x14ac:dyDescent="0.4">
      <c r="G4860" s="27">
        <f t="shared" si="86"/>
        <v>0</v>
      </c>
      <c r="H4860" s="28" t="e">
        <f>VLOOKUP(E4860,'Cadastro Produtos (kiwkiw)'!C:E,3,0)</f>
        <v>#N/A</v>
      </c>
    </row>
    <row r="4861" spans="2:8" ht="15" customHeight="1" x14ac:dyDescent="0.4">
      <c r="G4861" s="27">
        <f t="shared" si="86"/>
        <v>0</v>
      </c>
      <c r="H4861" s="28" t="e">
        <f>VLOOKUP(E4861,'Cadastro Produtos (kiwkiw)'!C:E,3,0)</f>
        <v>#N/A</v>
      </c>
    </row>
    <row r="4862" spans="2:8" ht="15" customHeight="1" x14ac:dyDescent="0.4">
      <c r="G4862" s="27">
        <f t="shared" si="86"/>
        <v>0</v>
      </c>
      <c r="H4862" s="28" t="e">
        <f>VLOOKUP(E4862,'Cadastro Produtos (kiwkiw)'!C:E,3,0)</f>
        <v>#N/A</v>
      </c>
    </row>
    <row r="4863" spans="2:8" ht="15" customHeight="1" x14ac:dyDescent="0.4">
      <c r="G4863" s="27">
        <f t="shared" si="86"/>
        <v>0</v>
      </c>
      <c r="H4863" s="28" t="e">
        <f>VLOOKUP(E4863,'Cadastro Produtos (kiwkiw)'!C:E,3,0)</f>
        <v>#N/A</v>
      </c>
    </row>
    <row r="4864" spans="2:8" ht="15" customHeight="1" x14ac:dyDescent="0.4">
      <c r="G4864" s="27">
        <f t="shared" si="86"/>
        <v>0</v>
      </c>
      <c r="H4864" s="28" t="e">
        <f>VLOOKUP(E4864,'Cadastro Produtos (kiwkiw)'!C:E,3,0)</f>
        <v>#N/A</v>
      </c>
    </row>
    <row r="4865" spans="7:8" ht="15" customHeight="1" x14ac:dyDescent="0.4">
      <c r="G4865" s="27">
        <f t="shared" ref="G4865:G4928" si="87">IF(C4865="Entrada",F4865,-F4865)</f>
        <v>0</v>
      </c>
      <c r="H4865" s="28" t="e">
        <f>VLOOKUP(E4865,'Cadastro Produtos (kiwkiw)'!C:E,3,0)</f>
        <v>#N/A</v>
      </c>
    </row>
    <row r="4866" spans="7:8" ht="15" customHeight="1" x14ac:dyDescent="0.4">
      <c r="G4866" s="27">
        <f t="shared" si="87"/>
        <v>0</v>
      </c>
      <c r="H4866" s="28" t="e">
        <f>VLOOKUP(E4866,'Cadastro Produtos (kiwkiw)'!C:E,3,0)</f>
        <v>#N/A</v>
      </c>
    </row>
    <row r="4867" spans="7:8" ht="15" customHeight="1" x14ac:dyDescent="0.4">
      <c r="G4867" s="27">
        <f t="shared" si="87"/>
        <v>0</v>
      </c>
      <c r="H4867" s="28" t="e">
        <f>VLOOKUP(E4867,'Cadastro Produtos (kiwkiw)'!C:E,3,0)</f>
        <v>#N/A</v>
      </c>
    </row>
    <row r="4868" spans="7:8" ht="15" customHeight="1" x14ac:dyDescent="0.4">
      <c r="G4868" s="27">
        <f t="shared" si="87"/>
        <v>0</v>
      </c>
      <c r="H4868" s="28" t="e">
        <f>VLOOKUP(E4868,'Cadastro Produtos (kiwkiw)'!C:E,3,0)</f>
        <v>#N/A</v>
      </c>
    </row>
    <row r="4869" spans="7:8" ht="15" customHeight="1" x14ac:dyDescent="0.4">
      <c r="G4869" s="27">
        <f t="shared" si="87"/>
        <v>0</v>
      </c>
      <c r="H4869" s="28" t="e">
        <f>VLOOKUP(E4869,'Cadastro Produtos (kiwkiw)'!C:E,3,0)</f>
        <v>#N/A</v>
      </c>
    </row>
    <row r="4870" spans="7:8" ht="15" customHeight="1" x14ac:dyDescent="0.4">
      <c r="G4870" s="27">
        <f t="shared" si="87"/>
        <v>0</v>
      </c>
      <c r="H4870" s="28" t="e">
        <f>VLOOKUP(E4870,'Cadastro Produtos (kiwkiw)'!C:E,3,0)</f>
        <v>#N/A</v>
      </c>
    </row>
    <row r="4871" spans="7:8" ht="15" customHeight="1" x14ac:dyDescent="0.4">
      <c r="G4871" s="27">
        <f t="shared" si="87"/>
        <v>0</v>
      </c>
      <c r="H4871" s="28" t="e">
        <f>VLOOKUP(E4871,'Cadastro Produtos (kiwkiw)'!C:E,3,0)</f>
        <v>#N/A</v>
      </c>
    </row>
    <row r="4872" spans="7:8" ht="15" customHeight="1" x14ac:dyDescent="0.4">
      <c r="G4872" s="27">
        <f t="shared" si="87"/>
        <v>0</v>
      </c>
      <c r="H4872" s="28" t="e">
        <f>VLOOKUP(E4872,'Cadastro Produtos (kiwkiw)'!C:E,3,0)</f>
        <v>#N/A</v>
      </c>
    </row>
    <row r="4873" spans="7:8" ht="15" customHeight="1" x14ac:dyDescent="0.4">
      <c r="G4873" s="27">
        <f t="shared" si="87"/>
        <v>0</v>
      </c>
      <c r="H4873" s="28" t="e">
        <f>VLOOKUP(E4873,'Cadastro Produtos (kiwkiw)'!C:E,3,0)</f>
        <v>#N/A</v>
      </c>
    </row>
    <row r="4874" spans="7:8" ht="15" customHeight="1" x14ac:dyDescent="0.4">
      <c r="G4874" s="27">
        <f t="shared" si="87"/>
        <v>0</v>
      </c>
      <c r="H4874" s="28" t="e">
        <f>VLOOKUP(E4874,'Cadastro Produtos (kiwkiw)'!C:E,3,0)</f>
        <v>#N/A</v>
      </c>
    </row>
    <row r="4875" spans="7:8" ht="15" customHeight="1" x14ac:dyDescent="0.4">
      <c r="G4875" s="27">
        <f t="shared" si="87"/>
        <v>0</v>
      </c>
      <c r="H4875" s="28" t="e">
        <f>VLOOKUP(E4875,'Cadastro Produtos (kiwkiw)'!C:E,3,0)</f>
        <v>#N/A</v>
      </c>
    </row>
    <row r="4876" spans="7:8" ht="15" customHeight="1" x14ac:dyDescent="0.4">
      <c r="G4876" s="27">
        <f t="shared" si="87"/>
        <v>0</v>
      </c>
      <c r="H4876" s="28" t="e">
        <f>VLOOKUP(E4876,'Cadastro Produtos (kiwkiw)'!C:E,3,0)</f>
        <v>#N/A</v>
      </c>
    </row>
    <row r="4877" spans="7:8" ht="15" customHeight="1" x14ac:dyDescent="0.4">
      <c r="G4877" s="27">
        <f t="shared" si="87"/>
        <v>0</v>
      </c>
      <c r="H4877" s="28" t="e">
        <f>VLOOKUP(E4877,'Cadastro Produtos (kiwkiw)'!C:E,3,0)</f>
        <v>#N/A</v>
      </c>
    </row>
    <row r="4878" spans="7:8" ht="15" customHeight="1" x14ac:dyDescent="0.4">
      <c r="G4878" s="27">
        <f t="shared" si="87"/>
        <v>0</v>
      </c>
      <c r="H4878" s="28" t="e">
        <f>VLOOKUP(E4878,'Cadastro Produtos (kiwkiw)'!C:E,3,0)</f>
        <v>#N/A</v>
      </c>
    </row>
    <row r="4879" spans="7:8" ht="15" customHeight="1" x14ac:dyDescent="0.4">
      <c r="G4879" s="27">
        <f t="shared" si="87"/>
        <v>0</v>
      </c>
      <c r="H4879" s="28" t="e">
        <f>VLOOKUP(E4879,'Cadastro Produtos (kiwkiw)'!C:E,3,0)</f>
        <v>#N/A</v>
      </c>
    </row>
    <row r="4880" spans="7:8" ht="15" customHeight="1" x14ac:dyDescent="0.4">
      <c r="G4880" s="27">
        <f t="shared" si="87"/>
        <v>0</v>
      </c>
      <c r="H4880" s="28" t="e">
        <f>VLOOKUP(E4880,'Cadastro Produtos (kiwkiw)'!C:E,3,0)</f>
        <v>#N/A</v>
      </c>
    </row>
    <row r="4881" spans="7:8" ht="15" customHeight="1" x14ac:dyDescent="0.4">
      <c r="G4881" s="27">
        <f t="shared" si="87"/>
        <v>0</v>
      </c>
      <c r="H4881" s="28" t="e">
        <f>VLOOKUP(E4881,'Cadastro Produtos (kiwkiw)'!C:E,3,0)</f>
        <v>#N/A</v>
      </c>
    </row>
    <row r="4882" spans="7:8" ht="15" customHeight="1" x14ac:dyDescent="0.4">
      <c r="G4882" s="27">
        <f t="shared" si="87"/>
        <v>0</v>
      </c>
      <c r="H4882" s="28" t="e">
        <f>VLOOKUP(E4882,'Cadastro Produtos (kiwkiw)'!C:E,3,0)</f>
        <v>#N/A</v>
      </c>
    </row>
    <row r="4883" spans="7:8" ht="15" customHeight="1" x14ac:dyDescent="0.4">
      <c r="G4883" s="27">
        <f t="shared" si="87"/>
        <v>0</v>
      </c>
      <c r="H4883" s="28" t="e">
        <f>VLOOKUP(E4883,'Cadastro Produtos (kiwkiw)'!C:E,3,0)</f>
        <v>#N/A</v>
      </c>
    </row>
    <row r="4884" spans="7:8" ht="15" customHeight="1" x14ac:dyDescent="0.4">
      <c r="G4884" s="27">
        <f t="shared" si="87"/>
        <v>0</v>
      </c>
      <c r="H4884" s="28" t="e">
        <f>VLOOKUP(E4884,'Cadastro Produtos (kiwkiw)'!C:E,3,0)</f>
        <v>#N/A</v>
      </c>
    </row>
    <row r="4885" spans="7:8" ht="15" customHeight="1" x14ac:dyDescent="0.4">
      <c r="G4885" s="27">
        <f t="shared" si="87"/>
        <v>0</v>
      </c>
      <c r="H4885" s="28" t="e">
        <f>VLOOKUP(E4885,'Cadastro Produtos (kiwkiw)'!C:E,3,0)</f>
        <v>#N/A</v>
      </c>
    </row>
    <row r="4886" spans="7:8" ht="15" customHeight="1" x14ac:dyDescent="0.4">
      <c r="G4886" s="27">
        <f t="shared" si="87"/>
        <v>0</v>
      </c>
      <c r="H4886" s="28" t="e">
        <f>VLOOKUP(E4886,'Cadastro Produtos (kiwkiw)'!C:E,3,0)</f>
        <v>#N/A</v>
      </c>
    </row>
    <row r="4887" spans="7:8" ht="15" customHeight="1" x14ac:dyDescent="0.4">
      <c r="G4887" s="27">
        <f t="shared" si="87"/>
        <v>0</v>
      </c>
      <c r="H4887" s="28" t="e">
        <f>VLOOKUP(E4887,'Cadastro Produtos (kiwkiw)'!C:E,3,0)</f>
        <v>#N/A</v>
      </c>
    </row>
    <row r="4888" spans="7:8" ht="15" customHeight="1" x14ac:dyDescent="0.4">
      <c r="G4888" s="27">
        <f t="shared" si="87"/>
        <v>0</v>
      </c>
      <c r="H4888" s="28" t="e">
        <f>VLOOKUP(E4888,'Cadastro Produtos (kiwkiw)'!C:E,3,0)</f>
        <v>#N/A</v>
      </c>
    </row>
    <row r="4889" spans="7:8" ht="15" customHeight="1" x14ac:dyDescent="0.4">
      <c r="G4889" s="27">
        <f t="shared" si="87"/>
        <v>0</v>
      </c>
      <c r="H4889" s="28" t="e">
        <f>VLOOKUP(E4889,'Cadastro Produtos (kiwkiw)'!C:E,3,0)</f>
        <v>#N/A</v>
      </c>
    </row>
    <row r="4890" spans="7:8" ht="15" customHeight="1" x14ac:dyDescent="0.4">
      <c r="G4890" s="27">
        <f t="shared" si="87"/>
        <v>0</v>
      </c>
      <c r="H4890" s="28" t="e">
        <f>VLOOKUP(E4890,'Cadastro Produtos (kiwkiw)'!C:E,3,0)</f>
        <v>#N/A</v>
      </c>
    </row>
    <row r="4891" spans="7:8" ht="15" customHeight="1" x14ac:dyDescent="0.4">
      <c r="G4891" s="27">
        <f t="shared" si="87"/>
        <v>0</v>
      </c>
      <c r="H4891" s="28" t="e">
        <f>VLOOKUP(E4891,'Cadastro Produtos (kiwkiw)'!C:E,3,0)</f>
        <v>#N/A</v>
      </c>
    </row>
    <row r="4892" spans="7:8" ht="15" customHeight="1" x14ac:dyDescent="0.4">
      <c r="G4892" s="27">
        <f t="shared" si="87"/>
        <v>0</v>
      </c>
      <c r="H4892" s="28" t="e">
        <f>VLOOKUP(E4892,'Cadastro Produtos (kiwkiw)'!C:E,3,0)</f>
        <v>#N/A</v>
      </c>
    </row>
    <row r="4893" spans="7:8" ht="15" customHeight="1" x14ac:dyDescent="0.4">
      <c r="G4893" s="27">
        <f t="shared" si="87"/>
        <v>0</v>
      </c>
      <c r="H4893" s="28" t="e">
        <f>VLOOKUP(E4893,'Cadastro Produtos (kiwkiw)'!C:E,3,0)</f>
        <v>#N/A</v>
      </c>
    </row>
    <row r="4894" spans="7:8" ht="15" customHeight="1" x14ac:dyDescent="0.4">
      <c r="G4894" s="27">
        <f t="shared" si="87"/>
        <v>0</v>
      </c>
      <c r="H4894" s="28" t="e">
        <f>VLOOKUP(E4894,'Cadastro Produtos (kiwkiw)'!C:E,3,0)</f>
        <v>#N/A</v>
      </c>
    </row>
    <row r="4895" spans="7:8" ht="15" customHeight="1" x14ac:dyDescent="0.4">
      <c r="G4895" s="27">
        <f t="shared" si="87"/>
        <v>0</v>
      </c>
      <c r="H4895" s="28" t="e">
        <f>VLOOKUP(E4895,'Cadastro Produtos (kiwkiw)'!C:E,3,0)</f>
        <v>#N/A</v>
      </c>
    </row>
    <row r="4896" spans="7:8" ht="15" customHeight="1" x14ac:dyDescent="0.4">
      <c r="G4896" s="27">
        <f t="shared" si="87"/>
        <v>0</v>
      </c>
      <c r="H4896" s="28" t="e">
        <f>VLOOKUP(E4896,'Cadastro Produtos (kiwkiw)'!C:E,3,0)</f>
        <v>#N/A</v>
      </c>
    </row>
    <row r="4897" spans="7:8" ht="15" customHeight="1" x14ac:dyDescent="0.4">
      <c r="G4897" s="27">
        <f t="shared" si="87"/>
        <v>0</v>
      </c>
      <c r="H4897" s="28" t="e">
        <f>VLOOKUP(E4897,'Cadastro Produtos (kiwkiw)'!C:E,3,0)</f>
        <v>#N/A</v>
      </c>
    </row>
    <row r="4898" spans="7:8" ht="15" customHeight="1" x14ac:dyDescent="0.4">
      <c r="G4898" s="27">
        <f t="shared" si="87"/>
        <v>0</v>
      </c>
      <c r="H4898" s="28" t="e">
        <f>VLOOKUP(E4898,'Cadastro Produtos (kiwkiw)'!C:E,3,0)</f>
        <v>#N/A</v>
      </c>
    </row>
    <row r="4899" spans="7:8" ht="15" customHeight="1" x14ac:dyDescent="0.4">
      <c r="G4899" s="27">
        <f t="shared" si="87"/>
        <v>0</v>
      </c>
      <c r="H4899" s="28" t="e">
        <f>VLOOKUP(E4899,'Cadastro Produtos (kiwkiw)'!C:E,3,0)</f>
        <v>#N/A</v>
      </c>
    </row>
    <row r="4900" spans="7:8" ht="15" customHeight="1" x14ac:dyDescent="0.4">
      <c r="G4900" s="27">
        <f t="shared" si="87"/>
        <v>0</v>
      </c>
      <c r="H4900" s="28" t="e">
        <f>VLOOKUP(E4900,'Cadastro Produtos (kiwkiw)'!C:E,3,0)</f>
        <v>#N/A</v>
      </c>
    </row>
    <row r="4901" spans="7:8" ht="15" customHeight="1" x14ac:dyDescent="0.4">
      <c r="G4901" s="27">
        <f t="shared" si="87"/>
        <v>0</v>
      </c>
      <c r="H4901" s="28" t="e">
        <f>VLOOKUP(E4901,'Cadastro Produtos (kiwkiw)'!C:E,3,0)</f>
        <v>#N/A</v>
      </c>
    </row>
    <row r="4902" spans="7:8" ht="15" customHeight="1" x14ac:dyDescent="0.4">
      <c r="G4902" s="27">
        <f t="shared" si="87"/>
        <v>0</v>
      </c>
      <c r="H4902" s="28" t="e">
        <f>VLOOKUP(E4902,'Cadastro Produtos (kiwkiw)'!C:E,3,0)</f>
        <v>#N/A</v>
      </c>
    </row>
    <row r="4903" spans="7:8" ht="15" customHeight="1" x14ac:dyDescent="0.4">
      <c r="G4903" s="27">
        <f t="shared" si="87"/>
        <v>0</v>
      </c>
      <c r="H4903" s="28" t="e">
        <f>VLOOKUP(E4903,'Cadastro Produtos (kiwkiw)'!C:E,3,0)</f>
        <v>#N/A</v>
      </c>
    </row>
    <row r="4904" spans="7:8" ht="15" customHeight="1" x14ac:dyDescent="0.4">
      <c r="G4904" s="27">
        <f t="shared" si="87"/>
        <v>0</v>
      </c>
      <c r="H4904" s="28" t="e">
        <f>VLOOKUP(E4904,'Cadastro Produtos (kiwkiw)'!C:E,3,0)</f>
        <v>#N/A</v>
      </c>
    </row>
    <row r="4905" spans="7:8" ht="15" customHeight="1" x14ac:dyDescent="0.4">
      <c r="G4905" s="27">
        <f t="shared" si="87"/>
        <v>0</v>
      </c>
      <c r="H4905" s="28" t="e">
        <f>VLOOKUP(E4905,'Cadastro Produtos (kiwkiw)'!C:E,3,0)</f>
        <v>#N/A</v>
      </c>
    </row>
    <row r="4906" spans="7:8" ht="15" customHeight="1" x14ac:dyDescent="0.4">
      <c r="G4906" s="27">
        <f t="shared" si="87"/>
        <v>0</v>
      </c>
      <c r="H4906" s="28" t="e">
        <f>VLOOKUP(E4906,'Cadastro Produtos (kiwkiw)'!C:E,3,0)</f>
        <v>#N/A</v>
      </c>
    </row>
    <row r="4907" spans="7:8" ht="15" customHeight="1" x14ac:dyDescent="0.4">
      <c r="G4907" s="27">
        <f t="shared" si="87"/>
        <v>0</v>
      </c>
      <c r="H4907" s="28" t="e">
        <f>VLOOKUP(E4907,'Cadastro Produtos (kiwkiw)'!C:E,3,0)</f>
        <v>#N/A</v>
      </c>
    </row>
    <row r="4908" spans="7:8" ht="15" customHeight="1" x14ac:dyDescent="0.4">
      <c r="G4908" s="27">
        <f t="shared" si="87"/>
        <v>0</v>
      </c>
      <c r="H4908" s="28" t="e">
        <f>VLOOKUP(E4908,'Cadastro Produtos (kiwkiw)'!C:E,3,0)</f>
        <v>#N/A</v>
      </c>
    </row>
    <row r="4909" spans="7:8" ht="15" customHeight="1" x14ac:dyDescent="0.4">
      <c r="G4909" s="27">
        <f t="shared" si="87"/>
        <v>0</v>
      </c>
      <c r="H4909" s="28" t="e">
        <f>VLOOKUP(E4909,'Cadastro Produtos (kiwkiw)'!C:E,3,0)</f>
        <v>#N/A</v>
      </c>
    </row>
    <row r="4910" spans="7:8" ht="15" customHeight="1" x14ac:dyDescent="0.4">
      <c r="G4910" s="27">
        <f t="shared" si="87"/>
        <v>0</v>
      </c>
      <c r="H4910" s="28" t="e">
        <f>VLOOKUP(E4910,'Cadastro Produtos (kiwkiw)'!C:E,3,0)</f>
        <v>#N/A</v>
      </c>
    </row>
    <row r="4911" spans="7:8" ht="15" customHeight="1" x14ac:dyDescent="0.4">
      <c r="G4911" s="27">
        <f t="shared" si="87"/>
        <v>0</v>
      </c>
      <c r="H4911" s="28" t="e">
        <f>VLOOKUP(E4911,'Cadastro Produtos (kiwkiw)'!C:E,3,0)</f>
        <v>#N/A</v>
      </c>
    </row>
    <row r="4912" spans="7:8" ht="15" customHeight="1" x14ac:dyDescent="0.4">
      <c r="G4912" s="27">
        <f t="shared" si="87"/>
        <v>0</v>
      </c>
      <c r="H4912" s="28" t="e">
        <f>VLOOKUP(E4912,'Cadastro Produtos (kiwkiw)'!C:E,3,0)</f>
        <v>#N/A</v>
      </c>
    </row>
    <row r="4913" spans="7:8" ht="15" customHeight="1" x14ac:dyDescent="0.4">
      <c r="G4913" s="27">
        <f t="shared" si="87"/>
        <v>0</v>
      </c>
      <c r="H4913" s="28" t="e">
        <f>VLOOKUP(E4913,'Cadastro Produtos (kiwkiw)'!C:E,3,0)</f>
        <v>#N/A</v>
      </c>
    </row>
    <row r="4914" spans="7:8" ht="15" customHeight="1" x14ac:dyDescent="0.4">
      <c r="G4914" s="27">
        <f t="shared" si="87"/>
        <v>0</v>
      </c>
      <c r="H4914" s="28" t="e">
        <f>VLOOKUP(E4914,'Cadastro Produtos (kiwkiw)'!C:E,3,0)</f>
        <v>#N/A</v>
      </c>
    </row>
    <row r="4915" spans="7:8" ht="15" customHeight="1" x14ac:dyDescent="0.4">
      <c r="G4915" s="27">
        <f t="shared" si="87"/>
        <v>0</v>
      </c>
      <c r="H4915" s="28" t="e">
        <f>VLOOKUP(E4915,'Cadastro Produtos (kiwkiw)'!C:E,3,0)</f>
        <v>#N/A</v>
      </c>
    </row>
    <row r="4916" spans="7:8" ht="15" customHeight="1" x14ac:dyDescent="0.4">
      <c r="G4916" s="27">
        <f t="shared" si="87"/>
        <v>0</v>
      </c>
      <c r="H4916" s="28" t="e">
        <f>VLOOKUP(E4916,'Cadastro Produtos (kiwkiw)'!C:E,3,0)</f>
        <v>#N/A</v>
      </c>
    </row>
    <row r="4917" spans="7:8" ht="15" customHeight="1" x14ac:dyDescent="0.4">
      <c r="G4917" s="27">
        <f t="shared" si="87"/>
        <v>0</v>
      </c>
      <c r="H4917" s="28" t="e">
        <f>VLOOKUP(E4917,'Cadastro Produtos (kiwkiw)'!C:E,3,0)</f>
        <v>#N/A</v>
      </c>
    </row>
    <row r="4918" spans="7:8" ht="15" customHeight="1" x14ac:dyDescent="0.4">
      <c r="G4918" s="27">
        <f t="shared" si="87"/>
        <v>0</v>
      </c>
      <c r="H4918" s="28" t="e">
        <f>VLOOKUP(E4918,'Cadastro Produtos (kiwkiw)'!C:E,3,0)</f>
        <v>#N/A</v>
      </c>
    </row>
    <row r="4919" spans="7:8" ht="15" customHeight="1" x14ac:dyDescent="0.4">
      <c r="G4919" s="27">
        <f t="shared" si="87"/>
        <v>0</v>
      </c>
      <c r="H4919" s="28" t="e">
        <f>VLOOKUP(E4919,'Cadastro Produtos (kiwkiw)'!C:E,3,0)</f>
        <v>#N/A</v>
      </c>
    </row>
    <row r="4920" spans="7:8" ht="15" customHeight="1" x14ac:dyDescent="0.4">
      <c r="G4920" s="27">
        <f t="shared" si="87"/>
        <v>0</v>
      </c>
      <c r="H4920" s="28" t="e">
        <f>VLOOKUP(E4920,'Cadastro Produtos (kiwkiw)'!C:E,3,0)</f>
        <v>#N/A</v>
      </c>
    </row>
    <row r="4921" spans="7:8" ht="15" customHeight="1" x14ac:dyDescent="0.4">
      <c r="G4921" s="27">
        <f t="shared" si="87"/>
        <v>0</v>
      </c>
      <c r="H4921" s="28" t="e">
        <f>VLOOKUP(E4921,'Cadastro Produtos (kiwkiw)'!C:E,3,0)</f>
        <v>#N/A</v>
      </c>
    </row>
    <row r="4922" spans="7:8" ht="15" customHeight="1" x14ac:dyDescent="0.4">
      <c r="G4922" s="27">
        <f t="shared" si="87"/>
        <v>0</v>
      </c>
      <c r="H4922" s="28" t="e">
        <f>VLOOKUP(E4922,'Cadastro Produtos (kiwkiw)'!C:E,3,0)</f>
        <v>#N/A</v>
      </c>
    </row>
    <row r="4923" spans="7:8" ht="15" customHeight="1" x14ac:dyDescent="0.4">
      <c r="G4923" s="27">
        <f t="shared" si="87"/>
        <v>0</v>
      </c>
      <c r="H4923" s="28" t="e">
        <f>VLOOKUP(E4923,'Cadastro Produtos (kiwkiw)'!C:E,3,0)</f>
        <v>#N/A</v>
      </c>
    </row>
    <row r="4924" spans="7:8" ht="15" customHeight="1" x14ac:dyDescent="0.4">
      <c r="G4924" s="27">
        <f t="shared" si="87"/>
        <v>0</v>
      </c>
      <c r="H4924" s="28" t="e">
        <f>VLOOKUP(E4924,'Cadastro Produtos (kiwkiw)'!C:E,3,0)</f>
        <v>#N/A</v>
      </c>
    </row>
    <row r="4925" spans="7:8" ht="15" customHeight="1" x14ac:dyDescent="0.4">
      <c r="G4925" s="27">
        <f t="shared" si="87"/>
        <v>0</v>
      </c>
      <c r="H4925" s="28" t="e">
        <f>VLOOKUP(E4925,'Cadastro Produtos (kiwkiw)'!C:E,3,0)</f>
        <v>#N/A</v>
      </c>
    </row>
    <row r="4926" spans="7:8" ht="15" customHeight="1" x14ac:dyDescent="0.4">
      <c r="G4926" s="27">
        <f t="shared" si="87"/>
        <v>0</v>
      </c>
      <c r="H4926" s="28" t="e">
        <f>VLOOKUP(E4926,'Cadastro Produtos (kiwkiw)'!C:E,3,0)</f>
        <v>#N/A</v>
      </c>
    </row>
    <row r="4927" spans="7:8" ht="15" customHeight="1" x14ac:dyDescent="0.4">
      <c r="G4927" s="27">
        <f t="shared" si="87"/>
        <v>0</v>
      </c>
      <c r="H4927" s="28" t="e">
        <f>VLOOKUP(E4927,'Cadastro Produtos (kiwkiw)'!C:E,3,0)</f>
        <v>#N/A</v>
      </c>
    </row>
    <row r="4928" spans="7:8" ht="15" customHeight="1" x14ac:dyDescent="0.4">
      <c r="G4928" s="27">
        <f t="shared" si="87"/>
        <v>0</v>
      </c>
      <c r="H4928" s="28" t="e">
        <f>VLOOKUP(E4928,'Cadastro Produtos (kiwkiw)'!C:E,3,0)</f>
        <v>#N/A</v>
      </c>
    </row>
    <row r="4929" spans="2:8" ht="15" customHeight="1" x14ac:dyDescent="0.4">
      <c r="G4929" s="27">
        <f t="shared" ref="G4929:G4945" si="88">IF(C4929="Entrada",F4929,-F4929)</f>
        <v>0</v>
      </c>
      <c r="H4929" s="28" t="e">
        <f>VLOOKUP(E4929,'Cadastro Produtos (kiwkiw)'!C:E,3,0)</f>
        <v>#N/A</v>
      </c>
    </row>
    <row r="4930" spans="2:8" ht="15" customHeight="1" x14ac:dyDescent="0.4">
      <c r="G4930" s="27">
        <f t="shared" si="88"/>
        <v>0</v>
      </c>
      <c r="H4930" s="28" t="e">
        <f>VLOOKUP(E4930,'Cadastro Produtos (kiwkiw)'!C:E,3,0)</f>
        <v>#N/A</v>
      </c>
    </row>
    <row r="4931" spans="2:8" ht="15" customHeight="1" x14ac:dyDescent="0.4">
      <c r="G4931" s="27">
        <f t="shared" si="88"/>
        <v>0</v>
      </c>
      <c r="H4931" s="28" t="e">
        <f>VLOOKUP(E4931,'Cadastro Produtos (kiwkiw)'!C:E,3,0)</f>
        <v>#N/A</v>
      </c>
    </row>
    <row r="4932" spans="2:8" ht="15" customHeight="1" x14ac:dyDescent="0.4">
      <c r="G4932" s="27">
        <f t="shared" si="88"/>
        <v>0</v>
      </c>
      <c r="H4932" s="28" t="e">
        <f>VLOOKUP(E4932,'Cadastro Produtos (kiwkiw)'!C:E,3,0)</f>
        <v>#N/A</v>
      </c>
    </row>
    <row r="4933" spans="2:8" ht="15" customHeight="1" x14ac:dyDescent="0.4">
      <c r="G4933" s="27">
        <f t="shared" si="88"/>
        <v>0</v>
      </c>
      <c r="H4933" s="28" t="e">
        <f>VLOOKUP(E4933,'Cadastro Produtos (kiwkiw)'!C:E,3,0)</f>
        <v>#N/A</v>
      </c>
    </row>
    <row r="4934" spans="2:8" ht="15" customHeight="1" x14ac:dyDescent="0.4">
      <c r="G4934" s="27">
        <f t="shared" si="88"/>
        <v>0</v>
      </c>
      <c r="H4934" s="28" t="e">
        <f>VLOOKUP(E4934,'Cadastro Produtos (kiwkiw)'!C:E,3,0)</f>
        <v>#N/A</v>
      </c>
    </row>
    <row r="4935" spans="2:8" ht="15" customHeight="1" x14ac:dyDescent="0.4">
      <c r="G4935" s="27">
        <f t="shared" si="88"/>
        <v>0</v>
      </c>
      <c r="H4935" s="28" t="e">
        <f>VLOOKUP(E4935,'Cadastro Produtos (kiwkiw)'!C:E,3,0)</f>
        <v>#N/A</v>
      </c>
    </row>
    <row r="4936" spans="2:8" ht="15" customHeight="1" x14ac:dyDescent="0.4">
      <c r="G4936" s="27">
        <f t="shared" si="88"/>
        <v>0</v>
      </c>
      <c r="H4936" s="28" t="e">
        <f>VLOOKUP(E4936,'Cadastro Produtos (kiwkiw)'!C:E,3,0)</f>
        <v>#N/A</v>
      </c>
    </row>
    <row r="4937" spans="2:8" ht="15" customHeight="1" x14ac:dyDescent="0.4">
      <c r="G4937" s="27">
        <f t="shared" si="88"/>
        <v>0</v>
      </c>
      <c r="H4937" s="28" t="e">
        <f>VLOOKUP(E4937,'Cadastro Produtos (kiwkiw)'!C:E,3,0)</f>
        <v>#N/A</v>
      </c>
    </row>
    <row r="4938" spans="2:8" ht="15" customHeight="1" x14ac:dyDescent="0.4">
      <c r="G4938" s="27">
        <f t="shared" si="88"/>
        <v>0</v>
      </c>
      <c r="H4938" s="28" t="e">
        <f>VLOOKUP(E4938,'Cadastro Produtos (kiwkiw)'!C:E,3,0)</f>
        <v>#N/A</v>
      </c>
    </row>
    <row r="4939" spans="2:8" ht="15" customHeight="1" x14ac:dyDescent="0.4">
      <c r="G4939" s="27">
        <f t="shared" si="88"/>
        <v>0</v>
      </c>
      <c r="H4939" s="28" t="e">
        <f>VLOOKUP(E4939,'Cadastro Produtos (kiwkiw)'!C:E,3,0)</f>
        <v>#N/A</v>
      </c>
    </row>
    <row r="4940" spans="2:8" ht="15" customHeight="1" x14ac:dyDescent="0.4">
      <c r="G4940" s="27">
        <f t="shared" si="88"/>
        <v>0</v>
      </c>
      <c r="H4940" s="28" t="e">
        <f>VLOOKUP(E4940,'Cadastro Produtos (kiwkiw)'!C:E,3,0)</f>
        <v>#N/A</v>
      </c>
    </row>
    <row r="4941" spans="2:8" ht="15" customHeight="1" x14ac:dyDescent="0.4">
      <c r="B4941" s="43"/>
      <c r="G4941" s="27">
        <f t="shared" si="88"/>
        <v>0</v>
      </c>
      <c r="H4941" s="28" t="e">
        <f>VLOOKUP(E4941,'Cadastro Produtos (kiwkiw)'!C:E,3,0)</f>
        <v>#N/A</v>
      </c>
    </row>
    <row r="4942" spans="2:8" ht="15" customHeight="1" x14ac:dyDescent="0.4">
      <c r="G4942" s="27">
        <f t="shared" si="88"/>
        <v>0</v>
      </c>
      <c r="H4942" s="28" t="e">
        <f>VLOOKUP(E4942,'Cadastro Produtos (kiwkiw)'!C:E,3,0)</f>
        <v>#N/A</v>
      </c>
    </row>
    <row r="4943" spans="2:8" ht="15" customHeight="1" x14ac:dyDescent="0.4">
      <c r="G4943" s="27">
        <f t="shared" si="88"/>
        <v>0</v>
      </c>
      <c r="H4943" s="28" t="e">
        <f>VLOOKUP(E4943,'Cadastro Produtos (kiwkiw)'!C:E,3,0)</f>
        <v>#N/A</v>
      </c>
    </row>
    <row r="4944" spans="2:8" ht="15" customHeight="1" x14ac:dyDescent="0.4">
      <c r="G4944" s="27">
        <f t="shared" si="88"/>
        <v>0</v>
      </c>
      <c r="H4944" s="28" t="e">
        <f>VLOOKUP(E4944,'Cadastro Produtos (kiwkiw)'!C:E,3,0)</f>
        <v>#N/A</v>
      </c>
    </row>
    <row r="4945" spans="7:8" ht="15" customHeight="1" x14ac:dyDescent="0.4">
      <c r="G4945" s="27">
        <f t="shared" si="88"/>
        <v>0</v>
      </c>
      <c r="H4945" s="28" t="e">
        <f>VLOOKUP(E4945,'Cadastro Produtos (kiwkiw)'!C:E,3,0)</f>
        <v>#N/A</v>
      </c>
    </row>
    <row r="4946" spans="7:8" ht="15" customHeight="1" x14ac:dyDescent="0.4">
      <c r="G4946" s="27">
        <f t="shared" ref="G4946:G5009" si="89">IF(C4946="Entrada",F4946,-F4946)</f>
        <v>0</v>
      </c>
      <c r="H4946" s="28" t="e">
        <f>VLOOKUP(E4946,'Cadastro Produtos (kiwkiw)'!C:E,3,0)</f>
        <v>#N/A</v>
      </c>
    </row>
    <row r="4947" spans="7:8" ht="15" customHeight="1" x14ac:dyDescent="0.4">
      <c r="G4947" s="27">
        <f t="shared" si="89"/>
        <v>0</v>
      </c>
      <c r="H4947" s="28" t="e">
        <f>VLOOKUP(E4947,'Cadastro Produtos (kiwkiw)'!C:E,3,0)</f>
        <v>#N/A</v>
      </c>
    </row>
    <row r="4948" spans="7:8" ht="15" customHeight="1" x14ac:dyDescent="0.4">
      <c r="G4948" s="27">
        <f t="shared" si="89"/>
        <v>0</v>
      </c>
      <c r="H4948" s="28" t="e">
        <f>VLOOKUP(E4948,'Cadastro Produtos (kiwkiw)'!C:E,3,0)</f>
        <v>#N/A</v>
      </c>
    </row>
    <row r="4949" spans="7:8" ht="15" customHeight="1" x14ac:dyDescent="0.4">
      <c r="G4949" s="27">
        <f t="shared" si="89"/>
        <v>0</v>
      </c>
      <c r="H4949" s="28" t="e">
        <f>VLOOKUP(E4949,'Cadastro Produtos (kiwkiw)'!C:E,3,0)</f>
        <v>#N/A</v>
      </c>
    </row>
    <row r="4950" spans="7:8" ht="15" customHeight="1" x14ac:dyDescent="0.4">
      <c r="G4950" s="27">
        <f t="shared" si="89"/>
        <v>0</v>
      </c>
      <c r="H4950" s="28" t="e">
        <f>VLOOKUP(E4950,'Cadastro Produtos (kiwkiw)'!C:E,3,0)</f>
        <v>#N/A</v>
      </c>
    </row>
    <row r="4951" spans="7:8" ht="15" customHeight="1" x14ac:dyDescent="0.4">
      <c r="G4951" s="27">
        <f t="shared" si="89"/>
        <v>0</v>
      </c>
      <c r="H4951" s="28" t="e">
        <f>VLOOKUP(E4951,'Cadastro Produtos (kiwkiw)'!C:E,3,0)</f>
        <v>#N/A</v>
      </c>
    </row>
    <row r="4952" spans="7:8" ht="15" customHeight="1" x14ac:dyDescent="0.4">
      <c r="G4952" s="27">
        <f t="shared" si="89"/>
        <v>0</v>
      </c>
      <c r="H4952" s="28" t="e">
        <f>VLOOKUP(E4952,'Cadastro Produtos (kiwkiw)'!C:E,3,0)</f>
        <v>#N/A</v>
      </c>
    </row>
    <row r="4953" spans="7:8" ht="15" customHeight="1" x14ac:dyDescent="0.4">
      <c r="G4953" s="27">
        <f t="shared" si="89"/>
        <v>0</v>
      </c>
      <c r="H4953" s="28" t="e">
        <f>VLOOKUP(E4953,'Cadastro Produtos (kiwkiw)'!C:E,3,0)</f>
        <v>#N/A</v>
      </c>
    </row>
    <row r="4954" spans="7:8" ht="15" customHeight="1" x14ac:dyDescent="0.4">
      <c r="G4954" s="27">
        <f t="shared" si="89"/>
        <v>0</v>
      </c>
      <c r="H4954" s="28" t="e">
        <f>VLOOKUP(E4954,'Cadastro Produtos (kiwkiw)'!C:E,3,0)</f>
        <v>#N/A</v>
      </c>
    </row>
    <row r="4955" spans="7:8" ht="15" customHeight="1" x14ac:dyDescent="0.4">
      <c r="G4955" s="27">
        <f t="shared" si="89"/>
        <v>0</v>
      </c>
      <c r="H4955" s="28" t="e">
        <f>VLOOKUP(E4955,'Cadastro Produtos (kiwkiw)'!C:E,3,0)</f>
        <v>#N/A</v>
      </c>
    </row>
    <row r="4956" spans="7:8" ht="15" customHeight="1" x14ac:dyDescent="0.4">
      <c r="G4956" s="27">
        <f t="shared" si="89"/>
        <v>0</v>
      </c>
      <c r="H4956" s="28" t="e">
        <f>VLOOKUP(E4956,'Cadastro Produtos (kiwkiw)'!C:E,3,0)</f>
        <v>#N/A</v>
      </c>
    </row>
    <row r="4957" spans="7:8" ht="15" customHeight="1" x14ac:dyDescent="0.4">
      <c r="G4957" s="27">
        <f t="shared" si="89"/>
        <v>0</v>
      </c>
      <c r="H4957" s="28" t="e">
        <f>VLOOKUP(E4957,'Cadastro Produtos (kiwkiw)'!C:E,3,0)</f>
        <v>#N/A</v>
      </c>
    </row>
    <row r="4958" spans="7:8" ht="15" customHeight="1" x14ac:dyDescent="0.4">
      <c r="G4958" s="27">
        <f t="shared" si="89"/>
        <v>0</v>
      </c>
      <c r="H4958" s="28" t="e">
        <f>VLOOKUP(E4958,'Cadastro Produtos (kiwkiw)'!C:E,3,0)</f>
        <v>#N/A</v>
      </c>
    </row>
    <row r="4959" spans="7:8" ht="15" customHeight="1" x14ac:dyDescent="0.4">
      <c r="G4959" s="27">
        <f t="shared" si="89"/>
        <v>0</v>
      </c>
      <c r="H4959" s="28" t="e">
        <f>VLOOKUP(E4959,'Cadastro Produtos (kiwkiw)'!C:E,3,0)</f>
        <v>#N/A</v>
      </c>
    </row>
    <row r="4960" spans="7:8" ht="15" customHeight="1" x14ac:dyDescent="0.4">
      <c r="G4960" s="27">
        <f t="shared" si="89"/>
        <v>0</v>
      </c>
      <c r="H4960" s="28" t="e">
        <f>VLOOKUP(E4960,'Cadastro Produtos (kiwkiw)'!C:E,3,0)</f>
        <v>#N/A</v>
      </c>
    </row>
    <row r="4961" spans="7:8" ht="15" customHeight="1" x14ac:dyDescent="0.4">
      <c r="G4961" s="27">
        <f t="shared" si="89"/>
        <v>0</v>
      </c>
      <c r="H4961" s="28" t="e">
        <f>VLOOKUP(E4961,'Cadastro Produtos (kiwkiw)'!C:E,3,0)</f>
        <v>#N/A</v>
      </c>
    </row>
    <row r="4962" spans="7:8" ht="15" customHeight="1" x14ac:dyDescent="0.4">
      <c r="G4962" s="27">
        <f t="shared" si="89"/>
        <v>0</v>
      </c>
      <c r="H4962" s="28" t="e">
        <f>VLOOKUP(E4962,'Cadastro Produtos (kiwkiw)'!C:E,3,0)</f>
        <v>#N/A</v>
      </c>
    </row>
    <row r="4963" spans="7:8" ht="15" customHeight="1" x14ac:dyDescent="0.4">
      <c r="G4963" s="27">
        <f t="shared" si="89"/>
        <v>0</v>
      </c>
      <c r="H4963" s="28" t="e">
        <f>VLOOKUP(E4963,'Cadastro Produtos (kiwkiw)'!C:E,3,0)</f>
        <v>#N/A</v>
      </c>
    </row>
    <row r="4964" spans="7:8" ht="15" customHeight="1" x14ac:dyDescent="0.4">
      <c r="G4964" s="27">
        <f t="shared" si="89"/>
        <v>0</v>
      </c>
      <c r="H4964" s="28" t="e">
        <f>VLOOKUP(E4964,'Cadastro Produtos (kiwkiw)'!C:E,3,0)</f>
        <v>#N/A</v>
      </c>
    </row>
    <row r="4965" spans="7:8" ht="15" customHeight="1" x14ac:dyDescent="0.4">
      <c r="G4965" s="27">
        <f t="shared" si="89"/>
        <v>0</v>
      </c>
      <c r="H4965" s="28" t="e">
        <f>VLOOKUP(E4965,'Cadastro Produtos (kiwkiw)'!C:E,3,0)</f>
        <v>#N/A</v>
      </c>
    </row>
    <row r="4966" spans="7:8" ht="15" customHeight="1" x14ac:dyDescent="0.4">
      <c r="G4966" s="27">
        <f t="shared" si="89"/>
        <v>0</v>
      </c>
      <c r="H4966" s="28" t="e">
        <f>VLOOKUP(E4966,'Cadastro Produtos (kiwkiw)'!C:E,3,0)</f>
        <v>#N/A</v>
      </c>
    </row>
    <row r="4967" spans="7:8" ht="15" customHeight="1" x14ac:dyDescent="0.4">
      <c r="G4967" s="27">
        <f t="shared" si="89"/>
        <v>0</v>
      </c>
      <c r="H4967" s="28" t="e">
        <f>VLOOKUP(E4967,'Cadastro Produtos (kiwkiw)'!C:E,3,0)</f>
        <v>#N/A</v>
      </c>
    </row>
    <row r="4968" spans="7:8" ht="15" customHeight="1" x14ac:dyDescent="0.4">
      <c r="G4968" s="27">
        <f t="shared" si="89"/>
        <v>0</v>
      </c>
      <c r="H4968" s="28" t="e">
        <f>VLOOKUP(E4968,'Cadastro Produtos (kiwkiw)'!C:E,3,0)</f>
        <v>#N/A</v>
      </c>
    </row>
    <row r="4969" spans="7:8" ht="15" customHeight="1" x14ac:dyDescent="0.4">
      <c r="G4969" s="27">
        <f t="shared" si="89"/>
        <v>0</v>
      </c>
      <c r="H4969" s="28" t="e">
        <f>VLOOKUP(E4969,'Cadastro Produtos (kiwkiw)'!C:E,3,0)</f>
        <v>#N/A</v>
      </c>
    </row>
    <row r="4970" spans="7:8" ht="15" customHeight="1" x14ac:dyDescent="0.4">
      <c r="G4970" s="27">
        <f t="shared" si="89"/>
        <v>0</v>
      </c>
      <c r="H4970" s="28" t="e">
        <f>VLOOKUP(E4970,'Cadastro Produtos (kiwkiw)'!C:E,3,0)</f>
        <v>#N/A</v>
      </c>
    </row>
    <row r="4971" spans="7:8" ht="15" customHeight="1" x14ac:dyDescent="0.4">
      <c r="G4971" s="27">
        <f t="shared" si="89"/>
        <v>0</v>
      </c>
      <c r="H4971" s="28" t="e">
        <f>VLOOKUP(E4971,'Cadastro Produtos (kiwkiw)'!C:E,3,0)</f>
        <v>#N/A</v>
      </c>
    </row>
    <row r="4972" spans="7:8" ht="15" customHeight="1" x14ac:dyDescent="0.4">
      <c r="G4972" s="27">
        <f t="shared" si="89"/>
        <v>0</v>
      </c>
      <c r="H4972" s="28" t="e">
        <f>VLOOKUP(E4972,'Cadastro Produtos (kiwkiw)'!C:E,3,0)</f>
        <v>#N/A</v>
      </c>
    </row>
    <row r="4973" spans="7:8" ht="15" customHeight="1" x14ac:dyDescent="0.4">
      <c r="G4973" s="27">
        <f t="shared" si="89"/>
        <v>0</v>
      </c>
      <c r="H4973" s="28" t="e">
        <f>VLOOKUP(E4973,'Cadastro Produtos (kiwkiw)'!C:E,3,0)</f>
        <v>#N/A</v>
      </c>
    </row>
    <row r="4974" spans="7:8" ht="15" customHeight="1" x14ac:dyDescent="0.4">
      <c r="G4974" s="27">
        <f t="shared" si="89"/>
        <v>0</v>
      </c>
      <c r="H4974" s="28" t="e">
        <f>VLOOKUP(E4974,'Cadastro Produtos (kiwkiw)'!C:E,3,0)</f>
        <v>#N/A</v>
      </c>
    </row>
    <row r="4975" spans="7:8" ht="15" customHeight="1" x14ac:dyDescent="0.4">
      <c r="G4975" s="27">
        <f t="shared" si="89"/>
        <v>0</v>
      </c>
      <c r="H4975" s="28" t="e">
        <f>VLOOKUP(E4975,'Cadastro Produtos (kiwkiw)'!C:E,3,0)</f>
        <v>#N/A</v>
      </c>
    </row>
    <row r="4976" spans="7:8" ht="15" customHeight="1" x14ac:dyDescent="0.4">
      <c r="G4976" s="27">
        <f t="shared" si="89"/>
        <v>0</v>
      </c>
      <c r="H4976" s="28" t="e">
        <f>VLOOKUP(E4976,'Cadastro Produtos (kiwkiw)'!C:E,3,0)</f>
        <v>#N/A</v>
      </c>
    </row>
    <row r="4977" spans="7:8" ht="15" customHeight="1" x14ac:dyDescent="0.4">
      <c r="G4977" s="27">
        <f t="shared" si="89"/>
        <v>0</v>
      </c>
      <c r="H4977" s="28" t="e">
        <f>VLOOKUP(E4977,'Cadastro Produtos (kiwkiw)'!C:E,3,0)</f>
        <v>#N/A</v>
      </c>
    </row>
    <row r="4978" spans="7:8" ht="15" customHeight="1" x14ac:dyDescent="0.4">
      <c r="G4978" s="27">
        <f t="shared" si="89"/>
        <v>0</v>
      </c>
      <c r="H4978" s="28" t="e">
        <f>VLOOKUP(E4978,'Cadastro Produtos (kiwkiw)'!C:E,3,0)</f>
        <v>#N/A</v>
      </c>
    </row>
    <row r="4979" spans="7:8" ht="15" customHeight="1" x14ac:dyDescent="0.4">
      <c r="G4979" s="27">
        <f t="shared" si="89"/>
        <v>0</v>
      </c>
      <c r="H4979" s="28" t="e">
        <f>VLOOKUP(E4979,'Cadastro Produtos (kiwkiw)'!C:E,3,0)</f>
        <v>#N/A</v>
      </c>
    </row>
    <row r="4980" spans="7:8" ht="15" customHeight="1" x14ac:dyDescent="0.4">
      <c r="G4980" s="27">
        <f t="shared" si="89"/>
        <v>0</v>
      </c>
      <c r="H4980" s="28" t="e">
        <f>VLOOKUP(E4980,'Cadastro Produtos (kiwkiw)'!C:E,3,0)</f>
        <v>#N/A</v>
      </c>
    </row>
    <row r="4981" spans="7:8" ht="15" customHeight="1" x14ac:dyDescent="0.4">
      <c r="G4981" s="27">
        <f t="shared" si="89"/>
        <v>0</v>
      </c>
      <c r="H4981" s="28" t="e">
        <f>VLOOKUP(E4981,'Cadastro Produtos (kiwkiw)'!C:E,3,0)</f>
        <v>#N/A</v>
      </c>
    </row>
    <row r="4982" spans="7:8" ht="15" customHeight="1" x14ac:dyDescent="0.4">
      <c r="G4982" s="27">
        <f t="shared" si="89"/>
        <v>0</v>
      </c>
      <c r="H4982" s="28" t="e">
        <f>VLOOKUP(E4982,'Cadastro Produtos (kiwkiw)'!C:E,3,0)</f>
        <v>#N/A</v>
      </c>
    </row>
    <row r="4983" spans="7:8" ht="15" customHeight="1" x14ac:dyDescent="0.4">
      <c r="G4983" s="27">
        <f t="shared" si="89"/>
        <v>0</v>
      </c>
      <c r="H4983" s="28" t="e">
        <f>VLOOKUP(E4983,'Cadastro Produtos (kiwkiw)'!C:E,3,0)</f>
        <v>#N/A</v>
      </c>
    </row>
    <row r="4984" spans="7:8" ht="15" customHeight="1" x14ac:dyDescent="0.4">
      <c r="G4984" s="27">
        <f t="shared" si="89"/>
        <v>0</v>
      </c>
      <c r="H4984" s="28" t="e">
        <f>VLOOKUP(E4984,'Cadastro Produtos (kiwkiw)'!C:E,3,0)</f>
        <v>#N/A</v>
      </c>
    </row>
    <row r="4985" spans="7:8" ht="15" customHeight="1" x14ac:dyDescent="0.4">
      <c r="G4985" s="27">
        <f t="shared" si="89"/>
        <v>0</v>
      </c>
      <c r="H4985" s="28" t="e">
        <f>VLOOKUP(E4985,'Cadastro Produtos (kiwkiw)'!C:E,3,0)</f>
        <v>#N/A</v>
      </c>
    </row>
    <row r="4986" spans="7:8" ht="15" customHeight="1" x14ac:dyDescent="0.4">
      <c r="G4986" s="27">
        <f t="shared" si="89"/>
        <v>0</v>
      </c>
      <c r="H4986" s="28" t="e">
        <f>VLOOKUP(E4986,'Cadastro Produtos (kiwkiw)'!C:E,3,0)</f>
        <v>#N/A</v>
      </c>
    </row>
    <row r="4987" spans="7:8" ht="15" customHeight="1" x14ac:dyDescent="0.4">
      <c r="G4987" s="27">
        <f t="shared" si="89"/>
        <v>0</v>
      </c>
      <c r="H4987" s="28" t="e">
        <f>VLOOKUP(E4987,'Cadastro Produtos (kiwkiw)'!C:E,3,0)</f>
        <v>#N/A</v>
      </c>
    </row>
    <row r="4988" spans="7:8" ht="15" customHeight="1" x14ac:dyDescent="0.4">
      <c r="G4988" s="27">
        <f t="shared" si="89"/>
        <v>0</v>
      </c>
      <c r="H4988" s="28" t="e">
        <f>VLOOKUP(E4988,'Cadastro Produtos (kiwkiw)'!C:E,3,0)</f>
        <v>#N/A</v>
      </c>
    </row>
    <row r="4989" spans="7:8" ht="15" customHeight="1" x14ac:dyDescent="0.4">
      <c r="G4989" s="27">
        <f t="shared" si="89"/>
        <v>0</v>
      </c>
      <c r="H4989" s="28" t="e">
        <f>VLOOKUP(E4989,'Cadastro Produtos (kiwkiw)'!C:E,3,0)</f>
        <v>#N/A</v>
      </c>
    </row>
    <row r="4990" spans="7:8" ht="15" customHeight="1" x14ac:dyDescent="0.4">
      <c r="G4990" s="27">
        <f t="shared" si="89"/>
        <v>0</v>
      </c>
      <c r="H4990" s="28" t="e">
        <f>VLOOKUP(E4990,'Cadastro Produtos (kiwkiw)'!C:E,3,0)</f>
        <v>#N/A</v>
      </c>
    </row>
    <row r="4991" spans="7:8" ht="15" customHeight="1" x14ac:dyDescent="0.4">
      <c r="G4991" s="27">
        <f t="shared" si="89"/>
        <v>0</v>
      </c>
      <c r="H4991" s="28" t="e">
        <f>VLOOKUP(E4991,'Cadastro Produtos (kiwkiw)'!C:E,3,0)</f>
        <v>#N/A</v>
      </c>
    </row>
    <row r="4992" spans="7:8" ht="15" customHeight="1" x14ac:dyDescent="0.4">
      <c r="G4992" s="27">
        <f t="shared" si="89"/>
        <v>0</v>
      </c>
      <c r="H4992" s="28" t="e">
        <f>VLOOKUP(E4992,'Cadastro Produtos (kiwkiw)'!C:E,3,0)</f>
        <v>#N/A</v>
      </c>
    </row>
    <row r="4993" spans="2:8" ht="15" customHeight="1" x14ac:dyDescent="0.4">
      <c r="G4993" s="27">
        <f t="shared" si="89"/>
        <v>0</v>
      </c>
      <c r="H4993" s="28" t="e">
        <f>VLOOKUP(E4993,'Cadastro Produtos (kiwkiw)'!C:E,3,0)</f>
        <v>#N/A</v>
      </c>
    </row>
    <row r="4994" spans="2:8" ht="15" customHeight="1" x14ac:dyDescent="0.4">
      <c r="G4994" s="27">
        <f t="shared" si="89"/>
        <v>0</v>
      </c>
      <c r="H4994" s="28" t="e">
        <f>VLOOKUP(E4994,'Cadastro Produtos (kiwkiw)'!C:E,3,0)</f>
        <v>#N/A</v>
      </c>
    </row>
    <row r="4995" spans="2:8" ht="15" customHeight="1" x14ac:dyDescent="0.4">
      <c r="G4995" s="27">
        <f t="shared" si="89"/>
        <v>0</v>
      </c>
      <c r="H4995" s="28" t="e">
        <f>VLOOKUP(E4995,'Cadastro Produtos (kiwkiw)'!C:E,3,0)</f>
        <v>#N/A</v>
      </c>
    </row>
    <row r="4996" spans="2:8" ht="15" customHeight="1" x14ac:dyDescent="0.4">
      <c r="G4996" s="27">
        <f t="shared" si="89"/>
        <v>0</v>
      </c>
      <c r="H4996" s="28" t="e">
        <f>VLOOKUP(E4996,'Cadastro Produtos (kiwkiw)'!C:E,3,0)</f>
        <v>#N/A</v>
      </c>
    </row>
    <row r="4997" spans="2:8" ht="15" customHeight="1" x14ac:dyDescent="0.4">
      <c r="G4997" s="27">
        <f t="shared" si="89"/>
        <v>0</v>
      </c>
      <c r="H4997" s="28" t="e">
        <f>VLOOKUP(E4997,'Cadastro Produtos (kiwkiw)'!C:E,3,0)</f>
        <v>#N/A</v>
      </c>
    </row>
    <row r="4998" spans="2:8" ht="15" customHeight="1" x14ac:dyDescent="0.4">
      <c r="G4998" s="27">
        <f t="shared" si="89"/>
        <v>0</v>
      </c>
      <c r="H4998" s="28" t="e">
        <f>VLOOKUP(E4998,'Cadastro Produtos (kiwkiw)'!C:E,3,0)</f>
        <v>#N/A</v>
      </c>
    </row>
    <row r="4999" spans="2:8" ht="15" customHeight="1" x14ac:dyDescent="0.4">
      <c r="G4999" s="27">
        <f t="shared" si="89"/>
        <v>0</v>
      </c>
      <c r="H4999" s="28" t="e">
        <f>VLOOKUP(E4999,'Cadastro Produtos (kiwkiw)'!C:E,3,0)</f>
        <v>#N/A</v>
      </c>
    </row>
    <row r="5000" spans="2:8" ht="15" customHeight="1" x14ac:dyDescent="0.4">
      <c r="G5000" s="27">
        <f t="shared" si="89"/>
        <v>0</v>
      </c>
      <c r="H5000" s="28" t="e">
        <f>VLOOKUP(E5000,'Cadastro Produtos (kiwkiw)'!C:E,3,0)</f>
        <v>#N/A</v>
      </c>
    </row>
    <row r="5001" spans="2:8" ht="15" customHeight="1" x14ac:dyDescent="0.4">
      <c r="G5001" s="27">
        <f t="shared" si="89"/>
        <v>0</v>
      </c>
      <c r="H5001" s="28" t="e">
        <f>VLOOKUP(E5001,'Cadastro Produtos (kiwkiw)'!C:E,3,0)</f>
        <v>#N/A</v>
      </c>
    </row>
    <row r="5002" spans="2:8" ht="15" customHeight="1" x14ac:dyDescent="0.4">
      <c r="B5002" s="43"/>
      <c r="G5002" s="27">
        <f t="shared" si="89"/>
        <v>0</v>
      </c>
      <c r="H5002" s="28" t="e">
        <f>VLOOKUP(E5002,'Cadastro Produtos (kiwkiw)'!C:E,3,0)</f>
        <v>#N/A</v>
      </c>
    </row>
    <row r="5003" spans="2:8" ht="15" customHeight="1" x14ac:dyDescent="0.4">
      <c r="G5003" s="27">
        <f t="shared" si="89"/>
        <v>0</v>
      </c>
      <c r="H5003" s="28" t="e">
        <f>VLOOKUP(E5003,'Cadastro Produtos (kiwkiw)'!C:E,3,0)</f>
        <v>#N/A</v>
      </c>
    </row>
    <row r="5004" spans="2:8" ht="15" customHeight="1" x14ac:dyDescent="0.4">
      <c r="G5004" s="27">
        <f t="shared" si="89"/>
        <v>0</v>
      </c>
      <c r="H5004" s="28" t="e">
        <f>VLOOKUP(E5004,'Cadastro Produtos (kiwkiw)'!C:E,3,0)</f>
        <v>#N/A</v>
      </c>
    </row>
    <row r="5005" spans="2:8" ht="15" customHeight="1" x14ac:dyDescent="0.4">
      <c r="G5005" s="27">
        <f t="shared" si="89"/>
        <v>0</v>
      </c>
      <c r="H5005" s="28" t="e">
        <f>VLOOKUP(E5005,'Cadastro Produtos (kiwkiw)'!C:E,3,0)</f>
        <v>#N/A</v>
      </c>
    </row>
    <row r="5006" spans="2:8" ht="15" customHeight="1" x14ac:dyDescent="0.4">
      <c r="G5006" s="27">
        <f t="shared" si="89"/>
        <v>0</v>
      </c>
      <c r="H5006" s="28" t="e">
        <f>VLOOKUP(E5006,'Cadastro Produtos (kiwkiw)'!C:E,3,0)</f>
        <v>#N/A</v>
      </c>
    </row>
    <row r="5007" spans="2:8" ht="15" customHeight="1" x14ac:dyDescent="0.4">
      <c r="G5007" s="27">
        <f t="shared" si="89"/>
        <v>0</v>
      </c>
      <c r="H5007" s="28" t="e">
        <f>VLOOKUP(E5007,'Cadastro Produtos (kiwkiw)'!C:E,3,0)</f>
        <v>#N/A</v>
      </c>
    </row>
    <row r="5008" spans="2:8" ht="15" customHeight="1" x14ac:dyDescent="0.4">
      <c r="G5008" s="27">
        <f t="shared" si="89"/>
        <v>0</v>
      </c>
      <c r="H5008" s="28" t="e">
        <f>VLOOKUP(E5008,'Cadastro Produtos (kiwkiw)'!C:E,3,0)</f>
        <v>#N/A</v>
      </c>
    </row>
    <row r="5009" spans="7:8" ht="15" customHeight="1" x14ac:dyDescent="0.4">
      <c r="G5009" s="27">
        <f t="shared" si="89"/>
        <v>0</v>
      </c>
      <c r="H5009" s="28" t="e">
        <f>VLOOKUP(E5009,'Cadastro Produtos (kiwkiw)'!C:E,3,0)</f>
        <v>#N/A</v>
      </c>
    </row>
    <row r="5010" spans="7:8" ht="15" customHeight="1" x14ac:dyDescent="0.4">
      <c r="G5010" s="27">
        <f t="shared" ref="G5010:G5073" si="90">IF(C5010="Entrada",F5010,-F5010)</f>
        <v>0</v>
      </c>
      <c r="H5010" s="28" t="e">
        <f>VLOOKUP(E5010,'Cadastro Produtos (kiwkiw)'!C:E,3,0)</f>
        <v>#N/A</v>
      </c>
    </row>
    <row r="5011" spans="7:8" ht="15" customHeight="1" x14ac:dyDescent="0.4">
      <c r="G5011" s="27">
        <f t="shared" si="90"/>
        <v>0</v>
      </c>
      <c r="H5011" s="28" t="e">
        <f>VLOOKUP(E5011,'Cadastro Produtos (kiwkiw)'!C:E,3,0)</f>
        <v>#N/A</v>
      </c>
    </row>
    <row r="5012" spans="7:8" ht="15" customHeight="1" x14ac:dyDescent="0.4">
      <c r="G5012" s="27">
        <f t="shared" si="90"/>
        <v>0</v>
      </c>
      <c r="H5012" s="28" t="e">
        <f>VLOOKUP(E5012,'Cadastro Produtos (kiwkiw)'!C:E,3,0)</f>
        <v>#N/A</v>
      </c>
    </row>
    <row r="5013" spans="7:8" ht="15" customHeight="1" x14ac:dyDescent="0.4">
      <c r="G5013" s="27">
        <f t="shared" si="90"/>
        <v>0</v>
      </c>
      <c r="H5013" s="28" t="e">
        <f>VLOOKUP(E5013,'Cadastro Produtos (kiwkiw)'!C:E,3,0)</f>
        <v>#N/A</v>
      </c>
    </row>
    <row r="5014" spans="7:8" ht="15" customHeight="1" x14ac:dyDescent="0.4">
      <c r="G5014" s="27">
        <f t="shared" si="90"/>
        <v>0</v>
      </c>
      <c r="H5014" s="28" t="e">
        <f>VLOOKUP(E5014,'Cadastro Produtos (kiwkiw)'!C:E,3,0)</f>
        <v>#N/A</v>
      </c>
    </row>
    <row r="5015" spans="7:8" ht="15" customHeight="1" x14ac:dyDescent="0.4">
      <c r="G5015" s="27">
        <f t="shared" si="90"/>
        <v>0</v>
      </c>
      <c r="H5015" s="28" t="e">
        <f>VLOOKUP(E5015,'Cadastro Produtos (kiwkiw)'!C:E,3,0)</f>
        <v>#N/A</v>
      </c>
    </row>
    <row r="5016" spans="7:8" ht="15" customHeight="1" x14ac:dyDescent="0.4">
      <c r="G5016" s="27">
        <f t="shared" si="90"/>
        <v>0</v>
      </c>
      <c r="H5016" s="28" t="e">
        <f>VLOOKUP(E5016,'Cadastro Produtos (kiwkiw)'!C:E,3,0)</f>
        <v>#N/A</v>
      </c>
    </row>
    <row r="5017" spans="7:8" ht="15" customHeight="1" x14ac:dyDescent="0.4">
      <c r="G5017" s="27">
        <f t="shared" si="90"/>
        <v>0</v>
      </c>
      <c r="H5017" s="28" t="e">
        <f>VLOOKUP(E5017,'Cadastro Produtos (kiwkiw)'!C:E,3,0)</f>
        <v>#N/A</v>
      </c>
    </row>
    <row r="5018" spans="7:8" ht="15" customHeight="1" x14ac:dyDescent="0.4">
      <c r="G5018" s="27">
        <f t="shared" si="90"/>
        <v>0</v>
      </c>
      <c r="H5018" s="28" t="e">
        <f>VLOOKUP(E5018,'Cadastro Produtos (kiwkiw)'!C:E,3,0)</f>
        <v>#N/A</v>
      </c>
    </row>
    <row r="5019" spans="7:8" ht="15" customHeight="1" x14ac:dyDescent="0.4">
      <c r="G5019" s="27">
        <f t="shared" si="90"/>
        <v>0</v>
      </c>
      <c r="H5019" s="28" t="e">
        <f>VLOOKUP(E5019,'Cadastro Produtos (kiwkiw)'!C:E,3,0)</f>
        <v>#N/A</v>
      </c>
    </row>
    <row r="5020" spans="7:8" ht="15" customHeight="1" x14ac:dyDescent="0.4">
      <c r="G5020" s="27">
        <f t="shared" si="90"/>
        <v>0</v>
      </c>
      <c r="H5020" s="28" t="e">
        <f>VLOOKUP(E5020,'Cadastro Produtos (kiwkiw)'!C:E,3,0)</f>
        <v>#N/A</v>
      </c>
    </row>
    <row r="5021" spans="7:8" ht="15" customHeight="1" x14ac:dyDescent="0.4">
      <c r="G5021" s="27">
        <f t="shared" si="90"/>
        <v>0</v>
      </c>
      <c r="H5021" s="28" t="e">
        <f>VLOOKUP(E5021,'Cadastro Produtos (kiwkiw)'!C:E,3,0)</f>
        <v>#N/A</v>
      </c>
    </row>
    <row r="5022" spans="7:8" ht="15" customHeight="1" x14ac:dyDescent="0.4">
      <c r="G5022" s="27">
        <f t="shared" si="90"/>
        <v>0</v>
      </c>
      <c r="H5022" s="28" t="e">
        <f>VLOOKUP(E5022,'Cadastro Produtos (kiwkiw)'!C:E,3,0)</f>
        <v>#N/A</v>
      </c>
    </row>
    <row r="5023" spans="7:8" ht="15" customHeight="1" x14ac:dyDescent="0.4">
      <c r="G5023" s="27">
        <f t="shared" si="90"/>
        <v>0</v>
      </c>
      <c r="H5023" s="28" t="e">
        <f>VLOOKUP(E5023,'Cadastro Produtos (kiwkiw)'!C:E,3,0)</f>
        <v>#N/A</v>
      </c>
    </row>
    <row r="5024" spans="7:8" ht="15" customHeight="1" x14ac:dyDescent="0.4">
      <c r="G5024" s="27">
        <f t="shared" si="90"/>
        <v>0</v>
      </c>
      <c r="H5024" s="28" t="e">
        <f>VLOOKUP(E5024,'Cadastro Produtos (kiwkiw)'!C:E,3,0)</f>
        <v>#N/A</v>
      </c>
    </row>
    <row r="5025" spans="7:8" ht="15" customHeight="1" x14ac:dyDescent="0.4">
      <c r="G5025" s="27">
        <f t="shared" si="90"/>
        <v>0</v>
      </c>
      <c r="H5025" s="28" t="e">
        <f>VLOOKUP(E5025,'Cadastro Produtos (kiwkiw)'!C:E,3,0)</f>
        <v>#N/A</v>
      </c>
    </row>
    <row r="5026" spans="7:8" ht="15" customHeight="1" x14ac:dyDescent="0.4">
      <c r="G5026" s="27">
        <f t="shared" si="90"/>
        <v>0</v>
      </c>
      <c r="H5026" s="28" t="e">
        <f>VLOOKUP(E5026,'Cadastro Produtos (kiwkiw)'!C:E,3,0)</f>
        <v>#N/A</v>
      </c>
    </row>
    <row r="5027" spans="7:8" ht="15" customHeight="1" x14ac:dyDescent="0.4">
      <c r="G5027" s="27">
        <f t="shared" si="90"/>
        <v>0</v>
      </c>
      <c r="H5027" s="28" t="e">
        <f>VLOOKUP(E5027,'Cadastro Produtos (kiwkiw)'!C:E,3,0)</f>
        <v>#N/A</v>
      </c>
    </row>
    <row r="5028" spans="7:8" ht="15" customHeight="1" x14ac:dyDescent="0.4">
      <c r="G5028" s="27">
        <f t="shared" si="90"/>
        <v>0</v>
      </c>
      <c r="H5028" s="28" t="e">
        <f>VLOOKUP(E5028,'Cadastro Produtos (kiwkiw)'!C:E,3,0)</f>
        <v>#N/A</v>
      </c>
    </row>
    <row r="5029" spans="7:8" ht="15" customHeight="1" x14ac:dyDescent="0.4">
      <c r="G5029" s="27">
        <f t="shared" si="90"/>
        <v>0</v>
      </c>
      <c r="H5029" s="28" t="e">
        <f>VLOOKUP(E5029,'Cadastro Produtos (kiwkiw)'!C:E,3,0)</f>
        <v>#N/A</v>
      </c>
    </row>
    <row r="5030" spans="7:8" ht="15" customHeight="1" x14ac:dyDescent="0.4">
      <c r="G5030" s="27">
        <f t="shared" si="90"/>
        <v>0</v>
      </c>
      <c r="H5030" s="28" t="e">
        <f>VLOOKUP(E5030,'Cadastro Produtos (kiwkiw)'!C:E,3,0)</f>
        <v>#N/A</v>
      </c>
    </row>
    <row r="5031" spans="7:8" ht="15" customHeight="1" x14ac:dyDescent="0.4">
      <c r="G5031" s="27">
        <f t="shared" si="90"/>
        <v>0</v>
      </c>
      <c r="H5031" s="28" t="e">
        <f>VLOOKUP(E5031,'Cadastro Produtos (kiwkiw)'!C:E,3,0)</f>
        <v>#N/A</v>
      </c>
    </row>
    <row r="5032" spans="7:8" ht="15" customHeight="1" x14ac:dyDescent="0.4">
      <c r="G5032" s="27">
        <f t="shared" si="90"/>
        <v>0</v>
      </c>
      <c r="H5032" s="28" t="e">
        <f>VLOOKUP(E5032,'Cadastro Produtos (kiwkiw)'!C:E,3,0)</f>
        <v>#N/A</v>
      </c>
    </row>
    <row r="5033" spans="7:8" ht="15" customHeight="1" x14ac:dyDescent="0.4">
      <c r="G5033" s="27">
        <f t="shared" si="90"/>
        <v>0</v>
      </c>
      <c r="H5033" s="28" t="e">
        <f>VLOOKUP(E5033,'Cadastro Produtos (kiwkiw)'!C:E,3,0)</f>
        <v>#N/A</v>
      </c>
    </row>
    <row r="5034" spans="7:8" ht="15" customHeight="1" x14ac:dyDescent="0.4">
      <c r="G5034" s="27">
        <f t="shared" si="90"/>
        <v>0</v>
      </c>
      <c r="H5034" s="28" t="e">
        <f>VLOOKUP(E5034,'Cadastro Produtos (kiwkiw)'!C:E,3,0)</f>
        <v>#N/A</v>
      </c>
    </row>
    <row r="5035" spans="7:8" ht="15" customHeight="1" x14ac:dyDescent="0.4">
      <c r="G5035" s="27">
        <f t="shared" si="90"/>
        <v>0</v>
      </c>
      <c r="H5035" s="28" t="e">
        <f>VLOOKUP(E5035,'Cadastro Produtos (kiwkiw)'!C:E,3,0)</f>
        <v>#N/A</v>
      </c>
    </row>
    <row r="5036" spans="7:8" ht="15" customHeight="1" x14ac:dyDescent="0.4">
      <c r="G5036" s="27">
        <f t="shared" si="90"/>
        <v>0</v>
      </c>
      <c r="H5036" s="28" t="e">
        <f>VLOOKUP(E5036,'Cadastro Produtos (kiwkiw)'!C:E,3,0)</f>
        <v>#N/A</v>
      </c>
    </row>
    <row r="5037" spans="7:8" ht="15" customHeight="1" x14ac:dyDescent="0.4">
      <c r="G5037" s="27">
        <f t="shared" si="90"/>
        <v>0</v>
      </c>
      <c r="H5037" s="28" t="e">
        <f>VLOOKUP(E5037,'Cadastro Produtos (kiwkiw)'!C:E,3,0)</f>
        <v>#N/A</v>
      </c>
    </row>
    <row r="5038" spans="7:8" ht="15" customHeight="1" x14ac:dyDescent="0.4">
      <c r="G5038" s="27">
        <f t="shared" si="90"/>
        <v>0</v>
      </c>
      <c r="H5038" s="28" t="e">
        <f>VLOOKUP(E5038,'Cadastro Produtos (kiwkiw)'!C:E,3,0)</f>
        <v>#N/A</v>
      </c>
    </row>
    <row r="5039" spans="7:8" ht="15" customHeight="1" x14ac:dyDescent="0.4">
      <c r="G5039" s="27">
        <f t="shared" si="90"/>
        <v>0</v>
      </c>
      <c r="H5039" s="28" t="e">
        <f>VLOOKUP(E5039,'Cadastro Produtos (kiwkiw)'!C:E,3,0)</f>
        <v>#N/A</v>
      </c>
    </row>
    <row r="5040" spans="7:8" ht="15" customHeight="1" x14ac:dyDescent="0.4">
      <c r="G5040" s="27">
        <f t="shared" si="90"/>
        <v>0</v>
      </c>
      <c r="H5040" s="28" t="e">
        <f>VLOOKUP(E5040,'Cadastro Produtos (kiwkiw)'!C:E,3,0)</f>
        <v>#N/A</v>
      </c>
    </row>
    <row r="5041" spans="7:8" ht="15" customHeight="1" x14ac:dyDescent="0.4">
      <c r="G5041" s="27">
        <f t="shared" si="90"/>
        <v>0</v>
      </c>
      <c r="H5041" s="28" t="e">
        <f>VLOOKUP(E5041,'Cadastro Produtos (kiwkiw)'!C:E,3,0)</f>
        <v>#N/A</v>
      </c>
    </row>
    <row r="5042" spans="7:8" ht="15" customHeight="1" x14ac:dyDescent="0.4">
      <c r="G5042" s="27">
        <f t="shared" si="90"/>
        <v>0</v>
      </c>
      <c r="H5042" s="28" t="e">
        <f>VLOOKUP(E5042,'Cadastro Produtos (kiwkiw)'!C:E,3,0)</f>
        <v>#N/A</v>
      </c>
    </row>
    <row r="5043" spans="7:8" ht="15" customHeight="1" x14ac:dyDescent="0.4">
      <c r="G5043" s="27">
        <f t="shared" si="90"/>
        <v>0</v>
      </c>
      <c r="H5043" s="28" t="e">
        <f>VLOOKUP(E5043,'Cadastro Produtos (kiwkiw)'!C:E,3,0)</f>
        <v>#N/A</v>
      </c>
    </row>
    <row r="5044" spans="7:8" ht="15" customHeight="1" x14ac:dyDescent="0.4">
      <c r="G5044" s="27">
        <f t="shared" si="90"/>
        <v>0</v>
      </c>
      <c r="H5044" s="28" t="e">
        <f>VLOOKUP(E5044,'Cadastro Produtos (kiwkiw)'!C:E,3,0)</f>
        <v>#N/A</v>
      </c>
    </row>
    <row r="5045" spans="7:8" ht="15" customHeight="1" x14ac:dyDescent="0.4">
      <c r="G5045" s="27">
        <f t="shared" si="90"/>
        <v>0</v>
      </c>
      <c r="H5045" s="28" t="e">
        <f>VLOOKUP(E5045,'Cadastro Produtos (kiwkiw)'!C:E,3,0)</f>
        <v>#N/A</v>
      </c>
    </row>
    <row r="5046" spans="7:8" ht="15" customHeight="1" x14ac:dyDescent="0.4">
      <c r="G5046" s="27">
        <f t="shared" si="90"/>
        <v>0</v>
      </c>
      <c r="H5046" s="28" t="e">
        <f>VLOOKUP(E5046,'Cadastro Produtos (kiwkiw)'!C:E,3,0)</f>
        <v>#N/A</v>
      </c>
    </row>
    <row r="5047" spans="7:8" ht="15" customHeight="1" x14ac:dyDescent="0.4">
      <c r="G5047" s="27">
        <f t="shared" si="90"/>
        <v>0</v>
      </c>
      <c r="H5047" s="28" t="e">
        <f>VLOOKUP(E5047,'Cadastro Produtos (kiwkiw)'!C:E,3,0)</f>
        <v>#N/A</v>
      </c>
    </row>
    <row r="5048" spans="7:8" ht="15" customHeight="1" x14ac:dyDescent="0.4">
      <c r="G5048" s="27">
        <f t="shared" si="90"/>
        <v>0</v>
      </c>
      <c r="H5048" s="28" t="e">
        <f>VLOOKUP(E5048,'Cadastro Produtos (kiwkiw)'!C:E,3,0)</f>
        <v>#N/A</v>
      </c>
    </row>
    <row r="5049" spans="7:8" ht="15" customHeight="1" x14ac:dyDescent="0.4">
      <c r="G5049" s="27">
        <f t="shared" si="90"/>
        <v>0</v>
      </c>
      <c r="H5049" s="28" t="e">
        <f>VLOOKUP(E5049,'Cadastro Produtos (kiwkiw)'!C:E,3,0)</f>
        <v>#N/A</v>
      </c>
    </row>
    <row r="5050" spans="7:8" ht="15" customHeight="1" x14ac:dyDescent="0.4">
      <c r="G5050" s="27">
        <f t="shared" si="90"/>
        <v>0</v>
      </c>
      <c r="H5050" s="28" t="e">
        <f>VLOOKUP(E5050,'Cadastro Produtos (kiwkiw)'!C:E,3,0)</f>
        <v>#N/A</v>
      </c>
    </row>
    <row r="5051" spans="7:8" ht="15" customHeight="1" x14ac:dyDescent="0.4">
      <c r="G5051" s="27">
        <f t="shared" si="90"/>
        <v>0</v>
      </c>
      <c r="H5051" s="28" t="e">
        <f>VLOOKUP(E5051,'Cadastro Produtos (kiwkiw)'!C:E,3,0)</f>
        <v>#N/A</v>
      </c>
    </row>
    <row r="5052" spans="7:8" ht="15" customHeight="1" x14ac:dyDescent="0.4">
      <c r="G5052" s="27">
        <f t="shared" si="90"/>
        <v>0</v>
      </c>
      <c r="H5052" s="28" t="e">
        <f>VLOOKUP(E5052,'Cadastro Produtos (kiwkiw)'!C:E,3,0)</f>
        <v>#N/A</v>
      </c>
    </row>
    <row r="5053" spans="7:8" ht="15" customHeight="1" x14ac:dyDescent="0.4">
      <c r="G5053" s="27">
        <f t="shared" si="90"/>
        <v>0</v>
      </c>
      <c r="H5053" s="28" t="e">
        <f>VLOOKUP(E5053,'Cadastro Produtos (kiwkiw)'!C:E,3,0)</f>
        <v>#N/A</v>
      </c>
    </row>
    <row r="5054" spans="7:8" ht="15" customHeight="1" x14ac:dyDescent="0.4">
      <c r="G5054" s="27">
        <f t="shared" si="90"/>
        <v>0</v>
      </c>
      <c r="H5054" s="28" t="e">
        <f>VLOOKUP(E5054,'Cadastro Produtos (kiwkiw)'!C:E,3,0)</f>
        <v>#N/A</v>
      </c>
    </row>
    <row r="5055" spans="7:8" ht="15" customHeight="1" x14ac:dyDescent="0.4">
      <c r="G5055" s="27">
        <f t="shared" si="90"/>
        <v>0</v>
      </c>
      <c r="H5055" s="28" t="e">
        <f>VLOOKUP(E5055,'Cadastro Produtos (kiwkiw)'!C:E,3,0)</f>
        <v>#N/A</v>
      </c>
    </row>
    <row r="5056" spans="7:8" ht="15" customHeight="1" x14ac:dyDescent="0.4">
      <c r="G5056" s="27">
        <f t="shared" si="90"/>
        <v>0</v>
      </c>
      <c r="H5056" s="28" t="e">
        <f>VLOOKUP(E5056,'Cadastro Produtos (kiwkiw)'!C:E,3,0)</f>
        <v>#N/A</v>
      </c>
    </row>
    <row r="5057" spans="2:9" ht="15" customHeight="1" x14ac:dyDescent="0.4">
      <c r="G5057" s="27">
        <f t="shared" si="90"/>
        <v>0</v>
      </c>
      <c r="H5057" s="28" t="e">
        <f>VLOOKUP(E5057,'Cadastro Produtos (kiwkiw)'!C:E,3,0)</f>
        <v>#N/A</v>
      </c>
      <c r="I5057" s="28"/>
    </row>
    <row r="5058" spans="2:9" ht="15" customHeight="1" x14ac:dyDescent="0.4">
      <c r="G5058" s="27">
        <f t="shared" si="90"/>
        <v>0</v>
      </c>
      <c r="H5058" s="28" t="e">
        <f>VLOOKUP(E5058,'Cadastro Produtos (kiwkiw)'!C:E,3,0)</f>
        <v>#N/A</v>
      </c>
      <c r="I5058" s="28"/>
    </row>
    <row r="5059" spans="2:9" ht="15" customHeight="1" x14ac:dyDescent="0.4">
      <c r="G5059" s="27">
        <f t="shared" si="90"/>
        <v>0</v>
      </c>
      <c r="H5059" s="28" t="e">
        <f>VLOOKUP(E5059,'Cadastro Produtos (kiwkiw)'!C:E,3,0)</f>
        <v>#N/A</v>
      </c>
      <c r="I5059" s="28"/>
    </row>
    <row r="5060" spans="2:9" ht="15" customHeight="1" x14ac:dyDescent="0.4">
      <c r="B5060" s="43"/>
      <c r="G5060" s="27">
        <f t="shared" si="90"/>
        <v>0</v>
      </c>
      <c r="H5060" s="28" t="e">
        <f>VLOOKUP(E5060,'Cadastro Produtos (kiwkiw)'!C:E,3,0)</f>
        <v>#N/A</v>
      </c>
    </row>
    <row r="5061" spans="2:9" ht="15" customHeight="1" x14ac:dyDescent="0.4">
      <c r="G5061" s="27">
        <f t="shared" si="90"/>
        <v>0</v>
      </c>
      <c r="H5061" s="28" t="e">
        <f>VLOOKUP(E5061,'Cadastro Produtos (kiwkiw)'!C:E,3,0)</f>
        <v>#N/A</v>
      </c>
    </row>
    <row r="5062" spans="2:9" ht="15" customHeight="1" x14ac:dyDescent="0.4">
      <c r="G5062" s="27">
        <f t="shared" si="90"/>
        <v>0</v>
      </c>
      <c r="H5062" s="28" t="e">
        <f>VLOOKUP(E5062,'Cadastro Produtos (kiwkiw)'!C:E,3,0)</f>
        <v>#N/A</v>
      </c>
    </row>
    <row r="5063" spans="2:9" ht="15" customHeight="1" x14ac:dyDescent="0.4">
      <c r="G5063" s="27">
        <f t="shared" si="90"/>
        <v>0</v>
      </c>
      <c r="H5063" s="28" t="e">
        <f>VLOOKUP(E5063,'Cadastro Produtos (kiwkiw)'!C:E,3,0)</f>
        <v>#N/A</v>
      </c>
    </row>
    <row r="5064" spans="2:9" ht="15" customHeight="1" x14ac:dyDescent="0.4">
      <c r="G5064" s="27">
        <f t="shared" si="90"/>
        <v>0</v>
      </c>
      <c r="H5064" s="28" t="e">
        <f>VLOOKUP(E5064,'Cadastro Produtos (kiwkiw)'!C:E,3,0)</f>
        <v>#N/A</v>
      </c>
    </row>
    <row r="5065" spans="2:9" ht="15" customHeight="1" x14ac:dyDescent="0.4">
      <c r="G5065" s="27">
        <f t="shared" si="90"/>
        <v>0</v>
      </c>
      <c r="H5065" s="28" t="e">
        <f>VLOOKUP(E5065,'Cadastro Produtos (kiwkiw)'!C:E,3,0)</f>
        <v>#N/A</v>
      </c>
    </row>
    <row r="5066" spans="2:9" ht="15" customHeight="1" x14ac:dyDescent="0.4">
      <c r="G5066" s="27">
        <f t="shared" si="90"/>
        <v>0</v>
      </c>
      <c r="H5066" s="28" t="e">
        <f>VLOOKUP(E5066,'Cadastro Produtos (kiwkiw)'!C:E,3,0)</f>
        <v>#N/A</v>
      </c>
    </row>
    <row r="5067" spans="2:9" ht="15" customHeight="1" x14ac:dyDescent="0.4">
      <c r="G5067" s="27">
        <f t="shared" si="90"/>
        <v>0</v>
      </c>
      <c r="H5067" s="28" t="e">
        <f>VLOOKUP(E5067,'Cadastro Produtos (kiwkiw)'!C:E,3,0)</f>
        <v>#N/A</v>
      </c>
    </row>
    <row r="5068" spans="2:9" ht="15" customHeight="1" x14ac:dyDescent="0.4">
      <c r="G5068" s="27">
        <f t="shared" si="90"/>
        <v>0</v>
      </c>
      <c r="H5068" s="28" t="e">
        <f>VLOOKUP(E5068,'Cadastro Produtos (kiwkiw)'!C:E,3,0)</f>
        <v>#N/A</v>
      </c>
    </row>
    <row r="5069" spans="2:9" ht="15" customHeight="1" x14ac:dyDescent="0.4">
      <c r="G5069" s="27">
        <f t="shared" si="90"/>
        <v>0</v>
      </c>
      <c r="H5069" s="28" t="e">
        <f>VLOOKUP(E5069,'Cadastro Produtos (kiwkiw)'!C:E,3,0)</f>
        <v>#N/A</v>
      </c>
    </row>
    <row r="5070" spans="2:9" ht="15" customHeight="1" x14ac:dyDescent="0.4">
      <c r="G5070" s="27">
        <f t="shared" si="90"/>
        <v>0</v>
      </c>
      <c r="H5070" s="28" t="e">
        <f>VLOOKUP(E5070,'Cadastro Produtos (kiwkiw)'!C:E,3,0)</f>
        <v>#N/A</v>
      </c>
    </row>
    <row r="5071" spans="2:9" ht="15" customHeight="1" x14ac:dyDescent="0.4">
      <c r="G5071" s="27">
        <f t="shared" si="90"/>
        <v>0</v>
      </c>
      <c r="H5071" s="28" t="e">
        <f>VLOOKUP(E5071,'Cadastro Produtos (kiwkiw)'!C:E,3,0)</f>
        <v>#N/A</v>
      </c>
    </row>
    <row r="5072" spans="2:9" ht="15" customHeight="1" x14ac:dyDescent="0.4">
      <c r="G5072" s="27">
        <f t="shared" si="90"/>
        <v>0</v>
      </c>
      <c r="H5072" s="28" t="e">
        <f>VLOOKUP(E5072,'Cadastro Produtos (kiwkiw)'!C:E,3,0)</f>
        <v>#N/A</v>
      </c>
    </row>
    <row r="5073" spans="7:8" ht="15" customHeight="1" x14ac:dyDescent="0.4">
      <c r="G5073" s="27">
        <f t="shared" si="90"/>
        <v>0</v>
      </c>
      <c r="H5073" s="28" t="e">
        <f>VLOOKUP(E5073,'Cadastro Produtos (kiwkiw)'!C:E,3,0)</f>
        <v>#N/A</v>
      </c>
    </row>
    <row r="5074" spans="7:8" ht="15" customHeight="1" x14ac:dyDescent="0.4">
      <c r="G5074" s="27">
        <f t="shared" ref="G5074:G5137" si="91">IF(C5074="Entrada",F5074,-F5074)</f>
        <v>0</v>
      </c>
      <c r="H5074" s="28" t="e">
        <f>VLOOKUP(E5074,'Cadastro Produtos (kiwkiw)'!C:E,3,0)</f>
        <v>#N/A</v>
      </c>
    </row>
    <row r="5075" spans="7:8" ht="15" customHeight="1" x14ac:dyDescent="0.4">
      <c r="G5075" s="27">
        <f t="shared" si="91"/>
        <v>0</v>
      </c>
      <c r="H5075" s="28" t="e">
        <f>VLOOKUP(E5075,'Cadastro Produtos (kiwkiw)'!C:E,3,0)</f>
        <v>#N/A</v>
      </c>
    </row>
    <row r="5076" spans="7:8" ht="15" customHeight="1" x14ac:dyDescent="0.4">
      <c r="G5076" s="27">
        <f t="shared" si="91"/>
        <v>0</v>
      </c>
      <c r="H5076" s="28" t="e">
        <f>VLOOKUP(E5076,'Cadastro Produtos (kiwkiw)'!C:E,3,0)</f>
        <v>#N/A</v>
      </c>
    </row>
    <row r="5077" spans="7:8" ht="15" customHeight="1" x14ac:dyDescent="0.4">
      <c r="G5077" s="27">
        <f t="shared" si="91"/>
        <v>0</v>
      </c>
      <c r="H5077" s="28" t="e">
        <f>VLOOKUP(E5077,'Cadastro Produtos (kiwkiw)'!C:E,3,0)</f>
        <v>#N/A</v>
      </c>
    </row>
    <row r="5078" spans="7:8" ht="15" customHeight="1" x14ac:dyDescent="0.4">
      <c r="G5078" s="27">
        <f t="shared" si="91"/>
        <v>0</v>
      </c>
      <c r="H5078" s="28" t="e">
        <f>VLOOKUP(E5078,'Cadastro Produtos (kiwkiw)'!C:E,3,0)</f>
        <v>#N/A</v>
      </c>
    </row>
    <row r="5079" spans="7:8" ht="15" customHeight="1" x14ac:dyDescent="0.4">
      <c r="G5079" s="27">
        <f t="shared" si="91"/>
        <v>0</v>
      </c>
      <c r="H5079" s="28" t="e">
        <f>VLOOKUP(E5079,'Cadastro Produtos (kiwkiw)'!C:E,3,0)</f>
        <v>#N/A</v>
      </c>
    </row>
    <row r="5080" spans="7:8" ht="15" customHeight="1" x14ac:dyDescent="0.4">
      <c r="G5080" s="27">
        <f t="shared" si="91"/>
        <v>0</v>
      </c>
      <c r="H5080" s="28" t="e">
        <f>VLOOKUP(E5080,'Cadastro Produtos (kiwkiw)'!C:E,3,0)</f>
        <v>#N/A</v>
      </c>
    </row>
    <row r="5081" spans="7:8" ht="15" customHeight="1" x14ac:dyDescent="0.4">
      <c r="G5081" s="27">
        <f t="shared" si="91"/>
        <v>0</v>
      </c>
      <c r="H5081" s="28" t="e">
        <f>VLOOKUP(E5081,'Cadastro Produtos (kiwkiw)'!C:E,3,0)</f>
        <v>#N/A</v>
      </c>
    </row>
    <row r="5082" spans="7:8" ht="15" customHeight="1" x14ac:dyDescent="0.4">
      <c r="G5082" s="27">
        <f t="shared" si="91"/>
        <v>0</v>
      </c>
      <c r="H5082" s="28" t="e">
        <f>VLOOKUP(E5082,'Cadastro Produtos (kiwkiw)'!C:E,3,0)</f>
        <v>#N/A</v>
      </c>
    </row>
    <row r="5083" spans="7:8" ht="15" customHeight="1" x14ac:dyDescent="0.4">
      <c r="G5083" s="27">
        <f t="shared" si="91"/>
        <v>0</v>
      </c>
      <c r="H5083" s="28" t="e">
        <f>VLOOKUP(E5083,'Cadastro Produtos (kiwkiw)'!C:E,3,0)</f>
        <v>#N/A</v>
      </c>
    </row>
    <row r="5084" spans="7:8" ht="15" customHeight="1" x14ac:dyDescent="0.4">
      <c r="G5084" s="27">
        <f t="shared" si="91"/>
        <v>0</v>
      </c>
      <c r="H5084" s="28" t="e">
        <f>VLOOKUP(E5084,'Cadastro Produtos (kiwkiw)'!C:E,3,0)</f>
        <v>#N/A</v>
      </c>
    </row>
    <row r="5085" spans="7:8" ht="15" customHeight="1" x14ac:dyDescent="0.4">
      <c r="G5085" s="27">
        <f t="shared" si="91"/>
        <v>0</v>
      </c>
      <c r="H5085" s="28" t="e">
        <f>VLOOKUP(E5085,'Cadastro Produtos (kiwkiw)'!C:E,3,0)</f>
        <v>#N/A</v>
      </c>
    </row>
    <row r="5086" spans="7:8" ht="15" customHeight="1" x14ac:dyDescent="0.4">
      <c r="G5086" s="27">
        <f t="shared" si="91"/>
        <v>0</v>
      </c>
      <c r="H5086" s="28" t="e">
        <f>VLOOKUP(E5086,'Cadastro Produtos (kiwkiw)'!C:E,3,0)</f>
        <v>#N/A</v>
      </c>
    </row>
    <row r="5087" spans="7:8" ht="15" customHeight="1" x14ac:dyDescent="0.4">
      <c r="G5087" s="27">
        <f t="shared" si="91"/>
        <v>0</v>
      </c>
      <c r="H5087" s="28" t="e">
        <f>VLOOKUP(E5087,'Cadastro Produtos (kiwkiw)'!C:E,3,0)</f>
        <v>#N/A</v>
      </c>
    </row>
    <row r="5088" spans="7:8" ht="15" customHeight="1" x14ac:dyDescent="0.4">
      <c r="G5088" s="27">
        <f t="shared" si="91"/>
        <v>0</v>
      </c>
      <c r="H5088" s="28" t="e">
        <f>VLOOKUP(E5088,'Cadastro Produtos (kiwkiw)'!C:E,3,0)</f>
        <v>#N/A</v>
      </c>
    </row>
    <row r="5089" spans="7:8" ht="15" customHeight="1" x14ac:dyDescent="0.4">
      <c r="G5089" s="27">
        <f t="shared" si="91"/>
        <v>0</v>
      </c>
      <c r="H5089" s="28" t="e">
        <f>VLOOKUP(E5089,'Cadastro Produtos (kiwkiw)'!C:E,3,0)</f>
        <v>#N/A</v>
      </c>
    </row>
    <row r="5090" spans="7:8" ht="15" customHeight="1" x14ac:dyDescent="0.4">
      <c r="G5090" s="27">
        <f t="shared" si="91"/>
        <v>0</v>
      </c>
      <c r="H5090" s="28" t="e">
        <f>VLOOKUP(E5090,'Cadastro Produtos (kiwkiw)'!C:E,3,0)</f>
        <v>#N/A</v>
      </c>
    </row>
    <row r="5091" spans="7:8" ht="15" customHeight="1" x14ac:dyDescent="0.4">
      <c r="G5091" s="27">
        <f t="shared" si="91"/>
        <v>0</v>
      </c>
      <c r="H5091" s="28" t="e">
        <f>VLOOKUP(E5091,'Cadastro Produtos (kiwkiw)'!C:E,3,0)</f>
        <v>#N/A</v>
      </c>
    </row>
    <row r="5092" spans="7:8" ht="15" customHeight="1" x14ac:dyDescent="0.4">
      <c r="G5092" s="27">
        <f t="shared" si="91"/>
        <v>0</v>
      </c>
      <c r="H5092" s="28" t="e">
        <f>VLOOKUP(E5092,'Cadastro Produtos (kiwkiw)'!C:E,3,0)</f>
        <v>#N/A</v>
      </c>
    </row>
    <row r="5093" spans="7:8" ht="15" customHeight="1" x14ac:dyDescent="0.4">
      <c r="G5093" s="27">
        <f t="shared" si="91"/>
        <v>0</v>
      </c>
      <c r="H5093" s="28" t="e">
        <f>VLOOKUP(E5093,'Cadastro Produtos (kiwkiw)'!C:E,3,0)</f>
        <v>#N/A</v>
      </c>
    </row>
    <row r="5094" spans="7:8" ht="15" customHeight="1" x14ac:dyDescent="0.4">
      <c r="G5094" s="27">
        <f t="shared" si="91"/>
        <v>0</v>
      </c>
      <c r="H5094" s="28" t="e">
        <f>VLOOKUP(E5094,'Cadastro Produtos (kiwkiw)'!C:E,3,0)</f>
        <v>#N/A</v>
      </c>
    </row>
    <row r="5095" spans="7:8" ht="15" customHeight="1" x14ac:dyDescent="0.4">
      <c r="G5095" s="27">
        <f t="shared" si="91"/>
        <v>0</v>
      </c>
      <c r="H5095" s="28" t="e">
        <f>VLOOKUP(E5095,'Cadastro Produtos (kiwkiw)'!C:E,3,0)</f>
        <v>#N/A</v>
      </c>
    </row>
    <row r="5096" spans="7:8" ht="15" customHeight="1" x14ac:dyDescent="0.4">
      <c r="G5096" s="27">
        <f t="shared" si="91"/>
        <v>0</v>
      </c>
      <c r="H5096" s="28" t="e">
        <f>VLOOKUP(E5096,'Cadastro Produtos (kiwkiw)'!C:E,3,0)</f>
        <v>#N/A</v>
      </c>
    </row>
    <row r="5097" spans="7:8" ht="15" customHeight="1" x14ac:dyDescent="0.4">
      <c r="G5097" s="27">
        <f t="shared" si="91"/>
        <v>0</v>
      </c>
      <c r="H5097" s="28" t="e">
        <f>VLOOKUP(E5097,'Cadastro Produtos (kiwkiw)'!C:E,3,0)</f>
        <v>#N/A</v>
      </c>
    </row>
    <row r="5098" spans="7:8" ht="15" customHeight="1" x14ac:dyDescent="0.4">
      <c r="G5098" s="27">
        <f t="shared" si="91"/>
        <v>0</v>
      </c>
      <c r="H5098" s="28" t="e">
        <f>VLOOKUP(E5098,'Cadastro Produtos (kiwkiw)'!C:E,3,0)</f>
        <v>#N/A</v>
      </c>
    </row>
    <row r="5099" spans="7:8" ht="15" customHeight="1" x14ac:dyDescent="0.4">
      <c r="G5099" s="27">
        <f t="shared" si="91"/>
        <v>0</v>
      </c>
      <c r="H5099" s="28" t="e">
        <f>VLOOKUP(E5099,'Cadastro Produtos (kiwkiw)'!C:E,3,0)</f>
        <v>#N/A</v>
      </c>
    </row>
    <row r="5100" spans="7:8" ht="15" customHeight="1" x14ac:dyDescent="0.4">
      <c r="G5100" s="27">
        <f t="shared" si="91"/>
        <v>0</v>
      </c>
      <c r="H5100" s="28" t="e">
        <f>VLOOKUP(E5100,'Cadastro Produtos (kiwkiw)'!C:E,3,0)</f>
        <v>#N/A</v>
      </c>
    </row>
    <row r="5101" spans="7:8" ht="15" customHeight="1" x14ac:dyDescent="0.4">
      <c r="G5101" s="27">
        <f t="shared" si="91"/>
        <v>0</v>
      </c>
      <c r="H5101" s="28" t="e">
        <f>VLOOKUP(E5101,'Cadastro Produtos (kiwkiw)'!C:E,3,0)</f>
        <v>#N/A</v>
      </c>
    </row>
    <row r="5102" spans="7:8" ht="15" customHeight="1" x14ac:dyDescent="0.4">
      <c r="G5102" s="27">
        <f t="shared" si="91"/>
        <v>0</v>
      </c>
      <c r="H5102" s="28" t="e">
        <f>VLOOKUP(E5102,'Cadastro Produtos (kiwkiw)'!C:E,3,0)</f>
        <v>#N/A</v>
      </c>
    </row>
    <row r="5103" spans="7:8" ht="15" customHeight="1" x14ac:dyDescent="0.4">
      <c r="G5103" s="27">
        <f t="shared" si="91"/>
        <v>0</v>
      </c>
      <c r="H5103" s="28" t="e">
        <f>VLOOKUP(E5103,'Cadastro Produtos (kiwkiw)'!C:E,3,0)</f>
        <v>#N/A</v>
      </c>
    </row>
    <row r="5104" spans="7:8" ht="15" customHeight="1" x14ac:dyDescent="0.4">
      <c r="G5104" s="27">
        <f t="shared" si="91"/>
        <v>0</v>
      </c>
      <c r="H5104" s="28" t="e">
        <f>VLOOKUP(E5104,'Cadastro Produtos (kiwkiw)'!C:E,3,0)</f>
        <v>#N/A</v>
      </c>
    </row>
    <row r="5105" spans="7:8" ht="15" customHeight="1" x14ac:dyDescent="0.4">
      <c r="G5105" s="27">
        <f t="shared" si="91"/>
        <v>0</v>
      </c>
      <c r="H5105" s="28" t="e">
        <f>VLOOKUP(E5105,'Cadastro Produtos (kiwkiw)'!C:E,3,0)</f>
        <v>#N/A</v>
      </c>
    </row>
    <row r="5106" spans="7:8" ht="15" customHeight="1" x14ac:dyDescent="0.4">
      <c r="G5106" s="27">
        <f t="shared" si="91"/>
        <v>0</v>
      </c>
      <c r="H5106" s="28" t="e">
        <f>VLOOKUP(E5106,'Cadastro Produtos (kiwkiw)'!C:E,3,0)</f>
        <v>#N/A</v>
      </c>
    </row>
    <row r="5107" spans="7:8" ht="15" customHeight="1" x14ac:dyDescent="0.4">
      <c r="G5107" s="27">
        <f t="shared" si="91"/>
        <v>0</v>
      </c>
      <c r="H5107" s="28" t="e">
        <f>VLOOKUP(E5107,'Cadastro Produtos (kiwkiw)'!C:E,3,0)</f>
        <v>#N/A</v>
      </c>
    </row>
    <row r="5108" spans="7:8" ht="15" customHeight="1" x14ac:dyDescent="0.4">
      <c r="G5108" s="27">
        <f t="shared" si="91"/>
        <v>0</v>
      </c>
      <c r="H5108" s="28" t="e">
        <f>VLOOKUP(E5108,'Cadastro Produtos (kiwkiw)'!C:E,3,0)</f>
        <v>#N/A</v>
      </c>
    </row>
    <row r="5109" spans="7:8" ht="15" customHeight="1" x14ac:dyDescent="0.4">
      <c r="G5109" s="27">
        <f t="shared" si="91"/>
        <v>0</v>
      </c>
      <c r="H5109" s="28" t="e">
        <f>VLOOKUP(E5109,'Cadastro Produtos (kiwkiw)'!C:E,3,0)</f>
        <v>#N/A</v>
      </c>
    </row>
    <row r="5110" spans="7:8" ht="15" customHeight="1" x14ac:dyDescent="0.4">
      <c r="G5110" s="27">
        <f t="shared" si="91"/>
        <v>0</v>
      </c>
      <c r="H5110" s="28" t="e">
        <f>VLOOKUP(E5110,'Cadastro Produtos (kiwkiw)'!C:E,3,0)</f>
        <v>#N/A</v>
      </c>
    </row>
    <row r="5111" spans="7:8" ht="15" customHeight="1" x14ac:dyDescent="0.4">
      <c r="G5111" s="27">
        <f t="shared" si="91"/>
        <v>0</v>
      </c>
      <c r="H5111" s="28" t="e">
        <f>VLOOKUP(E5111,'Cadastro Produtos (kiwkiw)'!C:E,3,0)</f>
        <v>#N/A</v>
      </c>
    </row>
    <row r="5112" spans="7:8" ht="15" customHeight="1" x14ac:dyDescent="0.4">
      <c r="G5112" s="27">
        <f t="shared" si="91"/>
        <v>0</v>
      </c>
      <c r="H5112" s="28" t="e">
        <f>VLOOKUP(E5112,'Cadastro Produtos (kiwkiw)'!C:E,3,0)</f>
        <v>#N/A</v>
      </c>
    </row>
    <row r="5113" spans="7:8" ht="15" customHeight="1" x14ac:dyDescent="0.4">
      <c r="G5113" s="27">
        <f t="shared" si="91"/>
        <v>0</v>
      </c>
      <c r="H5113" s="28" t="e">
        <f>VLOOKUP(E5113,'Cadastro Produtos (kiwkiw)'!C:E,3,0)</f>
        <v>#N/A</v>
      </c>
    </row>
    <row r="5114" spans="7:8" ht="15" customHeight="1" x14ac:dyDescent="0.4">
      <c r="G5114" s="27">
        <f t="shared" si="91"/>
        <v>0</v>
      </c>
      <c r="H5114" s="28" t="e">
        <f>VLOOKUP(E5114,'Cadastro Produtos (kiwkiw)'!C:E,3,0)</f>
        <v>#N/A</v>
      </c>
    </row>
    <row r="5115" spans="7:8" ht="15" customHeight="1" x14ac:dyDescent="0.4">
      <c r="G5115" s="27">
        <f t="shared" si="91"/>
        <v>0</v>
      </c>
      <c r="H5115" s="28" t="e">
        <f>VLOOKUP(E5115,'Cadastro Produtos (kiwkiw)'!C:E,3,0)</f>
        <v>#N/A</v>
      </c>
    </row>
    <row r="5116" spans="7:8" ht="15" customHeight="1" x14ac:dyDescent="0.4">
      <c r="G5116" s="27">
        <f t="shared" si="91"/>
        <v>0</v>
      </c>
      <c r="H5116" s="28" t="e">
        <f>VLOOKUP(E5116,'Cadastro Produtos (kiwkiw)'!C:E,3,0)</f>
        <v>#N/A</v>
      </c>
    </row>
    <row r="5117" spans="7:8" ht="15" customHeight="1" x14ac:dyDescent="0.4">
      <c r="G5117" s="27">
        <f t="shared" si="91"/>
        <v>0</v>
      </c>
      <c r="H5117" s="28" t="e">
        <f>VLOOKUP(E5117,'Cadastro Produtos (kiwkiw)'!C:E,3,0)</f>
        <v>#N/A</v>
      </c>
    </row>
    <row r="5118" spans="7:8" ht="15" customHeight="1" x14ac:dyDescent="0.4">
      <c r="G5118" s="27">
        <f t="shared" si="91"/>
        <v>0</v>
      </c>
      <c r="H5118" s="28" t="e">
        <f>VLOOKUP(E5118,'Cadastro Produtos (kiwkiw)'!C:E,3,0)</f>
        <v>#N/A</v>
      </c>
    </row>
    <row r="5119" spans="7:8" ht="15" customHeight="1" x14ac:dyDescent="0.4">
      <c r="G5119" s="27">
        <f t="shared" si="91"/>
        <v>0</v>
      </c>
      <c r="H5119" s="28" t="e">
        <f>VLOOKUP(E5119,'Cadastro Produtos (kiwkiw)'!C:E,3,0)</f>
        <v>#N/A</v>
      </c>
    </row>
    <row r="5120" spans="7:8" ht="15" customHeight="1" x14ac:dyDescent="0.4">
      <c r="G5120" s="27">
        <f t="shared" si="91"/>
        <v>0</v>
      </c>
      <c r="H5120" s="28" t="e">
        <f>VLOOKUP(E5120,'Cadastro Produtos (kiwkiw)'!C:E,3,0)</f>
        <v>#N/A</v>
      </c>
    </row>
    <row r="5121" spans="7:8" ht="15" customHeight="1" x14ac:dyDescent="0.4">
      <c r="G5121" s="27">
        <f t="shared" si="91"/>
        <v>0</v>
      </c>
      <c r="H5121" s="28" t="e">
        <f>VLOOKUP(E5121,'Cadastro Produtos (kiwkiw)'!C:E,3,0)</f>
        <v>#N/A</v>
      </c>
    </row>
    <row r="5122" spans="7:8" ht="15" customHeight="1" x14ac:dyDescent="0.4">
      <c r="G5122" s="27">
        <f t="shared" si="91"/>
        <v>0</v>
      </c>
      <c r="H5122" s="28" t="e">
        <f>VLOOKUP(E5122,'Cadastro Produtos (kiwkiw)'!C:E,3,0)</f>
        <v>#N/A</v>
      </c>
    </row>
    <row r="5123" spans="7:8" ht="15" customHeight="1" x14ac:dyDescent="0.4">
      <c r="G5123" s="27">
        <f t="shared" si="91"/>
        <v>0</v>
      </c>
      <c r="H5123" s="28" t="e">
        <f>VLOOKUP(E5123,'Cadastro Produtos (kiwkiw)'!C:E,3,0)</f>
        <v>#N/A</v>
      </c>
    </row>
    <row r="5124" spans="7:8" ht="15" customHeight="1" x14ac:dyDescent="0.4">
      <c r="G5124" s="27">
        <f t="shared" si="91"/>
        <v>0</v>
      </c>
      <c r="H5124" s="28" t="e">
        <f>VLOOKUP(E5124,'Cadastro Produtos (kiwkiw)'!C:E,3,0)</f>
        <v>#N/A</v>
      </c>
    </row>
    <row r="5125" spans="7:8" ht="15" customHeight="1" x14ac:dyDescent="0.4">
      <c r="G5125" s="27">
        <f t="shared" si="91"/>
        <v>0</v>
      </c>
      <c r="H5125" s="28" t="e">
        <f>VLOOKUP(E5125,'Cadastro Produtos (kiwkiw)'!C:E,3,0)</f>
        <v>#N/A</v>
      </c>
    </row>
    <row r="5126" spans="7:8" ht="15" customHeight="1" x14ac:dyDescent="0.4">
      <c r="G5126" s="27">
        <f t="shared" si="91"/>
        <v>0</v>
      </c>
      <c r="H5126" s="28" t="e">
        <f>VLOOKUP(E5126,'Cadastro Produtos (kiwkiw)'!C:E,3,0)</f>
        <v>#N/A</v>
      </c>
    </row>
    <row r="5127" spans="7:8" ht="15" customHeight="1" x14ac:dyDescent="0.4">
      <c r="G5127" s="27">
        <f t="shared" si="91"/>
        <v>0</v>
      </c>
      <c r="H5127" s="28" t="e">
        <f>VLOOKUP(E5127,'Cadastro Produtos (kiwkiw)'!C:E,3,0)</f>
        <v>#N/A</v>
      </c>
    </row>
    <row r="5128" spans="7:8" ht="15" customHeight="1" x14ac:dyDescent="0.4">
      <c r="G5128" s="27">
        <f t="shared" si="91"/>
        <v>0</v>
      </c>
      <c r="H5128" s="28" t="e">
        <f>VLOOKUP(E5128,'Cadastro Produtos (kiwkiw)'!C:E,3,0)</f>
        <v>#N/A</v>
      </c>
    </row>
    <row r="5129" spans="7:8" ht="15" customHeight="1" x14ac:dyDescent="0.4">
      <c r="G5129" s="27">
        <f t="shared" si="91"/>
        <v>0</v>
      </c>
      <c r="H5129" s="28" t="e">
        <f>VLOOKUP(E5129,'Cadastro Produtos (kiwkiw)'!C:E,3,0)</f>
        <v>#N/A</v>
      </c>
    </row>
    <row r="5130" spans="7:8" ht="15" customHeight="1" x14ac:dyDescent="0.4">
      <c r="G5130" s="27">
        <f t="shared" si="91"/>
        <v>0</v>
      </c>
      <c r="H5130" s="28" t="e">
        <f>VLOOKUP(E5130,'Cadastro Produtos (kiwkiw)'!C:E,3,0)</f>
        <v>#N/A</v>
      </c>
    </row>
    <row r="5131" spans="7:8" ht="15" customHeight="1" x14ac:dyDescent="0.4">
      <c r="G5131" s="27">
        <f t="shared" si="91"/>
        <v>0</v>
      </c>
      <c r="H5131" s="28" t="e">
        <f>VLOOKUP(E5131,'Cadastro Produtos (kiwkiw)'!C:E,3,0)</f>
        <v>#N/A</v>
      </c>
    </row>
    <row r="5132" spans="7:8" ht="15" customHeight="1" x14ac:dyDescent="0.4">
      <c r="G5132" s="27">
        <f t="shared" si="91"/>
        <v>0</v>
      </c>
      <c r="H5132" s="28" t="e">
        <f>VLOOKUP(E5132,'Cadastro Produtos (kiwkiw)'!C:E,3,0)</f>
        <v>#N/A</v>
      </c>
    </row>
    <row r="5133" spans="7:8" ht="15" customHeight="1" x14ac:dyDescent="0.4">
      <c r="G5133" s="27">
        <f t="shared" si="91"/>
        <v>0</v>
      </c>
      <c r="H5133" s="28" t="e">
        <f>VLOOKUP(E5133,'Cadastro Produtos (kiwkiw)'!C:E,3,0)</f>
        <v>#N/A</v>
      </c>
    </row>
    <row r="5134" spans="7:8" ht="15" customHeight="1" x14ac:dyDescent="0.4">
      <c r="G5134" s="27">
        <f t="shared" si="91"/>
        <v>0</v>
      </c>
      <c r="H5134" s="28" t="e">
        <f>VLOOKUP(E5134,'Cadastro Produtos (kiwkiw)'!C:E,3,0)</f>
        <v>#N/A</v>
      </c>
    </row>
    <row r="5135" spans="7:8" ht="15" customHeight="1" x14ac:dyDescent="0.4">
      <c r="G5135" s="27">
        <f t="shared" si="91"/>
        <v>0</v>
      </c>
      <c r="H5135" s="28" t="e">
        <f>VLOOKUP(E5135,'Cadastro Produtos (kiwkiw)'!C:E,3,0)</f>
        <v>#N/A</v>
      </c>
    </row>
    <row r="5136" spans="7:8" ht="15" customHeight="1" x14ac:dyDescent="0.4">
      <c r="G5136" s="27">
        <f t="shared" si="91"/>
        <v>0</v>
      </c>
      <c r="H5136" s="28" t="e">
        <f>VLOOKUP(E5136,'Cadastro Produtos (kiwkiw)'!C:E,3,0)</f>
        <v>#N/A</v>
      </c>
    </row>
    <row r="5137" spans="7:8" ht="15" customHeight="1" x14ac:dyDescent="0.4">
      <c r="G5137" s="27">
        <f t="shared" si="91"/>
        <v>0</v>
      </c>
      <c r="H5137" s="28" t="e">
        <f>VLOOKUP(E5137,'Cadastro Produtos (kiwkiw)'!C:E,3,0)</f>
        <v>#N/A</v>
      </c>
    </row>
    <row r="5138" spans="7:8" ht="15" customHeight="1" x14ac:dyDescent="0.4">
      <c r="G5138" s="27">
        <f t="shared" ref="G5138:G5201" si="92">IF(C5138="Entrada",F5138,-F5138)</f>
        <v>0</v>
      </c>
      <c r="H5138" s="28" t="e">
        <f>VLOOKUP(E5138,'Cadastro Produtos (kiwkiw)'!C:E,3,0)</f>
        <v>#N/A</v>
      </c>
    </row>
    <row r="5139" spans="7:8" ht="15" customHeight="1" x14ac:dyDescent="0.4">
      <c r="G5139" s="27">
        <f t="shared" si="92"/>
        <v>0</v>
      </c>
      <c r="H5139" s="28" t="e">
        <f>VLOOKUP(E5139,'Cadastro Produtos (kiwkiw)'!C:E,3,0)</f>
        <v>#N/A</v>
      </c>
    </row>
    <row r="5140" spans="7:8" ht="15" customHeight="1" x14ac:dyDescent="0.4">
      <c r="G5140" s="27">
        <f t="shared" si="92"/>
        <v>0</v>
      </c>
      <c r="H5140" s="28" t="e">
        <f>VLOOKUP(E5140,'Cadastro Produtos (kiwkiw)'!C:E,3,0)</f>
        <v>#N/A</v>
      </c>
    </row>
    <row r="5141" spans="7:8" ht="15" customHeight="1" x14ac:dyDescent="0.4">
      <c r="G5141" s="27">
        <f t="shared" si="92"/>
        <v>0</v>
      </c>
      <c r="H5141" s="28" t="e">
        <f>VLOOKUP(E5141,'Cadastro Produtos (kiwkiw)'!C:E,3,0)</f>
        <v>#N/A</v>
      </c>
    </row>
    <row r="5142" spans="7:8" ht="15" customHeight="1" x14ac:dyDescent="0.4">
      <c r="G5142" s="27">
        <f t="shared" si="92"/>
        <v>0</v>
      </c>
      <c r="H5142" s="28" t="e">
        <f>VLOOKUP(E5142,'Cadastro Produtos (kiwkiw)'!C:E,3,0)</f>
        <v>#N/A</v>
      </c>
    </row>
    <row r="5143" spans="7:8" ht="15" customHeight="1" x14ac:dyDescent="0.4">
      <c r="G5143" s="27">
        <f t="shared" si="92"/>
        <v>0</v>
      </c>
      <c r="H5143" s="28" t="e">
        <f>VLOOKUP(E5143,'Cadastro Produtos (kiwkiw)'!C:E,3,0)</f>
        <v>#N/A</v>
      </c>
    </row>
    <row r="5144" spans="7:8" ht="15" customHeight="1" x14ac:dyDescent="0.4">
      <c r="G5144" s="27">
        <f t="shared" si="92"/>
        <v>0</v>
      </c>
      <c r="H5144" s="28" t="e">
        <f>VLOOKUP(E5144,'Cadastro Produtos (kiwkiw)'!C:E,3,0)</f>
        <v>#N/A</v>
      </c>
    </row>
    <row r="5145" spans="7:8" ht="15" customHeight="1" x14ac:dyDescent="0.4">
      <c r="G5145" s="27">
        <f t="shared" si="92"/>
        <v>0</v>
      </c>
      <c r="H5145" s="28" t="e">
        <f>VLOOKUP(E5145,'Cadastro Produtos (kiwkiw)'!C:E,3,0)</f>
        <v>#N/A</v>
      </c>
    </row>
    <row r="5146" spans="7:8" ht="15" customHeight="1" x14ac:dyDescent="0.4">
      <c r="G5146" s="27">
        <f t="shared" si="92"/>
        <v>0</v>
      </c>
      <c r="H5146" s="28" t="e">
        <f>VLOOKUP(E5146,'Cadastro Produtos (kiwkiw)'!C:E,3,0)</f>
        <v>#N/A</v>
      </c>
    </row>
    <row r="5147" spans="7:8" ht="15" customHeight="1" x14ac:dyDescent="0.4">
      <c r="G5147" s="27">
        <f t="shared" si="92"/>
        <v>0</v>
      </c>
      <c r="H5147" s="28" t="e">
        <f>VLOOKUP(E5147,'Cadastro Produtos (kiwkiw)'!C:E,3,0)</f>
        <v>#N/A</v>
      </c>
    </row>
    <row r="5148" spans="7:8" ht="15" customHeight="1" x14ac:dyDescent="0.4">
      <c r="G5148" s="27">
        <f t="shared" si="92"/>
        <v>0</v>
      </c>
      <c r="H5148" s="28" t="e">
        <f>VLOOKUP(E5148,'Cadastro Produtos (kiwkiw)'!C:E,3,0)</f>
        <v>#N/A</v>
      </c>
    </row>
    <row r="5149" spans="7:8" ht="15" customHeight="1" x14ac:dyDescent="0.4">
      <c r="G5149" s="27">
        <f t="shared" si="92"/>
        <v>0</v>
      </c>
      <c r="H5149" s="28" t="e">
        <f>VLOOKUP(E5149,'Cadastro Produtos (kiwkiw)'!C:E,3,0)</f>
        <v>#N/A</v>
      </c>
    </row>
    <row r="5150" spans="7:8" ht="15" customHeight="1" x14ac:dyDescent="0.4">
      <c r="G5150" s="27">
        <f t="shared" si="92"/>
        <v>0</v>
      </c>
      <c r="H5150" s="28" t="e">
        <f>VLOOKUP(E5150,'Cadastro Produtos (kiwkiw)'!C:E,3,0)</f>
        <v>#N/A</v>
      </c>
    </row>
    <row r="5151" spans="7:8" ht="15" customHeight="1" x14ac:dyDescent="0.4">
      <c r="G5151" s="27">
        <f t="shared" si="92"/>
        <v>0</v>
      </c>
      <c r="H5151" s="28" t="e">
        <f>VLOOKUP(E5151,'Cadastro Produtos (kiwkiw)'!C:E,3,0)</f>
        <v>#N/A</v>
      </c>
    </row>
    <row r="5152" spans="7:8" ht="15" customHeight="1" x14ac:dyDescent="0.4">
      <c r="G5152" s="27">
        <f t="shared" si="92"/>
        <v>0</v>
      </c>
      <c r="H5152" s="28" t="e">
        <f>VLOOKUP(E5152,'Cadastro Produtos (kiwkiw)'!C:E,3,0)</f>
        <v>#N/A</v>
      </c>
    </row>
    <row r="5153" spans="7:8" ht="15" customHeight="1" x14ac:dyDescent="0.4">
      <c r="G5153" s="27">
        <f t="shared" si="92"/>
        <v>0</v>
      </c>
      <c r="H5153" s="28" t="e">
        <f>VLOOKUP(E5153,'Cadastro Produtos (kiwkiw)'!C:E,3,0)</f>
        <v>#N/A</v>
      </c>
    </row>
    <row r="5154" spans="7:8" ht="15" customHeight="1" x14ac:dyDescent="0.4">
      <c r="G5154" s="27">
        <f t="shared" si="92"/>
        <v>0</v>
      </c>
      <c r="H5154" s="28" t="e">
        <f>VLOOKUP(E5154,'Cadastro Produtos (kiwkiw)'!C:E,3,0)</f>
        <v>#N/A</v>
      </c>
    </row>
    <row r="5155" spans="7:8" ht="15" customHeight="1" x14ac:dyDescent="0.4">
      <c r="G5155" s="27">
        <f t="shared" si="92"/>
        <v>0</v>
      </c>
      <c r="H5155" s="28" t="e">
        <f>VLOOKUP(E5155,'Cadastro Produtos (kiwkiw)'!C:E,3,0)</f>
        <v>#N/A</v>
      </c>
    </row>
    <row r="5156" spans="7:8" ht="15" customHeight="1" x14ac:dyDescent="0.4">
      <c r="G5156" s="27">
        <f t="shared" si="92"/>
        <v>0</v>
      </c>
      <c r="H5156" s="28" t="e">
        <f>VLOOKUP(E5156,'Cadastro Produtos (kiwkiw)'!C:E,3,0)</f>
        <v>#N/A</v>
      </c>
    </row>
    <row r="5157" spans="7:8" ht="15" customHeight="1" x14ac:dyDescent="0.4">
      <c r="G5157" s="27">
        <f t="shared" si="92"/>
        <v>0</v>
      </c>
      <c r="H5157" s="28" t="e">
        <f>VLOOKUP(E5157,'Cadastro Produtos (kiwkiw)'!C:E,3,0)</f>
        <v>#N/A</v>
      </c>
    </row>
    <row r="5158" spans="7:8" ht="15" customHeight="1" x14ac:dyDescent="0.4">
      <c r="G5158" s="27">
        <f t="shared" si="92"/>
        <v>0</v>
      </c>
      <c r="H5158" s="28" t="e">
        <f>VLOOKUP(E5158,'Cadastro Produtos (kiwkiw)'!C:E,3,0)</f>
        <v>#N/A</v>
      </c>
    </row>
    <row r="5159" spans="7:8" ht="15" customHeight="1" x14ac:dyDescent="0.4">
      <c r="G5159" s="27">
        <f t="shared" si="92"/>
        <v>0</v>
      </c>
      <c r="H5159" s="28" t="e">
        <f>VLOOKUP(E5159,'Cadastro Produtos (kiwkiw)'!C:E,3,0)</f>
        <v>#N/A</v>
      </c>
    </row>
    <row r="5160" spans="7:8" ht="15" customHeight="1" x14ac:dyDescent="0.4">
      <c r="G5160" s="27">
        <f t="shared" si="92"/>
        <v>0</v>
      </c>
      <c r="H5160" s="28" t="e">
        <f>VLOOKUP(E5160,'Cadastro Produtos (kiwkiw)'!C:E,3,0)</f>
        <v>#N/A</v>
      </c>
    </row>
    <row r="5161" spans="7:8" ht="15" customHeight="1" x14ac:dyDescent="0.4">
      <c r="G5161" s="27">
        <f t="shared" si="92"/>
        <v>0</v>
      </c>
      <c r="H5161" s="28" t="e">
        <f>VLOOKUP(E5161,'Cadastro Produtos (kiwkiw)'!C:E,3,0)</f>
        <v>#N/A</v>
      </c>
    </row>
    <row r="5162" spans="7:8" ht="15" customHeight="1" x14ac:dyDescent="0.4">
      <c r="G5162" s="27">
        <f t="shared" si="92"/>
        <v>0</v>
      </c>
      <c r="H5162" s="28" t="e">
        <f>VLOOKUP(E5162,'Cadastro Produtos (kiwkiw)'!C:E,3,0)</f>
        <v>#N/A</v>
      </c>
    </row>
    <row r="5163" spans="7:8" ht="15" customHeight="1" x14ac:dyDescent="0.4">
      <c r="G5163" s="27">
        <f t="shared" si="92"/>
        <v>0</v>
      </c>
      <c r="H5163" s="28" t="e">
        <f>VLOOKUP(E5163,'Cadastro Produtos (kiwkiw)'!C:E,3,0)</f>
        <v>#N/A</v>
      </c>
    </row>
    <row r="5164" spans="7:8" ht="15" customHeight="1" x14ac:dyDescent="0.4">
      <c r="G5164" s="27">
        <f t="shared" si="92"/>
        <v>0</v>
      </c>
      <c r="H5164" s="28" t="e">
        <f>VLOOKUP(E5164,'Cadastro Produtos (kiwkiw)'!C:E,3,0)</f>
        <v>#N/A</v>
      </c>
    </row>
    <row r="5165" spans="7:8" ht="15" customHeight="1" x14ac:dyDescent="0.4">
      <c r="G5165" s="27">
        <f t="shared" si="92"/>
        <v>0</v>
      </c>
      <c r="H5165" s="28" t="e">
        <f>VLOOKUP(E5165,'Cadastro Produtos (kiwkiw)'!C:E,3,0)</f>
        <v>#N/A</v>
      </c>
    </row>
    <row r="5166" spans="7:8" ht="15" customHeight="1" x14ac:dyDescent="0.4">
      <c r="G5166" s="27">
        <f t="shared" si="92"/>
        <v>0</v>
      </c>
      <c r="H5166" s="28" t="e">
        <f>VLOOKUP(E5166,'Cadastro Produtos (kiwkiw)'!C:E,3,0)</f>
        <v>#N/A</v>
      </c>
    </row>
    <row r="5167" spans="7:8" ht="15" customHeight="1" x14ac:dyDescent="0.4">
      <c r="G5167" s="27">
        <f t="shared" si="92"/>
        <v>0</v>
      </c>
      <c r="H5167" s="28" t="e">
        <f>VLOOKUP(E5167,'Cadastro Produtos (kiwkiw)'!C:E,3,0)</f>
        <v>#N/A</v>
      </c>
    </row>
    <row r="5168" spans="7:8" ht="15" customHeight="1" x14ac:dyDescent="0.4">
      <c r="G5168" s="27">
        <f t="shared" si="92"/>
        <v>0</v>
      </c>
      <c r="H5168" s="28" t="e">
        <f>VLOOKUP(E5168,'Cadastro Produtos (kiwkiw)'!C:E,3,0)</f>
        <v>#N/A</v>
      </c>
    </row>
    <row r="5169" spans="2:8" ht="15" customHeight="1" x14ac:dyDescent="0.4">
      <c r="G5169" s="27">
        <f t="shared" si="92"/>
        <v>0</v>
      </c>
      <c r="H5169" s="28" t="e">
        <f>VLOOKUP(E5169,'Cadastro Produtos (kiwkiw)'!C:E,3,0)</f>
        <v>#N/A</v>
      </c>
    </row>
    <row r="5170" spans="2:8" ht="15" customHeight="1" x14ac:dyDescent="0.4">
      <c r="G5170" s="27">
        <f t="shared" si="92"/>
        <v>0</v>
      </c>
      <c r="H5170" s="28" t="e">
        <f>VLOOKUP(E5170,'Cadastro Produtos (kiwkiw)'!C:E,3,0)</f>
        <v>#N/A</v>
      </c>
    </row>
    <row r="5171" spans="2:8" ht="15" customHeight="1" x14ac:dyDescent="0.4">
      <c r="G5171" s="27">
        <f t="shared" si="92"/>
        <v>0</v>
      </c>
      <c r="H5171" s="28" t="e">
        <f>VLOOKUP(E5171,'Cadastro Produtos (kiwkiw)'!C:E,3,0)</f>
        <v>#N/A</v>
      </c>
    </row>
    <row r="5172" spans="2:8" ht="15" customHeight="1" x14ac:dyDescent="0.4">
      <c r="G5172" s="27">
        <f t="shared" si="92"/>
        <v>0</v>
      </c>
      <c r="H5172" s="28" t="e">
        <f>VLOOKUP(E5172,'Cadastro Produtos (kiwkiw)'!C:E,3,0)</f>
        <v>#N/A</v>
      </c>
    </row>
    <row r="5173" spans="2:8" ht="15" customHeight="1" x14ac:dyDescent="0.4">
      <c r="G5173" s="27">
        <f t="shared" si="92"/>
        <v>0</v>
      </c>
      <c r="H5173" s="28" t="e">
        <f>VLOOKUP(E5173,'Cadastro Produtos (kiwkiw)'!C:E,3,0)</f>
        <v>#N/A</v>
      </c>
    </row>
    <row r="5174" spans="2:8" ht="15" customHeight="1" x14ac:dyDescent="0.4">
      <c r="G5174" s="27">
        <f t="shared" si="92"/>
        <v>0</v>
      </c>
      <c r="H5174" s="28" t="e">
        <f>VLOOKUP(E5174,'Cadastro Produtos (kiwkiw)'!C:E,3,0)</f>
        <v>#N/A</v>
      </c>
    </row>
    <row r="5175" spans="2:8" ht="15" customHeight="1" x14ac:dyDescent="0.4">
      <c r="G5175" s="27">
        <f t="shared" si="92"/>
        <v>0</v>
      </c>
      <c r="H5175" s="28" t="e">
        <f>VLOOKUP(E5175,'Cadastro Produtos (kiwkiw)'!C:E,3,0)</f>
        <v>#N/A</v>
      </c>
    </row>
    <row r="5176" spans="2:8" ht="15" customHeight="1" x14ac:dyDescent="0.4">
      <c r="B5176" s="43"/>
      <c r="G5176" s="27">
        <f t="shared" si="92"/>
        <v>0</v>
      </c>
      <c r="H5176" s="28" t="e">
        <f>VLOOKUP(E5176,'Cadastro Produtos (kiwkiw)'!C:E,3,0)</f>
        <v>#N/A</v>
      </c>
    </row>
    <row r="5177" spans="2:8" ht="15" customHeight="1" x14ac:dyDescent="0.4">
      <c r="G5177" s="27">
        <f t="shared" si="92"/>
        <v>0</v>
      </c>
      <c r="H5177" s="28" t="e">
        <f>VLOOKUP(E5177,'Cadastro Produtos (kiwkiw)'!C:E,3,0)</f>
        <v>#N/A</v>
      </c>
    </row>
    <row r="5178" spans="2:8" ht="15" customHeight="1" x14ac:dyDescent="0.4">
      <c r="G5178" s="27">
        <f t="shared" si="92"/>
        <v>0</v>
      </c>
      <c r="H5178" s="28" t="e">
        <f>VLOOKUP(E5178,'Cadastro Produtos (kiwkiw)'!C:E,3,0)</f>
        <v>#N/A</v>
      </c>
    </row>
    <row r="5179" spans="2:8" ht="15" customHeight="1" x14ac:dyDescent="0.4">
      <c r="G5179" s="27">
        <f t="shared" si="92"/>
        <v>0</v>
      </c>
      <c r="H5179" s="28" t="e">
        <f>VLOOKUP(E5179,'Cadastro Produtos (kiwkiw)'!C:E,3,0)</f>
        <v>#N/A</v>
      </c>
    </row>
    <row r="5180" spans="2:8" ht="15" customHeight="1" x14ac:dyDescent="0.4">
      <c r="G5180" s="27">
        <f t="shared" si="92"/>
        <v>0</v>
      </c>
      <c r="H5180" s="28" t="e">
        <f>VLOOKUP(E5180,'Cadastro Produtos (kiwkiw)'!C:E,3,0)</f>
        <v>#N/A</v>
      </c>
    </row>
    <row r="5181" spans="2:8" ht="15" customHeight="1" x14ac:dyDescent="0.4">
      <c r="G5181" s="27">
        <f t="shared" si="92"/>
        <v>0</v>
      </c>
      <c r="H5181" s="28" t="e">
        <f>VLOOKUP(E5181,'Cadastro Produtos (kiwkiw)'!C:E,3,0)</f>
        <v>#N/A</v>
      </c>
    </row>
    <row r="5182" spans="2:8" ht="15" customHeight="1" x14ac:dyDescent="0.4">
      <c r="G5182" s="27">
        <f t="shared" si="92"/>
        <v>0</v>
      </c>
      <c r="H5182" s="28" t="e">
        <f>VLOOKUP(E5182,'Cadastro Produtos (kiwkiw)'!C:E,3,0)</f>
        <v>#N/A</v>
      </c>
    </row>
    <row r="5183" spans="2:8" ht="15" customHeight="1" x14ac:dyDescent="0.4">
      <c r="G5183" s="27">
        <f t="shared" si="92"/>
        <v>0</v>
      </c>
      <c r="H5183" s="28" t="e">
        <f>VLOOKUP(E5183,'Cadastro Produtos (kiwkiw)'!C:E,3,0)</f>
        <v>#N/A</v>
      </c>
    </row>
    <row r="5184" spans="2:8" ht="15" customHeight="1" x14ac:dyDescent="0.4">
      <c r="G5184" s="27">
        <f t="shared" si="92"/>
        <v>0</v>
      </c>
      <c r="H5184" s="28" t="e">
        <f>VLOOKUP(E5184,'Cadastro Produtos (kiwkiw)'!C:E,3,0)</f>
        <v>#N/A</v>
      </c>
    </row>
    <row r="5185" spans="7:8" ht="15" customHeight="1" x14ac:dyDescent="0.4">
      <c r="G5185" s="27">
        <f t="shared" si="92"/>
        <v>0</v>
      </c>
      <c r="H5185" s="28" t="e">
        <f>VLOOKUP(E5185,'Cadastro Produtos (kiwkiw)'!C:E,3,0)</f>
        <v>#N/A</v>
      </c>
    </row>
    <row r="5186" spans="7:8" ht="15" customHeight="1" x14ac:dyDescent="0.4">
      <c r="G5186" s="27">
        <f t="shared" si="92"/>
        <v>0</v>
      </c>
      <c r="H5186" s="28" t="e">
        <f>VLOOKUP(E5186,'Cadastro Produtos (kiwkiw)'!C:E,3,0)</f>
        <v>#N/A</v>
      </c>
    </row>
    <row r="5187" spans="7:8" ht="15" customHeight="1" x14ac:dyDescent="0.4">
      <c r="G5187" s="27">
        <f t="shared" si="92"/>
        <v>0</v>
      </c>
      <c r="H5187" s="28" t="e">
        <f>VLOOKUP(E5187,'Cadastro Produtos (kiwkiw)'!C:E,3,0)</f>
        <v>#N/A</v>
      </c>
    </row>
    <row r="5188" spans="7:8" ht="15" customHeight="1" x14ac:dyDescent="0.4">
      <c r="G5188" s="27">
        <f t="shared" si="92"/>
        <v>0</v>
      </c>
      <c r="H5188" s="28" t="e">
        <f>VLOOKUP(E5188,'Cadastro Produtos (kiwkiw)'!C:E,3,0)</f>
        <v>#N/A</v>
      </c>
    </row>
    <row r="5189" spans="7:8" ht="15" customHeight="1" x14ac:dyDescent="0.4">
      <c r="G5189" s="27">
        <f t="shared" si="92"/>
        <v>0</v>
      </c>
      <c r="H5189" s="28" t="e">
        <f>VLOOKUP(E5189,'Cadastro Produtos (kiwkiw)'!C:E,3,0)</f>
        <v>#N/A</v>
      </c>
    </row>
    <row r="5190" spans="7:8" ht="15" customHeight="1" x14ac:dyDescent="0.4">
      <c r="G5190" s="27">
        <f t="shared" si="92"/>
        <v>0</v>
      </c>
      <c r="H5190" s="28" t="e">
        <f>VLOOKUP(E5190,'Cadastro Produtos (kiwkiw)'!C:E,3,0)</f>
        <v>#N/A</v>
      </c>
    </row>
    <row r="5191" spans="7:8" ht="15" customHeight="1" x14ac:dyDescent="0.4">
      <c r="G5191" s="27">
        <f t="shared" si="92"/>
        <v>0</v>
      </c>
      <c r="H5191" s="28" t="e">
        <f>VLOOKUP(E5191,'Cadastro Produtos (kiwkiw)'!C:E,3,0)</f>
        <v>#N/A</v>
      </c>
    </row>
    <row r="5192" spans="7:8" ht="15" customHeight="1" x14ac:dyDescent="0.4">
      <c r="G5192" s="27">
        <f t="shared" si="92"/>
        <v>0</v>
      </c>
      <c r="H5192" s="28" t="e">
        <f>VLOOKUP(E5192,'Cadastro Produtos (kiwkiw)'!C:E,3,0)</f>
        <v>#N/A</v>
      </c>
    </row>
    <row r="5193" spans="7:8" ht="15" customHeight="1" x14ac:dyDescent="0.4">
      <c r="G5193" s="27">
        <f t="shared" si="92"/>
        <v>0</v>
      </c>
      <c r="H5193" s="28" t="e">
        <f>VLOOKUP(E5193,'Cadastro Produtos (kiwkiw)'!C:E,3,0)</f>
        <v>#N/A</v>
      </c>
    </row>
    <row r="5194" spans="7:8" ht="15" customHeight="1" x14ac:dyDescent="0.4">
      <c r="G5194" s="27">
        <f t="shared" si="92"/>
        <v>0</v>
      </c>
      <c r="H5194" s="28" t="e">
        <f>VLOOKUP(E5194,'Cadastro Produtos (kiwkiw)'!C:E,3,0)</f>
        <v>#N/A</v>
      </c>
    </row>
    <row r="5195" spans="7:8" ht="15" customHeight="1" x14ac:dyDescent="0.4">
      <c r="G5195" s="27">
        <f t="shared" si="92"/>
        <v>0</v>
      </c>
      <c r="H5195" s="28" t="e">
        <f>VLOOKUP(E5195,'Cadastro Produtos (kiwkiw)'!C:E,3,0)</f>
        <v>#N/A</v>
      </c>
    </row>
    <row r="5196" spans="7:8" ht="15" customHeight="1" x14ac:dyDescent="0.4">
      <c r="G5196" s="27">
        <f t="shared" si="92"/>
        <v>0</v>
      </c>
      <c r="H5196" s="28" t="e">
        <f>VLOOKUP(E5196,'Cadastro Produtos (kiwkiw)'!C:E,3,0)</f>
        <v>#N/A</v>
      </c>
    </row>
    <row r="5197" spans="7:8" ht="15" customHeight="1" x14ac:dyDescent="0.4">
      <c r="G5197" s="27">
        <f t="shared" si="92"/>
        <v>0</v>
      </c>
      <c r="H5197" s="28" t="e">
        <f>VLOOKUP(E5197,'Cadastro Produtos (kiwkiw)'!C:E,3,0)</f>
        <v>#N/A</v>
      </c>
    </row>
    <row r="5198" spans="7:8" ht="15" customHeight="1" x14ac:dyDescent="0.4">
      <c r="G5198" s="27">
        <f t="shared" si="92"/>
        <v>0</v>
      </c>
      <c r="H5198" s="28" t="e">
        <f>VLOOKUP(E5198,'Cadastro Produtos (kiwkiw)'!C:E,3,0)</f>
        <v>#N/A</v>
      </c>
    </row>
    <row r="5199" spans="7:8" ht="15" customHeight="1" x14ac:dyDescent="0.4">
      <c r="G5199" s="27">
        <f t="shared" si="92"/>
        <v>0</v>
      </c>
      <c r="H5199" s="28" t="e">
        <f>VLOOKUP(E5199,'Cadastro Produtos (kiwkiw)'!C:E,3,0)</f>
        <v>#N/A</v>
      </c>
    </row>
    <row r="5200" spans="7:8" ht="15" customHeight="1" x14ac:dyDescent="0.4">
      <c r="G5200" s="27">
        <f t="shared" si="92"/>
        <v>0</v>
      </c>
      <c r="H5200" s="28" t="e">
        <f>VLOOKUP(E5200,'Cadastro Produtos (kiwkiw)'!C:E,3,0)</f>
        <v>#N/A</v>
      </c>
    </row>
    <row r="5201" spans="7:8" ht="15" customHeight="1" x14ac:dyDescent="0.4">
      <c r="G5201" s="27">
        <f t="shared" si="92"/>
        <v>0</v>
      </c>
      <c r="H5201" s="28" t="e">
        <f>VLOOKUP(E5201,'Cadastro Produtos (kiwkiw)'!C:E,3,0)</f>
        <v>#N/A</v>
      </c>
    </row>
    <row r="5202" spans="7:8" ht="15" customHeight="1" x14ac:dyDescent="0.4">
      <c r="G5202" s="27">
        <f t="shared" ref="G5202:G5265" si="93">IF(C5202="Entrada",F5202,-F5202)</f>
        <v>0</v>
      </c>
      <c r="H5202" s="28" t="e">
        <f>VLOOKUP(E5202,'Cadastro Produtos (kiwkiw)'!C:E,3,0)</f>
        <v>#N/A</v>
      </c>
    </row>
    <row r="5203" spans="7:8" ht="15" customHeight="1" x14ac:dyDescent="0.4">
      <c r="G5203" s="27">
        <f t="shared" si="93"/>
        <v>0</v>
      </c>
      <c r="H5203" s="28" t="e">
        <f>VLOOKUP(E5203,'Cadastro Produtos (kiwkiw)'!C:E,3,0)</f>
        <v>#N/A</v>
      </c>
    </row>
    <row r="5204" spans="7:8" ht="15" customHeight="1" x14ac:dyDescent="0.4">
      <c r="G5204" s="27">
        <f t="shared" si="93"/>
        <v>0</v>
      </c>
      <c r="H5204" s="28" t="e">
        <f>VLOOKUP(E5204,'Cadastro Produtos (kiwkiw)'!C:E,3,0)</f>
        <v>#N/A</v>
      </c>
    </row>
    <row r="5205" spans="7:8" ht="15" customHeight="1" x14ac:dyDescent="0.4">
      <c r="G5205" s="27">
        <f t="shared" si="93"/>
        <v>0</v>
      </c>
      <c r="H5205" s="28" t="e">
        <f>VLOOKUP(E5205,'Cadastro Produtos (kiwkiw)'!C:E,3,0)</f>
        <v>#N/A</v>
      </c>
    </row>
    <row r="5206" spans="7:8" ht="15" customHeight="1" x14ac:dyDescent="0.4">
      <c r="G5206" s="27">
        <f t="shared" si="93"/>
        <v>0</v>
      </c>
      <c r="H5206" s="28" t="e">
        <f>VLOOKUP(E5206,'Cadastro Produtos (kiwkiw)'!C:E,3,0)</f>
        <v>#N/A</v>
      </c>
    </row>
    <row r="5207" spans="7:8" ht="15" customHeight="1" x14ac:dyDescent="0.4">
      <c r="G5207" s="27">
        <f t="shared" si="93"/>
        <v>0</v>
      </c>
      <c r="H5207" s="28" t="e">
        <f>VLOOKUP(E5207,'Cadastro Produtos (kiwkiw)'!C:E,3,0)</f>
        <v>#N/A</v>
      </c>
    </row>
    <row r="5208" spans="7:8" ht="15" customHeight="1" x14ac:dyDescent="0.4">
      <c r="G5208" s="27">
        <f t="shared" si="93"/>
        <v>0</v>
      </c>
      <c r="H5208" s="28" t="e">
        <f>VLOOKUP(E5208,'Cadastro Produtos (kiwkiw)'!C:E,3,0)</f>
        <v>#N/A</v>
      </c>
    </row>
    <row r="5209" spans="7:8" ht="15" customHeight="1" x14ac:dyDescent="0.4">
      <c r="G5209" s="27">
        <f t="shared" si="93"/>
        <v>0</v>
      </c>
      <c r="H5209" s="28" t="e">
        <f>VLOOKUP(E5209,'Cadastro Produtos (kiwkiw)'!C:E,3,0)</f>
        <v>#N/A</v>
      </c>
    </row>
    <row r="5210" spans="7:8" ht="15" customHeight="1" x14ac:dyDescent="0.4">
      <c r="G5210" s="27">
        <f t="shared" si="93"/>
        <v>0</v>
      </c>
      <c r="H5210" s="28" t="e">
        <f>VLOOKUP(E5210,'Cadastro Produtos (kiwkiw)'!C:E,3,0)</f>
        <v>#N/A</v>
      </c>
    </row>
    <row r="5211" spans="7:8" ht="15" customHeight="1" x14ac:dyDescent="0.4">
      <c r="G5211" s="27">
        <f t="shared" si="93"/>
        <v>0</v>
      </c>
      <c r="H5211" s="28" t="e">
        <f>VLOOKUP(E5211,'Cadastro Produtos (kiwkiw)'!C:E,3,0)</f>
        <v>#N/A</v>
      </c>
    </row>
    <row r="5212" spans="7:8" ht="15" customHeight="1" x14ac:dyDescent="0.4">
      <c r="G5212" s="27">
        <f t="shared" si="93"/>
        <v>0</v>
      </c>
      <c r="H5212" s="28" t="e">
        <f>VLOOKUP(E5212,'Cadastro Produtos (kiwkiw)'!C:E,3,0)</f>
        <v>#N/A</v>
      </c>
    </row>
    <row r="5213" spans="7:8" ht="15" customHeight="1" x14ac:dyDescent="0.4">
      <c r="G5213" s="27">
        <f t="shared" si="93"/>
        <v>0</v>
      </c>
      <c r="H5213" s="28" t="e">
        <f>VLOOKUP(E5213,'Cadastro Produtos (kiwkiw)'!C:E,3,0)</f>
        <v>#N/A</v>
      </c>
    </row>
    <row r="5214" spans="7:8" ht="15" customHeight="1" x14ac:dyDescent="0.4">
      <c r="G5214" s="27">
        <f t="shared" si="93"/>
        <v>0</v>
      </c>
      <c r="H5214" s="28" t="e">
        <f>VLOOKUP(E5214,'Cadastro Produtos (kiwkiw)'!C:E,3,0)</f>
        <v>#N/A</v>
      </c>
    </row>
    <row r="5215" spans="7:8" ht="15" customHeight="1" x14ac:dyDescent="0.4">
      <c r="G5215" s="27">
        <f t="shared" si="93"/>
        <v>0</v>
      </c>
      <c r="H5215" s="28" t="e">
        <f>VLOOKUP(E5215,'Cadastro Produtos (kiwkiw)'!C:E,3,0)</f>
        <v>#N/A</v>
      </c>
    </row>
    <row r="5216" spans="7:8" ht="15" customHeight="1" x14ac:dyDescent="0.4">
      <c r="G5216" s="27">
        <f t="shared" si="93"/>
        <v>0</v>
      </c>
      <c r="H5216" s="28" t="e">
        <f>VLOOKUP(E5216,'Cadastro Produtos (kiwkiw)'!C:E,3,0)</f>
        <v>#N/A</v>
      </c>
    </row>
    <row r="5217" spans="7:8" ht="15" customHeight="1" x14ac:dyDescent="0.4">
      <c r="G5217" s="27">
        <f t="shared" si="93"/>
        <v>0</v>
      </c>
      <c r="H5217" s="28" t="e">
        <f>VLOOKUP(E5217,'Cadastro Produtos (kiwkiw)'!C:E,3,0)</f>
        <v>#N/A</v>
      </c>
    </row>
    <row r="5218" spans="7:8" ht="15" customHeight="1" x14ac:dyDescent="0.4">
      <c r="G5218" s="27">
        <f t="shared" si="93"/>
        <v>0</v>
      </c>
      <c r="H5218" s="28" t="e">
        <f>VLOOKUP(E5218,'Cadastro Produtos (kiwkiw)'!C:E,3,0)</f>
        <v>#N/A</v>
      </c>
    </row>
    <row r="5219" spans="7:8" ht="15" customHeight="1" x14ac:dyDescent="0.4">
      <c r="G5219" s="27">
        <f t="shared" si="93"/>
        <v>0</v>
      </c>
      <c r="H5219" s="28" t="e">
        <f>VLOOKUP(E5219,'Cadastro Produtos (kiwkiw)'!C:E,3,0)</f>
        <v>#N/A</v>
      </c>
    </row>
    <row r="5220" spans="7:8" ht="15" customHeight="1" x14ac:dyDescent="0.4">
      <c r="G5220" s="27">
        <f t="shared" si="93"/>
        <v>0</v>
      </c>
      <c r="H5220" s="28" t="e">
        <f>VLOOKUP(E5220,'Cadastro Produtos (kiwkiw)'!C:E,3,0)</f>
        <v>#N/A</v>
      </c>
    </row>
    <row r="5221" spans="7:8" ht="15" customHeight="1" x14ac:dyDescent="0.4">
      <c r="G5221" s="27">
        <f t="shared" si="93"/>
        <v>0</v>
      </c>
      <c r="H5221" s="28" t="e">
        <f>VLOOKUP(E5221,'Cadastro Produtos (kiwkiw)'!C:E,3,0)</f>
        <v>#N/A</v>
      </c>
    </row>
    <row r="5222" spans="7:8" ht="15" customHeight="1" x14ac:dyDescent="0.4">
      <c r="G5222" s="27">
        <f t="shared" si="93"/>
        <v>0</v>
      </c>
      <c r="H5222" s="28" t="e">
        <f>VLOOKUP(E5222,'Cadastro Produtos (kiwkiw)'!C:E,3,0)</f>
        <v>#N/A</v>
      </c>
    </row>
    <row r="5223" spans="7:8" ht="15" customHeight="1" x14ac:dyDescent="0.4">
      <c r="G5223" s="27">
        <f t="shared" si="93"/>
        <v>0</v>
      </c>
      <c r="H5223" s="28" t="e">
        <f>VLOOKUP(E5223,'Cadastro Produtos (kiwkiw)'!C:E,3,0)</f>
        <v>#N/A</v>
      </c>
    </row>
    <row r="5224" spans="7:8" ht="15" customHeight="1" x14ac:dyDescent="0.4">
      <c r="G5224" s="27">
        <f t="shared" si="93"/>
        <v>0</v>
      </c>
      <c r="H5224" s="28" t="e">
        <f>VLOOKUP(E5224,'Cadastro Produtos (kiwkiw)'!C:E,3,0)</f>
        <v>#N/A</v>
      </c>
    </row>
    <row r="5225" spans="7:8" ht="15" customHeight="1" x14ac:dyDescent="0.4">
      <c r="G5225" s="27">
        <f t="shared" si="93"/>
        <v>0</v>
      </c>
      <c r="H5225" s="28" t="e">
        <f>VLOOKUP(E5225,'Cadastro Produtos (kiwkiw)'!C:E,3,0)</f>
        <v>#N/A</v>
      </c>
    </row>
    <row r="5226" spans="7:8" ht="15" customHeight="1" x14ac:dyDescent="0.4">
      <c r="G5226" s="27">
        <f t="shared" si="93"/>
        <v>0</v>
      </c>
      <c r="H5226" s="28" t="e">
        <f>VLOOKUP(E5226,'Cadastro Produtos (kiwkiw)'!C:E,3,0)</f>
        <v>#N/A</v>
      </c>
    </row>
    <row r="5227" spans="7:8" ht="15" customHeight="1" x14ac:dyDescent="0.4">
      <c r="G5227" s="27">
        <f t="shared" si="93"/>
        <v>0</v>
      </c>
      <c r="H5227" s="28" t="e">
        <f>VLOOKUP(E5227,'Cadastro Produtos (kiwkiw)'!C:E,3,0)</f>
        <v>#N/A</v>
      </c>
    </row>
    <row r="5228" spans="7:8" ht="15" customHeight="1" x14ac:dyDescent="0.4">
      <c r="G5228" s="27">
        <f t="shared" si="93"/>
        <v>0</v>
      </c>
      <c r="H5228" s="28" t="e">
        <f>VLOOKUP(E5228,'Cadastro Produtos (kiwkiw)'!C:E,3,0)</f>
        <v>#N/A</v>
      </c>
    </row>
    <row r="5229" spans="7:8" ht="15" customHeight="1" x14ac:dyDescent="0.4">
      <c r="G5229" s="27">
        <f t="shared" si="93"/>
        <v>0</v>
      </c>
      <c r="H5229" s="28" t="e">
        <f>VLOOKUP(E5229,'Cadastro Produtos (kiwkiw)'!C:E,3,0)</f>
        <v>#N/A</v>
      </c>
    </row>
    <row r="5230" spans="7:8" ht="15" customHeight="1" x14ac:dyDescent="0.4">
      <c r="G5230" s="27">
        <f t="shared" si="93"/>
        <v>0</v>
      </c>
      <c r="H5230" s="28" t="e">
        <f>VLOOKUP(E5230,'Cadastro Produtos (kiwkiw)'!C:E,3,0)</f>
        <v>#N/A</v>
      </c>
    </row>
    <row r="5231" spans="7:8" ht="15" customHeight="1" x14ac:dyDescent="0.4">
      <c r="G5231" s="27">
        <f t="shared" si="93"/>
        <v>0</v>
      </c>
      <c r="H5231" s="28" t="e">
        <f>VLOOKUP(E5231,'Cadastro Produtos (kiwkiw)'!C:E,3,0)</f>
        <v>#N/A</v>
      </c>
    </row>
    <row r="5232" spans="7:8" ht="15" customHeight="1" x14ac:dyDescent="0.4">
      <c r="G5232" s="27">
        <f t="shared" si="93"/>
        <v>0</v>
      </c>
      <c r="H5232" s="28" t="e">
        <f>VLOOKUP(E5232,'Cadastro Produtos (kiwkiw)'!C:E,3,0)</f>
        <v>#N/A</v>
      </c>
    </row>
    <row r="5233" spans="2:8" ht="15" customHeight="1" x14ac:dyDescent="0.4">
      <c r="G5233" s="27">
        <f t="shared" si="93"/>
        <v>0</v>
      </c>
      <c r="H5233" s="28" t="e">
        <f>VLOOKUP(E5233,'Cadastro Produtos (kiwkiw)'!C:E,3,0)</f>
        <v>#N/A</v>
      </c>
    </row>
    <row r="5234" spans="2:8" ht="15" customHeight="1" x14ac:dyDescent="0.4">
      <c r="G5234" s="27">
        <f t="shared" si="93"/>
        <v>0</v>
      </c>
      <c r="H5234" s="28" t="e">
        <f>VLOOKUP(E5234,'Cadastro Produtos (kiwkiw)'!C:E,3,0)</f>
        <v>#N/A</v>
      </c>
    </row>
    <row r="5235" spans="2:8" ht="15" customHeight="1" x14ac:dyDescent="0.4">
      <c r="G5235" s="27">
        <f t="shared" si="93"/>
        <v>0</v>
      </c>
      <c r="H5235" s="28" t="e">
        <f>VLOOKUP(E5235,'Cadastro Produtos (kiwkiw)'!C:E,3,0)</f>
        <v>#N/A</v>
      </c>
    </row>
    <row r="5236" spans="2:8" ht="15" customHeight="1" x14ac:dyDescent="0.4">
      <c r="G5236" s="27">
        <f t="shared" si="93"/>
        <v>0</v>
      </c>
      <c r="H5236" s="28" t="e">
        <f>VLOOKUP(E5236,'Cadastro Produtos (kiwkiw)'!C:E,3,0)</f>
        <v>#N/A</v>
      </c>
    </row>
    <row r="5237" spans="2:8" ht="15" customHeight="1" x14ac:dyDescent="0.4">
      <c r="G5237" s="27">
        <f t="shared" si="93"/>
        <v>0</v>
      </c>
      <c r="H5237" s="28" t="e">
        <f>VLOOKUP(E5237,'Cadastro Produtos (kiwkiw)'!C:E,3,0)</f>
        <v>#N/A</v>
      </c>
    </row>
    <row r="5238" spans="2:8" ht="15" customHeight="1" x14ac:dyDescent="0.4">
      <c r="B5238" s="43"/>
      <c r="G5238" s="27">
        <f t="shared" si="93"/>
        <v>0</v>
      </c>
      <c r="H5238" s="28" t="e">
        <f>VLOOKUP(E5238,'Cadastro Produtos (kiwkiw)'!C:E,3,0)</f>
        <v>#N/A</v>
      </c>
    </row>
    <row r="5239" spans="2:8" ht="15" customHeight="1" x14ac:dyDescent="0.4">
      <c r="G5239" s="27">
        <f t="shared" si="93"/>
        <v>0</v>
      </c>
      <c r="H5239" s="28" t="e">
        <f>VLOOKUP(E5239,'Cadastro Produtos (kiwkiw)'!C:E,3,0)</f>
        <v>#N/A</v>
      </c>
    </row>
    <row r="5240" spans="2:8" ht="15" customHeight="1" x14ac:dyDescent="0.4">
      <c r="G5240" s="27">
        <f t="shared" si="93"/>
        <v>0</v>
      </c>
      <c r="H5240" s="28" t="e">
        <f>VLOOKUP(E5240,'Cadastro Produtos (kiwkiw)'!C:E,3,0)</f>
        <v>#N/A</v>
      </c>
    </row>
    <row r="5241" spans="2:8" ht="15" customHeight="1" x14ac:dyDescent="0.4">
      <c r="G5241" s="27">
        <f t="shared" si="93"/>
        <v>0</v>
      </c>
      <c r="H5241" s="28" t="e">
        <f>VLOOKUP(E5241,'Cadastro Produtos (kiwkiw)'!C:E,3,0)</f>
        <v>#N/A</v>
      </c>
    </row>
    <row r="5242" spans="2:8" ht="15" customHeight="1" x14ac:dyDescent="0.4">
      <c r="G5242" s="27">
        <f t="shared" si="93"/>
        <v>0</v>
      </c>
      <c r="H5242" s="28" t="e">
        <f>VLOOKUP(E5242,'Cadastro Produtos (kiwkiw)'!C:E,3,0)</f>
        <v>#N/A</v>
      </c>
    </row>
    <row r="5243" spans="2:8" ht="15" customHeight="1" x14ac:dyDescent="0.4">
      <c r="G5243" s="27">
        <f t="shared" si="93"/>
        <v>0</v>
      </c>
      <c r="H5243" s="28" t="e">
        <f>VLOOKUP(E5243,'Cadastro Produtos (kiwkiw)'!C:E,3,0)</f>
        <v>#N/A</v>
      </c>
    </row>
    <row r="5244" spans="2:8" ht="15" customHeight="1" x14ac:dyDescent="0.4">
      <c r="G5244" s="27">
        <f t="shared" si="93"/>
        <v>0</v>
      </c>
      <c r="H5244" s="28" t="e">
        <f>VLOOKUP(E5244,'Cadastro Produtos (kiwkiw)'!C:E,3,0)</f>
        <v>#N/A</v>
      </c>
    </row>
    <row r="5245" spans="2:8" ht="15" customHeight="1" x14ac:dyDescent="0.4">
      <c r="G5245" s="27">
        <f t="shared" si="93"/>
        <v>0</v>
      </c>
      <c r="H5245" s="28" t="e">
        <f>VLOOKUP(E5245,'Cadastro Produtos (kiwkiw)'!C:E,3,0)</f>
        <v>#N/A</v>
      </c>
    </row>
    <row r="5246" spans="2:8" ht="15" customHeight="1" x14ac:dyDescent="0.4">
      <c r="G5246" s="27">
        <f t="shared" si="93"/>
        <v>0</v>
      </c>
      <c r="H5246" s="28" t="e">
        <f>VLOOKUP(E5246,'Cadastro Produtos (kiwkiw)'!C:E,3,0)</f>
        <v>#N/A</v>
      </c>
    </row>
    <row r="5247" spans="2:8" ht="15" customHeight="1" x14ac:dyDescent="0.4">
      <c r="G5247" s="27">
        <f t="shared" si="93"/>
        <v>0</v>
      </c>
      <c r="H5247" s="28" t="e">
        <f>VLOOKUP(E5247,'Cadastro Produtos (kiwkiw)'!C:E,3,0)</f>
        <v>#N/A</v>
      </c>
    </row>
    <row r="5248" spans="2:8" ht="15" customHeight="1" x14ac:dyDescent="0.4">
      <c r="G5248" s="27">
        <f t="shared" si="93"/>
        <v>0</v>
      </c>
      <c r="H5248" s="28" t="e">
        <f>VLOOKUP(E5248,'Cadastro Produtos (kiwkiw)'!C:E,3,0)</f>
        <v>#N/A</v>
      </c>
    </row>
    <row r="5249" spans="7:8" ht="15" customHeight="1" x14ac:dyDescent="0.4">
      <c r="G5249" s="27">
        <f t="shared" si="93"/>
        <v>0</v>
      </c>
      <c r="H5249" s="28" t="e">
        <f>VLOOKUP(E5249,'Cadastro Produtos (kiwkiw)'!C:E,3,0)</f>
        <v>#N/A</v>
      </c>
    </row>
    <row r="5250" spans="7:8" ht="15" customHeight="1" x14ac:dyDescent="0.4">
      <c r="G5250" s="27">
        <f t="shared" si="93"/>
        <v>0</v>
      </c>
      <c r="H5250" s="28" t="e">
        <f>VLOOKUP(E5250,'Cadastro Produtos (kiwkiw)'!C:E,3,0)</f>
        <v>#N/A</v>
      </c>
    </row>
    <row r="5251" spans="7:8" ht="15" customHeight="1" x14ac:dyDescent="0.4">
      <c r="G5251" s="27">
        <f t="shared" si="93"/>
        <v>0</v>
      </c>
      <c r="H5251" s="28" t="e">
        <f>VLOOKUP(E5251,'Cadastro Produtos (kiwkiw)'!C:E,3,0)</f>
        <v>#N/A</v>
      </c>
    </row>
    <row r="5252" spans="7:8" ht="15" customHeight="1" x14ac:dyDescent="0.4">
      <c r="G5252" s="27">
        <f t="shared" si="93"/>
        <v>0</v>
      </c>
      <c r="H5252" s="28" t="e">
        <f>VLOOKUP(E5252,'Cadastro Produtos (kiwkiw)'!C:E,3,0)</f>
        <v>#N/A</v>
      </c>
    </row>
    <row r="5253" spans="7:8" ht="15" customHeight="1" x14ac:dyDescent="0.4">
      <c r="G5253" s="27">
        <f t="shared" si="93"/>
        <v>0</v>
      </c>
      <c r="H5253" s="28" t="e">
        <f>VLOOKUP(E5253,'Cadastro Produtos (kiwkiw)'!C:E,3,0)</f>
        <v>#N/A</v>
      </c>
    </row>
    <row r="5254" spans="7:8" ht="15" customHeight="1" x14ac:dyDescent="0.4">
      <c r="G5254" s="27">
        <f t="shared" si="93"/>
        <v>0</v>
      </c>
      <c r="H5254" s="28" t="e">
        <f>VLOOKUP(E5254,'Cadastro Produtos (kiwkiw)'!C:E,3,0)</f>
        <v>#N/A</v>
      </c>
    </row>
    <row r="5255" spans="7:8" ht="15" customHeight="1" x14ac:dyDescent="0.4">
      <c r="G5255" s="27">
        <f t="shared" si="93"/>
        <v>0</v>
      </c>
      <c r="H5255" s="28" t="e">
        <f>VLOOKUP(E5255,'Cadastro Produtos (kiwkiw)'!C:E,3,0)</f>
        <v>#N/A</v>
      </c>
    </row>
    <row r="5256" spans="7:8" ht="15" customHeight="1" x14ac:dyDescent="0.4">
      <c r="G5256" s="27">
        <f t="shared" si="93"/>
        <v>0</v>
      </c>
      <c r="H5256" s="28" t="e">
        <f>VLOOKUP(E5256,'Cadastro Produtos (kiwkiw)'!C:E,3,0)</f>
        <v>#N/A</v>
      </c>
    </row>
    <row r="5257" spans="7:8" ht="15" customHeight="1" x14ac:dyDescent="0.4">
      <c r="G5257" s="27">
        <f t="shared" si="93"/>
        <v>0</v>
      </c>
      <c r="H5257" s="28" t="e">
        <f>VLOOKUP(E5257,'Cadastro Produtos (kiwkiw)'!C:E,3,0)</f>
        <v>#N/A</v>
      </c>
    </row>
    <row r="5258" spans="7:8" ht="15" customHeight="1" x14ac:dyDescent="0.4">
      <c r="G5258" s="27">
        <f t="shared" si="93"/>
        <v>0</v>
      </c>
      <c r="H5258" s="28" t="e">
        <f>VLOOKUP(E5258,'Cadastro Produtos (kiwkiw)'!C:E,3,0)</f>
        <v>#N/A</v>
      </c>
    </row>
    <row r="5259" spans="7:8" ht="15" customHeight="1" x14ac:dyDescent="0.4">
      <c r="G5259" s="27">
        <f t="shared" si="93"/>
        <v>0</v>
      </c>
      <c r="H5259" s="28" t="e">
        <f>VLOOKUP(E5259,'Cadastro Produtos (kiwkiw)'!C:E,3,0)</f>
        <v>#N/A</v>
      </c>
    </row>
    <row r="5260" spans="7:8" ht="15" customHeight="1" x14ac:dyDescent="0.4">
      <c r="G5260" s="27">
        <f t="shared" si="93"/>
        <v>0</v>
      </c>
      <c r="H5260" s="28" t="e">
        <f>VLOOKUP(E5260,'Cadastro Produtos (kiwkiw)'!C:E,3,0)</f>
        <v>#N/A</v>
      </c>
    </row>
    <row r="5261" spans="7:8" ht="15" customHeight="1" x14ac:dyDescent="0.4">
      <c r="G5261" s="27">
        <f t="shared" si="93"/>
        <v>0</v>
      </c>
      <c r="H5261" s="28" t="e">
        <f>VLOOKUP(E5261,'Cadastro Produtos (kiwkiw)'!C:E,3,0)</f>
        <v>#N/A</v>
      </c>
    </row>
    <row r="5262" spans="7:8" ht="15" customHeight="1" x14ac:dyDescent="0.4">
      <c r="G5262" s="27">
        <f t="shared" si="93"/>
        <v>0</v>
      </c>
      <c r="H5262" s="28" t="e">
        <f>VLOOKUP(E5262,'Cadastro Produtos (kiwkiw)'!C:E,3,0)</f>
        <v>#N/A</v>
      </c>
    </row>
    <row r="5263" spans="7:8" ht="15" customHeight="1" x14ac:dyDescent="0.4">
      <c r="G5263" s="27">
        <f t="shared" si="93"/>
        <v>0</v>
      </c>
      <c r="H5263" s="28" t="e">
        <f>VLOOKUP(E5263,'Cadastro Produtos (kiwkiw)'!C:E,3,0)</f>
        <v>#N/A</v>
      </c>
    </row>
    <row r="5264" spans="7:8" ht="15" customHeight="1" x14ac:dyDescent="0.4">
      <c r="G5264" s="27">
        <f t="shared" si="93"/>
        <v>0</v>
      </c>
      <c r="H5264" s="28" t="e">
        <f>VLOOKUP(E5264,'Cadastro Produtos (kiwkiw)'!C:E,3,0)</f>
        <v>#N/A</v>
      </c>
    </row>
    <row r="5265" spans="7:8" ht="15" customHeight="1" x14ac:dyDescent="0.4">
      <c r="G5265" s="27">
        <f t="shared" si="93"/>
        <v>0</v>
      </c>
      <c r="H5265" s="28" t="e">
        <f>VLOOKUP(E5265,'Cadastro Produtos (kiwkiw)'!C:E,3,0)</f>
        <v>#N/A</v>
      </c>
    </row>
    <row r="5266" spans="7:8" ht="15" customHeight="1" x14ac:dyDescent="0.4">
      <c r="G5266" s="27">
        <f t="shared" ref="G5266:G5329" si="94">IF(C5266="Entrada",F5266,-F5266)</f>
        <v>0</v>
      </c>
      <c r="H5266" s="28" t="e">
        <f>VLOOKUP(E5266,'Cadastro Produtos (kiwkiw)'!C:E,3,0)</f>
        <v>#N/A</v>
      </c>
    </row>
    <row r="5267" spans="7:8" ht="15" customHeight="1" x14ac:dyDescent="0.4">
      <c r="G5267" s="27">
        <f t="shared" si="94"/>
        <v>0</v>
      </c>
      <c r="H5267" s="28" t="e">
        <f>VLOOKUP(E5267,'Cadastro Produtos (kiwkiw)'!C:E,3,0)</f>
        <v>#N/A</v>
      </c>
    </row>
    <row r="5268" spans="7:8" ht="15" customHeight="1" x14ac:dyDescent="0.4">
      <c r="G5268" s="27">
        <f t="shared" si="94"/>
        <v>0</v>
      </c>
      <c r="H5268" s="28" t="e">
        <f>VLOOKUP(E5268,'Cadastro Produtos (kiwkiw)'!C:E,3,0)</f>
        <v>#N/A</v>
      </c>
    </row>
    <row r="5269" spans="7:8" ht="15" customHeight="1" x14ac:dyDescent="0.4">
      <c r="G5269" s="27">
        <f t="shared" si="94"/>
        <v>0</v>
      </c>
      <c r="H5269" s="28" t="e">
        <f>VLOOKUP(E5269,'Cadastro Produtos (kiwkiw)'!C:E,3,0)</f>
        <v>#N/A</v>
      </c>
    </row>
    <row r="5270" spans="7:8" ht="15" customHeight="1" x14ac:dyDescent="0.4">
      <c r="G5270" s="27">
        <f t="shared" si="94"/>
        <v>0</v>
      </c>
      <c r="H5270" s="28" t="e">
        <f>VLOOKUP(E5270,'Cadastro Produtos (kiwkiw)'!C:E,3,0)</f>
        <v>#N/A</v>
      </c>
    </row>
    <row r="5271" spans="7:8" ht="15" customHeight="1" x14ac:dyDescent="0.4">
      <c r="G5271" s="27">
        <f t="shared" si="94"/>
        <v>0</v>
      </c>
      <c r="H5271" s="28" t="e">
        <f>VLOOKUP(E5271,'Cadastro Produtos (kiwkiw)'!C:E,3,0)</f>
        <v>#N/A</v>
      </c>
    </row>
    <row r="5272" spans="7:8" ht="15" customHeight="1" x14ac:dyDescent="0.4">
      <c r="G5272" s="27">
        <f t="shared" si="94"/>
        <v>0</v>
      </c>
      <c r="H5272" s="28" t="e">
        <f>VLOOKUP(E5272,'Cadastro Produtos (kiwkiw)'!C:E,3,0)</f>
        <v>#N/A</v>
      </c>
    </row>
    <row r="5273" spans="7:8" ht="15" customHeight="1" x14ac:dyDescent="0.4">
      <c r="G5273" s="27">
        <f t="shared" si="94"/>
        <v>0</v>
      </c>
      <c r="H5273" s="28" t="e">
        <f>VLOOKUP(E5273,'Cadastro Produtos (kiwkiw)'!C:E,3,0)</f>
        <v>#N/A</v>
      </c>
    </row>
    <row r="5274" spans="7:8" ht="15" customHeight="1" x14ac:dyDescent="0.4">
      <c r="G5274" s="27">
        <f t="shared" si="94"/>
        <v>0</v>
      </c>
      <c r="H5274" s="28" t="e">
        <f>VLOOKUP(E5274,'Cadastro Produtos (kiwkiw)'!C:E,3,0)</f>
        <v>#N/A</v>
      </c>
    </row>
    <row r="5275" spans="7:8" ht="15" customHeight="1" x14ac:dyDescent="0.4">
      <c r="G5275" s="27">
        <f t="shared" si="94"/>
        <v>0</v>
      </c>
      <c r="H5275" s="28" t="e">
        <f>VLOOKUP(E5275,'Cadastro Produtos (kiwkiw)'!C:E,3,0)</f>
        <v>#N/A</v>
      </c>
    </row>
    <row r="5276" spans="7:8" ht="15" customHeight="1" x14ac:dyDescent="0.4">
      <c r="G5276" s="27">
        <f t="shared" si="94"/>
        <v>0</v>
      </c>
      <c r="H5276" s="28" t="e">
        <f>VLOOKUP(E5276,'Cadastro Produtos (kiwkiw)'!C:E,3,0)</f>
        <v>#N/A</v>
      </c>
    </row>
    <row r="5277" spans="7:8" ht="15" customHeight="1" x14ac:dyDescent="0.4">
      <c r="G5277" s="27">
        <f t="shared" si="94"/>
        <v>0</v>
      </c>
      <c r="H5277" s="28" t="e">
        <f>VLOOKUP(E5277,'Cadastro Produtos (kiwkiw)'!C:E,3,0)</f>
        <v>#N/A</v>
      </c>
    </row>
    <row r="5278" spans="7:8" ht="15" customHeight="1" x14ac:dyDescent="0.4">
      <c r="G5278" s="27">
        <f t="shared" si="94"/>
        <v>0</v>
      </c>
      <c r="H5278" s="28" t="e">
        <f>VLOOKUP(E5278,'Cadastro Produtos (kiwkiw)'!C:E,3,0)</f>
        <v>#N/A</v>
      </c>
    </row>
    <row r="5279" spans="7:8" ht="15" customHeight="1" x14ac:dyDescent="0.4">
      <c r="G5279" s="27">
        <f t="shared" si="94"/>
        <v>0</v>
      </c>
      <c r="H5279" s="28" t="e">
        <f>VLOOKUP(E5279,'Cadastro Produtos (kiwkiw)'!C:E,3,0)</f>
        <v>#N/A</v>
      </c>
    </row>
    <row r="5280" spans="7:8" ht="15" customHeight="1" x14ac:dyDescent="0.4">
      <c r="G5280" s="27">
        <f t="shared" si="94"/>
        <v>0</v>
      </c>
      <c r="H5280" s="28" t="e">
        <f>VLOOKUP(E5280,'Cadastro Produtos (kiwkiw)'!C:E,3,0)</f>
        <v>#N/A</v>
      </c>
    </row>
    <row r="5281" spans="7:8" ht="15" customHeight="1" x14ac:dyDescent="0.4">
      <c r="G5281" s="27">
        <f t="shared" si="94"/>
        <v>0</v>
      </c>
      <c r="H5281" s="28" t="e">
        <f>VLOOKUP(E5281,'Cadastro Produtos (kiwkiw)'!C:E,3,0)</f>
        <v>#N/A</v>
      </c>
    </row>
    <row r="5282" spans="7:8" ht="15" customHeight="1" x14ac:dyDescent="0.4">
      <c r="G5282" s="27">
        <f t="shared" si="94"/>
        <v>0</v>
      </c>
      <c r="H5282" s="28" t="e">
        <f>VLOOKUP(E5282,'Cadastro Produtos (kiwkiw)'!C:E,3,0)</f>
        <v>#N/A</v>
      </c>
    </row>
    <row r="5283" spans="7:8" ht="15" customHeight="1" x14ac:dyDescent="0.4">
      <c r="G5283" s="27">
        <f t="shared" si="94"/>
        <v>0</v>
      </c>
      <c r="H5283" s="28" t="e">
        <f>VLOOKUP(E5283,'Cadastro Produtos (kiwkiw)'!C:E,3,0)</f>
        <v>#N/A</v>
      </c>
    </row>
    <row r="5284" spans="7:8" ht="15" customHeight="1" x14ac:dyDescent="0.4">
      <c r="G5284" s="27">
        <f t="shared" si="94"/>
        <v>0</v>
      </c>
      <c r="H5284" s="28" t="e">
        <f>VLOOKUP(E5284,'Cadastro Produtos (kiwkiw)'!C:E,3,0)</f>
        <v>#N/A</v>
      </c>
    </row>
    <row r="5285" spans="7:8" ht="15" customHeight="1" x14ac:dyDescent="0.4">
      <c r="G5285" s="27">
        <f t="shared" si="94"/>
        <v>0</v>
      </c>
      <c r="H5285" s="28" t="e">
        <f>VLOOKUP(E5285,'Cadastro Produtos (kiwkiw)'!C:E,3,0)</f>
        <v>#N/A</v>
      </c>
    </row>
    <row r="5286" spans="7:8" ht="15" customHeight="1" x14ac:dyDescent="0.4">
      <c r="G5286" s="27">
        <f t="shared" si="94"/>
        <v>0</v>
      </c>
      <c r="H5286" s="28" t="e">
        <f>VLOOKUP(E5286,'Cadastro Produtos (kiwkiw)'!C:E,3,0)</f>
        <v>#N/A</v>
      </c>
    </row>
    <row r="5287" spans="7:8" ht="15" customHeight="1" x14ac:dyDescent="0.4">
      <c r="G5287" s="27">
        <f t="shared" si="94"/>
        <v>0</v>
      </c>
      <c r="H5287" s="28" t="e">
        <f>VLOOKUP(E5287,'Cadastro Produtos (kiwkiw)'!C:E,3,0)</f>
        <v>#N/A</v>
      </c>
    </row>
    <row r="5288" spans="7:8" ht="15" customHeight="1" x14ac:dyDescent="0.4">
      <c r="G5288" s="27">
        <f t="shared" si="94"/>
        <v>0</v>
      </c>
      <c r="H5288" s="28" t="e">
        <f>VLOOKUP(E5288,'Cadastro Produtos (kiwkiw)'!C:E,3,0)</f>
        <v>#N/A</v>
      </c>
    </row>
    <row r="5289" spans="7:8" ht="15" customHeight="1" x14ac:dyDescent="0.4">
      <c r="G5289" s="27">
        <f t="shared" si="94"/>
        <v>0</v>
      </c>
      <c r="H5289" s="28" t="e">
        <f>VLOOKUP(E5289,'Cadastro Produtos (kiwkiw)'!C:E,3,0)</f>
        <v>#N/A</v>
      </c>
    </row>
    <row r="5290" spans="7:8" ht="15" customHeight="1" x14ac:dyDescent="0.4">
      <c r="G5290" s="27">
        <f t="shared" si="94"/>
        <v>0</v>
      </c>
      <c r="H5290" s="28" t="e">
        <f>VLOOKUP(E5290,'Cadastro Produtos (kiwkiw)'!C:E,3,0)</f>
        <v>#N/A</v>
      </c>
    </row>
    <row r="5291" spans="7:8" ht="15" customHeight="1" x14ac:dyDescent="0.4">
      <c r="G5291" s="27">
        <f t="shared" si="94"/>
        <v>0</v>
      </c>
      <c r="H5291" s="28" t="e">
        <f>VLOOKUP(E5291,'Cadastro Produtos (kiwkiw)'!C:E,3,0)</f>
        <v>#N/A</v>
      </c>
    </row>
    <row r="5292" spans="7:8" ht="15" customHeight="1" x14ac:dyDescent="0.4">
      <c r="G5292" s="27">
        <f t="shared" si="94"/>
        <v>0</v>
      </c>
      <c r="H5292" s="28" t="e">
        <f>VLOOKUP(E5292,'Cadastro Produtos (kiwkiw)'!C:E,3,0)</f>
        <v>#N/A</v>
      </c>
    </row>
    <row r="5293" spans="7:8" ht="15" customHeight="1" x14ac:dyDescent="0.4">
      <c r="G5293" s="27">
        <f t="shared" si="94"/>
        <v>0</v>
      </c>
      <c r="H5293" s="28" t="e">
        <f>VLOOKUP(E5293,'Cadastro Produtos (kiwkiw)'!C:E,3,0)</f>
        <v>#N/A</v>
      </c>
    </row>
    <row r="5294" spans="7:8" ht="15" customHeight="1" x14ac:dyDescent="0.4">
      <c r="G5294" s="27">
        <f t="shared" si="94"/>
        <v>0</v>
      </c>
      <c r="H5294" s="28" t="e">
        <f>VLOOKUP(E5294,'Cadastro Produtos (kiwkiw)'!C:E,3,0)</f>
        <v>#N/A</v>
      </c>
    </row>
    <row r="5295" spans="7:8" ht="15" customHeight="1" x14ac:dyDescent="0.4">
      <c r="G5295" s="27">
        <f t="shared" si="94"/>
        <v>0</v>
      </c>
      <c r="H5295" s="28" t="e">
        <f>VLOOKUP(E5295,'Cadastro Produtos (kiwkiw)'!C:E,3,0)</f>
        <v>#N/A</v>
      </c>
    </row>
    <row r="5296" spans="7:8" ht="15" customHeight="1" x14ac:dyDescent="0.4">
      <c r="G5296" s="27">
        <f t="shared" si="94"/>
        <v>0</v>
      </c>
      <c r="H5296" s="28" t="e">
        <f>VLOOKUP(E5296,'Cadastro Produtos (kiwkiw)'!C:E,3,0)</f>
        <v>#N/A</v>
      </c>
    </row>
    <row r="5297" spans="2:8" ht="15" customHeight="1" x14ac:dyDescent="0.4">
      <c r="G5297" s="27">
        <f t="shared" si="94"/>
        <v>0</v>
      </c>
      <c r="H5297" s="28" t="e">
        <f>VLOOKUP(E5297,'Cadastro Produtos (kiwkiw)'!C:E,3,0)</f>
        <v>#N/A</v>
      </c>
    </row>
    <row r="5298" spans="2:8" ht="15" customHeight="1" x14ac:dyDescent="0.4">
      <c r="G5298" s="27">
        <f t="shared" si="94"/>
        <v>0</v>
      </c>
      <c r="H5298" s="28" t="e">
        <f>VLOOKUP(E5298,'Cadastro Produtos (kiwkiw)'!C:E,3,0)</f>
        <v>#N/A</v>
      </c>
    </row>
    <row r="5299" spans="2:8" ht="15" customHeight="1" x14ac:dyDescent="0.4">
      <c r="G5299" s="27">
        <f t="shared" si="94"/>
        <v>0</v>
      </c>
      <c r="H5299" s="28" t="e">
        <f>VLOOKUP(E5299,'Cadastro Produtos (kiwkiw)'!C:E,3,0)</f>
        <v>#N/A</v>
      </c>
    </row>
    <row r="5300" spans="2:8" ht="15" customHeight="1" x14ac:dyDescent="0.4">
      <c r="G5300" s="27">
        <f t="shared" si="94"/>
        <v>0</v>
      </c>
      <c r="H5300" s="28" t="e">
        <f>VLOOKUP(E5300,'Cadastro Produtos (kiwkiw)'!C:E,3,0)</f>
        <v>#N/A</v>
      </c>
    </row>
    <row r="5301" spans="2:8" ht="15" customHeight="1" x14ac:dyDescent="0.4">
      <c r="B5301" s="43"/>
      <c r="G5301" s="27">
        <f t="shared" si="94"/>
        <v>0</v>
      </c>
      <c r="H5301" s="28" t="e">
        <f>VLOOKUP(E5301,'Cadastro Produtos (kiwkiw)'!C:E,3,0)</f>
        <v>#N/A</v>
      </c>
    </row>
    <row r="5302" spans="2:8" ht="15" customHeight="1" x14ac:dyDescent="0.4">
      <c r="G5302" s="27">
        <f t="shared" si="94"/>
        <v>0</v>
      </c>
      <c r="H5302" s="28" t="e">
        <f>VLOOKUP(E5302,'Cadastro Produtos (kiwkiw)'!C:E,3,0)</f>
        <v>#N/A</v>
      </c>
    </row>
    <row r="5303" spans="2:8" ht="15" customHeight="1" x14ac:dyDescent="0.4">
      <c r="G5303" s="27">
        <f t="shared" si="94"/>
        <v>0</v>
      </c>
      <c r="H5303" s="28" t="e">
        <f>VLOOKUP(E5303,'Cadastro Produtos (kiwkiw)'!C:E,3,0)</f>
        <v>#N/A</v>
      </c>
    </row>
    <row r="5304" spans="2:8" ht="15" customHeight="1" x14ac:dyDescent="0.4">
      <c r="G5304" s="27">
        <f t="shared" si="94"/>
        <v>0</v>
      </c>
      <c r="H5304" s="28" t="e">
        <f>VLOOKUP(E5304,'Cadastro Produtos (kiwkiw)'!C:E,3,0)</f>
        <v>#N/A</v>
      </c>
    </row>
    <row r="5305" spans="2:8" ht="15" customHeight="1" x14ac:dyDescent="0.4">
      <c r="G5305" s="27">
        <f t="shared" si="94"/>
        <v>0</v>
      </c>
      <c r="H5305" s="28" t="e">
        <f>VLOOKUP(E5305,'Cadastro Produtos (kiwkiw)'!C:E,3,0)</f>
        <v>#N/A</v>
      </c>
    </row>
    <row r="5306" spans="2:8" ht="15" customHeight="1" x14ac:dyDescent="0.4">
      <c r="G5306" s="27">
        <f t="shared" si="94"/>
        <v>0</v>
      </c>
      <c r="H5306" s="28" t="e">
        <f>VLOOKUP(E5306,'Cadastro Produtos (kiwkiw)'!C:E,3,0)</f>
        <v>#N/A</v>
      </c>
    </row>
    <row r="5307" spans="2:8" ht="15" customHeight="1" x14ac:dyDescent="0.4">
      <c r="G5307" s="27">
        <f t="shared" si="94"/>
        <v>0</v>
      </c>
      <c r="H5307" s="28" t="e">
        <f>VLOOKUP(E5307,'Cadastro Produtos (kiwkiw)'!C:E,3,0)</f>
        <v>#N/A</v>
      </c>
    </row>
    <row r="5308" spans="2:8" ht="15" customHeight="1" x14ac:dyDescent="0.4">
      <c r="G5308" s="27">
        <f t="shared" si="94"/>
        <v>0</v>
      </c>
      <c r="H5308" s="28" t="e">
        <f>VLOOKUP(E5308,'Cadastro Produtos (kiwkiw)'!C:E,3,0)</f>
        <v>#N/A</v>
      </c>
    </row>
    <row r="5309" spans="2:8" ht="15" customHeight="1" x14ac:dyDescent="0.4">
      <c r="G5309" s="27">
        <f t="shared" si="94"/>
        <v>0</v>
      </c>
      <c r="H5309" s="28" t="e">
        <f>VLOOKUP(E5309,'Cadastro Produtos (kiwkiw)'!C:E,3,0)</f>
        <v>#N/A</v>
      </c>
    </row>
    <row r="5310" spans="2:8" ht="15" customHeight="1" x14ac:dyDescent="0.4">
      <c r="G5310" s="27">
        <f t="shared" si="94"/>
        <v>0</v>
      </c>
      <c r="H5310" s="28" t="e">
        <f>VLOOKUP(E5310,'Cadastro Produtos (kiwkiw)'!C:E,3,0)</f>
        <v>#N/A</v>
      </c>
    </row>
    <row r="5311" spans="2:8" ht="15" customHeight="1" x14ac:dyDescent="0.4">
      <c r="G5311" s="27">
        <f t="shared" si="94"/>
        <v>0</v>
      </c>
      <c r="H5311" s="28" t="e">
        <f>VLOOKUP(E5311,'Cadastro Produtos (kiwkiw)'!C:E,3,0)</f>
        <v>#N/A</v>
      </c>
    </row>
    <row r="5312" spans="2:8" ht="15" customHeight="1" x14ac:dyDescent="0.4">
      <c r="G5312" s="27">
        <f t="shared" si="94"/>
        <v>0</v>
      </c>
      <c r="H5312" s="28" t="e">
        <f>VLOOKUP(E5312,'Cadastro Produtos (kiwkiw)'!C:E,3,0)</f>
        <v>#N/A</v>
      </c>
    </row>
    <row r="5313" spans="7:8" ht="15" customHeight="1" x14ac:dyDescent="0.4">
      <c r="G5313" s="27">
        <f t="shared" si="94"/>
        <v>0</v>
      </c>
      <c r="H5313" s="28" t="e">
        <f>VLOOKUP(E5313,'Cadastro Produtos (kiwkiw)'!C:E,3,0)</f>
        <v>#N/A</v>
      </c>
    </row>
    <row r="5314" spans="7:8" ht="15" customHeight="1" x14ac:dyDescent="0.4">
      <c r="G5314" s="27">
        <f t="shared" si="94"/>
        <v>0</v>
      </c>
      <c r="H5314" s="28" t="e">
        <f>VLOOKUP(E5314,'Cadastro Produtos (kiwkiw)'!C:E,3,0)</f>
        <v>#N/A</v>
      </c>
    </row>
    <row r="5315" spans="7:8" ht="15" customHeight="1" x14ac:dyDescent="0.4">
      <c r="G5315" s="27">
        <f t="shared" si="94"/>
        <v>0</v>
      </c>
      <c r="H5315" s="28" t="e">
        <f>VLOOKUP(E5315,'Cadastro Produtos (kiwkiw)'!C:E,3,0)</f>
        <v>#N/A</v>
      </c>
    </row>
    <row r="5316" spans="7:8" ht="15" customHeight="1" x14ac:dyDescent="0.4">
      <c r="G5316" s="27">
        <f t="shared" si="94"/>
        <v>0</v>
      </c>
      <c r="H5316" s="28" t="e">
        <f>VLOOKUP(E5316,'Cadastro Produtos (kiwkiw)'!C:E,3,0)</f>
        <v>#N/A</v>
      </c>
    </row>
    <row r="5317" spans="7:8" ht="15" customHeight="1" x14ac:dyDescent="0.4">
      <c r="G5317" s="27">
        <f t="shared" si="94"/>
        <v>0</v>
      </c>
      <c r="H5317" s="28" t="e">
        <f>VLOOKUP(E5317,'Cadastro Produtos (kiwkiw)'!C:E,3,0)</f>
        <v>#N/A</v>
      </c>
    </row>
    <row r="5318" spans="7:8" ht="15" customHeight="1" x14ac:dyDescent="0.4">
      <c r="G5318" s="27">
        <f t="shared" si="94"/>
        <v>0</v>
      </c>
      <c r="H5318" s="28" t="e">
        <f>VLOOKUP(E5318,'Cadastro Produtos (kiwkiw)'!C:E,3,0)</f>
        <v>#N/A</v>
      </c>
    </row>
    <row r="5319" spans="7:8" ht="15" customHeight="1" x14ac:dyDescent="0.4">
      <c r="G5319" s="27">
        <f t="shared" si="94"/>
        <v>0</v>
      </c>
      <c r="H5319" s="28" t="e">
        <f>VLOOKUP(E5319,'Cadastro Produtos (kiwkiw)'!C:E,3,0)</f>
        <v>#N/A</v>
      </c>
    </row>
    <row r="5320" spans="7:8" ht="15" customHeight="1" x14ac:dyDescent="0.4">
      <c r="G5320" s="27">
        <f t="shared" si="94"/>
        <v>0</v>
      </c>
      <c r="H5320" s="28" t="e">
        <f>VLOOKUP(E5320,'Cadastro Produtos (kiwkiw)'!C:E,3,0)</f>
        <v>#N/A</v>
      </c>
    </row>
    <row r="5321" spans="7:8" ht="15" customHeight="1" x14ac:dyDescent="0.4">
      <c r="G5321" s="27">
        <f t="shared" si="94"/>
        <v>0</v>
      </c>
      <c r="H5321" s="28" t="e">
        <f>VLOOKUP(E5321,'Cadastro Produtos (kiwkiw)'!C:E,3,0)</f>
        <v>#N/A</v>
      </c>
    </row>
    <row r="5322" spans="7:8" ht="15" customHeight="1" x14ac:dyDescent="0.4">
      <c r="G5322" s="27">
        <f t="shared" si="94"/>
        <v>0</v>
      </c>
      <c r="H5322" s="28" t="e">
        <f>VLOOKUP(E5322,'Cadastro Produtos (kiwkiw)'!C:E,3,0)</f>
        <v>#N/A</v>
      </c>
    </row>
    <row r="5323" spans="7:8" ht="15" customHeight="1" x14ac:dyDescent="0.4">
      <c r="G5323" s="27">
        <f t="shared" si="94"/>
        <v>0</v>
      </c>
      <c r="H5323" s="28" t="e">
        <f>VLOOKUP(E5323,'Cadastro Produtos (kiwkiw)'!C:E,3,0)</f>
        <v>#N/A</v>
      </c>
    </row>
    <row r="5324" spans="7:8" ht="15" customHeight="1" x14ac:dyDescent="0.4">
      <c r="G5324" s="27">
        <f t="shared" si="94"/>
        <v>0</v>
      </c>
      <c r="H5324" s="28" t="e">
        <f>VLOOKUP(E5324,'Cadastro Produtos (kiwkiw)'!C:E,3,0)</f>
        <v>#N/A</v>
      </c>
    </row>
    <row r="5325" spans="7:8" ht="15" customHeight="1" x14ac:dyDescent="0.4">
      <c r="G5325" s="27">
        <f t="shared" si="94"/>
        <v>0</v>
      </c>
      <c r="H5325" s="28" t="e">
        <f>VLOOKUP(E5325,'Cadastro Produtos (kiwkiw)'!C:E,3,0)</f>
        <v>#N/A</v>
      </c>
    </row>
    <row r="5326" spans="7:8" ht="15" customHeight="1" x14ac:dyDescent="0.4">
      <c r="G5326" s="27">
        <f t="shared" si="94"/>
        <v>0</v>
      </c>
      <c r="H5326" s="28" t="e">
        <f>VLOOKUP(E5326,'Cadastro Produtos (kiwkiw)'!C:E,3,0)</f>
        <v>#N/A</v>
      </c>
    </row>
    <row r="5327" spans="7:8" ht="15" customHeight="1" x14ac:dyDescent="0.4">
      <c r="G5327" s="27">
        <f t="shared" si="94"/>
        <v>0</v>
      </c>
      <c r="H5327" s="28" t="e">
        <f>VLOOKUP(E5327,'Cadastro Produtos (kiwkiw)'!C:E,3,0)</f>
        <v>#N/A</v>
      </c>
    </row>
    <row r="5328" spans="7:8" ht="15" customHeight="1" x14ac:dyDescent="0.4">
      <c r="G5328" s="27">
        <f t="shared" si="94"/>
        <v>0</v>
      </c>
      <c r="H5328" s="28" t="e">
        <f>VLOOKUP(E5328,'Cadastro Produtos (kiwkiw)'!C:E,3,0)</f>
        <v>#N/A</v>
      </c>
    </row>
    <row r="5329" spans="7:8" ht="15" customHeight="1" x14ac:dyDescent="0.4">
      <c r="G5329" s="27">
        <f t="shared" si="94"/>
        <v>0</v>
      </c>
      <c r="H5329" s="28" t="e">
        <f>VLOOKUP(E5329,'Cadastro Produtos (kiwkiw)'!C:E,3,0)</f>
        <v>#N/A</v>
      </c>
    </row>
    <row r="5330" spans="7:8" ht="15" customHeight="1" x14ac:dyDescent="0.4">
      <c r="G5330" s="27">
        <f t="shared" ref="G5330:G5393" si="95">IF(C5330="Entrada",F5330,-F5330)</f>
        <v>0</v>
      </c>
      <c r="H5330" s="28" t="e">
        <f>VLOOKUP(E5330,'Cadastro Produtos (kiwkiw)'!C:E,3,0)</f>
        <v>#N/A</v>
      </c>
    </row>
    <row r="5331" spans="7:8" ht="15" customHeight="1" x14ac:dyDescent="0.4">
      <c r="G5331" s="27">
        <f t="shared" si="95"/>
        <v>0</v>
      </c>
      <c r="H5331" s="28" t="e">
        <f>VLOOKUP(E5331,'Cadastro Produtos (kiwkiw)'!C:E,3,0)</f>
        <v>#N/A</v>
      </c>
    </row>
    <row r="5332" spans="7:8" ht="15" customHeight="1" x14ac:dyDescent="0.4">
      <c r="G5332" s="27">
        <f t="shared" si="95"/>
        <v>0</v>
      </c>
      <c r="H5332" s="28" t="e">
        <f>VLOOKUP(E5332,'Cadastro Produtos (kiwkiw)'!C:E,3,0)</f>
        <v>#N/A</v>
      </c>
    </row>
    <row r="5333" spans="7:8" ht="15" customHeight="1" x14ac:dyDescent="0.4">
      <c r="G5333" s="27">
        <f t="shared" si="95"/>
        <v>0</v>
      </c>
      <c r="H5333" s="28" t="e">
        <f>VLOOKUP(E5333,'Cadastro Produtos (kiwkiw)'!C:E,3,0)</f>
        <v>#N/A</v>
      </c>
    </row>
    <row r="5334" spans="7:8" ht="15" customHeight="1" x14ac:dyDescent="0.4">
      <c r="G5334" s="27">
        <f t="shared" si="95"/>
        <v>0</v>
      </c>
      <c r="H5334" s="28" t="e">
        <f>VLOOKUP(E5334,'Cadastro Produtos (kiwkiw)'!C:E,3,0)</f>
        <v>#N/A</v>
      </c>
    </row>
    <row r="5335" spans="7:8" ht="15" customHeight="1" x14ac:dyDescent="0.4">
      <c r="G5335" s="27">
        <f t="shared" si="95"/>
        <v>0</v>
      </c>
      <c r="H5335" s="28" t="e">
        <f>VLOOKUP(E5335,'Cadastro Produtos (kiwkiw)'!C:E,3,0)</f>
        <v>#N/A</v>
      </c>
    </row>
    <row r="5336" spans="7:8" ht="15" customHeight="1" x14ac:dyDescent="0.4">
      <c r="G5336" s="27">
        <f t="shared" si="95"/>
        <v>0</v>
      </c>
      <c r="H5336" s="28" t="e">
        <f>VLOOKUP(E5336,'Cadastro Produtos (kiwkiw)'!C:E,3,0)</f>
        <v>#N/A</v>
      </c>
    </row>
    <row r="5337" spans="7:8" ht="15" customHeight="1" x14ac:dyDescent="0.4">
      <c r="G5337" s="27">
        <f t="shared" si="95"/>
        <v>0</v>
      </c>
      <c r="H5337" s="28" t="e">
        <f>VLOOKUP(E5337,'Cadastro Produtos (kiwkiw)'!C:E,3,0)</f>
        <v>#N/A</v>
      </c>
    </row>
    <row r="5338" spans="7:8" ht="15" customHeight="1" x14ac:dyDescent="0.4">
      <c r="G5338" s="27">
        <f t="shared" si="95"/>
        <v>0</v>
      </c>
      <c r="H5338" s="28" t="e">
        <f>VLOOKUP(E5338,'Cadastro Produtos (kiwkiw)'!C:E,3,0)</f>
        <v>#N/A</v>
      </c>
    </row>
    <row r="5339" spans="7:8" ht="15" customHeight="1" x14ac:dyDescent="0.4">
      <c r="G5339" s="27">
        <f t="shared" si="95"/>
        <v>0</v>
      </c>
      <c r="H5339" s="28" t="e">
        <f>VLOOKUP(E5339,'Cadastro Produtos (kiwkiw)'!C:E,3,0)</f>
        <v>#N/A</v>
      </c>
    </row>
    <row r="5340" spans="7:8" ht="15" customHeight="1" x14ac:dyDescent="0.4">
      <c r="G5340" s="27">
        <f t="shared" si="95"/>
        <v>0</v>
      </c>
      <c r="H5340" s="28" t="e">
        <f>VLOOKUP(E5340,'Cadastro Produtos (kiwkiw)'!C:E,3,0)</f>
        <v>#N/A</v>
      </c>
    </row>
    <row r="5341" spans="7:8" ht="15" customHeight="1" x14ac:dyDescent="0.4">
      <c r="G5341" s="27">
        <f t="shared" si="95"/>
        <v>0</v>
      </c>
      <c r="H5341" s="28" t="e">
        <f>VLOOKUP(E5341,'Cadastro Produtos (kiwkiw)'!C:E,3,0)</f>
        <v>#N/A</v>
      </c>
    </row>
    <row r="5342" spans="7:8" ht="15" customHeight="1" x14ac:dyDescent="0.4">
      <c r="G5342" s="27">
        <f t="shared" si="95"/>
        <v>0</v>
      </c>
      <c r="H5342" s="28" t="e">
        <f>VLOOKUP(E5342,'Cadastro Produtos (kiwkiw)'!C:E,3,0)</f>
        <v>#N/A</v>
      </c>
    </row>
    <row r="5343" spans="7:8" ht="15" customHeight="1" x14ac:dyDescent="0.4">
      <c r="G5343" s="27">
        <f t="shared" si="95"/>
        <v>0</v>
      </c>
      <c r="H5343" s="28" t="e">
        <f>VLOOKUP(E5343,'Cadastro Produtos (kiwkiw)'!C:E,3,0)</f>
        <v>#N/A</v>
      </c>
    </row>
    <row r="5344" spans="7:8" ht="15" customHeight="1" x14ac:dyDescent="0.4">
      <c r="G5344" s="27">
        <f t="shared" si="95"/>
        <v>0</v>
      </c>
      <c r="H5344" s="28" t="e">
        <f>VLOOKUP(E5344,'Cadastro Produtos (kiwkiw)'!C:E,3,0)</f>
        <v>#N/A</v>
      </c>
    </row>
    <row r="5345" spans="7:8" ht="15" customHeight="1" x14ac:dyDescent="0.4">
      <c r="G5345" s="27">
        <f t="shared" si="95"/>
        <v>0</v>
      </c>
      <c r="H5345" s="28" t="e">
        <f>VLOOKUP(E5345,'Cadastro Produtos (kiwkiw)'!C:E,3,0)</f>
        <v>#N/A</v>
      </c>
    </row>
    <row r="5346" spans="7:8" ht="15" customHeight="1" x14ac:dyDescent="0.4">
      <c r="G5346" s="27">
        <f t="shared" si="95"/>
        <v>0</v>
      </c>
      <c r="H5346" s="28" t="e">
        <f>VLOOKUP(E5346,'Cadastro Produtos (kiwkiw)'!C:E,3,0)</f>
        <v>#N/A</v>
      </c>
    </row>
    <row r="5347" spans="7:8" ht="15" customHeight="1" x14ac:dyDescent="0.4">
      <c r="G5347" s="27">
        <f t="shared" si="95"/>
        <v>0</v>
      </c>
      <c r="H5347" s="28" t="e">
        <f>VLOOKUP(E5347,'Cadastro Produtos (kiwkiw)'!C:E,3,0)</f>
        <v>#N/A</v>
      </c>
    </row>
    <row r="5348" spans="7:8" ht="15" customHeight="1" x14ac:dyDescent="0.4">
      <c r="G5348" s="27">
        <f t="shared" si="95"/>
        <v>0</v>
      </c>
      <c r="H5348" s="28" t="e">
        <f>VLOOKUP(E5348,'Cadastro Produtos (kiwkiw)'!C:E,3,0)</f>
        <v>#N/A</v>
      </c>
    </row>
    <row r="5349" spans="7:8" ht="15" customHeight="1" x14ac:dyDescent="0.4">
      <c r="G5349" s="27">
        <f t="shared" si="95"/>
        <v>0</v>
      </c>
      <c r="H5349" s="28" t="e">
        <f>VLOOKUP(E5349,'Cadastro Produtos (kiwkiw)'!C:E,3,0)</f>
        <v>#N/A</v>
      </c>
    </row>
    <row r="5350" spans="7:8" ht="15" customHeight="1" x14ac:dyDescent="0.4">
      <c r="G5350" s="27">
        <f t="shared" si="95"/>
        <v>0</v>
      </c>
      <c r="H5350" s="28" t="e">
        <f>VLOOKUP(E5350,'Cadastro Produtos (kiwkiw)'!C:E,3,0)</f>
        <v>#N/A</v>
      </c>
    </row>
    <row r="5351" spans="7:8" ht="15" customHeight="1" x14ac:dyDescent="0.4">
      <c r="G5351" s="27">
        <f t="shared" si="95"/>
        <v>0</v>
      </c>
      <c r="H5351" s="28" t="e">
        <f>VLOOKUP(E5351,'Cadastro Produtos (kiwkiw)'!C:E,3,0)</f>
        <v>#N/A</v>
      </c>
    </row>
    <row r="5352" spans="7:8" ht="15" customHeight="1" x14ac:dyDescent="0.4">
      <c r="G5352" s="27">
        <f t="shared" si="95"/>
        <v>0</v>
      </c>
      <c r="H5352" s="28" t="e">
        <f>VLOOKUP(E5352,'Cadastro Produtos (kiwkiw)'!C:E,3,0)</f>
        <v>#N/A</v>
      </c>
    </row>
    <row r="5353" spans="7:8" ht="15" customHeight="1" x14ac:dyDescent="0.4">
      <c r="G5353" s="27">
        <f t="shared" si="95"/>
        <v>0</v>
      </c>
      <c r="H5353" s="28" t="e">
        <f>VLOOKUP(E5353,'Cadastro Produtos (kiwkiw)'!C:E,3,0)</f>
        <v>#N/A</v>
      </c>
    </row>
    <row r="5354" spans="7:8" ht="15" customHeight="1" x14ac:dyDescent="0.4">
      <c r="G5354" s="27">
        <f t="shared" si="95"/>
        <v>0</v>
      </c>
      <c r="H5354" s="28" t="e">
        <f>VLOOKUP(E5354,'Cadastro Produtos (kiwkiw)'!C:E,3,0)</f>
        <v>#N/A</v>
      </c>
    </row>
    <row r="5355" spans="7:8" ht="15" customHeight="1" x14ac:dyDescent="0.4">
      <c r="G5355" s="27">
        <f t="shared" si="95"/>
        <v>0</v>
      </c>
      <c r="H5355" s="28" t="e">
        <f>VLOOKUP(E5355,'Cadastro Produtos (kiwkiw)'!C:E,3,0)</f>
        <v>#N/A</v>
      </c>
    </row>
    <row r="5356" spans="7:8" ht="15" customHeight="1" x14ac:dyDescent="0.4">
      <c r="G5356" s="27">
        <f t="shared" si="95"/>
        <v>0</v>
      </c>
      <c r="H5356" s="28" t="e">
        <f>VLOOKUP(E5356,'Cadastro Produtos (kiwkiw)'!C:E,3,0)</f>
        <v>#N/A</v>
      </c>
    </row>
    <row r="5357" spans="7:8" ht="15" customHeight="1" x14ac:dyDescent="0.4">
      <c r="G5357" s="27">
        <f t="shared" si="95"/>
        <v>0</v>
      </c>
      <c r="H5357" s="28" t="e">
        <f>VLOOKUP(E5357,'Cadastro Produtos (kiwkiw)'!C:E,3,0)</f>
        <v>#N/A</v>
      </c>
    </row>
    <row r="5358" spans="7:8" ht="15" customHeight="1" x14ac:dyDescent="0.4">
      <c r="G5358" s="27">
        <f t="shared" si="95"/>
        <v>0</v>
      </c>
      <c r="H5358" s="28" t="e">
        <f>VLOOKUP(E5358,'Cadastro Produtos (kiwkiw)'!C:E,3,0)</f>
        <v>#N/A</v>
      </c>
    </row>
    <row r="5359" spans="7:8" ht="15" customHeight="1" x14ac:dyDescent="0.4">
      <c r="G5359" s="27">
        <f t="shared" si="95"/>
        <v>0</v>
      </c>
      <c r="H5359" s="28" t="e">
        <f>VLOOKUP(E5359,'Cadastro Produtos (kiwkiw)'!C:E,3,0)</f>
        <v>#N/A</v>
      </c>
    </row>
    <row r="5360" spans="7:8" ht="15" customHeight="1" x14ac:dyDescent="0.4">
      <c r="G5360" s="27">
        <f t="shared" si="95"/>
        <v>0</v>
      </c>
      <c r="H5360" s="28" t="e">
        <f>VLOOKUP(E5360,'Cadastro Produtos (kiwkiw)'!C:E,3,0)</f>
        <v>#N/A</v>
      </c>
    </row>
    <row r="5361" spans="7:8" ht="15" customHeight="1" x14ac:dyDescent="0.4">
      <c r="G5361" s="27">
        <f t="shared" si="95"/>
        <v>0</v>
      </c>
      <c r="H5361" s="28" t="e">
        <f>VLOOKUP(E5361,'Cadastro Produtos (kiwkiw)'!C:E,3,0)</f>
        <v>#N/A</v>
      </c>
    </row>
    <row r="5362" spans="7:8" ht="15" customHeight="1" x14ac:dyDescent="0.4">
      <c r="G5362" s="27">
        <f t="shared" si="95"/>
        <v>0</v>
      </c>
      <c r="H5362" s="28" t="e">
        <f>VLOOKUP(E5362,'Cadastro Produtos (kiwkiw)'!C:E,3,0)</f>
        <v>#N/A</v>
      </c>
    </row>
    <row r="5363" spans="7:8" ht="15" customHeight="1" x14ac:dyDescent="0.4">
      <c r="G5363" s="27">
        <f t="shared" si="95"/>
        <v>0</v>
      </c>
      <c r="H5363" s="28" t="e">
        <f>VLOOKUP(E5363,'Cadastro Produtos (kiwkiw)'!C:E,3,0)</f>
        <v>#N/A</v>
      </c>
    </row>
    <row r="5364" spans="7:8" ht="15" customHeight="1" x14ac:dyDescent="0.4">
      <c r="G5364" s="27">
        <f t="shared" si="95"/>
        <v>0</v>
      </c>
      <c r="H5364" s="28" t="e">
        <f>VLOOKUP(E5364,'Cadastro Produtos (kiwkiw)'!C:E,3,0)</f>
        <v>#N/A</v>
      </c>
    </row>
    <row r="5365" spans="7:8" ht="15" customHeight="1" x14ac:dyDescent="0.4">
      <c r="G5365" s="27">
        <f t="shared" si="95"/>
        <v>0</v>
      </c>
      <c r="H5365" s="28" t="e">
        <f>VLOOKUP(E5365,'Cadastro Produtos (kiwkiw)'!C:E,3,0)</f>
        <v>#N/A</v>
      </c>
    </row>
    <row r="5366" spans="7:8" ht="15" customHeight="1" x14ac:dyDescent="0.4">
      <c r="G5366" s="27">
        <f t="shared" si="95"/>
        <v>0</v>
      </c>
      <c r="H5366" s="28" t="e">
        <f>VLOOKUP(E5366,'Cadastro Produtos (kiwkiw)'!C:E,3,0)</f>
        <v>#N/A</v>
      </c>
    </row>
    <row r="5367" spans="7:8" ht="15" customHeight="1" x14ac:dyDescent="0.4">
      <c r="G5367" s="27">
        <f t="shared" si="95"/>
        <v>0</v>
      </c>
      <c r="H5367" s="28" t="e">
        <f>VLOOKUP(E5367,'Cadastro Produtos (kiwkiw)'!C:E,3,0)</f>
        <v>#N/A</v>
      </c>
    </row>
    <row r="5368" spans="7:8" ht="15" customHeight="1" x14ac:dyDescent="0.4">
      <c r="G5368" s="27">
        <f t="shared" si="95"/>
        <v>0</v>
      </c>
      <c r="H5368" s="28" t="e">
        <f>VLOOKUP(E5368,'Cadastro Produtos (kiwkiw)'!C:E,3,0)</f>
        <v>#N/A</v>
      </c>
    </row>
    <row r="5369" spans="7:8" ht="15" customHeight="1" x14ac:dyDescent="0.4">
      <c r="G5369" s="27">
        <f t="shared" si="95"/>
        <v>0</v>
      </c>
      <c r="H5369" s="28" t="e">
        <f>VLOOKUP(E5369,'Cadastro Produtos (kiwkiw)'!C:E,3,0)</f>
        <v>#N/A</v>
      </c>
    </row>
    <row r="5370" spans="7:8" ht="15" customHeight="1" x14ac:dyDescent="0.4">
      <c r="G5370" s="27">
        <f t="shared" si="95"/>
        <v>0</v>
      </c>
      <c r="H5370" s="28" t="e">
        <f>VLOOKUP(E5370,'Cadastro Produtos (kiwkiw)'!C:E,3,0)</f>
        <v>#N/A</v>
      </c>
    </row>
    <row r="5371" spans="7:8" ht="15" customHeight="1" x14ac:dyDescent="0.4">
      <c r="G5371" s="27">
        <f t="shared" si="95"/>
        <v>0</v>
      </c>
      <c r="H5371" s="28" t="e">
        <f>VLOOKUP(E5371,'Cadastro Produtos (kiwkiw)'!C:E,3,0)</f>
        <v>#N/A</v>
      </c>
    </row>
    <row r="5372" spans="7:8" ht="15" customHeight="1" x14ac:dyDescent="0.4">
      <c r="G5372" s="27">
        <f t="shared" si="95"/>
        <v>0</v>
      </c>
      <c r="H5372" s="28" t="e">
        <f>VLOOKUP(E5372,'Cadastro Produtos (kiwkiw)'!C:E,3,0)</f>
        <v>#N/A</v>
      </c>
    </row>
    <row r="5373" spans="7:8" ht="15" customHeight="1" x14ac:dyDescent="0.4">
      <c r="G5373" s="27">
        <f t="shared" si="95"/>
        <v>0</v>
      </c>
      <c r="H5373" s="28" t="e">
        <f>VLOOKUP(E5373,'Cadastro Produtos (kiwkiw)'!C:E,3,0)</f>
        <v>#N/A</v>
      </c>
    </row>
    <row r="5374" spans="7:8" ht="15" customHeight="1" x14ac:dyDescent="0.4">
      <c r="G5374" s="27">
        <f t="shared" si="95"/>
        <v>0</v>
      </c>
      <c r="H5374" s="28" t="e">
        <f>VLOOKUP(E5374,'Cadastro Produtos (kiwkiw)'!C:E,3,0)</f>
        <v>#N/A</v>
      </c>
    </row>
    <row r="5375" spans="7:8" ht="15" customHeight="1" x14ac:dyDescent="0.4">
      <c r="G5375" s="27">
        <f t="shared" si="95"/>
        <v>0</v>
      </c>
      <c r="H5375" s="28" t="e">
        <f>VLOOKUP(E5375,'Cadastro Produtos (kiwkiw)'!C:E,3,0)</f>
        <v>#N/A</v>
      </c>
    </row>
    <row r="5376" spans="7:8" ht="15" customHeight="1" x14ac:dyDescent="0.4">
      <c r="G5376" s="27">
        <f t="shared" si="95"/>
        <v>0</v>
      </c>
      <c r="H5376" s="28" t="e">
        <f>VLOOKUP(E5376,'Cadastro Produtos (kiwkiw)'!C:E,3,0)</f>
        <v>#N/A</v>
      </c>
    </row>
    <row r="5377" spans="7:8" ht="15" customHeight="1" x14ac:dyDescent="0.4">
      <c r="G5377" s="27">
        <f t="shared" si="95"/>
        <v>0</v>
      </c>
      <c r="H5377" s="28" t="e">
        <f>VLOOKUP(E5377,'Cadastro Produtos (kiwkiw)'!C:E,3,0)</f>
        <v>#N/A</v>
      </c>
    </row>
    <row r="5378" spans="7:8" ht="15" customHeight="1" x14ac:dyDescent="0.4">
      <c r="G5378" s="27">
        <f t="shared" si="95"/>
        <v>0</v>
      </c>
      <c r="H5378" s="28" t="e">
        <f>VLOOKUP(E5378,'Cadastro Produtos (kiwkiw)'!C:E,3,0)</f>
        <v>#N/A</v>
      </c>
    </row>
    <row r="5379" spans="7:8" ht="15" customHeight="1" x14ac:dyDescent="0.4">
      <c r="G5379" s="27">
        <f t="shared" si="95"/>
        <v>0</v>
      </c>
      <c r="H5379" s="28" t="e">
        <f>VLOOKUP(E5379,'Cadastro Produtos (kiwkiw)'!C:E,3,0)</f>
        <v>#N/A</v>
      </c>
    </row>
    <row r="5380" spans="7:8" ht="15" customHeight="1" x14ac:dyDescent="0.4">
      <c r="G5380" s="27">
        <f t="shared" si="95"/>
        <v>0</v>
      </c>
      <c r="H5380" s="28" t="e">
        <f>VLOOKUP(E5380,'Cadastro Produtos (kiwkiw)'!C:E,3,0)</f>
        <v>#N/A</v>
      </c>
    </row>
    <row r="5381" spans="7:8" ht="15" customHeight="1" x14ac:dyDescent="0.4">
      <c r="G5381" s="27">
        <f t="shared" si="95"/>
        <v>0</v>
      </c>
      <c r="H5381" s="28" t="e">
        <f>VLOOKUP(E5381,'Cadastro Produtos (kiwkiw)'!C:E,3,0)</f>
        <v>#N/A</v>
      </c>
    </row>
    <row r="5382" spans="7:8" ht="15" customHeight="1" x14ac:dyDescent="0.4">
      <c r="G5382" s="27">
        <f t="shared" si="95"/>
        <v>0</v>
      </c>
      <c r="H5382" s="28" t="e">
        <f>VLOOKUP(E5382,'Cadastro Produtos (kiwkiw)'!C:E,3,0)</f>
        <v>#N/A</v>
      </c>
    </row>
    <row r="5383" spans="7:8" ht="15" customHeight="1" x14ac:dyDescent="0.4">
      <c r="G5383" s="27">
        <f t="shared" si="95"/>
        <v>0</v>
      </c>
      <c r="H5383" s="28" t="e">
        <f>VLOOKUP(E5383,'Cadastro Produtos (kiwkiw)'!C:E,3,0)</f>
        <v>#N/A</v>
      </c>
    </row>
    <row r="5384" spans="7:8" ht="15" customHeight="1" x14ac:dyDescent="0.4">
      <c r="G5384" s="27">
        <f t="shared" si="95"/>
        <v>0</v>
      </c>
      <c r="H5384" s="28" t="e">
        <f>VLOOKUP(E5384,'Cadastro Produtos (kiwkiw)'!C:E,3,0)</f>
        <v>#N/A</v>
      </c>
    </row>
    <row r="5385" spans="7:8" ht="15" customHeight="1" x14ac:dyDescent="0.4">
      <c r="G5385" s="27">
        <f t="shared" si="95"/>
        <v>0</v>
      </c>
      <c r="H5385" s="28" t="e">
        <f>VLOOKUP(E5385,'Cadastro Produtos (kiwkiw)'!C:E,3,0)</f>
        <v>#N/A</v>
      </c>
    </row>
    <row r="5386" spans="7:8" ht="15" customHeight="1" x14ac:dyDescent="0.4">
      <c r="G5386" s="27">
        <f t="shared" si="95"/>
        <v>0</v>
      </c>
      <c r="H5386" s="28" t="e">
        <f>VLOOKUP(E5386,'Cadastro Produtos (kiwkiw)'!C:E,3,0)</f>
        <v>#N/A</v>
      </c>
    </row>
    <row r="5387" spans="7:8" ht="15" customHeight="1" x14ac:dyDescent="0.4">
      <c r="G5387" s="27">
        <f t="shared" si="95"/>
        <v>0</v>
      </c>
      <c r="H5387" s="28" t="e">
        <f>VLOOKUP(E5387,'Cadastro Produtos (kiwkiw)'!C:E,3,0)</f>
        <v>#N/A</v>
      </c>
    </row>
    <row r="5388" spans="7:8" ht="15" customHeight="1" x14ac:dyDescent="0.4">
      <c r="G5388" s="27">
        <f t="shared" si="95"/>
        <v>0</v>
      </c>
      <c r="H5388" s="28" t="e">
        <f>VLOOKUP(E5388,'Cadastro Produtos (kiwkiw)'!C:E,3,0)</f>
        <v>#N/A</v>
      </c>
    </row>
    <row r="5389" spans="7:8" ht="15" customHeight="1" x14ac:dyDescent="0.4">
      <c r="G5389" s="27">
        <f t="shared" si="95"/>
        <v>0</v>
      </c>
      <c r="H5389" s="28" t="e">
        <f>VLOOKUP(E5389,'Cadastro Produtos (kiwkiw)'!C:E,3,0)</f>
        <v>#N/A</v>
      </c>
    </row>
    <row r="5390" spans="7:8" ht="15" customHeight="1" x14ac:dyDescent="0.4">
      <c r="G5390" s="27">
        <f t="shared" si="95"/>
        <v>0</v>
      </c>
      <c r="H5390" s="28" t="e">
        <f>VLOOKUP(E5390,'Cadastro Produtos (kiwkiw)'!C:E,3,0)</f>
        <v>#N/A</v>
      </c>
    </row>
    <row r="5391" spans="7:8" ht="15" customHeight="1" x14ac:dyDescent="0.4">
      <c r="G5391" s="27">
        <f t="shared" si="95"/>
        <v>0</v>
      </c>
      <c r="H5391" s="28" t="e">
        <f>VLOOKUP(E5391,'Cadastro Produtos (kiwkiw)'!C:E,3,0)</f>
        <v>#N/A</v>
      </c>
    </row>
    <row r="5392" spans="7:8" ht="15" customHeight="1" x14ac:dyDescent="0.4">
      <c r="G5392" s="27">
        <f t="shared" si="95"/>
        <v>0</v>
      </c>
      <c r="H5392" s="28" t="e">
        <f>VLOOKUP(E5392,'Cadastro Produtos (kiwkiw)'!C:E,3,0)</f>
        <v>#N/A</v>
      </c>
    </row>
    <row r="5393" spans="7:8" ht="15" customHeight="1" x14ac:dyDescent="0.4">
      <c r="G5393" s="27">
        <f t="shared" si="95"/>
        <v>0</v>
      </c>
      <c r="H5393" s="28" t="e">
        <f>VLOOKUP(E5393,'Cadastro Produtos (kiwkiw)'!C:E,3,0)</f>
        <v>#N/A</v>
      </c>
    </row>
    <row r="5394" spans="7:8" ht="15" customHeight="1" x14ac:dyDescent="0.4">
      <c r="G5394" s="27">
        <f t="shared" ref="G5394:G5457" si="96">IF(C5394="Entrada",F5394,-F5394)</f>
        <v>0</v>
      </c>
      <c r="H5394" s="28" t="e">
        <f>VLOOKUP(E5394,'Cadastro Produtos (kiwkiw)'!C:E,3,0)</f>
        <v>#N/A</v>
      </c>
    </row>
    <row r="5395" spans="7:8" ht="15" customHeight="1" x14ac:dyDescent="0.4">
      <c r="G5395" s="27">
        <f t="shared" si="96"/>
        <v>0</v>
      </c>
      <c r="H5395" s="28" t="e">
        <f>VLOOKUP(E5395,'Cadastro Produtos (kiwkiw)'!C:E,3,0)</f>
        <v>#N/A</v>
      </c>
    </row>
    <row r="5396" spans="7:8" ht="15" customHeight="1" x14ac:dyDescent="0.4">
      <c r="G5396" s="27">
        <f t="shared" si="96"/>
        <v>0</v>
      </c>
      <c r="H5396" s="28" t="e">
        <f>VLOOKUP(E5396,'Cadastro Produtos (kiwkiw)'!C:E,3,0)</f>
        <v>#N/A</v>
      </c>
    </row>
    <row r="5397" spans="7:8" ht="15" customHeight="1" x14ac:dyDescent="0.4">
      <c r="G5397" s="27">
        <f t="shared" si="96"/>
        <v>0</v>
      </c>
      <c r="H5397" s="28" t="e">
        <f>VLOOKUP(E5397,'Cadastro Produtos (kiwkiw)'!C:E,3,0)</f>
        <v>#N/A</v>
      </c>
    </row>
    <row r="5398" spans="7:8" ht="15" customHeight="1" x14ac:dyDescent="0.4">
      <c r="G5398" s="27">
        <f t="shared" si="96"/>
        <v>0</v>
      </c>
      <c r="H5398" s="28" t="e">
        <f>VLOOKUP(E5398,'Cadastro Produtos (kiwkiw)'!C:E,3,0)</f>
        <v>#N/A</v>
      </c>
    </row>
    <row r="5399" spans="7:8" ht="15" customHeight="1" x14ac:dyDescent="0.4">
      <c r="G5399" s="27">
        <f t="shared" si="96"/>
        <v>0</v>
      </c>
      <c r="H5399" s="28" t="e">
        <f>VLOOKUP(E5399,'Cadastro Produtos (kiwkiw)'!C:E,3,0)</f>
        <v>#N/A</v>
      </c>
    </row>
    <row r="5400" spans="7:8" ht="15" customHeight="1" x14ac:dyDescent="0.4">
      <c r="G5400" s="27">
        <f t="shared" si="96"/>
        <v>0</v>
      </c>
      <c r="H5400" s="28" t="e">
        <f>VLOOKUP(E5400,'Cadastro Produtos (kiwkiw)'!C:E,3,0)</f>
        <v>#N/A</v>
      </c>
    </row>
    <row r="5401" spans="7:8" ht="15" customHeight="1" x14ac:dyDescent="0.4">
      <c r="G5401" s="27">
        <f t="shared" si="96"/>
        <v>0</v>
      </c>
      <c r="H5401" s="28" t="e">
        <f>VLOOKUP(E5401,'Cadastro Produtos (kiwkiw)'!C:E,3,0)</f>
        <v>#N/A</v>
      </c>
    </row>
    <row r="5402" spans="7:8" ht="15" customHeight="1" x14ac:dyDescent="0.4">
      <c r="G5402" s="27">
        <f t="shared" si="96"/>
        <v>0</v>
      </c>
      <c r="H5402" s="28" t="e">
        <f>VLOOKUP(E5402,'Cadastro Produtos (kiwkiw)'!C:E,3,0)</f>
        <v>#N/A</v>
      </c>
    </row>
    <row r="5403" spans="7:8" ht="15" customHeight="1" x14ac:dyDescent="0.4">
      <c r="G5403" s="27">
        <f t="shared" si="96"/>
        <v>0</v>
      </c>
      <c r="H5403" s="28" t="e">
        <f>VLOOKUP(E5403,'Cadastro Produtos (kiwkiw)'!C:E,3,0)</f>
        <v>#N/A</v>
      </c>
    </row>
    <row r="5404" spans="7:8" ht="15" customHeight="1" x14ac:dyDescent="0.4">
      <c r="G5404" s="27">
        <f t="shared" si="96"/>
        <v>0</v>
      </c>
      <c r="H5404" s="28" t="e">
        <f>VLOOKUP(E5404,'Cadastro Produtos (kiwkiw)'!C:E,3,0)</f>
        <v>#N/A</v>
      </c>
    </row>
    <row r="5405" spans="7:8" ht="15" customHeight="1" x14ac:dyDescent="0.4">
      <c r="G5405" s="27">
        <f t="shared" si="96"/>
        <v>0</v>
      </c>
      <c r="H5405" s="28" t="e">
        <f>VLOOKUP(E5405,'Cadastro Produtos (kiwkiw)'!C:E,3,0)</f>
        <v>#N/A</v>
      </c>
    </row>
    <row r="5406" spans="7:8" ht="15" customHeight="1" x14ac:dyDescent="0.4">
      <c r="G5406" s="27">
        <f t="shared" si="96"/>
        <v>0</v>
      </c>
      <c r="H5406" s="28" t="e">
        <f>VLOOKUP(E5406,'Cadastro Produtos (kiwkiw)'!C:E,3,0)</f>
        <v>#N/A</v>
      </c>
    </row>
    <row r="5407" spans="7:8" ht="15" customHeight="1" x14ac:dyDescent="0.4">
      <c r="G5407" s="27">
        <f t="shared" si="96"/>
        <v>0</v>
      </c>
      <c r="H5407" s="28" t="e">
        <f>VLOOKUP(E5407,'Cadastro Produtos (kiwkiw)'!C:E,3,0)</f>
        <v>#N/A</v>
      </c>
    </row>
    <row r="5408" spans="7:8" ht="15" customHeight="1" x14ac:dyDescent="0.4">
      <c r="G5408" s="27">
        <f t="shared" si="96"/>
        <v>0</v>
      </c>
      <c r="H5408" s="28" t="e">
        <f>VLOOKUP(E5408,'Cadastro Produtos (kiwkiw)'!C:E,3,0)</f>
        <v>#N/A</v>
      </c>
    </row>
    <row r="5409" spans="2:8" ht="15" customHeight="1" x14ac:dyDescent="0.4">
      <c r="G5409" s="27">
        <f t="shared" si="96"/>
        <v>0</v>
      </c>
      <c r="H5409" s="28" t="e">
        <f>VLOOKUP(E5409,'Cadastro Produtos (kiwkiw)'!C:E,3,0)</f>
        <v>#N/A</v>
      </c>
    </row>
    <row r="5410" spans="2:8" ht="15" customHeight="1" x14ac:dyDescent="0.4">
      <c r="G5410" s="27">
        <f t="shared" si="96"/>
        <v>0</v>
      </c>
      <c r="H5410" s="28" t="e">
        <f>VLOOKUP(E5410,'Cadastro Produtos (kiwkiw)'!C:E,3,0)</f>
        <v>#N/A</v>
      </c>
    </row>
    <row r="5411" spans="2:8" ht="15" customHeight="1" x14ac:dyDescent="0.4">
      <c r="G5411" s="27">
        <f t="shared" si="96"/>
        <v>0</v>
      </c>
      <c r="H5411" s="28" t="e">
        <f>VLOOKUP(E5411,'Cadastro Produtos (kiwkiw)'!C:E,3,0)</f>
        <v>#N/A</v>
      </c>
    </row>
    <row r="5412" spans="2:8" ht="15" customHeight="1" x14ac:dyDescent="0.4">
      <c r="G5412" s="27">
        <f t="shared" si="96"/>
        <v>0</v>
      </c>
      <c r="H5412" s="28" t="e">
        <f>VLOOKUP(E5412,'Cadastro Produtos (kiwkiw)'!C:E,3,0)</f>
        <v>#N/A</v>
      </c>
    </row>
    <row r="5413" spans="2:8" ht="15" customHeight="1" x14ac:dyDescent="0.4">
      <c r="G5413" s="27">
        <f t="shared" si="96"/>
        <v>0</v>
      </c>
      <c r="H5413" s="28" t="e">
        <f>VLOOKUP(E5413,'Cadastro Produtos (kiwkiw)'!C:E,3,0)</f>
        <v>#N/A</v>
      </c>
    </row>
    <row r="5414" spans="2:8" ht="15" customHeight="1" x14ac:dyDescent="0.4">
      <c r="G5414" s="27">
        <f t="shared" si="96"/>
        <v>0</v>
      </c>
      <c r="H5414" s="28" t="e">
        <f>VLOOKUP(E5414,'Cadastro Produtos (kiwkiw)'!C:E,3,0)</f>
        <v>#N/A</v>
      </c>
    </row>
    <row r="5415" spans="2:8" ht="15" customHeight="1" x14ac:dyDescent="0.4">
      <c r="B5415" s="43"/>
      <c r="G5415" s="27">
        <f t="shared" si="96"/>
        <v>0</v>
      </c>
      <c r="H5415" s="28" t="e">
        <f>VLOOKUP(E5415,'Cadastro Produtos (kiwkiw)'!C:E,3,0)</f>
        <v>#N/A</v>
      </c>
    </row>
    <row r="5416" spans="2:8" ht="15" customHeight="1" x14ac:dyDescent="0.4">
      <c r="G5416" s="27">
        <f t="shared" si="96"/>
        <v>0</v>
      </c>
      <c r="H5416" s="28" t="e">
        <f>VLOOKUP(E5416,'Cadastro Produtos (kiwkiw)'!C:E,3,0)</f>
        <v>#N/A</v>
      </c>
    </row>
    <row r="5417" spans="2:8" ht="15" customHeight="1" x14ac:dyDescent="0.4">
      <c r="G5417" s="27">
        <f t="shared" si="96"/>
        <v>0</v>
      </c>
      <c r="H5417" s="28" t="e">
        <f>VLOOKUP(E5417,'Cadastro Produtos (kiwkiw)'!C:E,3,0)</f>
        <v>#N/A</v>
      </c>
    </row>
    <row r="5418" spans="2:8" ht="15" customHeight="1" x14ac:dyDescent="0.4">
      <c r="G5418" s="27">
        <f t="shared" si="96"/>
        <v>0</v>
      </c>
      <c r="H5418" s="28" t="e">
        <f>VLOOKUP(E5418,'Cadastro Produtos (kiwkiw)'!C:E,3,0)</f>
        <v>#N/A</v>
      </c>
    </row>
    <row r="5419" spans="2:8" ht="15" customHeight="1" x14ac:dyDescent="0.4">
      <c r="B5419" s="43"/>
      <c r="G5419" s="27">
        <f t="shared" si="96"/>
        <v>0</v>
      </c>
      <c r="H5419" s="28" t="e">
        <f>VLOOKUP(E5419,'Cadastro Produtos (kiwkiw)'!C:E,3,0)</f>
        <v>#N/A</v>
      </c>
    </row>
    <row r="5420" spans="2:8" ht="15" customHeight="1" x14ac:dyDescent="0.4">
      <c r="G5420" s="27">
        <f t="shared" si="96"/>
        <v>0</v>
      </c>
      <c r="H5420" s="28" t="e">
        <f>VLOOKUP(E5420,'Cadastro Produtos (kiwkiw)'!C:E,3,0)</f>
        <v>#N/A</v>
      </c>
    </row>
    <row r="5421" spans="2:8" ht="15" customHeight="1" x14ac:dyDescent="0.4">
      <c r="G5421" s="27">
        <f t="shared" si="96"/>
        <v>0</v>
      </c>
      <c r="H5421" s="28" t="e">
        <f>VLOOKUP(E5421,'Cadastro Produtos (kiwkiw)'!C:E,3,0)</f>
        <v>#N/A</v>
      </c>
    </row>
    <row r="5422" spans="2:8" ht="15" customHeight="1" x14ac:dyDescent="0.4">
      <c r="G5422" s="27">
        <f t="shared" si="96"/>
        <v>0</v>
      </c>
      <c r="H5422" s="28" t="e">
        <f>VLOOKUP(E5422,'Cadastro Produtos (kiwkiw)'!C:E,3,0)</f>
        <v>#N/A</v>
      </c>
    </row>
    <row r="5423" spans="2:8" ht="15" customHeight="1" x14ac:dyDescent="0.4">
      <c r="G5423" s="27">
        <f t="shared" si="96"/>
        <v>0</v>
      </c>
      <c r="H5423" s="28" t="e">
        <f>VLOOKUP(E5423,'Cadastro Produtos (kiwkiw)'!C:E,3,0)</f>
        <v>#N/A</v>
      </c>
    </row>
    <row r="5424" spans="2:8" ht="15" customHeight="1" x14ac:dyDescent="0.4">
      <c r="G5424" s="27">
        <f t="shared" si="96"/>
        <v>0</v>
      </c>
      <c r="H5424" s="28" t="e">
        <f>VLOOKUP(E5424,'Cadastro Produtos (kiwkiw)'!C:E,3,0)</f>
        <v>#N/A</v>
      </c>
    </row>
    <row r="5425" spans="7:8" ht="15" customHeight="1" x14ac:dyDescent="0.4">
      <c r="G5425" s="27">
        <f t="shared" si="96"/>
        <v>0</v>
      </c>
      <c r="H5425" s="28" t="e">
        <f>VLOOKUP(E5425,'Cadastro Produtos (kiwkiw)'!C:E,3,0)</f>
        <v>#N/A</v>
      </c>
    </row>
    <row r="5426" spans="7:8" ht="15" customHeight="1" x14ac:dyDescent="0.4">
      <c r="G5426" s="27">
        <f t="shared" si="96"/>
        <v>0</v>
      </c>
      <c r="H5426" s="28" t="e">
        <f>VLOOKUP(E5426,'Cadastro Produtos (kiwkiw)'!C:E,3,0)</f>
        <v>#N/A</v>
      </c>
    </row>
    <row r="5427" spans="7:8" ht="15" customHeight="1" x14ac:dyDescent="0.4">
      <c r="G5427" s="27">
        <f t="shared" si="96"/>
        <v>0</v>
      </c>
      <c r="H5427" s="28" t="e">
        <f>VLOOKUP(E5427,'Cadastro Produtos (kiwkiw)'!C:E,3,0)</f>
        <v>#N/A</v>
      </c>
    </row>
    <row r="5428" spans="7:8" ht="15" customHeight="1" x14ac:dyDescent="0.4">
      <c r="G5428" s="27">
        <f t="shared" si="96"/>
        <v>0</v>
      </c>
      <c r="H5428" s="28" t="e">
        <f>VLOOKUP(E5428,'Cadastro Produtos (kiwkiw)'!C:E,3,0)</f>
        <v>#N/A</v>
      </c>
    </row>
    <row r="5429" spans="7:8" ht="15" customHeight="1" x14ac:dyDescent="0.4">
      <c r="G5429" s="27">
        <f t="shared" si="96"/>
        <v>0</v>
      </c>
      <c r="H5429" s="28" t="e">
        <f>VLOOKUP(E5429,'Cadastro Produtos (kiwkiw)'!C:E,3,0)</f>
        <v>#N/A</v>
      </c>
    </row>
    <row r="5430" spans="7:8" ht="15" customHeight="1" x14ac:dyDescent="0.4">
      <c r="G5430" s="27">
        <f t="shared" si="96"/>
        <v>0</v>
      </c>
      <c r="H5430" s="28" t="e">
        <f>VLOOKUP(E5430,'Cadastro Produtos (kiwkiw)'!C:E,3,0)</f>
        <v>#N/A</v>
      </c>
    </row>
    <row r="5431" spans="7:8" ht="15" customHeight="1" x14ac:dyDescent="0.4">
      <c r="G5431" s="27">
        <f t="shared" si="96"/>
        <v>0</v>
      </c>
      <c r="H5431" s="28" t="e">
        <f>VLOOKUP(E5431,'Cadastro Produtos (kiwkiw)'!C:E,3,0)</f>
        <v>#N/A</v>
      </c>
    </row>
    <row r="5432" spans="7:8" ht="15" customHeight="1" x14ac:dyDescent="0.4">
      <c r="G5432" s="27">
        <f t="shared" si="96"/>
        <v>0</v>
      </c>
      <c r="H5432" s="28" t="e">
        <f>VLOOKUP(E5432,'Cadastro Produtos (kiwkiw)'!C:E,3,0)</f>
        <v>#N/A</v>
      </c>
    </row>
    <row r="5433" spans="7:8" ht="15" customHeight="1" x14ac:dyDescent="0.4">
      <c r="G5433" s="27">
        <f t="shared" si="96"/>
        <v>0</v>
      </c>
      <c r="H5433" s="28" t="e">
        <f>VLOOKUP(E5433,'Cadastro Produtos (kiwkiw)'!C:E,3,0)</f>
        <v>#N/A</v>
      </c>
    </row>
    <row r="5434" spans="7:8" ht="15" customHeight="1" x14ac:dyDescent="0.4">
      <c r="G5434" s="27">
        <f t="shared" si="96"/>
        <v>0</v>
      </c>
      <c r="H5434" s="28" t="e">
        <f>VLOOKUP(E5434,'Cadastro Produtos (kiwkiw)'!C:E,3,0)</f>
        <v>#N/A</v>
      </c>
    </row>
    <row r="5435" spans="7:8" ht="15" customHeight="1" x14ac:dyDescent="0.4">
      <c r="G5435" s="27">
        <f t="shared" si="96"/>
        <v>0</v>
      </c>
      <c r="H5435" s="28" t="e">
        <f>VLOOKUP(E5435,'Cadastro Produtos (kiwkiw)'!C:E,3,0)</f>
        <v>#N/A</v>
      </c>
    </row>
    <row r="5436" spans="7:8" ht="15" customHeight="1" x14ac:dyDescent="0.4">
      <c r="G5436" s="27">
        <f t="shared" si="96"/>
        <v>0</v>
      </c>
      <c r="H5436" s="28" t="e">
        <f>VLOOKUP(E5436,'Cadastro Produtos (kiwkiw)'!C:E,3,0)</f>
        <v>#N/A</v>
      </c>
    </row>
    <row r="5437" spans="7:8" ht="15" customHeight="1" x14ac:dyDescent="0.4">
      <c r="G5437" s="27">
        <f t="shared" si="96"/>
        <v>0</v>
      </c>
      <c r="H5437" s="28" t="e">
        <f>VLOOKUP(E5437,'Cadastro Produtos (kiwkiw)'!C:E,3,0)</f>
        <v>#N/A</v>
      </c>
    </row>
    <row r="5438" spans="7:8" ht="15" customHeight="1" x14ac:dyDescent="0.4">
      <c r="G5438" s="27">
        <f t="shared" si="96"/>
        <v>0</v>
      </c>
      <c r="H5438" s="28" t="e">
        <f>VLOOKUP(E5438,'Cadastro Produtos (kiwkiw)'!C:E,3,0)</f>
        <v>#N/A</v>
      </c>
    </row>
    <row r="5439" spans="7:8" ht="15" customHeight="1" x14ac:dyDescent="0.4">
      <c r="G5439" s="27">
        <f t="shared" si="96"/>
        <v>0</v>
      </c>
      <c r="H5439" s="28" t="e">
        <f>VLOOKUP(E5439,'Cadastro Produtos (kiwkiw)'!C:E,3,0)</f>
        <v>#N/A</v>
      </c>
    </row>
    <row r="5440" spans="7:8" ht="15" customHeight="1" x14ac:dyDescent="0.4">
      <c r="G5440" s="27">
        <f t="shared" si="96"/>
        <v>0</v>
      </c>
      <c r="H5440" s="28" t="e">
        <f>VLOOKUP(E5440,'Cadastro Produtos (kiwkiw)'!C:E,3,0)</f>
        <v>#N/A</v>
      </c>
    </row>
    <row r="5441" spans="7:8" ht="15" customHeight="1" x14ac:dyDescent="0.4">
      <c r="G5441" s="27">
        <f t="shared" si="96"/>
        <v>0</v>
      </c>
      <c r="H5441" s="28" t="e">
        <f>VLOOKUP(E5441,'Cadastro Produtos (kiwkiw)'!C:E,3,0)</f>
        <v>#N/A</v>
      </c>
    </row>
    <row r="5442" spans="7:8" ht="15" customHeight="1" x14ac:dyDescent="0.4">
      <c r="G5442" s="27">
        <f t="shared" si="96"/>
        <v>0</v>
      </c>
      <c r="H5442" s="28" t="e">
        <f>VLOOKUP(E5442,'Cadastro Produtos (kiwkiw)'!C:E,3,0)</f>
        <v>#N/A</v>
      </c>
    </row>
    <row r="5443" spans="7:8" ht="15" customHeight="1" x14ac:dyDescent="0.4">
      <c r="G5443" s="27">
        <f t="shared" si="96"/>
        <v>0</v>
      </c>
      <c r="H5443" s="28" t="e">
        <f>VLOOKUP(E5443,'Cadastro Produtos (kiwkiw)'!C:E,3,0)</f>
        <v>#N/A</v>
      </c>
    </row>
    <row r="5444" spans="7:8" ht="15" customHeight="1" x14ac:dyDescent="0.4">
      <c r="G5444" s="27">
        <f t="shared" si="96"/>
        <v>0</v>
      </c>
      <c r="H5444" s="28" t="e">
        <f>VLOOKUP(E5444,'Cadastro Produtos (kiwkiw)'!C:E,3,0)</f>
        <v>#N/A</v>
      </c>
    </row>
    <row r="5445" spans="7:8" ht="15" customHeight="1" x14ac:dyDescent="0.4">
      <c r="G5445" s="27">
        <f t="shared" si="96"/>
        <v>0</v>
      </c>
      <c r="H5445" s="28" t="e">
        <f>VLOOKUP(E5445,'Cadastro Produtos (kiwkiw)'!C:E,3,0)</f>
        <v>#N/A</v>
      </c>
    </row>
    <row r="5446" spans="7:8" ht="15" customHeight="1" x14ac:dyDescent="0.4">
      <c r="G5446" s="27">
        <f t="shared" si="96"/>
        <v>0</v>
      </c>
      <c r="H5446" s="28" t="e">
        <f>VLOOKUP(E5446,'Cadastro Produtos (kiwkiw)'!C:E,3,0)</f>
        <v>#N/A</v>
      </c>
    </row>
    <row r="5447" spans="7:8" ht="15" customHeight="1" x14ac:dyDescent="0.4">
      <c r="G5447" s="27">
        <f t="shared" si="96"/>
        <v>0</v>
      </c>
      <c r="H5447" s="28" t="e">
        <f>VLOOKUP(E5447,'Cadastro Produtos (kiwkiw)'!C:E,3,0)</f>
        <v>#N/A</v>
      </c>
    </row>
    <row r="5448" spans="7:8" ht="15" customHeight="1" x14ac:dyDescent="0.4">
      <c r="G5448" s="27">
        <f t="shared" si="96"/>
        <v>0</v>
      </c>
      <c r="H5448" s="28" t="e">
        <f>VLOOKUP(E5448,'Cadastro Produtos (kiwkiw)'!C:E,3,0)</f>
        <v>#N/A</v>
      </c>
    </row>
    <row r="5449" spans="7:8" ht="15" customHeight="1" x14ac:dyDescent="0.4">
      <c r="G5449" s="27">
        <f t="shared" si="96"/>
        <v>0</v>
      </c>
      <c r="H5449" s="28" t="e">
        <f>VLOOKUP(E5449,'Cadastro Produtos (kiwkiw)'!C:E,3,0)</f>
        <v>#N/A</v>
      </c>
    </row>
    <row r="5450" spans="7:8" ht="15" customHeight="1" x14ac:dyDescent="0.4">
      <c r="G5450" s="27">
        <f t="shared" si="96"/>
        <v>0</v>
      </c>
      <c r="H5450" s="28" t="e">
        <f>VLOOKUP(E5450,'Cadastro Produtos (kiwkiw)'!C:E,3,0)</f>
        <v>#N/A</v>
      </c>
    </row>
    <row r="5451" spans="7:8" ht="15" customHeight="1" x14ac:dyDescent="0.4">
      <c r="G5451" s="27">
        <f t="shared" si="96"/>
        <v>0</v>
      </c>
      <c r="H5451" s="28" t="e">
        <f>VLOOKUP(E5451,'Cadastro Produtos (kiwkiw)'!C:E,3,0)</f>
        <v>#N/A</v>
      </c>
    </row>
    <row r="5452" spans="7:8" ht="15" customHeight="1" x14ac:dyDescent="0.4">
      <c r="G5452" s="27">
        <f t="shared" si="96"/>
        <v>0</v>
      </c>
      <c r="H5452" s="28" t="e">
        <f>VLOOKUP(E5452,'Cadastro Produtos (kiwkiw)'!C:E,3,0)</f>
        <v>#N/A</v>
      </c>
    </row>
    <row r="5453" spans="7:8" ht="15" customHeight="1" x14ac:dyDescent="0.4">
      <c r="G5453" s="27">
        <f t="shared" si="96"/>
        <v>0</v>
      </c>
      <c r="H5453" s="28" t="e">
        <f>VLOOKUP(E5453,'Cadastro Produtos (kiwkiw)'!C:E,3,0)</f>
        <v>#N/A</v>
      </c>
    </row>
    <row r="5454" spans="7:8" ht="15" customHeight="1" x14ac:dyDescent="0.4">
      <c r="G5454" s="27">
        <f t="shared" si="96"/>
        <v>0</v>
      </c>
      <c r="H5454" s="28" t="e">
        <f>VLOOKUP(E5454,'Cadastro Produtos (kiwkiw)'!C:E,3,0)</f>
        <v>#N/A</v>
      </c>
    </row>
    <row r="5455" spans="7:8" ht="15" customHeight="1" x14ac:dyDescent="0.4">
      <c r="G5455" s="27">
        <f t="shared" si="96"/>
        <v>0</v>
      </c>
      <c r="H5455" s="28" t="e">
        <f>VLOOKUP(E5455,'Cadastro Produtos (kiwkiw)'!C:E,3,0)</f>
        <v>#N/A</v>
      </c>
    </row>
    <row r="5456" spans="7:8" ht="15" customHeight="1" x14ac:dyDescent="0.4">
      <c r="G5456" s="27">
        <f t="shared" si="96"/>
        <v>0</v>
      </c>
      <c r="H5456" s="28" t="e">
        <f>VLOOKUP(E5456,'Cadastro Produtos (kiwkiw)'!C:E,3,0)</f>
        <v>#N/A</v>
      </c>
    </row>
    <row r="5457" spans="7:8" ht="15" customHeight="1" x14ac:dyDescent="0.4">
      <c r="G5457" s="27">
        <f t="shared" si="96"/>
        <v>0</v>
      </c>
      <c r="H5457" s="28" t="e">
        <f>VLOOKUP(E5457,'Cadastro Produtos (kiwkiw)'!C:E,3,0)</f>
        <v>#N/A</v>
      </c>
    </row>
    <row r="5458" spans="7:8" ht="15" customHeight="1" x14ac:dyDescent="0.4">
      <c r="G5458" s="27">
        <f t="shared" ref="G5458:G5521" si="97">IF(C5458="Entrada",F5458,-F5458)</f>
        <v>0</v>
      </c>
      <c r="H5458" s="28" t="e">
        <f>VLOOKUP(E5458,'Cadastro Produtos (kiwkiw)'!C:E,3,0)</f>
        <v>#N/A</v>
      </c>
    </row>
    <row r="5459" spans="7:8" ht="15" customHeight="1" x14ac:dyDescent="0.4">
      <c r="G5459" s="27">
        <f t="shared" si="97"/>
        <v>0</v>
      </c>
      <c r="H5459" s="28" t="e">
        <f>VLOOKUP(E5459,'Cadastro Produtos (kiwkiw)'!C:E,3,0)</f>
        <v>#N/A</v>
      </c>
    </row>
    <row r="5460" spans="7:8" ht="15" customHeight="1" x14ac:dyDescent="0.4">
      <c r="G5460" s="27">
        <f t="shared" si="97"/>
        <v>0</v>
      </c>
      <c r="H5460" s="28" t="e">
        <f>VLOOKUP(E5460,'Cadastro Produtos (kiwkiw)'!C:E,3,0)</f>
        <v>#N/A</v>
      </c>
    </row>
    <row r="5461" spans="7:8" ht="15" customHeight="1" x14ac:dyDescent="0.4">
      <c r="G5461" s="27">
        <f t="shared" si="97"/>
        <v>0</v>
      </c>
      <c r="H5461" s="28" t="e">
        <f>VLOOKUP(E5461,'Cadastro Produtos (kiwkiw)'!C:E,3,0)</f>
        <v>#N/A</v>
      </c>
    </row>
    <row r="5462" spans="7:8" ht="15" customHeight="1" x14ac:dyDescent="0.4">
      <c r="G5462" s="27">
        <f t="shared" si="97"/>
        <v>0</v>
      </c>
      <c r="H5462" s="28" t="e">
        <f>VLOOKUP(E5462,'Cadastro Produtos (kiwkiw)'!C:E,3,0)</f>
        <v>#N/A</v>
      </c>
    </row>
    <row r="5463" spans="7:8" ht="15" customHeight="1" x14ac:dyDescent="0.4">
      <c r="G5463" s="27">
        <f t="shared" si="97"/>
        <v>0</v>
      </c>
      <c r="H5463" s="28" t="e">
        <f>VLOOKUP(E5463,'Cadastro Produtos (kiwkiw)'!C:E,3,0)</f>
        <v>#N/A</v>
      </c>
    </row>
    <row r="5464" spans="7:8" ht="15" customHeight="1" x14ac:dyDescent="0.4">
      <c r="G5464" s="27">
        <f t="shared" si="97"/>
        <v>0</v>
      </c>
      <c r="H5464" s="28" t="e">
        <f>VLOOKUP(E5464,'Cadastro Produtos (kiwkiw)'!C:E,3,0)</f>
        <v>#N/A</v>
      </c>
    </row>
    <row r="5465" spans="7:8" ht="15" customHeight="1" x14ac:dyDescent="0.4">
      <c r="G5465" s="27">
        <f t="shared" si="97"/>
        <v>0</v>
      </c>
      <c r="H5465" s="28" t="e">
        <f>VLOOKUP(E5465,'Cadastro Produtos (kiwkiw)'!C:E,3,0)</f>
        <v>#N/A</v>
      </c>
    </row>
    <row r="5466" spans="7:8" ht="15" customHeight="1" x14ac:dyDescent="0.4">
      <c r="G5466" s="27">
        <f t="shared" si="97"/>
        <v>0</v>
      </c>
      <c r="H5466" s="28" t="e">
        <f>VLOOKUP(E5466,'Cadastro Produtos (kiwkiw)'!C:E,3,0)</f>
        <v>#N/A</v>
      </c>
    </row>
    <row r="5467" spans="7:8" ht="15" customHeight="1" x14ac:dyDescent="0.4">
      <c r="G5467" s="27">
        <f t="shared" si="97"/>
        <v>0</v>
      </c>
      <c r="H5467" s="28" t="e">
        <f>VLOOKUP(E5467,'Cadastro Produtos (kiwkiw)'!C:E,3,0)</f>
        <v>#N/A</v>
      </c>
    </row>
    <row r="5468" spans="7:8" ht="15" customHeight="1" x14ac:dyDescent="0.4">
      <c r="G5468" s="27">
        <f t="shared" si="97"/>
        <v>0</v>
      </c>
      <c r="H5468" s="28" t="e">
        <f>VLOOKUP(E5468,'Cadastro Produtos (kiwkiw)'!C:E,3,0)</f>
        <v>#N/A</v>
      </c>
    </row>
    <row r="5469" spans="7:8" ht="15" customHeight="1" x14ac:dyDescent="0.4">
      <c r="G5469" s="27">
        <f t="shared" si="97"/>
        <v>0</v>
      </c>
      <c r="H5469" s="28" t="e">
        <f>VLOOKUP(E5469,'Cadastro Produtos (kiwkiw)'!C:E,3,0)</f>
        <v>#N/A</v>
      </c>
    </row>
    <row r="5470" spans="7:8" ht="15" customHeight="1" x14ac:dyDescent="0.4">
      <c r="G5470" s="27">
        <f t="shared" si="97"/>
        <v>0</v>
      </c>
      <c r="H5470" s="28" t="e">
        <f>VLOOKUP(E5470,'Cadastro Produtos (kiwkiw)'!C:E,3,0)</f>
        <v>#N/A</v>
      </c>
    </row>
    <row r="5471" spans="7:8" ht="15" customHeight="1" x14ac:dyDescent="0.4">
      <c r="G5471" s="27">
        <f t="shared" si="97"/>
        <v>0</v>
      </c>
      <c r="H5471" s="28" t="e">
        <f>VLOOKUP(E5471,'Cadastro Produtos (kiwkiw)'!C:E,3,0)</f>
        <v>#N/A</v>
      </c>
    </row>
    <row r="5472" spans="7:8" ht="15" customHeight="1" x14ac:dyDescent="0.4">
      <c r="G5472" s="27">
        <f t="shared" si="97"/>
        <v>0</v>
      </c>
      <c r="H5472" s="28" t="e">
        <f>VLOOKUP(E5472,'Cadastro Produtos (kiwkiw)'!C:E,3,0)</f>
        <v>#N/A</v>
      </c>
    </row>
    <row r="5473" spans="7:8" ht="15" customHeight="1" x14ac:dyDescent="0.4">
      <c r="G5473" s="27">
        <f t="shared" si="97"/>
        <v>0</v>
      </c>
      <c r="H5473" s="28" t="e">
        <f>VLOOKUP(E5473,'Cadastro Produtos (kiwkiw)'!C:E,3,0)</f>
        <v>#N/A</v>
      </c>
    </row>
    <row r="5474" spans="7:8" ht="15" customHeight="1" x14ac:dyDescent="0.4">
      <c r="G5474" s="27">
        <f t="shared" si="97"/>
        <v>0</v>
      </c>
      <c r="H5474" s="28" t="e">
        <f>VLOOKUP(E5474,'Cadastro Produtos (kiwkiw)'!C:E,3,0)</f>
        <v>#N/A</v>
      </c>
    </row>
    <row r="5475" spans="7:8" ht="15" customHeight="1" x14ac:dyDescent="0.4">
      <c r="G5475" s="27">
        <f t="shared" si="97"/>
        <v>0</v>
      </c>
      <c r="H5475" s="28" t="e">
        <f>VLOOKUP(E5475,'Cadastro Produtos (kiwkiw)'!C:E,3,0)</f>
        <v>#N/A</v>
      </c>
    </row>
    <row r="5476" spans="7:8" ht="15" customHeight="1" x14ac:dyDescent="0.4">
      <c r="G5476" s="27">
        <f t="shared" si="97"/>
        <v>0</v>
      </c>
      <c r="H5476" s="28" t="e">
        <f>VLOOKUP(E5476,'Cadastro Produtos (kiwkiw)'!C:E,3,0)</f>
        <v>#N/A</v>
      </c>
    </row>
    <row r="5477" spans="7:8" ht="15" customHeight="1" x14ac:dyDescent="0.4">
      <c r="G5477" s="27">
        <f t="shared" si="97"/>
        <v>0</v>
      </c>
      <c r="H5477" s="28" t="e">
        <f>VLOOKUP(E5477,'Cadastro Produtos (kiwkiw)'!C:E,3,0)</f>
        <v>#N/A</v>
      </c>
    </row>
    <row r="5478" spans="7:8" ht="15" customHeight="1" x14ac:dyDescent="0.4">
      <c r="G5478" s="27">
        <f t="shared" si="97"/>
        <v>0</v>
      </c>
      <c r="H5478" s="28" t="e">
        <f>VLOOKUP(E5478,'Cadastro Produtos (kiwkiw)'!C:E,3,0)</f>
        <v>#N/A</v>
      </c>
    </row>
    <row r="5479" spans="7:8" ht="15" customHeight="1" x14ac:dyDescent="0.4">
      <c r="G5479" s="27">
        <f t="shared" si="97"/>
        <v>0</v>
      </c>
      <c r="H5479" s="28" t="e">
        <f>VLOOKUP(E5479,'Cadastro Produtos (kiwkiw)'!C:E,3,0)</f>
        <v>#N/A</v>
      </c>
    </row>
    <row r="5480" spans="7:8" ht="15" customHeight="1" x14ac:dyDescent="0.4">
      <c r="G5480" s="27">
        <f t="shared" si="97"/>
        <v>0</v>
      </c>
      <c r="H5480" s="28" t="e">
        <f>VLOOKUP(E5480,'Cadastro Produtos (kiwkiw)'!C:E,3,0)</f>
        <v>#N/A</v>
      </c>
    </row>
    <row r="5481" spans="7:8" ht="15" customHeight="1" x14ac:dyDescent="0.4">
      <c r="G5481" s="27">
        <f t="shared" si="97"/>
        <v>0</v>
      </c>
      <c r="H5481" s="28" t="e">
        <f>VLOOKUP(E5481,'Cadastro Produtos (kiwkiw)'!C:E,3,0)</f>
        <v>#N/A</v>
      </c>
    </row>
    <row r="5482" spans="7:8" ht="15" customHeight="1" x14ac:dyDescent="0.4">
      <c r="G5482" s="27">
        <f t="shared" si="97"/>
        <v>0</v>
      </c>
      <c r="H5482" s="28" t="e">
        <f>VLOOKUP(E5482,'Cadastro Produtos (kiwkiw)'!C:E,3,0)</f>
        <v>#N/A</v>
      </c>
    </row>
    <row r="5483" spans="7:8" ht="15" customHeight="1" x14ac:dyDescent="0.4">
      <c r="G5483" s="27">
        <f t="shared" si="97"/>
        <v>0</v>
      </c>
      <c r="H5483" s="28" t="e">
        <f>VLOOKUP(E5483,'Cadastro Produtos (kiwkiw)'!C:E,3,0)</f>
        <v>#N/A</v>
      </c>
    </row>
    <row r="5484" spans="7:8" ht="15" customHeight="1" x14ac:dyDescent="0.4">
      <c r="G5484" s="27">
        <f t="shared" si="97"/>
        <v>0</v>
      </c>
      <c r="H5484" s="28" t="e">
        <f>VLOOKUP(E5484,'Cadastro Produtos (kiwkiw)'!C:E,3,0)</f>
        <v>#N/A</v>
      </c>
    </row>
    <row r="5485" spans="7:8" ht="15" customHeight="1" x14ac:dyDescent="0.4">
      <c r="G5485" s="27">
        <f t="shared" si="97"/>
        <v>0</v>
      </c>
      <c r="H5485" s="28" t="e">
        <f>VLOOKUP(E5485,'Cadastro Produtos (kiwkiw)'!C:E,3,0)</f>
        <v>#N/A</v>
      </c>
    </row>
    <row r="5486" spans="7:8" ht="15" customHeight="1" x14ac:dyDescent="0.4">
      <c r="G5486" s="27">
        <f t="shared" si="97"/>
        <v>0</v>
      </c>
      <c r="H5486" s="28" t="e">
        <f>VLOOKUP(E5486,'Cadastro Produtos (kiwkiw)'!C:E,3,0)</f>
        <v>#N/A</v>
      </c>
    </row>
    <row r="5487" spans="7:8" ht="15" customHeight="1" x14ac:dyDescent="0.4">
      <c r="G5487" s="27">
        <f t="shared" si="97"/>
        <v>0</v>
      </c>
      <c r="H5487" s="28" t="e">
        <f>VLOOKUP(E5487,'Cadastro Produtos (kiwkiw)'!C:E,3,0)</f>
        <v>#N/A</v>
      </c>
    </row>
    <row r="5488" spans="7:8" ht="15" customHeight="1" x14ac:dyDescent="0.4">
      <c r="G5488" s="27">
        <f t="shared" si="97"/>
        <v>0</v>
      </c>
      <c r="H5488" s="28" t="e">
        <f>VLOOKUP(E5488,'Cadastro Produtos (kiwkiw)'!C:E,3,0)</f>
        <v>#N/A</v>
      </c>
    </row>
    <row r="5489" spans="2:8" ht="15" customHeight="1" x14ac:dyDescent="0.4">
      <c r="G5489" s="27">
        <f t="shared" si="97"/>
        <v>0</v>
      </c>
      <c r="H5489" s="28" t="e">
        <f>VLOOKUP(E5489,'Cadastro Produtos (kiwkiw)'!C:E,3,0)</f>
        <v>#N/A</v>
      </c>
    </row>
    <row r="5490" spans="2:8" ht="15" customHeight="1" x14ac:dyDescent="0.4">
      <c r="G5490" s="27">
        <f t="shared" si="97"/>
        <v>0</v>
      </c>
      <c r="H5490" s="28" t="e">
        <f>VLOOKUP(E5490,'Cadastro Produtos (kiwkiw)'!C:E,3,0)</f>
        <v>#N/A</v>
      </c>
    </row>
    <row r="5491" spans="2:8" ht="15" customHeight="1" x14ac:dyDescent="0.4">
      <c r="G5491" s="27">
        <f t="shared" si="97"/>
        <v>0</v>
      </c>
      <c r="H5491" s="28" t="e">
        <f>VLOOKUP(E5491,'Cadastro Produtos (kiwkiw)'!C:E,3,0)</f>
        <v>#N/A</v>
      </c>
    </row>
    <row r="5492" spans="2:8" ht="15" customHeight="1" x14ac:dyDescent="0.4">
      <c r="G5492" s="27">
        <f t="shared" si="97"/>
        <v>0</v>
      </c>
      <c r="H5492" s="28" t="e">
        <f>VLOOKUP(E5492,'Cadastro Produtos (kiwkiw)'!C:E,3,0)</f>
        <v>#N/A</v>
      </c>
    </row>
    <row r="5493" spans="2:8" ht="15" customHeight="1" x14ac:dyDescent="0.4">
      <c r="G5493" s="27">
        <f t="shared" si="97"/>
        <v>0</v>
      </c>
      <c r="H5493" s="28" t="e">
        <f>VLOOKUP(E5493,'Cadastro Produtos (kiwkiw)'!C:E,3,0)</f>
        <v>#N/A</v>
      </c>
    </row>
    <row r="5494" spans="2:8" ht="15" customHeight="1" x14ac:dyDescent="0.4">
      <c r="G5494" s="27">
        <f t="shared" si="97"/>
        <v>0</v>
      </c>
      <c r="H5494" s="28" t="e">
        <f>VLOOKUP(E5494,'Cadastro Produtos (kiwkiw)'!C:E,3,0)</f>
        <v>#N/A</v>
      </c>
    </row>
    <row r="5495" spans="2:8" ht="15" customHeight="1" x14ac:dyDescent="0.4">
      <c r="G5495" s="27">
        <f t="shared" si="97"/>
        <v>0</v>
      </c>
      <c r="H5495" s="28" t="e">
        <f>VLOOKUP(E5495,'Cadastro Produtos (kiwkiw)'!C:E,3,0)</f>
        <v>#N/A</v>
      </c>
    </row>
    <row r="5496" spans="2:8" ht="15" customHeight="1" x14ac:dyDescent="0.4">
      <c r="G5496" s="27">
        <f t="shared" si="97"/>
        <v>0</v>
      </c>
      <c r="H5496" s="28" t="e">
        <f>VLOOKUP(E5496,'Cadastro Produtos (kiwkiw)'!C:E,3,0)</f>
        <v>#N/A</v>
      </c>
    </row>
    <row r="5497" spans="2:8" ht="15" customHeight="1" x14ac:dyDescent="0.4">
      <c r="G5497" s="27">
        <f t="shared" si="97"/>
        <v>0</v>
      </c>
      <c r="H5497" s="28" t="e">
        <f>VLOOKUP(E5497,'Cadastro Produtos (kiwkiw)'!C:E,3,0)</f>
        <v>#N/A</v>
      </c>
    </row>
    <row r="5498" spans="2:8" ht="15" customHeight="1" x14ac:dyDescent="0.4">
      <c r="G5498" s="27">
        <f t="shared" si="97"/>
        <v>0</v>
      </c>
      <c r="H5498" s="28" t="e">
        <f>VLOOKUP(E5498,'Cadastro Produtos (kiwkiw)'!C:E,3,0)</f>
        <v>#N/A</v>
      </c>
    </row>
    <row r="5499" spans="2:8" ht="15" customHeight="1" x14ac:dyDescent="0.4">
      <c r="G5499" s="27">
        <f t="shared" si="97"/>
        <v>0</v>
      </c>
      <c r="H5499" s="28" t="e">
        <f>VLOOKUP(E5499,'Cadastro Produtos (kiwkiw)'!C:E,3,0)</f>
        <v>#N/A</v>
      </c>
    </row>
    <row r="5500" spans="2:8" ht="15" customHeight="1" x14ac:dyDescent="0.4">
      <c r="G5500" s="27">
        <f t="shared" si="97"/>
        <v>0</v>
      </c>
      <c r="H5500" s="28" t="e">
        <f>VLOOKUP(E5500,'Cadastro Produtos (kiwkiw)'!C:E,3,0)</f>
        <v>#N/A</v>
      </c>
    </row>
    <row r="5501" spans="2:8" ht="15" customHeight="1" x14ac:dyDescent="0.4">
      <c r="G5501" s="27">
        <f t="shared" si="97"/>
        <v>0</v>
      </c>
      <c r="H5501" s="28" t="e">
        <f>VLOOKUP(E5501,'Cadastro Produtos (kiwkiw)'!C:E,3,0)</f>
        <v>#N/A</v>
      </c>
    </row>
    <row r="5502" spans="2:8" ht="15" customHeight="1" x14ac:dyDescent="0.4">
      <c r="G5502" s="27">
        <f t="shared" si="97"/>
        <v>0</v>
      </c>
      <c r="H5502" s="28" t="e">
        <f>VLOOKUP(E5502,'Cadastro Produtos (kiwkiw)'!C:E,3,0)</f>
        <v>#N/A</v>
      </c>
    </row>
    <row r="5503" spans="2:8" ht="15" customHeight="1" x14ac:dyDescent="0.4">
      <c r="G5503" s="27">
        <f t="shared" si="97"/>
        <v>0</v>
      </c>
      <c r="H5503" s="28" t="e">
        <f>VLOOKUP(E5503,'Cadastro Produtos (kiwkiw)'!C:E,3,0)</f>
        <v>#N/A</v>
      </c>
    </row>
    <row r="5504" spans="2:8" ht="15" customHeight="1" x14ac:dyDescent="0.4">
      <c r="B5504" s="43"/>
      <c r="G5504" s="27">
        <f t="shared" si="97"/>
        <v>0</v>
      </c>
      <c r="H5504" s="28" t="e">
        <f>VLOOKUP(E5504,'Cadastro Produtos (kiwkiw)'!C:E,3,0)</f>
        <v>#N/A</v>
      </c>
    </row>
    <row r="5505" spans="7:8" ht="15" customHeight="1" x14ac:dyDescent="0.4">
      <c r="G5505" s="27">
        <f t="shared" si="97"/>
        <v>0</v>
      </c>
      <c r="H5505" s="28" t="e">
        <f>VLOOKUP(E5505,'Cadastro Produtos (kiwkiw)'!C:E,3,0)</f>
        <v>#N/A</v>
      </c>
    </row>
    <row r="5506" spans="7:8" ht="15" customHeight="1" x14ac:dyDescent="0.4">
      <c r="G5506" s="27">
        <f t="shared" si="97"/>
        <v>0</v>
      </c>
      <c r="H5506" s="28" t="e">
        <f>VLOOKUP(E5506,'Cadastro Produtos (kiwkiw)'!C:E,3,0)</f>
        <v>#N/A</v>
      </c>
    </row>
    <row r="5507" spans="7:8" ht="15" customHeight="1" x14ac:dyDescent="0.4">
      <c r="G5507" s="27">
        <f t="shared" si="97"/>
        <v>0</v>
      </c>
      <c r="H5507" s="28" t="e">
        <f>VLOOKUP(E5507,'Cadastro Produtos (kiwkiw)'!C:E,3,0)</f>
        <v>#N/A</v>
      </c>
    </row>
    <row r="5508" spans="7:8" ht="15" customHeight="1" x14ac:dyDescent="0.4">
      <c r="G5508" s="27">
        <f t="shared" si="97"/>
        <v>0</v>
      </c>
      <c r="H5508" s="28" t="e">
        <f>VLOOKUP(E5508,'Cadastro Produtos (kiwkiw)'!C:E,3,0)</f>
        <v>#N/A</v>
      </c>
    </row>
    <row r="5509" spans="7:8" ht="15" customHeight="1" x14ac:dyDescent="0.4">
      <c r="G5509" s="27">
        <f t="shared" si="97"/>
        <v>0</v>
      </c>
      <c r="H5509" s="28" t="e">
        <f>VLOOKUP(E5509,'Cadastro Produtos (kiwkiw)'!C:E,3,0)</f>
        <v>#N/A</v>
      </c>
    </row>
    <row r="5510" spans="7:8" ht="15" customHeight="1" x14ac:dyDescent="0.4">
      <c r="G5510" s="27">
        <f t="shared" si="97"/>
        <v>0</v>
      </c>
      <c r="H5510" s="28" t="e">
        <f>VLOOKUP(E5510,'Cadastro Produtos (kiwkiw)'!C:E,3,0)</f>
        <v>#N/A</v>
      </c>
    </row>
    <row r="5511" spans="7:8" ht="15" customHeight="1" x14ac:dyDescent="0.4">
      <c r="G5511" s="27">
        <f t="shared" si="97"/>
        <v>0</v>
      </c>
      <c r="H5511" s="28" t="e">
        <f>VLOOKUP(E5511,'Cadastro Produtos (kiwkiw)'!C:E,3,0)</f>
        <v>#N/A</v>
      </c>
    </row>
    <row r="5512" spans="7:8" ht="15" customHeight="1" x14ac:dyDescent="0.4">
      <c r="G5512" s="27">
        <f t="shared" si="97"/>
        <v>0</v>
      </c>
      <c r="H5512" s="28" t="e">
        <f>VLOOKUP(E5512,'Cadastro Produtos (kiwkiw)'!C:E,3,0)</f>
        <v>#N/A</v>
      </c>
    </row>
    <row r="5513" spans="7:8" ht="15" customHeight="1" x14ac:dyDescent="0.4">
      <c r="G5513" s="27">
        <f t="shared" si="97"/>
        <v>0</v>
      </c>
      <c r="H5513" s="28" t="e">
        <f>VLOOKUP(E5513,'Cadastro Produtos (kiwkiw)'!C:E,3,0)</f>
        <v>#N/A</v>
      </c>
    </row>
    <row r="5514" spans="7:8" ht="15" customHeight="1" x14ac:dyDescent="0.4">
      <c r="G5514" s="27">
        <f t="shared" si="97"/>
        <v>0</v>
      </c>
      <c r="H5514" s="28" t="e">
        <f>VLOOKUP(E5514,'Cadastro Produtos (kiwkiw)'!C:E,3,0)</f>
        <v>#N/A</v>
      </c>
    </row>
    <row r="5515" spans="7:8" ht="15" customHeight="1" x14ac:dyDescent="0.4">
      <c r="G5515" s="27">
        <f t="shared" si="97"/>
        <v>0</v>
      </c>
      <c r="H5515" s="28" t="e">
        <f>VLOOKUP(E5515,'Cadastro Produtos (kiwkiw)'!C:E,3,0)</f>
        <v>#N/A</v>
      </c>
    </row>
    <row r="5516" spans="7:8" ht="15" customHeight="1" x14ac:dyDescent="0.4">
      <c r="G5516" s="27">
        <f t="shared" si="97"/>
        <v>0</v>
      </c>
      <c r="H5516" s="28" t="e">
        <f>VLOOKUP(E5516,'Cadastro Produtos (kiwkiw)'!C:E,3,0)</f>
        <v>#N/A</v>
      </c>
    </row>
    <row r="5517" spans="7:8" ht="15" customHeight="1" x14ac:dyDescent="0.4">
      <c r="G5517" s="27">
        <f t="shared" si="97"/>
        <v>0</v>
      </c>
      <c r="H5517" s="28" t="e">
        <f>VLOOKUP(E5517,'Cadastro Produtos (kiwkiw)'!C:E,3,0)</f>
        <v>#N/A</v>
      </c>
    </row>
    <row r="5518" spans="7:8" ht="15" customHeight="1" x14ac:dyDescent="0.4">
      <c r="G5518" s="27">
        <f t="shared" si="97"/>
        <v>0</v>
      </c>
      <c r="H5518" s="28" t="e">
        <f>VLOOKUP(E5518,'Cadastro Produtos (kiwkiw)'!C:E,3,0)</f>
        <v>#N/A</v>
      </c>
    </row>
    <row r="5519" spans="7:8" ht="15" customHeight="1" x14ac:dyDescent="0.4">
      <c r="G5519" s="27">
        <f t="shared" si="97"/>
        <v>0</v>
      </c>
      <c r="H5519" s="28" t="e">
        <f>VLOOKUP(E5519,'Cadastro Produtos (kiwkiw)'!C:E,3,0)</f>
        <v>#N/A</v>
      </c>
    </row>
    <row r="5520" spans="7:8" ht="15" customHeight="1" x14ac:dyDescent="0.4">
      <c r="G5520" s="27">
        <f t="shared" si="97"/>
        <v>0</v>
      </c>
      <c r="H5520" s="28" t="e">
        <f>VLOOKUP(E5520,'Cadastro Produtos (kiwkiw)'!C:E,3,0)</f>
        <v>#N/A</v>
      </c>
    </row>
    <row r="5521" spans="7:8" ht="15" customHeight="1" x14ac:dyDescent="0.4">
      <c r="G5521" s="27">
        <f t="shared" si="97"/>
        <v>0</v>
      </c>
      <c r="H5521" s="28" t="e">
        <f>VLOOKUP(E5521,'Cadastro Produtos (kiwkiw)'!C:E,3,0)</f>
        <v>#N/A</v>
      </c>
    </row>
    <row r="5522" spans="7:8" ht="15" customHeight="1" x14ac:dyDescent="0.4">
      <c r="G5522" s="27">
        <f t="shared" ref="G5522:G5585" si="98">IF(C5522="Entrada",F5522,-F5522)</f>
        <v>0</v>
      </c>
      <c r="H5522" s="28" t="e">
        <f>VLOOKUP(E5522,'Cadastro Produtos (kiwkiw)'!C:E,3,0)</f>
        <v>#N/A</v>
      </c>
    </row>
    <row r="5523" spans="7:8" ht="15" customHeight="1" x14ac:dyDescent="0.4">
      <c r="G5523" s="27">
        <f t="shared" si="98"/>
        <v>0</v>
      </c>
      <c r="H5523" s="28" t="e">
        <f>VLOOKUP(E5523,'Cadastro Produtos (kiwkiw)'!C:E,3,0)</f>
        <v>#N/A</v>
      </c>
    </row>
    <row r="5524" spans="7:8" ht="15" customHeight="1" x14ac:dyDescent="0.4">
      <c r="G5524" s="27">
        <f t="shared" si="98"/>
        <v>0</v>
      </c>
      <c r="H5524" s="28" t="e">
        <f>VLOOKUP(E5524,'Cadastro Produtos (kiwkiw)'!C:E,3,0)</f>
        <v>#N/A</v>
      </c>
    </row>
    <row r="5525" spans="7:8" ht="15" customHeight="1" x14ac:dyDescent="0.4">
      <c r="G5525" s="27">
        <f t="shared" si="98"/>
        <v>0</v>
      </c>
      <c r="H5525" s="28" t="e">
        <f>VLOOKUP(E5525,'Cadastro Produtos (kiwkiw)'!C:E,3,0)</f>
        <v>#N/A</v>
      </c>
    </row>
    <row r="5526" spans="7:8" ht="15" customHeight="1" x14ac:dyDescent="0.4">
      <c r="G5526" s="27">
        <f t="shared" si="98"/>
        <v>0</v>
      </c>
      <c r="H5526" s="28" t="e">
        <f>VLOOKUP(E5526,'Cadastro Produtos (kiwkiw)'!C:E,3,0)</f>
        <v>#N/A</v>
      </c>
    </row>
    <row r="5527" spans="7:8" ht="15" customHeight="1" x14ac:dyDescent="0.4">
      <c r="G5527" s="27">
        <f t="shared" si="98"/>
        <v>0</v>
      </c>
      <c r="H5527" s="28" t="e">
        <f>VLOOKUP(E5527,'Cadastro Produtos (kiwkiw)'!C:E,3,0)</f>
        <v>#N/A</v>
      </c>
    </row>
    <row r="5528" spans="7:8" ht="15" customHeight="1" x14ac:dyDescent="0.4">
      <c r="G5528" s="27">
        <f t="shared" si="98"/>
        <v>0</v>
      </c>
      <c r="H5528" s="28" t="e">
        <f>VLOOKUP(E5528,'Cadastro Produtos (kiwkiw)'!C:E,3,0)</f>
        <v>#N/A</v>
      </c>
    </row>
    <row r="5529" spans="7:8" ht="15" customHeight="1" x14ac:dyDescent="0.4">
      <c r="G5529" s="27">
        <f t="shared" si="98"/>
        <v>0</v>
      </c>
      <c r="H5529" s="28" t="e">
        <f>VLOOKUP(E5529,'Cadastro Produtos (kiwkiw)'!C:E,3,0)</f>
        <v>#N/A</v>
      </c>
    </row>
    <row r="5530" spans="7:8" ht="15" customHeight="1" x14ac:dyDescent="0.4">
      <c r="G5530" s="27">
        <f t="shared" si="98"/>
        <v>0</v>
      </c>
      <c r="H5530" s="28" t="e">
        <f>VLOOKUP(E5530,'Cadastro Produtos (kiwkiw)'!C:E,3,0)</f>
        <v>#N/A</v>
      </c>
    </row>
    <row r="5531" spans="7:8" ht="15" customHeight="1" x14ac:dyDescent="0.4">
      <c r="G5531" s="27">
        <f t="shared" si="98"/>
        <v>0</v>
      </c>
      <c r="H5531" s="28" t="e">
        <f>VLOOKUP(E5531,'Cadastro Produtos (kiwkiw)'!C:E,3,0)</f>
        <v>#N/A</v>
      </c>
    </row>
    <row r="5532" spans="7:8" ht="15" customHeight="1" x14ac:dyDescent="0.4">
      <c r="G5532" s="27">
        <f t="shared" si="98"/>
        <v>0</v>
      </c>
      <c r="H5532" s="28" t="e">
        <f>VLOOKUP(E5532,'Cadastro Produtos (kiwkiw)'!C:E,3,0)</f>
        <v>#N/A</v>
      </c>
    </row>
    <row r="5533" spans="7:8" ht="15" customHeight="1" x14ac:dyDescent="0.4">
      <c r="G5533" s="27">
        <f t="shared" si="98"/>
        <v>0</v>
      </c>
      <c r="H5533" s="28" t="e">
        <f>VLOOKUP(E5533,'Cadastro Produtos (kiwkiw)'!C:E,3,0)</f>
        <v>#N/A</v>
      </c>
    </row>
    <row r="5534" spans="7:8" ht="15" customHeight="1" x14ac:dyDescent="0.4">
      <c r="G5534" s="27">
        <f t="shared" si="98"/>
        <v>0</v>
      </c>
      <c r="H5534" s="28" t="e">
        <f>VLOOKUP(E5534,'Cadastro Produtos (kiwkiw)'!C:E,3,0)</f>
        <v>#N/A</v>
      </c>
    </row>
    <row r="5535" spans="7:8" ht="15" customHeight="1" x14ac:dyDescent="0.4">
      <c r="G5535" s="27">
        <f t="shared" si="98"/>
        <v>0</v>
      </c>
      <c r="H5535" s="28" t="e">
        <f>VLOOKUP(E5535,'Cadastro Produtos (kiwkiw)'!C:E,3,0)</f>
        <v>#N/A</v>
      </c>
    </row>
    <row r="5536" spans="7:8" ht="15" customHeight="1" x14ac:dyDescent="0.4">
      <c r="G5536" s="27">
        <f t="shared" si="98"/>
        <v>0</v>
      </c>
      <c r="H5536" s="28" t="e">
        <f>VLOOKUP(E5536,'Cadastro Produtos (kiwkiw)'!C:E,3,0)</f>
        <v>#N/A</v>
      </c>
    </row>
    <row r="5537" spans="7:8" ht="15" customHeight="1" x14ac:dyDescent="0.4">
      <c r="G5537" s="27">
        <f t="shared" si="98"/>
        <v>0</v>
      </c>
      <c r="H5537" s="28" t="e">
        <f>VLOOKUP(E5537,'Cadastro Produtos (kiwkiw)'!C:E,3,0)</f>
        <v>#N/A</v>
      </c>
    </row>
    <row r="5538" spans="7:8" ht="15" customHeight="1" x14ac:dyDescent="0.4">
      <c r="G5538" s="27">
        <f t="shared" si="98"/>
        <v>0</v>
      </c>
      <c r="H5538" s="28" t="e">
        <f>VLOOKUP(E5538,'Cadastro Produtos (kiwkiw)'!C:E,3,0)</f>
        <v>#N/A</v>
      </c>
    </row>
    <row r="5539" spans="7:8" ht="15" customHeight="1" x14ac:dyDescent="0.4">
      <c r="G5539" s="27">
        <f t="shared" si="98"/>
        <v>0</v>
      </c>
      <c r="H5539" s="28" t="e">
        <f>VLOOKUP(E5539,'Cadastro Produtos (kiwkiw)'!C:E,3,0)</f>
        <v>#N/A</v>
      </c>
    </row>
    <row r="5540" spans="7:8" ht="15" customHeight="1" x14ac:dyDescent="0.4">
      <c r="G5540" s="27">
        <f t="shared" si="98"/>
        <v>0</v>
      </c>
      <c r="H5540" s="28" t="e">
        <f>VLOOKUP(E5540,'Cadastro Produtos (kiwkiw)'!C:E,3,0)</f>
        <v>#N/A</v>
      </c>
    </row>
    <row r="5541" spans="7:8" ht="15" customHeight="1" x14ac:dyDescent="0.4">
      <c r="G5541" s="27">
        <f t="shared" si="98"/>
        <v>0</v>
      </c>
      <c r="H5541" s="28" t="e">
        <f>VLOOKUP(E5541,'Cadastro Produtos (kiwkiw)'!C:E,3,0)</f>
        <v>#N/A</v>
      </c>
    </row>
    <row r="5542" spans="7:8" ht="15" customHeight="1" x14ac:dyDescent="0.4">
      <c r="G5542" s="27">
        <f t="shared" si="98"/>
        <v>0</v>
      </c>
      <c r="H5542" s="28" t="e">
        <f>VLOOKUP(E5542,'Cadastro Produtos (kiwkiw)'!C:E,3,0)</f>
        <v>#N/A</v>
      </c>
    </row>
    <row r="5543" spans="7:8" ht="15" customHeight="1" x14ac:dyDescent="0.4">
      <c r="G5543" s="27">
        <f t="shared" si="98"/>
        <v>0</v>
      </c>
      <c r="H5543" s="28" t="e">
        <f>VLOOKUP(E5543,'Cadastro Produtos (kiwkiw)'!C:E,3,0)</f>
        <v>#N/A</v>
      </c>
    </row>
    <row r="5544" spans="7:8" ht="15" customHeight="1" x14ac:dyDescent="0.4">
      <c r="G5544" s="27">
        <f t="shared" si="98"/>
        <v>0</v>
      </c>
      <c r="H5544" s="28" t="e">
        <f>VLOOKUP(E5544,'Cadastro Produtos (kiwkiw)'!C:E,3,0)</f>
        <v>#N/A</v>
      </c>
    </row>
    <row r="5545" spans="7:8" ht="15" customHeight="1" x14ac:dyDescent="0.4">
      <c r="G5545" s="27">
        <f t="shared" si="98"/>
        <v>0</v>
      </c>
      <c r="H5545" s="28" t="e">
        <f>VLOOKUP(E5545,'Cadastro Produtos (kiwkiw)'!C:E,3,0)</f>
        <v>#N/A</v>
      </c>
    </row>
    <row r="5546" spans="7:8" ht="15" customHeight="1" x14ac:dyDescent="0.4">
      <c r="G5546" s="27">
        <f t="shared" si="98"/>
        <v>0</v>
      </c>
      <c r="H5546" s="28" t="e">
        <f>VLOOKUP(E5546,'Cadastro Produtos (kiwkiw)'!C:E,3,0)</f>
        <v>#N/A</v>
      </c>
    </row>
    <row r="5547" spans="7:8" ht="15" customHeight="1" x14ac:dyDescent="0.4">
      <c r="G5547" s="27">
        <f t="shared" si="98"/>
        <v>0</v>
      </c>
      <c r="H5547" s="28" t="e">
        <f>VLOOKUP(E5547,'Cadastro Produtos (kiwkiw)'!C:E,3,0)</f>
        <v>#N/A</v>
      </c>
    </row>
    <row r="5548" spans="7:8" ht="15" customHeight="1" x14ac:dyDescent="0.4">
      <c r="G5548" s="27">
        <f t="shared" si="98"/>
        <v>0</v>
      </c>
      <c r="H5548" s="28" t="e">
        <f>VLOOKUP(E5548,'Cadastro Produtos (kiwkiw)'!C:E,3,0)</f>
        <v>#N/A</v>
      </c>
    </row>
    <row r="5549" spans="7:8" ht="15" customHeight="1" x14ac:dyDescent="0.4">
      <c r="G5549" s="27">
        <f t="shared" si="98"/>
        <v>0</v>
      </c>
      <c r="H5549" s="28" t="e">
        <f>VLOOKUP(E5549,'Cadastro Produtos (kiwkiw)'!C:E,3,0)</f>
        <v>#N/A</v>
      </c>
    </row>
    <row r="5550" spans="7:8" ht="15" customHeight="1" x14ac:dyDescent="0.4">
      <c r="G5550" s="27">
        <f t="shared" si="98"/>
        <v>0</v>
      </c>
      <c r="H5550" s="28" t="e">
        <f>VLOOKUP(E5550,'Cadastro Produtos (kiwkiw)'!C:E,3,0)</f>
        <v>#N/A</v>
      </c>
    </row>
    <row r="5551" spans="7:8" ht="15" customHeight="1" x14ac:dyDescent="0.4">
      <c r="G5551" s="27">
        <f t="shared" si="98"/>
        <v>0</v>
      </c>
      <c r="H5551" s="28" t="e">
        <f>VLOOKUP(E5551,'Cadastro Produtos (kiwkiw)'!C:E,3,0)</f>
        <v>#N/A</v>
      </c>
    </row>
    <row r="5552" spans="7:8" ht="15" customHeight="1" x14ac:dyDescent="0.4">
      <c r="G5552" s="27">
        <f t="shared" si="98"/>
        <v>0</v>
      </c>
      <c r="H5552" s="28" t="e">
        <f>VLOOKUP(E5552,'Cadastro Produtos (kiwkiw)'!C:E,3,0)</f>
        <v>#N/A</v>
      </c>
    </row>
    <row r="5553" spans="7:8" ht="15" customHeight="1" x14ac:dyDescent="0.4">
      <c r="G5553" s="27">
        <f t="shared" si="98"/>
        <v>0</v>
      </c>
      <c r="H5553" s="28" t="e">
        <f>VLOOKUP(E5553,'Cadastro Produtos (kiwkiw)'!C:E,3,0)</f>
        <v>#N/A</v>
      </c>
    </row>
    <row r="5554" spans="7:8" ht="15" customHeight="1" x14ac:dyDescent="0.4">
      <c r="G5554" s="27">
        <f t="shared" si="98"/>
        <v>0</v>
      </c>
      <c r="H5554" s="28" t="e">
        <f>VLOOKUP(E5554,'Cadastro Produtos (kiwkiw)'!C:E,3,0)</f>
        <v>#N/A</v>
      </c>
    </row>
    <row r="5555" spans="7:8" ht="15" customHeight="1" x14ac:dyDescent="0.4">
      <c r="G5555" s="27">
        <f t="shared" si="98"/>
        <v>0</v>
      </c>
      <c r="H5555" s="28" t="e">
        <f>VLOOKUP(E5555,'Cadastro Produtos (kiwkiw)'!C:E,3,0)</f>
        <v>#N/A</v>
      </c>
    </row>
    <row r="5556" spans="7:8" ht="15" customHeight="1" x14ac:dyDescent="0.4">
      <c r="G5556" s="27">
        <f t="shared" si="98"/>
        <v>0</v>
      </c>
      <c r="H5556" s="28" t="e">
        <f>VLOOKUP(E5556,'Cadastro Produtos (kiwkiw)'!C:E,3,0)</f>
        <v>#N/A</v>
      </c>
    </row>
    <row r="5557" spans="7:8" ht="15" customHeight="1" x14ac:dyDescent="0.4">
      <c r="G5557" s="27">
        <f t="shared" si="98"/>
        <v>0</v>
      </c>
      <c r="H5557" s="28" t="e">
        <f>VLOOKUP(E5557,'Cadastro Produtos (kiwkiw)'!C:E,3,0)</f>
        <v>#N/A</v>
      </c>
    </row>
    <row r="5558" spans="7:8" ht="15" customHeight="1" x14ac:dyDescent="0.4">
      <c r="G5558" s="27">
        <f t="shared" si="98"/>
        <v>0</v>
      </c>
      <c r="H5558" s="28" t="e">
        <f>VLOOKUP(E5558,'Cadastro Produtos (kiwkiw)'!C:E,3,0)</f>
        <v>#N/A</v>
      </c>
    </row>
    <row r="5559" spans="7:8" ht="15" customHeight="1" x14ac:dyDescent="0.4">
      <c r="G5559" s="27">
        <f t="shared" si="98"/>
        <v>0</v>
      </c>
      <c r="H5559" s="28" t="e">
        <f>VLOOKUP(E5559,'Cadastro Produtos (kiwkiw)'!C:E,3,0)</f>
        <v>#N/A</v>
      </c>
    </row>
    <row r="5560" spans="7:8" ht="15" customHeight="1" x14ac:dyDescent="0.4">
      <c r="G5560" s="27">
        <f t="shared" si="98"/>
        <v>0</v>
      </c>
      <c r="H5560" s="28" t="e">
        <f>VLOOKUP(E5560,'Cadastro Produtos (kiwkiw)'!C:E,3,0)</f>
        <v>#N/A</v>
      </c>
    </row>
    <row r="5561" spans="7:8" ht="15" customHeight="1" x14ac:dyDescent="0.4">
      <c r="G5561" s="27">
        <f t="shared" si="98"/>
        <v>0</v>
      </c>
      <c r="H5561" s="28" t="e">
        <f>VLOOKUP(E5561,'Cadastro Produtos (kiwkiw)'!C:E,3,0)</f>
        <v>#N/A</v>
      </c>
    </row>
    <row r="5562" spans="7:8" ht="15" customHeight="1" x14ac:dyDescent="0.4">
      <c r="G5562" s="27">
        <f t="shared" si="98"/>
        <v>0</v>
      </c>
      <c r="H5562" s="28" t="e">
        <f>VLOOKUP(E5562,'Cadastro Produtos (kiwkiw)'!C:E,3,0)</f>
        <v>#N/A</v>
      </c>
    </row>
    <row r="5563" spans="7:8" ht="15" customHeight="1" x14ac:dyDescent="0.4">
      <c r="G5563" s="27">
        <f t="shared" si="98"/>
        <v>0</v>
      </c>
      <c r="H5563" s="28" t="e">
        <f>VLOOKUP(E5563,'Cadastro Produtos (kiwkiw)'!C:E,3,0)</f>
        <v>#N/A</v>
      </c>
    </row>
    <row r="5564" spans="7:8" ht="15" customHeight="1" x14ac:dyDescent="0.4">
      <c r="G5564" s="27">
        <f t="shared" si="98"/>
        <v>0</v>
      </c>
      <c r="H5564" s="28" t="e">
        <f>VLOOKUP(E5564,'Cadastro Produtos (kiwkiw)'!C:E,3,0)</f>
        <v>#N/A</v>
      </c>
    </row>
    <row r="5565" spans="7:8" ht="15" customHeight="1" x14ac:dyDescent="0.4">
      <c r="G5565" s="27">
        <f t="shared" si="98"/>
        <v>0</v>
      </c>
      <c r="H5565" s="28" t="e">
        <f>VLOOKUP(E5565,'Cadastro Produtos (kiwkiw)'!C:E,3,0)</f>
        <v>#N/A</v>
      </c>
    </row>
    <row r="5566" spans="7:8" ht="15" customHeight="1" x14ac:dyDescent="0.4">
      <c r="G5566" s="27">
        <f t="shared" si="98"/>
        <v>0</v>
      </c>
      <c r="H5566" s="28" t="e">
        <f>VLOOKUP(E5566,'Cadastro Produtos (kiwkiw)'!C:E,3,0)</f>
        <v>#N/A</v>
      </c>
    </row>
    <row r="5567" spans="7:8" ht="15" customHeight="1" x14ac:dyDescent="0.4">
      <c r="G5567" s="27">
        <f t="shared" si="98"/>
        <v>0</v>
      </c>
      <c r="H5567" s="28" t="e">
        <f>VLOOKUP(E5567,'Cadastro Produtos (kiwkiw)'!C:E,3,0)</f>
        <v>#N/A</v>
      </c>
    </row>
    <row r="5568" spans="7:8" ht="15" customHeight="1" x14ac:dyDescent="0.4">
      <c r="G5568" s="27">
        <f t="shared" si="98"/>
        <v>0</v>
      </c>
      <c r="H5568" s="28" t="e">
        <f>VLOOKUP(E5568,'Cadastro Produtos (kiwkiw)'!C:E,3,0)</f>
        <v>#N/A</v>
      </c>
    </row>
    <row r="5569" spans="7:8" ht="15" customHeight="1" x14ac:dyDescent="0.4">
      <c r="G5569" s="27">
        <f t="shared" si="98"/>
        <v>0</v>
      </c>
      <c r="H5569" s="28" t="e">
        <f>VLOOKUP(E5569,'Cadastro Produtos (kiwkiw)'!C:E,3,0)</f>
        <v>#N/A</v>
      </c>
    </row>
    <row r="5570" spans="7:8" ht="15" customHeight="1" x14ac:dyDescent="0.4">
      <c r="G5570" s="27">
        <f t="shared" si="98"/>
        <v>0</v>
      </c>
      <c r="H5570" s="28" t="e">
        <f>VLOOKUP(E5570,'Cadastro Produtos (kiwkiw)'!C:E,3,0)</f>
        <v>#N/A</v>
      </c>
    </row>
    <row r="5571" spans="7:8" ht="15" customHeight="1" x14ac:dyDescent="0.4">
      <c r="G5571" s="27">
        <f t="shared" si="98"/>
        <v>0</v>
      </c>
      <c r="H5571" s="28" t="e">
        <f>VLOOKUP(E5571,'Cadastro Produtos (kiwkiw)'!C:E,3,0)</f>
        <v>#N/A</v>
      </c>
    </row>
    <row r="5572" spans="7:8" ht="15" customHeight="1" x14ac:dyDescent="0.4">
      <c r="G5572" s="27">
        <f t="shared" si="98"/>
        <v>0</v>
      </c>
      <c r="H5572" s="28" t="e">
        <f>VLOOKUP(E5572,'Cadastro Produtos (kiwkiw)'!C:E,3,0)</f>
        <v>#N/A</v>
      </c>
    </row>
    <row r="5573" spans="7:8" ht="15" customHeight="1" x14ac:dyDescent="0.4">
      <c r="G5573" s="27">
        <f t="shared" si="98"/>
        <v>0</v>
      </c>
      <c r="H5573" s="28" t="e">
        <f>VLOOKUP(E5573,'Cadastro Produtos (kiwkiw)'!C:E,3,0)</f>
        <v>#N/A</v>
      </c>
    </row>
    <row r="5574" spans="7:8" ht="15" customHeight="1" x14ac:dyDescent="0.4">
      <c r="G5574" s="27">
        <f t="shared" si="98"/>
        <v>0</v>
      </c>
      <c r="H5574" s="28" t="e">
        <f>VLOOKUP(E5574,'Cadastro Produtos (kiwkiw)'!C:E,3,0)</f>
        <v>#N/A</v>
      </c>
    </row>
    <row r="5575" spans="7:8" ht="15" customHeight="1" x14ac:dyDescent="0.4">
      <c r="G5575" s="27">
        <f t="shared" si="98"/>
        <v>0</v>
      </c>
      <c r="H5575" s="28" t="e">
        <f>VLOOKUP(E5575,'Cadastro Produtos (kiwkiw)'!C:E,3,0)</f>
        <v>#N/A</v>
      </c>
    </row>
    <row r="5576" spans="7:8" ht="15" customHeight="1" x14ac:dyDescent="0.4">
      <c r="G5576" s="27">
        <f t="shared" si="98"/>
        <v>0</v>
      </c>
      <c r="H5576" s="28" t="e">
        <f>VLOOKUP(E5576,'Cadastro Produtos (kiwkiw)'!C:E,3,0)</f>
        <v>#N/A</v>
      </c>
    </row>
    <row r="5577" spans="7:8" ht="15" customHeight="1" x14ac:dyDescent="0.4">
      <c r="G5577" s="27">
        <f t="shared" si="98"/>
        <v>0</v>
      </c>
      <c r="H5577" s="28" t="e">
        <f>VLOOKUP(E5577,'Cadastro Produtos (kiwkiw)'!C:E,3,0)</f>
        <v>#N/A</v>
      </c>
    </row>
    <row r="5578" spans="7:8" ht="15" customHeight="1" x14ac:dyDescent="0.4">
      <c r="G5578" s="27">
        <f t="shared" si="98"/>
        <v>0</v>
      </c>
      <c r="H5578" s="28" t="e">
        <f>VLOOKUP(E5578,'Cadastro Produtos (kiwkiw)'!C:E,3,0)</f>
        <v>#N/A</v>
      </c>
    </row>
    <row r="5579" spans="7:8" ht="15" customHeight="1" x14ac:dyDescent="0.4">
      <c r="G5579" s="27">
        <f t="shared" si="98"/>
        <v>0</v>
      </c>
      <c r="H5579" s="28" t="e">
        <f>VLOOKUP(E5579,'Cadastro Produtos (kiwkiw)'!C:E,3,0)</f>
        <v>#N/A</v>
      </c>
    </row>
    <row r="5580" spans="7:8" ht="15" customHeight="1" x14ac:dyDescent="0.4">
      <c r="G5580" s="27">
        <f t="shared" si="98"/>
        <v>0</v>
      </c>
      <c r="H5580" s="28" t="e">
        <f>VLOOKUP(E5580,'Cadastro Produtos (kiwkiw)'!C:E,3,0)</f>
        <v>#N/A</v>
      </c>
    </row>
    <row r="5581" spans="7:8" ht="15" customHeight="1" x14ac:dyDescent="0.4">
      <c r="G5581" s="27">
        <f t="shared" si="98"/>
        <v>0</v>
      </c>
      <c r="H5581" s="28" t="e">
        <f>VLOOKUP(E5581,'Cadastro Produtos (kiwkiw)'!C:E,3,0)</f>
        <v>#N/A</v>
      </c>
    </row>
    <row r="5582" spans="7:8" ht="15" customHeight="1" x14ac:dyDescent="0.4">
      <c r="G5582" s="27">
        <f t="shared" si="98"/>
        <v>0</v>
      </c>
      <c r="H5582" s="28" t="e">
        <f>VLOOKUP(E5582,'Cadastro Produtos (kiwkiw)'!C:E,3,0)</f>
        <v>#N/A</v>
      </c>
    </row>
    <row r="5583" spans="7:8" ht="15" customHeight="1" x14ac:dyDescent="0.4">
      <c r="G5583" s="27">
        <f t="shared" si="98"/>
        <v>0</v>
      </c>
      <c r="H5583" s="28" t="e">
        <f>VLOOKUP(E5583,'Cadastro Produtos (kiwkiw)'!C:E,3,0)</f>
        <v>#N/A</v>
      </c>
    </row>
    <row r="5584" spans="7:8" ht="15" customHeight="1" x14ac:dyDescent="0.4">
      <c r="G5584" s="27">
        <f t="shared" si="98"/>
        <v>0</v>
      </c>
      <c r="H5584" s="28" t="e">
        <f>VLOOKUP(E5584,'Cadastro Produtos (kiwkiw)'!C:E,3,0)</f>
        <v>#N/A</v>
      </c>
    </row>
    <row r="5585" spans="7:8" ht="15" customHeight="1" x14ac:dyDescent="0.4">
      <c r="G5585" s="27">
        <f t="shared" si="98"/>
        <v>0</v>
      </c>
      <c r="H5585" s="28" t="e">
        <f>VLOOKUP(E5585,'Cadastro Produtos (kiwkiw)'!C:E,3,0)</f>
        <v>#N/A</v>
      </c>
    </row>
    <row r="5586" spans="7:8" ht="15" customHeight="1" x14ac:dyDescent="0.4">
      <c r="G5586" s="27">
        <f t="shared" ref="G5586:G5649" si="99">IF(C5586="Entrada",F5586,-F5586)</f>
        <v>0</v>
      </c>
      <c r="H5586" s="28" t="e">
        <f>VLOOKUP(E5586,'Cadastro Produtos (kiwkiw)'!C:E,3,0)</f>
        <v>#N/A</v>
      </c>
    </row>
    <row r="5587" spans="7:8" ht="15" customHeight="1" x14ac:dyDescent="0.4">
      <c r="G5587" s="27">
        <f t="shared" si="99"/>
        <v>0</v>
      </c>
      <c r="H5587" s="28" t="e">
        <f>VLOOKUP(E5587,'Cadastro Produtos (kiwkiw)'!C:E,3,0)</f>
        <v>#N/A</v>
      </c>
    </row>
    <row r="5588" spans="7:8" ht="15" customHeight="1" x14ac:dyDescent="0.4">
      <c r="G5588" s="27">
        <f t="shared" si="99"/>
        <v>0</v>
      </c>
      <c r="H5588" s="28" t="e">
        <f>VLOOKUP(E5588,'Cadastro Produtos (kiwkiw)'!C:E,3,0)</f>
        <v>#N/A</v>
      </c>
    </row>
    <row r="5589" spans="7:8" ht="15" customHeight="1" x14ac:dyDescent="0.4">
      <c r="G5589" s="27">
        <f t="shared" si="99"/>
        <v>0</v>
      </c>
      <c r="H5589" s="28" t="e">
        <f>VLOOKUP(E5589,'Cadastro Produtos (kiwkiw)'!C:E,3,0)</f>
        <v>#N/A</v>
      </c>
    </row>
    <row r="5590" spans="7:8" ht="15" customHeight="1" x14ac:dyDescent="0.4">
      <c r="G5590" s="27">
        <f t="shared" si="99"/>
        <v>0</v>
      </c>
      <c r="H5590" s="28" t="e">
        <f>VLOOKUP(E5590,'Cadastro Produtos (kiwkiw)'!C:E,3,0)</f>
        <v>#N/A</v>
      </c>
    </row>
    <row r="5591" spans="7:8" ht="15" customHeight="1" x14ac:dyDescent="0.4">
      <c r="G5591" s="27">
        <f t="shared" si="99"/>
        <v>0</v>
      </c>
      <c r="H5591" s="28" t="e">
        <f>VLOOKUP(E5591,'Cadastro Produtos (kiwkiw)'!C:E,3,0)</f>
        <v>#N/A</v>
      </c>
    </row>
    <row r="5592" spans="7:8" ht="15" customHeight="1" x14ac:dyDescent="0.4">
      <c r="G5592" s="27">
        <f t="shared" si="99"/>
        <v>0</v>
      </c>
      <c r="H5592" s="28" t="e">
        <f>VLOOKUP(E5592,'Cadastro Produtos (kiwkiw)'!C:E,3,0)</f>
        <v>#N/A</v>
      </c>
    </row>
    <row r="5593" spans="7:8" ht="15" customHeight="1" x14ac:dyDescent="0.4">
      <c r="G5593" s="27">
        <f t="shared" si="99"/>
        <v>0</v>
      </c>
      <c r="H5593" s="28" t="e">
        <f>VLOOKUP(E5593,'Cadastro Produtos (kiwkiw)'!C:E,3,0)</f>
        <v>#N/A</v>
      </c>
    </row>
    <row r="5594" spans="7:8" ht="15" customHeight="1" x14ac:dyDescent="0.4">
      <c r="G5594" s="27">
        <f t="shared" si="99"/>
        <v>0</v>
      </c>
      <c r="H5594" s="28" t="e">
        <f>VLOOKUP(E5594,'Cadastro Produtos (kiwkiw)'!C:E,3,0)</f>
        <v>#N/A</v>
      </c>
    </row>
    <row r="5595" spans="7:8" ht="15" customHeight="1" x14ac:dyDescent="0.4">
      <c r="G5595" s="27">
        <f t="shared" si="99"/>
        <v>0</v>
      </c>
      <c r="H5595" s="28" t="e">
        <f>VLOOKUP(E5595,'Cadastro Produtos (kiwkiw)'!C:E,3,0)</f>
        <v>#N/A</v>
      </c>
    </row>
    <row r="5596" spans="7:8" ht="15" customHeight="1" x14ac:dyDescent="0.4">
      <c r="G5596" s="27">
        <f t="shared" si="99"/>
        <v>0</v>
      </c>
      <c r="H5596" s="28" t="e">
        <f>VLOOKUP(E5596,'Cadastro Produtos (kiwkiw)'!C:E,3,0)</f>
        <v>#N/A</v>
      </c>
    </row>
    <row r="5597" spans="7:8" ht="15" customHeight="1" x14ac:dyDescent="0.4">
      <c r="G5597" s="27">
        <f t="shared" si="99"/>
        <v>0</v>
      </c>
      <c r="H5597" s="28" t="e">
        <f>VLOOKUP(E5597,'Cadastro Produtos (kiwkiw)'!C:E,3,0)</f>
        <v>#N/A</v>
      </c>
    </row>
    <row r="5598" spans="7:8" ht="15" customHeight="1" x14ac:dyDescent="0.4">
      <c r="G5598" s="27">
        <f t="shared" si="99"/>
        <v>0</v>
      </c>
      <c r="H5598" s="28" t="e">
        <f>VLOOKUP(E5598,'Cadastro Produtos (kiwkiw)'!C:E,3,0)</f>
        <v>#N/A</v>
      </c>
    </row>
    <row r="5599" spans="7:8" ht="15" customHeight="1" x14ac:dyDescent="0.4">
      <c r="G5599" s="27">
        <f t="shared" si="99"/>
        <v>0</v>
      </c>
      <c r="H5599" s="28" t="e">
        <f>VLOOKUP(E5599,'Cadastro Produtos (kiwkiw)'!C:E,3,0)</f>
        <v>#N/A</v>
      </c>
    </row>
    <row r="5600" spans="7:8" ht="15" customHeight="1" x14ac:dyDescent="0.4">
      <c r="G5600" s="27">
        <f t="shared" si="99"/>
        <v>0</v>
      </c>
      <c r="H5600" s="28" t="e">
        <f>VLOOKUP(E5600,'Cadastro Produtos (kiwkiw)'!C:E,3,0)</f>
        <v>#N/A</v>
      </c>
    </row>
    <row r="5601" spans="7:8" ht="15" customHeight="1" x14ac:dyDescent="0.4">
      <c r="G5601" s="27">
        <f t="shared" si="99"/>
        <v>0</v>
      </c>
      <c r="H5601" s="28" t="e">
        <f>VLOOKUP(E5601,'Cadastro Produtos (kiwkiw)'!C:E,3,0)</f>
        <v>#N/A</v>
      </c>
    </row>
    <row r="5602" spans="7:8" ht="15" customHeight="1" x14ac:dyDescent="0.4">
      <c r="G5602" s="27">
        <f t="shared" si="99"/>
        <v>0</v>
      </c>
      <c r="H5602" s="28" t="e">
        <f>VLOOKUP(E5602,'Cadastro Produtos (kiwkiw)'!C:E,3,0)</f>
        <v>#N/A</v>
      </c>
    </row>
    <row r="5603" spans="7:8" ht="15" customHeight="1" x14ac:dyDescent="0.4">
      <c r="G5603" s="27">
        <f t="shared" si="99"/>
        <v>0</v>
      </c>
      <c r="H5603" s="28" t="e">
        <f>VLOOKUP(E5603,'Cadastro Produtos (kiwkiw)'!C:E,3,0)</f>
        <v>#N/A</v>
      </c>
    </row>
    <row r="5604" spans="7:8" ht="15" customHeight="1" x14ac:dyDescent="0.4">
      <c r="G5604" s="27">
        <f t="shared" si="99"/>
        <v>0</v>
      </c>
      <c r="H5604" s="28" t="e">
        <f>VLOOKUP(E5604,'Cadastro Produtos (kiwkiw)'!C:E,3,0)</f>
        <v>#N/A</v>
      </c>
    </row>
    <row r="5605" spans="7:8" ht="15" customHeight="1" x14ac:dyDescent="0.4">
      <c r="G5605" s="27">
        <f t="shared" si="99"/>
        <v>0</v>
      </c>
      <c r="H5605" s="28" t="e">
        <f>VLOOKUP(E5605,'Cadastro Produtos (kiwkiw)'!C:E,3,0)</f>
        <v>#N/A</v>
      </c>
    </row>
    <row r="5606" spans="7:8" ht="15" customHeight="1" x14ac:dyDescent="0.4">
      <c r="G5606" s="27">
        <f t="shared" si="99"/>
        <v>0</v>
      </c>
      <c r="H5606" s="28" t="e">
        <f>VLOOKUP(E5606,'Cadastro Produtos (kiwkiw)'!C:E,3,0)</f>
        <v>#N/A</v>
      </c>
    </row>
    <row r="5607" spans="7:8" ht="15" customHeight="1" x14ac:dyDescent="0.4">
      <c r="G5607" s="27">
        <f t="shared" si="99"/>
        <v>0</v>
      </c>
      <c r="H5607" s="28" t="e">
        <f>VLOOKUP(E5607,'Cadastro Produtos (kiwkiw)'!C:E,3,0)</f>
        <v>#N/A</v>
      </c>
    </row>
    <row r="5608" spans="7:8" ht="15" customHeight="1" x14ac:dyDescent="0.4">
      <c r="G5608" s="27">
        <f t="shared" si="99"/>
        <v>0</v>
      </c>
      <c r="H5608" s="28" t="e">
        <f>VLOOKUP(E5608,'Cadastro Produtos (kiwkiw)'!C:E,3,0)</f>
        <v>#N/A</v>
      </c>
    </row>
    <row r="5609" spans="7:8" ht="15" customHeight="1" x14ac:dyDescent="0.4">
      <c r="G5609" s="27">
        <f t="shared" si="99"/>
        <v>0</v>
      </c>
      <c r="H5609" s="28" t="e">
        <f>VLOOKUP(E5609,'Cadastro Produtos (kiwkiw)'!C:E,3,0)</f>
        <v>#N/A</v>
      </c>
    </row>
    <row r="5610" spans="7:8" ht="15" customHeight="1" x14ac:dyDescent="0.4">
      <c r="G5610" s="27">
        <f t="shared" si="99"/>
        <v>0</v>
      </c>
      <c r="H5610" s="28" t="e">
        <f>VLOOKUP(E5610,'Cadastro Produtos (kiwkiw)'!C:E,3,0)</f>
        <v>#N/A</v>
      </c>
    </row>
    <row r="5611" spans="7:8" ht="15" customHeight="1" x14ac:dyDescent="0.4">
      <c r="G5611" s="27">
        <f t="shared" si="99"/>
        <v>0</v>
      </c>
      <c r="H5611" s="28" t="e">
        <f>VLOOKUP(E5611,'Cadastro Produtos (kiwkiw)'!C:E,3,0)</f>
        <v>#N/A</v>
      </c>
    </row>
    <row r="5612" spans="7:8" ht="15" customHeight="1" x14ac:dyDescent="0.4">
      <c r="G5612" s="27">
        <f t="shared" si="99"/>
        <v>0</v>
      </c>
      <c r="H5612" s="28" t="e">
        <f>VLOOKUP(E5612,'Cadastro Produtos (kiwkiw)'!C:E,3,0)</f>
        <v>#N/A</v>
      </c>
    </row>
    <row r="5613" spans="7:8" ht="15" customHeight="1" x14ac:dyDescent="0.4">
      <c r="G5613" s="27">
        <f t="shared" si="99"/>
        <v>0</v>
      </c>
      <c r="H5613" s="28" t="e">
        <f>VLOOKUP(E5613,'Cadastro Produtos (kiwkiw)'!C:E,3,0)</f>
        <v>#N/A</v>
      </c>
    </row>
    <row r="5614" spans="7:8" ht="15" customHeight="1" x14ac:dyDescent="0.4">
      <c r="G5614" s="27">
        <f t="shared" si="99"/>
        <v>0</v>
      </c>
      <c r="H5614" s="28" t="e">
        <f>VLOOKUP(E5614,'Cadastro Produtos (kiwkiw)'!C:E,3,0)</f>
        <v>#N/A</v>
      </c>
    </row>
    <row r="5615" spans="7:8" ht="15" customHeight="1" x14ac:dyDescent="0.4">
      <c r="G5615" s="27">
        <f t="shared" si="99"/>
        <v>0</v>
      </c>
      <c r="H5615" s="28" t="e">
        <f>VLOOKUP(E5615,'Cadastro Produtos (kiwkiw)'!C:E,3,0)</f>
        <v>#N/A</v>
      </c>
    </row>
    <row r="5616" spans="7:8" ht="15" customHeight="1" x14ac:dyDescent="0.4">
      <c r="G5616" s="27">
        <f t="shared" si="99"/>
        <v>0</v>
      </c>
      <c r="H5616" s="28" t="e">
        <f>VLOOKUP(E5616,'Cadastro Produtos (kiwkiw)'!C:E,3,0)</f>
        <v>#N/A</v>
      </c>
    </row>
    <row r="5617" spans="2:8" ht="15" customHeight="1" x14ac:dyDescent="0.4">
      <c r="B5617" s="43"/>
      <c r="G5617" s="27">
        <f t="shared" si="99"/>
        <v>0</v>
      </c>
      <c r="H5617" s="28" t="e">
        <f>VLOOKUP(E5617,'Cadastro Produtos (kiwkiw)'!C:E,3,0)</f>
        <v>#N/A</v>
      </c>
    </row>
    <row r="5618" spans="2:8" ht="15" customHeight="1" x14ac:dyDescent="0.4">
      <c r="G5618" s="27">
        <f t="shared" si="99"/>
        <v>0</v>
      </c>
      <c r="H5618" s="28" t="e">
        <f>VLOOKUP(E5618,'Cadastro Produtos (kiwkiw)'!C:E,3,0)</f>
        <v>#N/A</v>
      </c>
    </row>
    <row r="5619" spans="2:8" ht="15" customHeight="1" x14ac:dyDescent="0.4">
      <c r="G5619" s="27">
        <f t="shared" si="99"/>
        <v>0</v>
      </c>
      <c r="H5619" s="28" t="e">
        <f>VLOOKUP(E5619,'Cadastro Produtos (kiwkiw)'!C:E,3,0)</f>
        <v>#N/A</v>
      </c>
    </row>
    <row r="5620" spans="2:8" ht="15" customHeight="1" x14ac:dyDescent="0.4">
      <c r="G5620" s="27">
        <f t="shared" si="99"/>
        <v>0</v>
      </c>
      <c r="H5620" s="28" t="e">
        <f>VLOOKUP(E5620,'Cadastro Produtos (kiwkiw)'!C:E,3,0)</f>
        <v>#N/A</v>
      </c>
    </row>
    <row r="5621" spans="2:8" ht="15" customHeight="1" x14ac:dyDescent="0.4">
      <c r="G5621" s="27">
        <f t="shared" si="99"/>
        <v>0</v>
      </c>
      <c r="H5621" s="28" t="e">
        <f>VLOOKUP(E5621,'Cadastro Produtos (kiwkiw)'!C:E,3,0)</f>
        <v>#N/A</v>
      </c>
    </row>
    <row r="5622" spans="2:8" ht="15" customHeight="1" x14ac:dyDescent="0.4">
      <c r="G5622" s="27">
        <f t="shared" si="99"/>
        <v>0</v>
      </c>
      <c r="H5622" s="28" t="e">
        <f>VLOOKUP(E5622,'Cadastro Produtos (kiwkiw)'!C:E,3,0)</f>
        <v>#N/A</v>
      </c>
    </row>
    <row r="5623" spans="2:8" ht="15" customHeight="1" x14ac:dyDescent="0.4">
      <c r="G5623" s="27">
        <f t="shared" si="99"/>
        <v>0</v>
      </c>
      <c r="H5623" s="28" t="e">
        <f>VLOOKUP(E5623,'Cadastro Produtos (kiwkiw)'!C:E,3,0)</f>
        <v>#N/A</v>
      </c>
    </row>
    <row r="5624" spans="2:8" ht="15" customHeight="1" x14ac:dyDescent="0.4">
      <c r="G5624" s="27">
        <f t="shared" si="99"/>
        <v>0</v>
      </c>
      <c r="H5624" s="28" t="e">
        <f>VLOOKUP(E5624,'Cadastro Produtos (kiwkiw)'!C:E,3,0)</f>
        <v>#N/A</v>
      </c>
    </row>
    <row r="5625" spans="2:8" ht="15" customHeight="1" x14ac:dyDescent="0.4">
      <c r="G5625" s="27">
        <f t="shared" si="99"/>
        <v>0</v>
      </c>
      <c r="H5625" s="28" t="e">
        <f>VLOOKUP(E5625,'Cadastro Produtos (kiwkiw)'!C:E,3,0)</f>
        <v>#N/A</v>
      </c>
    </row>
    <row r="5626" spans="2:8" ht="15" customHeight="1" x14ac:dyDescent="0.4">
      <c r="G5626" s="27">
        <f t="shared" si="99"/>
        <v>0</v>
      </c>
      <c r="H5626" s="28" t="e">
        <f>VLOOKUP(E5626,'Cadastro Produtos (kiwkiw)'!C:E,3,0)</f>
        <v>#N/A</v>
      </c>
    </row>
    <row r="5627" spans="2:8" ht="15" customHeight="1" x14ac:dyDescent="0.4">
      <c r="G5627" s="27">
        <f t="shared" si="99"/>
        <v>0</v>
      </c>
      <c r="H5627" s="28" t="e">
        <f>VLOOKUP(E5627,'Cadastro Produtos (kiwkiw)'!C:E,3,0)</f>
        <v>#N/A</v>
      </c>
    </row>
    <row r="5628" spans="2:8" ht="15" customHeight="1" x14ac:dyDescent="0.4">
      <c r="G5628" s="27">
        <f t="shared" si="99"/>
        <v>0</v>
      </c>
      <c r="H5628" s="28" t="e">
        <f>VLOOKUP(E5628,'Cadastro Produtos (kiwkiw)'!C:E,3,0)</f>
        <v>#N/A</v>
      </c>
    </row>
    <row r="5629" spans="2:8" ht="15" customHeight="1" x14ac:dyDescent="0.4">
      <c r="G5629" s="27">
        <f t="shared" si="99"/>
        <v>0</v>
      </c>
      <c r="H5629" s="28" t="e">
        <f>VLOOKUP(E5629,'Cadastro Produtos (kiwkiw)'!C:E,3,0)</f>
        <v>#N/A</v>
      </c>
    </row>
    <row r="5630" spans="2:8" ht="15" customHeight="1" x14ac:dyDescent="0.4">
      <c r="G5630" s="27">
        <f t="shared" si="99"/>
        <v>0</v>
      </c>
      <c r="H5630" s="28" t="e">
        <f>VLOOKUP(E5630,'Cadastro Produtos (kiwkiw)'!C:E,3,0)</f>
        <v>#N/A</v>
      </c>
    </row>
    <row r="5631" spans="2:8" ht="15" customHeight="1" x14ac:dyDescent="0.4">
      <c r="G5631" s="27">
        <f t="shared" si="99"/>
        <v>0</v>
      </c>
      <c r="H5631" s="28" t="e">
        <f>VLOOKUP(E5631,'Cadastro Produtos (kiwkiw)'!C:E,3,0)</f>
        <v>#N/A</v>
      </c>
    </row>
    <row r="5632" spans="2:8" ht="15" customHeight="1" x14ac:dyDescent="0.4">
      <c r="G5632" s="27">
        <f t="shared" si="99"/>
        <v>0</v>
      </c>
      <c r="H5632" s="28" t="e">
        <f>VLOOKUP(E5632,'Cadastro Produtos (kiwkiw)'!C:E,3,0)</f>
        <v>#N/A</v>
      </c>
    </row>
    <row r="5633" spans="7:8" ht="15" customHeight="1" x14ac:dyDescent="0.4">
      <c r="G5633" s="27">
        <f t="shared" si="99"/>
        <v>0</v>
      </c>
      <c r="H5633" s="28" t="e">
        <f>VLOOKUP(E5633,'Cadastro Produtos (kiwkiw)'!C:E,3,0)</f>
        <v>#N/A</v>
      </c>
    </row>
    <row r="5634" spans="7:8" ht="15" customHeight="1" x14ac:dyDescent="0.4">
      <c r="G5634" s="27">
        <f t="shared" si="99"/>
        <v>0</v>
      </c>
      <c r="H5634" s="28" t="e">
        <f>VLOOKUP(E5634,'Cadastro Produtos (kiwkiw)'!C:E,3,0)</f>
        <v>#N/A</v>
      </c>
    </row>
    <row r="5635" spans="7:8" ht="15" customHeight="1" x14ac:dyDescent="0.4">
      <c r="G5635" s="27">
        <f t="shared" si="99"/>
        <v>0</v>
      </c>
      <c r="H5635" s="28" t="e">
        <f>VLOOKUP(E5635,'Cadastro Produtos (kiwkiw)'!C:E,3,0)</f>
        <v>#N/A</v>
      </c>
    </row>
    <row r="5636" spans="7:8" ht="15" customHeight="1" x14ac:dyDescent="0.4">
      <c r="G5636" s="27">
        <f t="shared" si="99"/>
        <v>0</v>
      </c>
      <c r="H5636" s="28" t="e">
        <f>VLOOKUP(E5636,'Cadastro Produtos (kiwkiw)'!C:E,3,0)</f>
        <v>#N/A</v>
      </c>
    </row>
    <row r="5637" spans="7:8" ht="15" customHeight="1" x14ac:dyDescent="0.4">
      <c r="G5637" s="27">
        <f t="shared" si="99"/>
        <v>0</v>
      </c>
      <c r="H5637" s="28" t="e">
        <f>VLOOKUP(E5637,'Cadastro Produtos (kiwkiw)'!C:E,3,0)</f>
        <v>#N/A</v>
      </c>
    </row>
    <row r="5638" spans="7:8" ht="15" customHeight="1" x14ac:dyDescent="0.4">
      <c r="G5638" s="27">
        <f t="shared" si="99"/>
        <v>0</v>
      </c>
      <c r="H5638" s="28" t="e">
        <f>VLOOKUP(E5638,'Cadastro Produtos (kiwkiw)'!C:E,3,0)</f>
        <v>#N/A</v>
      </c>
    </row>
    <row r="5639" spans="7:8" ht="15" customHeight="1" x14ac:dyDescent="0.4">
      <c r="G5639" s="27">
        <f t="shared" si="99"/>
        <v>0</v>
      </c>
      <c r="H5639" s="28" t="e">
        <f>VLOOKUP(E5639,'Cadastro Produtos (kiwkiw)'!C:E,3,0)</f>
        <v>#N/A</v>
      </c>
    </row>
    <row r="5640" spans="7:8" ht="15" customHeight="1" x14ac:dyDescent="0.4">
      <c r="G5640" s="27">
        <f t="shared" si="99"/>
        <v>0</v>
      </c>
      <c r="H5640" s="28" t="e">
        <f>VLOOKUP(E5640,'Cadastro Produtos (kiwkiw)'!C:E,3,0)</f>
        <v>#N/A</v>
      </c>
    </row>
    <row r="5641" spans="7:8" ht="15" customHeight="1" x14ac:dyDescent="0.4">
      <c r="G5641" s="27">
        <f t="shared" si="99"/>
        <v>0</v>
      </c>
      <c r="H5641" s="28" t="e">
        <f>VLOOKUP(E5641,'Cadastro Produtos (kiwkiw)'!C:E,3,0)</f>
        <v>#N/A</v>
      </c>
    </row>
    <row r="5642" spans="7:8" ht="15" customHeight="1" x14ac:dyDescent="0.4">
      <c r="G5642" s="27">
        <f t="shared" si="99"/>
        <v>0</v>
      </c>
      <c r="H5642" s="28" t="e">
        <f>VLOOKUP(E5642,'Cadastro Produtos (kiwkiw)'!C:E,3,0)</f>
        <v>#N/A</v>
      </c>
    </row>
    <row r="5643" spans="7:8" ht="15" customHeight="1" x14ac:dyDescent="0.4">
      <c r="G5643" s="27">
        <f t="shared" si="99"/>
        <v>0</v>
      </c>
      <c r="H5643" s="28" t="e">
        <f>VLOOKUP(E5643,'Cadastro Produtos (kiwkiw)'!C:E,3,0)</f>
        <v>#N/A</v>
      </c>
    </row>
    <row r="5644" spans="7:8" ht="15" customHeight="1" x14ac:dyDescent="0.4">
      <c r="G5644" s="27">
        <f t="shared" si="99"/>
        <v>0</v>
      </c>
      <c r="H5644" s="28" t="e">
        <f>VLOOKUP(E5644,'Cadastro Produtos (kiwkiw)'!C:E,3,0)</f>
        <v>#N/A</v>
      </c>
    </row>
    <row r="5645" spans="7:8" ht="15" customHeight="1" x14ac:dyDescent="0.4">
      <c r="G5645" s="27">
        <f t="shared" si="99"/>
        <v>0</v>
      </c>
      <c r="H5645" s="28" t="e">
        <f>VLOOKUP(E5645,'Cadastro Produtos (kiwkiw)'!C:E,3,0)</f>
        <v>#N/A</v>
      </c>
    </row>
    <row r="5646" spans="7:8" ht="15" customHeight="1" x14ac:dyDescent="0.4">
      <c r="G5646" s="27">
        <f t="shared" si="99"/>
        <v>0</v>
      </c>
      <c r="H5646" s="28" t="e">
        <f>VLOOKUP(E5646,'Cadastro Produtos (kiwkiw)'!C:E,3,0)</f>
        <v>#N/A</v>
      </c>
    </row>
    <row r="5647" spans="7:8" ht="15" customHeight="1" x14ac:dyDescent="0.4">
      <c r="G5647" s="27">
        <f t="shared" si="99"/>
        <v>0</v>
      </c>
      <c r="H5647" s="28" t="e">
        <f>VLOOKUP(E5647,'Cadastro Produtos (kiwkiw)'!C:E,3,0)</f>
        <v>#N/A</v>
      </c>
    </row>
    <row r="5648" spans="7:8" ht="15" customHeight="1" x14ac:dyDescent="0.4">
      <c r="G5648" s="27">
        <f t="shared" si="99"/>
        <v>0</v>
      </c>
      <c r="H5648" s="28" t="e">
        <f>VLOOKUP(E5648,'Cadastro Produtos (kiwkiw)'!C:E,3,0)</f>
        <v>#N/A</v>
      </c>
    </row>
    <row r="5649" spans="7:8" ht="15" customHeight="1" x14ac:dyDescent="0.4">
      <c r="G5649" s="27">
        <f t="shared" si="99"/>
        <v>0</v>
      </c>
      <c r="H5649" s="28" t="e">
        <f>VLOOKUP(E5649,'Cadastro Produtos (kiwkiw)'!C:E,3,0)</f>
        <v>#N/A</v>
      </c>
    </row>
    <row r="5650" spans="7:8" ht="15" customHeight="1" x14ac:dyDescent="0.4">
      <c r="G5650" s="27">
        <f t="shared" ref="G5650:G5713" si="100">IF(C5650="Entrada",F5650,-F5650)</f>
        <v>0</v>
      </c>
      <c r="H5650" s="28" t="e">
        <f>VLOOKUP(E5650,'Cadastro Produtos (kiwkiw)'!C:E,3,0)</f>
        <v>#N/A</v>
      </c>
    </row>
    <row r="5651" spans="7:8" ht="15" customHeight="1" x14ac:dyDescent="0.4">
      <c r="G5651" s="27">
        <f t="shared" si="100"/>
        <v>0</v>
      </c>
      <c r="H5651" s="28" t="e">
        <f>VLOOKUP(E5651,'Cadastro Produtos (kiwkiw)'!C:E,3,0)</f>
        <v>#N/A</v>
      </c>
    </row>
    <row r="5652" spans="7:8" ht="15" customHeight="1" x14ac:dyDescent="0.4">
      <c r="G5652" s="27">
        <f t="shared" si="100"/>
        <v>0</v>
      </c>
      <c r="H5652" s="28" t="e">
        <f>VLOOKUP(E5652,'Cadastro Produtos (kiwkiw)'!C:E,3,0)</f>
        <v>#N/A</v>
      </c>
    </row>
    <row r="5653" spans="7:8" ht="15" customHeight="1" x14ac:dyDescent="0.4">
      <c r="G5653" s="27">
        <f t="shared" si="100"/>
        <v>0</v>
      </c>
      <c r="H5653" s="28" t="e">
        <f>VLOOKUP(E5653,'Cadastro Produtos (kiwkiw)'!C:E,3,0)</f>
        <v>#N/A</v>
      </c>
    </row>
    <row r="5654" spans="7:8" ht="15" customHeight="1" x14ac:dyDescent="0.4">
      <c r="G5654" s="27">
        <f t="shared" si="100"/>
        <v>0</v>
      </c>
      <c r="H5654" s="28" t="e">
        <f>VLOOKUP(E5654,'Cadastro Produtos (kiwkiw)'!C:E,3,0)</f>
        <v>#N/A</v>
      </c>
    </row>
    <row r="5655" spans="7:8" ht="15" customHeight="1" x14ac:dyDescent="0.4">
      <c r="G5655" s="27">
        <f t="shared" si="100"/>
        <v>0</v>
      </c>
      <c r="H5655" s="28" t="e">
        <f>VLOOKUP(E5655,'Cadastro Produtos (kiwkiw)'!C:E,3,0)</f>
        <v>#N/A</v>
      </c>
    </row>
    <row r="5656" spans="7:8" ht="15" customHeight="1" x14ac:dyDescent="0.4">
      <c r="G5656" s="27">
        <f t="shared" si="100"/>
        <v>0</v>
      </c>
      <c r="H5656" s="28" t="e">
        <f>VLOOKUP(E5656,'Cadastro Produtos (kiwkiw)'!C:E,3,0)</f>
        <v>#N/A</v>
      </c>
    </row>
    <row r="5657" spans="7:8" ht="15" customHeight="1" x14ac:dyDescent="0.4">
      <c r="G5657" s="27">
        <f t="shared" si="100"/>
        <v>0</v>
      </c>
      <c r="H5657" s="28" t="e">
        <f>VLOOKUP(E5657,'Cadastro Produtos (kiwkiw)'!C:E,3,0)</f>
        <v>#N/A</v>
      </c>
    </row>
    <row r="5658" spans="7:8" ht="15" customHeight="1" x14ac:dyDescent="0.4">
      <c r="G5658" s="27">
        <f t="shared" si="100"/>
        <v>0</v>
      </c>
      <c r="H5658" s="28" t="e">
        <f>VLOOKUP(E5658,'Cadastro Produtos (kiwkiw)'!C:E,3,0)</f>
        <v>#N/A</v>
      </c>
    </row>
    <row r="5659" spans="7:8" ht="15" customHeight="1" x14ac:dyDescent="0.4">
      <c r="G5659" s="27">
        <f t="shared" si="100"/>
        <v>0</v>
      </c>
      <c r="H5659" s="28" t="e">
        <f>VLOOKUP(E5659,'Cadastro Produtos (kiwkiw)'!C:E,3,0)</f>
        <v>#N/A</v>
      </c>
    </row>
    <row r="5660" spans="7:8" ht="15" customHeight="1" x14ac:dyDescent="0.4">
      <c r="G5660" s="27">
        <f t="shared" si="100"/>
        <v>0</v>
      </c>
      <c r="H5660" s="28" t="e">
        <f>VLOOKUP(E5660,'Cadastro Produtos (kiwkiw)'!C:E,3,0)</f>
        <v>#N/A</v>
      </c>
    </row>
    <row r="5661" spans="7:8" ht="15" customHeight="1" x14ac:dyDescent="0.4">
      <c r="G5661" s="27">
        <f t="shared" si="100"/>
        <v>0</v>
      </c>
      <c r="H5661" s="28" t="e">
        <f>VLOOKUP(E5661,'Cadastro Produtos (kiwkiw)'!C:E,3,0)</f>
        <v>#N/A</v>
      </c>
    </row>
    <row r="5662" spans="7:8" ht="15" customHeight="1" x14ac:dyDescent="0.4">
      <c r="G5662" s="27">
        <f t="shared" si="100"/>
        <v>0</v>
      </c>
      <c r="H5662" s="28" t="e">
        <f>VLOOKUP(E5662,'Cadastro Produtos (kiwkiw)'!C:E,3,0)</f>
        <v>#N/A</v>
      </c>
    </row>
    <row r="5663" spans="7:8" ht="15" customHeight="1" x14ac:dyDescent="0.4">
      <c r="G5663" s="27">
        <f t="shared" si="100"/>
        <v>0</v>
      </c>
      <c r="H5663" s="28" t="e">
        <f>VLOOKUP(E5663,'Cadastro Produtos (kiwkiw)'!C:E,3,0)</f>
        <v>#N/A</v>
      </c>
    </row>
    <row r="5664" spans="7:8" ht="15" customHeight="1" x14ac:dyDescent="0.4">
      <c r="G5664" s="27">
        <f t="shared" si="100"/>
        <v>0</v>
      </c>
      <c r="H5664" s="28" t="e">
        <f>VLOOKUP(E5664,'Cadastro Produtos (kiwkiw)'!C:E,3,0)</f>
        <v>#N/A</v>
      </c>
    </row>
    <row r="5665" spans="7:8" ht="15" customHeight="1" x14ac:dyDescent="0.4">
      <c r="G5665" s="27">
        <f t="shared" si="100"/>
        <v>0</v>
      </c>
      <c r="H5665" s="28" t="e">
        <f>VLOOKUP(E5665,'Cadastro Produtos (kiwkiw)'!C:E,3,0)</f>
        <v>#N/A</v>
      </c>
    </row>
    <row r="5666" spans="7:8" ht="15" customHeight="1" x14ac:dyDescent="0.4">
      <c r="G5666" s="27">
        <f t="shared" si="100"/>
        <v>0</v>
      </c>
      <c r="H5666" s="28" t="e">
        <f>VLOOKUP(E5666,'Cadastro Produtos (kiwkiw)'!C:E,3,0)</f>
        <v>#N/A</v>
      </c>
    </row>
    <row r="5667" spans="7:8" ht="15" customHeight="1" x14ac:dyDescent="0.4">
      <c r="G5667" s="27">
        <f t="shared" si="100"/>
        <v>0</v>
      </c>
      <c r="H5667" s="28" t="e">
        <f>VLOOKUP(E5667,'Cadastro Produtos (kiwkiw)'!C:E,3,0)</f>
        <v>#N/A</v>
      </c>
    </row>
    <row r="5668" spans="7:8" ht="15" customHeight="1" x14ac:dyDescent="0.4">
      <c r="G5668" s="27">
        <f t="shared" si="100"/>
        <v>0</v>
      </c>
      <c r="H5668" s="28" t="e">
        <f>VLOOKUP(E5668,'Cadastro Produtos (kiwkiw)'!C:E,3,0)</f>
        <v>#N/A</v>
      </c>
    </row>
    <row r="5669" spans="7:8" ht="15" customHeight="1" x14ac:dyDescent="0.4">
      <c r="G5669" s="27">
        <f t="shared" si="100"/>
        <v>0</v>
      </c>
      <c r="H5669" s="28" t="e">
        <f>VLOOKUP(E5669,'Cadastro Produtos (kiwkiw)'!C:E,3,0)</f>
        <v>#N/A</v>
      </c>
    </row>
    <row r="5670" spans="7:8" ht="15" customHeight="1" x14ac:dyDescent="0.4">
      <c r="G5670" s="27">
        <f t="shared" si="100"/>
        <v>0</v>
      </c>
      <c r="H5670" s="28" t="e">
        <f>VLOOKUP(E5670,'Cadastro Produtos (kiwkiw)'!C:E,3,0)</f>
        <v>#N/A</v>
      </c>
    </row>
    <row r="5671" spans="7:8" ht="15" customHeight="1" x14ac:dyDescent="0.4">
      <c r="G5671" s="27">
        <f t="shared" si="100"/>
        <v>0</v>
      </c>
      <c r="H5671" s="28" t="e">
        <f>VLOOKUP(E5671,'Cadastro Produtos (kiwkiw)'!C:E,3,0)</f>
        <v>#N/A</v>
      </c>
    </row>
    <row r="5672" spans="7:8" ht="15" customHeight="1" x14ac:dyDescent="0.4">
      <c r="G5672" s="27">
        <f t="shared" si="100"/>
        <v>0</v>
      </c>
      <c r="H5672" s="28" t="e">
        <f>VLOOKUP(E5672,'Cadastro Produtos (kiwkiw)'!C:E,3,0)</f>
        <v>#N/A</v>
      </c>
    </row>
    <row r="5673" spans="7:8" ht="15" customHeight="1" x14ac:dyDescent="0.4">
      <c r="G5673" s="27">
        <f t="shared" si="100"/>
        <v>0</v>
      </c>
      <c r="H5673" s="28" t="e">
        <f>VLOOKUP(E5673,'Cadastro Produtos (kiwkiw)'!C:E,3,0)</f>
        <v>#N/A</v>
      </c>
    </row>
    <row r="5674" spans="7:8" ht="15" customHeight="1" x14ac:dyDescent="0.4">
      <c r="G5674" s="27">
        <f t="shared" si="100"/>
        <v>0</v>
      </c>
      <c r="H5674" s="28" t="e">
        <f>VLOOKUP(E5674,'Cadastro Produtos (kiwkiw)'!C:E,3,0)</f>
        <v>#N/A</v>
      </c>
    </row>
    <row r="5675" spans="7:8" ht="15" customHeight="1" x14ac:dyDescent="0.4">
      <c r="G5675" s="27">
        <f t="shared" si="100"/>
        <v>0</v>
      </c>
      <c r="H5675" s="28" t="e">
        <f>VLOOKUP(E5675,'Cadastro Produtos (kiwkiw)'!C:E,3,0)</f>
        <v>#N/A</v>
      </c>
    </row>
    <row r="5676" spans="7:8" ht="15" customHeight="1" x14ac:dyDescent="0.4">
      <c r="G5676" s="27">
        <f t="shared" si="100"/>
        <v>0</v>
      </c>
      <c r="H5676" s="28" t="e">
        <f>VLOOKUP(E5676,'Cadastro Produtos (kiwkiw)'!C:E,3,0)</f>
        <v>#N/A</v>
      </c>
    </row>
    <row r="5677" spans="7:8" ht="15" customHeight="1" x14ac:dyDescent="0.4">
      <c r="G5677" s="27">
        <f t="shared" si="100"/>
        <v>0</v>
      </c>
      <c r="H5677" s="28" t="e">
        <f>VLOOKUP(E5677,'Cadastro Produtos (kiwkiw)'!C:E,3,0)</f>
        <v>#N/A</v>
      </c>
    </row>
    <row r="5678" spans="7:8" ht="15" customHeight="1" x14ac:dyDescent="0.4">
      <c r="G5678" s="27">
        <f t="shared" si="100"/>
        <v>0</v>
      </c>
      <c r="H5678" s="28" t="e">
        <f>VLOOKUP(E5678,'Cadastro Produtos (kiwkiw)'!C:E,3,0)</f>
        <v>#N/A</v>
      </c>
    </row>
    <row r="5679" spans="7:8" ht="15" customHeight="1" x14ac:dyDescent="0.4">
      <c r="G5679" s="27">
        <f t="shared" si="100"/>
        <v>0</v>
      </c>
      <c r="H5679" s="28" t="e">
        <f>VLOOKUP(E5679,'Cadastro Produtos (kiwkiw)'!C:E,3,0)</f>
        <v>#N/A</v>
      </c>
    </row>
    <row r="5680" spans="7:8" ht="15" customHeight="1" x14ac:dyDescent="0.4">
      <c r="G5680" s="27">
        <f t="shared" si="100"/>
        <v>0</v>
      </c>
      <c r="H5680" s="28" t="e">
        <f>VLOOKUP(E5680,'Cadastro Produtos (kiwkiw)'!C:E,3,0)</f>
        <v>#N/A</v>
      </c>
    </row>
    <row r="5681" spans="7:9" ht="15" customHeight="1" x14ac:dyDescent="0.4">
      <c r="G5681" s="27">
        <f t="shared" si="100"/>
        <v>0</v>
      </c>
      <c r="H5681" s="28" t="e">
        <f>VLOOKUP(E5681,'Cadastro Produtos (kiwkiw)'!C:E,3,0)</f>
        <v>#N/A</v>
      </c>
    </row>
    <row r="5682" spans="7:9" ht="15" customHeight="1" x14ac:dyDescent="0.4">
      <c r="G5682" s="27">
        <f t="shared" si="100"/>
        <v>0</v>
      </c>
      <c r="H5682" s="28" t="e">
        <f>VLOOKUP(E5682,'Cadastro Produtos (kiwkiw)'!C:E,3,0)</f>
        <v>#N/A</v>
      </c>
    </row>
    <row r="5683" spans="7:9" ht="15" customHeight="1" x14ac:dyDescent="0.4">
      <c r="G5683" s="27">
        <f t="shared" si="100"/>
        <v>0</v>
      </c>
      <c r="H5683" s="28" t="e">
        <f>VLOOKUP(E5683,'Cadastro Produtos (kiwkiw)'!C:E,3,0)</f>
        <v>#N/A</v>
      </c>
    </row>
    <row r="5684" spans="7:9" ht="15" customHeight="1" x14ac:dyDescent="0.4">
      <c r="G5684" s="27">
        <f t="shared" si="100"/>
        <v>0</v>
      </c>
      <c r="H5684" s="28" t="e">
        <f>VLOOKUP(E5684,'Cadastro Produtos (kiwkiw)'!C:E,3,0)</f>
        <v>#N/A</v>
      </c>
    </row>
    <row r="5685" spans="7:9" ht="15" customHeight="1" x14ac:dyDescent="0.4">
      <c r="G5685" s="27">
        <f t="shared" si="100"/>
        <v>0</v>
      </c>
      <c r="H5685" s="28" t="e">
        <f>VLOOKUP(E5685,'Cadastro Produtos (kiwkiw)'!C:E,3,0)</f>
        <v>#N/A</v>
      </c>
      <c r="I5685" s="39"/>
    </row>
    <row r="5686" spans="7:9" ht="15" customHeight="1" x14ac:dyDescent="0.4">
      <c r="G5686" s="27">
        <f t="shared" si="100"/>
        <v>0</v>
      </c>
      <c r="H5686" s="28" t="e">
        <f>VLOOKUP(E5686,'Cadastro Produtos (kiwkiw)'!C:E,3,0)</f>
        <v>#N/A</v>
      </c>
    </row>
    <row r="5687" spans="7:9" ht="15" customHeight="1" x14ac:dyDescent="0.4">
      <c r="G5687" s="27">
        <f t="shared" si="100"/>
        <v>0</v>
      </c>
      <c r="H5687" s="28" t="e">
        <f>VLOOKUP(E5687,'Cadastro Produtos (kiwkiw)'!C:E,3,0)</f>
        <v>#N/A</v>
      </c>
      <c r="I5687" s="39"/>
    </row>
    <row r="5688" spans="7:9" ht="15" customHeight="1" x14ac:dyDescent="0.4">
      <c r="G5688" s="27">
        <f t="shared" si="100"/>
        <v>0</v>
      </c>
      <c r="H5688" s="28" t="e">
        <f>VLOOKUP(E5688,'Cadastro Produtos (kiwkiw)'!C:E,3,0)</f>
        <v>#N/A</v>
      </c>
      <c r="I5688" s="39"/>
    </row>
    <row r="5689" spans="7:9" ht="15" customHeight="1" x14ac:dyDescent="0.4">
      <c r="G5689" s="27">
        <f t="shared" si="100"/>
        <v>0</v>
      </c>
      <c r="H5689" s="28" t="e">
        <f>VLOOKUP(E5689,'Cadastro Produtos (kiwkiw)'!C:E,3,0)</f>
        <v>#N/A</v>
      </c>
      <c r="I5689" s="39"/>
    </row>
    <row r="5690" spans="7:9" ht="15" customHeight="1" x14ac:dyDescent="0.4">
      <c r="G5690" s="27">
        <f t="shared" si="100"/>
        <v>0</v>
      </c>
      <c r="H5690" s="28" t="e">
        <f>VLOOKUP(E5690,'Cadastro Produtos (kiwkiw)'!C:E,3,0)</f>
        <v>#N/A</v>
      </c>
      <c r="I5690" s="39"/>
    </row>
    <row r="5691" spans="7:9" ht="15" customHeight="1" x14ac:dyDescent="0.4">
      <c r="G5691" s="27">
        <f t="shared" si="100"/>
        <v>0</v>
      </c>
      <c r="H5691" s="28" t="e">
        <f>VLOOKUP(E5691,'Cadastro Produtos (kiwkiw)'!C:E,3,0)</f>
        <v>#N/A</v>
      </c>
      <c r="I5691" s="39"/>
    </row>
    <row r="5692" spans="7:9" ht="15" customHeight="1" x14ac:dyDescent="0.4">
      <c r="G5692" s="27">
        <f t="shared" si="100"/>
        <v>0</v>
      </c>
      <c r="H5692" s="28" t="e">
        <f>VLOOKUP(E5692,'Cadastro Produtos (kiwkiw)'!C:E,3,0)</f>
        <v>#N/A</v>
      </c>
      <c r="I5692" s="39"/>
    </row>
    <row r="5693" spans="7:9" ht="15" customHeight="1" x14ac:dyDescent="0.4">
      <c r="G5693" s="27">
        <f t="shared" si="100"/>
        <v>0</v>
      </c>
      <c r="H5693" s="28" t="e">
        <f>VLOOKUP(E5693,'Cadastro Produtos (kiwkiw)'!C:E,3,0)</f>
        <v>#N/A</v>
      </c>
      <c r="I5693" s="39"/>
    </row>
    <row r="5694" spans="7:9" ht="15" customHeight="1" x14ac:dyDescent="0.4">
      <c r="G5694" s="27">
        <f t="shared" si="100"/>
        <v>0</v>
      </c>
      <c r="H5694" s="28" t="e">
        <f>VLOOKUP(E5694,'Cadastro Produtos (kiwkiw)'!C:E,3,0)</f>
        <v>#N/A</v>
      </c>
      <c r="I5694" s="39"/>
    </row>
    <row r="5695" spans="7:9" ht="15" customHeight="1" x14ac:dyDescent="0.4">
      <c r="G5695" s="27">
        <f t="shared" si="100"/>
        <v>0</v>
      </c>
      <c r="H5695" s="28" t="e">
        <f>VLOOKUP(E5695,'Cadastro Produtos (kiwkiw)'!C:E,3,0)</f>
        <v>#N/A</v>
      </c>
      <c r="I5695" s="39"/>
    </row>
    <row r="5696" spans="7:9" ht="15" customHeight="1" x14ac:dyDescent="0.4">
      <c r="G5696" s="27">
        <f t="shared" si="100"/>
        <v>0</v>
      </c>
      <c r="H5696" s="28" t="e">
        <f>VLOOKUP(E5696,'Cadastro Produtos (kiwkiw)'!C:E,3,0)</f>
        <v>#N/A</v>
      </c>
      <c r="I5696" s="39"/>
    </row>
    <row r="5697" spans="2:9" ht="15" customHeight="1" x14ac:dyDescent="0.4">
      <c r="G5697" s="27">
        <f t="shared" si="100"/>
        <v>0</v>
      </c>
      <c r="H5697" s="28" t="e">
        <f>VLOOKUP(E5697,'Cadastro Produtos (kiwkiw)'!C:E,3,0)</f>
        <v>#N/A</v>
      </c>
      <c r="I5697" s="39"/>
    </row>
    <row r="5698" spans="2:9" ht="15" customHeight="1" x14ac:dyDescent="0.4">
      <c r="G5698" s="27">
        <f t="shared" si="100"/>
        <v>0</v>
      </c>
      <c r="H5698" s="28" t="e">
        <f>VLOOKUP(E5698,'Cadastro Produtos (kiwkiw)'!C:E,3,0)</f>
        <v>#N/A</v>
      </c>
      <c r="I5698" s="39"/>
    </row>
    <row r="5699" spans="2:9" ht="15" customHeight="1" x14ac:dyDescent="0.4">
      <c r="G5699" s="27">
        <f t="shared" si="100"/>
        <v>0</v>
      </c>
      <c r="H5699" s="28" t="e">
        <f>VLOOKUP(E5699,'Cadastro Produtos (kiwkiw)'!C:E,3,0)</f>
        <v>#N/A</v>
      </c>
      <c r="I5699" s="39"/>
    </row>
    <row r="5700" spans="2:9" ht="15" customHeight="1" x14ac:dyDescent="0.4">
      <c r="G5700" s="27">
        <f t="shared" si="100"/>
        <v>0</v>
      </c>
      <c r="H5700" s="28" t="e">
        <f>VLOOKUP(E5700,'Cadastro Produtos (kiwkiw)'!C:E,3,0)</f>
        <v>#N/A</v>
      </c>
      <c r="I5700" s="39"/>
    </row>
    <row r="5701" spans="2:9" ht="15" customHeight="1" x14ac:dyDescent="0.4">
      <c r="G5701" s="27">
        <f t="shared" si="100"/>
        <v>0</v>
      </c>
      <c r="H5701" s="28" t="e">
        <f>VLOOKUP(E5701,'Cadastro Produtos (kiwkiw)'!C:E,3,0)</f>
        <v>#N/A</v>
      </c>
      <c r="I5701" s="39"/>
    </row>
    <row r="5702" spans="2:9" ht="15" customHeight="1" x14ac:dyDescent="0.4">
      <c r="G5702" s="27">
        <f t="shared" si="100"/>
        <v>0</v>
      </c>
      <c r="H5702" s="28" t="e">
        <f>VLOOKUP(E5702,'Cadastro Produtos (kiwkiw)'!C:E,3,0)</f>
        <v>#N/A</v>
      </c>
      <c r="I5702" s="39"/>
    </row>
    <row r="5703" spans="2:9" ht="15" customHeight="1" x14ac:dyDescent="0.4">
      <c r="B5703" s="43"/>
      <c r="G5703" s="27">
        <f t="shared" si="100"/>
        <v>0</v>
      </c>
      <c r="H5703" s="28" t="e">
        <f>VLOOKUP(E5703,'Cadastro Produtos (kiwkiw)'!C:E,3,0)</f>
        <v>#N/A</v>
      </c>
    </row>
    <row r="5704" spans="2:9" ht="15" customHeight="1" x14ac:dyDescent="0.4">
      <c r="G5704" s="27">
        <f t="shared" si="100"/>
        <v>0</v>
      </c>
      <c r="H5704" s="28" t="e">
        <f>VLOOKUP(E5704,'Cadastro Produtos (kiwkiw)'!C:E,3,0)</f>
        <v>#N/A</v>
      </c>
    </row>
    <row r="5705" spans="2:9" ht="15" customHeight="1" x14ac:dyDescent="0.4">
      <c r="G5705" s="27">
        <f t="shared" si="100"/>
        <v>0</v>
      </c>
      <c r="H5705" s="28" t="e">
        <f>VLOOKUP(E5705,'Cadastro Produtos (kiwkiw)'!C:E,3,0)</f>
        <v>#N/A</v>
      </c>
    </row>
    <row r="5706" spans="2:9" ht="15" customHeight="1" x14ac:dyDescent="0.4">
      <c r="G5706" s="27">
        <f t="shared" si="100"/>
        <v>0</v>
      </c>
      <c r="H5706" s="28" t="e">
        <f>VLOOKUP(E5706,'Cadastro Produtos (kiwkiw)'!C:E,3,0)</f>
        <v>#N/A</v>
      </c>
    </row>
    <row r="5707" spans="2:9" ht="15" customHeight="1" x14ac:dyDescent="0.4">
      <c r="G5707" s="27">
        <f t="shared" si="100"/>
        <v>0</v>
      </c>
      <c r="H5707" s="28" t="e">
        <f>VLOOKUP(E5707,'Cadastro Produtos (kiwkiw)'!C:E,3,0)</f>
        <v>#N/A</v>
      </c>
    </row>
    <row r="5708" spans="2:9" ht="15" customHeight="1" x14ac:dyDescent="0.4">
      <c r="G5708" s="27">
        <f t="shared" si="100"/>
        <v>0</v>
      </c>
      <c r="H5708" s="28" t="e">
        <f>VLOOKUP(E5708,'Cadastro Produtos (kiwkiw)'!C:E,3,0)</f>
        <v>#N/A</v>
      </c>
    </row>
    <row r="5709" spans="2:9" ht="15" customHeight="1" x14ac:dyDescent="0.4">
      <c r="G5709" s="27">
        <f t="shared" si="100"/>
        <v>0</v>
      </c>
      <c r="H5709" s="28" t="e">
        <f>VLOOKUP(E5709,'Cadastro Produtos (kiwkiw)'!C:E,3,0)</f>
        <v>#N/A</v>
      </c>
    </row>
    <row r="5710" spans="2:9" ht="15" customHeight="1" x14ac:dyDescent="0.4">
      <c r="G5710" s="27">
        <f t="shared" si="100"/>
        <v>0</v>
      </c>
      <c r="H5710" s="28" t="e">
        <f>VLOOKUP(E5710,'Cadastro Produtos (kiwkiw)'!C:E,3,0)</f>
        <v>#N/A</v>
      </c>
    </row>
    <row r="5711" spans="2:9" ht="15" customHeight="1" x14ac:dyDescent="0.4">
      <c r="G5711" s="27">
        <f t="shared" si="100"/>
        <v>0</v>
      </c>
      <c r="H5711" s="28" t="e">
        <f>VLOOKUP(E5711,'Cadastro Produtos (kiwkiw)'!C:E,3,0)</f>
        <v>#N/A</v>
      </c>
    </row>
    <row r="5712" spans="2:9" ht="15" customHeight="1" x14ac:dyDescent="0.4">
      <c r="G5712" s="27">
        <f t="shared" si="100"/>
        <v>0</v>
      </c>
      <c r="H5712" s="28" t="e">
        <f>VLOOKUP(E5712,'Cadastro Produtos (kiwkiw)'!C:E,3,0)</f>
        <v>#N/A</v>
      </c>
    </row>
    <row r="5713" spans="7:8" ht="15" customHeight="1" x14ac:dyDescent="0.4">
      <c r="G5713" s="27">
        <f t="shared" si="100"/>
        <v>0</v>
      </c>
      <c r="H5713" s="28" t="e">
        <f>VLOOKUP(E5713,'Cadastro Produtos (kiwkiw)'!C:E,3,0)</f>
        <v>#N/A</v>
      </c>
    </row>
    <row r="5714" spans="7:8" ht="15" customHeight="1" x14ac:dyDescent="0.4">
      <c r="G5714" s="27">
        <f t="shared" ref="G5714:G5777" si="101">IF(C5714="Entrada",F5714,-F5714)</f>
        <v>0</v>
      </c>
      <c r="H5714" s="28" t="e">
        <f>VLOOKUP(E5714,'Cadastro Produtos (kiwkiw)'!C:E,3,0)</f>
        <v>#N/A</v>
      </c>
    </row>
    <row r="5715" spans="7:8" ht="15" customHeight="1" x14ac:dyDescent="0.4">
      <c r="G5715" s="27">
        <f t="shared" si="101"/>
        <v>0</v>
      </c>
      <c r="H5715" s="28" t="e">
        <f>VLOOKUP(E5715,'Cadastro Produtos (kiwkiw)'!C:E,3,0)</f>
        <v>#N/A</v>
      </c>
    </row>
    <row r="5716" spans="7:8" ht="15" customHeight="1" x14ac:dyDescent="0.4">
      <c r="G5716" s="27">
        <f t="shared" si="101"/>
        <v>0</v>
      </c>
      <c r="H5716" s="28" t="e">
        <f>VLOOKUP(E5716,'Cadastro Produtos (kiwkiw)'!C:E,3,0)</f>
        <v>#N/A</v>
      </c>
    </row>
    <row r="5717" spans="7:8" ht="15" customHeight="1" x14ac:dyDescent="0.4">
      <c r="G5717" s="27">
        <f t="shared" si="101"/>
        <v>0</v>
      </c>
      <c r="H5717" s="28" t="e">
        <f>VLOOKUP(E5717,'Cadastro Produtos (kiwkiw)'!C:E,3,0)</f>
        <v>#N/A</v>
      </c>
    </row>
    <row r="5718" spans="7:8" ht="15" customHeight="1" x14ac:dyDescent="0.4">
      <c r="G5718" s="27">
        <f t="shared" si="101"/>
        <v>0</v>
      </c>
      <c r="H5718" s="28" t="e">
        <f>VLOOKUP(E5718,'Cadastro Produtos (kiwkiw)'!C:E,3,0)</f>
        <v>#N/A</v>
      </c>
    </row>
    <row r="5719" spans="7:8" ht="15" customHeight="1" x14ac:dyDescent="0.4">
      <c r="G5719" s="27">
        <f t="shared" si="101"/>
        <v>0</v>
      </c>
      <c r="H5719" s="28" t="e">
        <f>VLOOKUP(E5719,'Cadastro Produtos (kiwkiw)'!C:E,3,0)</f>
        <v>#N/A</v>
      </c>
    </row>
    <row r="5720" spans="7:8" ht="15" customHeight="1" x14ac:dyDescent="0.4">
      <c r="G5720" s="27">
        <f t="shared" si="101"/>
        <v>0</v>
      </c>
      <c r="H5720" s="28" t="e">
        <f>VLOOKUP(E5720,'Cadastro Produtos (kiwkiw)'!C:E,3,0)</f>
        <v>#N/A</v>
      </c>
    </row>
    <row r="5721" spans="7:8" ht="15" customHeight="1" x14ac:dyDescent="0.4">
      <c r="G5721" s="27">
        <f t="shared" si="101"/>
        <v>0</v>
      </c>
      <c r="H5721" s="28" t="e">
        <f>VLOOKUP(E5721,'Cadastro Produtos (kiwkiw)'!C:E,3,0)</f>
        <v>#N/A</v>
      </c>
    </row>
    <row r="5722" spans="7:8" ht="15" customHeight="1" x14ac:dyDescent="0.4">
      <c r="G5722" s="27">
        <f t="shared" si="101"/>
        <v>0</v>
      </c>
      <c r="H5722" s="28" t="e">
        <f>VLOOKUP(E5722,'Cadastro Produtos (kiwkiw)'!C:E,3,0)</f>
        <v>#N/A</v>
      </c>
    </row>
    <row r="5723" spans="7:8" ht="15" customHeight="1" x14ac:dyDescent="0.4">
      <c r="G5723" s="27">
        <f t="shared" si="101"/>
        <v>0</v>
      </c>
      <c r="H5723" s="28" t="e">
        <f>VLOOKUP(E5723,'Cadastro Produtos (kiwkiw)'!C:E,3,0)</f>
        <v>#N/A</v>
      </c>
    </row>
    <row r="5724" spans="7:8" ht="15" customHeight="1" x14ac:dyDescent="0.4">
      <c r="G5724" s="27">
        <f t="shared" si="101"/>
        <v>0</v>
      </c>
      <c r="H5724" s="28" t="e">
        <f>VLOOKUP(E5724,'Cadastro Produtos (kiwkiw)'!C:E,3,0)</f>
        <v>#N/A</v>
      </c>
    </row>
    <row r="5725" spans="7:8" ht="15" customHeight="1" x14ac:dyDescent="0.4">
      <c r="G5725" s="27">
        <f t="shared" si="101"/>
        <v>0</v>
      </c>
      <c r="H5725" s="28" t="e">
        <f>VLOOKUP(E5725,'Cadastro Produtos (kiwkiw)'!C:E,3,0)</f>
        <v>#N/A</v>
      </c>
    </row>
    <row r="5726" spans="7:8" ht="15" customHeight="1" x14ac:dyDescent="0.4">
      <c r="G5726" s="27">
        <f t="shared" si="101"/>
        <v>0</v>
      </c>
      <c r="H5726" s="28" t="e">
        <f>VLOOKUP(E5726,'Cadastro Produtos (kiwkiw)'!C:E,3,0)</f>
        <v>#N/A</v>
      </c>
    </row>
    <row r="5727" spans="7:8" ht="15" customHeight="1" x14ac:dyDescent="0.4">
      <c r="G5727" s="27">
        <f t="shared" si="101"/>
        <v>0</v>
      </c>
      <c r="H5727" s="28" t="e">
        <f>VLOOKUP(E5727,'Cadastro Produtos (kiwkiw)'!C:E,3,0)</f>
        <v>#N/A</v>
      </c>
    </row>
    <row r="5728" spans="7:8" ht="15" customHeight="1" x14ac:dyDescent="0.4">
      <c r="G5728" s="27">
        <f t="shared" si="101"/>
        <v>0</v>
      </c>
      <c r="H5728" s="28" t="e">
        <f>VLOOKUP(E5728,'Cadastro Produtos (kiwkiw)'!C:E,3,0)</f>
        <v>#N/A</v>
      </c>
    </row>
    <row r="5729" spans="7:8" ht="15" customHeight="1" x14ac:dyDescent="0.4">
      <c r="G5729" s="27">
        <f t="shared" si="101"/>
        <v>0</v>
      </c>
      <c r="H5729" s="28" t="e">
        <f>VLOOKUP(E5729,'Cadastro Produtos (kiwkiw)'!C:E,3,0)</f>
        <v>#N/A</v>
      </c>
    </row>
    <row r="5730" spans="7:8" ht="15" customHeight="1" x14ac:dyDescent="0.4">
      <c r="G5730" s="27">
        <f t="shared" si="101"/>
        <v>0</v>
      </c>
      <c r="H5730" s="28" t="e">
        <f>VLOOKUP(E5730,'Cadastro Produtos (kiwkiw)'!C:E,3,0)</f>
        <v>#N/A</v>
      </c>
    </row>
    <row r="5731" spans="7:8" ht="15" customHeight="1" x14ac:dyDescent="0.4">
      <c r="G5731" s="27">
        <f t="shared" si="101"/>
        <v>0</v>
      </c>
      <c r="H5731" s="28" t="e">
        <f>VLOOKUP(E5731,'Cadastro Produtos (kiwkiw)'!C:E,3,0)</f>
        <v>#N/A</v>
      </c>
    </row>
    <row r="5732" spans="7:8" ht="15" customHeight="1" x14ac:dyDescent="0.4">
      <c r="G5732" s="27">
        <f t="shared" si="101"/>
        <v>0</v>
      </c>
      <c r="H5732" s="28" t="e">
        <f>VLOOKUP(E5732,'Cadastro Produtos (kiwkiw)'!C:E,3,0)</f>
        <v>#N/A</v>
      </c>
    </row>
    <row r="5733" spans="7:8" ht="15" customHeight="1" x14ac:dyDescent="0.4">
      <c r="G5733" s="27">
        <f t="shared" si="101"/>
        <v>0</v>
      </c>
      <c r="H5733" s="28" t="e">
        <f>VLOOKUP(E5733,'Cadastro Produtos (kiwkiw)'!C:E,3,0)</f>
        <v>#N/A</v>
      </c>
    </row>
    <row r="5734" spans="7:8" ht="15" customHeight="1" x14ac:dyDescent="0.4">
      <c r="G5734" s="27">
        <f t="shared" si="101"/>
        <v>0</v>
      </c>
      <c r="H5734" s="28" t="e">
        <f>VLOOKUP(E5734,'Cadastro Produtos (kiwkiw)'!C:E,3,0)</f>
        <v>#N/A</v>
      </c>
    </row>
    <row r="5735" spans="7:8" ht="15" customHeight="1" x14ac:dyDescent="0.4">
      <c r="G5735" s="27">
        <f t="shared" si="101"/>
        <v>0</v>
      </c>
      <c r="H5735" s="28" t="e">
        <f>VLOOKUP(E5735,'Cadastro Produtos (kiwkiw)'!C:E,3,0)</f>
        <v>#N/A</v>
      </c>
    </row>
    <row r="5736" spans="7:8" ht="15" customHeight="1" x14ac:dyDescent="0.4">
      <c r="G5736" s="27">
        <f t="shared" si="101"/>
        <v>0</v>
      </c>
      <c r="H5736" s="28" t="e">
        <f>VLOOKUP(E5736,'Cadastro Produtos (kiwkiw)'!C:E,3,0)</f>
        <v>#N/A</v>
      </c>
    </row>
    <row r="5737" spans="7:8" ht="15" customHeight="1" x14ac:dyDescent="0.4">
      <c r="G5737" s="27">
        <f t="shared" si="101"/>
        <v>0</v>
      </c>
      <c r="H5737" s="28" t="e">
        <f>VLOOKUP(E5737,'Cadastro Produtos (kiwkiw)'!C:E,3,0)</f>
        <v>#N/A</v>
      </c>
    </row>
    <row r="5738" spans="7:8" ht="15" customHeight="1" x14ac:dyDescent="0.4">
      <c r="G5738" s="27">
        <f t="shared" si="101"/>
        <v>0</v>
      </c>
      <c r="H5738" s="28" t="e">
        <f>VLOOKUP(E5738,'Cadastro Produtos (kiwkiw)'!C:E,3,0)</f>
        <v>#N/A</v>
      </c>
    </row>
    <row r="5739" spans="7:8" ht="15" customHeight="1" x14ac:dyDescent="0.4">
      <c r="G5739" s="27">
        <f t="shared" si="101"/>
        <v>0</v>
      </c>
      <c r="H5739" s="28" t="e">
        <f>VLOOKUP(E5739,'Cadastro Produtos (kiwkiw)'!C:E,3,0)</f>
        <v>#N/A</v>
      </c>
    </row>
    <row r="5740" spans="7:8" ht="15" customHeight="1" x14ac:dyDescent="0.4">
      <c r="G5740" s="27">
        <f t="shared" si="101"/>
        <v>0</v>
      </c>
      <c r="H5740" s="28" t="e">
        <f>VLOOKUP(E5740,'Cadastro Produtos (kiwkiw)'!C:E,3,0)</f>
        <v>#N/A</v>
      </c>
    </row>
    <row r="5741" spans="7:8" ht="15" customHeight="1" x14ac:dyDescent="0.4">
      <c r="G5741" s="27">
        <f t="shared" si="101"/>
        <v>0</v>
      </c>
      <c r="H5741" s="28" t="e">
        <f>VLOOKUP(E5741,'Cadastro Produtos (kiwkiw)'!C:E,3,0)</f>
        <v>#N/A</v>
      </c>
    </row>
    <row r="5742" spans="7:8" ht="15" customHeight="1" x14ac:dyDescent="0.4">
      <c r="G5742" s="27">
        <f t="shared" si="101"/>
        <v>0</v>
      </c>
      <c r="H5742" s="28" t="e">
        <f>VLOOKUP(E5742,'Cadastro Produtos (kiwkiw)'!C:E,3,0)</f>
        <v>#N/A</v>
      </c>
    </row>
    <row r="5743" spans="7:8" ht="15" customHeight="1" x14ac:dyDescent="0.4">
      <c r="G5743" s="27">
        <f t="shared" si="101"/>
        <v>0</v>
      </c>
      <c r="H5743" s="28" t="e">
        <f>VLOOKUP(E5743,'Cadastro Produtos (kiwkiw)'!C:E,3,0)</f>
        <v>#N/A</v>
      </c>
    </row>
    <row r="5744" spans="7:8" ht="15" customHeight="1" x14ac:dyDescent="0.4">
      <c r="G5744" s="27">
        <f t="shared" si="101"/>
        <v>0</v>
      </c>
      <c r="H5744" s="28" t="e">
        <f>VLOOKUP(E5744,'Cadastro Produtos (kiwkiw)'!C:E,3,0)</f>
        <v>#N/A</v>
      </c>
    </row>
    <row r="5745" spans="7:8" ht="15" customHeight="1" x14ac:dyDescent="0.4">
      <c r="G5745" s="27">
        <f t="shared" si="101"/>
        <v>0</v>
      </c>
      <c r="H5745" s="28" t="e">
        <f>VLOOKUP(E5745,'Cadastro Produtos (kiwkiw)'!C:E,3,0)</f>
        <v>#N/A</v>
      </c>
    </row>
    <row r="5746" spans="7:8" ht="15" customHeight="1" x14ac:dyDescent="0.4">
      <c r="G5746" s="27">
        <f t="shared" si="101"/>
        <v>0</v>
      </c>
      <c r="H5746" s="28" t="e">
        <f>VLOOKUP(E5746,'Cadastro Produtos (kiwkiw)'!C:E,3,0)</f>
        <v>#N/A</v>
      </c>
    </row>
    <row r="5747" spans="7:8" ht="15" customHeight="1" x14ac:dyDescent="0.4">
      <c r="G5747" s="27">
        <f t="shared" si="101"/>
        <v>0</v>
      </c>
      <c r="H5747" s="28" t="e">
        <f>VLOOKUP(E5747,'Cadastro Produtos (kiwkiw)'!C:E,3,0)</f>
        <v>#N/A</v>
      </c>
    </row>
    <row r="5748" spans="7:8" ht="15" customHeight="1" x14ac:dyDescent="0.4">
      <c r="G5748" s="27">
        <f t="shared" si="101"/>
        <v>0</v>
      </c>
      <c r="H5748" s="28" t="e">
        <f>VLOOKUP(E5748,'Cadastro Produtos (kiwkiw)'!C:E,3,0)</f>
        <v>#N/A</v>
      </c>
    </row>
    <row r="5749" spans="7:8" ht="15" customHeight="1" x14ac:dyDescent="0.4">
      <c r="G5749" s="27">
        <f t="shared" si="101"/>
        <v>0</v>
      </c>
      <c r="H5749" s="28" t="e">
        <f>VLOOKUP(E5749,'Cadastro Produtos (kiwkiw)'!C:E,3,0)</f>
        <v>#N/A</v>
      </c>
    </row>
    <row r="5750" spans="7:8" ht="15" customHeight="1" x14ac:dyDescent="0.4">
      <c r="G5750" s="27">
        <f t="shared" si="101"/>
        <v>0</v>
      </c>
      <c r="H5750" s="28" t="e">
        <f>VLOOKUP(E5750,'Cadastro Produtos (kiwkiw)'!C:E,3,0)</f>
        <v>#N/A</v>
      </c>
    </row>
    <row r="5751" spans="7:8" ht="15" customHeight="1" x14ac:dyDescent="0.4">
      <c r="G5751" s="27">
        <f t="shared" si="101"/>
        <v>0</v>
      </c>
      <c r="H5751" s="28" t="e">
        <f>VLOOKUP(E5751,'Cadastro Produtos (kiwkiw)'!C:E,3,0)</f>
        <v>#N/A</v>
      </c>
    </row>
    <row r="5752" spans="7:8" ht="15" customHeight="1" x14ac:dyDescent="0.4">
      <c r="G5752" s="27">
        <f t="shared" si="101"/>
        <v>0</v>
      </c>
      <c r="H5752" s="28" t="e">
        <f>VLOOKUP(E5752,'Cadastro Produtos (kiwkiw)'!C:E,3,0)</f>
        <v>#N/A</v>
      </c>
    </row>
    <row r="5753" spans="7:8" ht="15" customHeight="1" x14ac:dyDescent="0.4">
      <c r="G5753" s="27">
        <f t="shared" si="101"/>
        <v>0</v>
      </c>
      <c r="H5753" s="28" t="e">
        <f>VLOOKUP(E5753,'Cadastro Produtos (kiwkiw)'!C:E,3,0)</f>
        <v>#N/A</v>
      </c>
    </row>
    <row r="5754" spans="7:8" ht="15" customHeight="1" x14ac:dyDescent="0.4">
      <c r="G5754" s="27">
        <f t="shared" si="101"/>
        <v>0</v>
      </c>
      <c r="H5754" s="28" t="e">
        <f>VLOOKUP(E5754,'Cadastro Produtos (kiwkiw)'!C:E,3,0)</f>
        <v>#N/A</v>
      </c>
    </row>
    <row r="5755" spans="7:8" ht="15" customHeight="1" x14ac:dyDescent="0.4">
      <c r="G5755" s="27">
        <f t="shared" si="101"/>
        <v>0</v>
      </c>
      <c r="H5755" s="28" t="e">
        <f>VLOOKUP(E5755,'Cadastro Produtos (kiwkiw)'!C:E,3,0)</f>
        <v>#N/A</v>
      </c>
    </row>
    <row r="5756" spans="7:8" ht="15" customHeight="1" x14ac:dyDescent="0.4">
      <c r="G5756" s="27">
        <f t="shared" si="101"/>
        <v>0</v>
      </c>
      <c r="H5756" s="28" t="e">
        <f>VLOOKUP(E5756,'Cadastro Produtos (kiwkiw)'!C:E,3,0)</f>
        <v>#N/A</v>
      </c>
    </row>
    <row r="5757" spans="7:8" ht="15" customHeight="1" x14ac:dyDescent="0.4">
      <c r="G5757" s="27">
        <f t="shared" si="101"/>
        <v>0</v>
      </c>
      <c r="H5757" s="28" t="e">
        <f>VLOOKUP(E5757,'Cadastro Produtos (kiwkiw)'!C:E,3,0)</f>
        <v>#N/A</v>
      </c>
    </row>
    <row r="5758" spans="7:8" ht="15" customHeight="1" x14ac:dyDescent="0.4">
      <c r="G5758" s="27">
        <f t="shared" si="101"/>
        <v>0</v>
      </c>
      <c r="H5758" s="28" t="e">
        <f>VLOOKUP(E5758,'Cadastro Produtos (kiwkiw)'!C:E,3,0)</f>
        <v>#N/A</v>
      </c>
    </row>
    <row r="5759" spans="7:8" ht="15" customHeight="1" x14ac:dyDescent="0.4">
      <c r="G5759" s="27">
        <f t="shared" si="101"/>
        <v>0</v>
      </c>
      <c r="H5759" s="28" t="e">
        <f>VLOOKUP(E5759,'Cadastro Produtos (kiwkiw)'!C:E,3,0)</f>
        <v>#N/A</v>
      </c>
    </row>
    <row r="5760" spans="7:8" ht="15" customHeight="1" x14ac:dyDescent="0.4">
      <c r="G5760" s="27">
        <f t="shared" si="101"/>
        <v>0</v>
      </c>
      <c r="H5760" s="28" t="e">
        <f>VLOOKUP(E5760,'Cadastro Produtos (kiwkiw)'!C:E,3,0)</f>
        <v>#N/A</v>
      </c>
    </row>
    <row r="5761" spans="7:8" ht="15" customHeight="1" x14ac:dyDescent="0.4">
      <c r="G5761" s="27">
        <f t="shared" si="101"/>
        <v>0</v>
      </c>
      <c r="H5761" s="28" t="e">
        <f>VLOOKUP(E5761,'Cadastro Produtos (kiwkiw)'!C:E,3,0)</f>
        <v>#N/A</v>
      </c>
    </row>
    <row r="5762" spans="7:8" ht="15" customHeight="1" x14ac:dyDescent="0.4">
      <c r="G5762" s="27">
        <f t="shared" si="101"/>
        <v>0</v>
      </c>
      <c r="H5762" s="28" t="e">
        <f>VLOOKUP(E5762,'Cadastro Produtos (kiwkiw)'!C:E,3,0)</f>
        <v>#N/A</v>
      </c>
    </row>
    <row r="5763" spans="7:8" ht="15" customHeight="1" x14ac:dyDescent="0.4">
      <c r="G5763" s="27">
        <f t="shared" si="101"/>
        <v>0</v>
      </c>
      <c r="H5763" s="28" t="e">
        <f>VLOOKUP(E5763,'Cadastro Produtos (kiwkiw)'!C:E,3,0)</f>
        <v>#N/A</v>
      </c>
    </row>
    <row r="5764" spans="7:8" ht="15" customHeight="1" x14ac:dyDescent="0.4">
      <c r="G5764" s="27">
        <f t="shared" si="101"/>
        <v>0</v>
      </c>
      <c r="H5764" s="28" t="e">
        <f>VLOOKUP(E5764,'Cadastro Produtos (kiwkiw)'!C:E,3,0)</f>
        <v>#N/A</v>
      </c>
    </row>
    <row r="5765" spans="7:8" ht="15" customHeight="1" x14ac:dyDescent="0.4">
      <c r="G5765" s="27">
        <f t="shared" si="101"/>
        <v>0</v>
      </c>
      <c r="H5765" s="28" t="e">
        <f>VLOOKUP(E5765,'Cadastro Produtos (kiwkiw)'!C:E,3,0)</f>
        <v>#N/A</v>
      </c>
    </row>
    <row r="5766" spans="7:8" ht="15" customHeight="1" x14ac:dyDescent="0.4">
      <c r="G5766" s="27">
        <f t="shared" si="101"/>
        <v>0</v>
      </c>
      <c r="H5766" s="28" t="e">
        <f>VLOOKUP(E5766,'Cadastro Produtos (kiwkiw)'!C:E,3,0)</f>
        <v>#N/A</v>
      </c>
    </row>
    <row r="5767" spans="7:8" ht="15" customHeight="1" x14ac:dyDescent="0.4">
      <c r="G5767" s="27">
        <f t="shared" si="101"/>
        <v>0</v>
      </c>
      <c r="H5767" s="28" t="e">
        <f>VLOOKUP(E5767,'Cadastro Produtos (kiwkiw)'!C:E,3,0)</f>
        <v>#N/A</v>
      </c>
    </row>
    <row r="5768" spans="7:8" ht="15" customHeight="1" x14ac:dyDescent="0.4">
      <c r="G5768" s="27">
        <f t="shared" si="101"/>
        <v>0</v>
      </c>
      <c r="H5768" s="28" t="e">
        <f>VLOOKUP(E5768,'Cadastro Produtos (kiwkiw)'!C:E,3,0)</f>
        <v>#N/A</v>
      </c>
    </row>
    <row r="5769" spans="7:8" ht="15" customHeight="1" x14ac:dyDescent="0.4">
      <c r="G5769" s="27">
        <f t="shared" si="101"/>
        <v>0</v>
      </c>
      <c r="H5769" s="28" t="e">
        <f>VLOOKUP(E5769,'Cadastro Produtos (kiwkiw)'!C:E,3,0)</f>
        <v>#N/A</v>
      </c>
    </row>
    <row r="5770" spans="7:8" ht="15" customHeight="1" x14ac:dyDescent="0.4">
      <c r="G5770" s="27">
        <f t="shared" si="101"/>
        <v>0</v>
      </c>
      <c r="H5770" s="28" t="e">
        <f>VLOOKUP(E5770,'Cadastro Produtos (kiwkiw)'!C:E,3,0)</f>
        <v>#N/A</v>
      </c>
    </row>
    <row r="5771" spans="7:8" ht="15" customHeight="1" x14ac:dyDescent="0.4">
      <c r="G5771" s="27">
        <f t="shared" si="101"/>
        <v>0</v>
      </c>
      <c r="H5771" s="28" t="e">
        <f>VLOOKUP(E5771,'Cadastro Produtos (kiwkiw)'!C:E,3,0)</f>
        <v>#N/A</v>
      </c>
    </row>
    <row r="5772" spans="7:8" ht="15" customHeight="1" x14ac:dyDescent="0.4">
      <c r="G5772" s="27">
        <f t="shared" si="101"/>
        <v>0</v>
      </c>
      <c r="H5772" s="28" t="e">
        <f>VLOOKUP(E5772,'Cadastro Produtos (kiwkiw)'!C:E,3,0)</f>
        <v>#N/A</v>
      </c>
    </row>
    <row r="5773" spans="7:8" ht="15" customHeight="1" x14ac:dyDescent="0.4">
      <c r="G5773" s="27">
        <f t="shared" si="101"/>
        <v>0</v>
      </c>
      <c r="H5773" s="28" t="e">
        <f>VLOOKUP(E5773,'Cadastro Produtos (kiwkiw)'!C:E,3,0)</f>
        <v>#N/A</v>
      </c>
    </row>
    <row r="5774" spans="7:8" ht="15" customHeight="1" x14ac:dyDescent="0.4">
      <c r="G5774" s="27">
        <f t="shared" si="101"/>
        <v>0</v>
      </c>
      <c r="H5774" s="28" t="e">
        <f>VLOOKUP(E5774,'Cadastro Produtos (kiwkiw)'!C:E,3,0)</f>
        <v>#N/A</v>
      </c>
    </row>
    <row r="5775" spans="7:8" ht="15" customHeight="1" x14ac:dyDescent="0.4">
      <c r="G5775" s="27">
        <f t="shared" si="101"/>
        <v>0</v>
      </c>
      <c r="H5775" s="28" t="e">
        <f>VLOOKUP(E5775,'Cadastro Produtos (kiwkiw)'!C:E,3,0)</f>
        <v>#N/A</v>
      </c>
    </row>
    <row r="5776" spans="7:8" ht="15" customHeight="1" x14ac:dyDescent="0.4">
      <c r="G5776" s="27">
        <f t="shared" si="101"/>
        <v>0</v>
      </c>
      <c r="H5776" s="28" t="e">
        <f>VLOOKUP(E5776,'Cadastro Produtos (kiwkiw)'!C:E,3,0)</f>
        <v>#N/A</v>
      </c>
    </row>
    <row r="5777" spans="7:8" ht="15" customHeight="1" x14ac:dyDescent="0.4">
      <c r="G5777" s="27">
        <f t="shared" si="101"/>
        <v>0</v>
      </c>
      <c r="H5777" s="28" t="e">
        <f>VLOOKUP(E5777,'Cadastro Produtos (kiwkiw)'!C:E,3,0)</f>
        <v>#N/A</v>
      </c>
    </row>
    <row r="5778" spans="7:8" ht="15" customHeight="1" x14ac:dyDescent="0.4">
      <c r="G5778" s="27">
        <f t="shared" ref="G5778:G5841" si="102">IF(C5778="Entrada",F5778,-F5778)</f>
        <v>0</v>
      </c>
      <c r="H5778" s="28" t="e">
        <f>VLOOKUP(E5778,'Cadastro Produtos (kiwkiw)'!C:E,3,0)</f>
        <v>#N/A</v>
      </c>
    </row>
    <row r="5779" spans="7:8" ht="15" customHeight="1" x14ac:dyDescent="0.4">
      <c r="G5779" s="27">
        <f t="shared" si="102"/>
        <v>0</v>
      </c>
      <c r="H5779" s="28" t="e">
        <f>VLOOKUP(E5779,'Cadastro Produtos (kiwkiw)'!C:E,3,0)</f>
        <v>#N/A</v>
      </c>
    </row>
    <row r="5780" spans="7:8" ht="15" customHeight="1" x14ac:dyDescent="0.4">
      <c r="G5780" s="27">
        <f t="shared" si="102"/>
        <v>0</v>
      </c>
      <c r="H5780" s="28" t="e">
        <f>VLOOKUP(E5780,'Cadastro Produtos (kiwkiw)'!C:E,3,0)</f>
        <v>#N/A</v>
      </c>
    </row>
    <row r="5781" spans="7:8" ht="15" customHeight="1" x14ac:dyDescent="0.4">
      <c r="G5781" s="27">
        <f t="shared" si="102"/>
        <v>0</v>
      </c>
      <c r="H5781" s="28" t="e">
        <f>VLOOKUP(E5781,'Cadastro Produtos (kiwkiw)'!C:E,3,0)</f>
        <v>#N/A</v>
      </c>
    </row>
    <row r="5782" spans="7:8" ht="15" customHeight="1" x14ac:dyDescent="0.4">
      <c r="G5782" s="27">
        <f t="shared" si="102"/>
        <v>0</v>
      </c>
      <c r="H5782" s="28" t="e">
        <f>VLOOKUP(E5782,'Cadastro Produtos (kiwkiw)'!C:E,3,0)</f>
        <v>#N/A</v>
      </c>
    </row>
    <row r="5783" spans="7:8" ht="15" customHeight="1" x14ac:dyDescent="0.4">
      <c r="G5783" s="27">
        <f t="shared" si="102"/>
        <v>0</v>
      </c>
      <c r="H5783" s="28" t="e">
        <f>VLOOKUP(E5783,'Cadastro Produtos (kiwkiw)'!C:E,3,0)</f>
        <v>#N/A</v>
      </c>
    </row>
    <row r="5784" spans="7:8" ht="15" customHeight="1" x14ac:dyDescent="0.4">
      <c r="G5784" s="27">
        <f t="shared" si="102"/>
        <v>0</v>
      </c>
      <c r="H5784" s="28" t="e">
        <f>VLOOKUP(E5784,'Cadastro Produtos (kiwkiw)'!C:E,3,0)</f>
        <v>#N/A</v>
      </c>
    </row>
    <row r="5785" spans="7:8" ht="15" customHeight="1" x14ac:dyDescent="0.4">
      <c r="G5785" s="27">
        <f t="shared" si="102"/>
        <v>0</v>
      </c>
      <c r="H5785" s="28" t="e">
        <f>VLOOKUP(E5785,'Cadastro Produtos (kiwkiw)'!C:E,3,0)</f>
        <v>#N/A</v>
      </c>
    </row>
    <row r="5786" spans="7:8" ht="15" customHeight="1" x14ac:dyDescent="0.4">
      <c r="G5786" s="27">
        <f t="shared" si="102"/>
        <v>0</v>
      </c>
      <c r="H5786" s="28" t="e">
        <f>VLOOKUP(E5786,'Cadastro Produtos (kiwkiw)'!C:E,3,0)</f>
        <v>#N/A</v>
      </c>
    </row>
    <row r="5787" spans="7:8" ht="15" customHeight="1" x14ac:dyDescent="0.4">
      <c r="G5787" s="27">
        <f t="shared" si="102"/>
        <v>0</v>
      </c>
      <c r="H5787" s="28" t="e">
        <f>VLOOKUP(E5787,'Cadastro Produtos (kiwkiw)'!C:E,3,0)</f>
        <v>#N/A</v>
      </c>
    </row>
    <row r="5788" spans="7:8" ht="15" customHeight="1" x14ac:dyDescent="0.4">
      <c r="G5788" s="27">
        <f t="shared" si="102"/>
        <v>0</v>
      </c>
      <c r="H5788" s="28" t="e">
        <f>VLOOKUP(E5788,'Cadastro Produtos (kiwkiw)'!C:E,3,0)</f>
        <v>#N/A</v>
      </c>
    </row>
    <row r="5789" spans="7:8" ht="15" customHeight="1" x14ac:dyDescent="0.4">
      <c r="G5789" s="27">
        <f t="shared" si="102"/>
        <v>0</v>
      </c>
      <c r="H5789" s="28" t="e">
        <f>VLOOKUP(E5789,'Cadastro Produtos (kiwkiw)'!C:E,3,0)</f>
        <v>#N/A</v>
      </c>
    </row>
    <row r="5790" spans="7:8" ht="15" customHeight="1" x14ac:dyDescent="0.4">
      <c r="G5790" s="27">
        <f t="shared" si="102"/>
        <v>0</v>
      </c>
      <c r="H5790" s="28" t="e">
        <f>VLOOKUP(E5790,'Cadastro Produtos (kiwkiw)'!C:E,3,0)</f>
        <v>#N/A</v>
      </c>
    </row>
    <row r="5791" spans="7:8" ht="15" customHeight="1" x14ac:dyDescent="0.4">
      <c r="G5791" s="27">
        <f t="shared" si="102"/>
        <v>0</v>
      </c>
      <c r="H5791" s="28" t="e">
        <f>VLOOKUP(E5791,'Cadastro Produtos (kiwkiw)'!C:E,3,0)</f>
        <v>#N/A</v>
      </c>
    </row>
    <row r="5792" spans="7:8" ht="15" customHeight="1" x14ac:dyDescent="0.4">
      <c r="G5792" s="27">
        <f t="shared" si="102"/>
        <v>0</v>
      </c>
      <c r="H5792" s="28" t="e">
        <f>VLOOKUP(E5792,'Cadastro Produtos (kiwkiw)'!C:E,3,0)</f>
        <v>#N/A</v>
      </c>
    </row>
    <row r="5793" spans="2:9" ht="15" customHeight="1" x14ac:dyDescent="0.4">
      <c r="G5793" s="27">
        <f t="shared" si="102"/>
        <v>0</v>
      </c>
      <c r="H5793" s="28" t="e">
        <f>VLOOKUP(E5793,'Cadastro Produtos (kiwkiw)'!C:E,3,0)</f>
        <v>#N/A</v>
      </c>
    </row>
    <row r="5794" spans="2:9" ht="15" customHeight="1" x14ac:dyDescent="0.4">
      <c r="G5794" s="27">
        <f t="shared" si="102"/>
        <v>0</v>
      </c>
      <c r="H5794" s="28" t="e">
        <f>VLOOKUP(E5794,'Cadastro Produtos (kiwkiw)'!C:E,3,0)</f>
        <v>#N/A</v>
      </c>
    </row>
    <row r="5795" spans="2:9" ht="15" customHeight="1" x14ac:dyDescent="0.4">
      <c r="G5795" s="27">
        <f t="shared" si="102"/>
        <v>0</v>
      </c>
      <c r="H5795" s="28" t="e">
        <f>VLOOKUP(E5795,'Cadastro Produtos (kiwkiw)'!C:E,3,0)</f>
        <v>#N/A</v>
      </c>
    </row>
    <row r="5796" spans="2:9" ht="15" customHeight="1" x14ac:dyDescent="0.4">
      <c r="G5796" s="27">
        <f t="shared" si="102"/>
        <v>0</v>
      </c>
      <c r="H5796" s="28" t="e">
        <f>VLOOKUP(E5796,'Cadastro Produtos (kiwkiw)'!C:E,3,0)</f>
        <v>#N/A</v>
      </c>
    </row>
    <row r="5797" spans="2:9" ht="15" customHeight="1" x14ac:dyDescent="0.4">
      <c r="G5797" s="27">
        <f t="shared" si="102"/>
        <v>0</v>
      </c>
      <c r="H5797" s="28" t="e">
        <f>VLOOKUP(E5797,'Cadastro Produtos (kiwkiw)'!C:E,3,0)</f>
        <v>#N/A</v>
      </c>
    </row>
    <row r="5798" spans="2:9" ht="15" customHeight="1" x14ac:dyDescent="0.4">
      <c r="G5798" s="27">
        <f t="shared" si="102"/>
        <v>0</v>
      </c>
      <c r="H5798" s="28" t="e">
        <f>VLOOKUP(E5798,'Cadastro Produtos (kiwkiw)'!C:E,3,0)</f>
        <v>#N/A</v>
      </c>
    </row>
    <row r="5799" spans="2:9" ht="15" customHeight="1" x14ac:dyDescent="0.4">
      <c r="G5799" s="27">
        <f t="shared" si="102"/>
        <v>0</v>
      </c>
      <c r="H5799" s="28" t="e">
        <f>VLOOKUP(E5799,'Cadastro Produtos (kiwkiw)'!C:E,3,0)</f>
        <v>#N/A</v>
      </c>
    </row>
    <row r="5800" spans="2:9" ht="15" customHeight="1" x14ac:dyDescent="0.4">
      <c r="G5800" s="27">
        <f t="shared" si="102"/>
        <v>0</v>
      </c>
      <c r="H5800" s="28" t="e">
        <f>VLOOKUP(E5800,'Cadastro Produtos (kiwkiw)'!C:E,3,0)</f>
        <v>#N/A</v>
      </c>
    </row>
    <row r="5801" spans="2:9" ht="15" customHeight="1" x14ac:dyDescent="0.4">
      <c r="G5801" s="27">
        <f t="shared" si="102"/>
        <v>0</v>
      </c>
      <c r="H5801" s="28" t="e">
        <f>VLOOKUP(E5801,'Cadastro Produtos (kiwkiw)'!C:E,3,0)</f>
        <v>#N/A</v>
      </c>
    </row>
    <row r="5802" spans="2:9" ht="15" customHeight="1" x14ac:dyDescent="0.4">
      <c r="G5802" s="27">
        <f t="shared" si="102"/>
        <v>0</v>
      </c>
      <c r="H5802" s="28" t="e">
        <f>VLOOKUP(E5802,'Cadastro Produtos (kiwkiw)'!C:E,3,0)</f>
        <v>#N/A</v>
      </c>
    </row>
    <row r="5803" spans="2:9" ht="15" customHeight="1" x14ac:dyDescent="0.4">
      <c r="G5803" s="27">
        <f t="shared" si="102"/>
        <v>0</v>
      </c>
      <c r="H5803" s="28" t="e">
        <f>VLOOKUP(E5803,'Cadastro Produtos (kiwkiw)'!C:E,3,0)</f>
        <v>#N/A</v>
      </c>
      <c r="I5803" s="39"/>
    </row>
    <row r="5804" spans="2:9" ht="15" customHeight="1" x14ac:dyDescent="0.4">
      <c r="B5804" s="43"/>
      <c r="G5804" s="27">
        <f t="shared" si="102"/>
        <v>0</v>
      </c>
      <c r="H5804" s="28" t="e">
        <f>VLOOKUP(E5804,'Cadastro Produtos (kiwkiw)'!C:E,3,0)</f>
        <v>#N/A</v>
      </c>
    </row>
    <row r="5805" spans="2:9" ht="15" customHeight="1" x14ac:dyDescent="0.4">
      <c r="G5805" s="27">
        <f t="shared" si="102"/>
        <v>0</v>
      </c>
      <c r="H5805" s="28" t="e">
        <f>VLOOKUP(E5805,'Cadastro Produtos (kiwkiw)'!C:E,3,0)</f>
        <v>#N/A</v>
      </c>
    </row>
    <row r="5806" spans="2:9" ht="15" customHeight="1" x14ac:dyDescent="0.4">
      <c r="G5806" s="27">
        <f t="shared" si="102"/>
        <v>0</v>
      </c>
      <c r="H5806" s="28" t="e">
        <f>VLOOKUP(E5806,'Cadastro Produtos (kiwkiw)'!C:E,3,0)</f>
        <v>#N/A</v>
      </c>
    </row>
    <row r="5807" spans="2:9" ht="15" customHeight="1" x14ac:dyDescent="0.4">
      <c r="G5807" s="27">
        <f t="shared" si="102"/>
        <v>0</v>
      </c>
      <c r="H5807" s="28" t="e">
        <f>VLOOKUP(E5807,'Cadastro Produtos (kiwkiw)'!C:E,3,0)</f>
        <v>#N/A</v>
      </c>
    </row>
    <row r="5808" spans="2:9" ht="15" customHeight="1" x14ac:dyDescent="0.4">
      <c r="G5808" s="27">
        <f t="shared" si="102"/>
        <v>0</v>
      </c>
      <c r="H5808" s="28" t="e">
        <f>VLOOKUP(E5808,'Cadastro Produtos (kiwkiw)'!C:E,3,0)</f>
        <v>#N/A</v>
      </c>
    </row>
    <row r="5809" spans="7:8" ht="15" customHeight="1" x14ac:dyDescent="0.4">
      <c r="G5809" s="27">
        <f t="shared" si="102"/>
        <v>0</v>
      </c>
      <c r="H5809" s="28" t="e">
        <f>VLOOKUP(E5809,'Cadastro Produtos (kiwkiw)'!C:E,3,0)</f>
        <v>#N/A</v>
      </c>
    </row>
    <row r="5810" spans="7:8" ht="15" customHeight="1" x14ac:dyDescent="0.4">
      <c r="G5810" s="27">
        <f t="shared" si="102"/>
        <v>0</v>
      </c>
      <c r="H5810" s="28" t="e">
        <f>VLOOKUP(E5810,'Cadastro Produtos (kiwkiw)'!C:E,3,0)</f>
        <v>#N/A</v>
      </c>
    </row>
    <row r="5811" spans="7:8" ht="15" customHeight="1" x14ac:dyDescent="0.4">
      <c r="G5811" s="27">
        <f t="shared" si="102"/>
        <v>0</v>
      </c>
      <c r="H5811" s="28" t="e">
        <f>VLOOKUP(E5811,'Cadastro Produtos (kiwkiw)'!C:E,3,0)</f>
        <v>#N/A</v>
      </c>
    </row>
    <row r="5812" spans="7:8" ht="15" customHeight="1" x14ac:dyDescent="0.4">
      <c r="G5812" s="27">
        <f t="shared" si="102"/>
        <v>0</v>
      </c>
      <c r="H5812" s="28" t="e">
        <f>VLOOKUP(E5812,'Cadastro Produtos (kiwkiw)'!C:E,3,0)</f>
        <v>#N/A</v>
      </c>
    </row>
    <row r="5813" spans="7:8" ht="15" customHeight="1" x14ac:dyDescent="0.4">
      <c r="G5813" s="27">
        <f t="shared" si="102"/>
        <v>0</v>
      </c>
      <c r="H5813" s="28" t="e">
        <f>VLOOKUP(E5813,'Cadastro Produtos (kiwkiw)'!C:E,3,0)</f>
        <v>#N/A</v>
      </c>
    </row>
    <row r="5814" spans="7:8" ht="15" customHeight="1" x14ac:dyDescent="0.4">
      <c r="G5814" s="27">
        <f t="shared" si="102"/>
        <v>0</v>
      </c>
      <c r="H5814" s="28" t="e">
        <f>VLOOKUP(E5814,'Cadastro Produtos (kiwkiw)'!C:E,3,0)</f>
        <v>#N/A</v>
      </c>
    </row>
    <row r="5815" spans="7:8" ht="15" customHeight="1" x14ac:dyDescent="0.4">
      <c r="G5815" s="27">
        <f t="shared" si="102"/>
        <v>0</v>
      </c>
      <c r="H5815" s="28" t="e">
        <f>VLOOKUP(E5815,'Cadastro Produtos (kiwkiw)'!C:E,3,0)</f>
        <v>#N/A</v>
      </c>
    </row>
    <row r="5816" spans="7:8" ht="15" customHeight="1" x14ac:dyDescent="0.4">
      <c r="G5816" s="27">
        <f t="shared" si="102"/>
        <v>0</v>
      </c>
      <c r="H5816" s="28" t="e">
        <f>VLOOKUP(E5816,'Cadastro Produtos (kiwkiw)'!C:E,3,0)</f>
        <v>#N/A</v>
      </c>
    </row>
    <row r="5817" spans="7:8" ht="15" customHeight="1" x14ac:dyDescent="0.4">
      <c r="G5817" s="27">
        <f t="shared" si="102"/>
        <v>0</v>
      </c>
      <c r="H5817" s="28" t="e">
        <f>VLOOKUP(E5817,'Cadastro Produtos (kiwkiw)'!C:E,3,0)</f>
        <v>#N/A</v>
      </c>
    </row>
    <row r="5818" spans="7:8" ht="15" customHeight="1" x14ac:dyDescent="0.4">
      <c r="G5818" s="27">
        <f t="shared" si="102"/>
        <v>0</v>
      </c>
      <c r="H5818" s="28" t="e">
        <f>VLOOKUP(E5818,'Cadastro Produtos (kiwkiw)'!C:E,3,0)</f>
        <v>#N/A</v>
      </c>
    </row>
    <row r="5819" spans="7:8" ht="15" customHeight="1" x14ac:dyDescent="0.4">
      <c r="G5819" s="27">
        <f t="shared" si="102"/>
        <v>0</v>
      </c>
      <c r="H5819" s="28" t="e">
        <f>VLOOKUP(E5819,'Cadastro Produtos (kiwkiw)'!C:E,3,0)</f>
        <v>#N/A</v>
      </c>
    </row>
    <row r="5820" spans="7:8" ht="15" customHeight="1" x14ac:dyDescent="0.4">
      <c r="G5820" s="27">
        <f t="shared" si="102"/>
        <v>0</v>
      </c>
      <c r="H5820" s="28" t="e">
        <f>VLOOKUP(E5820,'Cadastro Produtos (kiwkiw)'!C:E,3,0)</f>
        <v>#N/A</v>
      </c>
    </row>
    <row r="5821" spans="7:8" ht="15" customHeight="1" x14ac:dyDescent="0.4">
      <c r="G5821" s="27">
        <f t="shared" si="102"/>
        <v>0</v>
      </c>
      <c r="H5821" s="28" t="e">
        <f>VLOOKUP(E5821,'Cadastro Produtos (kiwkiw)'!C:E,3,0)</f>
        <v>#N/A</v>
      </c>
    </row>
    <row r="5822" spans="7:8" ht="15" customHeight="1" x14ac:dyDescent="0.4">
      <c r="G5822" s="27">
        <f t="shared" si="102"/>
        <v>0</v>
      </c>
      <c r="H5822" s="28" t="e">
        <f>VLOOKUP(E5822,'Cadastro Produtos (kiwkiw)'!C:E,3,0)</f>
        <v>#N/A</v>
      </c>
    </row>
    <row r="5823" spans="7:8" ht="15" customHeight="1" x14ac:dyDescent="0.4">
      <c r="G5823" s="27">
        <f t="shared" si="102"/>
        <v>0</v>
      </c>
      <c r="H5823" s="28" t="e">
        <f>VLOOKUP(E5823,'Cadastro Produtos (kiwkiw)'!C:E,3,0)</f>
        <v>#N/A</v>
      </c>
    </row>
    <row r="5824" spans="7:8" ht="15" customHeight="1" x14ac:dyDescent="0.4">
      <c r="G5824" s="27">
        <f t="shared" si="102"/>
        <v>0</v>
      </c>
      <c r="H5824" s="28" t="e">
        <f>VLOOKUP(E5824,'Cadastro Produtos (kiwkiw)'!C:E,3,0)</f>
        <v>#N/A</v>
      </c>
    </row>
    <row r="5825" spans="7:8" ht="15" customHeight="1" x14ac:dyDescent="0.4">
      <c r="G5825" s="27">
        <f t="shared" si="102"/>
        <v>0</v>
      </c>
      <c r="H5825" s="28" t="e">
        <f>VLOOKUP(E5825,'Cadastro Produtos (kiwkiw)'!C:E,3,0)</f>
        <v>#N/A</v>
      </c>
    </row>
    <row r="5826" spans="7:8" ht="15" customHeight="1" x14ac:dyDescent="0.4">
      <c r="G5826" s="27">
        <f t="shared" si="102"/>
        <v>0</v>
      </c>
      <c r="H5826" s="28" t="e">
        <f>VLOOKUP(E5826,'Cadastro Produtos (kiwkiw)'!C:E,3,0)</f>
        <v>#N/A</v>
      </c>
    </row>
    <row r="5827" spans="7:8" ht="15" customHeight="1" x14ac:dyDescent="0.4">
      <c r="G5827" s="27">
        <f t="shared" si="102"/>
        <v>0</v>
      </c>
      <c r="H5827" s="28" t="e">
        <f>VLOOKUP(E5827,'Cadastro Produtos (kiwkiw)'!C:E,3,0)</f>
        <v>#N/A</v>
      </c>
    </row>
    <row r="5828" spans="7:8" ht="15" customHeight="1" x14ac:dyDescent="0.4">
      <c r="G5828" s="27">
        <f t="shared" si="102"/>
        <v>0</v>
      </c>
      <c r="H5828" s="28" t="e">
        <f>VLOOKUP(E5828,'Cadastro Produtos (kiwkiw)'!C:E,3,0)</f>
        <v>#N/A</v>
      </c>
    </row>
    <row r="5829" spans="7:8" ht="15" customHeight="1" x14ac:dyDescent="0.4">
      <c r="G5829" s="27">
        <f t="shared" si="102"/>
        <v>0</v>
      </c>
      <c r="H5829" s="28" t="e">
        <f>VLOOKUP(E5829,'Cadastro Produtos (kiwkiw)'!C:E,3,0)</f>
        <v>#N/A</v>
      </c>
    </row>
    <row r="5830" spans="7:8" ht="15" customHeight="1" x14ac:dyDescent="0.4">
      <c r="G5830" s="27">
        <f t="shared" si="102"/>
        <v>0</v>
      </c>
      <c r="H5830" s="28" t="e">
        <f>VLOOKUP(E5830,'Cadastro Produtos (kiwkiw)'!C:E,3,0)</f>
        <v>#N/A</v>
      </c>
    </row>
    <row r="5831" spans="7:8" ht="15" customHeight="1" x14ac:dyDescent="0.4">
      <c r="G5831" s="27">
        <f t="shared" si="102"/>
        <v>0</v>
      </c>
      <c r="H5831" s="28" t="e">
        <f>VLOOKUP(E5831,'Cadastro Produtos (kiwkiw)'!C:E,3,0)</f>
        <v>#N/A</v>
      </c>
    </row>
    <row r="5832" spans="7:8" ht="15" customHeight="1" x14ac:dyDescent="0.4">
      <c r="G5832" s="27">
        <f t="shared" si="102"/>
        <v>0</v>
      </c>
      <c r="H5832" s="28" t="e">
        <f>VLOOKUP(E5832,'Cadastro Produtos (kiwkiw)'!C:E,3,0)</f>
        <v>#N/A</v>
      </c>
    </row>
    <row r="5833" spans="7:8" ht="15" customHeight="1" x14ac:dyDescent="0.4">
      <c r="G5833" s="27">
        <f t="shared" si="102"/>
        <v>0</v>
      </c>
      <c r="H5833" s="28" t="e">
        <f>VLOOKUP(E5833,'Cadastro Produtos (kiwkiw)'!C:E,3,0)</f>
        <v>#N/A</v>
      </c>
    </row>
    <row r="5834" spans="7:8" ht="15" customHeight="1" x14ac:dyDescent="0.4">
      <c r="G5834" s="27">
        <f t="shared" si="102"/>
        <v>0</v>
      </c>
      <c r="H5834" s="28" t="e">
        <f>VLOOKUP(E5834,'Cadastro Produtos (kiwkiw)'!C:E,3,0)</f>
        <v>#N/A</v>
      </c>
    </row>
    <row r="5835" spans="7:8" ht="15" customHeight="1" x14ac:dyDescent="0.4">
      <c r="G5835" s="27">
        <f t="shared" si="102"/>
        <v>0</v>
      </c>
      <c r="H5835" s="28" t="e">
        <f>VLOOKUP(E5835,'Cadastro Produtos (kiwkiw)'!C:E,3,0)</f>
        <v>#N/A</v>
      </c>
    </row>
    <row r="5836" spans="7:8" ht="15" customHeight="1" x14ac:dyDescent="0.4">
      <c r="G5836" s="27">
        <f t="shared" si="102"/>
        <v>0</v>
      </c>
      <c r="H5836" s="28" t="e">
        <f>VLOOKUP(E5836,'Cadastro Produtos (kiwkiw)'!C:E,3,0)</f>
        <v>#N/A</v>
      </c>
    </row>
    <row r="5837" spans="7:8" ht="15" customHeight="1" x14ac:dyDescent="0.4">
      <c r="G5837" s="27">
        <f t="shared" si="102"/>
        <v>0</v>
      </c>
      <c r="H5837" s="28" t="e">
        <f>VLOOKUP(E5837,'Cadastro Produtos (kiwkiw)'!C:E,3,0)</f>
        <v>#N/A</v>
      </c>
    </row>
    <row r="5838" spans="7:8" ht="15" customHeight="1" x14ac:dyDescent="0.4">
      <c r="G5838" s="27">
        <f t="shared" si="102"/>
        <v>0</v>
      </c>
      <c r="H5838" s="28" t="e">
        <f>VLOOKUP(E5838,'Cadastro Produtos (kiwkiw)'!C:E,3,0)</f>
        <v>#N/A</v>
      </c>
    </row>
    <row r="5839" spans="7:8" ht="15" customHeight="1" x14ac:dyDescent="0.4">
      <c r="G5839" s="27">
        <f t="shared" si="102"/>
        <v>0</v>
      </c>
      <c r="H5839" s="28" t="e">
        <f>VLOOKUP(E5839,'Cadastro Produtos (kiwkiw)'!C:E,3,0)</f>
        <v>#N/A</v>
      </c>
    </row>
    <row r="5840" spans="7:8" ht="15" customHeight="1" x14ac:dyDescent="0.4">
      <c r="G5840" s="27">
        <f t="shared" si="102"/>
        <v>0</v>
      </c>
      <c r="H5840" s="28" t="e">
        <f>VLOOKUP(E5840,'Cadastro Produtos (kiwkiw)'!C:E,3,0)</f>
        <v>#N/A</v>
      </c>
    </row>
    <row r="5841" spans="7:8" ht="15" customHeight="1" x14ac:dyDescent="0.4">
      <c r="G5841" s="27">
        <f t="shared" si="102"/>
        <v>0</v>
      </c>
      <c r="H5841" s="28" t="e">
        <f>VLOOKUP(E5841,'Cadastro Produtos (kiwkiw)'!C:E,3,0)</f>
        <v>#N/A</v>
      </c>
    </row>
    <row r="5842" spans="7:8" ht="15" customHeight="1" x14ac:dyDescent="0.4">
      <c r="G5842" s="27">
        <f t="shared" ref="G5842:G5905" si="103">IF(C5842="Entrada",F5842,-F5842)</f>
        <v>0</v>
      </c>
      <c r="H5842" s="28" t="e">
        <f>VLOOKUP(E5842,'Cadastro Produtos (kiwkiw)'!C:E,3,0)</f>
        <v>#N/A</v>
      </c>
    </row>
    <row r="5843" spans="7:8" ht="15" customHeight="1" x14ac:dyDescent="0.4">
      <c r="G5843" s="27">
        <f t="shared" si="103"/>
        <v>0</v>
      </c>
      <c r="H5843" s="28" t="e">
        <f>VLOOKUP(E5843,'Cadastro Produtos (kiwkiw)'!C:E,3,0)</f>
        <v>#N/A</v>
      </c>
    </row>
    <row r="5844" spans="7:8" ht="15" customHeight="1" x14ac:dyDescent="0.4">
      <c r="G5844" s="27">
        <f t="shared" si="103"/>
        <v>0</v>
      </c>
      <c r="H5844" s="28" t="e">
        <f>VLOOKUP(E5844,'Cadastro Produtos (kiwkiw)'!C:E,3,0)</f>
        <v>#N/A</v>
      </c>
    </row>
    <row r="5845" spans="7:8" ht="15" customHeight="1" x14ac:dyDescent="0.4">
      <c r="G5845" s="27">
        <f t="shared" si="103"/>
        <v>0</v>
      </c>
      <c r="H5845" s="28" t="e">
        <f>VLOOKUP(E5845,'Cadastro Produtos (kiwkiw)'!C:E,3,0)</f>
        <v>#N/A</v>
      </c>
    </row>
    <row r="5846" spans="7:8" ht="15" customHeight="1" x14ac:dyDescent="0.4">
      <c r="G5846" s="27">
        <f t="shared" si="103"/>
        <v>0</v>
      </c>
      <c r="H5846" s="28" t="e">
        <f>VLOOKUP(E5846,'Cadastro Produtos (kiwkiw)'!C:E,3,0)</f>
        <v>#N/A</v>
      </c>
    </row>
    <row r="5847" spans="7:8" ht="15" customHeight="1" x14ac:dyDescent="0.4">
      <c r="G5847" s="27">
        <f t="shared" si="103"/>
        <v>0</v>
      </c>
      <c r="H5847" s="28" t="e">
        <f>VLOOKUP(E5847,'Cadastro Produtos (kiwkiw)'!C:E,3,0)</f>
        <v>#N/A</v>
      </c>
    </row>
    <row r="5848" spans="7:8" ht="15" customHeight="1" x14ac:dyDescent="0.4">
      <c r="G5848" s="27">
        <f t="shared" si="103"/>
        <v>0</v>
      </c>
      <c r="H5848" s="28" t="e">
        <f>VLOOKUP(E5848,'Cadastro Produtos (kiwkiw)'!C:E,3,0)</f>
        <v>#N/A</v>
      </c>
    </row>
    <row r="5849" spans="7:8" ht="15" customHeight="1" x14ac:dyDescent="0.4">
      <c r="G5849" s="27">
        <f t="shared" si="103"/>
        <v>0</v>
      </c>
      <c r="H5849" s="28" t="e">
        <f>VLOOKUP(E5849,'Cadastro Produtos (kiwkiw)'!C:E,3,0)</f>
        <v>#N/A</v>
      </c>
    </row>
    <row r="5850" spans="7:8" ht="15" customHeight="1" x14ac:dyDescent="0.4">
      <c r="G5850" s="27">
        <f t="shared" si="103"/>
        <v>0</v>
      </c>
      <c r="H5850" s="28" t="e">
        <f>VLOOKUP(E5850,'Cadastro Produtos (kiwkiw)'!C:E,3,0)</f>
        <v>#N/A</v>
      </c>
    </row>
    <row r="5851" spans="7:8" ht="15" customHeight="1" x14ac:dyDescent="0.4">
      <c r="G5851" s="27">
        <f t="shared" si="103"/>
        <v>0</v>
      </c>
      <c r="H5851" s="28" t="e">
        <f>VLOOKUP(E5851,'Cadastro Produtos (kiwkiw)'!C:E,3,0)</f>
        <v>#N/A</v>
      </c>
    </row>
    <row r="5852" spans="7:8" ht="15" customHeight="1" x14ac:dyDescent="0.4">
      <c r="G5852" s="27">
        <f t="shared" si="103"/>
        <v>0</v>
      </c>
      <c r="H5852" s="28" t="e">
        <f>VLOOKUP(E5852,'Cadastro Produtos (kiwkiw)'!C:E,3,0)</f>
        <v>#N/A</v>
      </c>
    </row>
    <row r="5853" spans="7:8" ht="15" customHeight="1" x14ac:dyDescent="0.4">
      <c r="G5853" s="27">
        <f t="shared" si="103"/>
        <v>0</v>
      </c>
      <c r="H5853" s="28" t="e">
        <f>VLOOKUP(E5853,'Cadastro Produtos (kiwkiw)'!C:E,3,0)</f>
        <v>#N/A</v>
      </c>
    </row>
    <row r="5854" spans="7:8" ht="15" customHeight="1" x14ac:dyDescent="0.4">
      <c r="G5854" s="27">
        <f t="shared" si="103"/>
        <v>0</v>
      </c>
      <c r="H5854" s="28" t="e">
        <f>VLOOKUP(E5854,'Cadastro Produtos (kiwkiw)'!C:E,3,0)</f>
        <v>#N/A</v>
      </c>
    </row>
    <row r="5855" spans="7:8" ht="15" customHeight="1" x14ac:dyDescent="0.4">
      <c r="G5855" s="27">
        <f t="shared" si="103"/>
        <v>0</v>
      </c>
      <c r="H5855" s="28" t="e">
        <f>VLOOKUP(E5855,'Cadastro Produtos (kiwkiw)'!C:E,3,0)</f>
        <v>#N/A</v>
      </c>
    </row>
    <row r="5856" spans="7:8" ht="15" customHeight="1" x14ac:dyDescent="0.4">
      <c r="G5856" s="27">
        <f t="shared" si="103"/>
        <v>0</v>
      </c>
      <c r="H5856" s="28" t="e">
        <f>VLOOKUP(E5856,'Cadastro Produtos (kiwkiw)'!C:E,3,0)</f>
        <v>#N/A</v>
      </c>
    </row>
    <row r="5857" spans="2:8" ht="15" customHeight="1" x14ac:dyDescent="0.4">
      <c r="G5857" s="27">
        <f t="shared" si="103"/>
        <v>0</v>
      </c>
      <c r="H5857" s="28" t="e">
        <f>VLOOKUP(E5857,'Cadastro Produtos (kiwkiw)'!C:E,3,0)</f>
        <v>#N/A</v>
      </c>
    </row>
    <row r="5858" spans="2:8" ht="15" customHeight="1" x14ac:dyDescent="0.4">
      <c r="G5858" s="27">
        <f t="shared" si="103"/>
        <v>0</v>
      </c>
      <c r="H5858" s="28" t="e">
        <f>VLOOKUP(E5858,'Cadastro Produtos (kiwkiw)'!C:E,3,0)</f>
        <v>#N/A</v>
      </c>
    </row>
    <row r="5859" spans="2:8" ht="15" customHeight="1" x14ac:dyDescent="0.4">
      <c r="G5859" s="27">
        <f t="shared" si="103"/>
        <v>0</v>
      </c>
      <c r="H5859" s="28" t="e">
        <f>VLOOKUP(E5859,'Cadastro Produtos (kiwkiw)'!C:E,3,0)</f>
        <v>#N/A</v>
      </c>
    </row>
    <row r="5860" spans="2:8" ht="15" customHeight="1" x14ac:dyDescent="0.4">
      <c r="G5860" s="27">
        <f t="shared" si="103"/>
        <v>0</v>
      </c>
      <c r="H5860" s="28" t="e">
        <f>VLOOKUP(E5860,'Cadastro Produtos (kiwkiw)'!C:E,3,0)</f>
        <v>#N/A</v>
      </c>
    </row>
    <row r="5861" spans="2:8" ht="15" customHeight="1" x14ac:dyDescent="0.4">
      <c r="G5861" s="27">
        <f t="shared" si="103"/>
        <v>0</v>
      </c>
      <c r="H5861" s="28" t="e">
        <f>VLOOKUP(E5861,'Cadastro Produtos (kiwkiw)'!C:E,3,0)</f>
        <v>#N/A</v>
      </c>
    </row>
    <row r="5862" spans="2:8" ht="15" customHeight="1" x14ac:dyDescent="0.4">
      <c r="G5862" s="27">
        <f t="shared" si="103"/>
        <v>0</v>
      </c>
      <c r="H5862" s="28" t="e">
        <f>VLOOKUP(E5862,'Cadastro Produtos (kiwkiw)'!C:E,3,0)</f>
        <v>#N/A</v>
      </c>
    </row>
    <row r="5863" spans="2:8" ht="15" customHeight="1" x14ac:dyDescent="0.4">
      <c r="G5863" s="27">
        <f t="shared" si="103"/>
        <v>0</v>
      </c>
      <c r="H5863" s="28" t="e">
        <f>VLOOKUP(E5863,'Cadastro Produtos (kiwkiw)'!C:E,3,0)</f>
        <v>#N/A</v>
      </c>
    </row>
    <row r="5864" spans="2:8" ht="15" customHeight="1" x14ac:dyDescent="0.4">
      <c r="G5864" s="27">
        <f t="shared" si="103"/>
        <v>0</v>
      </c>
      <c r="H5864" s="28" t="e">
        <f>VLOOKUP(E5864,'Cadastro Produtos (kiwkiw)'!C:E,3,0)</f>
        <v>#N/A</v>
      </c>
    </row>
    <row r="5865" spans="2:8" ht="15" customHeight="1" x14ac:dyDescent="0.4">
      <c r="G5865" s="27">
        <f t="shared" si="103"/>
        <v>0</v>
      </c>
      <c r="H5865" s="28" t="e">
        <f>VLOOKUP(E5865,'Cadastro Produtos (kiwkiw)'!C:E,3,0)</f>
        <v>#N/A</v>
      </c>
    </row>
    <row r="5866" spans="2:8" ht="15" customHeight="1" x14ac:dyDescent="0.4">
      <c r="G5866" s="27">
        <f t="shared" si="103"/>
        <v>0</v>
      </c>
      <c r="H5866" s="28" t="e">
        <f>VLOOKUP(E5866,'Cadastro Produtos (kiwkiw)'!C:E,3,0)</f>
        <v>#N/A</v>
      </c>
    </row>
    <row r="5867" spans="2:8" ht="15" customHeight="1" x14ac:dyDescent="0.4">
      <c r="G5867" s="27">
        <f t="shared" si="103"/>
        <v>0</v>
      </c>
      <c r="H5867" s="28" t="e">
        <f>VLOOKUP(E5867,'Cadastro Produtos (kiwkiw)'!C:E,3,0)</f>
        <v>#N/A</v>
      </c>
    </row>
    <row r="5868" spans="2:8" ht="15" customHeight="1" x14ac:dyDescent="0.4">
      <c r="G5868" s="27">
        <f t="shared" si="103"/>
        <v>0</v>
      </c>
      <c r="H5868" s="28" t="e">
        <f>VLOOKUP(E5868,'Cadastro Produtos (kiwkiw)'!C:E,3,0)</f>
        <v>#N/A</v>
      </c>
    </row>
    <row r="5869" spans="2:8" ht="15" customHeight="1" x14ac:dyDescent="0.4">
      <c r="G5869" s="27">
        <f t="shared" si="103"/>
        <v>0</v>
      </c>
      <c r="H5869" s="28" t="e">
        <f>VLOOKUP(E5869,'Cadastro Produtos (kiwkiw)'!C:E,3,0)</f>
        <v>#N/A</v>
      </c>
    </row>
    <row r="5870" spans="2:8" ht="15" customHeight="1" x14ac:dyDescent="0.4">
      <c r="G5870" s="27">
        <f t="shared" si="103"/>
        <v>0</v>
      </c>
      <c r="H5870" s="28" t="e">
        <f>VLOOKUP(E5870,'Cadastro Produtos (kiwkiw)'!C:E,3,0)</f>
        <v>#N/A</v>
      </c>
    </row>
    <row r="5871" spans="2:8" ht="15" customHeight="1" x14ac:dyDescent="0.4">
      <c r="B5871" s="43"/>
      <c r="G5871" s="27">
        <f t="shared" si="103"/>
        <v>0</v>
      </c>
      <c r="H5871" s="28" t="e">
        <f>VLOOKUP(E5871,'Cadastro Produtos (kiwkiw)'!C:E,3,0)</f>
        <v>#N/A</v>
      </c>
    </row>
    <row r="5872" spans="2:8" ht="15" customHeight="1" x14ac:dyDescent="0.4">
      <c r="G5872" s="27">
        <f t="shared" si="103"/>
        <v>0</v>
      </c>
      <c r="H5872" s="28" t="e">
        <f>VLOOKUP(E5872,'Cadastro Produtos (kiwkiw)'!C:E,3,0)</f>
        <v>#N/A</v>
      </c>
    </row>
    <row r="5873" spans="2:8" ht="15" customHeight="1" x14ac:dyDescent="0.4">
      <c r="G5873" s="27">
        <f t="shared" si="103"/>
        <v>0</v>
      </c>
      <c r="H5873" s="28" t="e">
        <f>VLOOKUP(E5873,'Cadastro Produtos (kiwkiw)'!C:E,3,0)</f>
        <v>#N/A</v>
      </c>
    </row>
    <row r="5874" spans="2:8" ht="15" customHeight="1" x14ac:dyDescent="0.4">
      <c r="G5874" s="27">
        <f t="shared" si="103"/>
        <v>0</v>
      </c>
      <c r="H5874" s="28" t="e">
        <f>VLOOKUP(E5874,'Cadastro Produtos (kiwkiw)'!C:E,3,0)</f>
        <v>#N/A</v>
      </c>
    </row>
    <row r="5875" spans="2:8" ht="15" customHeight="1" x14ac:dyDescent="0.4">
      <c r="G5875" s="27">
        <f t="shared" si="103"/>
        <v>0</v>
      </c>
      <c r="H5875" s="28" t="e">
        <f>VLOOKUP(E5875,'Cadastro Produtos (kiwkiw)'!C:E,3,0)</f>
        <v>#N/A</v>
      </c>
    </row>
    <row r="5876" spans="2:8" ht="15" customHeight="1" x14ac:dyDescent="0.4">
      <c r="G5876" s="27">
        <f t="shared" si="103"/>
        <v>0</v>
      </c>
      <c r="H5876" s="28" t="e">
        <f>VLOOKUP(E5876,'Cadastro Produtos (kiwkiw)'!C:E,3,0)</f>
        <v>#N/A</v>
      </c>
    </row>
    <row r="5877" spans="2:8" ht="15" customHeight="1" x14ac:dyDescent="0.4">
      <c r="B5877" s="43"/>
      <c r="G5877" s="27">
        <f t="shared" si="103"/>
        <v>0</v>
      </c>
      <c r="H5877" s="28" t="e">
        <f>VLOOKUP(E5877,'Cadastro Produtos (kiwkiw)'!C:E,3,0)</f>
        <v>#N/A</v>
      </c>
    </row>
    <row r="5878" spans="2:8" ht="15" customHeight="1" x14ac:dyDescent="0.4">
      <c r="G5878" s="27">
        <f t="shared" si="103"/>
        <v>0</v>
      </c>
      <c r="H5878" s="28" t="e">
        <f>VLOOKUP(E5878,'Cadastro Produtos (kiwkiw)'!C:E,3,0)</f>
        <v>#N/A</v>
      </c>
    </row>
    <row r="5879" spans="2:8" ht="15" customHeight="1" x14ac:dyDescent="0.4">
      <c r="G5879" s="27">
        <f t="shared" si="103"/>
        <v>0</v>
      </c>
      <c r="H5879" s="28" t="e">
        <f>VLOOKUP(E5879,'Cadastro Produtos (kiwkiw)'!C:E,3,0)</f>
        <v>#N/A</v>
      </c>
    </row>
    <row r="5880" spans="2:8" ht="15" customHeight="1" x14ac:dyDescent="0.4">
      <c r="G5880" s="27">
        <f t="shared" si="103"/>
        <v>0</v>
      </c>
      <c r="H5880" s="28" t="e">
        <f>VLOOKUP(E5880,'Cadastro Produtos (kiwkiw)'!C:E,3,0)</f>
        <v>#N/A</v>
      </c>
    </row>
    <row r="5881" spans="2:8" ht="15" customHeight="1" x14ac:dyDescent="0.4">
      <c r="G5881" s="27">
        <f t="shared" si="103"/>
        <v>0</v>
      </c>
      <c r="H5881" s="28" t="e">
        <f>VLOOKUP(E5881,'Cadastro Produtos (kiwkiw)'!C:E,3,0)</f>
        <v>#N/A</v>
      </c>
    </row>
    <row r="5882" spans="2:8" ht="15" customHeight="1" x14ac:dyDescent="0.4">
      <c r="G5882" s="27">
        <f t="shared" si="103"/>
        <v>0</v>
      </c>
      <c r="H5882" s="28" t="e">
        <f>VLOOKUP(E5882,'Cadastro Produtos (kiwkiw)'!C:E,3,0)</f>
        <v>#N/A</v>
      </c>
    </row>
    <row r="5883" spans="2:8" ht="15" customHeight="1" x14ac:dyDescent="0.4">
      <c r="G5883" s="27">
        <f t="shared" si="103"/>
        <v>0</v>
      </c>
      <c r="H5883" s="28" t="e">
        <f>VLOOKUP(E5883,'Cadastro Produtos (kiwkiw)'!C:E,3,0)</f>
        <v>#N/A</v>
      </c>
    </row>
    <row r="5884" spans="2:8" ht="15" customHeight="1" x14ac:dyDescent="0.4">
      <c r="G5884" s="27">
        <f t="shared" si="103"/>
        <v>0</v>
      </c>
      <c r="H5884" s="28" t="e">
        <f>VLOOKUP(E5884,'Cadastro Produtos (kiwkiw)'!C:E,3,0)</f>
        <v>#N/A</v>
      </c>
    </row>
    <row r="5885" spans="2:8" ht="15" customHeight="1" x14ac:dyDescent="0.4">
      <c r="G5885" s="27">
        <f t="shared" si="103"/>
        <v>0</v>
      </c>
      <c r="H5885" s="28" t="e">
        <f>VLOOKUP(E5885,'Cadastro Produtos (kiwkiw)'!C:E,3,0)</f>
        <v>#N/A</v>
      </c>
    </row>
    <row r="5886" spans="2:8" ht="15" customHeight="1" x14ac:dyDescent="0.4">
      <c r="G5886" s="27">
        <f t="shared" si="103"/>
        <v>0</v>
      </c>
      <c r="H5886" s="28" t="e">
        <f>VLOOKUP(E5886,'Cadastro Produtos (kiwkiw)'!C:E,3,0)</f>
        <v>#N/A</v>
      </c>
    </row>
    <row r="5887" spans="2:8" ht="15" customHeight="1" x14ac:dyDescent="0.4">
      <c r="G5887" s="27">
        <f t="shared" si="103"/>
        <v>0</v>
      </c>
      <c r="H5887" s="28" t="e">
        <f>VLOOKUP(E5887,'Cadastro Produtos (kiwkiw)'!C:E,3,0)</f>
        <v>#N/A</v>
      </c>
    </row>
    <row r="5888" spans="2:8" ht="15" customHeight="1" x14ac:dyDescent="0.4">
      <c r="G5888" s="27">
        <f t="shared" si="103"/>
        <v>0</v>
      </c>
      <c r="H5888" s="28" t="e">
        <f>VLOOKUP(E5888,'Cadastro Produtos (kiwkiw)'!C:E,3,0)</f>
        <v>#N/A</v>
      </c>
    </row>
    <row r="5889" spans="7:8" ht="15" customHeight="1" x14ac:dyDescent="0.4">
      <c r="G5889" s="27">
        <f t="shared" si="103"/>
        <v>0</v>
      </c>
      <c r="H5889" s="28" t="e">
        <f>VLOOKUP(E5889,'Cadastro Produtos (kiwkiw)'!C:E,3,0)</f>
        <v>#N/A</v>
      </c>
    </row>
    <row r="5890" spans="7:8" ht="15" customHeight="1" x14ac:dyDescent="0.4">
      <c r="G5890" s="27">
        <f t="shared" si="103"/>
        <v>0</v>
      </c>
      <c r="H5890" s="28" t="e">
        <f>VLOOKUP(E5890,'Cadastro Produtos (kiwkiw)'!C:E,3,0)</f>
        <v>#N/A</v>
      </c>
    </row>
    <row r="5891" spans="7:8" ht="15" customHeight="1" x14ac:dyDescent="0.4">
      <c r="G5891" s="27">
        <f t="shared" si="103"/>
        <v>0</v>
      </c>
      <c r="H5891" s="28" t="e">
        <f>VLOOKUP(E5891,'Cadastro Produtos (kiwkiw)'!C:E,3,0)</f>
        <v>#N/A</v>
      </c>
    </row>
    <row r="5892" spans="7:8" ht="15" customHeight="1" x14ac:dyDescent="0.4">
      <c r="G5892" s="27">
        <f t="shared" si="103"/>
        <v>0</v>
      </c>
      <c r="H5892" s="28" t="e">
        <f>VLOOKUP(E5892,'Cadastro Produtos (kiwkiw)'!C:E,3,0)</f>
        <v>#N/A</v>
      </c>
    </row>
    <row r="5893" spans="7:8" ht="15" customHeight="1" x14ac:dyDescent="0.4">
      <c r="G5893" s="27">
        <f t="shared" si="103"/>
        <v>0</v>
      </c>
      <c r="H5893" s="28" t="e">
        <f>VLOOKUP(E5893,'Cadastro Produtos (kiwkiw)'!C:E,3,0)</f>
        <v>#N/A</v>
      </c>
    </row>
    <row r="5894" spans="7:8" ht="15" customHeight="1" x14ac:dyDescent="0.4">
      <c r="G5894" s="27">
        <f t="shared" si="103"/>
        <v>0</v>
      </c>
      <c r="H5894" s="28" t="e">
        <f>VLOOKUP(E5894,'Cadastro Produtos (kiwkiw)'!C:E,3,0)</f>
        <v>#N/A</v>
      </c>
    </row>
    <row r="5895" spans="7:8" ht="15" customHeight="1" x14ac:dyDescent="0.4">
      <c r="G5895" s="27">
        <f t="shared" si="103"/>
        <v>0</v>
      </c>
      <c r="H5895" s="28" t="e">
        <f>VLOOKUP(E5895,'Cadastro Produtos (kiwkiw)'!C:E,3,0)</f>
        <v>#N/A</v>
      </c>
    </row>
    <row r="5896" spans="7:8" ht="15" customHeight="1" x14ac:dyDescent="0.4">
      <c r="G5896" s="27">
        <f t="shared" si="103"/>
        <v>0</v>
      </c>
      <c r="H5896" s="28" t="e">
        <f>VLOOKUP(E5896,'Cadastro Produtos (kiwkiw)'!C:E,3,0)</f>
        <v>#N/A</v>
      </c>
    </row>
    <row r="5897" spans="7:8" ht="15" customHeight="1" x14ac:dyDescent="0.4">
      <c r="G5897" s="27">
        <f t="shared" si="103"/>
        <v>0</v>
      </c>
      <c r="H5897" s="28" t="e">
        <f>VLOOKUP(E5897,'Cadastro Produtos (kiwkiw)'!C:E,3,0)</f>
        <v>#N/A</v>
      </c>
    </row>
    <row r="5898" spans="7:8" ht="15" customHeight="1" x14ac:dyDescent="0.4">
      <c r="G5898" s="27">
        <f t="shared" si="103"/>
        <v>0</v>
      </c>
      <c r="H5898" s="28" t="e">
        <f>VLOOKUP(E5898,'Cadastro Produtos (kiwkiw)'!C:E,3,0)</f>
        <v>#N/A</v>
      </c>
    </row>
    <row r="5899" spans="7:8" ht="15" customHeight="1" x14ac:dyDescent="0.4">
      <c r="G5899" s="27">
        <f t="shared" si="103"/>
        <v>0</v>
      </c>
      <c r="H5899" s="28" t="e">
        <f>VLOOKUP(E5899,'Cadastro Produtos (kiwkiw)'!C:E,3,0)</f>
        <v>#N/A</v>
      </c>
    </row>
    <row r="5900" spans="7:8" ht="15" customHeight="1" x14ac:dyDescent="0.4">
      <c r="G5900" s="27">
        <f t="shared" si="103"/>
        <v>0</v>
      </c>
      <c r="H5900" s="28" t="e">
        <f>VLOOKUP(E5900,'Cadastro Produtos (kiwkiw)'!C:E,3,0)</f>
        <v>#N/A</v>
      </c>
    </row>
    <row r="5901" spans="7:8" ht="15" customHeight="1" x14ac:dyDescent="0.4">
      <c r="G5901" s="27">
        <f t="shared" si="103"/>
        <v>0</v>
      </c>
      <c r="H5901" s="28" t="e">
        <f>VLOOKUP(E5901,'Cadastro Produtos (kiwkiw)'!C:E,3,0)</f>
        <v>#N/A</v>
      </c>
    </row>
    <row r="5902" spans="7:8" ht="15" customHeight="1" x14ac:dyDescent="0.4">
      <c r="G5902" s="27">
        <f t="shared" si="103"/>
        <v>0</v>
      </c>
      <c r="H5902" s="28" t="e">
        <f>VLOOKUP(E5902,'Cadastro Produtos (kiwkiw)'!C:E,3,0)</f>
        <v>#N/A</v>
      </c>
    </row>
    <row r="5903" spans="7:8" ht="15" customHeight="1" x14ac:dyDescent="0.4">
      <c r="G5903" s="27">
        <f t="shared" si="103"/>
        <v>0</v>
      </c>
      <c r="H5903" s="28" t="e">
        <f>VLOOKUP(E5903,'Cadastro Produtos (kiwkiw)'!C:E,3,0)</f>
        <v>#N/A</v>
      </c>
    </row>
    <row r="5904" spans="7:8" ht="15" customHeight="1" x14ac:dyDescent="0.4">
      <c r="G5904" s="27">
        <f t="shared" si="103"/>
        <v>0</v>
      </c>
      <c r="H5904" s="28" t="e">
        <f>VLOOKUP(E5904,'Cadastro Produtos (kiwkiw)'!C:E,3,0)</f>
        <v>#N/A</v>
      </c>
    </row>
    <row r="5905" spans="7:8" ht="15" customHeight="1" x14ac:dyDescent="0.4">
      <c r="G5905" s="27">
        <f t="shared" si="103"/>
        <v>0</v>
      </c>
      <c r="H5905" s="28" t="e">
        <f>VLOOKUP(E5905,'Cadastro Produtos (kiwkiw)'!C:E,3,0)</f>
        <v>#N/A</v>
      </c>
    </row>
    <row r="5906" spans="7:8" ht="15" customHeight="1" x14ac:dyDescent="0.4">
      <c r="G5906" s="27">
        <f t="shared" ref="G5906:G5969" si="104">IF(C5906="Entrada",F5906,-F5906)</f>
        <v>0</v>
      </c>
      <c r="H5906" s="28" t="e">
        <f>VLOOKUP(E5906,'Cadastro Produtos (kiwkiw)'!C:E,3,0)</f>
        <v>#N/A</v>
      </c>
    </row>
    <row r="5907" spans="7:8" ht="15" customHeight="1" x14ac:dyDescent="0.4">
      <c r="G5907" s="27">
        <f t="shared" si="104"/>
        <v>0</v>
      </c>
      <c r="H5907" s="28" t="e">
        <f>VLOOKUP(E5907,'Cadastro Produtos (kiwkiw)'!C:E,3,0)</f>
        <v>#N/A</v>
      </c>
    </row>
    <row r="5908" spans="7:8" ht="15" customHeight="1" x14ac:dyDescent="0.4">
      <c r="G5908" s="27">
        <f t="shared" si="104"/>
        <v>0</v>
      </c>
      <c r="H5908" s="28" t="e">
        <f>VLOOKUP(E5908,'Cadastro Produtos (kiwkiw)'!C:E,3,0)</f>
        <v>#N/A</v>
      </c>
    </row>
    <row r="5909" spans="7:8" ht="15" customHeight="1" x14ac:dyDescent="0.4">
      <c r="G5909" s="27">
        <f t="shared" si="104"/>
        <v>0</v>
      </c>
      <c r="H5909" s="28" t="e">
        <f>VLOOKUP(E5909,'Cadastro Produtos (kiwkiw)'!C:E,3,0)</f>
        <v>#N/A</v>
      </c>
    </row>
    <row r="5910" spans="7:8" ht="15" customHeight="1" x14ac:dyDescent="0.4">
      <c r="G5910" s="27">
        <f t="shared" si="104"/>
        <v>0</v>
      </c>
      <c r="H5910" s="28" t="e">
        <f>VLOOKUP(E5910,'Cadastro Produtos (kiwkiw)'!C:E,3,0)</f>
        <v>#N/A</v>
      </c>
    </row>
    <row r="5911" spans="7:8" ht="15" customHeight="1" x14ac:dyDescent="0.4">
      <c r="G5911" s="27">
        <f t="shared" si="104"/>
        <v>0</v>
      </c>
      <c r="H5911" s="28" t="e">
        <f>VLOOKUP(E5911,'Cadastro Produtos (kiwkiw)'!C:E,3,0)</f>
        <v>#N/A</v>
      </c>
    </row>
    <row r="5912" spans="7:8" ht="15" customHeight="1" x14ac:dyDescent="0.4">
      <c r="G5912" s="27">
        <f t="shared" si="104"/>
        <v>0</v>
      </c>
      <c r="H5912" s="28" t="e">
        <f>VLOOKUP(E5912,'Cadastro Produtos (kiwkiw)'!C:E,3,0)</f>
        <v>#N/A</v>
      </c>
    </row>
    <row r="5913" spans="7:8" ht="15" customHeight="1" x14ac:dyDescent="0.4">
      <c r="G5913" s="27">
        <f t="shared" si="104"/>
        <v>0</v>
      </c>
      <c r="H5913" s="28" t="e">
        <f>VLOOKUP(E5913,'Cadastro Produtos (kiwkiw)'!C:E,3,0)</f>
        <v>#N/A</v>
      </c>
    </row>
    <row r="5914" spans="7:8" ht="15" customHeight="1" x14ac:dyDescent="0.4">
      <c r="G5914" s="27">
        <f t="shared" si="104"/>
        <v>0</v>
      </c>
      <c r="H5914" s="28" t="e">
        <f>VLOOKUP(E5914,'Cadastro Produtos (kiwkiw)'!C:E,3,0)</f>
        <v>#N/A</v>
      </c>
    </row>
    <row r="5915" spans="7:8" ht="15" customHeight="1" x14ac:dyDescent="0.4">
      <c r="G5915" s="27">
        <f t="shared" si="104"/>
        <v>0</v>
      </c>
      <c r="H5915" s="28" t="e">
        <f>VLOOKUP(E5915,'Cadastro Produtos (kiwkiw)'!C:E,3,0)</f>
        <v>#N/A</v>
      </c>
    </row>
    <row r="5916" spans="7:8" ht="15" customHeight="1" x14ac:dyDescent="0.4">
      <c r="G5916" s="27">
        <f t="shared" si="104"/>
        <v>0</v>
      </c>
      <c r="H5916" s="28" t="e">
        <f>VLOOKUP(E5916,'Cadastro Produtos (kiwkiw)'!C:E,3,0)</f>
        <v>#N/A</v>
      </c>
    </row>
    <row r="5917" spans="7:8" ht="15" customHeight="1" x14ac:dyDescent="0.4">
      <c r="G5917" s="27">
        <f t="shared" si="104"/>
        <v>0</v>
      </c>
      <c r="H5917" s="28" t="e">
        <f>VLOOKUP(E5917,'Cadastro Produtos (kiwkiw)'!C:E,3,0)</f>
        <v>#N/A</v>
      </c>
    </row>
    <row r="5918" spans="7:8" ht="15" customHeight="1" x14ac:dyDescent="0.4">
      <c r="G5918" s="27">
        <f t="shared" si="104"/>
        <v>0</v>
      </c>
      <c r="H5918" s="28" t="e">
        <f>VLOOKUP(E5918,'Cadastro Produtos (kiwkiw)'!C:E,3,0)</f>
        <v>#N/A</v>
      </c>
    </row>
    <row r="5919" spans="7:8" ht="15" customHeight="1" x14ac:dyDescent="0.4">
      <c r="G5919" s="27">
        <f t="shared" si="104"/>
        <v>0</v>
      </c>
      <c r="H5919" s="28" t="e">
        <f>VLOOKUP(E5919,'Cadastro Produtos (kiwkiw)'!C:E,3,0)</f>
        <v>#N/A</v>
      </c>
    </row>
    <row r="5920" spans="7:8" ht="15" customHeight="1" x14ac:dyDescent="0.4">
      <c r="G5920" s="27">
        <f t="shared" si="104"/>
        <v>0</v>
      </c>
      <c r="H5920" s="28" t="e">
        <f>VLOOKUP(E5920,'Cadastro Produtos (kiwkiw)'!C:E,3,0)</f>
        <v>#N/A</v>
      </c>
    </row>
    <row r="5921" spans="7:8" ht="15" customHeight="1" x14ac:dyDescent="0.4">
      <c r="G5921" s="27">
        <f t="shared" si="104"/>
        <v>0</v>
      </c>
      <c r="H5921" s="28" t="e">
        <f>VLOOKUP(E5921,'Cadastro Produtos (kiwkiw)'!C:E,3,0)</f>
        <v>#N/A</v>
      </c>
    </row>
    <row r="5922" spans="7:8" ht="15" customHeight="1" x14ac:dyDescent="0.4">
      <c r="G5922" s="27">
        <f t="shared" si="104"/>
        <v>0</v>
      </c>
      <c r="H5922" s="28" t="e">
        <f>VLOOKUP(E5922,'Cadastro Produtos (kiwkiw)'!C:E,3,0)</f>
        <v>#N/A</v>
      </c>
    </row>
    <row r="5923" spans="7:8" ht="15" customHeight="1" x14ac:dyDescent="0.4">
      <c r="G5923" s="27">
        <f t="shared" si="104"/>
        <v>0</v>
      </c>
      <c r="H5923" s="28" t="e">
        <f>VLOOKUP(E5923,'Cadastro Produtos (kiwkiw)'!C:E,3,0)</f>
        <v>#N/A</v>
      </c>
    </row>
    <row r="5924" spans="7:8" ht="15" customHeight="1" x14ac:dyDescent="0.4">
      <c r="G5924" s="27">
        <f t="shared" si="104"/>
        <v>0</v>
      </c>
      <c r="H5924" s="28" t="e">
        <f>VLOOKUP(E5924,'Cadastro Produtos (kiwkiw)'!C:E,3,0)</f>
        <v>#N/A</v>
      </c>
    </row>
    <row r="5925" spans="7:8" ht="15" customHeight="1" x14ac:dyDescent="0.4">
      <c r="G5925" s="27">
        <f t="shared" si="104"/>
        <v>0</v>
      </c>
      <c r="H5925" s="28" t="e">
        <f>VLOOKUP(E5925,'Cadastro Produtos (kiwkiw)'!C:E,3,0)</f>
        <v>#N/A</v>
      </c>
    </row>
    <row r="5926" spans="7:8" ht="15" customHeight="1" x14ac:dyDescent="0.4">
      <c r="G5926" s="27">
        <f t="shared" si="104"/>
        <v>0</v>
      </c>
      <c r="H5926" s="28" t="e">
        <f>VLOOKUP(E5926,'Cadastro Produtos (kiwkiw)'!C:E,3,0)</f>
        <v>#N/A</v>
      </c>
    </row>
    <row r="5927" spans="7:8" ht="15" customHeight="1" x14ac:dyDescent="0.4">
      <c r="G5927" s="27">
        <f t="shared" si="104"/>
        <v>0</v>
      </c>
      <c r="H5927" s="28" t="e">
        <f>VLOOKUP(E5927,'Cadastro Produtos (kiwkiw)'!C:E,3,0)</f>
        <v>#N/A</v>
      </c>
    </row>
    <row r="5928" spans="7:8" ht="15" customHeight="1" x14ac:dyDescent="0.4">
      <c r="G5928" s="27">
        <f t="shared" si="104"/>
        <v>0</v>
      </c>
      <c r="H5928" s="28" t="e">
        <f>VLOOKUP(E5928,'Cadastro Produtos (kiwkiw)'!C:E,3,0)</f>
        <v>#N/A</v>
      </c>
    </row>
    <row r="5929" spans="7:8" ht="15" customHeight="1" x14ac:dyDescent="0.4">
      <c r="G5929" s="27">
        <f t="shared" si="104"/>
        <v>0</v>
      </c>
      <c r="H5929" s="28" t="e">
        <f>VLOOKUP(E5929,'Cadastro Produtos (kiwkiw)'!C:E,3,0)</f>
        <v>#N/A</v>
      </c>
    </row>
    <row r="5930" spans="7:8" ht="15" customHeight="1" x14ac:dyDescent="0.4">
      <c r="G5930" s="27">
        <f t="shared" si="104"/>
        <v>0</v>
      </c>
      <c r="H5930" s="28" t="e">
        <f>VLOOKUP(E5930,'Cadastro Produtos (kiwkiw)'!C:E,3,0)</f>
        <v>#N/A</v>
      </c>
    </row>
    <row r="5931" spans="7:8" ht="15" customHeight="1" x14ac:dyDescent="0.4">
      <c r="G5931" s="27">
        <f t="shared" si="104"/>
        <v>0</v>
      </c>
      <c r="H5931" s="28" t="e">
        <f>VLOOKUP(E5931,'Cadastro Produtos (kiwkiw)'!C:E,3,0)</f>
        <v>#N/A</v>
      </c>
    </row>
    <row r="5932" spans="7:8" ht="15" customHeight="1" x14ac:dyDescent="0.4">
      <c r="G5932" s="27">
        <f t="shared" si="104"/>
        <v>0</v>
      </c>
      <c r="H5932" s="28" t="e">
        <f>VLOOKUP(E5932,'Cadastro Produtos (kiwkiw)'!C:E,3,0)</f>
        <v>#N/A</v>
      </c>
    </row>
    <row r="5933" spans="7:8" ht="15" customHeight="1" x14ac:dyDescent="0.4">
      <c r="G5933" s="27">
        <f t="shared" si="104"/>
        <v>0</v>
      </c>
      <c r="H5933" s="28" t="e">
        <f>VLOOKUP(E5933,'Cadastro Produtos (kiwkiw)'!C:E,3,0)</f>
        <v>#N/A</v>
      </c>
    </row>
    <row r="5934" spans="7:8" ht="15" customHeight="1" x14ac:dyDescent="0.4">
      <c r="G5934" s="27">
        <f t="shared" si="104"/>
        <v>0</v>
      </c>
      <c r="H5934" s="28" t="e">
        <f>VLOOKUP(E5934,'Cadastro Produtos (kiwkiw)'!C:E,3,0)</f>
        <v>#N/A</v>
      </c>
    </row>
    <row r="5935" spans="7:8" ht="15" customHeight="1" x14ac:dyDescent="0.4">
      <c r="G5935" s="27">
        <f t="shared" si="104"/>
        <v>0</v>
      </c>
      <c r="H5935" s="28" t="e">
        <f>VLOOKUP(E5935,'Cadastro Produtos (kiwkiw)'!C:E,3,0)</f>
        <v>#N/A</v>
      </c>
    </row>
    <row r="5936" spans="7:8" ht="15" customHeight="1" x14ac:dyDescent="0.4">
      <c r="G5936" s="27">
        <f t="shared" si="104"/>
        <v>0</v>
      </c>
      <c r="H5936" s="28" t="e">
        <f>VLOOKUP(E5936,'Cadastro Produtos (kiwkiw)'!C:E,3,0)</f>
        <v>#N/A</v>
      </c>
    </row>
    <row r="5937" spans="7:8" ht="15" customHeight="1" x14ac:dyDescent="0.4">
      <c r="G5937" s="27">
        <f t="shared" si="104"/>
        <v>0</v>
      </c>
      <c r="H5937" s="28" t="e">
        <f>VLOOKUP(E5937,'Cadastro Produtos (kiwkiw)'!C:E,3,0)</f>
        <v>#N/A</v>
      </c>
    </row>
    <row r="5938" spans="7:8" ht="15" customHeight="1" x14ac:dyDescent="0.4">
      <c r="G5938" s="27">
        <f t="shared" si="104"/>
        <v>0</v>
      </c>
      <c r="H5938" s="28" t="e">
        <f>VLOOKUP(E5938,'Cadastro Produtos (kiwkiw)'!C:E,3,0)</f>
        <v>#N/A</v>
      </c>
    </row>
    <row r="5939" spans="7:8" ht="15" customHeight="1" x14ac:dyDescent="0.4">
      <c r="G5939" s="27">
        <f t="shared" si="104"/>
        <v>0</v>
      </c>
      <c r="H5939" s="28" t="e">
        <f>VLOOKUP(E5939,'Cadastro Produtos (kiwkiw)'!C:E,3,0)</f>
        <v>#N/A</v>
      </c>
    </row>
    <row r="5940" spans="7:8" ht="15" customHeight="1" x14ac:dyDescent="0.4">
      <c r="G5940" s="27">
        <f t="shared" si="104"/>
        <v>0</v>
      </c>
      <c r="H5940" s="28" t="e">
        <f>VLOOKUP(E5940,'Cadastro Produtos (kiwkiw)'!C:E,3,0)</f>
        <v>#N/A</v>
      </c>
    </row>
    <row r="5941" spans="7:8" ht="15" customHeight="1" x14ac:dyDescent="0.4">
      <c r="G5941" s="27">
        <f t="shared" si="104"/>
        <v>0</v>
      </c>
      <c r="H5941" s="28" t="e">
        <f>VLOOKUP(E5941,'Cadastro Produtos (kiwkiw)'!C:E,3,0)</f>
        <v>#N/A</v>
      </c>
    </row>
    <row r="5942" spans="7:8" ht="15" customHeight="1" x14ac:dyDescent="0.4">
      <c r="G5942" s="27">
        <f t="shared" si="104"/>
        <v>0</v>
      </c>
      <c r="H5942" s="28" t="e">
        <f>VLOOKUP(E5942,'Cadastro Produtos (kiwkiw)'!C:E,3,0)</f>
        <v>#N/A</v>
      </c>
    </row>
    <row r="5943" spans="7:8" ht="15" customHeight="1" x14ac:dyDescent="0.4">
      <c r="G5943" s="27">
        <f t="shared" si="104"/>
        <v>0</v>
      </c>
      <c r="H5943" s="28" t="e">
        <f>VLOOKUP(E5943,'Cadastro Produtos (kiwkiw)'!C:E,3,0)</f>
        <v>#N/A</v>
      </c>
    </row>
    <row r="5944" spans="7:8" ht="15" customHeight="1" x14ac:dyDescent="0.4">
      <c r="G5944" s="27">
        <f t="shared" si="104"/>
        <v>0</v>
      </c>
      <c r="H5944" s="28" t="e">
        <f>VLOOKUP(E5944,'Cadastro Produtos (kiwkiw)'!C:E,3,0)</f>
        <v>#N/A</v>
      </c>
    </row>
    <row r="5945" spans="7:8" ht="15" customHeight="1" x14ac:dyDescent="0.4">
      <c r="G5945" s="27">
        <f t="shared" si="104"/>
        <v>0</v>
      </c>
      <c r="H5945" s="28" t="e">
        <f>VLOOKUP(E5945,'Cadastro Produtos (kiwkiw)'!C:E,3,0)</f>
        <v>#N/A</v>
      </c>
    </row>
    <row r="5946" spans="7:8" ht="15" customHeight="1" x14ac:dyDescent="0.4">
      <c r="G5946" s="27">
        <f t="shared" si="104"/>
        <v>0</v>
      </c>
      <c r="H5946" s="28" t="e">
        <f>VLOOKUP(E5946,'Cadastro Produtos (kiwkiw)'!C:E,3,0)</f>
        <v>#N/A</v>
      </c>
    </row>
    <row r="5947" spans="7:8" ht="15" customHeight="1" x14ac:dyDescent="0.4">
      <c r="G5947" s="27">
        <f t="shared" si="104"/>
        <v>0</v>
      </c>
      <c r="H5947" s="28" t="e">
        <f>VLOOKUP(E5947,'Cadastro Produtos (kiwkiw)'!C:E,3,0)</f>
        <v>#N/A</v>
      </c>
    </row>
    <row r="5948" spans="7:8" ht="15" customHeight="1" x14ac:dyDescent="0.4">
      <c r="G5948" s="27">
        <f t="shared" si="104"/>
        <v>0</v>
      </c>
      <c r="H5948" s="28" t="e">
        <f>VLOOKUP(E5948,'Cadastro Produtos (kiwkiw)'!C:E,3,0)</f>
        <v>#N/A</v>
      </c>
    </row>
    <row r="5949" spans="7:8" ht="15" customHeight="1" x14ac:dyDescent="0.4">
      <c r="G5949" s="27">
        <f t="shared" si="104"/>
        <v>0</v>
      </c>
      <c r="H5949" s="28" t="e">
        <f>VLOOKUP(E5949,'Cadastro Produtos (kiwkiw)'!C:E,3,0)</f>
        <v>#N/A</v>
      </c>
    </row>
    <row r="5950" spans="7:8" ht="15" customHeight="1" x14ac:dyDescent="0.4">
      <c r="G5950" s="27">
        <f t="shared" si="104"/>
        <v>0</v>
      </c>
      <c r="H5950" s="28" t="e">
        <f>VLOOKUP(E5950,'Cadastro Produtos (kiwkiw)'!C:E,3,0)</f>
        <v>#N/A</v>
      </c>
    </row>
    <row r="5951" spans="7:8" ht="15" customHeight="1" x14ac:dyDescent="0.4">
      <c r="G5951" s="27">
        <f t="shared" si="104"/>
        <v>0</v>
      </c>
      <c r="H5951" s="28" t="e">
        <f>VLOOKUP(E5951,'Cadastro Produtos (kiwkiw)'!C:E,3,0)</f>
        <v>#N/A</v>
      </c>
    </row>
    <row r="5952" spans="7:8" ht="15" customHeight="1" x14ac:dyDescent="0.4">
      <c r="G5952" s="27">
        <f t="shared" si="104"/>
        <v>0</v>
      </c>
      <c r="H5952" s="28" t="e">
        <f>VLOOKUP(E5952,'Cadastro Produtos (kiwkiw)'!C:E,3,0)</f>
        <v>#N/A</v>
      </c>
    </row>
    <row r="5953" spans="2:8" ht="15" customHeight="1" x14ac:dyDescent="0.4">
      <c r="G5953" s="27">
        <f t="shared" si="104"/>
        <v>0</v>
      </c>
      <c r="H5953" s="28" t="e">
        <f>VLOOKUP(E5953,'Cadastro Produtos (kiwkiw)'!C:E,3,0)</f>
        <v>#N/A</v>
      </c>
    </row>
    <row r="5954" spans="2:8" ht="15" customHeight="1" x14ac:dyDescent="0.4">
      <c r="G5954" s="27">
        <f t="shared" si="104"/>
        <v>0</v>
      </c>
      <c r="H5954" s="28" t="e">
        <f>VLOOKUP(E5954,'Cadastro Produtos (kiwkiw)'!C:E,3,0)</f>
        <v>#N/A</v>
      </c>
    </row>
    <row r="5955" spans="2:8" ht="15" customHeight="1" x14ac:dyDescent="0.4">
      <c r="G5955" s="27">
        <f t="shared" si="104"/>
        <v>0</v>
      </c>
      <c r="H5955" s="28" t="e">
        <f>VLOOKUP(E5955,'Cadastro Produtos (kiwkiw)'!C:E,3,0)</f>
        <v>#N/A</v>
      </c>
    </row>
    <row r="5956" spans="2:8" ht="15" customHeight="1" x14ac:dyDescent="0.4">
      <c r="G5956" s="27">
        <f t="shared" si="104"/>
        <v>0</v>
      </c>
      <c r="H5956" s="28" t="e">
        <f>VLOOKUP(E5956,'Cadastro Produtos (kiwkiw)'!C:E,3,0)</f>
        <v>#N/A</v>
      </c>
    </row>
    <row r="5957" spans="2:8" ht="15" customHeight="1" x14ac:dyDescent="0.4">
      <c r="G5957" s="27">
        <f t="shared" si="104"/>
        <v>0</v>
      </c>
      <c r="H5957" s="28" t="e">
        <f>VLOOKUP(E5957,'Cadastro Produtos (kiwkiw)'!C:E,3,0)</f>
        <v>#N/A</v>
      </c>
    </row>
    <row r="5958" spans="2:8" ht="15" customHeight="1" x14ac:dyDescent="0.4">
      <c r="G5958" s="27">
        <f t="shared" si="104"/>
        <v>0</v>
      </c>
      <c r="H5958" s="28" t="e">
        <f>VLOOKUP(E5958,'Cadastro Produtos (kiwkiw)'!C:E,3,0)</f>
        <v>#N/A</v>
      </c>
    </row>
    <row r="5959" spans="2:8" ht="15" customHeight="1" x14ac:dyDescent="0.4">
      <c r="B5959" s="43"/>
      <c r="G5959" s="27">
        <f t="shared" si="104"/>
        <v>0</v>
      </c>
      <c r="H5959" s="28" t="e">
        <f>VLOOKUP(E5959,'Cadastro Produtos (kiwkiw)'!C:E,3,0)</f>
        <v>#N/A</v>
      </c>
    </row>
    <row r="5960" spans="2:8" ht="15" customHeight="1" x14ac:dyDescent="0.4">
      <c r="G5960" s="27">
        <f t="shared" si="104"/>
        <v>0</v>
      </c>
      <c r="H5960" s="28" t="e">
        <f>VLOOKUP(E5960,'Cadastro Produtos (kiwkiw)'!C:E,3,0)</f>
        <v>#N/A</v>
      </c>
    </row>
    <row r="5961" spans="2:8" ht="15" customHeight="1" x14ac:dyDescent="0.4">
      <c r="G5961" s="27">
        <f t="shared" si="104"/>
        <v>0</v>
      </c>
      <c r="H5961" s="28" t="e">
        <f>VLOOKUP(E5961,'Cadastro Produtos (kiwkiw)'!C:E,3,0)</f>
        <v>#N/A</v>
      </c>
    </row>
    <row r="5962" spans="2:8" ht="15" customHeight="1" x14ac:dyDescent="0.4">
      <c r="G5962" s="27">
        <f t="shared" si="104"/>
        <v>0</v>
      </c>
      <c r="H5962" s="28" t="e">
        <f>VLOOKUP(E5962,'Cadastro Produtos (kiwkiw)'!C:E,3,0)</f>
        <v>#N/A</v>
      </c>
    </row>
    <row r="5963" spans="2:8" ht="15" customHeight="1" x14ac:dyDescent="0.4">
      <c r="G5963" s="27">
        <f t="shared" si="104"/>
        <v>0</v>
      </c>
      <c r="H5963" s="28" t="e">
        <f>VLOOKUP(E5963,'Cadastro Produtos (kiwkiw)'!C:E,3,0)</f>
        <v>#N/A</v>
      </c>
    </row>
    <row r="5964" spans="2:8" ht="15" customHeight="1" x14ac:dyDescent="0.4">
      <c r="G5964" s="27">
        <f t="shared" si="104"/>
        <v>0</v>
      </c>
      <c r="H5964" s="28" t="e">
        <f>VLOOKUP(E5964,'Cadastro Produtos (kiwkiw)'!C:E,3,0)</f>
        <v>#N/A</v>
      </c>
    </row>
    <row r="5965" spans="2:8" ht="15" customHeight="1" x14ac:dyDescent="0.4">
      <c r="G5965" s="27">
        <f t="shared" si="104"/>
        <v>0</v>
      </c>
      <c r="H5965" s="28" t="e">
        <f>VLOOKUP(E5965,'Cadastro Produtos (kiwkiw)'!C:E,3,0)</f>
        <v>#N/A</v>
      </c>
    </row>
    <row r="5966" spans="2:8" ht="15" customHeight="1" x14ac:dyDescent="0.4">
      <c r="G5966" s="27">
        <f t="shared" si="104"/>
        <v>0</v>
      </c>
      <c r="H5966" s="28" t="e">
        <f>VLOOKUP(E5966,'Cadastro Produtos (kiwkiw)'!C:E,3,0)</f>
        <v>#N/A</v>
      </c>
    </row>
    <row r="5967" spans="2:8" ht="15" customHeight="1" x14ac:dyDescent="0.4">
      <c r="G5967" s="27">
        <f t="shared" si="104"/>
        <v>0</v>
      </c>
      <c r="H5967" s="28" t="e">
        <f>VLOOKUP(E5967,'Cadastro Produtos (kiwkiw)'!C:E,3,0)</f>
        <v>#N/A</v>
      </c>
    </row>
    <row r="5968" spans="2:8" ht="15" customHeight="1" x14ac:dyDescent="0.4">
      <c r="G5968" s="27">
        <f t="shared" si="104"/>
        <v>0</v>
      </c>
      <c r="H5968" s="28" t="e">
        <f>VLOOKUP(E5968,'Cadastro Produtos (kiwkiw)'!C:E,3,0)</f>
        <v>#N/A</v>
      </c>
    </row>
    <row r="5969" spans="7:8" ht="15" customHeight="1" x14ac:dyDescent="0.4">
      <c r="G5969" s="27">
        <f t="shared" si="104"/>
        <v>0</v>
      </c>
      <c r="H5969" s="28" t="e">
        <f>VLOOKUP(E5969,'Cadastro Produtos (kiwkiw)'!C:E,3,0)</f>
        <v>#N/A</v>
      </c>
    </row>
    <row r="5970" spans="7:8" ht="15" customHeight="1" x14ac:dyDescent="0.4">
      <c r="G5970" s="27">
        <f t="shared" ref="G5970:G6033" si="105">IF(C5970="Entrada",F5970,-F5970)</f>
        <v>0</v>
      </c>
      <c r="H5970" s="28" t="e">
        <f>VLOOKUP(E5970,'Cadastro Produtos (kiwkiw)'!C:E,3,0)</f>
        <v>#N/A</v>
      </c>
    </row>
    <row r="5971" spans="7:8" ht="15" customHeight="1" x14ac:dyDescent="0.4">
      <c r="G5971" s="27">
        <f t="shared" si="105"/>
        <v>0</v>
      </c>
      <c r="H5971" s="28" t="e">
        <f>VLOOKUP(E5971,'Cadastro Produtos (kiwkiw)'!C:E,3,0)</f>
        <v>#N/A</v>
      </c>
    </row>
    <row r="5972" spans="7:8" ht="15" customHeight="1" x14ac:dyDescent="0.4">
      <c r="G5972" s="27">
        <f t="shared" si="105"/>
        <v>0</v>
      </c>
      <c r="H5972" s="28" t="e">
        <f>VLOOKUP(E5972,'Cadastro Produtos (kiwkiw)'!C:E,3,0)</f>
        <v>#N/A</v>
      </c>
    </row>
    <row r="5973" spans="7:8" ht="15" customHeight="1" x14ac:dyDescent="0.4">
      <c r="G5973" s="27">
        <f t="shared" si="105"/>
        <v>0</v>
      </c>
      <c r="H5973" s="28" t="e">
        <f>VLOOKUP(E5973,'Cadastro Produtos (kiwkiw)'!C:E,3,0)</f>
        <v>#N/A</v>
      </c>
    </row>
    <row r="5974" spans="7:8" ht="15" customHeight="1" x14ac:dyDescent="0.4">
      <c r="G5974" s="27">
        <f t="shared" si="105"/>
        <v>0</v>
      </c>
      <c r="H5974" s="28" t="e">
        <f>VLOOKUP(E5974,'Cadastro Produtos (kiwkiw)'!C:E,3,0)</f>
        <v>#N/A</v>
      </c>
    </row>
    <row r="5975" spans="7:8" ht="15" customHeight="1" x14ac:dyDescent="0.4">
      <c r="G5975" s="27">
        <f t="shared" si="105"/>
        <v>0</v>
      </c>
      <c r="H5975" s="28" t="e">
        <f>VLOOKUP(E5975,'Cadastro Produtos (kiwkiw)'!C:E,3,0)</f>
        <v>#N/A</v>
      </c>
    </row>
    <row r="5976" spans="7:8" ht="15" customHeight="1" x14ac:dyDescent="0.4">
      <c r="G5976" s="27">
        <f t="shared" si="105"/>
        <v>0</v>
      </c>
      <c r="H5976" s="28" t="e">
        <f>VLOOKUP(E5976,'Cadastro Produtos (kiwkiw)'!C:E,3,0)</f>
        <v>#N/A</v>
      </c>
    </row>
    <row r="5977" spans="7:8" ht="15" customHeight="1" x14ac:dyDescent="0.4">
      <c r="G5977" s="27">
        <f t="shared" si="105"/>
        <v>0</v>
      </c>
      <c r="H5977" s="28" t="e">
        <f>VLOOKUP(E5977,'Cadastro Produtos (kiwkiw)'!C:E,3,0)</f>
        <v>#N/A</v>
      </c>
    </row>
    <row r="5978" spans="7:8" ht="15" customHeight="1" x14ac:dyDescent="0.4">
      <c r="G5978" s="27">
        <f t="shared" si="105"/>
        <v>0</v>
      </c>
      <c r="H5978" s="28" t="e">
        <f>VLOOKUP(E5978,'Cadastro Produtos (kiwkiw)'!C:E,3,0)</f>
        <v>#N/A</v>
      </c>
    </row>
    <row r="5979" spans="7:8" ht="15" customHeight="1" x14ac:dyDescent="0.4">
      <c r="G5979" s="27">
        <f t="shared" si="105"/>
        <v>0</v>
      </c>
      <c r="H5979" s="28" t="e">
        <f>VLOOKUP(E5979,'Cadastro Produtos (kiwkiw)'!C:E,3,0)</f>
        <v>#N/A</v>
      </c>
    </row>
    <row r="5980" spans="7:8" ht="15" customHeight="1" x14ac:dyDescent="0.4">
      <c r="G5980" s="27">
        <f t="shared" si="105"/>
        <v>0</v>
      </c>
      <c r="H5980" s="28" t="e">
        <f>VLOOKUP(E5980,'Cadastro Produtos (kiwkiw)'!C:E,3,0)</f>
        <v>#N/A</v>
      </c>
    </row>
    <row r="5981" spans="7:8" ht="15" customHeight="1" x14ac:dyDescent="0.4">
      <c r="G5981" s="27">
        <f t="shared" si="105"/>
        <v>0</v>
      </c>
      <c r="H5981" s="28" t="e">
        <f>VLOOKUP(E5981,'Cadastro Produtos (kiwkiw)'!C:E,3,0)</f>
        <v>#N/A</v>
      </c>
    </row>
    <row r="5982" spans="7:8" ht="15" customHeight="1" x14ac:dyDescent="0.4">
      <c r="G5982" s="27">
        <f t="shared" si="105"/>
        <v>0</v>
      </c>
      <c r="H5982" s="28" t="e">
        <f>VLOOKUP(E5982,'Cadastro Produtos (kiwkiw)'!C:E,3,0)</f>
        <v>#N/A</v>
      </c>
    </row>
    <row r="5983" spans="7:8" ht="15" customHeight="1" x14ac:dyDescent="0.4">
      <c r="G5983" s="27">
        <f t="shared" si="105"/>
        <v>0</v>
      </c>
      <c r="H5983" s="28" t="e">
        <f>VLOOKUP(E5983,'Cadastro Produtos (kiwkiw)'!C:E,3,0)</f>
        <v>#N/A</v>
      </c>
    </row>
    <row r="5984" spans="7:8" ht="15" customHeight="1" x14ac:dyDescent="0.4">
      <c r="G5984" s="27">
        <f t="shared" si="105"/>
        <v>0</v>
      </c>
      <c r="H5984" s="28" t="e">
        <f>VLOOKUP(E5984,'Cadastro Produtos (kiwkiw)'!C:E,3,0)</f>
        <v>#N/A</v>
      </c>
    </row>
    <row r="5985" spans="7:8" ht="15" customHeight="1" x14ac:dyDescent="0.4">
      <c r="G5985" s="27">
        <f t="shared" si="105"/>
        <v>0</v>
      </c>
      <c r="H5985" s="28" t="e">
        <f>VLOOKUP(E5985,'Cadastro Produtos (kiwkiw)'!C:E,3,0)</f>
        <v>#N/A</v>
      </c>
    </row>
    <row r="5986" spans="7:8" ht="15" customHeight="1" x14ac:dyDescent="0.4">
      <c r="G5986" s="27">
        <f t="shared" si="105"/>
        <v>0</v>
      </c>
      <c r="H5986" s="28" t="e">
        <f>VLOOKUP(E5986,'Cadastro Produtos (kiwkiw)'!C:E,3,0)</f>
        <v>#N/A</v>
      </c>
    </row>
    <row r="5987" spans="7:8" ht="15" customHeight="1" x14ac:dyDescent="0.4">
      <c r="G5987" s="27">
        <f t="shared" si="105"/>
        <v>0</v>
      </c>
      <c r="H5987" s="28" t="e">
        <f>VLOOKUP(E5987,'Cadastro Produtos (kiwkiw)'!C:E,3,0)</f>
        <v>#N/A</v>
      </c>
    </row>
    <row r="5988" spans="7:8" ht="15" customHeight="1" x14ac:dyDescent="0.4">
      <c r="G5988" s="27">
        <f t="shared" si="105"/>
        <v>0</v>
      </c>
      <c r="H5988" s="28" t="e">
        <f>VLOOKUP(E5988,'Cadastro Produtos (kiwkiw)'!C:E,3,0)</f>
        <v>#N/A</v>
      </c>
    </row>
    <row r="5989" spans="7:8" ht="15" customHeight="1" x14ac:dyDescent="0.4">
      <c r="G5989" s="27">
        <f t="shared" si="105"/>
        <v>0</v>
      </c>
      <c r="H5989" s="28" t="e">
        <f>VLOOKUP(E5989,'Cadastro Produtos (kiwkiw)'!C:E,3,0)</f>
        <v>#N/A</v>
      </c>
    </row>
    <row r="5990" spans="7:8" ht="15" customHeight="1" x14ac:dyDescent="0.4">
      <c r="G5990" s="27">
        <f t="shared" si="105"/>
        <v>0</v>
      </c>
      <c r="H5990" s="28" t="e">
        <f>VLOOKUP(E5990,'Cadastro Produtos (kiwkiw)'!C:E,3,0)</f>
        <v>#N/A</v>
      </c>
    </row>
    <row r="5991" spans="7:8" ht="15" customHeight="1" x14ac:dyDescent="0.4">
      <c r="G5991" s="27">
        <f t="shared" si="105"/>
        <v>0</v>
      </c>
      <c r="H5991" s="28" t="e">
        <f>VLOOKUP(E5991,'Cadastro Produtos (kiwkiw)'!C:E,3,0)</f>
        <v>#N/A</v>
      </c>
    </row>
    <row r="5992" spans="7:8" ht="15" customHeight="1" x14ac:dyDescent="0.4">
      <c r="G5992" s="27">
        <f t="shared" si="105"/>
        <v>0</v>
      </c>
      <c r="H5992" s="28" t="e">
        <f>VLOOKUP(E5992,'Cadastro Produtos (kiwkiw)'!C:E,3,0)</f>
        <v>#N/A</v>
      </c>
    </row>
    <row r="5993" spans="7:8" ht="15" customHeight="1" x14ac:dyDescent="0.4">
      <c r="G5993" s="27">
        <f t="shared" si="105"/>
        <v>0</v>
      </c>
      <c r="H5993" s="28" t="e">
        <f>VLOOKUP(E5993,'Cadastro Produtos (kiwkiw)'!C:E,3,0)</f>
        <v>#N/A</v>
      </c>
    </row>
    <row r="5994" spans="7:8" ht="15" customHeight="1" x14ac:dyDescent="0.4">
      <c r="G5994" s="27">
        <f t="shared" si="105"/>
        <v>0</v>
      </c>
      <c r="H5994" s="28" t="e">
        <f>VLOOKUP(E5994,'Cadastro Produtos (kiwkiw)'!C:E,3,0)</f>
        <v>#N/A</v>
      </c>
    </row>
    <row r="5995" spans="7:8" ht="15" customHeight="1" x14ac:dyDescent="0.4">
      <c r="G5995" s="27">
        <f t="shared" si="105"/>
        <v>0</v>
      </c>
      <c r="H5995" s="28" t="e">
        <f>VLOOKUP(E5995,'Cadastro Produtos (kiwkiw)'!C:E,3,0)</f>
        <v>#N/A</v>
      </c>
    </row>
    <row r="5996" spans="7:8" ht="15" customHeight="1" x14ac:dyDescent="0.4">
      <c r="G5996" s="27">
        <f t="shared" si="105"/>
        <v>0</v>
      </c>
      <c r="H5996" s="28" t="e">
        <f>VLOOKUP(E5996,'Cadastro Produtos (kiwkiw)'!C:E,3,0)</f>
        <v>#N/A</v>
      </c>
    </row>
    <row r="5997" spans="7:8" ht="15" customHeight="1" x14ac:dyDescent="0.4">
      <c r="G5997" s="27">
        <f t="shared" si="105"/>
        <v>0</v>
      </c>
      <c r="H5997" s="28" t="e">
        <f>VLOOKUP(E5997,'Cadastro Produtos (kiwkiw)'!C:E,3,0)</f>
        <v>#N/A</v>
      </c>
    </row>
    <row r="5998" spans="7:8" ht="15" customHeight="1" x14ac:dyDescent="0.4">
      <c r="G5998" s="27">
        <f t="shared" si="105"/>
        <v>0</v>
      </c>
      <c r="H5998" s="28" t="e">
        <f>VLOOKUP(E5998,'Cadastro Produtos (kiwkiw)'!C:E,3,0)</f>
        <v>#N/A</v>
      </c>
    </row>
    <row r="5999" spans="7:8" ht="15" customHeight="1" x14ac:dyDescent="0.4">
      <c r="G5999" s="27">
        <f t="shared" si="105"/>
        <v>0</v>
      </c>
      <c r="H5999" s="28" t="e">
        <f>VLOOKUP(E5999,'Cadastro Produtos (kiwkiw)'!C:E,3,0)</f>
        <v>#N/A</v>
      </c>
    </row>
    <row r="6000" spans="7:8" ht="15" customHeight="1" x14ac:dyDescent="0.4">
      <c r="G6000" s="27">
        <f t="shared" si="105"/>
        <v>0</v>
      </c>
      <c r="H6000" s="28" t="e">
        <f>VLOOKUP(E6000,'Cadastro Produtos (kiwkiw)'!C:E,3,0)</f>
        <v>#N/A</v>
      </c>
    </row>
    <row r="6001" spans="2:8" ht="15" customHeight="1" x14ac:dyDescent="0.4">
      <c r="G6001" s="27">
        <f t="shared" si="105"/>
        <v>0</v>
      </c>
      <c r="H6001" s="28" t="e">
        <f>VLOOKUP(E6001,'Cadastro Produtos (kiwkiw)'!C:E,3,0)</f>
        <v>#N/A</v>
      </c>
    </row>
    <row r="6002" spans="2:8" ht="15" customHeight="1" x14ac:dyDescent="0.4">
      <c r="B6002" s="43"/>
      <c r="G6002" s="27">
        <f t="shared" si="105"/>
        <v>0</v>
      </c>
      <c r="H6002" s="28" t="e">
        <f>VLOOKUP(E6002,'Cadastro Produtos (kiwkiw)'!C:E,3,0)</f>
        <v>#N/A</v>
      </c>
    </row>
    <row r="6003" spans="2:8" ht="15" customHeight="1" x14ac:dyDescent="0.4">
      <c r="G6003" s="27">
        <f t="shared" si="105"/>
        <v>0</v>
      </c>
      <c r="H6003" s="28" t="e">
        <f>VLOOKUP(E6003,'Cadastro Produtos (kiwkiw)'!C:E,3,0)</f>
        <v>#N/A</v>
      </c>
    </row>
    <row r="6004" spans="2:8" ht="15" customHeight="1" x14ac:dyDescent="0.4">
      <c r="G6004" s="27">
        <f t="shared" si="105"/>
        <v>0</v>
      </c>
      <c r="H6004" s="28" t="e">
        <f>VLOOKUP(E6004,'Cadastro Produtos (kiwkiw)'!C:E,3,0)</f>
        <v>#N/A</v>
      </c>
    </row>
    <row r="6005" spans="2:8" ht="15" customHeight="1" x14ac:dyDescent="0.4">
      <c r="G6005" s="27">
        <f t="shared" si="105"/>
        <v>0</v>
      </c>
      <c r="H6005" s="28" t="e">
        <f>VLOOKUP(E6005,'Cadastro Produtos (kiwkiw)'!C:E,3,0)</f>
        <v>#N/A</v>
      </c>
    </row>
    <row r="6006" spans="2:8" ht="15" customHeight="1" x14ac:dyDescent="0.4">
      <c r="G6006" s="27">
        <f t="shared" si="105"/>
        <v>0</v>
      </c>
      <c r="H6006" s="28" t="e">
        <f>VLOOKUP(E6006,'Cadastro Produtos (kiwkiw)'!C:E,3,0)</f>
        <v>#N/A</v>
      </c>
    </row>
    <row r="6007" spans="2:8" ht="15" customHeight="1" x14ac:dyDescent="0.4">
      <c r="G6007" s="27">
        <f t="shared" si="105"/>
        <v>0</v>
      </c>
      <c r="H6007" s="28" t="e">
        <f>VLOOKUP(E6007,'Cadastro Produtos (kiwkiw)'!C:E,3,0)</f>
        <v>#N/A</v>
      </c>
    </row>
    <row r="6008" spans="2:8" ht="15" customHeight="1" x14ac:dyDescent="0.4">
      <c r="G6008" s="27">
        <f t="shared" si="105"/>
        <v>0</v>
      </c>
      <c r="H6008" s="28" t="e">
        <f>VLOOKUP(E6008,'Cadastro Produtos (kiwkiw)'!C:E,3,0)</f>
        <v>#N/A</v>
      </c>
    </row>
    <row r="6009" spans="2:8" ht="15" customHeight="1" x14ac:dyDescent="0.4">
      <c r="G6009" s="27">
        <f t="shared" si="105"/>
        <v>0</v>
      </c>
      <c r="H6009" s="28" t="e">
        <f>VLOOKUP(E6009,'Cadastro Produtos (kiwkiw)'!C:E,3,0)</f>
        <v>#N/A</v>
      </c>
    </row>
    <row r="6010" spans="2:8" ht="15" customHeight="1" x14ac:dyDescent="0.4">
      <c r="G6010" s="27">
        <f t="shared" si="105"/>
        <v>0</v>
      </c>
      <c r="H6010" s="28" t="e">
        <f>VLOOKUP(E6010,'Cadastro Produtos (kiwkiw)'!C:E,3,0)</f>
        <v>#N/A</v>
      </c>
    </row>
    <row r="6011" spans="2:8" ht="15" customHeight="1" x14ac:dyDescent="0.4">
      <c r="G6011" s="27">
        <f t="shared" si="105"/>
        <v>0</v>
      </c>
      <c r="H6011" s="28" t="e">
        <f>VLOOKUP(E6011,'Cadastro Produtos (kiwkiw)'!C:E,3,0)</f>
        <v>#N/A</v>
      </c>
    </row>
    <row r="6012" spans="2:8" ht="15" customHeight="1" x14ac:dyDescent="0.4">
      <c r="G6012" s="27">
        <f t="shared" si="105"/>
        <v>0</v>
      </c>
      <c r="H6012" s="28" t="e">
        <f>VLOOKUP(E6012,'Cadastro Produtos (kiwkiw)'!C:E,3,0)</f>
        <v>#N/A</v>
      </c>
    </row>
    <row r="6013" spans="2:8" ht="15" customHeight="1" x14ac:dyDescent="0.4">
      <c r="G6013" s="27">
        <f t="shared" si="105"/>
        <v>0</v>
      </c>
      <c r="H6013" s="28" t="e">
        <f>VLOOKUP(E6013,'Cadastro Produtos (kiwkiw)'!C:E,3,0)</f>
        <v>#N/A</v>
      </c>
    </row>
    <row r="6014" spans="2:8" ht="15" customHeight="1" x14ac:dyDescent="0.4">
      <c r="G6014" s="27">
        <f t="shared" si="105"/>
        <v>0</v>
      </c>
      <c r="H6014" s="28" t="e">
        <f>VLOOKUP(E6014,'Cadastro Produtos (kiwkiw)'!C:E,3,0)</f>
        <v>#N/A</v>
      </c>
    </row>
    <row r="6015" spans="2:8" ht="15" customHeight="1" x14ac:dyDescent="0.4">
      <c r="G6015" s="27">
        <f t="shared" si="105"/>
        <v>0</v>
      </c>
      <c r="H6015" s="28" t="e">
        <f>VLOOKUP(E6015,'Cadastro Produtos (kiwkiw)'!C:E,3,0)</f>
        <v>#N/A</v>
      </c>
    </row>
    <row r="6016" spans="2:8" ht="15" customHeight="1" x14ac:dyDescent="0.4">
      <c r="G6016" s="27">
        <f t="shared" si="105"/>
        <v>0</v>
      </c>
      <c r="H6016" s="28" t="e">
        <f>VLOOKUP(E6016,'Cadastro Produtos (kiwkiw)'!C:E,3,0)</f>
        <v>#N/A</v>
      </c>
    </row>
    <row r="6017" spans="7:8" ht="15" customHeight="1" x14ac:dyDescent="0.4">
      <c r="G6017" s="27">
        <f t="shared" si="105"/>
        <v>0</v>
      </c>
      <c r="H6017" s="28" t="e">
        <f>VLOOKUP(E6017,'Cadastro Produtos (kiwkiw)'!C:E,3,0)</f>
        <v>#N/A</v>
      </c>
    </row>
    <row r="6018" spans="7:8" ht="15" customHeight="1" x14ac:dyDescent="0.4">
      <c r="G6018" s="27">
        <f t="shared" si="105"/>
        <v>0</v>
      </c>
      <c r="H6018" s="28" t="e">
        <f>VLOOKUP(E6018,'Cadastro Produtos (kiwkiw)'!C:E,3,0)</f>
        <v>#N/A</v>
      </c>
    </row>
    <row r="6019" spans="7:8" ht="15" customHeight="1" x14ac:dyDescent="0.4">
      <c r="G6019" s="27">
        <f t="shared" si="105"/>
        <v>0</v>
      </c>
      <c r="H6019" s="28" t="e">
        <f>VLOOKUP(E6019,'Cadastro Produtos (kiwkiw)'!C:E,3,0)</f>
        <v>#N/A</v>
      </c>
    </row>
    <row r="6020" spans="7:8" ht="15" customHeight="1" x14ac:dyDescent="0.4">
      <c r="G6020" s="27">
        <f t="shared" si="105"/>
        <v>0</v>
      </c>
      <c r="H6020" s="28" t="e">
        <f>VLOOKUP(E6020,'Cadastro Produtos (kiwkiw)'!C:E,3,0)</f>
        <v>#N/A</v>
      </c>
    </row>
    <row r="6021" spans="7:8" ht="15" customHeight="1" x14ac:dyDescent="0.4">
      <c r="G6021" s="27">
        <f t="shared" si="105"/>
        <v>0</v>
      </c>
      <c r="H6021" s="28" t="e">
        <f>VLOOKUP(E6021,'Cadastro Produtos (kiwkiw)'!C:E,3,0)</f>
        <v>#N/A</v>
      </c>
    </row>
    <row r="6022" spans="7:8" ht="15" customHeight="1" x14ac:dyDescent="0.4">
      <c r="G6022" s="27">
        <f t="shared" si="105"/>
        <v>0</v>
      </c>
      <c r="H6022" s="28" t="e">
        <f>VLOOKUP(E6022,'Cadastro Produtos (kiwkiw)'!C:E,3,0)</f>
        <v>#N/A</v>
      </c>
    </row>
    <row r="6023" spans="7:8" ht="15" customHeight="1" x14ac:dyDescent="0.4">
      <c r="G6023" s="27">
        <f t="shared" si="105"/>
        <v>0</v>
      </c>
      <c r="H6023" s="28" t="e">
        <f>VLOOKUP(E6023,'Cadastro Produtos (kiwkiw)'!C:E,3,0)</f>
        <v>#N/A</v>
      </c>
    </row>
    <row r="6024" spans="7:8" ht="15" customHeight="1" x14ac:dyDescent="0.4">
      <c r="G6024" s="27">
        <f t="shared" si="105"/>
        <v>0</v>
      </c>
      <c r="H6024" s="28" t="e">
        <f>VLOOKUP(E6024,'Cadastro Produtos (kiwkiw)'!C:E,3,0)</f>
        <v>#N/A</v>
      </c>
    </row>
    <row r="6025" spans="7:8" ht="15" customHeight="1" x14ac:dyDescent="0.4">
      <c r="G6025" s="27">
        <f t="shared" si="105"/>
        <v>0</v>
      </c>
      <c r="H6025" s="28" t="e">
        <f>VLOOKUP(E6025,'Cadastro Produtos (kiwkiw)'!C:E,3,0)</f>
        <v>#N/A</v>
      </c>
    </row>
    <row r="6026" spans="7:8" ht="15" customHeight="1" x14ac:dyDescent="0.4">
      <c r="G6026" s="27">
        <f t="shared" si="105"/>
        <v>0</v>
      </c>
      <c r="H6026" s="28" t="e">
        <f>VLOOKUP(E6026,'Cadastro Produtos (kiwkiw)'!C:E,3,0)</f>
        <v>#N/A</v>
      </c>
    </row>
    <row r="6027" spans="7:8" ht="15" customHeight="1" x14ac:dyDescent="0.4">
      <c r="G6027" s="27">
        <f t="shared" si="105"/>
        <v>0</v>
      </c>
      <c r="H6027" s="28" t="e">
        <f>VLOOKUP(E6027,'Cadastro Produtos (kiwkiw)'!C:E,3,0)</f>
        <v>#N/A</v>
      </c>
    </row>
    <row r="6028" spans="7:8" ht="15" customHeight="1" x14ac:dyDescent="0.4">
      <c r="G6028" s="27">
        <f t="shared" si="105"/>
        <v>0</v>
      </c>
      <c r="H6028" s="28" t="e">
        <f>VLOOKUP(E6028,'Cadastro Produtos (kiwkiw)'!C:E,3,0)</f>
        <v>#N/A</v>
      </c>
    </row>
    <row r="6029" spans="7:8" ht="15" customHeight="1" x14ac:dyDescent="0.4">
      <c r="G6029" s="27">
        <f t="shared" si="105"/>
        <v>0</v>
      </c>
      <c r="H6029" s="28" t="e">
        <f>VLOOKUP(E6029,'Cadastro Produtos (kiwkiw)'!C:E,3,0)</f>
        <v>#N/A</v>
      </c>
    </row>
    <row r="6030" spans="7:8" ht="15" customHeight="1" x14ac:dyDescent="0.4">
      <c r="G6030" s="27">
        <f t="shared" si="105"/>
        <v>0</v>
      </c>
      <c r="H6030" s="28" t="e">
        <f>VLOOKUP(E6030,'Cadastro Produtos (kiwkiw)'!C:E,3,0)</f>
        <v>#N/A</v>
      </c>
    </row>
    <row r="6031" spans="7:8" ht="15" customHeight="1" x14ac:dyDescent="0.4">
      <c r="G6031" s="27">
        <f t="shared" si="105"/>
        <v>0</v>
      </c>
      <c r="H6031" s="28" t="e">
        <f>VLOOKUP(E6031,'Cadastro Produtos (kiwkiw)'!C:E,3,0)</f>
        <v>#N/A</v>
      </c>
    </row>
    <row r="6032" spans="7:8" ht="15" customHeight="1" x14ac:dyDescent="0.4">
      <c r="G6032" s="27">
        <f t="shared" si="105"/>
        <v>0</v>
      </c>
      <c r="H6032" s="28" t="e">
        <f>VLOOKUP(E6032,'Cadastro Produtos (kiwkiw)'!C:E,3,0)</f>
        <v>#N/A</v>
      </c>
    </row>
    <row r="6033" spans="7:8" ht="15" customHeight="1" x14ac:dyDescent="0.4">
      <c r="G6033" s="27">
        <f t="shared" si="105"/>
        <v>0</v>
      </c>
      <c r="H6033" s="28" t="e">
        <f>VLOOKUP(E6033,'Cadastro Produtos (kiwkiw)'!C:E,3,0)</f>
        <v>#N/A</v>
      </c>
    </row>
    <row r="6034" spans="7:8" ht="15" customHeight="1" x14ac:dyDescent="0.4">
      <c r="G6034" s="27">
        <f t="shared" ref="G6034:G6097" si="106">IF(C6034="Entrada",F6034,-F6034)</f>
        <v>0</v>
      </c>
      <c r="H6034" s="28" t="e">
        <f>VLOOKUP(E6034,'Cadastro Produtos (kiwkiw)'!C:E,3,0)</f>
        <v>#N/A</v>
      </c>
    </row>
    <row r="6035" spans="7:8" ht="15" customHeight="1" x14ac:dyDescent="0.4">
      <c r="G6035" s="27">
        <f t="shared" si="106"/>
        <v>0</v>
      </c>
      <c r="H6035" s="28" t="e">
        <f>VLOOKUP(E6035,'Cadastro Produtos (kiwkiw)'!C:E,3,0)</f>
        <v>#N/A</v>
      </c>
    </row>
    <row r="6036" spans="7:8" ht="15" customHeight="1" x14ac:dyDescent="0.4">
      <c r="G6036" s="27">
        <f t="shared" si="106"/>
        <v>0</v>
      </c>
      <c r="H6036" s="28" t="e">
        <f>VLOOKUP(E6036,'Cadastro Produtos (kiwkiw)'!C:E,3,0)</f>
        <v>#N/A</v>
      </c>
    </row>
    <row r="6037" spans="7:8" ht="15" customHeight="1" x14ac:dyDescent="0.4">
      <c r="G6037" s="27">
        <f t="shared" si="106"/>
        <v>0</v>
      </c>
      <c r="H6037" s="28" t="e">
        <f>VLOOKUP(E6037,'Cadastro Produtos (kiwkiw)'!C:E,3,0)</f>
        <v>#N/A</v>
      </c>
    </row>
    <row r="6038" spans="7:8" ht="15" customHeight="1" x14ac:dyDescent="0.4">
      <c r="G6038" s="27">
        <f t="shared" si="106"/>
        <v>0</v>
      </c>
      <c r="H6038" s="28" t="e">
        <f>VLOOKUP(E6038,'Cadastro Produtos (kiwkiw)'!C:E,3,0)</f>
        <v>#N/A</v>
      </c>
    </row>
    <row r="6039" spans="7:8" ht="15" customHeight="1" x14ac:dyDescent="0.4">
      <c r="G6039" s="27">
        <f t="shared" si="106"/>
        <v>0</v>
      </c>
      <c r="H6039" s="28" t="e">
        <f>VLOOKUP(E6039,'Cadastro Produtos (kiwkiw)'!C:E,3,0)</f>
        <v>#N/A</v>
      </c>
    </row>
    <row r="6040" spans="7:8" ht="15" customHeight="1" x14ac:dyDescent="0.4">
      <c r="G6040" s="27">
        <f t="shared" si="106"/>
        <v>0</v>
      </c>
      <c r="H6040" s="28" t="e">
        <f>VLOOKUP(E6040,'Cadastro Produtos (kiwkiw)'!C:E,3,0)</f>
        <v>#N/A</v>
      </c>
    </row>
    <row r="6041" spans="7:8" ht="15" customHeight="1" x14ac:dyDescent="0.4">
      <c r="G6041" s="27">
        <f t="shared" si="106"/>
        <v>0</v>
      </c>
      <c r="H6041" s="28" t="e">
        <f>VLOOKUP(E6041,'Cadastro Produtos (kiwkiw)'!C:E,3,0)</f>
        <v>#N/A</v>
      </c>
    </row>
    <row r="6042" spans="7:8" ht="15" customHeight="1" x14ac:dyDescent="0.4">
      <c r="G6042" s="27">
        <f t="shared" si="106"/>
        <v>0</v>
      </c>
      <c r="H6042" s="28" t="e">
        <f>VLOOKUP(E6042,'Cadastro Produtos (kiwkiw)'!C:E,3,0)</f>
        <v>#N/A</v>
      </c>
    </row>
    <row r="6043" spans="7:8" ht="15" customHeight="1" x14ac:dyDescent="0.4">
      <c r="G6043" s="27">
        <f t="shared" si="106"/>
        <v>0</v>
      </c>
      <c r="H6043" s="28" t="e">
        <f>VLOOKUP(E6043,'Cadastro Produtos (kiwkiw)'!C:E,3,0)</f>
        <v>#N/A</v>
      </c>
    </row>
    <row r="6044" spans="7:8" ht="15" customHeight="1" x14ac:dyDescent="0.4">
      <c r="G6044" s="27">
        <f t="shared" si="106"/>
        <v>0</v>
      </c>
      <c r="H6044" s="28" t="e">
        <f>VLOOKUP(E6044,'Cadastro Produtos (kiwkiw)'!C:E,3,0)</f>
        <v>#N/A</v>
      </c>
    </row>
    <row r="6045" spans="7:8" ht="15" customHeight="1" x14ac:dyDescent="0.4">
      <c r="G6045" s="27">
        <f t="shared" si="106"/>
        <v>0</v>
      </c>
      <c r="H6045" s="28" t="e">
        <f>VLOOKUP(E6045,'Cadastro Produtos (kiwkiw)'!C:E,3,0)</f>
        <v>#N/A</v>
      </c>
    </row>
    <row r="6046" spans="7:8" ht="15" customHeight="1" x14ac:dyDescent="0.4">
      <c r="G6046" s="27">
        <f t="shared" si="106"/>
        <v>0</v>
      </c>
      <c r="H6046" s="28" t="e">
        <f>VLOOKUP(E6046,'Cadastro Produtos (kiwkiw)'!C:E,3,0)</f>
        <v>#N/A</v>
      </c>
    </row>
    <row r="6047" spans="7:8" ht="15" customHeight="1" x14ac:dyDescent="0.4">
      <c r="G6047" s="27">
        <f t="shared" si="106"/>
        <v>0</v>
      </c>
      <c r="H6047" s="28" t="e">
        <f>VLOOKUP(E6047,'Cadastro Produtos (kiwkiw)'!C:E,3,0)</f>
        <v>#N/A</v>
      </c>
    </row>
    <row r="6048" spans="7:8" ht="15" customHeight="1" x14ac:dyDescent="0.4">
      <c r="G6048" s="27">
        <f t="shared" si="106"/>
        <v>0</v>
      </c>
      <c r="H6048" s="28" t="e">
        <f>VLOOKUP(E6048,'Cadastro Produtos (kiwkiw)'!C:E,3,0)</f>
        <v>#N/A</v>
      </c>
    </row>
    <row r="6049" spans="2:8" ht="15" customHeight="1" x14ac:dyDescent="0.4">
      <c r="G6049" s="27">
        <f t="shared" si="106"/>
        <v>0</v>
      </c>
      <c r="H6049" s="28" t="e">
        <f>VLOOKUP(E6049,'Cadastro Produtos (kiwkiw)'!C:E,3,0)</f>
        <v>#N/A</v>
      </c>
    </row>
    <row r="6050" spans="2:8" ht="15" customHeight="1" x14ac:dyDescent="0.4">
      <c r="B6050" s="43"/>
      <c r="G6050" s="27">
        <f t="shared" si="106"/>
        <v>0</v>
      </c>
      <c r="H6050" s="28" t="e">
        <f>VLOOKUP(E6050,'Cadastro Produtos (kiwkiw)'!C:E,3,0)</f>
        <v>#N/A</v>
      </c>
    </row>
    <row r="6051" spans="2:8" ht="15" customHeight="1" x14ac:dyDescent="0.4">
      <c r="G6051" s="27">
        <f t="shared" si="106"/>
        <v>0</v>
      </c>
      <c r="H6051" s="28" t="e">
        <f>VLOOKUP(E6051,'Cadastro Produtos (kiwkiw)'!C:E,3,0)</f>
        <v>#N/A</v>
      </c>
    </row>
    <row r="6052" spans="2:8" ht="15" customHeight="1" x14ac:dyDescent="0.4">
      <c r="G6052" s="27">
        <f t="shared" si="106"/>
        <v>0</v>
      </c>
      <c r="H6052" s="28" t="e">
        <f>VLOOKUP(E6052,'Cadastro Produtos (kiwkiw)'!C:E,3,0)</f>
        <v>#N/A</v>
      </c>
    </row>
    <row r="6053" spans="2:8" ht="15" customHeight="1" x14ac:dyDescent="0.4">
      <c r="G6053" s="27">
        <f t="shared" si="106"/>
        <v>0</v>
      </c>
      <c r="H6053" s="28" t="e">
        <f>VLOOKUP(E6053,'Cadastro Produtos (kiwkiw)'!C:E,3,0)</f>
        <v>#N/A</v>
      </c>
    </row>
    <row r="6054" spans="2:8" ht="15" customHeight="1" x14ac:dyDescent="0.4">
      <c r="G6054" s="27">
        <f t="shared" si="106"/>
        <v>0</v>
      </c>
      <c r="H6054" s="28" t="e">
        <f>VLOOKUP(E6054,'Cadastro Produtos (kiwkiw)'!C:E,3,0)</f>
        <v>#N/A</v>
      </c>
    </row>
    <row r="6055" spans="2:8" ht="15" customHeight="1" x14ac:dyDescent="0.4">
      <c r="G6055" s="27">
        <f t="shared" si="106"/>
        <v>0</v>
      </c>
      <c r="H6055" s="28" t="e">
        <f>VLOOKUP(E6055,'Cadastro Produtos (kiwkiw)'!C:E,3,0)</f>
        <v>#N/A</v>
      </c>
    </row>
    <row r="6056" spans="2:8" ht="15" customHeight="1" x14ac:dyDescent="0.4">
      <c r="G6056" s="27">
        <f t="shared" si="106"/>
        <v>0</v>
      </c>
      <c r="H6056" s="28" t="e">
        <f>VLOOKUP(E6056,'Cadastro Produtos (kiwkiw)'!C:E,3,0)</f>
        <v>#N/A</v>
      </c>
    </row>
    <row r="6057" spans="2:8" ht="15" customHeight="1" x14ac:dyDescent="0.4">
      <c r="G6057" s="27">
        <f t="shared" si="106"/>
        <v>0</v>
      </c>
      <c r="H6057" s="28" t="e">
        <f>VLOOKUP(E6057,'Cadastro Produtos (kiwkiw)'!C:E,3,0)</f>
        <v>#N/A</v>
      </c>
    </row>
    <row r="6058" spans="2:8" ht="15" customHeight="1" x14ac:dyDescent="0.4">
      <c r="G6058" s="27">
        <f t="shared" si="106"/>
        <v>0</v>
      </c>
      <c r="H6058" s="28" t="e">
        <f>VLOOKUP(E6058,'Cadastro Produtos (kiwkiw)'!C:E,3,0)</f>
        <v>#N/A</v>
      </c>
    </row>
    <row r="6059" spans="2:8" ht="15" customHeight="1" x14ac:dyDescent="0.4">
      <c r="G6059" s="27">
        <f t="shared" si="106"/>
        <v>0</v>
      </c>
      <c r="H6059" s="28" t="e">
        <f>VLOOKUP(E6059,'Cadastro Produtos (kiwkiw)'!C:E,3,0)</f>
        <v>#N/A</v>
      </c>
    </row>
    <row r="6060" spans="2:8" ht="15" customHeight="1" x14ac:dyDescent="0.4">
      <c r="G6060" s="27">
        <f t="shared" si="106"/>
        <v>0</v>
      </c>
      <c r="H6060" s="28" t="e">
        <f>VLOOKUP(E6060,'Cadastro Produtos (kiwkiw)'!C:E,3,0)</f>
        <v>#N/A</v>
      </c>
    </row>
    <row r="6061" spans="2:8" ht="15" customHeight="1" x14ac:dyDescent="0.4">
      <c r="G6061" s="27">
        <f t="shared" si="106"/>
        <v>0</v>
      </c>
      <c r="H6061" s="28" t="e">
        <f>VLOOKUP(E6061,'Cadastro Produtos (kiwkiw)'!C:E,3,0)</f>
        <v>#N/A</v>
      </c>
    </row>
    <row r="6062" spans="2:8" ht="15" customHeight="1" x14ac:dyDescent="0.4">
      <c r="G6062" s="27">
        <f t="shared" si="106"/>
        <v>0</v>
      </c>
      <c r="H6062" s="28" t="e">
        <f>VLOOKUP(E6062,'Cadastro Produtos (kiwkiw)'!C:E,3,0)</f>
        <v>#N/A</v>
      </c>
    </row>
    <row r="6063" spans="2:8" ht="15" customHeight="1" x14ac:dyDescent="0.4">
      <c r="G6063" s="27">
        <f t="shared" si="106"/>
        <v>0</v>
      </c>
      <c r="H6063" s="28" t="e">
        <f>VLOOKUP(E6063,'Cadastro Produtos (kiwkiw)'!C:E,3,0)</f>
        <v>#N/A</v>
      </c>
    </row>
    <row r="6064" spans="2:8" ht="15" customHeight="1" x14ac:dyDescent="0.4">
      <c r="G6064" s="27">
        <f t="shared" si="106"/>
        <v>0</v>
      </c>
      <c r="H6064" s="28" t="e">
        <f>VLOOKUP(E6064,'Cadastro Produtos (kiwkiw)'!C:E,3,0)</f>
        <v>#N/A</v>
      </c>
    </row>
    <row r="6065" spans="7:8" ht="15" customHeight="1" x14ac:dyDescent="0.4">
      <c r="G6065" s="27">
        <f t="shared" si="106"/>
        <v>0</v>
      </c>
      <c r="H6065" s="28" t="e">
        <f>VLOOKUP(E6065,'Cadastro Produtos (kiwkiw)'!C:E,3,0)</f>
        <v>#N/A</v>
      </c>
    </row>
    <row r="6066" spans="7:8" ht="15" customHeight="1" x14ac:dyDescent="0.4">
      <c r="G6066" s="27">
        <f t="shared" si="106"/>
        <v>0</v>
      </c>
      <c r="H6066" s="28" t="e">
        <f>VLOOKUP(E6066,'Cadastro Produtos (kiwkiw)'!C:E,3,0)</f>
        <v>#N/A</v>
      </c>
    </row>
    <row r="6067" spans="7:8" ht="15" customHeight="1" x14ac:dyDescent="0.4">
      <c r="G6067" s="27">
        <f t="shared" si="106"/>
        <v>0</v>
      </c>
      <c r="H6067" s="28" t="e">
        <f>VLOOKUP(E6067,'Cadastro Produtos (kiwkiw)'!C:E,3,0)</f>
        <v>#N/A</v>
      </c>
    </row>
    <row r="6068" spans="7:8" ht="15" customHeight="1" x14ac:dyDescent="0.4">
      <c r="G6068" s="27">
        <f t="shared" si="106"/>
        <v>0</v>
      </c>
      <c r="H6068" s="28" t="e">
        <f>VLOOKUP(E6068,'Cadastro Produtos (kiwkiw)'!C:E,3,0)</f>
        <v>#N/A</v>
      </c>
    </row>
    <row r="6069" spans="7:8" ht="15" customHeight="1" x14ac:dyDescent="0.4">
      <c r="G6069" s="27">
        <f t="shared" si="106"/>
        <v>0</v>
      </c>
      <c r="H6069" s="28" t="e">
        <f>VLOOKUP(E6069,'Cadastro Produtos (kiwkiw)'!C:E,3,0)</f>
        <v>#N/A</v>
      </c>
    </row>
    <row r="6070" spans="7:8" ht="15" customHeight="1" x14ac:dyDescent="0.4">
      <c r="G6070" s="27">
        <f t="shared" si="106"/>
        <v>0</v>
      </c>
      <c r="H6070" s="28" t="e">
        <f>VLOOKUP(E6070,'Cadastro Produtos (kiwkiw)'!C:E,3,0)</f>
        <v>#N/A</v>
      </c>
    </row>
    <row r="6071" spans="7:8" ht="15" customHeight="1" x14ac:dyDescent="0.4">
      <c r="G6071" s="27">
        <f t="shared" si="106"/>
        <v>0</v>
      </c>
      <c r="H6071" s="28" t="e">
        <f>VLOOKUP(E6071,'Cadastro Produtos (kiwkiw)'!C:E,3,0)</f>
        <v>#N/A</v>
      </c>
    </row>
    <row r="6072" spans="7:8" ht="15" customHeight="1" x14ac:dyDescent="0.4">
      <c r="G6072" s="27">
        <f t="shared" si="106"/>
        <v>0</v>
      </c>
      <c r="H6072" s="28" t="e">
        <f>VLOOKUP(E6072,'Cadastro Produtos (kiwkiw)'!C:E,3,0)</f>
        <v>#N/A</v>
      </c>
    </row>
    <row r="6073" spans="7:8" ht="15" customHeight="1" x14ac:dyDescent="0.4">
      <c r="G6073" s="27">
        <f t="shared" si="106"/>
        <v>0</v>
      </c>
      <c r="H6073" s="28" t="e">
        <f>VLOOKUP(E6073,'Cadastro Produtos (kiwkiw)'!C:E,3,0)</f>
        <v>#N/A</v>
      </c>
    </row>
    <row r="6074" spans="7:8" ht="15" customHeight="1" x14ac:dyDescent="0.4">
      <c r="G6074" s="27">
        <f t="shared" si="106"/>
        <v>0</v>
      </c>
      <c r="H6074" s="28" t="e">
        <f>VLOOKUP(E6074,'Cadastro Produtos (kiwkiw)'!C:E,3,0)</f>
        <v>#N/A</v>
      </c>
    </row>
    <row r="6075" spans="7:8" ht="15" customHeight="1" x14ac:dyDescent="0.4">
      <c r="G6075" s="27">
        <f t="shared" si="106"/>
        <v>0</v>
      </c>
      <c r="H6075" s="28" t="e">
        <f>VLOOKUP(E6075,'Cadastro Produtos (kiwkiw)'!C:E,3,0)</f>
        <v>#N/A</v>
      </c>
    </row>
    <row r="6076" spans="7:8" ht="15" customHeight="1" x14ac:dyDescent="0.4">
      <c r="G6076" s="27">
        <f t="shared" si="106"/>
        <v>0</v>
      </c>
      <c r="H6076" s="28" t="e">
        <f>VLOOKUP(E6076,'Cadastro Produtos (kiwkiw)'!C:E,3,0)</f>
        <v>#N/A</v>
      </c>
    </row>
    <row r="6077" spans="7:8" ht="15" customHeight="1" x14ac:dyDescent="0.4">
      <c r="G6077" s="27">
        <f t="shared" si="106"/>
        <v>0</v>
      </c>
      <c r="H6077" s="28" t="e">
        <f>VLOOKUP(E6077,'Cadastro Produtos (kiwkiw)'!C:E,3,0)</f>
        <v>#N/A</v>
      </c>
    </row>
    <row r="6078" spans="7:8" ht="15" customHeight="1" x14ac:dyDescent="0.4">
      <c r="G6078" s="27">
        <f t="shared" si="106"/>
        <v>0</v>
      </c>
      <c r="H6078" s="28" t="e">
        <f>VLOOKUP(E6078,'Cadastro Produtos (kiwkiw)'!C:E,3,0)</f>
        <v>#N/A</v>
      </c>
    </row>
    <row r="6079" spans="7:8" ht="15" customHeight="1" x14ac:dyDescent="0.4">
      <c r="G6079" s="27">
        <f t="shared" si="106"/>
        <v>0</v>
      </c>
      <c r="H6079" s="28" t="e">
        <f>VLOOKUP(E6079,'Cadastro Produtos (kiwkiw)'!C:E,3,0)</f>
        <v>#N/A</v>
      </c>
    </row>
    <row r="6080" spans="7:8" ht="15" customHeight="1" x14ac:dyDescent="0.4">
      <c r="G6080" s="27">
        <f t="shared" si="106"/>
        <v>0</v>
      </c>
      <c r="H6080" s="28" t="e">
        <f>VLOOKUP(E6080,'Cadastro Produtos (kiwkiw)'!C:E,3,0)</f>
        <v>#N/A</v>
      </c>
    </row>
    <row r="6081" spans="7:8" ht="15" customHeight="1" x14ac:dyDescent="0.4">
      <c r="G6081" s="27">
        <f t="shared" si="106"/>
        <v>0</v>
      </c>
      <c r="H6081" s="28" t="e">
        <f>VLOOKUP(E6081,'Cadastro Produtos (kiwkiw)'!C:E,3,0)</f>
        <v>#N/A</v>
      </c>
    </row>
    <row r="6082" spans="7:8" ht="15" customHeight="1" x14ac:dyDescent="0.4">
      <c r="G6082" s="27">
        <f t="shared" si="106"/>
        <v>0</v>
      </c>
      <c r="H6082" s="28" t="e">
        <f>VLOOKUP(E6082,'Cadastro Produtos (kiwkiw)'!C:E,3,0)</f>
        <v>#N/A</v>
      </c>
    </row>
    <row r="6083" spans="7:8" ht="15" customHeight="1" x14ac:dyDescent="0.4">
      <c r="G6083" s="27">
        <f t="shared" si="106"/>
        <v>0</v>
      </c>
      <c r="H6083" s="28" t="e">
        <f>VLOOKUP(E6083,'Cadastro Produtos (kiwkiw)'!C:E,3,0)</f>
        <v>#N/A</v>
      </c>
    </row>
    <row r="6084" spans="7:8" ht="15" customHeight="1" x14ac:dyDescent="0.4">
      <c r="G6084" s="27">
        <f t="shared" si="106"/>
        <v>0</v>
      </c>
      <c r="H6084" s="28" t="e">
        <f>VLOOKUP(E6084,'Cadastro Produtos (kiwkiw)'!C:E,3,0)</f>
        <v>#N/A</v>
      </c>
    </row>
    <row r="6085" spans="7:8" ht="15" customHeight="1" x14ac:dyDescent="0.4">
      <c r="G6085" s="27">
        <f t="shared" si="106"/>
        <v>0</v>
      </c>
      <c r="H6085" s="28" t="e">
        <f>VLOOKUP(E6085,'Cadastro Produtos (kiwkiw)'!C:E,3,0)</f>
        <v>#N/A</v>
      </c>
    </row>
    <row r="6086" spans="7:8" ht="15" customHeight="1" x14ac:dyDescent="0.4">
      <c r="G6086" s="27">
        <f t="shared" si="106"/>
        <v>0</v>
      </c>
      <c r="H6086" s="28" t="e">
        <f>VLOOKUP(E6086,'Cadastro Produtos (kiwkiw)'!C:E,3,0)</f>
        <v>#N/A</v>
      </c>
    </row>
    <row r="6087" spans="7:8" ht="15" customHeight="1" x14ac:dyDescent="0.4">
      <c r="G6087" s="27">
        <f t="shared" si="106"/>
        <v>0</v>
      </c>
      <c r="H6087" s="28" t="e">
        <f>VLOOKUP(E6087,'Cadastro Produtos (kiwkiw)'!C:E,3,0)</f>
        <v>#N/A</v>
      </c>
    </row>
    <row r="6088" spans="7:8" ht="15" customHeight="1" x14ac:dyDescent="0.4">
      <c r="G6088" s="27">
        <f t="shared" si="106"/>
        <v>0</v>
      </c>
      <c r="H6088" s="28" t="e">
        <f>VLOOKUP(E6088,'Cadastro Produtos (kiwkiw)'!C:E,3,0)</f>
        <v>#N/A</v>
      </c>
    </row>
    <row r="6089" spans="7:8" ht="15" customHeight="1" x14ac:dyDescent="0.4">
      <c r="G6089" s="27">
        <f t="shared" si="106"/>
        <v>0</v>
      </c>
      <c r="H6089" s="28" t="e">
        <f>VLOOKUP(E6089,'Cadastro Produtos (kiwkiw)'!C:E,3,0)</f>
        <v>#N/A</v>
      </c>
    </row>
    <row r="6090" spans="7:8" ht="15" customHeight="1" x14ac:dyDescent="0.4">
      <c r="G6090" s="27">
        <f t="shared" si="106"/>
        <v>0</v>
      </c>
      <c r="H6090" s="28" t="e">
        <f>VLOOKUP(E6090,'Cadastro Produtos (kiwkiw)'!C:E,3,0)</f>
        <v>#N/A</v>
      </c>
    </row>
    <row r="6091" spans="7:8" ht="15" customHeight="1" x14ac:dyDescent="0.4">
      <c r="G6091" s="27">
        <f t="shared" si="106"/>
        <v>0</v>
      </c>
      <c r="H6091" s="28" t="e">
        <f>VLOOKUP(E6091,'Cadastro Produtos (kiwkiw)'!C:E,3,0)</f>
        <v>#N/A</v>
      </c>
    </row>
    <row r="6092" spans="7:8" ht="15" customHeight="1" x14ac:dyDescent="0.4">
      <c r="G6092" s="27">
        <f t="shared" si="106"/>
        <v>0</v>
      </c>
      <c r="H6092" s="28" t="e">
        <f>VLOOKUP(E6092,'Cadastro Produtos (kiwkiw)'!C:E,3,0)</f>
        <v>#N/A</v>
      </c>
    </row>
    <row r="6093" spans="7:8" ht="15" customHeight="1" x14ac:dyDescent="0.4">
      <c r="G6093" s="27">
        <f t="shared" si="106"/>
        <v>0</v>
      </c>
      <c r="H6093" s="28" t="e">
        <f>VLOOKUP(E6093,'Cadastro Produtos (kiwkiw)'!C:E,3,0)</f>
        <v>#N/A</v>
      </c>
    </row>
    <row r="6094" spans="7:8" ht="15" customHeight="1" x14ac:dyDescent="0.4">
      <c r="G6094" s="27">
        <f t="shared" si="106"/>
        <v>0</v>
      </c>
      <c r="H6094" s="28" t="e">
        <f>VLOOKUP(E6094,'Cadastro Produtos (kiwkiw)'!C:E,3,0)</f>
        <v>#N/A</v>
      </c>
    </row>
    <row r="6095" spans="7:8" ht="15" customHeight="1" x14ac:dyDescent="0.4">
      <c r="G6095" s="27">
        <f t="shared" si="106"/>
        <v>0</v>
      </c>
      <c r="H6095" s="28" t="e">
        <f>VLOOKUP(E6095,'Cadastro Produtos (kiwkiw)'!C:E,3,0)</f>
        <v>#N/A</v>
      </c>
    </row>
    <row r="6096" spans="7:8" ht="15" customHeight="1" x14ac:dyDescent="0.4">
      <c r="G6096" s="27">
        <f t="shared" si="106"/>
        <v>0</v>
      </c>
      <c r="H6096" s="28" t="e">
        <f>VLOOKUP(E6096,'Cadastro Produtos (kiwkiw)'!C:E,3,0)</f>
        <v>#N/A</v>
      </c>
    </row>
    <row r="6097" spans="2:8" ht="15" customHeight="1" x14ac:dyDescent="0.4">
      <c r="G6097" s="27">
        <f t="shared" si="106"/>
        <v>0</v>
      </c>
      <c r="H6097" s="28" t="e">
        <f>VLOOKUP(E6097,'Cadastro Produtos (kiwkiw)'!C:E,3,0)</f>
        <v>#N/A</v>
      </c>
    </row>
    <row r="6098" spans="2:8" ht="15" customHeight="1" x14ac:dyDescent="0.4">
      <c r="G6098" s="27">
        <f t="shared" ref="G6098:G6161" si="107">IF(C6098="Entrada",F6098,-F6098)</f>
        <v>0</v>
      </c>
      <c r="H6098" s="28" t="e">
        <f>VLOOKUP(E6098,'Cadastro Produtos (kiwkiw)'!C:E,3,0)</f>
        <v>#N/A</v>
      </c>
    </row>
    <row r="6099" spans="2:8" ht="15" customHeight="1" x14ac:dyDescent="0.4">
      <c r="G6099" s="27">
        <f t="shared" si="107"/>
        <v>0</v>
      </c>
      <c r="H6099" s="28" t="e">
        <f>VLOOKUP(E6099,'Cadastro Produtos (kiwkiw)'!C:E,3,0)</f>
        <v>#N/A</v>
      </c>
    </row>
    <row r="6100" spans="2:8" ht="15" customHeight="1" x14ac:dyDescent="0.4">
      <c r="G6100" s="27">
        <f t="shared" si="107"/>
        <v>0</v>
      </c>
      <c r="H6100" s="28" t="e">
        <f>VLOOKUP(E6100,'Cadastro Produtos (kiwkiw)'!C:E,3,0)</f>
        <v>#N/A</v>
      </c>
    </row>
    <row r="6101" spans="2:8" ht="15" customHeight="1" x14ac:dyDescent="0.4">
      <c r="G6101" s="27">
        <f t="shared" si="107"/>
        <v>0</v>
      </c>
      <c r="H6101" s="28" t="e">
        <f>VLOOKUP(E6101,'Cadastro Produtos (kiwkiw)'!C:E,3,0)</f>
        <v>#N/A</v>
      </c>
    </row>
    <row r="6102" spans="2:8" ht="15" customHeight="1" x14ac:dyDescent="0.4">
      <c r="G6102" s="27">
        <f t="shared" si="107"/>
        <v>0</v>
      </c>
      <c r="H6102" s="28" t="e">
        <f>VLOOKUP(E6102,'Cadastro Produtos (kiwkiw)'!C:E,3,0)</f>
        <v>#N/A</v>
      </c>
    </row>
    <row r="6103" spans="2:8" ht="15" customHeight="1" x14ac:dyDescent="0.4">
      <c r="G6103" s="27">
        <f t="shared" si="107"/>
        <v>0</v>
      </c>
      <c r="H6103" s="28" t="e">
        <f>VLOOKUP(E6103,'Cadastro Produtos (kiwkiw)'!C:E,3,0)</f>
        <v>#N/A</v>
      </c>
    </row>
    <row r="6104" spans="2:8" ht="15" customHeight="1" x14ac:dyDescent="0.4">
      <c r="G6104" s="27">
        <f t="shared" si="107"/>
        <v>0</v>
      </c>
      <c r="H6104" s="28" t="e">
        <f>VLOOKUP(E6104,'Cadastro Produtos (kiwkiw)'!C:E,3,0)</f>
        <v>#N/A</v>
      </c>
    </row>
    <row r="6105" spans="2:8" ht="15" customHeight="1" x14ac:dyDescent="0.4">
      <c r="G6105" s="27">
        <f t="shared" si="107"/>
        <v>0</v>
      </c>
      <c r="H6105" s="28" t="e">
        <f>VLOOKUP(E6105,'Cadastro Produtos (kiwkiw)'!C:E,3,0)</f>
        <v>#N/A</v>
      </c>
    </row>
    <row r="6106" spans="2:8" ht="15" customHeight="1" x14ac:dyDescent="0.4">
      <c r="G6106" s="27">
        <f t="shared" si="107"/>
        <v>0</v>
      </c>
      <c r="H6106" s="28" t="e">
        <f>VLOOKUP(E6106,'Cadastro Produtos (kiwkiw)'!C:E,3,0)</f>
        <v>#N/A</v>
      </c>
    </row>
    <row r="6107" spans="2:8" ht="15" customHeight="1" x14ac:dyDescent="0.4">
      <c r="G6107" s="27">
        <f t="shared" si="107"/>
        <v>0</v>
      </c>
      <c r="H6107" s="28" t="e">
        <f>VLOOKUP(E6107,'Cadastro Produtos (kiwkiw)'!C:E,3,0)</f>
        <v>#N/A</v>
      </c>
    </row>
    <row r="6108" spans="2:8" ht="15" customHeight="1" x14ac:dyDescent="0.4">
      <c r="G6108" s="27">
        <f t="shared" si="107"/>
        <v>0</v>
      </c>
      <c r="H6108" s="28" t="e">
        <f>VLOOKUP(E6108,'Cadastro Produtos (kiwkiw)'!C:E,3,0)</f>
        <v>#N/A</v>
      </c>
    </row>
    <row r="6109" spans="2:8" ht="15" customHeight="1" x14ac:dyDescent="0.4">
      <c r="G6109" s="27">
        <f t="shared" si="107"/>
        <v>0</v>
      </c>
      <c r="H6109" s="28" t="e">
        <f>VLOOKUP(E6109,'Cadastro Produtos (kiwkiw)'!C:E,3,0)</f>
        <v>#N/A</v>
      </c>
    </row>
    <row r="6110" spans="2:8" ht="15" customHeight="1" x14ac:dyDescent="0.4">
      <c r="G6110" s="27">
        <f t="shared" si="107"/>
        <v>0</v>
      </c>
      <c r="H6110" s="28" t="e">
        <f>VLOOKUP(E6110,'Cadastro Produtos (kiwkiw)'!C:E,3,0)</f>
        <v>#N/A</v>
      </c>
    </row>
    <row r="6111" spans="2:8" ht="15" customHeight="1" x14ac:dyDescent="0.4">
      <c r="G6111" s="27">
        <f t="shared" si="107"/>
        <v>0</v>
      </c>
      <c r="H6111" s="28" t="e">
        <f>VLOOKUP(E6111,'Cadastro Produtos (kiwkiw)'!C:E,3,0)</f>
        <v>#N/A</v>
      </c>
    </row>
    <row r="6112" spans="2:8" ht="15" customHeight="1" x14ac:dyDescent="0.4">
      <c r="B6112" s="43"/>
      <c r="G6112" s="27">
        <f t="shared" si="107"/>
        <v>0</v>
      </c>
      <c r="H6112" s="28" t="e">
        <f>VLOOKUP(E6112,'Cadastro Produtos (kiwkiw)'!C:E,3,0)</f>
        <v>#N/A</v>
      </c>
    </row>
    <row r="6113" spans="7:8" ht="15" customHeight="1" x14ac:dyDescent="0.4">
      <c r="G6113" s="27">
        <f t="shared" si="107"/>
        <v>0</v>
      </c>
      <c r="H6113" s="28" t="e">
        <f>VLOOKUP(E6113,'Cadastro Produtos (kiwkiw)'!C:E,3,0)</f>
        <v>#N/A</v>
      </c>
    </row>
    <row r="6114" spans="7:8" ht="15" customHeight="1" x14ac:dyDescent="0.4">
      <c r="G6114" s="27">
        <f t="shared" si="107"/>
        <v>0</v>
      </c>
      <c r="H6114" s="28" t="e">
        <f>VLOOKUP(E6114,'Cadastro Produtos (kiwkiw)'!C:E,3,0)</f>
        <v>#N/A</v>
      </c>
    </row>
    <row r="6115" spans="7:8" ht="15" customHeight="1" x14ac:dyDescent="0.4">
      <c r="G6115" s="27">
        <f t="shared" si="107"/>
        <v>0</v>
      </c>
      <c r="H6115" s="28" t="e">
        <f>VLOOKUP(E6115,'Cadastro Produtos (kiwkiw)'!C:E,3,0)</f>
        <v>#N/A</v>
      </c>
    </row>
    <row r="6116" spans="7:8" ht="15" customHeight="1" x14ac:dyDescent="0.4">
      <c r="G6116" s="27">
        <f t="shared" si="107"/>
        <v>0</v>
      </c>
      <c r="H6116" s="28" t="e">
        <f>VLOOKUP(E6116,'Cadastro Produtos (kiwkiw)'!C:E,3,0)</f>
        <v>#N/A</v>
      </c>
    </row>
    <row r="6117" spans="7:8" ht="15" customHeight="1" x14ac:dyDescent="0.4">
      <c r="G6117" s="27">
        <f t="shared" si="107"/>
        <v>0</v>
      </c>
      <c r="H6117" s="28" t="e">
        <f>VLOOKUP(E6117,'Cadastro Produtos (kiwkiw)'!C:E,3,0)</f>
        <v>#N/A</v>
      </c>
    </row>
    <row r="6118" spans="7:8" ht="15" customHeight="1" x14ac:dyDescent="0.4">
      <c r="G6118" s="27">
        <f t="shared" si="107"/>
        <v>0</v>
      </c>
      <c r="H6118" s="28" t="e">
        <f>VLOOKUP(E6118,'Cadastro Produtos (kiwkiw)'!C:E,3,0)</f>
        <v>#N/A</v>
      </c>
    </row>
    <row r="6119" spans="7:8" ht="15" customHeight="1" x14ac:dyDescent="0.4">
      <c r="G6119" s="27">
        <f t="shared" si="107"/>
        <v>0</v>
      </c>
      <c r="H6119" s="28" t="e">
        <f>VLOOKUP(E6119,'Cadastro Produtos (kiwkiw)'!C:E,3,0)</f>
        <v>#N/A</v>
      </c>
    </row>
    <row r="6120" spans="7:8" ht="15" customHeight="1" x14ac:dyDescent="0.4">
      <c r="G6120" s="27">
        <f t="shared" si="107"/>
        <v>0</v>
      </c>
      <c r="H6120" s="28" t="e">
        <f>VLOOKUP(E6120,'Cadastro Produtos (kiwkiw)'!C:E,3,0)</f>
        <v>#N/A</v>
      </c>
    </row>
    <row r="6121" spans="7:8" ht="15" customHeight="1" x14ac:dyDescent="0.4">
      <c r="G6121" s="27">
        <f t="shared" si="107"/>
        <v>0</v>
      </c>
      <c r="H6121" s="28" t="e">
        <f>VLOOKUP(E6121,'Cadastro Produtos (kiwkiw)'!C:E,3,0)</f>
        <v>#N/A</v>
      </c>
    </row>
    <row r="6122" spans="7:8" ht="15" customHeight="1" x14ac:dyDescent="0.4">
      <c r="G6122" s="27">
        <f t="shared" si="107"/>
        <v>0</v>
      </c>
      <c r="H6122" s="28" t="e">
        <f>VLOOKUP(E6122,'Cadastro Produtos (kiwkiw)'!C:E,3,0)</f>
        <v>#N/A</v>
      </c>
    </row>
    <row r="6123" spans="7:8" ht="15" customHeight="1" x14ac:dyDescent="0.4">
      <c r="G6123" s="27">
        <f t="shared" si="107"/>
        <v>0</v>
      </c>
      <c r="H6123" s="28" t="e">
        <f>VLOOKUP(E6123,'Cadastro Produtos (kiwkiw)'!C:E,3,0)</f>
        <v>#N/A</v>
      </c>
    </row>
    <row r="6124" spans="7:8" ht="15" customHeight="1" x14ac:dyDescent="0.4">
      <c r="G6124" s="27">
        <f t="shared" si="107"/>
        <v>0</v>
      </c>
      <c r="H6124" s="28" t="e">
        <f>VLOOKUP(E6124,'Cadastro Produtos (kiwkiw)'!C:E,3,0)</f>
        <v>#N/A</v>
      </c>
    </row>
    <row r="6125" spans="7:8" ht="15" customHeight="1" x14ac:dyDescent="0.4">
      <c r="G6125" s="27">
        <f t="shared" si="107"/>
        <v>0</v>
      </c>
      <c r="H6125" s="28" t="e">
        <f>VLOOKUP(E6125,'Cadastro Produtos (kiwkiw)'!C:E,3,0)</f>
        <v>#N/A</v>
      </c>
    </row>
    <row r="6126" spans="7:8" ht="15" customHeight="1" x14ac:dyDescent="0.4">
      <c r="G6126" s="27">
        <f t="shared" si="107"/>
        <v>0</v>
      </c>
      <c r="H6126" s="28" t="e">
        <f>VLOOKUP(E6126,'Cadastro Produtos (kiwkiw)'!C:E,3,0)</f>
        <v>#N/A</v>
      </c>
    </row>
    <row r="6127" spans="7:8" ht="15" customHeight="1" x14ac:dyDescent="0.4">
      <c r="G6127" s="27">
        <f t="shared" si="107"/>
        <v>0</v>
      </c>
      <c r="H6127" s="28" t="e">
        <f>VLOOKUP(E6127,'Cadastro Produtos (kiwkiw)'!C:E,3,0)</f>
        <v>#N/A</v>
      </c>
    </row>
    <row r="6128" spans="7:8" ht="15" customHeight="1" x14ac:dyDescent="0.4">
      <c r="G6128" s="27">
        <f t="shared" si="107"/>
        <v>0</v>
      </c>
      <c r="H6128" s="28" t="e">
        <f>VLOOKUP(E6128,'Cadastro Produtos (kiwkiw)'!C:E,3,0)</f>
        <v>#N/A</v>
      </c>
    </row>
    <row r="6129" spans="7:8" ht="15" customHeight="1" x14ac:dyDescent="0.4">
      <c r="G6129" s="27">
        <f t="shared" si="107"/>
        <v>0</v>
      </c>
      <c r="H6129" s="28" t="e">
        <f>VLOOKUP(E6129,'Cadastro Produtos (kiwkiw)'!C:E,3,0)</f>
        <v>#N/A</v>
      </c>
    </row>
    <row r="6130" spans="7:8" ht="15" customHeight="1" x14ac:dyDescent="0.4">
      <c r="G6130" s="27">
        <f t="shared" si="107"/>
        <v>0</v>
      </c>
      <c r="H6130" s="28" t="e">
        <f>VLOOKUP(E6130,'Cadastro Produtos (kiwkiw)'!C:E,3,0)</f>
        <v>#N/A</v>
      </c>
    </row>
    <row r="6131" spans="7:8" ht="15" customHeight="1" x14ac:dyDescent="0.4">
      <c r="G6131" s="27">
        <f t="shared" si="107"/>
        <v>0</v>
      </c>
      <c r="H6131" s="28" t="e">
        <f>VLOOKUP(E6131,'Cadastro Produtos (kiwkiw)'!C:E,3,0)</f>
        <v>#N/A</v>
      </c>
    </row>
    <row r="6132" spans="7:8" ht="15" customHeight="1" x14ac:dyDescent="0.4">
      <c r="G6132" s="27">
        <f t="shared" si="107"/>
        <v>0</v>
      </c>
      <c r="H6132" s="28" t="e">
        <f>VLOOKUP(E6132,'Cadastro Produtos (kiwkiw)'!C:E,3,0)</f>
        <v>#N/A</v>
      </c>
    </row>
    <row r="6133" spans="7:8" ht="15" customHeight="1" x14ac:dyDescent="0.4">
      <c r="G6133" s="27">
        <f t="shared" si="107"/>
        <v>0</v>
      </c>
      <c r="H6133" s="28" t="e">
        <f>VLOOKUP(E6133,'Cadastro Produtos (kiwkiw)'!C:E,3,0)</f>
        <v>#N/A</v>
      </c>
    </row>
    <row r="6134" spans="7:8" ht="15" customHeight="1" x14ac:dyDescent="0.4">
      <c r="G6134" s="27">
        <f t="shared" si="107"/>
        <v>0</v>
      </c>
      <c r="H6134" s="28" t="e">
        <f>VLOOKUP(E6134,'Cadastro Produtos (kiwkiw)'!C:E,3,0)</f>
        <v>#N/A</v>
      </c>
    </row>
    <row r="6135" spans="7:8" ht="15" customHeight="1" x14ac:dyDescent="0.4">
      <c r="G6135" s="27">
        <f t="shared" si="107"/>
        <v>0</v>
      </c>
      <c r="H6135" s="28" t="e">
        <f>VLOOKUP(E6135,'Cadastro Produtos (kiwkiw)'!C:E,3,0)</f>
        <v>#N/A</v>
      </c>
    </row>
    <row r="6136" spans="7:8" ht="15" customHeight="1" x14ac:dyDescent="0.4">
      <c r="G6136" s="27">
        <f t="shared" si="107"/>
        <v>0</v>
      </c>
      <c r="H6136" s="28" t="e">
        <f>VLOOKUP(E6136,'Cadastro Produtos (kiwkiw)'!C:E,3,0)</f>
        <v>#N/A</v>
      </c>
    </row>
    <row r="6137" spans="7:8" ht="15" customHeight="1" x14ac:dyDescent="0.4">
      <c r="G6137" s="27">
        <f t="shared" si="107"/>
        <v>0</v>
      </c>
      <c r="H6137" s="28" t="e">
        <f>VLOOKUP(E6137,'Cadastro Produtos (kiwkiw)'!C:E,3,0)</f>
        <v>#N/A</v>
      </c>
    </row>
    <row r="6138" spans="7:8" ht="15" customHeight="1" x14ac:dyDescent="0.4">
      <c r="G6138" s="27">
        <f t="shared" si="107"/>
        <v>0</v>
      </c>
      <c r="H6138" s="28" t="e">
        <f>VLOOKUP(E6138,'Cadastro Produtos (kiwkiw)'!C:E,3,0)</f>
        <v>#N/A</v>
      </c>
    </row>
    <row r="6139" spans="7:8" ht="15" customHeight="1" x14ac:dyDescent="0.4">
      <c r="G6139" s="27">
        <f t="shared" si="107"/>
        <v>0</v>
      </c>
      <c r="H6139" s="28" t="e">
        <f>VLOOKUP(E6139,'Cadastro Produtos (kiwkiw)'!C:E,3,0)</f>
        <v>#N/A</v>
      </c>
    </row>
    <row r="6140" spans="7:8" ht="15" customHeight="1" x14ac:dyDescent="0.4">
      <c r="G6140" s="27">
        <f t="shared" si="107"/>
        <v>0</v>
      </c>
      <c r="H6140" s="28" t="e">
        <f>VLOOKUP(E6140,'Cadastro Produtos (kiwkiw)'!C:E,3,0)</f>
        <v>#N/A</v>
      </c>
    </row>
    <row r="6141" spans="7:8" ht="15" customHeight="1" x14ac:dyDescent="0.4">
      <c r="G6141" s="27">
        <f t="shared" si="107"/>
        <v>0</v>
      </c>
      <c r="H6141" s="28" t="e">
        <f>VLOOKUP(E6141,'Cadastro Produtos (kiwkiw)'!C:E,3,0)</f>
        <v>#N/A</v>
      </c>
    </row>
    <row r="6142" spans="7:8" ht="15" customHeight="1" x14ac:dyDescent="0.4">
      <c r="G6142" s="27">
        <f t="shared" si="107"/>
        <v>0</v>
      </c>
      <c r="H6142" s="28" t="e">
        <f>VLOOKUP(E6142,'Cadastro Produtos (kiwkiw)'!C:E,3,0)</f>
        <v>#N/A</v>
      </c>
    </row>
    <row r="6143" spans="7:8" ht="15" customHeight="1" x14ac:dyDescent="0.4">
      <c r="G6143" s="27">
        <f t="shared" si="107"/>
        <v>0</v>
      </c>
      <c r="H6143" s="28" t="e">
        <f>VLOOKUP(E6143,'Cadastro Produtos (kiwkiw)'!C:E,3,0)</f>
        <v>#N/A</v>
      </c>
    </row>
    <row r="6144" spans="7:8" ht="15" customHeight="1" x14ac:dyDescent="0.4">
      <c r="G6144" s="27">
        <f t="shared" si="107"/>
        <v>0</v>
      </c>
      <c r="H6144" s="28" t="e">
        <f>VLOOKUP(E6144,'Cadastro Produtos (kiwkiw)'!C:E,3,0)</f>
        <v>#N/A</v>
      </c>
    </row>
    <row r="6145" spans="7:8" ht="15" customHeight="1" x14ac:dyDescent="0.4">
      <c r="G6145" s="27">
        <f t="shared" si="107"/>
        <v>0</v>
      </c>
      <c r="H6145" s="28" t="e">
        <f>VLOOKUP(E6145,'Cadastro Produtos (kiwkiw)'!C:E,3,0)</f>
        <v>#N/A</v>
      </c>
    </row>
    <row r="6146" spans="7:8" ht="15" customHeight="1" x14ac:dyDescent="0.4">
      <c r="G6146" s="27">
        <f t="shared" si="107"/>
        <v>0</v>
      </c>
      <c r="H6146" s="28" t="e">
        <f>VLOOKUP(E6146,'Cadastro Produtos (kiwkiw)'!C:E,3,0)</f>
        <v>#N/A</v>
      </c>
    </row>
    <row r="6147" spans="7:8" ht="15" customHeight="1" x14ac:dyDescent="0.4">
      <c r="G6147" s="27">
        <f t="shared" si="107"/>
        <v>0</v>
      </c>
      <c r="H6147" s="28" t="e">
        <f>VLOOKUP(E6147,'Cadastro Produtos (kiwkiw)'!C:E,3,0)</f>
        <v>#N/A</v>
      </c>
    </row>
    <row r="6148" spans="7:8" ht="15" customHeight="1" x14ac:dyDescent="0.4">
      <c r="G6148" s="27">
        <f t="shared" si="107"/>
        <v>0</v>
      </c>
      <c r="H6148" s="28" t="e">
        <f>VLOOKUP(E6148,'Cadastro Produtos (kiwkiw)'!C:E,3,0)</f>
        <v>#N/A</v>
      </c>
    </row>
    <row r="6149" spans="7:8" ht="15" customHeight="1" x14ac:dyDescent="0.4">
      <c r="G6149" s="27">
        <f t="shared" si="107"/>
        <v>0</v>
      </c>
      <c r="H6149" s="28" t="e">
        <f>VLOOKUP(E6149,'Cadastro Produtos (kiwkiw)'!C:E,3,0)</f>
        <v>#N/A</v>
      </c>
    </row>
    <row r="6150" spans="7:8" ht="15" customHeight="1" x14ac:dyDescent="0.4">
      <c r="G6150" s="27">
        <f t="shared" si="107"/>
        <v>0</v>
      </c>
      <c r="H6150" s="28" t="e">
        <f>VLOOKUP(E6150,'Cadastro Produtos (kiwkiw)'!C:E,3,0)</f>
        <v>#N/A</v>
      </c>
    </row>
    <row r="6151" spans="7:8" ht="15" customHeight="1" x14ac:dyDescent="0.4">
      <c r="G6151" s="27">
        <f t="shared" si="107"/>
        <v>0</v>
      </c>
      <c r="H6151" s="28" t="e">
        <f>VLOOKUP(E6151,'Cadastro Produtos (kiwkiw)'!C:E,3,0)</f>
        <v>#N/A</v>
      </c>
    </row>
    <row r="6152" spans="7:8" ht="15" customHeight="1" x14ac:dyDescent="0.4">
      <c r="G6152" s="27">
        <f t="shared" si="107"/>
        <v>0</v>
      </c>
      <c r="H6152" s="28" t="e">
        <f>VLOOKUP(E6152,'Cadastro Produtos (kiwkiw)'!C:E,3,0)</f>
        <v>#N/A</v>
      </c>
    </row>
    <row r="6153" spans="7:8" ht="15" customHeight="1" x14ac:dyDescent="0.4">
      <c r="G6153" s="27">
        <f t="shared" si="107"/>
        <v>0</v>
      </c>
      <c r="H6153" s="28" t="e">
        <f>VLOOKUP(E6153,'Cadastro Produtos (kiwkiw)'!C:E,3,0)</f>
        <v>#N/A</v>
      </c>
    </row>
    <row r="6154" spans="7:8" ht="15" customHeight="1" x14ac:dyDescent="0.4">
      <c r="G6154" s="27">
        <f t="shared" si="107"/>
        <v>0</v>
      </c>
      <c r="H6154" s="28" t="e">
        <f>VLOOKUP(E6154,'Cadastro Produtos (kiwkiw)'!C:E,3,0)</f>
        <v>#N/A</v>
      </c>
    </row>
    <row r="6155" spans="7:8" ht="15" customHeight="1" x14ac:dyDescent="0.4">
      <c r="G6155" s="27">
        <f t="shared" si="107"/>
        <v>0</v>
      </c>
      <c r="H6155" s="28" t="e">
        <f>VLOOKUP(E6155,'Cadastro Produtos (kiwkiw)'!C:E,3,0)</f>
        <v>#N/A</v>
      </c>
    </row>
    <row r="6156" spans="7:8" ht="15" customHeight="1" x14ac:dyDescent="0.4">
      <c r="G6156" s="27">
        <f t="shared" si="107"/>
        <v>0</v>
      </c>
      <c r="H6156" s="28" t="e">
        <f>VLOOKUP(E6156,'Cadastro Produtos (kiwkiw)'!C:E,3,0)</f>
        <v>#N/A</v>
      </c>
    </row>
    <row r="6157" spans="7:8" ht="15" customHeight="1" x14ac:dyDescent="0.4">
      <c r="G6157" s="27">
        <f t="shared" si="107"/>
        <v>0</v>
      </c>
      <c r="H6157" s="28" t="e">
        <f>VLOOKUP(E6157,'Cadastro Produtos (kiwkiw)'!C:E,3,0)</f>
        <v>#N/A</v>
      </c>
    </row>
    <row r="6158" spans="7:8" ht="15" customHeight="1" x14ac:dyDescent="0.4">
      <c r="G6158" s="27">
        <f t="shared" si="107"/>
        <v>0</v>
      </c>
      <c r="H6158" s="28" t="e">
        <f>VLOOKUP(E6158,'Cadastro Produtos (kiwkiw)'!C:E,3,0)</f>
        <v>#N/A</v>
      </c>
    </row>
    <row r="6159" spans="7:8" ht="15" customHeight="1" x14ac:dyDescent="0.4">
      <c r="G6159" s="27">
        <f t="shared" si="107"/>
        <v>0</v>
      </c>
      <c r="H6159" s="28" t="e">
        <f>VLOOKUP(E6159,'Cadastro Produtos (kiwkiw)'!C:E,3,0)</f>
        <v>#N/A</v>
      </c>
    </row>
    <row r="6160" spans="7:8" ht="15" customHeight="1" x14ac:dyDescent="0.4">
      <c r="G6160" s="27">
        <f t="shared" si="107"/>
        <v>0</v>
      </c>
      <c r="H6160" s="28" t="e">
        <f>VLOOKUP(E6160,'Cadastro Produtos (kiwkiw)'!C:E,3,0)</f>
        <v>#N/A</v>
      </c>
    </row>
    <row r="6161" spans="2:8" ht="15" customHeight="1" x14ac:dyDescent="0.4">
      <c r="G6161" s="27">
        <f t="shared" si="107"/>
        <v>0</v>
      </c>
      <c r="H6161" s="28" t="e">
        <f>VLOOKUP(E6161,'Cadastro Produtos (kiwkiw)'!C:E,3,0)</f>
        <v>#N/A</v>
      </c>
    </row>
    <row r="6162" spans="2:8" ht="15" customHeight="1" x14ac:dyDescent="0.4">
      <c r="G6162" s="27">
        <f t="shared" ref="G6162:G6225" si="108">IF(C6162="Entrada",F6162,-F6162)</f>
        <v>0</v>
      </c>
      <c r="H6162" s="28" t="e">
        <f>VLOOKUP(E6162,'Cadastro Produtos (kiwkiw)'!C:E,3,0)</f>
        <v>#N/A</v>
      </c>
    </row>
    <row r="6163" spans="2:8" ht="15" customHeight="1" x14ac:dyDescent="0.4">
      <c r="B6163" s="43"/>
      <c r="G6163" s="27">
        <f t="shared" si="108"/>
        <v>0</v>
      </c>
      <c r="H6163" s="28" t="e">
        <f>VLOOKUP(E6163,'Cadastro Produtos (kiwkiw)'!C:E,3,0)</f>
        <v>#N/A</v>
      </c>
    </row>
    <row r="6164" spans="2:8" ht="15" customHeight="1" x14ac:dyDescent="0.4">
      <c r="G6164" s="27">
        <f t="shared" si="108"/>
        <v>0</v>
      </c>
      <c r="H6164" s="28" t="e">
        <f>VLOOKUP(E6164,'Cadastro Produtos (kiwkiw)'!C:E,3,0)</f>
        <v>#N/A</v>
      </c>
    </row>
    <row r="6165" spans="2:8" ht="15" customHeight="1" x14ac:dyDescent="0.4">
      <c r="G6165" s="27">
        <f t="shared" si="108"/>
        <v>0</v>
      </c>
      <c r="H6165" s="28" t="e">
        <f>VLOOKUP(E6165,'Cadastro Produtos (kiwkiw)'!C:E,3,0)</f>
        <v>#N/A</v>
      </c>
    </row>
    <row r="6166" spans="2:8" ht="15" customHeight="1" x14ac:dyDescent="0.4">
      <c r="G6166" s="27">
        <f t="shared" si="108"/>
        <v>0</v>
      </c>
      <c r="H6166" s="28" t="e">
        <f>VLOOKUP(E6166,'Cadastro Produtos (kiwkiw)'!C:E,3,0)</f>
        <v>#N/A</v>
      </c>
    </row>
    <row r="6167" spans="2:8" ht="15" customHeight="1" x14ac:dyDescent="0.4">
      <c r="G6167" s="27">
        <f t="shared" si="108"/>
        <v>0</v>
      </c>
      <c r="H6167" s="28" t="e">
        <f>VLOOKUP(E6167,'Cadastro Produtos (kiwkiw)'!C:E,3,0)</f>
        <v>#N/A</v>
      </c>
    </row>
    <row r="6168" spans="2:8" ht="15" customHeight="1" x14ac:dyDescent="0.4">
      <c r="G6168" s="27">
        <f t="shared" si="108"/>
        <v>0</v>
      </c>
      <c r="H6168" s="28" t="e">
        <f>VLOOKUP(E6168,'Cadastro Produtos (kiwkiw)'!C:E,3,0)</f>
        <v>#N/A</v>
      </c>
    </row>
    <row r="6169" spans="2:8" ht="15" customHeight="1" x14ac:dyDescent="0.4">
      <c r="G6169" s="27">
        <f t="shared" si="108"/>
        <v>0</v>
      </c>
      <c r="H6169" s="28" t="e">
        <f>VLOOKUP(E6169,'Cadastro Produtos (kiwkiw)'!C:E,3,0)</f>
        <v>#N/A</v>
      </c>
    </row>
    <row r="6170" spans="2:8" ht="15" customHeight="1" x14ac:dyDescent="0.4">
      <c r="G6170" s="27">
        <f t="shared" si="108"/>
        <v>0</v>
      </c>
      <c r="H6170" s="28" t="e">
        <f>VLOOKUP(E6170,'Cadastro Produtos (kiwkiw)'!C:E,3,0)</f>
        <v>#N/A</v>
      </c>
    </row>
    <row r="6171" spans="2:8" ht="15" customHeight="1" x14ac:dyDescent="0.4">
      <c r="G6171" s="27">
        <f t="shared" si="108"/>
        <v>0</v>
      </c>
      <c r="H6171" s="28" t="e">
        <f>VLOOKUP(E6171,'Cadastro Produtos (kiwkiw)'!C:E,3,0)</f>
        <v>#N/A</v>
      </c>
    </row>
    <row r="6172" spans="2:8" ht="15" customHeight="1" x14ac:dyDescent="0.4">
      <c r="G6172" s="27">
        <f t="shared" si="108"/>
        <v>0</v>
      </c>
      <c r="H6172" s="28" t="e">
        <f>VLOOKUP(E6172,'Cadastro Produtos (kiwkiw)'!C:E,3,0)</f>
        <v>#N/A</v>
      </c>
    </row>
    <row r="6173" spans="2:8" ht="15" customHeight="1" x14ac:dyDescent="0.4">
      <c r="G6173" s="27">
        <f t="shared" si="108"/>
        <v>0</v>
      </c>
      <c r="H6173" s="28" t="e">
        <f>VLOOKUP(E6173,'Cadastro Produtos (kiwkiw)'!C:E,3,0)</f>
        <v>#N/A</v>
      </c>
    </row>
    <row r="6174" spans="2:8" ht="15" customHeight="1" x14ac:dyDescent="0.4">
      <c r="G6174" s="27">
        <f t="shared" si="108"/>
        <v>0</v>
      </c>
      <c r="H6174" s="28" t="e">
        <f>VLOOKUP(E6174,'Cadastro Produtos (kiwkiw)'!C:E,3,0)</f>
        <v>#N/A</v>
      </c>
    </row>
    <row r="6175" spans="2:8" ht="15" customHeight="1" x14ac:dyDescent="0.4">
      <c r="G6175" s="27">
        <f t="shared" si="108"/>
        <v>0</v>
      </c>
      <c r="H6175" s="28" t="e">
        <f>VLOOKUP(E6175,'Cadastro Produtos (kiwkiw)'!C:E,3,0)</f>
        <v>#N/A</v>
      </c>
    </row>
    <row r="6176" spans="2:8" ht="15" customHeight="1" x14ac:dyDescent="0.4">
      <c r="G6176" s="27">
        <f t="shared" si="108"/>
        <v>0</v>
      </c>
      <c r="H6176" s="28" t="e">
        <f>VLOOKUP(E6176,'Cadastro Produtos (kiwkiw)'!C:E,3,0)</f>
        <v>#N/A</v>
      </c>
    </row>
    <row r="6177" spans="7:8" ht="15" customHeight="1" x14ac:dyDescent="0.4">
      <c r="G6177" s="27">
        <f t="shared" si="108"/>
        <v>0</v>
      </c>
      <c r="H6177" s="28" t="e">
        <f>VLOOKUP(E6177,'Cadastro Produtos (kiwkiw)'!C:E,3,0)</f>
        <v>#N/A</v>
      </c>
    </row>
    <row r="6178" spans="7:8" ht="15" customHeight="1" x14ac:dyDescent="0.4">
      <c r="G6178" s="27">
        <f t="shared" si="108"/>
        <v>0</v>
      </c>
      <c r="H6178" s="28" t="e">
        <f>VLOOKUP(E6178,'Cadastro Produtos (kiwkiw)'!C:E,3,0)</f>
        <v>#N/A</v>
      </c>
    </row>
    <row r="6179" spans="7:8" ht="15" customHeight="1" x14ac:dyDescent="0.4">
      <c r="G6179" s="27">
        <f t="shared" si="108"/>
        <v>0</v>
      </c>
      <c r="H6179" s="28" t="e">
        <f>VLOOKUP(E6179,'Cadastro Produtos (kiwkiw)'!C:E,3,0)</f>
        <v>#N/A</v>
      </c>
    </row>
    <row r="6180" spans="7:8" ht="15" customHeight="1" x14ac:dyDescent="0.4">
      <c r="G6180" s="27">
        <f t="shared" si="108"/>
        <v>0</v>
      </c>
      <c r="H6180" s="28" t="e">
        <f>VLOOKUP(E6180,'Cadastro Produtos (kiwkiw)'!C:E,3,0)</f>
        <v>#N/A</v>
      </c>
    </row>
    <row r="6181" spans="7:8" ht="15" customHeight="1" x14ac:dyDescent="0.4">
      <c r="G6181" s="27">
        <f t="shared" si="108"/>
        <v>0</v>
      </c>
      <c r="H6181" s="28" t="e">
        <f>VLOOKUP(E6181,'Cadastro Produtos (kiwkiw)'!C:E,3,0)</f>
        <v>#N/A</v>
      </c>
    </row>
    <row r="6182" spans="7:8" ht="15" customHeight="1" x14ac:dyDescent="0.4">
      <c r="G6182" s="27">
        <f t="shared" si="108"/>
        <v>0</v>
      </c>
      <c r="H6182" s="28" t="e">
        <f>VLOOKUP(E6182,'Cadastro Produtos (kiwkiw)'!C:E,3,0)</f>
        <v>#N/A</v>
      </c>
    </row>
    <row r="6183" spans="7:8" ht="15" customHeight="1" x14ac:dyDescent="0.4">
      <c r="G6183" s="27">
        <f t="shared" si="108"/>
        <v>0</v>
      </c>
      <c r="H6183" s="28" t="e">
        <f>VLOOKUP(E6183,'Cadastro Produtos (kiwkiw)'!C:E,3,0)</f>
        <v>#N/A</v>
      </c>
    </row>
    <row r="6184" spans="7:8" ht="15" customHeight="1" x14ac:dyDescent="0.4">
      <c r="G6184" s="27">
        <f t="shared" si="108"/>
        <v>0</v>
      </c>
      <c r="H6184" s="28" t="e">
        <f>VLOOKUP(E6184,'Cadastro Produtos (kiwkiw)'!C:E,3,0)</f>
        <v>#N/A</v>
      </c>
    </row>
    <row r="6185" spans="7:8" ht="15" customHeight="1" x14ac:dyDescent="0.4">
      <c r="G6185" s="27">
        <f t="shared" si="108"/>
        <v>0</v>
      </c>
      <c r="H6185" s="28" t="e">
        <f>VLOOKUP(E6185,'Cadastro Produtos (kiwkiw)'!C:E,3,0)</f>
        <v>#N/A</v>
      </c>
    </row>
    <row r="6186" spans="7:8" ht="15" customHeight="1" x14ac:dyDescent="0.4">
      <c r="G6186" s="27">
        <f t="shared" si="108"/>
        <v>0</v>
      </c>
      <c r="H6186" s="28" t="e">
        <f>VLOOKUP(E6186,'Cadastro Produtos (kiwkiw)'!C:E,3,0)</f>
        <v>#N/A</v>
      </c>
    </row>
    <row r="6187" spans="7:8" ht="15" customHeight="1" x14ac:dyDescent="0.4">
      <c r="G6187" s="27">
        <f t="shared" si="108"/>
        <v>0</v>
      </c>
      <c r="H6187" s="28" t="e">
        <f>VLOOKUP(E6187,'Cadastro Produtos (kiwkiw)'!C:E,3,0)</f>
        <v>#N/A</v>
      </c>
    </row>
    <row r="6188" spans="7:8" ht="15" customHeight="1" x14ac:dyDescent="0.4">
      <c r="G6188" s="27">
        <f t="shared" si="108"/>
        <v>0</v>
      </c>
      <c r="H6188" s="28" t="e">
        <f>VLOOKUP(E6188,'Cadastro Produtos (kiwkiw)'!C:E,3,0)</f>
        <v>#N/A</v>
      </c>
    </row>
    <row r="6189" spans="7:8" ht="15" customHeight="1" x14ac:dyDescent="0.4">
      <c r="G6189" s="27">
        <f t="shared" si="108"/>
        <v>0</v>
      </c>
      <c r="H6189" s="28" t="e">
        <f>VLOOKUP(E6189,'Cadastro Produtos (kiwkiw)'!C:E,3,0)</f>
        <v>#N/A</v>
      </c>
    </row>
    <row r="6190" spans="7:8" ht="15" customHeight="1" x14ac:dyDescent="0.4">
      <c r="G6190" s="27">
        <f t="shared" si="108"/>
        <v>0</v>
      </c>
      <c r="H6190" s="28" t="e">
        <f>VLOOKUP(E6190,'Cadastro Produtos (kiwkiw)'!C:E,3,0)</f>
        <v>#N/A</v>
      </c>
    </row>
    <row r="6191" spans="7:8" ht="15" customHeight="1" x14ac:dyDescent="0.4">
      <c r="G6191" s="27">
        <f t="shared" si="108"/>
        <v>0</v>
      </c>
      <c r="H6191" s="28" t="e">
        <f>VLOOKUP(E6191,'Cadastro Produtos (kiwkiw)'!C:E,3,0)</f>
        <v>#N/A</v>
      </c>
    </row>
    <row r="6192" spans="7:8" ht="15" customHeight="1" x14ac:dyDescent="0.4">
      <c r="G6192" s="27">
        <f t="shared" si="108"/>
        <v>0</v>
      </c>
      <c r="H6192" s="28" t="e">
        <f>VLOOKUP(E6192,'Cadastro Produtos (kiwkiw)'!C:E,3,0)</f>
        <v>#N/A</v>
      </c>
    </row>
    <row r="6193" spans="7:8" ht="15" customHeight="1" x14ac:dyDescent="0.4">
      <c r="G6193" s="27">
        <f t="shared" si="108"/>
        <v>0</v>
      </c>
      <c r="H6193" s="28" t="e">
        <f>VLOOKUP(E6193,'Cadastro Produtos (kiwkiw)'!C:E,3,0)</f>
        <v>#N/A</v>
      </c>
    </row>
    <row r="6194" spans="7:8" ht="15" customHeight="1" x14ac:dyDescent="0.4">
      <c r="G6194" s="27">
        <f t="shared" si="108"/>
        <v>0</v>
      </c>
      <c r="H6194" s="28" t="e">
        <f>VLOOKUP(E6194,'Cadastro Produtos (kiwkiw)'!C:E,3,0)</f>
        <v>#N/A</v>
      </c>
    </row>
    <row r="6195" spans="7:8" ht="15" customHeight="1" x14ac:dyDescent="0.4">
      <c r="G6195" s="27">
        <f t="shared" si="108"/>
        <v>0</v>
      </c>
      <c r="H6195" s="28" t="e">
        <f>VLOOKUP(E6195,'Cadastro Produtos (kiwkiw)'!C:E,3,0)</f>
        <v>#N/A</v>
      </c>
    </row>
    <row r="6196" spans="7:8" ht="15" customHeight="1" x14ac:dyDescent="0.4">
      <c r="G6196" s="27">
        <f t="shared" si="108"/>
        <v>0</v>
      </c>
      <c r="H6196" s="28" t="e">
        <f>VLOOKUP(E6196,'Cadastro Produtos (kiwkiw)'!C:E,3,0)</f>
        <v>#N/A</v>
      </c>
    </row>
    <row r="6197" spans="7:8" ht="15" customHeight="1" x14ac:dyDescent="0.4">
      <c r="G6197" s="27">
        <f t="shared" si="108"/>
        <v>0</v>
      </c>
      <c r="H6197" s="28" t="e">
        <f>VLOOKUP(E6197,'Cadastro Produtos (kiwkiw)'!C:E,3,0)</f>
        <v>#N/A</v>
      </c>
    </row>
    <row r="6198" spans="7:8" ht="15" customHeight="1" x14ac:dyDescent="0.4">
      <c r="G6198" s="27">
        <f t="shared" si="108"/>
        <v>0</v>
      </c>
      <c r="H6198" s="28" t="e">
        <f>VLOOKUP(E6198,'Cadastro Produtos (kiwkiw)'!C:E,3,0)</f>
        <v>#N/A</v>
      </c>
    </row>
    <row r="6199" spans="7:8" ht="15" customHeight="1" x14ac:dyDescent="0.4">
      <c r="G6199" s="27">
        <f t="shared" si="108"/>
        <v>0</v>
      </c>
      <c r="H6199" s="28" t="e">
        <f>VLOOKUP(E6199,'Cadastro Produtos (kiwkiw)'!C:E,3,0)</f>
        <v>#N/A</v>
      </c>
    </row>
    <row r="6200" spans="7:8" ht="15" customHeight="1" x14ac:dyDescent="0.4">
      <c r="G6200" s="27">
        <f t="shared" si="108"/>
        <v>0</v>
      </c>
      <c r="H6200" s="28" t="e">
        <f>VLOOKUP(E6200,'Cadastro Produtos (kiwkiw)'!C:E,3,0)</f>
        <v>#N/A</v>
      </c>
    </row>
    <row r="6201" spans="7:8" ht="15" customHeight="1" x14ac:dyDescent="0.4">
      <c r="G6201" s="27">
        <f t="shared" si="108"/>
        <v>0</v>
      </c>
      <c r="H6201" s="28" t="e">
        <f>VLOOKUP(E6201,'Cadastro Produtos (kiwkiw)'!C:E,3,0)</f>
        <v>#N/A</v>
      </c>
    </row>
    <row r="6202" spans="7:8" ht="15" customHeight="1" x14ac:dyDescent="0.4">
      <c r="G6202" s="27">
        <f t="shared" si="108"/>
        <v>0</v>
      </c>
      <c r="H6202" s="28" t="e">
        <f>VLOOKUP(E6202,'Cadastro Produtos (kiwkiw)'!C:E,3,0)</f>
        <v>#N/A</v>
      </c>
    </row>
    <row r="6203" spans="7:8" ht="15" customHeight="1" x14ac:dyDescent="0.4">
      <c r="G6203" s="27">
        <f t="shared" si="108"/>
        <v>0</v>
      </c>
      <c r="H6203" s="28" t="e">
        <f>VLOOKUP(E6203,'Cadastro Produtos (kiwkiw)'!C:E,3,0)</f>
        <v>#N/A</v>
      </c>
    </row>
    <row r="6204" spans="7:8" ht="15" customHeight="1" x14ac:dyDescent="0.4">
      <c r="G6204" s="27">
        <f t="shared" si="108"/>
        <v>0</v>
      </c>
      <c r="H6204" s="28" t="e">
        <f>VLOOKUP(E6204,'Cadastro Produtos (kiwkiw)'!C:E,3,0)</f>
        <v>#N/A</v>
      </c>
    </row>
    <row r="6205" spans="7:8" ht="15" customHeight="1" x14ac:dyDescent="0.4">
      <c r="G6205" s="27">
        <f t="shared" si="108"/>
        <v>0</v>
      </c>
      <c r="H6205" s="28" t="e">
        <f>VLOOKUP(E6205,'Cadastro Produtos (kiwkiw)'!C:E,3,0)</f>
        <v>#N/A</v>
      </c>
    </row>
    <row r="6206" spans="7:8" ht="15" customHeight="1" x14ac:dyDescent="0.4">
      <c r="G6206" s="27">
        <f t="shared" si="108"/>
        <v>0</v>
      </c>
      <c r="H6206" s="28" t="e">
        <f>VLOOKUP(E6206,'Cadastro Produtos (kiwkiw)'!C:E,3,0)</f>
        <v>#N/A</v>
      </c>
    </row>
    <row r="6207" spans="7:8" ht="15" customHeight="1" x14ac:dyDescent="0.4">
      <c r="G6207" s="27">
        <f t="shared" si="108"/>
        <v>0</v>
      </c>
      <c r="H6207" s="28" t="e">
        <f>VLOOKUP(E6207,'Cadastro Produtos (kiwkiw)'!C:E,3,0)</f>
        <v>#N/A</v>
      </c>
    </row>
    <row r="6208" spans="7:8" ht="15" customHeight="1" x14ac:dyDescent="0.4">
      <c r="G6208" s="27">
        <f t="shared" si="108"/>
        <v>0</v>
      </c>
      <c r="H6208" s="28" t="e">
        <f>VLOOKUP(E6208,'Cadastro Produtos (kiwkiw)'!C:E,3,0)</f>
        <v>#N/A</v>
      </c>
    </row>
    <row r="6209" spans="7:8" ht="15" customHeight="1" x14ac:dyDescent="0.4">
      <c r="G6209" s="27">
        <f t="shared" si="108"/>
        <v>0</v>
      </c>
      <c r="H6209" s="28" t="e">
        <f>VLOOKUP(E6209,'Cadastro Produtos (kiwkiw)'!C:E,3,0)</f>
        <v>#N/A</v>
      </c>
    </row>
    <row r="6210" spans="7:8" ht="15" customHeight="1" x14ac:dyDescent="0.4">
      <c r="G6210" s="27">
        <f t="shared" si="108"/>
        <v>0</v>
      </c>
      <c r="H6210" s="28" t="e">
        <f>VLOOKUP(E6210,'Cadastro Produtos (kiwkiw)'!C:E,3,0)</f>
        <v>#N/A</v>
      </c>
    </row>
    <row r="6211" spans="7:8" ht="15" customHeight="1" x14ac:dyDescent="0.4">
      <c r="G6211" s="27">
        <f t="shared" si="108"/>
        <v>0</v>
      </c>
      <c r="H6211" s="28" t="e">
        <f>VLOOKUP(E6211,'Cadastro Produtos (kiwkiw)'!C:E,3,0)</f>
        <v>#N/A</v>
      </c>
    </row>
    <row r="6212" spans="7:8" ht="15" customHeight="1" x14ac:dyDescent="0.4">
      <c r="G6212" s="27">
        <f t="shared" si="108"/>
        <v>0</v>
      </c>
      <c r="H6212" s="28" t="e">
        <f>VLOOKUP(E6212,'Cadastro Produtos (kiwkiw)'!C:E,3,0)</f>
        <v>#N/A</v>
      </c>
    </row>
    <row r="6213" spans="7:8" ht="15" customHeight="1" x14ac:dyDescent="0.4">
      <c r="G6213" s="27">
        <f t="shared" si="108"/>
        <v>0</v>
      </c>
      <c r="H6213" s="28" t="e">
        <f>VLOOKUP(E6213,'Cadastro Produtos (kiwkiw)'!C:E,3,0)</f>
        <v>#N/A</v>
      </c>
    </row>
    <row r="6214" spans="7:8" ht="15" customHeight="1" x14ac:dyDescent="0.4">
      <c r="G6214" s="27">
        <f t="shared" si="108"/>
        <v>0</v>
      </c>
      <c r="H6214" s="28" t="e">
        <f>VLOOKUP(E6214,'Cadastro Produtos (kiwkiw)'!C:E,3,0)</f>
        <v>#N/A</v>
      </c>
    </row>
    <row r="6215" spans="7:8" ht="15" customHeight="1" x14ac:dyDescent="0.4">
      <c r="G6215" s="27">
        <f t="shared" si="108"/>
        <v>0</v>
      </c>
      <c r="H6215" s="28" t="e">
        <f>VLOOKUP(E6215,'Cadastro Produtos (kiwkiw)'!C:E,3,0)</f>
        <v>#N/A</v>
      </c>
    </row>
    <row r="6216" spans="7:8" ht="15" customHeight="1" x14ac:dyDescent="0.4">
      <c r="G6216" s="27">
        <f t="shared" si="108"/>
        <v>0</v>
      </c>
      <c r="H6216" s="28" t="e">
        <f>VLOOKUP(E6216,'Cadastro Produtos (kiwkiw)'!C:E,3,0)</f>
        <v>#N/A</v>
      </c>
    </row>
    <row r="6217" spans="7:8" ht="15" customHeight="1" x14ac:dyDescent="0.4">
      <c r="G6217" s="27">
        <f t="shared" si="108"/>
        <v>0</v>
      </c>
      <c r="H6217" s="28" t="e">
        <f>VLOOKUP(E6217,'Cadastro Produtos (kiwkiw)'!C:E,3,0)</f>
        <v>#N/A</v>
      </c>
    </row>
    <row r="6218" spans="7:8" ht="15" customHeight="1" x14ac:dyDescent="0.4">
      <c r="G6218" s="27">
        <f t="shared" si="108"/>
        <v>0</v>
      </c>
      <c r="H6218" s="28" t="e">
        <f>VLOOKUP(E6218,'Cadastro Produtos (kiwkiw)'!C:E,3,0)</f>
        <v>#N/A</v>
      </c>
    </row>
    <row r="6219" spans="7:8" ht="15" customHeight="1" x14ac:dyDescent="0.4">
      <c r="G6219" s="27">
        <f t="shared" si="108"/>
        <v>0</v>
      </c>
      <c r="H6219" s="28" t="e">
        <f>VLOOKUP(E6219,'Cadastro Produtos (kiwkiw)'!C:E,3,0)</f>
        <v>#N/A</v>
      </c>
    </row>
    <row r="6220" spans="7:8" ht="15" customHeight="1" x14ac:dyDescent="0.4">
      <c r="G6220" s="27">
        <f t="shared" si="108"/>
        <v>0</v>
      </c>
      <c r="H6220" s="28" t="e">
        <f>VLOOKUP(E6220,'Cadastro Produtos (kiwkiw)'!C:E,3,0)</f>
        <v>#N/A</v>
      </c>
    </row>
    <row r="6221" spans="7:8" ht="15" customHeight="1" x14ac:dyDescent="0.4">
      <c r="G6221" s="27">
        <f t="shared" si="108"/>
        <v>0</v>
      </c>
      <c r="H6221" s="28" t="e">
        <f>VLOOKUP(E6221,'Cadastro Produtos (kiwkiw)'!C:E,3,0)</f>
        <v>#N/A</v>
      </c>
    </row>
    <row r="6222" spans="7:8" ht="15" customHeight="1" x14ac:dyDescent="0.4">
      <c r="G6222" s="27">
        <f t="shared" si="108"/>
        <v>0</v>
      </c>
      <c r="H6222" s="28" t="e">
        <f>VLOOKUP(E6222,'Cadastro Produtos (kiwkiw)'!C:E,3,0)</f>
        <v>#N/A</v>
      </c>
    </row>
    <row r="6223" spans="7:8" ht="15" customHeight="1" x14ac:dyDescent="0.4">
      <c r="G6223" s="27">
        <f t="shared" si="108"/>
        <v>0</v>
      </c>
      <c r="H6223" s="28" t="e">
        <f>VLOOKUP(E6223,'Cadastro Produtos (kiwkiw)'!C:E,3,0)</f>
        <v>#N/A</v>
      </c>
    </row>
    <row r="6224" spans="7:8" ht="15" customHeight="1" x14ac:dyDescent="0.4">
      <c r="G6224" s="27">
        <f t="shared" si="108"/>
        <v>0</v>
      </c>
      <c r="H6224" s="28" t="e">
        <f>VLOOKUP(E6224,'Cadastro Produtos (kiwkiw)'!C:E,3,0)</f>
        <v>#N/A</v>
      </c>
    </row>
    <row r="6225" spans="7:8" ht="15" customHeight="1" x14ac:dyDescent="0.4">
      <c r="G6225" s="27">
        <f t="shared" si="108"/>
        <v>0</v>
      </c>
      <c r="H6225" s="28" t="e">
        <f>VLOOKUP(E6225,'Cadastro Produtos (kiwkiw)'!C:E,3,0)</f>
        <v>#N/A</v>
      </c>
    </row>
    <row r="6226" spans="7:8" ht="15" customHeight="1" x14ac:dyDescent="0.4">
      <c r="G6226" s="27">
        <f t="shared" ref="G6226:G6289" si="109">IF(C6226="Entrada",F6226,-F6226)</f>
        <v>0</v>
      </c>
      <c r="H6226" s="28" t="e">
        <f>VLOOKUP(E6226,'Cadastro Produtos (kiwkiw)'!C:E,3,0)</f>
        <v>#N/A</v>
      </c>
    </row>
    <row r="6227" spans="7:8" ht="15" customHeight="1" x14ac:dyDescent="0.4">
      <c r="G6227" s="27">
        <f t="shared" si="109"/>
        <v>0</v>
      </c>
      <c r="H6227" s="28" t="e">
        <f>VLOOKUP(E6227,'Cadastro Produtos (kiwkiw)'!C:E,3,0)</f>
        <v>#N/A</v>
      </c>
    </row>
    <row r="6228" spans="7:8" ht="15" customHeight="1" x14ac:dyDescent="0.4">
      <c r="G6228" s="27">
        <f t="shared" si="109"/>
        <v>0</v>
      </c>
      <c r="H6228" s="28" t="e">
        <f>VLOOKUP(E6228,'Cadastro Produtos (kiwkiw)'!C:E,3,0)</f>
        <v>#N/A</v>
      </c>
    </row>
    <row r="6229" spans="7:8" ht="15" customHeight="1" x14ac:dyDescent="0.4">
      <c r="G6229" s="27">
        <f t="shared" si="109"/>
        <v>0</v>
      </c>
      <c r="H6229" s="28" t="e">
        <f>VLOOKUP(E6229,'Cadastro Produtos (kiwkiw)'!C:E,3,0)</f>
        <v>#N/A</v>
      </c>
    </row>
    <row r="6230" spans="7:8" ht="15" customHeight="1" x14ac:dyDescent="0.4">
      <c r="G6230" s="27">
        <f t="shared" si="109"/>
        <v>0</v>
      </c>
      <c r="H6230" s="28" t="e">
        <f>VLOOKUP(E6230,'Cadastro Produtos (kiwkiw)'!C:E,3,0)</f>
        <v>#N/A</v>
      </c>
    </row>
    <row r="6231" spans="7:8" ht="15" customHeight="1" x14ac:dyDescent="0.4">
      <c r="G6231" s="27">
        <f t="shared" si="109"/>
        <v>0</v>
      </c>
      <c r="H6231" s="28" t="e">
        <f>VLOOKUP(E6231,'Cadastro Produtos (kiwkiw)'!C:E,3,0)</f>
        <v>#N/A</v>
      </c>
    </row>
    <row r="6232" spans="7:8" ht="15" customHeight="1" x14ac:dyDescent="0.4">
      <c r="G6232" s="27">
        <f t="shared" si="109"/>
        <v>0</v>
      </c>
      <c r="H6232" s="28" t="e">
        <f>VLOOKUP(E6232,'Cadastro Produtos (kiwkiw)'!C:E,3,0)</f>
        <v>#N/A</v>
      </c>
    </row>
    <row r="6233" spans="7:8" ht="15" customHeight="1" x14ac:dyDescent="0.4">
      <c r="G6233" s="27">
        <f t="shared" si="109"/>
        <v>0</v>
      </c>
      <c r="H6233" s="28" t="e">
        <f>VLOOKUP(E6233,'Cadastro Produtos (kiwkiw)'!C:E,3,0)</f>
        <v>#N/A</v>
      </c>
    </row>
    <row r="6234" spans="7:8" ht="15" customHeight="1" x14ac:dyDescent="0.4">
      <c r="G6234" s="27">
        <f t="shared" si="109"/>
        <v>0</v>
      </c>
      <c r="H6234" s="28" t="e">
        <f>VLOOKUP(E6234,'Cadastro Produtos (kiwkiw)'!C:E,3,0)</f>
        <v>#N/A</v>
      </c>
    </row>
    <row r="6235" spans="7:8" ht="15" customHeight="1" x14ac:dyDescent="0.4">
      <c r="G6235" s="27">
        <f t="shared" si="109"/>
        <v>0</v>
      </c>
      <c r="H6235" s="28" t="e">
        <f>VLOOKUP(E6235,'Cadastro Produtos (kiwkiw)'!C:E,3,0)</f>
        <v>#N/A</v>
      </c>
    </row>
    <row r="6236" spans="7:8" ht="15" customHeight="1" x14ac:dyDescent="0.4">
      <c r="G6236" s="27">
        <f t="shared" si="109"/>
        <v>0</v>
      </c>
      <c r="H6236" s="28" t="e">
        <f>VLOOKUP(E6236,'Cadastro Produtos (kiwkiw)'!C:E,3,0)</f>
        <v>#N/A</v>
      </c>
    </row>
    <row r="6237" spans="7:8" ht="15" customHeight="1" x14ac:dyDescent="0.4">
      <c r="G6237" s="27">
        <f t="shared" si="109"/>
        <v>0</v>
      </c>
      <c r="H6237" s="28" t="e">
        <f>VLOOKUP(E6237,'Cadastro Produtos (kiwkiw)'!C:E,3,0)</f>
        <v>#N/A</v>
      </c>
    </row>
    <row r="6238" spans="7:8" ht="15" customHeight="1" x14ac:dyDescent="0.4">
      <c r="G6238" s="27">
        <f t="shared" si="109"/>
        <v>0</v>
      </c>
      <c r="H6238" s="28" t="e">
        <f>VLOOKUP(E6238,'Cadastro Produtos (kiwkiw)'!C:E,3,0)</f>
        <v>#N/A</v>
      </c>
    </row>
    <row r="6239" spans="7:8" ht="15" customHeight="1" x14ac:dyDescent="0.4">
      <c r="G6239" s="27">
        <f t="shared" si="109"/>
        <v>0</v>
      </c>
      <c r="H6239" s="28" t="e">
        <f>VLOOKUP(E6239,'Cadastro Produtos (kiwkiw)'!C:E,3,0)</f>
        <v>#N/A</v>
      </c>
    </row>
    <row r="6240" spans="7:8" ht="15" customHeight="1" x14ac:dyDescent="0.4">
      <c r="G6240" s="27">
        <f t="shared" si="109"/>
        <v>0</v>
      </c>
      <c r="H6240" s="28" t="e">
        <f>VLOOKUP(E6240,'Cadastro Produtos (kiwkiw)'!C:E,3,0)</f>
        <v>#N/A</v>
      </c>
    </row>
    <row r="6241" spans="2:8" ht="15" customHeight="1" x14ac:dyDescent="0.4">
      <c r="G6241" s="27">
        <f t="shared" si="109"/>
        <v>0</v>
      </c>
      <c r="H6241" s="28" t="e">
        <f>VLOOKUP(E6241,'Cadastro Produtos (kiwkiw)'!C:E,3,0)</f>
        <v>#N/A</v>
      </c>
    </row>
    <row r="6242" spans="2:8" ht="15" customHeight="1" x14ac:dyDescent="0.4">
      <c r="G6242" s="27">
        <f t="shared" si="109"/>
        <v>0</v>
      </c>
      <c r="H6242" s="28" t="e">
        <f>VLOOKUP(E6242,'Cadastro Produtos (kiwkiw)'!C:E,3,0)</f>
        <v>#N/A</v>
      </c>
    </row>
    <row r="6243" spans="2:8" ht="15" customHeight="1" x14ac:dyDescent="0.4">
      <c r="G6243" s="27">
        <f t="shared" si="109"/>
        <v>0</v>
      </c>
      <c r="H6243" s="28" t="e">
        <f>VLOOKUP(E6243,'Cadastro Produtos (kiwkiw)'!C:E,3,0)</f>
        <v>#N/A</v>
      </c>
    </row>
    <row r="6244" spans="2:8" ht="15" customHeight="1" x14ac:dyDescent="0.4">
      <c r="G6244" s="27">
        <f t="shared" si="109"/>
        <v>0</v>
      </c>
      <c r="H6244" s="28" t="e">
        <f>VLOOKUP(E6244,'Cadastro Produtos (kiwkiw)'!C:E,3,0)</f>
        <v>#N/A</v>
      </c>
    </row>
    <row r="6245" spans="2:8" ht="15" customHeight="1" x14ac:dyDescent="0.4">
      <c r="G6245" s="27">
        <f t="shared" si="109"/>
        <v>0</v>
      </c>
      <c r="H6245" s="28" t="e">
        <f>VLOOKUP(E6245,'Cadastro Produtos (kiwkiw)'!C:E,3,0)</f>
        <v>#N/A</v>
      </c>
    </row>
    <row r="6246" spans="2:8" ht="15" customHeight="1" x14ac:dyDescent="0.4">
      <c r="G6246" s="27">
        <f t="shared" si="109"/>
        <v>0</v>
      </c>
      <c r="H6246" s="28" t="e">
        <f>VLOOKUP(E6246,'Cadastro Produtos (kiwkiw)'!C:E,3,0)</f>
        <v>#N/A</v>
      </c>
    </row>
    <row r="6247" spans="2:8" ht="15" customHeight="1" x14ac:dyDescent="0.4">
      <c r="G6247" s="27">
        <f t="shared" si="109"/>
        <v>0</v>
      </c>
      <c r="H6247" s="28" t="e">
        <f>VLOOKUP(E6247,'Cadastro Produtos (kiwkiw)'!C:E,3,0)</f>
        <v>#N/A</v>
      </c>
    </row>
    <row r="6248" spans="2:8" ht="15" customHeight="1" x14ac:dyDescent="0.4">
      <c r="G6248" s="27">
        <f t="shared" si="109"/>
        <v>0</v>
      </c>
      <c r="H6248" s="28" t="e">
        <f>VLOOKUP(E6248,'Cadastro Produtos (kiwkiw)'!C:E,3,0)</f>
        <v>#N/A</v>
      </c>
    </row>
    <row r="6249" spans="2:8" ht="15" customHeight="1" x14ac:dyDescent="0.4">
      <c r="G6249" s="27">
        <f t="shared" si="109"/>
        <v>0</v>
      </c>
      <c r="H6249" s="28" t="e">
        <f>VLOOKUP(E6249,'Cadastro Produtos (kiwkiw)'!C:E,3,0)</f>
        <v>#N/A</v>
      </c>
    </row>
    <row r="6250" spans="2:8" ht="15" customHeight="1" x14ac:dyDescent="0.4">
      <c r="G6250" s="27">
        <f t="shared" si="109"/>
        <v>0</v>
      </c>
      <c r="H6250" s="28" t="e">
        <f>VLOOKUP(E6250,'Cadastro Produtos (kiwkiw)'!C:E,3,0)</f>
        <v>#N/A</v>
      </c>
    </row>
    <row r="6251" spans="2:8" ht="15" customHeight="1" x14ac:dyDescent="0.4">
      <c r="G6251" s="27">
        <f t="shared" si="109"/>
        <v>0</v>
      </c>
      <c r="H6251" s="28" t="e">
        <f>VLOOKUP(E6251,'Cadastro Produtos (kiwkiw)'!C:E,3,0)</f>
        <v>#N/A</v>
      </c>
    </row>
    <row r="6252" spans="2:8" ht="15" customHeight="1" x14ac:dyDescent="0.4">
      <c r="G6252" s="27">
        <f t="shared" si="109"/>
        <v>0</v>
      </c>
      <c r="H6252" s="28" t="e">
        <f>VLOOKUP(E6252,'Cadastro Produtos (kiwkiw)'!C:E,3,0)</f>
        <v>#N/A</v>
      </c>
    </row>
    <row r="6253" spans="2:8" ht="15" customHeight="1" x14ac:dyDescent="0.4">
      <c r="G6253" s="27">
        <f t="shared" si="109"/>
        <v>0</v>
      </c>
      <c r="H6253" s="28" t="e">
        <f>VLOOKUP(E6253,'Cadastro Produtos (kiwkiw)'!C:E,3,0)</f>
        <v>#N/A</v>
      </c>
    </row>
    <row r="6254" spans="2:8" ht="15" customHeight="1" x14ac:dyDescent="0.4">
      <c r="B6254" s="43"/>
      <c r="G6254" s="27">
        <f t="shared" si="109"/>
        <v>0</v>
      </c>
      <c r="H6254" s="28" t="e">
        <f>VLOOKUP(E6254,'Cadastro Produtos (kiwkiw)'!C:E,3,0)</f>
        <v>#N/A</v>
      </c>
    </row>
    <row r="6255" spans="2:8" ht="15" customHeight="1" x14ac:dyDescent="0.4">
      <c r="G6255" s="27">
        <f t="shared" si="109"/>
        <v>0</v>
      </c>
      <c r="H6255" s="28" t="e">
        <f>VLOOKUP(E6255,'Cadastro Produtos (kiwkiw)'!C:E,3,0)</f>
        <v>#N/A</v>
      </c>
    </row>
    <row r="6256" spans="2:8" ht="15" customHeight="1" x14ac:dyDescent="0.4">
      <c r="G6256" s="27">
        <f t="shared" si="109"/>
        <v>0</v>
      </c>
      <c r="H6256" s="28" t="e">
        <f>VLOOKUP(E6256,'Cadastro Produtos (kiwkiw)'!C:E,3,0)</f>
        <v>#N/A</v>
      </c>
    </row>
    <row r="6257" spans="7:8" ht="15" customHeight="1" x14ac:dyDescent="0.4">
      <c r="G6257" s="27">
        <f t="shared" si="109"/>
        <v>0</v>
      </c>
      <c r="H6257" s="28" t="e">
        <f>VLOOKUP(E6257,'Cadastro Produtos (kiwkiw)'!C:E,3,0)</f>
        <v>#N/A</v>
      </c>
    </row>
    <row r="6258" spans="7:8" ht="15" customHeight="1" x14ac:dyDescent="0.4">
      <c r="G6258" s="27">
        <f t="shared" si="109"/>
        <v>0</v>
      </c>
      <c r="H6258" s="28" t="e">
        <f>VLOOKUP(E6258,'Cadastro Produtos (kiwkiw)'!C:E,3,0)</f>
        <v>#N/A</v>
      </c>
    </row>
    <row r="6259" spans="7:8" ht="15" customHeight="1" x14ac:dyDescent="0.4">
      <c r="G6259" s="27">
        <f t="shared" si="109"/>
        <v>0</v>
      </c>
      <c r="H6259" s="28" t="e">
        <f>VLOOKUP(E6259,'Cadastro Produtos (kiwkiw)'!C:E,3,0)</f>
        <v>#N/A</v>
      </c>
    </row>
    <row r="6260" spans="7:8" ht="15" customHeight="1" x14ac:dyDescent="0.4">
      <c r="G6260" s="27">
        <f t="shared" si="109"/>
        <v>0</v>
      </c>
      <c r="H6260" s="28" t="e">
        <f>VLOOKUP(E6260,'Cadastro Produtos (kiwkiw)'!C:E,3,0)</f>
        <v>#N/A</v>
      </c>
    </row>
    <row r="6261" spans="7:8" ht="15" customHeight="1" x14ac:dyDescent="0.4">
      <c r="G6261" s="27">
        <f t="shared" si="109"/>
        <v>0</v>
      </c>
      <c r="H6261" s="28" t="e">
        <f>VLOOKUP(E6261,'Cadastro Produtos (kiwkiw)'!C:E,3,0)</f>
        <v>#N/A</v>
      </c>
    </row>
    <row r="6262" spans="7:8" ht="15" customHeight="1" x14ac:dyDescent="0.4">
      <c r="G6262" s="27">
        <f t="shared" si="109"/>
        <v>0</v>
      </c>
      <c r="H6262" s="28" t="e">
        <f>VLOOKUP(E6262,'Cadastro Produtos (kiwkiw)'!C:E,3,0)</f>
        <v>#N/A</v>
      </c>
    </row>
    <row r="6263" spans="7:8" ht="15" customHeight="1" x14ac:dyDescent="0.4">
      <c r="G6263" s="27">
        <f t="shared" si="109"/>
        <v>0</v>
      </c>
      <c r="H6263" s="28" t="e">
        <f>VLOOKUP(E6263,'Cadastro Produtos (kiwkiw)'!C:E,3,0)</f>
        <v>#N/A</v>
      </c>
    </row>
    <row r="6264" spans="7:8" ht="15" customHeight="1" x14ac:dyDescent="0.4">
      <c r="G6264" s="27">
        <f t="shared" si="109"/>
        <v>0</v>
      </c>
      <c r="H6264" s="28" t="e">
        <f>VLOOKUP(E6264,'Cadastro Produtos (kiwkiw)'!C:E,3,0)</f>
        <v>#N/A</v>
      </c>
    </row>
    <row r="6265" spans="7:8" ht="15" customHeight="1" x14ac:dyDescent="0.4">
      <c r="G6265" s="27">
        <f t="shared" si="109"/>
        <v>0</v>
      </c>
      <c r="H6265" s="28" t="e">
        <f>VLOOKUP(E6265,'Cadastro Produtos (kiwkiw)'!C:E,3,0)</f>
        <v>#N/A</v>
      </c>
    </row>
    <row r="6266" spans="7:8" ht="15" customHeight="1" x14ac:dyDescent="0.4">
      <c r="G6266" s="27">
        <f t="shared" si="109"/>
        <v>0</v>
      </c>
      <c r="H6266" s="28" t="e">
        <f>VLOOKUP(E6266,'Cadastro Produtos (kiwkiw)'!C:E,3,0)</f>
        <v>#N/A</v>
      </c>
    </row>
    <row r="6267" spans="7:8" ht="15" customHeight="1" x14ac:dyDescent="0.4">
      <c r="G6267" s="27">
        <f t="shared" si="109"/>
        <v>0</v>
      </c>
      <c r="H6267" s="28" t="e">
        <f>VLOOKUP(E6267,'Cadastro Produtos (kiwkiw)'!C:E,3,0)</f>
        <v>#N/A</v>
      </c>
    </row>
    <row r="6268" spans="7:8" ht="15" customHeight="1" x14ac:dyDescent="0.4">
      <c r="G6268" s="27">
        <f t="shared" si="109"/>
        <v>0</v>
      </c>
      <c r="H6268" s="28" t="e">
        <f>VLOOKUP(E6268,'Cadastro Produtos (kiwkiw)'!C:E,3,0)</f>
        <v>#N/A</v>
      </c>
    </row>
    <row r="6269" spans="7:8" ht="15" customHeight="1" x14ac:dyDescent="0.4">
      <c r="G6269" s="27">
        <f t="shared" si="109"/>
        <v>0</v>
      </c>
      <c r="H6269" s="28" t="e">
        <f>VLOOKUP(E6269,'Cadastro Produtos (kiwkiw)'!C:E,3,0)</f>
        <v>#N/A</v>
      </c>
    </row>
    <row r="6270" spans="7:8" ht="15" customHeight="1" x14ac:dyDescent="0.4">
      <c r="G6270" s="27">
        <f t="shared" si="109"/>
        <v>0</v>
      </c>
      <c r="H6270" s="28" t="e">
        <f>VLOOKUP(E6270,'Cadastro Produtos (kiwkiw)'!C:E,3,0)</f>
        <v>#N/A</v>
      </c>
    </row>
    <row r="6271" spans="7:8" ht="15" customHeight="1" x14ac:dyDescent="0.4">
      <c r="G6271" s="27">
        <f t="shared" si="109"/>
        <v>0</v>
      </c>
      <c r="H6271" s="28" t="e">
        <f>VLOOKUP(E6271,'Cadastro Produtos (kiwkiw)'!C:E,3,0)</f>
        <v>#N/A</v>
      </c>
    </row>
    <row r="6272" spans="7:8" ht="15" customHeight="1" x14ac:dyDescent="0.4">
      <c r="G6272" s="27">
        <f t="shared" si="109"/>
        <v>0</v>
      </c>
      <c r="H6272" s="28" t="e">
        <f>VLOOKUP(E6272,'Cadastro Produtos (kiwkiw)'!C:E,3,0)</f>
        <v>#N/A</v>
      </c>
    </row>
    <row r="6273" spans="7:8" ht="15" customHeight="1" x14ac:dyDescent="0.4">
      <c r="G6273" s="27">
        <f t="shared" si="109"/>
        <v>0</v>
      </c>
      <c r="H6273" s="28" t="e">
        <f>VLOOKUP(E6273,'Cadastro Produtos (kiwkiw)'!C:E,3,0)</f>
        <v>#N/A</v>
      </c>
    </row>
    <row r="6274" spans="7:8" ht="15" customHeight="1" x14ac:dyDescent="0.4">
      <c r="G6274" s="27">
        <f t="shared" si="109"/>
        <v>0</v>
      </c>
      <c r="H6274" s="28" t="e">
        <f>VLOOKUP(E6274,'Cadastro Produtos (kiwkiw)'!C:E,3,0)</f>
        <v>#N/A</v>
      </c>
    </row>
    <row r="6275" spans="7:8" ht="15" customHeight="1" x14ac:dyDescent="0.4">
      <c r="G6275" s="27">
        <f t="shared" si="109"/>
        <v>0</v>
      </c>
      <c r="H6275" s="28" t="e">
        <f>VLOOKUP(E6275,'Cadastro Produtos (kiwkiw)'!C:E,3,0)</f>
        <v>#N/A</v>
      </c>
    </row>
    <row r="6276" spans="7:8" ht="15" customHeight="1" x14ac:dyDescent="0.4">
      <c r="G6276" s="27">
        <f t="shared" si="109"/>
        <v>0</v>
      </c>
      <c r="H6276" s="28" t="e">
        <f>VLOOKUP(E6276,'Cadastro Produtos (kiwkiw)'!C:E,3,0)</f>
        <v>#N/A</v>
      </c>
    </row>
    <row r="6277" spans="7:8" ht="15" customHeight="1" x14ac:dyDescent="0.4">
      <c r="G6277" s="27">
        <f t="shared" si="109"/>
        <v>0</v>
      </c>
      <c r="H6277" s="28" t="e">
        <f>VLOOKUP(E6277,'Cadastro Produtos (kiwkiw)'!C:E,3,0)</f>
        <v>#N/A</v>
      </c>
    </row>
    <row r="6278" spans="7:8" ht="15" customHeight="1" x14ac:dyDescent="0.4">
      <c r="G6278" s="27">
        <f t="shared" si="109"/>
        <v>0</v>
      </c>
      <c r="H6278" s="28" t="e">
        <f>VLOOKUP(E6278,'Cadastro Produtos (kiwkiw)'!C:E,3,0)</f>
        <v>#N/A</v>
      </c>
    </row>
    <row r="6279" spans="7:8" ht="15" customHeight="1" x14ac:dyDescent="0.4">
      <c r="G6279" s="27">
        <f t="shared" si="109"/>
        <v>0</v>
      </c>
      <c r="H6279" s="28" t="e">
        <f>VLOOKUP(E6279,'Cadastro Produtos (kiwkiw)'!C:E,3,0)</f>
        <v>#N/A</v>
      </c>
    </row>
    <row r="6280" spans="7:8" ht="15" customHeight="1" x14ac:dyDescent="0.4">
      <c r="G6280" s="27">
        <f t="shared" si="109"/>
        <v>0</v>
      </c>
      <c r="H6280" s="28" t="e">
        <f>VLOOKUP(E6280,'Cadastro Produtos (kiwkiw)'!C:E,3,0)</f>
        <v>#N/A</v>
      </c>
    </row>
    <row r="6281" spans="7:8" ht="15" customHeight="1" x14ac:dyDescent="0.4">
      <c r="G6281" s="27">
        <f t="shared" si="109"/>
        <v>0</v>
      </c>
      <c r="H6281" s="28" t="e">
        <f>VLOOKUP(E6281,'Cadastro Produtos (kiwkiw)'!C:E,3,0)</f>
        <v>#N/A</v>
      </c>
    </row>
    <row r="6282" spans="7:8" ht="15" customHeight="1" x14ac:dyDescent="0.4">
      <c r="G6282" s="27">
        <f t="shared" si="109"/>
        <v>0</v>
      </c>
      <c r="H6282" s="28" t="e">
        <f>VLOOKUP(E6282,'Cadastro Produtos (kiwkiw)'!C:E,3,0)</f>
        <v>#N/A</v>
      </c>
    </row>
    <row r="6283" spans="7:8" ht="15" customHeight="1" x14ac:dyDescent="0.4">
      <c r="G6283" s="27">
        <f t="shared" si="109"/>
        <v>0</v>
      </c>
      <c r="H6283" s="28" t="e">
        <f>VLOOKUP(E6283,'Cadastro Produtos (kiwkiw)'!C:E,3,0)</f>
        <v>#N/A</v>
      </c>
    </row>
    <row r="6284" spans="7:8" ht="15" customHeight="1" x14ac:dyDescent="0.4">
      <c r="G6284" s="27">
        <f t="shared" si="109"/>
        <v>0</v>
      </c>
      <c r="H6284" s="28" t="e">
        <f>VLOOKUP(E6284,'Cadastro Produtos (kiwkiw)'!C:E,3,0)</f>
        <v>#N/A</v>
      </c>
    </row>
    <row r="6285" spans="7:8" ht="15" customHeight="1" x14ac:dyDescent="0.4">
      <c r="G6285" s="27">
        <f t="shared" si="109"/>
        <v>0</v>
      </c>
      <c r="H6285" s="28" t="e">
        <f>VLOOKUP(E6285,'Cadastro Produtos (kiwkiw)'!C:E,3,0)</f>
        <v>#N/A</v>
      </c>
    </row>
    <row r="6286" spans="7:8" ht="15" customHeight="1" x14ac:dyDescent="0.4">
      <c r="G6286" s="27">
        <f t="shared" si="109"/>
        <v>0</v>
      </c>
      <c r="H6286" s="28" t="e">
        <f>VLOOKUP(E6286,'Cadastro Produtos (kiwkiw)'!C:E,3,0)</f>
        <v>#N/A</v>
      </c>
    </row>
    <row r="6287" spans="7:8" ht="15" customHeight="1" x14ac:dyDescent="0.4">
      <c r="G6287" s="27">
        <f t="shared" si="109"/>
        <v>0</v>
      </c>
      <c r="H6287" s="28" t="e">
        <f>VLOOKUP(E6287,'Cadastro Produtos (kiwkiw)'!C:E,3,0)</f>
        <v>#N/A</v>
      </c>
    </row>
    <row r="6288" spans="7:8" ht="15" customHeight="1" x14ac:dyDescent="0.4">
      <c r="G6288" s="27">
        <f t="shared" si="109"/>
        <v>0</v>
      </c>
      <c r="H6288" s="28" t="e">
        <f>VLOOKUP(E6288,'Cadastro Produtos (kiwkiw)'!C:E,3,0)</f>
        <v>#N/A</v>
      </c>
    </row>
    <row r="6289" spans="2:8" ht="15" customHeight="1" x14ac:dyDescent="0.4">
      <c r="G6289" s="27">
        <f t="shared" si="109"/>
        <v>0</v>
      </c>
      <c r="H6289" s="28" t="e">
        <f>VLOOKUP(E6289,'Cadastro Produtos (kiwkiw)'!C:E,3,0)</f>
        <v>#N/A</v>
      </c>
    </row>
    <row r="6290" spans="2:8" ht="15" customHeight="1" x14ac:dyDescent="0.4">
      <c r="G6290" s="27">
        <f t="shared" ref="G6290:G6353" si="110">IF(C6290="Entrada",F6290,-F6290)</f>
        <v>0</v>
      </c>
      <c r="H6290" s="28" t="e">
        <f>VLOOKUP(E6290,'Cadastro Produtos (kiwkiw)'!C:E,3,0)</f>
        <v>#N/A</v>
      </c>
    </row>
    <row r="6291" spans="2:8" ht="15" customHeight="1" x14ac:dyDescent="0.4">
      <c r="G6291" s="27">
        <f t="shared" si="110"/>
        <v>0</v>
      </c>
      <c r="H6291" s="28" t="e">
        <f>VLOOKUP(E6291,'Cadastro Produtos (kiwkiw)'!C:E,3,0)</f>
        <v>#N/A</v>
      </c>
    </row>
    <row r="6292" spans="2:8" ht="15" customHeight="1" x14ac:dyDescent="0.4">
      <c r="B6292" s="43"/>
      <c r="G6292" s="27">
        <f t="shared" si="110"/>
        <v>0</v>
      </c>
      <c r="H6292" s="28" t="e">
        <f>VLOOKUP(E6292,'Cadastro Produtos (kiwkiw)'!C:E,3,0)</f>
        <v>#N/A</v>
      </c>
    </row>
    <row r="6293" spans="2:8" ht="15" customHeight="1" x14ac:dyDescent="0.4">
      <c r="G6293" s="27">
        <f t="shared" si="110"/>
        <v>0</v>
      </c>
      <c r="H6293" s="28" t="e">
        <f>VLOOKUP(E6293,'Cadastro Produtos (kiwkiw)'!C:E,3,0)</f>
        <v>#N/A</v>
      </c>
    </row>
    <row r="6294" spans="2:8" ht="15" customHeight="1" x14ac:dyDescent="0.4">
      <c r="G6294" s="27">
        <f t="shared" si="110"/>
        <v>0</v>
      </c>
      <c r="H6294" s="28" t="e">
        <f>VLOOKUP(E6294,'Cadastro Produtos (kiwkiw)'!C:E,3,0)</f>
        <v>#N/A</v>
      </c>
    </row>
    <row r="6295" spans="2:8" ht="15" customHeight="1" x14ac:dyDescent="0.4">
      <c r="G6295" s="27">
        <f t="shared" si="110"/>
        <v>0</v>
      </c>
      <c r="H6295" s="28" t="e">
        <f>VLOOKUP(E6295,'Cadastro Produtos (kiwkiw)'!C:E,3,0)</f>
        <v>#N/A</v>
      </c>
    </row>
    <row r="6296" spans="2:8" ht="15" customHeight="1" x14ac:dyDescent="0.4">
      <c r="G6296" s="27">
        <f t="shared" si="110"/>
        <v>0</v>
      </c>
      <c r="H6296" s="28" t="e">
        <f>VLOOKUP(E6296,'Cadastro Produtos (kiwkiw)'!C:E,3,0)</f>
        <v>#N/A</v>
      </c>
    </row>
    <row r="6297" spans="2:8" ht="15" customHeight="1" x14ac:dyDescent="0.4">
      <c r="G6297" s="27">
        <f t="shared" si="110"/>
        <v>0</v>
      </c>
      <c r="H6297" s="28" t="e">
        <f>VLOOKUP(E6297,'Cadastro Produtos (kiwkiw)'!C:E,3,0)</f>
        <v>#N/A</v>
      </c>
    </row>
    <row r="6298" spans="2:8" ht="15" customHeight="1" x14ac:dyDescent="0.4">
      <c r="G6298" s="27">
        <f t="shared" si="110"/>
        <v>0</v>
      </c>
      <c r="H6298" s="28" t="e">
        <f>VLOOKUP(E6298,'Cadastro Produtos (kiwkiw)'!C:E,3,0)</f>
        <v>#N/A</v>
      </c>
    </row>
    <row r="6299" spans="2:8" ht="15" customHeight="1" x14ac:dyDescent="0.4">
      <c r="G6299" s="27">
        <f t="shared" si="110"/>
        <v>0</v>
      </c>
      <c r="H6299" s="28" t="e">
        <f>VLOOKUP(E6299,'Cadastro Produtos (kiwkiw)'!C:E,3,0)</f>
        <v>#N/A</v>
      </c>
    </row>
    <row r="6300" spans="2:8" ht="15" customHeight="1" x14ac:dyDescent="0.4">
      <c r="G6300" s="27">
        <f t="shared" si="110"/>
        <v>0</v>
      </c>
      <c r="H6300" s="28" t="e">
        <f>VLOOKUP(E6300,'Cadastro Produtos (kiwkiw)'!C:E,3,0)</f>
        <v>#N/A</v>
      </c>
    </row>
    <row r="6301" spans="2:8" ht="15" customHeight="1" x14ac:dyDescent="0.4">
      <c r="G6301" s="27">
        <f t="shared" si="110"/>
        <v>0</v>
      </c>
      <c r="H6301" s="28" t="e">
        <f>VLOOKUP(E6301,'Cadastro Produtos (kiwkiw)'!C:E,3,0)</f>
        <v>#N/A</v>
      </c>
    </row>
    <row r="6302" spans="2:8" ht="15" customHeight="1" x14ac:dyDescent="0.4">
      <c r="G6302" s="27">
        <f t="shared" si="110"/>
        <v>0</v>
      </c>
      <c r="H6302" s="28" t="e">
        <f>VLOOKUP(E6302,'Cadastro Produtos (kiwkiw)'!C:E,3,0)</f>
        <v>#N/A</v>
      </c>
    </row>
    <row r="6303" spans="2:8" ht="15" customHeight="1" x14ac:dyDescent="0.4">
      <c r="G6303" s="27">
        <f t="shared" si="110"/>
        <v>0</v>
      </c>
      <c r="H6303" s="28" t="e">
        <f>VLOOKUP(E6303,'Cadastro Produtos (kiwkiw)'!C:E,3,0)</f>
        <v>#N/A</v>
      </c>
    </row>
    <row r="6304" spans="2:8" ht="15" customHeight="1" x14ac:dyDescent="0.4">
      <c r="G6304" s="27">
        <f t="shared" si="110"/>
        <v>0</v>
      </c>
      <c r="H6304" s="28" t="e">
        <f>VLOOKUP(E6304,'Cadastro Produtos (kiwkiw)'!C:E,3,0)</f>
        <v>#N/A</v>
      </c>
    </row>
    <row r="6305" spans="2:8" ht="15" customHeight="1" x14ac:dyDescent="0.4">
      <c r="G6305" s="27">
        <f t="shared" si="110"/>
        <v>0</v>
      </c>
      <c r="H6305" s="28" t="e">
        <f>VLOOKUP(E6305,'Cadastro Produtos (kiwkiw)'!C:E,3,0)</f>
        <v>#N/A</v>
      </c>
    </row>
    <row r="6306" spans="2:8" ht="15" customHeight="1" x14ac:dyDescent="0.4">
      <c r="G6306" s="27">
        <f t="shared" si="110"/>
        <v>0</v>
      </c>
      <c r="H6306" s="28" t="e">
        <f>VLOOKUP(E6306,'Cadastro Produtos (kiwkiw)'!C:E,3,0)</f>
        <v>#N/A</v>
      </c>
    </row>
    <row r="6307" spans="2:8" ht="15" customHeight="1" x14ac:dyDescent="0.4">
      <c r="G6307" s="27">
        <f t="shared" si="110"/>
        <v>0</v>
      </c>
      <c r="H6307" s="28" t="e">
        <f>VLOOKUP(E6307,'Cadastro Produtos (kiwkiw)'!C:E,3,0)</f>
        <v>#N/A</v>
      </c>
    </row>
    <row r="6308" spans="2:8" ht="15" customHeight="1" x14ac:dyDescent="0.4">
      <c r="G6308" s="27">
        <f t="shared" si="110"/>
        <v>0</v>
      </c>
      <c r="H6308" s="28" t="e">
        <f>VLOOKUP(E6308,'Cadastro Produtos (kiwkiw)'!C:E,3,0)</f>
        <v>#N/A</v>
      </c>
    </row>
    <row r="6309" spans="2:8" ht="15" customHeight="1" x14ac:dyDescent="0.4">
      <c r="G6309" s="27">
        <f t="shared" si="110"/>
        <v>0</v>
      </c>
      <c r="H6309" s="28" t="e">
        <f>VLOOKUP(E6309,'Cadastro Produtos (kiwkiw)'!C:E,3,0)</f>
        <v>#N/A</v>
      </c>
    </row>
    <row r="6310" spans="2:8" ht="15" customHeight="1" x14ac:dyDescent="0.4">
      <c r="B6310" s="43"/>
      <c r="G6310" s="27">
        <f t="shared" si="110"/>
        <v>0</v>
      </c>
      <c r="H6310" s="28" t="e">
        <f>VLOOKUP(E6310,'Cadastro Produtos (kiwkiw)'!C:E,3,0)</f>
        <v>#N/A</v>
      </c>
    </row>
    <row r="6311" spans="2:8" ht="15" customHeight="1" x14ac:dyDescent="0.4">
      <c r="G6311" s="27">
        <f t="shared" si="110"/>
        <v>0</v>
      </c>
      <c r="H6311" s="28" t="e">
        <f>VLOOKUP(E6311,'Cadastro Produtos (kiwkiw)'!C:E,3,0)</f>
        <v>#N/A</v>
      </c>
    </row>
    <row r="6312" spans="2:8" ht="15" customHeight="1" x14ac:dyDescent="0.4">
      <c r="G6312" s="27">
        <f t="shared" si="110"/>
        <v>0</v>
      </c>
      <c r="H6312" s="28" t="e">
        <f>VLOOKUP(E6312,'Cadastro Produtos (kiwkiw)'!C:E,3,0)</f>
        <v>#N/A</v>
      </c>
    </row>
    <row r="6313" spans="2:8" ht="15" customHeight="1" x14ac:dyDescent="0.4">
      <c r="G6313" s="27">
        <f t="shared" si="110"/>
        <v>0</v>
      </c>
      <c r="H6313" s="28" t="e">
        <f>VLOOKUP(E6313,'Cadastro Produtos (kiwkiw)'!C:E,3,0)</f>
        <v>#N/A</v>
      </c>
    </row>
    <row r="6314" spans="2:8" ht="15" customHeight="1" x14ac:dyDescent="0.4">
      <c r="G6314" s="27">
        <f t="shared" si="110"/>
        <v>0</v>
      </c>
      <c r="H6314" s="28" t="e">
        <f>VLOOKUP(E6314,'Cadastro Produtos (kiwkiw)'!C:E,3,0)</f>
        <v>#N/A</v>
      </c>
    </row>
    <row r="6315" spans="2:8" ht="15" customHeight="1" x14ac:dyDescent="0.4">
      <c r="G6315" s="27">
        <f t="shared" si="110"/>
        <v>0</v>
      </c>
      <c r="H6315" s="28" t="e">
        <f>VLOOKUP(E6315,'Cadastro Produtos (kiwkiw)'!C:E,3,0)</f>
        <v>#N/A</v>
      </c>
    </row>
    <row r="6316" spans="2:8" ht="15" customHeight="1" x14ac:dyDescent="0.4">
      <c r="G6316" s="27">
        <f t="shared" si="110"/>
        <v>0</v>
      </c>
      <c r="H6316" s="28" t="e">
        <f>VLOOKUP(E6316,'Cadastro Produtos (kiwkiw)'!C:E,3,0)</f>
        <v>#N/A</v>
      </c>
    </row>
    <row r="6317" spans="2:8" ht="15" customHeight="1" x14ac:dyDescent="0.4">
      <c r="G6317" s="27">
        <f t="shared" si="110"/>
        <v>0</v>
      </c>
      <c r="H6317" s="28" t="e">
        <f>VLOOKUP(E6317,'Cadastro Produtos (kiwkiw)'!C:E,3,0)</f>
        <v>#N/A</v>
      </c>
    </row>
    <row r="6318" spans="2:8" ht="15" customHeight="1" x14ac:dyDescent="0.4">
      <c r="G6318" s="27">
        <f t="shared" si="110"/>
        <v>0</v>
      </c>
      <c r="H6318" s="28" t="e">
        <f>VLOOKUP(E6318,'Cadastro Produtos (kiwkiw)'!C:E,3,0)</f>
        <v>#N/A</v>
      </c>
    </row>
    <row r="6319" spans="2:8" ht="15" customHeight="1" x14ac:dyDescent="0.4">
      <c r="G6319" s="27">
        <f t="shared" si="110"/>
        <v>0</v>
      </c>
      <c r="H6319" s="28" t="e">
        <f>VLOOKUP(E6319,'Cadastro Produtos (kiwkiw)'!C:E,3,0)</f>
        <v>#N/A</v>
      </c>
    </row>
    <row r="6320" spans="2:8" ht="15" customHeight="1" x14ac:dyDescent="0.4">
      <c r="G6320" s="27">
        <f t="shared" si="110"/>
        <v>0</v>
      </c>
      <c r="H6320" s="28" t="e">
        <f>VLOOKUP(E6320,'Cadastro Produtos (kiwkiw)'!C:E,3,0)</f>
        <v>#N/A</v>
      </c>
    </row>
    <row r="6321" spans="2:8" ht="15" customHeight="1" x14ac:dyDescent="0.4">
      <c r="G6321" s="27">
        <f t="shared" si="110"/>
        <v>0</v>
      </c>
      <c r="H6321" s="28" t="e">
        <f>VLOOKUP(E6321,'Cadastro Produtos (kiwkiw)'!C:E,3,0)</f>
        <v>#N/A</v>
      </c>
    </row>
    <row r="6322" spans="2:8" ht="15" customHeight="1" x14ac:dyDescent="0.4">
      <c r="G6322" s="27">
        <f t="shared" si="110"/>
        <v>0</v>
      </c>
      <c r="H6322" s="28" t="e">
        <f>VLOOKUP(E6322,'Cadastro Produtos (kiwkiw)'!C:E,3,0)</f>
        <v>#N/A</v>
      </c>
    </row>
    <row r="6323" spans="2:8" ht="15" customHeight="1" x14ac:dyDescent="0.4">
      <c r="G6323" s="27">
        <f t="shared" si="110"/>
        <v>0</v>
      </c>
      <c r="H6323" s="28" t="e">
        <f>VLOOKUP(E6323,'Cadastro Produtos (kiwkiw)'!C:E,3,0)</f>
        <v>#N/A</v>
      </c>
    </row>
    <row r="6324" spans="2:8" ht="15" customHeight="1" x14ac:dyDescent="0.4">
      <c r="G6324" s="27">
        <f t="shared" si="110"/>
        <v>0</v>
      </c>
      <c r="H6324" s="28" t="e">
        <f>VLOOKUP(E6324,'Cadastro Produtos (kiwkiw)'!C:E,3,0)</f>
        <v>#N/A</v>
      </c>
    </row>
    <row r="6325" spans="2:8" ht="15" customHeight="1" x14ac:dyDescent="0.4">
      <c r="G6325" s="27">
        <f t="shared" si="110"/>
        <v>0</v>
      </c>
      <c r="H6325" s="28" t="e">
        <f>VLOOKUP(E6325,'Cadastro Produtos (kiwkiw)'!C:E,3,0)</f>
        <v>#N/A</v>
      </c>
    </row>
    <row r="6326" spans="2:8" ht="15" customHeight="1" x14ac:dyDescent="0.4">
      <c r="G6326" s="27">
        <f t="shared" si="110"/>
        <v>0</v>
      </c>
      <c r="H6326" s="28" t="e">
        <f>VLOOKUP(E6326,'Cadastro Produtos (kiwkiw)'!C:E,3,0)</f>
        <v>#N/A</v>
      </c>
    </row>
    <row r="6327" spans="2:8" ht="15" customHeight="1" x14ac:dyDescent="0.4">
      <c r="G6327" s="27">
        <f t="shared" si="110"/>
        <v>0</v>
      </c>
      <c r="H6327" s="28" t="e">
        <f>VLOOKUP(E6327,'Cadastro Produtos (kiwkiw)'!C:E,3,0)</f>
        <v>#N/A</v>
      </c>
    </row>
    <row r="6328" spans="2:8" ht="15" customHeight="1" x14ac:dyDescent="0.4">
      <c r="G6328" s="27">
        <f t="shared" si="110"/>
        <v>0</v>
      </c>
      <c r="H6328" s="28" t="e">
        <f>VLOOKUP(E6328,'Cadastro Produtos (kiwkiw)'!C:E,3,0)</f>
        <v>#N/A</v>
      </c>
    </row>
    <row r="6329" spans="2:8" ht="15" customHeight="1" x14ac:dyDescent="0.4">
      <c r="B6329" s="43"/>
      <c r="G6329" s="27">
        <f t="shared" si="110"/>
        <v>0</v>
      </c>
      <c r="H6329" s="28" t="e">
        <f>VLOOKUP(E6329,'Cadastro Produtos (kiwkiw)'!C:E,3,0)</f>
        <v>#N/A</v>
      </c>
    </row>
    <row r="6330" spans="2:8" ht="15" customHeight="1" x14ac:dyDescent="0.4">
      <c r="G6330" s="27">
        <f t="shared" si="110"/>
        <v>0</v>
      </c>
      <c r="H6330" s="28" t="e">
        <f>VLOOKUP(E6330,'Cadastro Produtos (kiwkiw)'!C:E,3,0)</f>
        <v>#N/A</v>
      </c>
    </row>
    <row r="6331" spans="2:8" ht="15" customHeight="1" x14ac:dyDescent="0.4">
      <c r="G6331" s="27">
        <f t="shared" si="110"/>
        <v>0</v>
      </c>
      <c r="H6331" s="28" t="e">
        <f>VLOOKUP(E6331,'Cadastro Produtos (kiwkiw)'!C:E,3,0)</f>
        <v>#N/A</v>
      </c>
    </row>
    <row r="6332" spans="2:8" ht="15" customHeight="1" x14ac:dyDescent="0.4">
      <c r="G6332" s="27">
        <f t="shared" si="110"/>
        <v>0</v>
      </c>
      <c r="H6332" s="28" t="e">
        <f>VLOOKUP(E6332,'Cadastro Produtos (kiwkiw)'!C:E,3,0)</f>
        <v>#N/A</v>
      </c>
    </row>
    <row r="6333" spans="2:8" ht="15" customHeight="1" x14ac:dyDescent="0.4">
      <c r="G6333" s="27">
        <f t="shared" si="110"/>
        <v>0</v>
      </c>
      <c r="H6333" s="28" t="e">
        <f>VLOOKUP(E6333,'Cadastro Produtos (kiwkiw)'!C:E,3,0)</f>
        <v>#N/A</v>
      </c>
    </row>
    <row r="6334" spans="2:8" ht="15" customHeight="1" x14ac:dyDescent="0.4">
      <c r="G6334" s="27">
        <f t="shared" si="110"/>
        <v>0</v>
      </c>
      <c r="H6334" s="28" t="e">
        <f>VLOOKUP(E6334,'Cadastro Produtos (kiwkiw)'!C:E,3,0)</f>
        <v>#N/A</v>
      </c>
    </row>
    <row r="6335" spans="2:8" ht="15" customHeight="1" x14ac:dyDescent="0.4">
      <c r="G6335" s="27">
        <f t="shared" si="110"/>
        <v>0</v>
      </c>
      <c r="H6335" s="28" t="e">
        <f>VLOOKUP(E6335,'Cadastro Produtos (kiwkiw)'!C:E,3,0)</f>
        <v>#N/A</v>
      </c>
    </row>
    <row r="6336" spans="2:8" ht="15" customHeight="1" x14ac:dyDescent="0.4">
      <c r="G6336" s="27">
        <f t="shared" si="110"/>
        <v>0</v>
      </c>
      <c r="H6336" s="28" t="e">
        <f>VLOOKUP(E6336,'Cadastro Produtos (kiwkiw)'!C:E,3,0)</f>
        <v>#N/A</v>
      </c>
    </row>
    <row r="6337" spans="7:8" ht="15" customHeight="1" x14ac:dyDescent="0.4">
      <c r="G6337" s="27">
        <f t="shared" si="110"/>
        <v>0</v>
      </c>
      <c r="H6337" s="28" t="e">
        <f>VLOOKUP(E6337,'Cadastro Produtos (kiwkiw)'!C:E,3,0)</f>
        <v>#N/A</v>
      </c>
    </row>
    <row r="6338" spans="7:8" ht="15" customHeight="1" x14ac:dyDescent="0.4">
      <c r="G6338" s="27">
        <f t="shared" si="110"/>
        <v>0</v>
      </c>
      <c r="H6338" s="28" t="e">
        <f>VLOOKUP(E6338,'Cadastro Produtos (kiwkiw)'!C:E,3,0)</f>
        <v>#N/A</v>
      </c>
    </row>
    <row r="6339" spans="7:8" ht="15" customHeight="1" x14ac:dyDescent="0.4">
      <c r="G6339" s="27">
        <f t="shared" si="110"/>
        <v>0</v>
      </c>
      <c r="H6339" s="28" t="e">
        <f>VLOOKUP(E6339,'Cadastro Produtos (kiwkiw)'!C:E,3,0)</f>
        <v>#N/A</v>
      </c>
    </row>
    <row r="6340" spans="7:8" ht="15" customHeight="1" x14ac:dyDescent="0.4">
      <c r="G6340" s="27">
        <f t="shared" si="110"/>
        <v>0</v>
      </c>
      <c r="H6340" s="28" t="e">
        <f>VLOOKUP(E6340,'Cadastro Produtos (kiwkiw)'!C:E,3,0)</f>
        <v>#N/A</v>
      </c>
    </row>
    <row r="6341" spans="7:8" ht="15" customHeight="1" x14ac:dyDescent="0.4">
      <c r="G6341" s="27">
        <f t="shared" si="110"/>
        <v>0</v>
      </c>
      <c r="H6341" s="28" t="e">
        <f>VLOOKUP(E6341,'Cadastro Produtos (kiwkiw)'!C:E,3,0)</f>
        <v>#N/A</v>
      </c>
    </row>
    <row r="6342" spans="7:8" ht="15" customHeight="1" x14ac:dyDescent="0.4">
      <c r="G6342" s="27">
        <f t="shared" si="110"/>
        <v>0</v>
      </c>
      <c r="H6342" s="28" t="e">
        <f>VLOOKUP(E6342,'Cadastro Produtos (kiwkiw)'!C:E,3,0)</f>
        <v>#N/A</v>
      </c>
    </row>
    <row r="6343" spans="7:8" ht="15" customHeight="1" x14ac:dyDescent="0.4">
      <c r="G6343" s="27">
        <f t="shared" si="110"/>
        <v>0</v>
      </c>
      <c r="H6343" s="28" t="e">
        <f>VLOOKUP(E6343,'Cadastro Produtos (kiwkiw)'!C:E,3,0)</f>
        <v>#N/A</v>
      </c>
    </row>
    <row r="6344" spans="7:8" ht="15" customHeight="1" x14ac:dyDescent="0.4">
      <c r="G6344" s="27">
        <f t="shared" si="110"/>
        <v>0</v>
      </c>
      <c r="H6344" s="28" t="e">
        <f>VLOOKUP(E6344,'Cadastro Produtos (kiwkiw)'!C:E,3,0)</f>
        <v>#N/A</v>
      </c>
    </row>
    <row r="6345" spans="7:8" ht="15" customHeight="1" x14ac:dyDescent="0.4">
      <c r="G6345" s="27">
        <f t="shared" si="110"/>
        <v>0</v>
      </c>
      <c r="H6345" s="28" t="e">
        <f>VLOOKUP(E6345,'Cadastro Produtos (kiwkiw)'!C:E,3,0)</f>
        <v>#N/A</v>
      </c>
    </row>
    <row r="6346" spans="7:8" ht="15" customHeight="1" x14ac:dyDescent="0.4">
      <c r="G6346" s="27">
        <f t="shared" si="110"/>
        <v>0</v>
      </c>
      <c r="H6346" s="28" t="e">
        <f>VLOOKUP(E6346,'Cadastro Produtos (kiwkiw)'!C:E,3,0)</f>
        <v>#N/A</v>
      </c>
    </row>
    <row r="6347" spans="7:8" ht="15" customHeight="1" x14ac:dyDescent="0.4">
      <c r="G6347" s="27">
        <f t="shared" si="110"/>
        <v>0</v>
      </c>
      <c r="H6347" s="28" t="e">
        <f>VLOOKUP(E6347,'Cadastro Produtos (kiwkiw)'!C:E,3,0)</f>
        <v>#N/A</v>
      </c>
    </row>
    <row r="6348" spans="7:8" ht="15" customHeight="1" x14ac:dyDescent="0.4">
      <c r="G6348" s="27">
        <f t="shared" si="110"/>
        <v>0</v>
      </c>
      <c r="H6348" s="28" t="e">
        <f>VLOOKUP(E6348,'Cadastro Produtos (kiwkiw)'!C:E,3,0)</f>
        <v>#N/A</v>
      </c>
    </row>
    <row r="6349" spans="7:8" ht="15" customHeight="1" x14ac:dyDescent="0.4">
      <c r="G6349" s="27">
        <f t="shared" si="110"/>
        <v>0</v>
      </c>
      <c r="H6349" s="28" t="e">
        <f>VLOOKUP(E6349,'Cadastro Produtos (kiwkiw)'!C:E,3,0)</f>
        <v>#N/A</v>
      </c>
    </row>
    <row r="6350" spans="7:8" ht="15" customHeight="1" x14ac:dyDescent="0.4">
      <c r="G6350" s="27">
        <f t="shared" si="110"/>
        <v>0</v>
      </c>
      <c r="H6350" s="28" t="e">
        <f>VLOOKUP(E6350,'Cadastro Produtos (kiwkiw)'!C:E,3,0)</f>
        <v>#N/A</v>
      </c>
    </row>
    <row r="6351" spans="7:8" ht="15" customHeight="1" x14ac:dyDescent="0.4">
      <c r="G6351" s="27">
        <f t="shared" si="110"/>
        <v>0</v>
      </c>
      <c r="H6351" s="28" t="e">
        <f>VLOOKUP(E6351,'Cadastro Produtos (kiwkiw)'!C:E,3,0)</f>
        <v>#N/A</v>
      </c>
    </row>
    <row r="6352" spans="7:8" ht="15" customHeight="1" x14ac:dyDescent="0.4">
      <c r="G6352" s="27">
        <f t="shared" si="110"/>
        <v>0</v>
      </c>
      <c r="H6352" s="28" t="e">
        <f>VLOOKUP(E6352,'Cadastro Produtos (kiwkiw)'!C:E,3,0)</f>
        <v>#N/A</v>
      </c>
    </row>
    <row r="6353" spans="7:8" ht="15" customHeight="1" x14ac:dyDescent="0.4">
      <c r="G6353" s="27">
        <f t="shared" si="110"/>
        <v>0</v>
      </c>
      <c r="H6353" s="28" t="e">
        <f>VLOOKUP(E6353,'Cadastro Produtos (kiwkiw)'!C:E,3,0)</f>
        <v>#N/A</v>
      </c>
    </row>
    <row r="6354" spans="7:8" ht="15" customHeight="1" x14ac:dyDescent="0.4">
      <c r="G6354" s="27">
        <f t="shared" ref="G6354:G6417" si="111">IF(C6354="Entrada",F6354,-F6354)</f>
        <v>0</v>
      </c>
      <c r="H6354" s="28" t="e">
        <f>VLOOKUP(E6354,'Cadastro Produtos (kiwkiw)'!C:E,3,0)</f>
        <v>#N/A</v>
      </c>
    </row>
    <row r="6355" spans="7:8" ht="15" customHeight="1" x14ac:dyDescent="0.4">
      <c r="G6355" s="27">
        <f t="shared" si="111"/>
        <v>0</v>
      </c>
      <c r="H6355" s="28" t="e">
        <f>VLOOKUP(E6355,'Cadastro Produtos (kiwkiw)'!C:E,3,0)</f>
        <v>#N/A</v>
      </c>
    </row>
    <row r="6356" spans="7:8" ht="15" customHeight="1" x14ac:dyDescent="0.4">
      <c r="G6356" s="27">
        <f t="shared" si="111"/>
        <v>0</v>
      </c>
      <c r="H6356" s="28" t="e">
        <f>VLOOKUP(E6356,'Cadastro Produtos (kiwkiw)'!C:E,3,0)</f>
        <v>#N/A</v>
      </c>
    </row>
    <row r="6357" spans="7:8" ht="15" customHeight="1" x14ac:dyDescent="0.4">
      <c r="G6357" s="27">
        <f t="shared" si="111"/>
        <v>0</v>
      </c>
      <c r="H6357" s="28" t="e">
        <f>VLOOKUP(E6357,'Cadastro Produtos (kiwkiw)'!C:E,3,0)</f>
        <v>#N/A</v>
      </c>
    </row>
    <row r="6358" spans="7:8" ht="15" customHeight="1" x14ac:dyDescent="0.4">
      <c r="G6358" s="27">
        <f t="shared" si="111"/>
        <v>0</v>
      </c>
      <c r="H6358" s="28" t="e">
        <f>VLOOKUP(E6358,'Cadastro Produtos (kiwkiw)'!C:E,3,0)</f>
        <v>#N/A</v>
      </c>
    </row>
    <row r="6359" spans="7:8" ht="15" customHeight="1" x14ac:dyDescent="0.4">
      <c r="G6359" s="27">
        <f t="shared" si="111"/>
        <v>0</v>
      </c>
      <c r="H6359" s="28" t="e">
        <f>VLOOKUP(E6359,'Cadastro Produtos (kiwkiw)'!C:E,3,0)</f>
        <v>#N/A</v>
      </c>
    </row>
    <row r="6360" spans="7:8" ht="15" customHeight="1" x14ac:dyDescent="0.4">
      <c r="G6360" s="27">
        <f t="shared" si="111"/>
        <v>0</v>
      </c>
      <c r="H6360" s="28" t="e">
        <f>VLOOKUP(E6360,'Cadastro Produtos (kiwkiw)'!C:E,3,0)</f>
        <v>#N/A</v>
      </c>
    </row>
    <row r="6361" spans="7:8" ht="15" customHeight="1" x14ac:dyDescent="0.4">
      <c r="G6361" s="27">
        <f t="shared" si="111"/>
        <v>0</v>
      </c>
      <c r="H6361" s="28" t="e">
        <f>VLOOKUP(E6361,'Cadastro Produtos (kiwkiw)'!C:E,3,0)</f>
        <v>#N/A</v>
      </c>
    </row>
    <row r="6362" spans="7:8" ht="15" customHeight="1" x14ac:dyDescent="0.4">
      <c r="G6362" s="27">
        <f t="shared" si="111"/>
        <v>0</v>
      </c>
      <c r="H6362" s="28" t="e">
        <f>VLOOKUP(E6362,'Cadastro Produtos (kiwkiw)'!C:E,3,0)</f>
        <v>#N/A</v>
      </c>
    </row>
    <row r="6363" spans="7:8" ht="15" customHeight="1" x14ac:dyDescent="0.4">
      <c r="G6363" s="27">
        <f t="shared" si="111"/>
        <v>0</v>
      </c>
      <c r="H6363" s="28" t="e">
        <f>VLOOKUP(E6363,'Cadastro Produtos (kiwkiw)'!C:E,3,0)</f>
        <v>#N/A</v>
      </c>
    </row>
    <row r="6364" spans="7:8" ht="15" customHeight="1" x14ac:dyDescent="0.4">
      <c r="G6364" s="27">
        <f t="shared" si="111"/>
        <v>0</v>
      </c>
      <c r="H6364" s="28" t="e">
        <f>VLOOKUP(E6364,'Cadastro Produtos (kiwkiw)'!C:E,3,0)</f>
        <v>#N/A</v>
      </c>
    </row>
    <row r="6365" spans="7:8" ht="15" customHeight="1" x14ac:dyDescent="0.4">
      <c r="G6365" s="27">
        <f t="shared" si="111"/>
        <v>0</v>
      </c>
      <c r="H6365" s="28" t="e">
        <f>VLOOKUP(E6365,'Cadastro Produtos (kiwkiw)'!C:E,3,0)</f>
        <v>#N/A</v>
      </c>
    </row>
    <row r="6366" spans="7:8" ht="15" customHeight="1" x14ac:dyDescent="0.4">
      <c r="G6366" s="27">
        <f t="shared" si="111"/>
        <v>0</v>
      </c>
      <c r="H6366" s="28" t="e">
        <f>VLOOKUP(E6366,'Cadastro Produtos (kiwkiw)'!C:E,3,0)</f>
        <v>#N/A</v>
      </c>
    </row>
    <row r="6367" spans="7:8" ht="15" customHeight="1" x14ac:dyDescent="0.4">
      <c r="G6367" s="27">
        <f t="shared" si="111"/>
        <v>0</v>
      </c>
      <c r="H6367" s="28" t="e">
        <f>VLOOKUP(E6367,'Cadastro Produtos (kiwkiw)'!C:E,3,0)</f>
        <v>#N/A</v>
      </c>
    </row>
    <row r="6368" spans="7:8" ht="15" customHeight="1" x14ac:dyDescent="0.4">
      <c r="G6368" s="27">
        <f t="shared" si="111"/>
        <v>0</v>
      </c>
      <c r="H6368" s="28" t="e">
        <f>VLOOKUP(E6368,'Cadastro Produtos (kiwkiw)'!C:E,3,0)</f>
        <v>#N/A</v>
      </c>
    </row>
    <row r="6369" spans="2:8" ht="15" customHeight="1" x14ac:dyDescent="0.4">
      <c r="G6369" s="27">
        <f t="shared" si="111"/>
        <v>0</v>
      </c>
      <c r="H6369" s="28" t="e">
        <f>VLOOKUP(E6369,'Cadastro Produtos (kiwkiw)'!C:E,3,0)</f>
        <v>#N/A</v>
      </c>
    </row>
    <row r="6370" spans="2:8" ht="15" customHeight="1" x14ac:dyDescent="0.4">
      <c r="G6370" s="27">
        <f t="shared" si="111"/>
        <v>0</v>
      </c>
      <c r="H6370" s="28" t="e">
        <f>VLOOKUP(E6370,'Cadastro Produtos (kiwkiw)'!C:E,3,0)</f>
        <v>#N/A</v>
      </c>
    </row>
    <row r="6371" spans="2:8" ht="15" customHeight="1" x14ac:dyDescent="0.4">
      <c r="G6371" s="27">
        <f t="shared" si="111"/>
        <v>0</v>
      </c>
      <c r="H6371" s="28" t="e">
        <f>VLOOKUP(E6371,'Cadastro Produtos (kiwkiw)'!C:E,3,0)</f>
        <v>#N/A</v>
      </c>
    </row>
    <row r="6372" spans="2:8" ht="15" customHeight="1" x14ac:dyDescent="0.4">
      <c r="G6372" s="27">
        <f t="shared" si="111"/>
        <v>0</v>
      </c>
      <c r="H6372" s="28" t="e">
        <f>VLOOKUP(E6372,'Cadastro Produtos (kiwkiw)'!C:E,3,0)</f>
        <v>#N/A</v>
      </c>
    </row>
    <row r="6373" spans="2:8" ht="15" customHeight="1" x14ac:dyDescent="0.4">
      <c r="G6373" s="27">
        <f t="shared" si="111"/>
        <v>0</v>
      </c>
      <c r="H6373" s="28" t="e">
        <f>VLOOKUP(E6373,'Cadastro Produtos (kiwkiw)'!C:E,3,0)</f>
        <v>#N/A</v>
      </c>
    </row>
    <row r="6374" spans="2:8" ht="15" customHeight="1" x14ac:dyDescent="0.4">
      <c r="G6374" s="27">
        <f t="shared" si="111"/>
        <v>0</v>
      </c>
      <c r="H6374" s="28" t="e">
        <f>VLOOKUP(E6374,'Cadastro Produtos (kiwkiw)'!C:E,3,0)</f>
        <v>#N/A</v>
      </c>
    </row>
    <row r="6375" spans="2:8" ht="15" customHeight="1" x14ac:dyDescent="0.4">
      <c r="B6375" s="43"/>
      <c r="G6375" s="27">
        <f t="shared" si="111"/>
        <v>0</v>
      </c>
      <c r="H6375" s="28" t="e">
        <f>VLOOKUP(E6375,'Cadastro Produtos (kiwkiw)'!C:E,3,0)</f>
        <v>#N/A</v>
      </c>
    </row>
    <row r="6376" spans="2:8" ht="15" customHeight="1" x14ac:dyDescent="0.4">
      <c r="G6376" s="27">
        <f t="shared" si="111"/>
        <v>0</v>
      </c>
      <c r="H6376" s="28" t="e">
        <f>VLOOKUP(E6376,'Cadastro Produtos (kiwkiw)'!C:E,3,0)</f>
        <v>#N/A</v>
      </c>
    </row>
    <row r="6377" spans="2:8" ht="15" customHeight="1" x14ac:dyDescent="0.4">
      <c r="G6377" s="27">
        <f t="shared" si="111"/>
        <v>0</v>
      </c>
      <c r="H6377" s="28" t="e">
        <f>VLOOKUP(E6377,'Cadastro Produtos (kiwkiw)'!C:E,3,0)</f>
        <v>#N/A</v>
      </c>
    </row>
    <row r="6378" spans="2:8" ht="15" customHeight="1" x14ac:dyDescent="0.4">
      <c r="G6378" s="27">
        <f t="shared" si="111"/>
        <v>0</v>
      </c>
      <c r="H6378" s="28" t="e">
        <f>VLOOKUP(E6378,'Cadastro Produtos (kiwkiw)'!C:E,3,0)</f>
        <v>#N/A</v>
      </c>
    </row>
    <row r="6379" spans="2:8" ht="15" customHeight="1" x14ac:dyDescent="0.4">
      <c r="G6379" s="27">
        <f t="shared" si="111"/>
        <v>0</v>
      </c>
      <c r="H6379" s="28" t="e">
        <f>VLOOKUP(E6379,'Cadastro Produtos (kiwkiw)'!C:E,3,0)</f>
        <v>#N/A</v>
      </c>
    </row>
    <row r="6380" spans="2:8" ht="15" customHeight="1" x14ac:dyDescent="0.4">
      <c r="G6380" s="27">
        <f t="shared" si="111"/>
        <v>0</v>
      </c>
      <c r="H6380" s="28" t="e">
        <f>VLOOKUP(E6380,'Cadastro Produtos (kiwkiw)'!C:E,3,0)</f>
        <v>#N/A</v>
      </c>
    </row>
    <row r="6381" spans="2:8" ht="15" customHeight="1" x14ac:dyDescent="0.4">
      <c r="G6381" s="27">
        <f t="shared" si="111"/>
        <v>0</v>
      </c>
      <c r="H6381" s="28" t="e">
        <f>VLOOKUP(E6381,'Cadastro Produtos (kiwkiw)'!C:E,3,0)</f>
        <v>#N/A</v>
      </c>
    </row>
    <row r="6382" spans="2:8" ht="15" customHeight="1" x14ac:dyDescent="0.4">
      <c r="G6382" s="27">
        <f t="shared" si="111"/>
        <v>0</v>
      </c>
      <c r="H6382" s="28" t="e">
        <f>VLOOKUP(E6382,'Cadastro Produtos (kiwkiw)'!C:E,3,0)</f>
        <v>#N/A</v>
      </c>
    </row>
    <row r="6383" spans="2:8" ht="15" customHeight="1" x14ac:dyDescent="0.4">
      <c r="G6383" s="27">
        <f t="shared" si="111"/>
        <v>0</v>
      </c>
      <c r="H6383" s="28" t="e">
        <f>VLOOKUP(E6383,'Cadastro Produtos (kiwkiw)'!C:E,3,0)</f>
        <v>#N/A</v>
      </c>
    </row>
    <row r="6384" spans="2:8" ht="15" customHeight="1" x14ac:dyDescent="0.4">
      <c r="G6384" s="27">
        <f t="shared" si="111"/>
        <v>0</v>
      </c>
      <c r="H6384" s="28" t="e">
        <f>VLOOKUP(E6384,'Cadastro Produtos (kiwkiw)'!C:E,3,0)</f>
        <v>#N/A</v>
      </c>
    </row>
    <row r="6385" spans="7:8" ht="15" customHeight="1" x14ac:dyDescent="0.4">
      <c r="G6385" s="27">
        <f t="shared" si="111"/>
        <v>0</v>
      </c>
      <c r="H6385" s="28" t="e">
        <f>VLOOKUP(E6385,'Cadastro Produtos (kiwkiw)'!C:E,3,0)</f>
        <v>#N/A</v>
      </c>
    </row>
    <row r="6386" spans="7:8" ht="15" customHeight="1" x14ac:dyDescent="0.4">
      <c r="G6386" s="27">
        <f t="shared" si="111"/>
        <v>0</v>
      </c>
      <c r="H6386" s="28" t="e">
        <f>VLOOKUP(E6386,'Cadastro Produtos (kiwkiw)'!C:E,3,0)</f>
        <v>#N/A</v>
      </c>
    </row>
    <row r="6387" spans="7:8" ht="15" customHeight="1" x14ac:dyDescent="0.4">
      <c r="G6387" s="27">
        <f t="shared" si="111"/>
        <v>0</v>
      </c>
      <c r="H6387" s="28" t="e">
        <f>VLOOKUP(E6387,'Cadastro Produtos (kiwkiw)'!C:E,3,0)</f>
        <v>#N/A</v>
      </c>
    </row>
    <row r="6388" spans="7:8" ht="15" customHeight="1" x14ac:dyDescent="0.4">
      <c r="G6388" s="27">
        <f t="shared" si="111"/>
        <v>0</v>
      </c>
      <c r="H6388" s="28" t="e">
        <f>VLOOKUP(E6388,'Cadastro Produtos (kiwkiw)'!C:E,3,0)</f>
        <v>#N/A</v>
      </c>
    </row>
    <row r="6389" spans="7:8" ht="15" customHeight="1" x14ac:dyDescent="0.4">
      <c r="G6389" s="27">
        <f t="shared" si="111"/>
        <v>0</v>
      </c>
      <c r="H6389" s="28" t="e">
        <f>VLOOKUP(E6389,'Cadastro Produtos (kiwkiw)'!C:E,3,0)</f>
        <v>#N/A</v>
      </c>
    </row>
    <row r="6390" spans="7:8" ht="15" customHeight="1" x14ac:dyDescent="0.4">
      <c r="G6390" s="27">
        <f t="shared" si="111"/>
        <v>0</v>
      </c>
      <c r="H6390" s="28" t="e">
        <f>VLOOKUP(E6390,'Cadastro Produtos (kiwkiw)'!C:E,3,0)</f>
        <v>#N/A</v>
      </c>
    </row>
    <row r="6391" spans="7:8" ht="15" customHeight="1" x14ac:dyDescent="0.4">
      <c r="G6391" s="27">
        <f t="shared" si="111"/>
        <v>0</v>
      </c>
      <c r="H6391" s="28" t="e">
        <f>VLOOKUP(E6391,'Cadastro Produtos (kiwkiw)'!C:E,3,0)</f>
        <v>#N/A</v>
      </c>
    </row>
    <row r="6392" spans="7:8" ht="15" customHeight="1" x14ac:dyDescent="0.4">
      <c r="G6392" s="27">
        <f t="shared" si="111"/>
        <v>0</v>
      </c>
      <c r="H6392" s="28" t="e">
        <f>VLOOKUP(E6392,'Cadastro Produtos (kiwkiw)'!C:E,3,0)</f>
        <v>#N/A</v>
      </c>
    </row>
    <row r="6393" spans="7:8" ht="15" customHeight="1" x14ac:dyDescent="0.4">
      <c r="G6393" s="27">
        <f t="shared" si="111"/>
        <v>0</v>
      </c>
      <c r="H6393" s="28" t="e">
        <f>VLOOKUP(E6393,'Cadastro Produtos (kiwkiw)'!C:E,3,0)</f>
        <v>#N/A</v>
      </c>
    </row>
    <row r="6394" spans="7:8" ht="15" customHeight="1" x14ac:dyDescent="0.4">
      <c r="G6394" s="27">
        <f t="shared" si="111"/>
        <v>0</v>
      </c>
      <c r="H6394" s="28" t="e">
        <f>VLOOKUP(E6394,'Cadastro Produtos (kiwkiw)'!C:E,3,0)</f>
        <v>#N/A</v>
      </c>
    </row>
    <row r="6395" spans="7:8" ht="15" customHeight="1" x14ac:dyDescent="0.4">
      <c r="G6395" s="27">
        <f t="shared" si="111"/>
        <v>0</v>
      </c>
      <c r="H6395" s="28" t="e">
        <f>VLOOKUP(E6395,'Cadastro Produtos (kiwkiw)'!C:E,3,0)</f>
        <v>#N/A</v>
      </c>
    </row>
    <row r="6396" spans="7:8" ht="15" customHeight="1" x14ac:dyDescent="0.4">
      <c r="G6396" s="27">
        <f t="shared" si="111"/>
        <v>0</v>
      </c>
      <c r="H6396" s="28" t="e">
        <f>VLOOKUP(E6396,'Cadastro Produtos (kiwkiw)'!C:E,3,0)</f>
        <v>#N/A</v>
      </c>
    </row>
    <row r="6397" spans="7:8" ht="15" customHeight="1" x14ac:dyDescent="0.4">
      <c r="G6397" s="27">
        <f t="shared" si="111"/>
        <v>0</v>
      </c>
      <c r="H6397" s="28" t="e">
        <f>VLOOKUP(E6397,'Cadastro Produtos (kiwkiw)'!C:E,3,0)</f>
        <v>#N/A</v>
      </c>
    </row>
    <row r="6398" spans="7:8" ht="15" customHeight="1" x14ac:dyDescent="0.4">
      <c r="G6398" s="27">
        <f t="shared" si="111"/>
        <v>0</v>
      </c>
      <c r="H6398" s="28" t="e">
        <f>VLOOKUP(E6398,'Cadastro Produtos (kiwkiw)'!C:E,3,0)</f>
        <v>#N/A</v>
      </c>
    </row>
    <row r="6399" spans="7:8" ht="15" customHeight="1" x14ac:dyDescent="0.4">
      <c r="G6399" s="27">
        <f t="shared" si="111"/>
        <v>0</v>
      </c>
      <c r="H6399" s="28" t="e">
        <f>VLOOKUP(E6399,'Cadastro Produtos (kiwkiw)'!C:E,3,0)</f>
        <v>#N/A</v>
      </c>
    </row>
    <row r="6400" spans="7:8" ht="15" customHeight="1" x14ac:dyDescent="0.4">
      <c r="G6400" s="27">
        <f t="shared" si="111"/>
        <v>0</v>
      </c>
      <c r="H6400" s="28" t="e">
        <f>VLOOKUP(E6400,'Cadastro Produtos (kiwkiw)'!C:E,3,0)</f>
        <v>#N/A</v>
      </c>
    </row>
    <row r="6401" spans="2:8" ht="15" customHeight="1" x14ac:dyDescent="0.4">
      <c r="G6401" s="27">
        <f t="shared" si="111"/>
        <v>0</v>
      </c>
      <c r="H6401" s="28" t="e">
        <f>VLOOKUP(E6401,'Cadastro Produtos (kiwkiw)'!C:E,3,0)</f>
        <v>#N/A</v>
      </c>
    </row>
    <row r="6402" spans="2:8" ht="15" customHeight="1" x14ac:dyDescent="0.4">
      <c r="G6402" s="27">
        <f t="shared" si="111"/>
        <v>0</v>
      </c>
      <c r="H6402" s="28" t="e">
        <f>VLOOKUP(E6402,'Cadastro Produtos (kiwkiw)'!C:E,3,0)</f>
        <v>#N/A</v>
      </c>
    </row>
    <row r="6403" spans="2:8" ht="15" customHeight="1" x14ac:dyDescent="0.4">
      <c r="G6403" s="27">
        <f t="shared" si="111"/>
        <v>0</v>
      </c>
      <c r="H6403" s="28" t="e">
        <f>VLOOKUP(E6403,'Cadastro Produtos (kiwkiw)'!C:E,3,0)</f>
        <v>#N/A</v>
      </c>
    </row>
    <row r="6404" spans="2:8" ht="15" customHeight="1" x14ac:dyDescent="0.4">
      <c r="G6404" s="27">
        <f t="shared" si="111"/>
        <v>0</v>
      </c>
      <c r="H6404" s="28" t="e">
        <f>VLOOKUP(E6404,'Cadastro Produtos (kiwkiw)'!C:E,3,0)</f>
        <v>#N/A</v>
      </c>
    </row>
    <row r="6405" spans="2:8" ht="15" customHeight="1" x14ac:dyDescent="0.4">
      <c r="G6405" s="27">
        <f t="shared" si="111"/>
        <v>0</v>
      </c>
      <c r="H6405" s="28" t="e">
        <f>VLOOKUP(E6405,'Cadastro Produtos (kiwkiw)'!C:E,3,0)</f>
        <v>#N/A</v>
      </c>
    </row>
    <row r="6406" spans="2:8" ht="15" customHeight="1" x14ac:dyDescent="0.4">
      <c r="B6406" s="43"/>
      <c r="G6406" s="27">
        <f t="shared" si="111"/>
        <v>0</v>
      </c>
      <c r="H6406" s="28" t="e">
        <f>VLOOKUP(E6406,'Cadastro Produtos (kiwkiw)'!C:E,3,0)</f>
        <v>#N/A</v>
      </c>
    </row>
    <row r="6407" spans="2:8" ht="15" customHeight="1" x14ac:dyDescent="0.4">
      <c r="G6407" s="27">
        <f t="shared" si="111"/>
        <v>0</v>
      </c>
      <c r="H6407" s="28" t="e">
        <f>VLOOKUP(E6407,'Cadastro Produtos (kiwkiw)'!C:E,3,0)</f>
        <v>#N/A</v>
      </c>
    </row>
    <row r="6408" spans="2:8" ht="15" customHeight="1" x14ac:dyDescent="0.4">
      <c r="G6408" s="27">
        <f t="shared" si="111"/>
        <v>0</v>
      </c>
      <c r="H6408" s="28" t="e">
        <f>VLOOKUP(E6408,'Cadastro Produtos (kiwkiw)'!C:E,3,0)</f>
        <v>#N/A</v>
      </c>
    </row>
    <row r="6409" spans="2:8" ht="15" customHeight="1" x14ac:dyDescent="0.4">
      <c r="G6409" s="27">
        <f t="shared" si="111"/>
        <v>0</v>
      </c>
      <c r="H6409" s="28" t="e">
        <f>VLOOKUP(E6409,'Cadastro Produtos (kiwkiw)'!C:E,3,0)</f>
        <v>#N/A</v>
      </c>
    </row>
    <row r="6410" spans="2:8" ht="15" customHeight="1" x14ac:dyDescent="0.4">
      <c r="G6410" s="27">
        <f t="shared" si="111"/>
        <v>0</v>
      </c>
      <c r="H6410" s="28" t="e">
        <f>VLOOKUP(E6410,'Cadastro Produtos (kiwkiw)'!C:E,3,0)</f>
        <v>#N/A</v>
      </c>
    </row>
    <row r="6411" spans="2:8" ht="15" customHeight="1" x14ac:dyDescent="0.4">
      <c r="G6411" s="27">
        <f t="shared" si="111"/>
        <v>0</v>
      </c>
      <c r="H6411" s="28" t="e">
        <f>VLOOKUP(E6411,'Cadastro Produtos (kiwkiw)'!C:E,3,0)</f>
        <v>#N/A</v>
      </c>
    </row>
    <row r="6412" spans="2:8" ht="15" customHeight="1" x14ac:dyDescent="0.4">
      <c r="G6412" s="27">
        <f t="shared" si="111"/>
        <v>0</v>
      </c>
      <c r="H6412" s="28" t="e">
        <f>VLOOKUP(E6412,'Cadastro Produtos (kiwkiw)'!C:E,3,0)</f>
        <v>#N/A</v>
      </c>
    </row>
    <row r="6413" spans="2:8" ht="15" customHeight="1" x14ac:dyDescent="0.4">
      <c r="G6413" s="27">
        <f t="shared" si="111"/>
        <v>0</v>
      </c>
      <c r="H6413" s="28" t="e">
        <f>VLOOKUP(E6413,'Cadastro Produtos (kiwkiw)'!C:E,3,0)</f>
        <v>#N/A</v>
      </c>
    </row>
    <row r="6414" spans="2:8" ht="15" customHeight="1" x14ac:dyDescent="0.4">
      <c r="G6414" s="27">
        <f t="shared" si="111"/>
        <v>0</v>
      </c>
      <c r="H6414" s="28" t="e">
        <f>VLOOKUP(E6414,'Cadastro Produtos (kiwkiw)'!C:E,3,0)</f>
        <v>#N/A</v>
      </c>
    </row>
    <row r="6415" spans="2:8" ht="15" customHeight="1" x14ac:dyDescent="0.4">
      <c r="G6415" s="27">
        <f t="shared" si="111"/>
        <v>0</v>
      </c>
      <c r="H6415" s="28" t="e">
        <f>VLOOKUP(E6415,'Cadastro Produtos (kiwkiw)'!C:E,3,0)</f>
        <v>#N/A</v>
      </c>
    </row>
    <row r="6416" spans="2:8" ht="15" customHeight="1" x14ac:dyDescent="0.4">
      <c r="G6416" s="27">
        <f t="shared" si="111"/>
        <v>0</v>
      </c>
      <c r="H6416" s="28" t="e">
        <f>VLOOKUP(E6416,'Cadastro Produtos (kiwkiw)'!C:E,3,0)</f>
        <v>#N/A</v>
      </c>
    </row>
    <row r="6417" spans="7:8" ht="15" customHeight="1" x14ac:dyDescent="0.4">
      <c r="G6417" s="27">
        <f t="shared" si="111"/>
        <v>0</v>
      </c>
      <c r="H6417" s="28" t="e">
        <f>VLOOKUP(E6417,'Cadastro Produtos (kiwkiw)'!C:E,3,0)</f>
        <v>#N/A</v>
      </c>
    </row>
    <row r="6418" spans="7:8" ht="15" customHeight="1" x14ac:dyDescent="0.4">
      <c r="G6418" s="27">
        <f t="shared" ref="G6418:G6481" si="112">IF(C6418="Entrada",F6418,-F6418)</f>
        <v>0</v>
      </c>
      <c r="H6418" s="28" t="e">
        <f>VLOOKUP(E6418,'Cadastro Produtos (kiwkiw)'!C:E,3,0)</f>
        <v>#N/A</v>
      </c>
    </row>
    <row r="6419" spans="7:8" ht="15" customHeight="1" x14ac:dyDescent="0.4">
      <c r="G6419" s="27">
        <f t="shared" si="112"/>
        <v>0</v>
      </c>
      <c r="H6419" s="28" t="e">
        <f>VLOOKUP(E6419,'Cadastro Produtos (kiwkiw)'!C:E,3,0)</f>
        <v>#N/A</v>
      </c>
    </row>
    <row r="6420" spans="7:8" ht="15" customHeight="1" x14ac:dyDescent="0.4">
      <c r="G6420" s="27">
        <f t="shared" si="112"/>
        <v>0</v>
      </c>
      <c r="H6420" s="28" t="e">
        <f>VLOOKUP(E6420,'Cadastro Produtos (kiwkiw)'!C:E,3,0)</f>
        <v>#N/A</v>
      </c>
    </row>
    <row r="6421" spans="7:8" ht="15" customHeight="1" x14ac:dyDescent="0.4">
      <c r="G6421" s="27">
        <f t="shared" si="112"/>
        <v>0</v>
      </c>
      <c r="H6421" s="28" t="e">
        <f>VLOOKUP(E6421,'Cadastro Produtos (kiwkiw)'!C:E,3,0)</f>
        <v>#N/A</v>
      </c>
    </row>
    <row r="6422" spans="7:8" ht="15" customHeight="1" x14ac:dyDescent="0.4">
      <c r="G6422" s="27">
        <f t="shared" si="112"/>
        <v>0</v>
      </c>
      <c r="H6422" s="28" t="e">
        <f>VLOOKUP(E6422,'Cadastro Produtos (kiwkiw)'!C:E,3,0)</f>
        <v>#N/A</v>
      </c>
    </row>
    <row r="6423" spans="7:8" ht="15" customHeight="1" x14ac:dyDescent="0.4">
      <c r="G6423" s="27">
        <f t="shared" si="112"/>
        <v>0</v>
      </c>
      <c r="H6423" s="28" t="e">
        <f>VLOOKUP(E6423,'Cadastro Produtos (kiwkiw)'!C:E,3,0)</f>
        <v>#N/A</v>
      </c>
    </row>
    <row r="6424" spans="7:8" ht="15" customHeight="1" x14ac:dyDescent="0.4">
      <c r="G6424" s="27">
        <f t="shared" si="112"/>
        <v>0</v>
      </c>
      <c r="H6424" s="28" t="e">
        <f>VLOOKUP(E6424,'Cadastro Produtos (kiwkiw)'!C:E,3,0)</f>
        <v>#N/A</v>
      </c>
    </row>
    <row r="6425" spans="7:8" ht="15" customHeight="1" x14ac:dyDescent="0.4">
      <c r="G6425" s="27">
        <f t="shared" si="112"/>
        <v>0</v>
      </c>
      <c r="H6425" s="28" t="e">
        <f>VLOOKUP(E6425,'Cadastro Produtos (kiwkiw)'!C:E,3,0)</f>
        <v>#N/A</v>
      </c>
    </row>
    <row r="6426" spans="7:8" ht="15" customHeight="1" x14ac:dyDescent="0.4">
      <c r="G6426" s="27">
        <f t="shared" si="112"/>
        <v>0</v>
      </c>
      <c r="H6426" s="28" t="e">
        <f>VLOOKUP(E6426,'Cadastro Produtos (kiwkiw)'!C:E,3,0)</f>
        <v>#N/A</v>
      </c>
    </row>
    <row r="6427" spans="7:8" ht="15" customHeight="1" x14ac:dyDescent="0.4">
      <c r="G6427" s="27">
        <f t="shared" si="112"/>
        <v>0</v>
      </c>
      <c r="H6427" s="28" t="e">
        <f>VLOOKUP(E6427,'Cadastro Produtos (kiwkiw)'!C:E,3,0)</f>
        <v>#N/A</v>
      </c>
    </row>
    <row r="6428" spans="7:8" ht="15" customHeight="1" x14ac:dyDescent="0.4">
      <c r="G6428" s="27">
        <f t="shared" si="112"/>
        <v>0</v>
      </c>
      <c r="H6428" s="28" t="e">
        <f>VLOOKUP(E6428,'Cadastro Produtos (kiwkiw)'!C:E,3,0)</f>
        <v>#N/A</v>
      </c>
    </row>
    <row r="6429" spans="7:8" ht="15" customHeight="1" x14ac:dyDescent="0.4">
      <c r="G6429" s="27">
        <f t="shared" si="112"/>
        <v>0</v>
      </c>
      <c r="H6429" s="28" t="e">
        <f>VLOOKUP(E6429,'Cadastro Produtos (kiwkiw)'!C:E,3,0)</f>
        <v>#N/A</v>
      </c>
    </row>
    <row r="6430" spans="7:8" ht="15" customHeight="1" x14ac:dyDescent="0.4">
      <c r="G6430" s="27">
        <f t="shared" si="112"/>
        <v>0</v>
      </c>
      <c r="H6430" s="28" t="e">
        <f>VLOOKUP(E6430,'Cadastro Produtos (kiwkiw)'!C:E,3,0)</f>
        <v>#N/A</v>
      </c>
    </row>
    <row r="6431" spans="7:8" ht="15" customHeight="1" x14ac:dyDescent="0.4">
      <c r="G6431" s="27">
        <f t="shared" si="112"/>
        <v>0</v>
      </c>
      <c r="H6431" s="28" t="e">
        <f>VLOOKUP(E6431,'Cadastro Produtos (kiwkiw)'!C:E,3,0)</f>
        <v>#N/A</v>
      </c>
    </row>
    <row r="6432" spans="7:8" ht="15" customHeight="1" x14ac:dyDescent="0.4">
      <c r="G6432" s="27">
        <f t="shared" si="112"/>
        <v>0</v>
      </c>
      <c r="H6432" s="28" t="e">
        <f>VLOOKUP(E6432,'Cadastro Produtos (kiwkiw)'!C:E,3,0)</f>
        <v>#N/A</v>
      </c>
    </row>
    <row r="6433" spans="2:8" ht="15" customHeight="1" x14ac:dyDescent="0.4">
      <c r="G6433" s="27">
        <f t="shared" si="112"/>
        <v>0</v>
      </c>
      <c r="H6433" s="28" t="e">
        <f>VLOOKUP(E6433,'Cadastro Produtos (kiwkiw)'!C:E,3,0)</f>
        <v>#N/A</v>
      </c>
    </row>
    <row r="6434" spans="2:8" ht="15" customHeight="1" x14ac:dyDescent="0.4">
      <c r="G6434" s="27">
        <f t="shared" si="112"/>
        <v>0</v>
      </c>
      <c r="H6434" s="28" t="e">
        <f>VLOOKUP(E6434,'Cadastro Produtos (kiwkiw)'!C:E,3,0)</f>
        <v>#N/A</v>
      </c>
    </row>
    <row r="6435" spans="2:8" ht="15" customHeight="1" x14ac:dyDescent="0.4">
      <c r="G6435" s="27">
        <f t="shared" si="112"/>
        <v>0</v>
      </c>
      <c r="H6435" s="28" t="e">
        <f>VLOOKUP(E6435,'Cadastro Produtos (kiwkiw)'!C:E,3,0)</f>
        <v>#N/A</v>
      </c>
    </row>
    <row r="6436" spans="2:8" ht="15" customHeight="1" x14ac:dyDescent="0.4">
      <c r="G6436" s="27">
        <f t="shared" si="112"/>
        <v>0</v>
      </c>
      <c r="H6436" s="28" t="e">
        <f>VLOOKUP(E6436,'Cadastro Produtos (kiwkiw)'!C:E,3,0)</f>
        <v>#N/A</v>
      </c>
    </row>
    <row r="6437" spans="2:8" ht="15" customHeight="1" x14ac:dyDescent="0.4">
      <c r="B6437" s="43"/>
      <c r="G6437" s="27">
        <f t="shared" si="112"/>
        <v>0</v>
      </c>
      <c r="H6437" s="28" t="e">
        <f>VLOOKUP(E6437,'Cadastro Produtos (kiwkiw)'!C:E,3,0)</f>
        <v>#N/A</v>
      </c>
    </row>
    <row r="6438" spans="2:8" ht="15" customHeight="1" x14ac:dyDescent="0.4">
      <c r="G6438" s="27">
        <f t="shared" si="112"/>
        <v>0</v>
      </c>
      <c r="H6438" s="28" t="e">
        <f>VLOOKUP(E6438,'Cadastro Produtos (kiwkiw)'!C:E,3,0)</f>
        <v>#N/A</v>
      </c>
    </row>
    <row r="6439" spans="2:8" ht="15" customHeight="1" x14ac:dyDescent="0.4">
      <c r="G6439" s="27">
        <f t="shared" si="112"/>
        <v>0</v>
      </c>
      <c r="H6439" s="28" t="e">
        <f>VLOOKUP(E6439,'Cadastro Produtos (kiwkiw)'!C:E,3,0)</f>
        <v>#N/A</v>
      </c>
    </row>
    <row r="6440" spans="2:8" ht="15" customHeight="1" x14ac:dyDescent="0.4">
      <c r="G6440" s="27">
        <f t="shared" si="112"/>
        <v>0</v>
      </c>
      <c r="H6440" s="28" t="e">
        <f>VLOOKUP(E6440,'Cadastro Produtos (kiwkiw)'!C:E,3,0)</f>
        <v>#N/A</v>
      </c>
    </row>
    <row r="6441" spans="2:8" ht="15" customHeight="1" x14ac:dyDescent="0.4">
      <c r="G6441" s="27">
        <f t="shared" si="112"/>
        <v>0</v>
      </c>
      <c r="H6441" s="28" t="e">
        <f>VLOOKUP(E6441,'Cadastro Produtos (kiwkiw)'!C:E,3,0)</f>
        <v>#N/A</v>
      </c>
    </row>
    <row r="6442" spans="2:8" ht="15" customHeight="1" x14ac:dyDescent="0.4">
      <c r="G6442" s="27">
        <f t="shared" si="112"/>
        <v>0</v>
      </c>
      <c r="H6442" s="28" t="e">
        <f>VLOOKUP(E6442,'Cadastro Produtos (kiwkiw)'!C:E,3,0)</f>
        <v>#N/A</v>
      </c>
    </row>
    <row r="6443" spans="2:8" ht="15" customHeight="1" x14ac:dyDescent="0.4">
      <c r="G6443" s="27">
        <f t="shared" si="112"/>
        <v>0</v>
      </c>
      <c r="H6443" s="28" t="e">
        <f>VLOOKUP(E6443,'Cadastro Produtos (kiwkiw)'!C:E,3,0)</f>
        <v>#N/A</v>
      </c>
    </row>
    <row r="6444" spans="2:8" ht="15" customHeight="1" x14ac:dyDescent="0.4">
      <c r="G6444" s="27">
        <f t="shared" si="112"/>
        <v>0</v>
      </c>
      <c r="H6444" s="28" t="e">
        <f>VLOOKUP(E6444,'Cadastro Produtos (kiwkiw)'!C:E,3,0)</f>
        <v>#N/A</v>
      </c>
    </row>
    <row r="6445" spans="2:8" ht="15" customHeight="1" x14ac:dyDescent="0.4">
      <c r="G6445" s="27">
        <f t="shared" si="112"/>
        <v>0</v>
      </c>
      <c r="H6445" s="28" t="e">
        <f>VLOOKUP(E6445,'Cadastro Produtos (kiwkiw)'!C:E,3,0)</f>
        <v>#N/A</v>
      </c>
    </row>
    <row r="6446" spans="2:8" ht="15" customHeight="1" x14ac:dyDescent="0.4">
      <c r="G6446" s="27">
        <f t="shared" si="112"/>
        <v>0</v>
      </c>
      <c r="H6446" s="28" t="e">
        <f>VLOOKUP(E6446,'Cadastro Produtos (kiwkiw)'!C:E,3,0)</f>
        <v>#N/A</v>
      </c>
    </row>
    <row r="6447" spans="2:8" ht="15" customHeight="1" x14ac:dyDescent="0.4">
      <c r="G6447" s="27">
        <f t="shared" si="112"/>
        <v>0</v>
      </c>
      <c r="H6447" s="28" t="e">
        <f>VLOOKUP(E6447,'Cadastro Produtos (kiwkiw)'!C:E,3,0)</f>
        <v>#N/A</v>
      </c>
    </row>
    <row r="6448" spans="2:8" ht="15" customHeight="1" x14ac:dyDescent="0.4">
      <c r="G6448" s="27">
        <f t="shared" si="112"/>
        <v>0</v>
      </c>
      <c r="H6448" s="28" t="e">
        <f>VLOOKUP(E6448,'Cadastro Produtos (kiwkiw)'!C:E,3,0)</f>
        <v>#N/A</v>
      </c>
    </row>
    <row r="6449" spans="7:8" ht="15" customHeight="1" x14ac:dyDescent="0.4">
      <c r="G6449" s="27">
        <f t="shared" si="112"/>
        <v>0</v>
      </c>
      <c r="H6449" s="28" t="e">
        <f>VLOOKUP(E6449,'Cadastro Produtos (kiwkiw)'!C:E,3,0)</f>
        <v>#N/A</v>
      </c>
    </row>
    <row r="6450" spans="7:8" ht="15" customHeight="1" x14ac:dyDescent="0.4">
      <c r="G6450" s="27">
        <f t="shared" si="112"/>
        <v>0</v>
      </c>
      <c r="H6450" s="28" t="e">
        <f>VLOOKUP(E6450,'Cadastro Produtos (kiwkiw)'!C:E,3,0)</f>
        <v>#N/A</v>
      </c>
    </row>
    <row r="6451" spans="7:8" ht="15" customHeight="1" x14ac:dyDescent="0.4">
      <c r="G6451" s="27">
        <f t="shared" si="112"/>
        <v>0</v>
      </c>
      <c r="H6451" s="28" t="e">
        <f>VLOOKUP(E6451,'Cadastro Produtos (kiwkiw)'!C:E,3,0)</f>
        <v>#N/A</v>
      </c>
    </row>
    <row r="6452" spans="7:8" ht="15" customHeight="1" x14ac:dyDescent="0.4">
      <c r="G6452" s="27">
        <f t="shared" si="112"/>
        <v>0</v>
      </c>
      <c r="H6452" s="28" t="e">
        <f>VLOOKUP(E6452,'Cadastro Produtos (kiwkiw)'!C:E,3,0)</f>
        <v>#N/A</v>
      </c>
    </row>
    <row r="6453" spans="7:8" ht="15" customHeight="1" x14ac:dyDescent="0.4">
      <c r="G6453" s="27">
        <f t="shared" si="112"/>
        <v>0</v>
      </c>
      <c r="H6453" s="28" t="e">
        <f>VLOOKUP(E6453,'Cadastro Produtos (kiwkiw)'!C:E,3,0)</f>
        <v>#N/A</v>
      </c>
    </row>
    <row r="6454" spans="7:8" ht="15" customHeight="1" x14ac:dyDescent="0.4">
      <c r="G6454" s="27">
        <f t="shared" si="112"/>
        <v>0</v>
      </c>
      <c r="H6454" s="28" t="e">
        <f>VLOOKUP(E6454,'Cadastro Produtos (kiwkiw)'!C:E,3,0)</f>
        <v>#N/A</v>
      </c>
    </row>
    <row r="6455" spans="7:8" ht="15" customHeight="1" x14ac:dyDescent="0.4">
      <c r="G6455" s="27">
        <f t="shared" si="112"/>
        <v>0</v>
      </c>
      <c r="H6455" s="28" t="e">
        <f>VLOOKUP(E6455,'Cadastro Produtos (kiwkiw)'!C:E,3,0)</f>
        <v>#N/A</v>
      </c>
    </row>
    <row r="6456" spans="7:8" ht="15" customHeight="1" x14ac:dyDescent="0.4">
      <c r="G6456" s="27">
        <f t="shared" si="112"/>
        <v>0</v>
      </c>
      <c r="H6456" s="28" t="e">
        <f>VLOOKUP(E6456,'Cadastro Produtos (kiwkiw)'!C:E,3,0)</f>
        <v>#N/A</v>
      </c>
    </row>
    <row r="6457" spans="7:8" ht="15" customHeight="1" x14ac:dyDescent="0.4">
      <c r="G6457" s="27">
        <f t="shared" si="112"/>
        <v>0</v>
      </c>
      <c r="H6457" s="28" t="e">
        <f>VLOOKUP(E6457,'Cadastro Produtos (kiwkiw)'!C:E,3,0)</f>
        <v>#N/A</v>
      </c>
    </row>
    <row r="6458" spans="7:8" ht="15" customHeight="1" x14ac:dyDescent="0.4">
      <c r="G6458" s="27">
        <f t="shared" si="112"/>
        <v>0</v>
      </c>
      <c r="H6458" s="28" t="e">
        <f>VLOOKUP(E6458,'Cadastro Produtos (kiwkiw)'!C:E,3,0)</f>
        <v>#N/A</v>
      </c>
    </row>
    <row r="6459" spans="7:8" ht="15" customHeight="1" x14ac:dyDescent="0.4">
      <c r="G6459" s="27">
        <f t="shared" si="112"/>
        <v>0</v>
      </c>
      <c r="H6459" s="28" t="e">
        <f>VLOOKUP(E6459,'Cadastro Produtos (kiwkiw)'!C:E,3,0)</f>
        <v>#N/A</v>
      </c>
    </row>
    <row r="6460" spans="7:8" ht="15" customHeight="1" x14ac:dyDescent="0.4">
      <c r="G6460" s="27">
        <f t="shared" si="112"/>
        <v>0</v>
      </c>
      <c r="H6460" s="28" t="e">
        <f>VLOOKUP(E6460,'Cadastro Produtos (kiwkiw)'!C:E,3,0)</f>
        <v>#N/A</v>
      </c>
    </row>
    <row r="6461" spans="7:8" ht="15" customHeight="1" x14ac:dyDescent="0.4">
      <c r="G6461" s="27">
        <f t="shared" si="112"/>
        <v>0</v>
      </c>
      <c r="H6461" s="28" t="e">
        <f>VLOOKUP(E6461,'Cadastro Produtos (kiwkiw)'!C:E,3,0)</f>
        <v>#N/A</v>
      </c>
    </row>
    <row r="6462" spans="7:8" ht="15" customHeight="1" x14ac:dyDescent="0.4">
      <c r="G6462" s="27">
        <f t="shared" si="112"/>
        <v>0</v>
      </c>
      <c r="H6462" s="28" t="e">
        <f>VLOOKUP(E6462,'Cadastro Produtos (kiwkiw)'!C:E,3,0)</f>
        <v>#N/A</v>
      </c>
    </row>
    <row r="6463" spans="7:8" ht="15" customHeight="1" x14ac:dyDescent="0.4">
      <c r="G6463" s="27">
        <f t="shared" si="112"/>
        <v>0</v>
      </c>
      <c r="H6463" s="28" t="e">
        <f>VLOOKUP(E6463,'Cadastro Produtos (kiwkiw)'!C:E,3,0)</f>
        <v>#N/A</v>
      </c>
    </row>
    <row r="6464" spans="7:8" ht="15" customHeight="1" x14ac:dyDescent="0.4">
      <c r="G6464" s="27">
        <f t="shared" si="112"/>
        <v>0</v>
      </c>
      <c r="H6464" s="28" t="e">
        <f>VLOOKUP(E6464,'Cadastro Produtos (kiwkiw)'!C:E,3,0)</f>
        <v>#N/A</v>
      </c>
    </row>
    <row r="6465" spans="7:8" ht="15" customHeight="1" x14ac:dyDescent="0.4">
      <c r="G6465" s="27">
        <f t="shared" si="112"/>
        <v>0</v>
      </c>
      <c r="H6465" s="28" t="e">
        <f>VLOOKUP(E6465,'Cadastro Produtos (kiwkiw)'!C:E,3,0)</f>
        <v>#N/A</v>
      </c>
    </row>
    <row r="6466" spans="7:8" ht="15" customHeight="1" x14ac:dyDescent="0.4">
      <c r="G6466" s="27">
        <f t="shared" si="112"/>
        <v>0</v>
      </c>
      <c r="H6466" s="28" t="e">
        <f>VLOOKUP(E6466,'Cadastro Produtos (kiwkiw)'!C:E,3,0)</f>
        <v>#N/A</v>
      </c>
    </row>
    <row r="6467" spans="7:8" ht="15" customHeight="1" x14ac:dyDescent="0.4">
      <c r="G6467" s="27">
        <f t="shared" si="112"/>
        <v>0</v>
      </c>
      <c r="H6467" s="28" t="e">
        <f>VLOOKUP(E6467,'Cadastro Produtos (kiwkiw)'!C:E,3,0)</f>
        <v>#N/A</v>
      </c>
    </row>
    <row r="6468" spans="7:8" ht="15" customHeight="1" x14ac:dyDescent="0.4">
      <c r="G6468" s="27">
        <f t="shared" si="112"/>
        <v>0</v>
      </c>
      <c r="H6468" s="28" t="e">
        <f>VLOOKUP(E6468,'Cadastro Produtos (kiwkiw)'!C:E,3,0)</f>
        <v>#N/A</v>
      </c>
    </row>
    <row r="6469" spans="7:8" ht="15" customHeight="1" x14ac:dyDescent="0.4">
      <c r="G6469" s="27">
        <f t="shared" si="112"/>
        <v>0</v>
      </c>
      <c r="H6469" s="28" t="e">
        <f>VLOOKUP(E6469,'Cadastro Produtos (kiwkiw)'!C:E,3,0)</f>
        <v>#N/A</v>
      </c>
    </row>
    <row r="6470" spans="7:8" ht="15" customHeight="1" x14ac:dyDescent="0.4">
      <c r="G6470" s="27">
        <f t="shared" si="112"/>
        <v>0</v>
      </c>
      <c r="H6470" s="28" t="e">
        <f>VLOOKUP(E6470,'Cadastro Produtos (kiwkiw)'!C:E,3,0)</f>
        <v>#N/A</v>
      </c>
    </row>
    <row r="6471" spans="7:8" ht="15" customHeight="1" x14ac:dyDescent="0.4">
      <c r="G6471" s="27">
        <f t="shared" si="112"/>
        <v>0</v>
      </c>
      <c r="H6471" s="28" t="e">
        <f>VLOOKUP(E6471,'Cadastro Produtos (kiwkiw)'!C:E,3,0)</f>
        <v>#N/A</v>
      </c>
    </row>
    <row r="6472" spans="7:8" ht="15" customHeight="1" x14ac:dyDescent="0.4">
      <c r="G6472" s="27">
        <f t="shared" si="112"/>
        <v>0</v>
      </c>
      <c r="H6472" s="28" t="e">
        <f>VLOOKUP(E6472,'Cadastro Produtos (kiwkiw)'!C:E,3,0)</f>
        <v>#N/A</v>
      </c>
    </row>
    <row r="6473" spans="7:8" ht="15" customHeight="1" x14ac:dyDescent="0.4">
      <c r="G6473" s="27">
        <f t="shared" si="112"/>
        <v>0</v>
      </c>
      <c r="H6473" s="28" t="e">
        <f>VLOOKUP(E6473,'Cadastro Produtos (kiwkiw)'!C:E,3,0)</f>
        <v>#N/A</v>
      </c>
    </row>
    <row r="6474" spans="7:8" ht="15" customHeight="1" x14ac:dyDescent="0.4">
      <c r="G6474" s="27">
        <f t="shared" si="112"/>
        <v>0</v>
      </c>
      <c r="H6474" s="28" t="e">
        <f>VLOOKUP(E6474,'Cadastro Produtos (kiwkiw)'!C:E,3,0)</f>
        <v>#N/A</v>
      </c>
    </row>
    <row r="6475" spans="7:8" ht="15" customHeight="1" x14ac:dyDescent="0.4">
      <c r="G6475" s="27">
        <f t="shared" si="112"/>
        <v>0</v>
      </c>
      <c r="H6475" s="28" t="e">
        <f>VLOOKUP(E6475,'Cadastro Produtos (kiwkiw)'!C:E,3,0)</f>
        <v>#N/A</v>
      </c>
    </row>
    <row r="6476" spans="7:8" ht="15" customHeight="1" x14ac:dyDescent="0.4">
      <c r="G6476" s="27">
        <f t="shared" si="112"/>
        <v>0</v>
      </c>
      <c r="H6476" s="28" t="e">
        <f>VLOOKUP(E6476,'Cadastro Produtos (kiwkiw)'!C:E,3,0)</f>
        <v>#N/A</v>
      </c>
    </row>
    <row r="6477" spans="7:8" ht="15" customHeight="1" x14ac:dyDescent="0.4">
      <c r="G6477" s="27">
        <f t="shared" si="112"/>
        <v>0</v>
      </c>
      <c r="H6477" s="28" t="e">
        <f>VLOOKUP(E6477,'Cadastro Produtos (kiwkiw)'!C:E,3,0)</f>
        <v>#N/A</v>
      </c>
    </row>
    <row r="6478" spans="7:8" ht="15" customHeight="1" x14ac:dyDescent="0.4">
      <c r="G6478" s="27">
        <f t="shared" si="112"/>
        <v>0</v>
      </c>
      <c r="H6478" s="28" t="e">
        <f>VLOOKUP(E6478,'Cadastro Produtos (kiwkiw)'!C:E,3,0)</f>
        <v>#N/A</v>
      </c>
    </row>
    <row r="6479" spans="7:8" ht="15" customHeight="1" x14ac:dyDescent="0.4">
      <c r="G6479" s="27">
        <f t="shared" si="112"/>
        <v>0</v>
      </c>
      <c r="H6479" s="28" t="e">
        <f>VLOOKUP(E6479,'Cadastro Produtos (kiwkiw)'!C:E,3,0)</f>
        <v>#N/A</v>
      </c>
    </row>
    <row r="6480" spans="7:8" ht="15" customHeight="1" x14ac:dyDescent="0.4">
      <c r="G6480" s="27">
        <f t="shared" si="112"/>
        <v>0</v>
      </c>
      <c r="H6480" s="28" t="e">
        <f>VLOOKUP(E6480,'Cadastro Produtos (kiwkiw)'!C:E,3,0)</f>
        <v>#N/A</v>
      </c>
    </row>
    <row r="6481" spans="7:8" ht="15" customHeight="1" x14ac:dyDescent="0.4">
      <c r="G6481" s="27">
        <f t="shared" si="112"/>
        <v>0</v>
      </c>
      <c r="H6481" s="28" t="e">
        <f>VLOOKUP(E6481,'Cadastro Produtos (kiwkiw)'!C:E,3,0)</f>
        <v>#N/A</v>
      </c>
    </row>
    <row r="6482" spans="7:8" ht="15" customHeight="1" x14ac:dyDescent="0.4">
      <c r="G6482" s="27">
        <f t="shared" ref="G6482:G6545" si="113">IF(C6482="Entrada",F6482,-F6482)</f>
        <v>0</v>
      </c>
      <c r="H6482" s="28" t="e">
        <f>VLOOKUP(E6482,'Cadastro Produtos (kiwkiw)'!C:E,3,0)</f>
        <v>#N/A</v>
      </c>
    </row>
    <row r="6483" spans="7:8" ht="15" customHeight="1" x14ac:dyDescent="0.4">
      <c r="G6483" s="27">
        <f t="shared" si="113"/>
        <v>0</v>
      </c>
      <c r="H6483" s="28" t="e">
        <f>VLOOKUP(E6483,'Cadastro Produtos (kiwkiw)'!C:E,3,0)</f>
        <v>#N/A</v>
      </c>
    </row>
    <row r="6484" spans="7:8" ht="15" customHeight="1" x14ac:dyDescent="0.4">
      <c r="G6484" s="27">
        <f t="shared" si="113"/>
        <v>0</v>
      </c>
      <c r="H6484" s="28" t="e">
        <f>VLOOKUP(E6484,'Cadastro Produtos (kiwkiw)'!C:E,3,0)</f>
        <v>#N/A</v>
      </c>
    </row>
    <row r="6485" spans="7:8" ht="15" customHeight="1" x14ac:dyDescent="0.4">
      <c r="G6485" s="27">
        <f t="shared" si="113"/>
        <v>0</v>
      </c>
      <c r="H6485" s="28" t="e">
        <f>VLOOKUP(E6485,'Cadastro Produtos (kiwkiw)'!C:E,3,0)</f>
        <v>#N/A</v>
      </c>
    </row>
    <row r="6486" spans="7:8" ht="15" customHeight="1" x14ac:dyDescent="0.4">
      <c r="G6486" s="27">
        <f t="shared" si="113"/>
        <v>0</v>
      </c>
      <c r="H6486" s="28" t="e">
        <f>VLOOKUP(E6486,'Cadastro Produtos (kiwkiw)'!C:E,3,0)</f>
        <v>#N/A</v>
      </c>
    </row>
    <row r="6487" spans="7:8" ht="15" customHeight="1" x14ac:dyDescent="0.4">
      <c r="G6487" s="27">
        <f t="shared" si="113"/>
        <v>0</v>
      </c>
      <c r="H6487" s="28" t="e">
        <f>VLOOKUP(E6487,'Cadastro Produtos (kiwkiw)'!C:E,3,0)</f>
        <v>#N/A</v>
      </c>
    </row>
    <row r="6488" spans="7:8" ht="15" customHeight="1" x14ac:dyDescent="0.4">
      <c r="G6488" s="27">
        <f t="shared" si="113"/>
        <v>0</v>
      </c>
      <c r="H6488" s="28" t="e">
        <f>VLOOKUP(E6488,'Cadastro Produtos (kiwkiw)'!C:E,3,0)</f>
        <v>#N/A</v>
      </c>
    </row>
    <row r="6489" spans="7:8" ht="15" customHeight="1" x14ac:dyDescent="0.4">
      <c r="G6489" s="27">
        <f t="shared" si="113"/>
        <v>0</v>
      </c>
      <c r="H6489" s="28" t="e">
        <f>VLOOKUP(E6489,'Cadastro Produtos (kiwkiw)'!C:E,3,0)</f>
        <v>#N/A</v>
      </c>
    </row>
    <row r="6490" spans="7:8" ht="15" customHeight="1" x14ac:dyDescent="0.4">
      <c r="G6490" s="27">
        <f t="shared" si="113"/>
        <v>0</v>
      </c>
      <c r="H6490" s="28" t="e">
        <f>VLOOKUP(E6490,'Cadastro Produtos (kiwkiw)'!C:E,3,0)</f>
        <v>#N/A</v>
      </c>
    </row>
    <row r="6491" spans="7:8" ht="15" customHeight="1" x14ac:dyDescent="0.4">
      <c r="G6491" s="27">
        <f t="shared" si="113"/>
        <v>0</v>
      </c>
      <c r="H6491" s="28" t="e">
        <f>VLOOKUP(E6491,'Cadastro Produtos (kiwkiw)'!C:E,3,0)</f>
        <v>#N/A</v>
      </c>
    </row>
    <row r="6492" spans="7:8" ht="15" customHeight="1" x14ac:dyDescent="0.4">
      <c r="G6492" s="27">
        <f t="shared" si="113"/>
        <v>0</v>
      </c>
      <c r="H6492" s="28" t="e">
        <f>VLOOKUP(E6492,'Cadastro Produtos (kiwkiw)'!C:E,3,0)</f>
        <v>#N/A</v>
      </c>
    </row>
    <row r="6493" spans="7:8" ht="15" customHeight="1" x14ac:dyDescent="0.4">
      <c r="G6493" s="27">
        <f t="shared" si="113"/>
        <v>0</v>
      </c>
      <c r="H6493" s="28" t="e">
        <f>VLOOKUP(E6493,'Cadastro Produtos (kiwkiw)'!C:E,3,0)</f>
        <v>#N/A</v>
      </c>
    </row>
    <row r="6494" spans="7:8" ht="15" customHeight="1" x14ac:dyDescent="0.4">
      <c r="G6494" s="27">
        <f t="shared" si="113"/>
        <v>0</v>
      </c>
      <c r="H6494" s="28" t="e">
        <f>VLOOKUP(E6494,'Cadastro Produtos (kiwkiw)'!C:E,3,0)</f>
        <v>#N/A</v>
      </c>
    </row>
    <row r="6495" spans="7:8" ht="15" customHeight="1" x14ac:dyDescent="0.4">
      <c r="G6495" s="27">
        <f t="shared" si="113"/>
        <v>0</v>
      </c>
      <c r="H6495" s="28" t="e">
        <f>VLOOKUP(E6495,'Cadastro Produtos (kiwkiw)'!C:E,3,0)</f>
        <v>#N/A</v>
      </c>
    </row>
    <row r="6496" spans="7:8" ht="15" customHeight="1" x14ac:dyDescent="0.4">
      <c r="G6496" s="27">
        <f t="shared" si="113"/>
        <v>0</v>
      </c>
      <c r="H6496" s="28" t="e">
        <f>VLOOKUP(E6496,'Cadastro Produtos (kiwkiw)'!C:E,3,0)</f>
        <v>#N/A</v>
      </c>
    </row>
    <row r="6497" spans="2:8" ht="15" customHeight="1" x14ac:dyDescent="0.4">
      <c r="G6497" s="27">
        <f t="shared" si="113"/>
        <v>0</v>
      </c>
      <c r="H6497" s="28" t="e">
        <f>VLOOKUP(E6497,'Cadastro Produtos (kiwkiw)'!C:E,3,0)</f>
        <v>#N/A</v>
      </c>
    </row>
    <row r="6498" spans="2:8" ht="15" customHeight="1" x14ac:dyDescent="0.4">
      <c r="G6498" s="27">
        <f t="shared" si="113"/>
        <v>0</v>
      </c>
      <c r="H6498" s="28" t="e">
        <f>VLOOKUP(E6498,'Cadastro Produtos (kiwkiw)'!C:E,3,0)</f>
        <v>#N/A</v>
      </c>
    </row>
    <row r="6499" spans="2:8" ht="15" customHeight="1" x14ac:dyDescent="0.4">
      <c r="G6499" s="27">
        <f t="shared" si="113"/>
        <v>0</v>
      </c>
      <c r="H6499" s="28" t="e">
        <f>VLOOKUP(E6499,'Cadastro Produtos (kiwkiw)'!C:E,3,0)</f>
        <v>#N/A</v>
      </c>
    </row>
    <row r="6500" spans="2:8" ht="15" customHeight="1" x14ac:dyDescent="0.4">
      <c r="B6500" s="43"/>
      <c r="G6500" s="27">
        <f t="shared" si="113"/>
        <v>0</v>
      </c>
      <c r="H6500" s="28" t="e">
        <f>VLOOKUP(E6500,'Cadastro Produtos (kiwkiw)'!C:E,3,0)</f>
        <v>#N/A</v>
      </c>
    </row>
    <row r="6501" spans="2:8" ht="15" customHeight="1" x14ac:dyDescent="0.4">
      <c r="G6501" s="27">
        <f t="shared" si="113"/>
        <v>0</v>
      </c>
      <c r="H6501" s="28" t="e">
        <f>VLOOKUP(E6501,'Cadastro Produtos (kiwkiw)'!C:E,3,0)</f>
        <v>#N/A</v>
      </c>
    </row>
    <row r="6502" spans="2:8" ht="15" customHeight="1" x14ac:dyDescent="0.4">
      <c r="G6502" s="27">
        <f t="shared" si="113"/>
        <v>0</v>
      </c>
      <c r="H6502" s="28" t="e">
        <f>VLOOKUP(E6502,'Cadastro Produtos (kiwkiw)'!C:E,3,0)</f>
        <v>#N/A</v>
      </c>
    </row>
    <row r="6503" spans="2:8" ht="15" customHeight="1" x14ac:dyDescent="0.4">
      <c r="G6503" s="27">
        <f t="shared" si="113"/>
        <v>0</v>
      </c>
      <c r="H6503" s="28" t="e">
        <f>VLOOKUP(E6503,'Cadastro Produtos (kiwkiw)'!C:E,3,0)</f>
        <v>#N/A</v>
      </c>
    </row>
    <row r="6504" spans="2:8" ht="15" customHeight="1" x14ac:dyDescent="0.4">
      <c r="G6504" s="27">
        <f t="shared" si="113"/>
        <v>0</v>
      </c>
      <c r="H6504" s="28" t="e">
        <f>VLOOKUP(E6504,'Cadastro Produtos (kiwkiw)'!C:E,3,0)</f>
        <v>#N/A</v>
      </c>
    </row>
    <row r="6505" spans="2:8" ht="15" customHeight="1" x14ac:dyDescent="0.4">
      <c r="G6505" s="27">
        <f t="shared" si="113"/>
        <v>0</v>
      </c>
      <c r="H6505" s="28" t="e">
        <f>VLOOKUP(E6505,'Cadastro Produtos (kiwkiw)'!C:E,3,0)</f>
        <v>#N/A</v>
      </c>
    </row>
    <row r="6506" spans="2:8" ht="15" customHeight="1" x14ac:dyDescent="0.4">
      <c r="G6506" s="27">
        <f t="shared" si="113"/>
        <v>0</v>
      </c>
      <c r="H6506" s="28" t="e">
        <f>VLOOKUP(E6506,'Cadastro Produtos (kiwkiw)'!C:E,3,0)</f>
        <v>#N/A</v>
      </c>
    </row>
    <row r="6507" spans="2:8" ht="15" customHeight="1" x14ac:dyDescent="0.4">
      <c r="G6507" s="27">
        <f t="shared" si="113"/>
        <v>0</v>
      </c>
      <c r="H6507" s="28" t="e">
        <f>VLOOKUP(E6507,'Cadastro Produtos (kiwkiw)'!C:E,3,0)</f>
        <v>#N/A</v>
      </c>
    </row>
    <row r="6508" spans="2:8" ht="15" customHeight="1" x14ac:dyDescent="0.4">
      <c r="G6508" s="27">
        <f t="shared" si="113"/>
        <v>0</v>
      </c>
      <c r="H6508" s="28" t="e">
        <f>VLOOKUP(E6508,'Cadastro Produtos (kiwkiw)'!C:E,3,0)</f>
        <v>#N/A</v>
      </c>
    </row>
    <row r="6509" spans="2:8" ht="15" customHeight="1" x14ac:dyDescent="0.4">
      <c r="G6509" s="27">
        <f t="shared" si="113"/>
        <v>0</v>
      </c>
      <c r="H6509" s="28" t="e">
        <f>VLOOKUP(E6509,'Cadastro Produtos (kiwkiw)'!C:E,3,0)</f>
        <v>#N/A</v>
      </c>
    </row>
    <row r="6510" spans="2:8" ht="15" customHeight="1" x14ac:dyDescent="0.4">
      <c r="G6510" s="27">
        <f t="shared" si="113"/>
        <v>0</v>
      </c>
      <c r="H6510" s="28" t="e">
        <f>VLOOKUP(E6510,'Cadastro Produtos (kiwkiw)'!C:E,3,0)</f>
        <v>#N/A</v>
      </c>
    </row>
    <row r="6511" spans="2:8" ht="15" customHeight="1" x14ac:dyDescent="0.4">
      <c r="G6511" s="27">
        <f t="shared" si="113"/>
        <v>0</v>
      </c>
      <c r="H6511" s="28" t="e">
        <f>VLOOKUP(E6511,'Cadastro Produtos (kiwkiw)'!C:E,3,0)</f>
        <v>#N/A</v>
      </c>
    </row>
    <row r="6512" spans="2:8" ht="15" customHeight="1" x14ac:dyDescent="0.4">
      <c r="G6512" s="27">
        <f t="shared" si="113"/>
        <v>0</v>
      </c>
      <c r="H6512" s="28" t="e">
        <f>VLOOKUP(E6512,'Cadastro Produtos (kiwkiw)'!C:E,3,0)</f>
        <v>#N/A</v>
      </c>
    </row>
    <row r="6513" spans="7:8" ht="15" customHeight="1" x14ac:dyDescent="0.4">
      <c r="G6513" s="27">
        <f t="shared" si="113"/>
        <v>0</v>
      </c>
      <c r="H6513" s="28" t="e">
        <f>VLOOKUP(E6513,'Cadastro Produtos (kiwkiw)'!C:E,3,0)</f>
        <v>#N/A</v>
      </c>
    </row>
    <row r="6514" spans="7:8" ht="15" customHeight="1" x14ac:dyDescent="0.4">
      <c r="G6514" s="27">
        <f t="shared" si="113"/>
        <v>0</v>
      </c>
      <c r="H6514" s="28" t="e">
        <f>VLOOKUP(E6514,'Cadastro Produtos (kiwkiw)'!C:E,3,0)</f>
        <v>#N/A</v>
      </c>
    </row>
    <row r="6515" spans="7:8" ht="15" customHeight="1" x14ac:dyDescent="0.4">
      <c r="G6515" s="27">
        <f t="shared" si="113"/>
        <v>0</v>
      </c>
      <c r="H6515" s="28" t="e">
        <f>VLOOKUP(E6515,'Cadastro Produtos (kiwkiw)'!C:E,3,0)</f>
        <v>#N/A</v>
      </c>
    </row>
    <row r="6516" spans="7:8" ht="15" customHeight="1" x14ac:dyDescent="0.4">
      <c r="G6516" s="27">
        <f t="shared" si="113"/>
        <v>0</v>
      </c>
      <c r="H6516" s="28" t="e">
        <f>VLOOKUP(E6516,'Cadastro Produtos (kiwkiw)'!C:E,3,0)</f>
        <v>#N/A</v>
      </c>
    </row>
    <row r="6517" spans="7:8" ht="15" customHeight="1" x14ac:dyDescent="0.4">
      <c r="G6517" s="27">
        <f t="shared" si="113"/>
        <v>0</v>
      </c>
      <c r="H6517" s="28" t="e">
        <f>VLOOKUP(E6517,'Cadastro Produtos (kiwkiw)'!C:E,3,0)</f>
        <v>#N/A</v>
      </c>
    </row>
    <row r="6518" spans="7:8" ht="15" customHeight="1" x14ac:dyDescent="0.4">
      <c r="G6518" s="27">
        <f t="shared" si="113"/>
        <v>0</v>
      </c>
      <c r="H6518" s="28" t="e">
        <f>VLOOKUP(E6518,'Cadastro Produtos (kiwkiw)'!C:E,3,0)</f>
        <v>#N/A</v>
      </c>
    </row>
    <row r="6519" spans="7:8" ht="15" customHeight="1" x14ac:dyDescent="0.4">
      <c r="G6519" s="27">
        <f t="shared" si="113"/>
        <v>0</v>
      </c>
      <c r="H6519" s="28" t="e">
        <f>VLOOKUP(E6519,'Cadastro Produtos (kiwkiw)'!C:E,3,0)</f>
        <v>#N/A</v>
      </c>
    </row>
    <row r="6520" spans="7:8" ht="15" customHeight="1" x14ac:dyDescent="0.4">
      <c r="G6520" s="27">
        <f t="shared" si="113"/>
        <v>0</v>
      </c>
      <c r="H6520" s="28" t="e">
        <f>VLOOKUP(E6520,'Cadastro Produtos (kiwkiw)'!C:E,3,0)</f>
        <v>#N/A</v>
      </c>
    </row>
    <row r="6521" spans="7:8" ht="15" customHeight="1" x14ac:dyDescent="0.4">
      <c r="G6521" s="27">
        <f t="shared" si="113"/>
        <v>0</v>
      </c>
      <c r="H6521" s="28" t="e">
        <f>VLOOKUP(E6521,'Cadastro Produtos (kiwkiw)'!C:E,3,0)</f>
        <v>#N/A</v>
      </c>
    </row>
    <row r="6522" spans="7:8" ht="15" customHeight="1" x14ac:dyDescent="0.4">
      <c r="G6522" s="27">
        <f t="shared" si="113"/>
        <v>0</v>
      </c>
      <c r="H6522" s="28" t="e">
        <f>VLOOKUP(E6522,'Cadastro Produtos (kiwkiw)'!C:E,3,0)</f>
        <v>#N/A</v>
      </c>
    </row>
    <row r="6523" spans="7:8" ht="15" customHeight="1" x14ac:dyDescent="0.4">
      <c r="G6523" s="27">
        <f t="shared" si="113"/>
        <v>0</v>
      </c>
      <c r="H6523" s="28" t="e">
        <f>VLOOKUP(E6523,'Cadastro Produtos (kiwkiw)'!C:E,3,0)</f>
        <v>#N/A</v>
      </c>
    </row>
    <row r="6524" spans="7:8" ht="15" customHeight="1" x14ac:dyDescent="0.4">
      <c r="G6524" s="27">
        <f t="shared" si="113"/>
        <v>0</v>
      </c>
      <c r="H6524" s="28" t="e">
        <f>VLOOKUP(E6524,'Cadastro Produtos (kiwkiw)'!C:E,3,0)</f>
        <v>#N/A</v>
      </c>
    </row>
    <row r="6525" spans="7:8" ht="15" customHeight="1" x14ac:dyDescent="0.4">
      <c r="G6525" s="27">
        <f t="shared" si="113"/>
        <v>0</v>
      </c>
      <c r="H6525" s="28" t="e">
        <f>VLOOKUP(E6525,'Cadastro Produtos (kiwkiw)'!C:E,3,0)</f>
        <v>#N/A</v>
      </c>
    </row>
    <row r="6526" spans="7:8" ht="15" customHeight="1" x14ac:dyDescent="0.4">
      <c r="G6526" s="27">
        <f t="shared" si="113"/>
        <v>0</v>
      </c>
      <c r="H6526" s="28" t="e">
        <f>VLOOKUP(E6526,'Cadastro Produtos (kiwkiw)'!C:E,3,0)</f>
        <v>#N/A</v>
      </c>
    </row>
    <row r="6527" spans="7:8" ht="15" customHeight="1" x14ac:dyDescent="0.4">
      <c r="G6527" s="27">
        <f t="shared" si="113"/>
        <v>0</v>
      </c>
      <c r="H6527" s="28" t="e">
        <f>VLOOKUP(E6527,'Cadastro Produtos (kiwkiw)'!C:E,3,0)</f>
        <v>#N/A</v>
      </c>
    </row>
    <row r="6528" spans="7:8" ht="15" customHeight="1" x14ac:dyDescent="0.4">
      <c r="G6528" s="27">
        <f t="shared" si="113"/>
        <v>0</v>
      </c>
      <c r="H6528" s="28" t="e">
        <f>VLOOKUP(E6528,'Cadastro Produtos (kiwkiw)'!C:E,3,0)</f>
        <v>#N/A</v>
      </c>
    </row>
    <row r="6529" spans="7:8" ht="15" customHeight="1" x14ac:dyDescent="0.4">
      <c r="G6529" s="27">
        <f t="shared" si="113"/>
        <v>0</v>
      </c>
      <c r="H6529" s="28" t="e">
        <f>VLOOKUP(E6529,'Cadastro Produtos (kiwkiw)'!C:E,3,0)</f>
        <v>#N/A</v>
      </c>
    </row>
    <row r="6530" spans="7:8" ht="15" customHeight="1" x14ac:dyDescent="0.4">
      <c r="G6530" s="27">
        <f t="shared" si="113"/>
        <v>0</v>
      </c>
      <c r="H6530" s="28" t="e">
        <f>VLOOKUP(E6530,'Cadastro Produtos (kiwkiw)'!C:E,3,0)</f>
        <v>#N/A</v>
      </c>
    </row>
    <row r="6531" spans="7:8" ht="15" customHeight="1" x14ac:dyDescent="0.4">
      <c r="G6531" s="27">
        <f t="shared" si="113"/>
        <v>0</v>
      </c>
      <c r="H6531" s="28" t="e">
        <f>VLOOKUP(E6531,'Cadastro Produtos (kiwkiw)'!C:E,3,0)</f>
        <v>#N/A</v>
      </c>
    </row>
    <row r="6532" spans="7:8" ht="15" customHeight="1" x14ac:dyDescent="0.4">
      <c r="G6532" s="27">
        <f t="shared" si="113"/>
        <v>0</v>
      </c>
      <c r="H6532" s="28" t="e">
        <f>VLOOKUP(E6532,'Cadastro Produtos (kiwkiw)'!C:E,3,0)</f>
        <v>#N/A</v>
      </c>
    </row>
    <row r="6533" spans="7:8" ht="15" customHeight="1" x14ac:dyDescent="0.4">
      <c r="G6533" s="27">
        <f t="shared" si="113"/>
        <v>0</v>
      </c>
      <c r="H6533" s="28" t="e">
        <f>VLOOKUP(E6533,'Cadastro Produtos (kiwkiw)'!C:E,3,0)</f>
        <v>#N/A</v>
      </c>
    </row>
    <row r="6534" spans="7:8" ht="15" customHeight="1" x14ac:dyDescent="0.4">
      <c r="G6534" s="27">
        <f t="shared" si="113"/>
        <v>0</v>
      </c>
      <c r="H6534" s="28" t="e">
        <f>VLOOKUP(E6534,'Cadastro Produtos (kiwkiw)'!C:E,3,0)</f>
        <v>#N/A</v>
      </c>
    </row>
    <row r="6535" spans="7:8" ht="15" customHeight="1" x14ac:dyDescent="0.4">
      <c r="G6535" s="27">
        <f t="shared" si="113"/>
        <v>0</v>
      </c>
      <c r="H6535" s="28" t="e">
        <f>VLOOKUP(E6535,'Cadastro Produtos (kiwkiw)'!C:E,3,0)</f>
        <v>#N/A</v>
      </c>
    </row>
    <row r="6536" spans="7:8" ht="15" customHeight="1" x14ac:dyDescent="0.4">
      <c r="G6536" s="27">
        <f t="shared" si="113"/>
        <v>0</v>
      </c>
      <c r="H6536" s="28" t="e">
        <f>VLOOKUP(E6536,'Cadastro Produtos (kiwkiw)'!C:E,3,0)</f>
        <v>#N/A</v>
      </c>
    </row>
    <row r="6537" spans="7:8" ht="15" customHeight="1" x14ac:dyDescent="0.4">
      <c r="G6537" s="27">
        <f t="shared" si="113"/>
        <v>0</v>
      </c>
      <c r="H6537" s="28" t="e">
        <f>VLOOKUP(E6537,'Cadastro Produtos (kiwkiw)'!C:E,3,0)</f>
        <v>#N/A</v>
      </c>
    </row>
    <row r="6538" spans="7:8" ht="15" customHeight="1" x14ac:dyDescent="0.4">
      <c r="G6538" s="27">
        <f t="shared" si="113"/>
        <v>0</v>
      </c>
      <c r="H6538" s="28" t="e">
        <f>VLOOKUP(E6538,'Cadastro Produtos (kiwkiw)'!C:E,3,0)</f>
        <v>#N/A</v>
      </c>
    </row>
    <row r="6539" spans="7:8" ht="15" customHeight="1" x14ac:dyDescent="0.4">
      <c r="G6539" s="27">
        <f t="shared" si="113"/>
        <v>0</v>
      </c>
      <c r="H6539" s="28" t="e">
        <f>VLOOKUP(E6539,'Cadastro Produtos (kiwkiw)'!C:E,3,0)</f>
        <v>#N/A</v>
      </c>
    </row>
    <row r="6540" spans="7:8" ht="15" customHeight="1" x14ac:dyDescent="0.4">
      <c r="G6540" s="27">
        <f t="shared" si="113"/>
        <v>0</v>
      </c>
      <c r="H6540" s="28" t="e">
        <f>VLOOKUP(E6540,'Cadastro Produtos (kiwkiw)'!C:E,3,0)</f>
        <v>#N/A</v>
      </c>
    </row>
    <row r="6541" spans="7:8" ht="15" customHeight="1" x14ac:dyDescent="0.4">
      <c r="G6541" s="27">
        <f t="shared" si="113"/>
        <v>0</v>
      </c>
      <c r="H6541" s="28" t="e">
        <f>VLOOKUP(E6541,'Cadastro Produtos (kiwkiw)'!C:E,3,0)</f>
        <v>#N/A</v>
      </c>
    </row>
    <row r="6542" spans="7:8" ht="15" customHeight="1" x14ac:dyDescent="0.4">
      <c r="G6542" s="27">
        <f t="shared" si="113"/>
        <v>0</v>
      </c>
      <c r="H6542" s="28" t="e">
        <f>VLOOKUP(E6542,'Cadastro Produtos (kiwkiw)'!C:E,3,0)</f>
        <v>#N/A</v>
      </c>
    </row>
    <row r="6543" spans="7:8" ht="15" customHeight="1" x14ac:dyDescent="0.4">
      <c r="G6543" s="27">
        <f t="shared" si="113"/>
        <v>0</v>
      </c>
      <c r="H6543" s="28" t="e">
        <f>VLOOKUP(E6543,'Cadastro Produtos (kiwkiw)'!C:E,3,0)</f>
        <v>#N/A</v>
      </c>
    </row>
    <row r="6544" spans="7:8" ht="15" customHeight="1" x14ac:dyDescent="0.4">
      <c r="G6544" s="27">
        <f t="shared" si="113"/>
        <v>0</v>
      </c>
      <c r="H6544" s="28" t="e">
        <f>VLOOKUP(E6544,'Cadastro Produtos (kiwkiw)'!C:E,3,0)</f>
        <v>#N/A</v>
      </c>
    </row>
    <row r="6545" spans="7:8" ht="15" customHeight="1" x14ac:dyDescent="0.4">
      <c r="G6545" s="27">
        <f t="shared" si="113"/>
        <v>0</v>
      </c>
      <c r="H6545" s="28" t="e">
        <f>VLOOKUP(E6545,'Cadastro Produtos (kiwkiw)'!C:E,3,0)</f>
        <v>#N/A</v>
      </c>
    </row>
    <row r="6546" spans="7:8" ht="15" customHeight="1" x14ac:dyDescent="0.4">
      <c r="G6546" s="27">
        <f t="shared" ref="G6546:G6609" si="114">IF(C6546="Entrada",F6546,-F6546)</f>
        <v>0</v>
      </c>
      <c r="H6546" s="28" t="e">
        <f>VLOOKUP(E6546,'Cadastro Produtos (kiwkiw)'!C:E,3,0)</f>
        <v>#N/A</v>
      </c>
    </row>
    <row r="6547" spans="7:8" ht="15" customHeight="1" x14ac:dyDescent="0.4">
      <c r="G6547" s="27">
        <f t="shared" si="114"/>
        <v>0</v>
      </c>
      <c r="H6547" s="28" t="e">
        <f>VLOOKUP(E6547,'Cadastro Produtos (kiwkiw)'!C:E,3,0)</f>
        <v>#N/A</v>
      </c>
    </row>
    <row r="6548" spans="7:8" ht="15" customHeight="1" x14ac:dyDescent="0.4">
      <c r="G6548" s="27">
        <f t="shared" si="114"/>
        <v>0</v>
      </c>
      <c r="H6548" s="28" t="e">
        <f>VLOOKUP(E6548,'Cadastro Produtos (kiwkiw)'!C:E,3,0)</f>
        <v>#N/A</v>
      </c>
    </row>
    <row r="6549" spans="7:8" ht="15" customHeight="1" x14ac:dyDescent="0.4">
      <c r="G6549" s="27">
        <f t="shared" si="114"/>
        <v>0</v>
      </c>
      <c r="H6549" s="28" t="e">
        <f>VLOOKUP(E6549,'Cadastro Produtos (kiwkiw)'!C:E,3,0)</f>
        <v>#N/A</v>
      </c>
    </row>
    <row r="6550" spans="7:8" ht="15" customHeight="1" x14ac:dyDescent="0.4">
      <c r="G6550" s="27">
        <f t="shared" si="114"/>
        <v>0</v>
      </c>
      <c r="H6550" s="28" t="e">
        <f>VLOOKUP(E6550,'Cadastro Produtos (kiwkiw)'!C:E,3,0)</f>
        <v>#N/A</v>
      </c>
    </row>
    <row r="6551" spans="7:8" ht="15" customHeight="1" x14ac:dyDescent="0.4">
      <c r="G6551" s="27">
        <f t="shared" si="114"/>
        <v>0</v>
      </c>
      <c r="H6551" s="28" t="e">
        <f>VLOOKUP(E6551,'Cadastro Produtos (kiwkiw)'!C:E,3,0)</f>
        <v>#N/A</v>
      </c>
    </row>
    <row r="6552" spans="7:8" ht="15" customHeight="1" x14ac:dyDescent="0.4">
      <c r="G6552" s="27">
        <f t="shared" si="114"/>
        <v>0</v>
      </c>
      <c r="H6552" s="28" t="e">
        <f>VLOOKUP(E6552,'Cadastro Produtos (kiwkiw)'!C:E,3,0)</f>
        <v>#N/A</v>
      </c>
    </row>
    <row r="6553" spans="7:8" ht="15" customHeight="1" x14ac:dyDescent="0.4">
      <c r="G6553" s="27">
        <f t="shared" si="114"/>
        <v>0</v>
      </c>
      <c r="H6553" s="28" t="e">
        <f>VLOOKUP(E6553,'Cadastro Produtos (kiwkiw)'!C:E,3,0)</f>
        <v>#N/A</v>
      </c>
    </row>
    <row r="6554" spans="7:8" ht="15" customHeight="1" x14ac:dyDescent="0.4">
      <c r="G6554" s="27">
        <f t="shared" si="114"/>
        <v>0</v>
      </c>
      <c r="H6554" s="28" t="e">
        <f>VLOOKUP(E6554,'Cadastro Produtos (kiwkiw)'!C:E,3,0)</f>
        <v>#N/A</v>
      </c>
    </row>
    <row r="6555" spans="7:8" ht="15" customHeight="1" x14ac:dyDescent="0.4">
      <c r="G6555" s="27">
        <f t="shared" si="114"/>
        <v>0</v>
      </c>
      <c r="H6555" s="28" t="e">
        <f>VLOOKUP(E6555,'Cadastro Produtos (kiwkiw)'!C:E,3,0)</f>
        <v>#N/A</v>
      </c>
    </row>
    <row r="6556" spans="7:8" ht="15" customHeight="1" x14ac:dyDescent="0.4">
      <c r="G6556" s="27">
        <f t="shared" si="114"/>
        <v>0</v>
      </c>
      <c r="H6556" s="28" t="e">
        <f>VLOOKUP(E6556,'Cadastro Produtos (kiwkiw)'!C:E,3,0)</f>
        <v>#N/A</v>
      </c>
    </row>
    <row r="6557" spans="7:8" ht="15" customHeight="1" x14ac:dyDescent="0.4">
      <c r="G6557" s="27">
        <f t="shared" si="114"/>
        <v>0</v>
      </c>
      <c r="H6557" s="28" t="e">
        <f>VLOOKUP(E6557,'Cadastro Produtos (kiwkiw)'!C:E,3,0)</f>
        <v>#N/A</v>
      </c>
    </row>
    <row r="6558" spans="7:8" ht="15" customHeight="1" x14ac:dyDescent="0.4">
      <c r="G6558" s="27">
        <f t="shared" si="114"/>
        <v>0</v>
      </c>
      <c r="H6558" s="28" t="e">
        <f>VLOOKUP(E6558,'Cadastro Produtos (kiwkiw)'!C:E,3,0)</f>
        <v>#N/A</v>
      </c>
    </row>
    <row r="6559" spans="7:8" ht="15" customHeight="1" x14ac:dyDescent="0.4">
      <c r="G6559" s="27">
        <f t="shared" si="114"/>
        <v>0</v>
      </c>
      <c r="H6559" s="28" t="e">
        <f>VLOOKUP(E6559,'Cadastro Produtos (kiwkiw)'!C:E,3,0)</f>
        <v>#N/A</v>
      </c>
    </row>
    <row r="6560" spans="7:8" ht="15" customHeight="1" x14ac:dyDescent="0.4">
      <c r="G6560" s="27">
        <f t="shared" si="114"/>
        <v>0</v>
      </c>
      <c r="H6560" s="28" t="e">
        <f>VLOOKUP(E6560,'Cadastro Produtos (kiwkiw)'!C:E,3,0)</f>
        <v>#N/A</v>
      </c>
    </row>
    <row r="6561" spans="7:8" ht="15" customHeight="1" x14ac:dyDescent="0.4">
      <c r="G6561" s="27">
        <f t="shared" si="114"/>
        <v>0</v>
      </c>
      <c r="H6561" s="28" t="e">
        <f>VLOOKUP(E6561,'Cadastro Produtos (kiwkiw)'!C:E,3,0)</f>
        <v>#N/A</v>
      </c>
    </row>
    <row r="6562" spans="7:8" ht="15" customHeight="1" x14ac:dyDescent="0.4">
      <c r="G6562" s="27">
        <f t="shared" si="114"/>
        <v>0</v>
      </c>
      <c r="H6562" s="28" t="e">
        <f>VLOOKUP(E6562,'Cadastro Produtos (kiwkiw)'!C:E,3,0)</f>
        <v>#N/A</v>
      </c>
    </row>
    <row r="6563" spans="7:8" ht="15" customHeight="1" x14ac:dyDescent="0.4">
      <c r="G6563" s="27">
        <f t="shared" si="114"/>
        <v>0</v>
      </c>
      <c r="H6563" s="28" t="e">
        <f>VLOOKUP(E6563,'Cadastro Produtos (kiwkiw)'!C:E,3,0)</f>
        <v>#N/A</v>
      </c>
    </row>
    <row r="6564" spans="7:8" ht="15" customHeight="1" x14ac:dyDescent="0.4">
      <c r="G6564" s="27">
        <f t="shared" si="114"/>
        <v>0</v>
      </c>
      <c r="H6564" s="28" t="e">
        <f>VLOOKUP(E6564,'Cadastro Produtos (kiwkiw)'!C:E,3,0)</f>
        <v>#N/A</v>
      </c>
    </row>
    <row r="6565" spans="7:8" ht="15" customHeight="1" x14ac:dyDescent="0.4">
      <c r="G6565" s="27">
        <f t="shared" si="114"/>
        <v>0</v>
      </c>
      <c r="H6565" s="28" t="e">
        <f>VLOOKUP(E6565,'Cadastro Produtos (kiwkiw)'!C:E,3,0)</f>
        <v>#N/A</v>
      </c>
    </row>
    <row r="6566" spans="7:8" ht="15" customHeight="1" x14ac:dyDescent="0.4">
      <c r="G6566" s="27">
        <f t="shared" si="114"/>
        <v>0</v>
      </c>
      <c r="H6566" s="28" t="e">
        <f>VLOOKUP(E6566,'Cadastro Produtos (kiwkiw)'!C:E,3,0)</f>
        <v>#N/A</v>
      </c>
    </row>
    <row r="6567" spans="7:8" ht="15" customHeight="1" x14ac:dyDescent="0.4">
      <c r="G6567" s="27">
        <f t="shared" si="114"/>
        <v>0</v>
      </c>
      <c r="H6567" s="28" t="e">
        <f>VLOOKUP(E6567,'Cadastro Produtos (kiwkiw)'!C:E,3,0)</f>
        <v>#N/A</v>
      </c>
    </row>
    <row r="6568" spans="7:8" ht="15" customHeight="1" x14ac:dyDescent="0.4">
      <c r="G6568" s="27">
        <f t="shared" si="114"/>
        <v>0</v>
      </c>
      <c r="H6568" s="28" t="e">
        <f>VLOOKUP(E6568,'Cadastro Produtos (kiwkiw)'!C:E,3,0)</f>
        <v>#N/A</v>
      </c>
    </row>
    <row r="6569" spans="7:8" ht="15" customHeight="1" x14ac:dyDescent="0.4">
      <c r="G6569" s="27">
        <f t="shared" si="114"/>
        <v>0</v>
      </c>
      <c r="H6569" s="28" t="e">
        <f>VLOOKUP(E6569,'Cadastro Produtos (kiwkiw)'!C:E,3,0)</f>
        <v>#N/A</v>
      </c>
    </row>
    <row r="6570" spans="7:8" ht="15" customHeight="1" x14ac:dyDescent="0.4">
      <c r="G6570" s="27">
        <f t="shared" si="114"/>
        <v>0</v>
      </c>
      <c r="H6570" s="28" t="e">
        <f>VLOOKUP(E6570,'Cadastro Produtos (kiwkiw)'!C:E,3,0)</f>
        <v>#N/A</v>
      </c>
    </row>
    <row r="6571" spans="7:8" ht="15" customHeight="1" x14ac:dyDescent="0.4">
      <c r="G6571" s="27">
        <f t="shared" si="114"/>
        <v>0</v>
      </c>
      <c r="H6571" s="28" t="e">
        <f>VLOOKUP(E6571,'Cadastro Produtos (kiwkiw)'!C:E,3,0)</f>
        <v>#N/A</v>
      </c>
    </row>
    <row r="6572" spans="7:8" ht="15" customHeight="1" x14ac:dyDescent="0.4">
      <c r="G6572" s="27">
        <f t="shared" si="114"/>
        <v>0</v>
      </c>
      <c r="H6572" s="28" t="e">
        <f>VLOOKUP(E6572,'Cadastro Produtos (kiwkiw)'!C:E,3,0)</f>
        <v>#N/A</v>
      </c>
    </row>
    <row r="6573" spans="7:8" ht="15" customHeight="1" x14ac:dyDescent="0.4">
      <c r="G6573" s="27">
        <f t="shared" si="114"/>
        <v>0</v>
      </c>
      <c r="H6573" s="28" t="e">
        <f>VLOOKUP(E6573,'Cadastro Produtos (kiwkiw)'!C:E,3,0)</f>
        <v>#N/A</v>
      </c>
    </row>
    <row r="6574" spans="7:8" ht="15" customHeight="1" x14ac:dyDescent="0.4">
      <c r="G6574" s="27">
        <f t="shared" si="114"/>
        <v>0</v>
      </c>
      <c r="H6574" s="28" t="e">
        <f>VLOOKUP(E6574,'Cadastro Produtos (kiwkiw)'!C:E,3,0)</f>
        <v>#N/A</v>
      </c>
    </row>
    <row r="6575" spans="7:8" ht="15" customHeight="1" x14ac:dyDescent="0.4">
      <c r="G6575" s="27">
        <f t="shared" si="114"/>
        <v>0</v>
      </c>
      <c r="H6575" s="28" t="e">
        <f>VLOOKUP(E6575,'Cadastro Produtos (kiwkiw)'!C:E,3,0)</f>
        <v>#N/A</v>
      </c>
    </row>
    <row r="6576" spans="7:8" ht="15" customHeight="1" x14ac:dyDescent="0.4">
      <c r="G6576" s="27">
        <f t="shared" si="114"/>
        <v>0</v>
      </c>
      <c r="H6576" s="28" t="e">
        <f>VLOOKUP(E6576,'Cadastro Produtos (kiwkiw)'!C:E,3,0)</f>
        <v>#N/A</v>
      </c>
    </row>
    <row r="6577" spans="7:8" ht="15" customHeight="1" x14ac:dyDescent="0.4">
      <c r="G6577" s="27">
        <f t="shared" si="114"/>
        <v>0</v>
      </c>
      <c r="H6577" s="28" t="e">
        <f>VLOOKUP(E6577,'Cadastro Produtos (kiwkiw)'!C:E,3,0)</f>
        <v>#N/A</v>
      </c>
    </row>
    <row r="6578" spans="7:8" ht="15" customHeight="1" x14ac:dyDescent="0.4">
      <c r="G6578" s="27">
        <f t="shared" si="114"/>
        <v>0</v>
      </c>
      <c r="H6578" s="28" t="e">
        <f>VLOOKUP(E6578,'Cadastro Produtos (kiwkiw)'!C:E,3,0)</f>
        <v>#N/A</v>
      </c>
    </row>
    <row r="6579" spans="7:8" ht="15" customHeight="1" x14ac:dyDescent="0.4">
      <c r="G6579" s="27">
        <f t="shared" si="114"/>
        <v>0</v>
      </c>
      <c r="H6579" s="28" t="e">
        <f>VLOOKUP(E6579,'Cadastro Produtos (kiwkiw)'!C:E,3,0)</f>
        <v>#N/A</v>
      </c>
    </row>
    <row r="6580" spans="7:8" ht="15" customHeight="1" x14ac:dyDescent="0.4">
      <c r="G6580" s="27">
        <f t="shared" si="114"/>
        <v>0</v>
      </c>
      <c r="H6580" s="28" t="e">
        <f>VLOOKUP(E6580,'Cadastro Produtos (kiwkiw)'!C:E,3,0)</f>
        <v>#N/A</v>
      </c>
    </row>
    <row r="6581" spans="7:8" ht="15" customHeight="1" x14ac:dyDescent="0.4">
      <c r="G6581" s="27">
        <f t="shared" si="114"/>
        <v>0</v>
      </c>
      <c r="H6581" s="28" t="e">
        <f>VLOOKUP(E6581,'Cadastro Produtos (kiwkiw)'!C:E,3,0)</f>
        <v>#N/A</v>
      </c>
    </row>
    <row r="6582" spans="7:8" ht="15" customHeight="1" x14ac:dyDescent="0.4">
      <c r="G6582" s="27">
        <f t="shared" si="114"/>
        <v>0</v>
      </c>
      <c r="H6582" s="28" t="e">
        <f>VLOOKUP(E6582,'Cadastro Produtos (kiwkiw)'!C:E,3,0)</f>
        <v>#N/A</v>
      </c>
    </row>
    <row r="6583" spans="7:8" ht="15" customHeight="1" x14ac:dyDescent="0.4">
      <c r="G6583" s="27">
        <f t="shared" si="114"/>
        <v>0</v>
      </c>
      <c r="H6583" s="28" t="e">
        <f>VLOOKUP(E6583,'Cadastro Produtos (kiwkiw)'!C:E,3,0)</f>
        <v>#N/A</v>
      </c>
    </row>
    <row r="6584" spans="7:8" ht="15" customHeight="1" x14ac:dyDescent="0.4">
      <c r="G6584" s="27">
        <f t="shared" si="114"/>
        <v>0</v>
      </c>
      <c r="H6584" s="28" t="e">
        <f>VLOOKUP(E6584,'Cadastro Produtos (kiwkiw)'!C:E,3,0)</f>
        <v>#N/A</v>
      </c>
    </row>
    <row r="6585" spans="7:8" ht="15" customHeight="1" x14ac:dyDescent="0.4">
      <c r="G6585" s="27">
        <f t="shared" si="114"/>
        <v>0</v>
      </c>
      <c r="H6585" s="28" t="e">
        <f>VLOOKUP(E6585,'Cadastro Produtos (kiwkiw)'!C:E,3,0)</f>
        <v>#N/A</v>
      </c>
    </row>
    <row r="6586" spans="7:8" ht="15" customHeight="1" x14ac:dyDescent="0.4">
      <c r="G6586" s="27">
        <f t="shared" si="114"/>
        <v>0</v>
      </c>
      <c r="H6586" s="28" t="e">
        <f>VLOOKUP(E6586,'Cadastro Produtos (kiwkiw)'!C:E,3,0)</f>
        <v>#N/A</v>
      </c>
    </row>
    <row r="6587" spans="7:8" ht="15" customHeight="1" x14ac:dyDescent="0.4">
      <c r="G6587" s="27">
        <f t="shared" si="114"/>
        <v>0</v>
      </c>
      <c r="H6587" s="28" t="e">
        <f>VLOOKUP(E6587,'Cadastro Produtos (kiwkiw)'!C:E,3,0)</f>
        <v>#N/A</v>
      </c>
    </row>
    <row r="6588" spans="7:8" ht="15" customHeight="1" x14ac:dyDescent="0.4">
      <c r="G6588" s="27">
        <f t="shared" si="114"/>
        <v>0</v>
      </c>
      <c r="H6588" s="28" t="e">
        <f>VLOOKUP(E6588,'Cadastro Produtos (kiwkiw)'!C:E,3,0)</f>
        <v>#N/A</v>
      </c>
    </row>
    <row r="6589" spans="7:8" ht="15" customHeight="1" x14ac:dyDescent="0.4">
      <c r="G6589" s="27">
        <f t="shared" si="114"/>
        <v>0</v>
      </c>
      <c r="H6589" s="28" t="e">
        <f>VLOOKUP(E6589,'Cadastro Produtos (kiwkiw)'!C:E,3,0)</f>
        <v>#N/A</v>
      </c>
    </row>
    <row r="6590" spans="7:8" ht="15" customHeight="1" x14ac:dyDescent="0.4">
      <c r="G6590" s="27">
        <f t="shared" si="114"/>
        <v>0</v>
      </c>
      <c r="H6590" s="28" t="e">
        <f>VLOOKUP(E6590,'Cadastro Produtos (kiwkiw)'!C:E,3,0)</f>
        <v>#N/A</v>
      </c>
    </row>
    <row r="6591" spans="7:8" ht="15" customHeight="1" x14ac:dyDescent="0.4">
      <c r="G6591" s="27">
        <f t="shared" si="114"/>
        <v>0</v>
      </c>
      <c r="H6591" s="28" t="e">
        <f>VLOOKUP(E6591,'Cadastro Produtos (kiwkiw)'!C:E,3,0)</f>
        <v>#N/A</v>
      </c>
    </row>
    <row r="6592" spans="7:8" ht="15" customHeight="1" x14ac:dyDescent="0.4">
      <c r="G6592" s="27">
        <f t="shared" si="114"/>
        <v>0</v>
      </c>
      <c r="H6592" s="28" t="e">
        <f>VLOOKUP(E6592,'Cadastro Produtos (kiwkiw)'!C:E,3,0)</f>
        <v>#N/A</v>
      </c>
    </row>
    <row r="6593" spans="7:8" ht="15" customHeight="1" x14ac:dyDescent="0.4">
      <c r="G6593" s="27">
        <f t="shared" si="114"/>
        <v>0</v>
      </c>
      <c r="H6593" s="28" t="e">
        <f>VLOOKUP(E6593,'Cadastro Produtos (kiwkiw)'!C:E,3,0)</f>
        <v>#N/A</v>
      </c>
    </row>
    <row r="6594" spans="7:8" ht="15" customHeight="1" x14ac:dyDescent="0.4">
      <c r="G6594" s="27">
        <f t="shared" si="114"/>
        <v>0</v>
      </c>
      <c r="H6594" s="28" t="e">
        <f>VLOOKUP(E6594,'Cadastro Produtos (kiwkiw)'!C:E,3,0)</f>
        <v>#N/A</v>
      </c>
    </row>
    <row r="6595" spans="7:8" ht="15" customHeight="1" x14ac:dyDescent="0.4">
      <c r="G6595" s="27">
        <f t="shared" si="114"/>
        <v>0</v>
      </c>
      <c r="H6595" s="28" t="e">
        <f>VLOOKUP(E6595,'Cadastro Produtos (kiwkiw)'!C:E,3,0)</f>
        <v>#N/A</v>
      </c>
    </row>
    <row r="6596" spans="7:8" ht="15" customHeight="1" x14ac:dyDescent="0.4">
      <c r="G6596" s="27">
        <f t="shared" si="114"/>
        <v>0</v>
      </c>
      <c r="H6596" s="28" t="e">
        <f>VLOOKUP(E6596,'Cadastro Produtos (kiwkiw)'!C:E,3,0)</f>
        <v>#N/A</v>
      </c>
    </row>
    <row r="6597" spans="7:8" ht="15" customHeight="1" x14ac:dyDescent="0.4">
      <c r="G6597" s="27">
        <f t="shared" si="114"/>
        <v>0</v>
      </c>
      <c r="H6597" s="28" t="e">
        <f>VLOOKUP(E6597,'Cadastro Produtos (kiwkiw)'!C:E,3,0)</f>
        <v>#N/A</v>
      </c>
    </row>
    <row r="6598" spans="7:8" ht="15" customHeight="1" x14ac:dyDescent="0.4">
      <c r="G6598" s="27">
        <f t="shared" si="114"/>
        <v>0</v>
      </c>
      <c r="H6598" s="28" t="e">
        <f>VLOOKUP(E6598,'Cadastro Produtos (kiwkiw)'!C:E,3,0)</f>
        <v>#N/A</v>
      </c>
    </row>
    <row r="6599" spans="7:8" ht="15" customHeight="1" x14ac:dyDescent="0.4">
      <c r="G6599" s="27">
        <f t="shared" si="114"/>
        <v>0</v>
      </c>
      <c r="H6599" s="28" t="e">
        <f>VLOOKUP(E6599,'Cadastro Produtos (kiwkiw)'!C:E,3,0)</f>
        <v>#N/A</v>
      </c>
    </row>
    <row r="6600" spans="7:8" ht="15" customHeight="1" x14ac:dyDescent="0.4">
      <c r="G6600" s="27">
        <f t="shared" si="114"/>
        <v>0</v>
      </c>
      <c r="H6600" s="28" t="e">
        <f>VLOOKUP(E6600,'Cadastro Produtos (kiwkiw)'!C:E,3,0)</f>
        <v>#N/A</v>
      </c>
    </row>
    <row r="6601" spans="7:8" ht="15" customHeight="1" x14ac:dyDescent="0.4">
      <c r="G6601" s="27">
        <f t="shared" si="114"/>
        <v>0</v>
      </c>
      <c r="H6601" s="28" t="e">
        <f>VLOOKUP(E6601,'Cadastro Produtos (kiwkiw)'!C:E,3,0)</f>
        <v>#N/A</v>
      </c>
    </row>
    <row r="6602" spans="7:8" ht="15" customHeight="1" x14ac:dyDescent="0.4">
      <c r="G6602" s="27">
        <f t="shared" si="114"/>
        <v>0</v>
      </c>
      <c r="H6602" s="28" t="e">
        <f>VLOOKUP(E6602,'Cadastro Produtos (kiwkiw)'!C:E,3,0)</f>
        <v>#N/A</v>
      </c>
    </row>
    <row r="6603" spans="7:8" ht="15" customHeight="1" x14ac:dyDescent="0.4">
      <c r="G6603" s="27">
        <f t="shared" si="114"/>
        <v>0</v>
      </c>
      <c r="H6603" s="28" t="e">
        <f>VLOOKUP(E6603,'Cadastro Produtos (kiwkiw)'!C:E,3,0)</f>
        <v>#N/A</v>
      </c>
    </row>
    <row r="6604" spans="7:8" ht="15" customHeight="1" x14ac:dyDescent="0.4">
      <c r="G6604" s="27">
        <f t="shared" si="114"/>
        <v>0</v>
      </c>
      <c r="H6604" s="28" t="e">
        <f>VLOOKUP(E6604,'Cadastro Produtos (kiwkiw)'!C:E,3,0)</f>
        <v>#N/A</v>
      </c>
    </row>
    <row r="6605" spans="7:8" ht="15" customHeight="1" x14ac:dyDescent="0.4">
      <c r="G6605" s="27">
        <f t="shared" si="114"/>
        <v>0</v>
      </c>
      <c r="H6605" s="28" t="e">
        <f>VLOOKUP(E6605,'Cadastro Produtos (kiwkiw)'!C:E,3,0)</f>
        <v>#N/A</v>
      </c>
    </row>
    <row r="6606" spans="7:8" ht="15" customHeight="1" x14ac:dyDescent="0.4">
      <c r="G6606" s="27">
        <f t="shared" si="114"/>
        <v>0</v>
      </c>
      <c r="H6606" s="28" t="e">
        <f>VLOOKUP(E6606,'Cadastro Produtos (kiwkiw)'!C:E,3,0)</f>
        <v>#N/A</v>
      </c>
    </row>
    <row r="6607" spans="7:8" ht="15" customHeight="1" x14ac:dyDescent="0.4">
      <c r="G6607" s="27">
        <f t="shared" si="114"/>
        <v>0</v>
      </c>
      <c r="H6607" s="28" t="e">
        <f>VLOOKUP(E6607,'Cadastro Produtos (kiwkiw)'!C:E,3,0)</f>
        <v>#N/A</v>
      </c>
    </row>
    <row r="6608" spans="7:8" ht="15" customHeight="1" x14ac:dyDescent="0.4">
      <c r="G6608" s="27">
        <f t="shared" si="114"/>
        <v>0</v>
      </c>
      <c r="H6608" s="28" t="e">
        <f>VLOOKUP(E6608,'Cadastro Produtos (kiwkiw)'!C:E,3,0)</f>
        <v>#N/A</v>
      </c>
    </row>
    <row r="6609" spans="2:8" ht="15" customHeight="1" x14ac:dyDescent="0.4">
      <c r="G6609" s="27">
        <f t="shared" si="114"/>
        <v>0</v>
      </c>
      <c r="H6609" s="28" t="e">
        <f>VLOOKUP(E6609,'Cadastro Produtos (kiwkiw)'!C:E,3,0)</f>
        <v>#N/A</v>
      </c>
    </row>
    <row r="6610" spans="2:8" ht="15" customHeight="1" x14ac:dyDescent="0.4">
      <c r="G6610" s="27">
        <f t="shared" ref="G6610:G6673" si="115">IF(C6610="Entrada",F6610,-F6610)</f>
        <v>0</v>
      </c>
      <c r="H6610" s="28" t="e">
        <f>VLOOKUP(E6610,'Cadastro Produtos (kiwkiw)'!C:E,3,0)</f>
        <v>#N/A</v>
      </c>
    </row>
    <row r="6611" spans="2:8" ht="15" customHeight="1" x14ac:dyDescent="0.4">
      <c r="G6611" s="27">
        <f t="shared" si="115"/>
        <v>0</v>
      </c>
      <c r="H6611" s="28" t="e">
        <f>VLOOKUP(E6611,'Cadastro Produtos (kiwkiw)'!C:E,3,0)</f>
        <v>#N/A</v>
      </c>
    </row>
    <row r="6612" spans="2:8" ht="15" customHeight="1" x14ac:dyDescent="0.4">
      <c r="G6612" s="27">
        <f t="shared" si="115"/>
        <v>0</v>
      </c>
      <c r="H6612" s="28" t="e">
        <f>VLOOKUP(E6612,'Cadastro Produtos (kiwkiw)'!C:E,3,0)</f>
        <v>#N/A</v>
      </c>
    </row>
    <row r="6613" spans="2:8" ht="15" customHeight="1" x14ac:dyDescent="0.4">
      <c r="G6613" s="27">
        <f t="shared" si="115"/>
        <v>0</v>
      </c>
      <c r="H6613" s="28" t="e">
        <f>VLOOKUP(E6613,'Cadastro Produtos (kiwkiw)'!C:E,3,0)</f>
        <v>#N/A</v>
      </c>
    </row>
    <row r="6614" spans="2:8" ht="15" customHeight="1" x14ac:dyDescent="0.4">
      <c r="G6614" s="27">
        <f t="shared" si="115"/>
        <v>0</v>
      </c>
      <c r="H6614" s="28" t="e">
        <f>VLOOKUP(E6614,'Cadastro Produtos (kiwkiw)'!C:E,3,0)</f>
        <v>#N/A</v>
      </c>
    </row>
    <row r="6615" spans="2:8" ht="15" customHeight="1" x14ac:dyDescent="0.4">
      <c r="G6615" s="27">
        <f t="shared" si="115"/>
        <v>0</v>
      </c>
      <c r="H6615" s="28" t="e">
        <f>VLOOKUP(E6615,'Cadastro Produtos (kiwkiw)'!C:E,3,0)</f>
        <v>#N/A</v>
      </c>
    </row>
    <row r="6616" spans="2:8" ht="15" customHeight="1" x14ac:dyDescent="0.4">
      <c r="G6616" s="27">
        <f t="shared" si="115"/>
        <v>0</v>
      </c>
      <c r="H6616" s="28" t="e">
        <f>VLOOKUP(E6616,'Cadastro Produtos (kiwkiw)'!C:E,3,0)</f>
        <v>#N/A</v>
      </c>
    </row>
    <row r="6617" spans="2:8" ht="15" customHeight="1" x14ac:dyDescent="0.4">
      <c r="G6617" s="27">
        <f t="shared" si="115"/>
        <v>0</v>
      </c>
      <c r="H6617" s="28" t="e">
        <f>VLOOKUP(E6617,'Cadastro Produtos (kiwkiw)'!C:E,3,0)</f>
        <v>#N/A</v>
      </c>
    </row>
    <row r="6618" spans="2:8" ht="15" customHeight="1" x14ac:dyDescent="0.4">
      <c r="G6618" s="27">
        <f t="shared" si="115"/>
        <v>0</v>
      </c>
      <c r="H6618" s="28" t="e">
        <f>VLOOKUP(E6618,'Cadastro Produtos (kiwkiw)'!C:E,3,0)</f>
        <v>#N/A</v>
      </c>
    </row>
    <row r="6619" spans="2:8" ht="15" customHeight="1" x14ac:dyDescent="0.4">
      <c r="G6619" s="27">
        <f t="shared" si="115"/>
        <v>0</v>
      </c>
      <c r="H6619" s="28" t="e">
        <f>VLOOKUP(E6619,'Cadastro Produtos (kiwkiw)'!C:E,3,0)</f>
        <v>#N/A</v>
      </c>
    </row>
    <row r="6620" spans="2:8" ht="15" customHeight="1" x14ac:dyDescent="0.4">
      <c r="G6620" s="27">
        <f t="shared" si="115"/>
        <v>0</v>
      </c>
      <c r="H6620" s="28" t="e">
        <f>VLOOKUP(E6620,'Cadastro Produtos (kiwkiw)'!C:E,3,0)</f>
        <v>#N/A</v>
      </c>
    </row>
    <row r="6621" spans="2:8" ht="15" customHeight="1" x14ac:dyDescent="0.4">
      <c r="G6621" s="27">
        <f t="shared" si="115"/>
        <v>0</v>
      </c>
      <c r="H6621" s="28" t="e">
        <f>VLOOKUP(E6621,'Cadastro Produtos (kiwkiw)'!C:E,3,0)</f>
        <v>#N/A</v>
      </c>
    </row>
    <row r="6622" spans="2:8" ht="15" customHeight="1" x14ac:dyDescent="0.4">
      <c r="G6622" s="27">
        <f t="shared" si="115"/>
        <v>0</v>
      </c>
      <c r="H6622" s="28" t="e">
        <f>VLOOKUP(E6622,'Cadastro Produtos (kiwkiw)'!C:E,3,0)</f>
        <v>#N/A</v>
      </c>
    </row>
    <row r="6623" spans="2:8" ht="15" customHeight="1" x14ac:dyDescent="0.4">
      <c r="B6623" s="43"/>
      <c r="G6623" s="27">
        <f t="shared" si="115"/>
        <v>0</v>
      </c>
      <c r="H6623" s="28" t="e">
        <f>VLOOKUP(E6623,'Cadastro Produtos (kiwkiw)'!C:E,3,0)</f>
        <v>#N/A</v>
      </c>
    </row>
    <row r="6624" spans="2:8" ht="15" customHeight="1" x14ac:dyDescent="0.4">
      <c r="G6624" s="27">
        <f t="shared" si="115"/>
        <v>0</v>
      </c>
      <c r="H6624" s="28" t="e">
        <f>VLOOKUP(E6624,'Cadastro Produtos (kiwkiw)'!C:E,3,0)</f>
        <v>#N/A</v>
      </c>
    </row>
    <row r="6625" spans="7:8" ht="15" customHeight="1" x14ac:dyDescent="0.4">
      <c r="G6625" s="27">
        <f t="shared" si="115"/>
        <v>0</v>
      </c>
      <c r="H6625" s="28" t="e">
        <f>VLOOKUP(E6625,'Cadastro Produtos (kiwkiw)'!C:E,3,0)</f>
        <v>#N/A</v>
      </c>
    </row>
    <row r="6626" spans="7:8" ht="15" customHeight="1" x14ac:dyDescent="0.4">
      <c r="G6626" s="27">
        <f t="shared" si="115"/>
        <v>0</v>
      </c>
      <c r="H6626" s="28" t="e">
        <f>VLOOKUP(E6626,'Cadastro Produtos (kiwkiw)'!C:E,3,0)</f>
        <v>#N/A</v>
      </c>
    </row>
    <row r="6627" spans="7:8" ht="15" customHeight="1" x14ac:dyDescent="0.4">
      <c r="G6627" s="27">
        <f t="shared" si="115"/>
        <v>0</v>
      </c>
      <c r="H6627" s="28" t="e">
        <f>VLOOKUP(E6627,'Cadastro Produtos (kiwkiw)'!C:E,3,0)</f>
        <v>#N/A</v>
      </c>
    </row>
    <row r="6628" spans="7:8" ht="15" customHeight="1" x14ac:dyDescent="0.4">
      <c r="G6628" s="27">
        <f t="shared" si="115"/>
        <v>0</v>
      </c>
      <c r="H6628" s="28" t="e">
        <f>VLOOKUP(E6628,'Cadastro Produtos (kiwkiw)'!C:E,3,0)</f>
        <v>#N/A</v>
      </c>
    </row>
    <row r="6629" spans="7:8" ht="15" customHeight="1" x14ac:dyDescent="0.4">
      <c r="G6629" s="27">
        <f t="shared" si="115"/>
        <v>0</v>
      </c>
      <c r="H6629" s="28" t="e">
        <f>VLOOKUP(E6629,'Cadastro Produtos (kiwkiw)'!C:E,3,0)</f>
        <v>#N/A</v>
      </c>
    </row>
    <row r="6630" spans="7:8" ht="15" customHeight="1" x14ac:dyDescent="0.4">
      <c r="G6630" s="27">
        <f t="shared" si="115"/>
        <v>0</v>
      </c>
      <c r="H6630" s="28" t="e">
        <f>VLOOKUP(E6630,'Cadastro Produtos (kiwkiw)'!C:E,3,0)</f>
        <v>#N/A</v>
      </c>
    </row>
    <row r="6631" spans="7:8" ht="15" customHeight="1" x14ac:dyDescent="0.4">
      <c r="G6631" s="27">
        <f t="shared" si="115"/>
        <v>0</v>
      </c>
      <c r="H6631" s="28" t="e">
        <f>VLOOKUP(E6631,'Cadastro Produtos (kiwkiw)'!C:E,3,0)</f>
        <v>#N/A</v>
      </c>
    </row>
    <row r="6632" spans="7:8" ht="15" customHeight="1" x14ac:dyDescent="0.4">
      <c r="G6632" s="27">
        <f t="shared" si="115"/>
        <v>0</v>
      </c>
      <c r="H6632" s="28" t="e">
        <f>VLOOKUP(E6632,'Cadastro Produtos (kiwkiw)'!C:E,3,0)</f>
        <v>#N/A</v>
      </c>
    </row>
    <row r="6633" spans="7:8" ht="15" customHeight="1" x14ac:dyDescent="0.4">
      <c r="G6633" s="27">
        <f t="shared" si="115"/>
        <v>0</v>
      </c>
      <c r="H6633" s="28" t="e">
        <f>VLOOKUP(E6633,'Cadastro Produtos (kiwkiw)'!C:E,3,0)</f>
        <v>#N/A</v>
      </c>
    </row>
    <row r="6634" spans="7:8" ht="15" customHeight="1" x14ac:dyDescent="0.4">
      <c r="G6634" s="27">
        <f t="shared" si="115"/>
        <v>0</v>
      </c>
      <c r="H6634" s="28" t="e">
        <f>VLOOKUP(E6634,'Cadastro Produtos (kiwkiw)'!C:E,3,0)</f>
        <v>#N/A</v>
      </c>
    </row>
    <row r="6635" spans="7:8" ht="15" customHeight="1" x14ac:dyDescent="0.4">
      <c r="G6635" s="27">
        <f t="shared" si="115"/>
        <v>0</v>
      </c>
      <c r="H6635" s="28" t="e">
        <f>VLOOKUP(E6635,'Cadastro Produtos (kiwkiw)'!C:E,3,0)</f>
        <v>#N/A</v>
      </c>
    </row>
    <row r="6636" spans="7:8" ht="15" customHeight="1" x14ac:dyDescent="0.4">
      <c r="G6636" s="27">
        <f t="shared" si="115"/>
        <v>0</v>
      </c>
      <c r="H6636" s="28" t="e">
        <f>VLOOKUP(E6636,'Cadastro Produtos (kiwkiw)'!C:E,3,0)</f>
        <v>#N/A</v>
      </c>
    </row>
    <row r="6637" spans="7:8" ht="15" customHeight="1" x14ac:dyDescent="0.4">
      <c r="G6637" s="27">
        <f t="shared" si="115"/>
        <v>0</v>
      </c>
      <c r="H6637" s="28" t="e">
        <f>VLOOKUP(E6637,'Cadastro Produtos (kiwkiw)'!C:E,3,0)</f>
        <v>#N/A</v>
      </c>
    </row>
    <row r="6638" spans="7:8" ht="15" customHeight="1" x14ac:dyDescent="0.4">
      <c r="G6638" s="27">
        <f t="shared" si="115"/>
        <v>0</v>
      </c>
      <c r="H6638" s="28" t="e">
        <f>VLOOKUP(E6638,'Cadastro Produtos (kiwkiw)'!C:E,3,0)</f>
        <v>#N/A</v>
      </c>
    </row>
    <row r="6639" spans="7:8" ht="15" customHeight="1" x14ac:dyDescent="0.4">
      <c r="G6639" s="27">
        <f t="shared" si="115"/>
        <v>0</v>
      </c>
      <c r="H6639" s="28" t="e">
        <f>VLOOKUP(E6639,'Cadastro Produtos (kiwkiw)'!C:E,3,0)</f>
        <v>#N/A</v>
      </c>
    </row>
    <row r="6640" spans="7:8" ht="15" customHeight="1" x14ac:dyDescent="0.4">
      <c r="G6640" s="27">
        <f t="shared" si="115"/>
        <v>0</v>
      </c>
      <c r="H6640" s="28" t="e">
        <f>VLOOKUP(E6640,'Cadastro Produtos (kiwkiw)'!C:E,3,0)</f>
        <v>#N/A</v>
      </c>
    </row>
    <row r="6641" spans="7:8" ht="15" customHeight="1" x14ac:dyDescent="0.4">
      <c r="G6641" s="27">
        <f t="shared" si="115"/>
        <v>0</v>
      </c>
      <c r="H6641" s="28" t="e">
        <f>VLOOKUP(E6641,'Cadastro Produtos (kiwkiw)'!C:E,3,0)</f>
        <v>#N/A</v>
      </c>
    </row>
    <row r="6642" spans="7:8" ht="15" customHeight="1" x14ac:dyDescent="0.4">
      <c r="G6642" s="27">
        <f t="shared" si="115"/>
        <v>0</v>
      </c>
      <c r="H6642" s="28" t="e">
        <f>VLOOKUP(E6642,'Cadastro Produtos (kiwkiw)'!C:E,3,0)</f>
        <v>#N/A</v>
      </c>
    </row>
    <row r="6643" spans="7:8" ht="15" customHeight="1" x14ac:dyDescent="0.4">
      <c r="G6643" s="27">
        <f t="shared" si="115"/>
        <v>0</v>
      </c>
      <c r="H6643" s="28" t="e">
        <f>VLOOKUP(E6643,'Cadastro Produtos (kiwkiw)'!C:E,3,0)</f>
        <v>#N/A</v>
      </c>
    </row>
    <row r="6644" spans="7:8" ht="15" customHeight="1" x14ac:dyDescent="0.4">
      <c r="G6644" s="27">
        <f t="shared" si="115"/>
        <v>0</v>
      </c>
      <c r="H6644" s="28" t="e">
        <f>VLOOKUP(E6644,'Cadastro Produtos (kiwkiw)'!C:E,3,0)</f>
        <v>#N/A</v>
      </c>
    </row>
    <row r="6645" spans="7:8" ht="15" customHeight="1" x14ac:dyDescent="0.4">
      <c r="G6645" s="27">
        <f t="shared" si="115"/>
        <v>0</v>
      </c>
      <c r="H6645" s="28" t="e">
        <f>VLOOKUP(E6645,'Cadastro Produtos (kiwkiw)'!C:E,3,0)</f>
        <v>#N/A</v>
      </c>
    </row>
    <row r="6646" spans="7:8" ht="15" customHeight="1" x14ac:dyDescent="0.4">
      <c r="G6646" s="27">
        <f t="shared" si="115"/>
        <v>0</v>
      </c>
      <c r="H6646" s="28" t="e">
        <f>VLOOKUP(E6646,'Cadastro Produtos (kiwkiw)'!C:E,3,0)</f>
        <v>#N/A</v>
      </c>
    </row>
    <row r="6647" spans="7:8" ht="15" customHeight="1" x14ac:dyDescent="0.4">
      <c r="G6647" s="27">
        <f t="shared" si="115"/>
        <v>0</v>
      </c>
      <c r="H6647" s="28" t="e">
        <f>VLOOKUP(E6647,'Cadastro Produtos (kiwkiw)'!C:E,3,0)</f>
        <v>#N/A</v>
      </c>
    </row>
    <row r="6648" spans="7:8" ht="15" customHeight="1" x14ac:dyDescent="0.4">
      <c r="G6648" s="27">
        <f t="shared" si="115"/>
        <v>0</v>
      </c>
      <c r="H6648" s="28" t="e">
        <f>VLOOKUP(E6648,'Cadastro Produtos (kiwkiw)'!C:E,3,0)</f>
        <v>#N/A</v>
      </c>
    </row>
    <row r="6649" spans="7:8" ht="15" customHeight="1" x14ac:dyDescent="0.4">
      <c r="G6649" s="27">
        <f t="shared" si="115"/>
        <v>0</v>
      </c>
      <c r="H6649" s="28" t="e">
        <f>VLOOKUP(E6649,'Cadastro Produtos (kiwkiw)'!C:E,3,0)</f>
        <v>#N/A</v>
      </c>
    </row>
    <row r="6650" spans="7:8" ht="15" customHeight="1" x14ac:dyDescent="0.4">
      <c r="G6650" s="27">
        <f t="shared" si="115"/>
        <v>0</v>
      </c>
      <c r="H6650" s="28" t="e">
        <f>VLOOKUP(E6650,'Cadastro Produtos (kiwkiw)'!C:E,3,0)</f>
        <v>#N/A</v>
      </c>
    </row>
    <row r="6651" spans="7:8" ht="15" customHeight="1" x14ac:dyDescent="0.4">
      <c r="G6651" s="27">
        <f t="shared" si="115"/>
        <v>0</v>
      </c>
      <c r="H6651" s="28" t="e">
        <f>VLOOKUP(E6651,'Cadastro Produtos (kiwkiw)'!C:E,3,0)</f>
        <v>#N/A</v>
      </c>
    </row>
    <row r="6652" spans="7:8" ht="15" customHeight="1" x14ac:dyDescent="0.4">
      <c r="G6652" s="27">
        <f t="shared" si="115"/>
        <v>0</v>
      </c>
      <c r="H6652" s="28" t="e">
        <f>VLOOKUP(E6652,'Cadastro Produtos (kiwkiw)'!C:E,3,0)</f>
        <v>#N/A</v>
      </c>
    </row>
    <row r="6653" spans="7:8" ht="15" customHeight="1" x14ac:dyDescent="0.4">
      <c r="G6653" s="27">
        <f t="shared" si="115"/>
        <v>0</v>
      </c>
      <c r="H6653" s="28" t="e">
        <f>VLOOKUP(E6653,'Cadastro Produtos (kiwkiw)'!C:E,3,0)</f>
        <v>#N/A</v>
      </c>
    </row>
    <row r="6654" spans="7:8" ht="15" customHeight="1" x14ac:dyDescent="0.4">
      <c r="G6654" s="27">
        <f t="shared" si="115"/>
        <v>0</v>
      </c>
      <c r="H6654" s="28" t="e">
        <f>VLOOKUP(E6654,'Cadastro Produtos (kiwkiw)'!C:E,3,0)</f>
        <v>#N/A</v>
      </c>
    </row>
    <row r="6655" spans="7:8" ht="15" customHeight="1" x14ac:dyDescent="0.4">
      <c r="G6655" s="27">
        <f t="shared" si="115"/>
        <v>0</v>
      </c>
      <c r="H6655" s="28" t="e">
        <f>VLOOKUP(E6655,'Cadastro Produtos (kiwkiw)'!C:E,3,0)</f>
        <v>#N/A</v>
      </c>
    </row>
    <row r="6656" spans="7:8" ht="15" customHeight="1" x14ac:dyDescent="0.4">
      <c r="G6656" s="27">
        <f t="shared" si="115"/>
        <v>0</v>
      </c>
      <c r="H6656" s="28" t="e">
        <f>VLOOKUP(E6656,'Cadastro Produtos (kiwkiw)'!C:E,3,0)</f>
        <v>#N/A</v>
      </c>
    </row>
    <row r="6657" spans="7:8" ht="15" customHeight="1" x14ac:dyDescent="0.4">
      <c r="G6657" s="27">
        <f t="shared" si="115"/>
        <v>0</v>
      </c>
      <c r="H6657" s="28" t="e">
        <f>VLOOKUP(E6657,'Cadastro Produtos (kiwkiw)'!C:E,3,0)</f>
        <v>#N/A</v>
      </c>
    </row>
    <row r="6658" spans="7:8" ht="15" customHeight="1" x14ac:dyDescent="0.4">
      <c r="G6658" s="27">
        <f t="shared" si="115"/>
        <v>0</v>
      </c>
      <c r="H6658" s="28" t="e">
        <f>VLOOKUP(E6658,'Cadastro Produtos (kiwkiw)'!C:E,3,0)</f>
        <v>#N/A</v>
      </c>
    </row>
    <row r="6659" spans="7:8" ht="15" customHeight="1" x14ac:dyDescent="0.4">
      <c r="G6659" s="27">
        <f t="shared" si="115"/>
        <v>0</v>
      </c>
      <c r="H6659" s="28" t="e">
        <f>VLOOKUP(E6659,'Cadastro Produtos (kiwkiw)'!C:E,3,0)</f>
        <v>#N/A</v>
      </c>
    </row>
    <row r="6660" spans="7:8" ht="15" customHeight="1" x14ac:dyDescent="0.4">
      <c r="G6660" s="27">
        <f t="shared" si="115"/>
        <v>0</v>
      </c>
      <c r="H6660" s="28" t="e">
        <f>VLOOKUP(E6660,'Cadastro Produtos (kiwkiw)'!C:E,3,0)</f>
        <v>#N/A</v>
      </c>
    </row>
    <row r="6661" spans="7:8" ht="15" customHeight="1" x14ac:dyDescent="0.4">
      <c r="G6661" s="27">
        <f t="shared" si="115"/>
        <v>0</v>
      </c>
      <c r="H6661" s="28" t="e">
        <f>VLOOKUP(E6661,'Cadastro Produtos (kiwkiw)'!C:E,3,0)</f>
        <v>#N/A</v>
      </c>
    </row>
    <row r="6662" spans="7:8" ht="15" customHeight="1" x14ac:dyDescent="0.4">
      <c r="G6662" s="27">
        <f t="shared" si="115"/>
        <v>0</v>
      </c>
      <c r="H6662" s="28" t="e">
        <f>VLOOKUP(E6662,'Cadastro Produtos (kiwkiw)'!C:E,3,0)</f>
        <v>#N/A</v>
      </c>
    </row>
    <row r="6663" spans="7:8" ht="15" customHeight="1" x14ac:dyDescent="0.4">
      <c r="G6663" s="27">
        <f t="shared" si="115"/>
        <v>0</v>
      </c>
      <c r="H6663" s="28" t="e">
        <f>VLOOKUP(E6663,'Cadastro Produtos (kiwkiw)'!C:E,3,0)</f>
        <v>#N/A</v>
      </c>
    </row>
    <row r="6664" spans="7:8" ht="15" customHeight="1" x14ac:dyDescent="0.4">
      <c r="G6664" s="27">
        <f t="shared" si="115"/>
        <v>0</v>
      </c>
      <c r="H6664" s="28" t="e">
        <f>VLOOKUP(E6664,'Cadastro Produtos (kiwkiw)'!C:E,3,0)</f>
        <v>#N/A</v>
      </c>
    </row>
    <row r="6665" spans="7:8" ht="15" customHeight="1" x14ac:dyDescent="0.4">
      <c r="G6665" s="27">
        <f t="shared" si="115"/>
        <v>0</v>
      </c>
      <c r="H6665" s="28" t="e">
        <f>VLOOKUP(E6665,'Cadastro Produtos (kiwkiw)'!C:E,3,0)</f>
        <v>#N/A</v>
      </c>
    </row>
    <row r="6666" spans="7:8" ht="15" customHeight="1" x14ac:dyDescent="0.4">
      <c r="G6666" s="27">
        <f t="shared" si="115"/>
        <v>0</v>
      </c>
      <c r="H6666" s="28" t="e">
        <f>VLOOKUP(E6666,'Cadastro Produtos (kiwkiw)'!C:E,3,0)</f>
        <v>#N/A</v>
      </c>
    </row>
    <row r="6667" spans="7:8" ht="15" customHeight="1" x14ac:dyDescent="0.4">
      <c r="G6667" s="27">
        <f t="shared" si="115"/>
        <v>0</v>
      </c>
      <c r="H6667" s="28" t="e">
        <f>VLOOKUP(E6667,'Cadastro Produtos (kiwkiw)'!C:E,3,0)</f>
        <v>#N/A</v>
      </c>
    </row>
    <row r="6668" spans="7:8" ht="15" customHeight="1" x14ac:dyDescent="0.4">
      <c r="G6668" s="27">
        <f t="shared" si="115"/>
        <v>0</v>
      </c>
      <c r="H6668" s="28" t="e">
        <f>VLOOKUP(E6668,'Cadastro Produtos (kiwkiw)'!C:E,3,0)</f>
        <v>#N/A</v>
      </c>
    </row>
    <row r="6669" spans="7:8" ht="15" customHeight="1" x14ac:dyDescent="0.4">
      <c r="G6669" s="27">
        <f t="shared" si="115"/>
        <v>0</v>
      </c>
      <c r="H6669" s="28" t="e">
        <f>VLOOKUP(E6669,'Cadastro Produtos (kiwkiw)'!C:E,3,0)</f>
        <v>#N/A</v>
      </c>
    </row>
    <row r="6670" spans="7:8" ht="15" customHeight="1" x14ac:dyDescent="0.4">
      <c r="G6670" s="27">
        <f t="shared" si="115"/>
        <v>0</v>
      </c>
      <c r="H6670" s="28" t="e">
        <f>VLOOKUP(E6670,'Cadastro Produtos (kiwkiw)'!C:E,3,0)</f>
        <v>#N/A</v>
      </c>
    </row>
    <row r="6671" spans="7:8" ht="15" customHeight="1" x14ac:dyDescent="0.4">
      <c r="G6671" s="27">
        <f t="shared" si="115"/>
        <v>0</v>
      </c>
      <c r="H6671" s="28" t="e">
        <f>VLOOKUP(E6671,'Cadastro Produtos (kiwkiw)'!C:E,3,0)</f>
        <v>#N/A</v>
      </c>
    </row>
    <row r="6672" spans="7:8" ht="15" customHeight="1" x14ac:dyDescent="0.4">
      <c r="G6672" s="27">
        <f t="shared" si="115"/>
        <v>0</v>
      </c>
      <c r="H6672" s="28" t="e">
        <f>VLOOKUP(E6672,'Cadastro Produtos (kiwkiw)'!C:E,3,0)</f>
        <v>#N/A</v>
      </c>
    </row>
    <row r="6673" spans="7:8" ht="15" customHeight="1" x14ac:dyDescent="0.4">
      <c r="G6673" s="27">
        <f t="shared" si="115"/>
        <v>0</v>
      </c>
      <c r="H6673" s="28" t="e">
        <f>VLOOKUP(E6673,'Cadastro Produtos (kiwkiw)'!C:E,3,0)</f>
        <v>#N/A</v>
      </c>
    </row>
    <row r="6674" spans="7:8" ht="15" customHeight="1" x14ac:dyDescent="0.4">
      <c r="G6674" s="27">
        <f t="shared" ref="G6674:G6737" si="116">IF(C6674="Entrada",F6674,-F6674)</f>
        <v>0</v>
      </c>
      <c r="H6674" s="28" t="e">
        <f>VLOOKUP(E6674,'Cadastro Produtos (kiwkiw)'!C:E,3,0)</f>
        <v>#N/A</v>
      </c>
    </row>
    <row r="6675" spans="7:8" ht="15" customHeight="1" x14ac:dyDescent="0.4">
      <c r="G6675" s="27">
        <f t="shared" si="116"/>
        <v>0</v>
      </c>
      <c r="H6675" s="28" t="e">
        <f>VLOOKUP(E6675,'Cadastro Produtos (kiwkiw)'!C:E,3,0)</f>
        <v>#N/A</v>
      </c>
    </row>
    <row r="6676" spans="7:8" ht="15" customHeight="1" x14ac:dyDescent="0.4">
      <c r="G6676" s="27">
        <f t="shared" si="116"/>
        <v>0</v>
      </c>
      <c r="H6676" s="28" t="e">
        <f>VLOOKUP(E6676,'Cadastro Produtos (kiwkiw)'!C:E,3,0)</f>
        <v>#N/A</v>
      </c>
    </row>
    <row r="6677" spans="7:8" ht="15" customHeight="1" x14ac:dyDescent="0.4">
      <c r="G6677" s="27">
        <f t="shared" si="116"/>
        <v>0</v>
      </c>
      <c r="H6677" s="28" t="e">
        <f>VLOOKUP(E6677,'Cadastro Produtos (kiwkiw)'!C:E,3,0)</f>
        <v>#N/A</v>
      </c>
    </row>
    <row r="6678" spans="7:8" ht="15" customHeight="1" x14ac:dyDescent="0.4">
      <c r="G6678" s="27">
        <f t="shared" si="116"/>
        <v>0</v>
      </c>
      <c r="H6678" s="28" t="e">
        <f>VLOOKUP(E6678,'Cadastro Produtos (kiwkiw)'!C:E,3,0)</f>
        <v>#N/A</v>
      </c>
    </row>
    <row r="6679" spans="7:8" ht="15" customHeight="1" x14ac:dyDescent="0.4">
      <c r="G6679" s="27">
        <f t="shared" si="116"/>
        <v>0</v>
      </c>
      <c r="H6679" s="28" t="e">
        <f>VLOOKUP(E6679,'Cadastro Produtos (kiwkiw)'!C:E,3,0)</f>
        <v>#N/A</v>
      </c>
    </row>
    <row r="6680" spans="7:8" ht="15" customHeight="1" x14ac:dyDescent="0.4">
      <c r="G6680" s="27">
        <f t="shared" si="116"/>
        <v>0</v>
      </c>
      <c r="H6680" s="28" t="e">
        <f>VLOOKUP(E6680,'Cadastro Produtos (kiwkiw)'!C:E,3,0)</f>
        <v>#N/A</v>
      </c>
    </row>
    <row r="6681" spans="7:8" ht="15" customHeight="1" x14ac:dyDescent="0.4">
      <c r="G6681" s="27">
        <f t="shared" si="116"/>
        <v>0</v>
      </c>
      <c r="H6681" s="28" t="e">
        <f>VLOOKUP(E6681,'Cadastro Produtos (kiwkiw)'!C:E,3,0)</f>
        <v>#N/A</v>
      </c>
    </row>
    <row r="6682" spans="7:8" ht="15" customHeight="1" x14ac:dyDescent="0.4">
      <c r="G6682" s="27">
        <f t="shared" si="116"/>
        <v>0</v>
      </c>
      <c r="H6682" s="28" t="e">
        <f>VLOOKUP(E6682,'Cadastro Produtos (kiwkiw)'!C:E,3,0)</f>
        <v>#N/A</v>
      </c>
    </row>
    <row r="6683" spans="7:8" ht="15" customHeight="1" x14ac:dyDescent="0.4">
      <c r="G6683" s="27">
        <f t="shared" si="116"/>
        <v>0</v>
      </c>
      <c r="H6683" s="28" t="e">
        <f>VLOOKUP(E6683,'Cadastro Produtos (kiwkiw)'!C:E,3,0)</f>
        <v>#N/A</v>
      </c>
    </row>
    <row r="6684" spans="7:8" ht="15" customHeight="1" x14ac:dyDescent="0.4">
      <c r="G6684" s="27">
        <f t="shared" si="116"/>
        <v>0</v>
      </c>
      <c r="H6684" s="28" t="e">
        <f>VLOOKUP(E6684,'Cadastro Produtos (kiwkiw)'!C:E,3,0)</f>
        <v>#N/A</v>
      </c>
    </row>
    <row r="6685" spans="7:8" ht="15" customHeight="1" x14ac:dyDescent="0.4">
      <c r="G6685" s="27">
        <f t="shared" si="116"/>
        <v>0</v>
      </c>
      <c r="H6685" s="28" t="e">
        <f>VLOOKUP(E6685,'Cadastro Produtos (kiwkiw)'!C:E,3,0)</f>
        <v>#N/A</v>
      </c>
    </row>
    <row r="6686" spans="7:8" ht="15" customHeight="1" x14ac:dyDescent="0.4">
      <c r="G6686" s="27">
        <f t="shared" si="116"/>
        <v>0</v>
      </c>
      <c r="H6686" s="28" t="e">
        <f>VLOOKUP(E6686,'Cadastro Produtos (kiwkiw)'!C:E,3,0)</f>
        <v>#N/A</v>
      </c>
    </row>
    <row r="6687" spans="7:8" ht="15" customHeight="1" x14ac:dyDescent="0.4">
      <c r="G6687" s="27">
        <f t="shared" si="116"/>
        <v>0</v>
      </c>
      <c r="H6687" s="28" t="e">
        <f>VLOOKUP(E6687,'Cadastro Produtos (kiwkiw)'!C:E,3,0)</f>
        <v>#N/A</v>
      </c>
    </row>
    <row r="6688" spans="7:8" ht="15" customHeight="1" x14ac:dyDescent="0.4">
      <c r="G6688" s="27">
        <f t="shared" si="116"/>
        <v>0</v>
      </c>
      <c r="H6688" s="28" t="e">
        <f>VLOOKUP(E6688,'Cadastro Produtos (kiwkiw)'!C:E,3,0)</f>
        <v>#N/A</v>
      </c>
    </row>
    <row r="6689" spans="7:8" ht="15" customHeight="1" x14ac:dyDescent="0.4">
      <c r="G6689" s="27">
        <f t="shared" si="116"/>
        <v>0</v>
      </c>
      <c r="H6689" s="28" t="e">
        <f>VLOOKUP(E6689,'Cadastro Produtos (kiwkiw)'!C:E,3,0)</f>
        <v>#N/A</v>
      </c>
    </row>
    <row r="6690" spans="7:8" ht="15" customHeight="1" x14ac:dyDescent="0.4">
      <c r="G6690" s="27">
        <f t="shared" si="116"/>
        <v>0</v>
      </c>
      <c r="H6690" s="28" t="e">
        <f>VLOOKUP(E6690,'Cadastro Produtos (kiwkiw)'!C:E,3,0)</f>
        <v>#N/A</v>
      </c>
    </row>
    <row r="6691" spans="7:8" ht="15" customHeight="1" x14ac:dyDescent="0.4">
      <c r="G6691" s="27">
        <f t="shared" si="116"/>
        <v>0</v>
      </c>
      <c r="H6691" s="28" t="e">
        <f>VLOOKUP(E6691,'Cadastro Produtos (kiwkiw)'!C:E,3,0)</f>
        <v>#N/A</v>
      </c>
    </row>
    <row r="6692" spans="7:8" ht="15" customHeight="1" x14ac:dyDescent="0.4">
      <c r="G6692" s="27">
        <f t="shared" si="116"/>
        <v>0</v>
      </c>
      <c r="H6692" s="28" t="e">
        <f>VLOOKUP(E6692,'Cadastro Produtos (kiwkiw)'!C:E,3,0)</f>
        <v>#N/A</v>
      </c>
    </row>
    <row r="6693" spans="7:8" ht="15" customHeight="1" x14ac:dyDescent="0.4">
      <c r="G6693" s="27">
        <f t="shared" si="116"/>
        <v>0</v>
      </c>
      <c r="H6693" s="28" t="e">
        <f>VLOOKUP(E6693,'Cadastro Produtos (kiwkiw)'!C:E,3,0)</f>
        <v>#N/A</v>
      </c>
    </row>
    <row r="6694" spans="7:8" ht="15" customHeight="1" x14ac:dyDescent="0.4">
      <c r="G6694" s="27">
        <f t="shared" si="116"/>
        <v>0</v>
      </c>
      <c r="H6694" s="28" t="e">
        <f>VLOOKUP(E6694,'Cadastro Produtos (kiwkiw)'!C:E,3,0)</f>
        <v>#N/A</v>
      </c>
    </row>
    <row r="6695" spans="7:8" ht="15" customHeight="1" x14ac:dyDescent="0.4">
      <c r="G6695" s="27">
        <f t="shared" si="116"/>
        <v>0</v>
      </c>
      <c r="H6695" s="28" t="e">
        <f>VLOOKUP(E6695,'Cadastro Produtos (kiwkiw)'!C:E,3,0)</f>
        <v>#N/A</v>
      </c>
    </row>
    <row r="6696" spans="7:8" ht="15" customHeight="1" x14ac:dyDescent="0.4">
      <c r="G6696" s="27">
        <f t="shared" si="116"/>
        <v>0</v>
      </c>
      <c r="H6696" s="28" t="e">
        <f>VLOOKUP(E6696,'Cadastro Produtos (kiwkiw)'!C:E,3,0)</f>
        <v>#N/A</v>
      </c>
    </row>
    <row r="6697" spans="7:8" ht="15" customHeight="1" x14ac:dyDescent="0.4">
      <c r="G6697" s="27">
        <f t="shared" si="116"/>
        <v>0</v>
      </c>
      <c r="H6697" s="28" t="e">
        <f>VLOOKUP(E6697,'Cadastro Produtos (kiwkiw)'!C:E,3,0)</f>
        <v>#N/A</v>
      </c>
    </row>
    <row r="6698" spans="7:8" ht="15" customHeight="1" x14ac:dyDescent="0.4">
      <c r="G6698" s="27">
        <f t="shared" si="116"/>
        <v>0</v>
      </c>
      <c r="H6698" s="28" t="e">
        <f>VLOOKUP(E6698,'Cadastro Produtos (kiwkiw)'!C:E,3,0)</f>
        <v>#N/A</v>
      </c>
    </row>
    <row r="6699" spans="7:8" ht="15" customHeight="1" x14ac:dyDescent="0.4">
      <c r="G6699" s="27">
        <f t="shared" si="116"/>
        <v>0</v>
      </c>
      <c r="H6699" s="28" t="e">
        <f>VLOOKUP(E6699,'Cadastro Produtos (kiwkiw)'!C:E,3,0)</f>
        <v>#N/A</v>
      </c>
    </row>
    <row r="6700" spans="7:8" ht="15" customHeight="1" x14ac:dyDescent="0.4">
      <c r="G6700" s="27">
        <f t="shared" si="116"/>
        <v>0</v>
      </c>
      <c r="H6700" s="28" t="e">
        <f>VLOOKUP(E6700,'Cadastro Produtos (kiwkiw)'!C:E,3,0)</f>
        <v>#N/A</v>
      </c>
    </row>
    <row r="6701" spans="7:8" ht="15" customHeight="1" x14ac:dyDescent="0.4">
      <c r="G6701" s="27">
        <f t="shared" si="116"/>
        <v>0</v>
      </c>
      <c r="H6701" s="28" t="e">
        <f>VLOOKUP(E6701,'Cadastro Produtos (kiwkiw)'!C:E,3,0)</f>
        <v>#N/A</v>
      </c>
    </row>
    <row r="6702" spans="7:8" ht="15" customHeight="1" x14ac:dyDescent="0.4">
      <c r="G6702" s="27">
        <f t="shared" si="116"/>
        <v>0</v>
      </c>
      <c r="H6702" s="28" t="e">
        <f>VLOOKUP(E6702,'Cadastro Produtos (kiwkiw)'!C:E,3,0)</f>
        <v>#N/A</v>
      </c>
    </row>
    <row r="6703" spans="7:8" ht="15" customHeight="1" x14ac:dyDescent="0.4">
      <c r="G6703" s="27">
        <f t="shared" si="116"/>
        <v>0</v>
      </c>
      <c r="H6703" s="28" t="e">
        <f>VLOOKUP(E6703,'Cadastro Produtos (kiwkiw)'!C:E,3,0)</f>
        <v>#N/A</v>
      </c>
    </row>
    <row r="6704" spans="7:8" ht="15" customHeight="1" x14ac:dyDescent="0.4">
      <c r="G6704" s="27">
        <f t="shared" si="116"/>
        <v>0</v>
      </c>
      <c r="H6704" s="28" t="e">
        <f>VLOOKUP(E6704,'Cadastro Produtos (kiwkiw)'!C:E,3,0)</f>
        <v>#N/A</v>
      </c>
    </row>
    <row r="6705" spans="7:8" ht="15" customHeight="1" x14ac:dyDescent="0.4">
      <c r="G6705" s="27">
        <f t="shared" si="116"/>
        <v>0</v>
      </c>
      <c r="H6705" s="28" t="e">
        <f>VLOOKUP(E6705,'Cadastro Produtos (kiwkiw)'!C:E,3,0)</f>
        <v>#N/A</v>
      </c>
    </row>
    <row r="6706" spans="7:8" ht="15" customHeight="1" x14ac:dyDescent="0.4">
      <c r="G6706" s="27">
        <f t="shared" si="116"/>
        <v>0</v>
      </c>
      <c r="H6706" s="28" t="e">
        <f>VLOOKUP(E6706,'Cadastro Produtos (kiwkiw)'!C:E,3,0)</f>
        <v>#N/A</v>
      </c>
    </row>
    <row r="6707" spans="7:8" ht="15" customHeight="1" x14ac:dyDescent="0.4">
      <c r="G6707" s="27">
        <f t="shared" si="116"/>
        <v>0</v>
      </c>
      <c r="H6707" s="28" t="e">
        <f>VLOOKUP(E6707,'Cadastro Produtos (kiwkiw)'!C:E,3,0)</f>
        <v>#N/A</v>
      </c>
    </row>
    <row r="6708" spans="7:8" ht="15" customHeight="1" x14ac:dyDescent="0.4">
      <c r="G6708" s="27">
        <f t="shared" si="116"/>
        <v>0</v>
      </c>
      <c r="H6708" s="28" t="e">
        <f>VLOOKUP(E6708,'Cadastro Produtos (kiwkiw)'!C:E,3,0)</f>
        <v>#N/A</v>
      </c>
    </row>
    <row r="6709" spans="7:8" ht="15" customHeight="1" x14ac:dyDescent="0.4">
      <c r="G6709" s="27">
        <f t="shared" si="116"/>
        <v>0</v>
      </c>
      <c r="H6709" s="28" t="e">
        <f>VLOOKUP(E6709,'Cadastro Produtos (kiwkiw)'!C:E,3,0)</f>
        <v>#N/A</v>
      </c>
    </row>
    <row r="6710" spans="7:8" ht="15" customHeight="1" x14ac:dyDescent="0.4">
      <c r="G6710" s="27">
        <f t="shared" si="116"/>
        <v>0</v>
      </c>
      <c r="H6710" s="28" t="e">
        <f>VLOOKUP(E6710,'Cadastro Produtos (kiwkiw)'!C:E,3,0)</f>
        <v>#N/A</v>
      </c>
    </row>
    <row r="6711" spans="7:8" ht="15" customHeight="1" x14ac:dyDescent="0.4">
      <c r="G6711" s="27">
        <f t="shared" si="116"/>
        <v>0</v>
      </c>
      <c r="H6711" s="28" t="e">
        <f>VLOOKUP(E6711,'Cadastro Produtos (kiwkiw)'!C:E,3,0)</f>
        <v>#N/A</v>
      </c>
    </row>
    <row r="6712" spans="7:8" ht="15" customHeight="1" x14ac:dyDescent="0.4">
      <c r="G6712" s="27">
        <f t="shared" si="116"/>
        <v>0</v>
      </c>
      <c r="H6712" s="28" t="e">
        <f>VLOOKUP(E6712,'Cadastro Produtos (kiwkiw)'!C:E,3,0)</f>
        <v>#N/A</v>
      </c>
    </row>
    <row r="6713" spans="7:8" ht="15" customHeight="1" x14ac:dyDescent="0.4">
      <c r="G6713" s="27">
        <f t="shared" si="116"/>
        <v>0</v>
      </c>
      <c r="H6713" s="28" t="e">
        <f>VLOOKUP(E6713,'Cadastro Produtos (kiwkiw)'!C:E,3,0)</f>
        <v>#N/A</v>
      </c>
    </row>
    <row r="6714" spans="7:8" ht="15" customHeight="1" x14ac:dyDescent="0.4">
      <c r="G6714" s="27">
        <f t="shared" si="116"/>
        <v>0</v>
      </c>
      <c r="H6714" s="28" t="e">
        <f>VLOOKUP(E6714,'Cadastro Produtos (kiwkiw)'!C:E,3,0)</f>
        <v>#N/A</v>
      </c>
    </row>
    <row r="6715" spans="7:8" ht="15" customHeight="1" x14ac:dyDescent="0.4">
      <c r="G6715" s="27">
        <f t="shared" si="116"/>
        <v>0</v>
      </c>
      <c r="H6715" s="28" t="e">
        <f>VLOOKUP(E6715,'Cadastro Produtos (kiwkiw)'!C:E,3,0)</f>
        <v>#N/A</v>
      </c>
    </row>
    <row r="6716" spans="7:8" ht="15" customHeight="1" x14ac:dyDescent="0.4">
      <c r="G6716" s="27">
        <f t="shared" si="116"/>
        <v>0</v>
      </c>
      <c r="H6716" s="28" t="e">
        <f>VLOOKUP(E6716,'Cadastro Produtos (kiwkiw)'!C:E,3,0)</f>
        <v>#N/A</v>
      </c>
    </row>
    <row r="6717" spans="7:8" ht="15" customHeight="1" x14ac:dyDescent="0.4">
      <c r="G6717" s="27">
        <f t="shared" si="116"/>
        <v>0</v>
      </c>
      <c r="H6717" s="28" t="e">
        <f>VLOOKUP(E6717,'Cadastro Produtos (kiwkiw)'!C:E,3,0)</f>
        <v>#N/A</v>
      </c>
    </row>
    <row r="6718" spans="7:8" ht="15" customHeight="1" x14ac:dyDescent="0.4">
      <c r="G6718" s="27">
        <f t="shared" si="116"/>
        <v>0</v>
      </c>
      <c r="H6718" s="28" t="e">
        <f>VLOOKUP(E6718,'Cadastro Produtos (kiwkiw)'!C:E,3,0)</f>
        <v>#N/A</v>
      </c>
    </row>
    <row r="6719" spans="7:8" ht="15" customHeight="1" x14ac:dyDescent="0.4">
      <c r="G6719" s="27">
        <f t="shared" si="116"/>
        <v>0</v>
      </c>
      <c r="H6719" s="28" t="e">
        <f>VLOOKUP(E6719,'Cadastro Produtos (kiwkiw)'!C:E,3,0)</f>
        <v>#N/A</v>
      </c>
    </row>
    <row r="6720" spans="7:8" ht="15" customHeight="1" x14ac:dyDescent="0.4">
      <c r="G6720" s="27">
        <f t="shared" si="116"/>
        <v>0</v>
      </c>
      <c r="H6720" s="28" t="e">
        <f>VLOOKUP(E6720,'Cadastro Produtos (kiwkiw)'!C:E,3,0)</f>
        <v>#N/A</v>
      </c>
    </row>
    <row r="6721" spans="7:8" ht="15" customHeight="1" x14ac:dyDescent="0.4">
      <c r="G6721" s="27">
        <f t="shared" si="116"/>
        <v>0</v>
      </c>
      <c r="H6721" s="28" t="e">
        <f>VLOOKUP(E6721,'Cadastro Produtos (kiwkiw)'!C:E,3,0)</f>
        <v>#N/A</v>
      </c>
    </row>
    <row r="6722" spans="7:8" ht="15" customHeight="1" x14ac:dyDescent="0.4">
      <c r="G6722" s="27">
        <f t="shared" si="116"/>
        <v>0</v>
      </c>
      <c r="H6722" s="28" t="e">
        <f>VLOOKUP(E6722,'Cadastro Produtos (kiwkiw)'!C:E,3,0)</f>
        <v>#N/A</v>
      </c>
    </row>
    <row r="6723" spans="7:8" ht="15" customHeight="1" x14ac:dyDescent="0.4">
      <c r="G6723" s="27">
        <f t="shared" si="116"/>
        <v>0</v>
      </c>
      <c r="H6723" s="28" t="e">
        <f>VLOOKUP(E6723,'Cadastro Produtos (kiwkiw)'!C:E,3,0)</f>
        <v>#N/A</v>
      </c>
    </row>
    <row r="6724" spans="7:8" ht="15" customHeight="1" x14ac:dyDescent="0.4">
      <c r="G6724" s="27">
        <f t="shared" si="116"/>
        <v>0</v>
      </c>
      <c r="H6724" s="28" t="e">
        <f>VLOOKUP(E6724,'Cadastro Produtos (kiwkiw)'!C:E,3,0)</f>
        <v>#N/A</v>
      </c>
    </row>
    <row r="6725" spans="7:8" ht="15" customHeight="1" x14ac:dyDescent="0.4">
      <c r="G6725" s="27">
        <f t="shared" si="116"/>
        <v>0</v>
      </c>
      <c r="H6725" s="28" t="e">
        <f>VLOOKUP(E6725,'Cadastro Produtos (kiwkiw)'!C:E,3,0)</f>
        <v>#N/A</v>
      </c>
    </row>
    <row r="6726" spans="7:8" ht="15" customHeight="1" x14ac:dyDescent="0.4">
      <c r="G6726" s="27">
        <f t="shared" si="116"/>
        <v>0</v>
      </c>
      <c r="H6726" s="28" t="e">
        <f>VLOOKUP(E6726,'Cadastro Produtos (kiwkiw)'!C:E,3,0)</f>
        <v>#N/A</v>
      </c>
    </row>
    <row r="6727" spans="7:8" ht="15" customHeight="1" x14ac:dyDescent="0.4">
      <c r="G6727" s="27">
        <f t="shared" si="116"/>
        <v>0</v>
      </c>
      <c r="H6727" s="28" t="e">
        <f>VLOOKUP(E6727,'Cadastro Produtos (kiwkiw)'!C:E,3,0)</f>
        <v>#N/A</v>
      </c>
    </row>
    <row r="6728" spans="7:8" ht="15" customHeight="1" x14ac:dyDescent="0.4">
      <c r="G6728" s="27">
        <f t="shared" si="116"/>
        <v>0</v>
      </c>
      <c r="H6728" s="28" t="e">
        <f>VLOOKUP(E6728,'Cadastro Produtos (kiwkiw)'!C:E,3,0)</f>
        <v>#N/A</v>
      </c>
    </row>
    <row r="6729" spans="7:8" ht="15" customHeight="1" x14ac:dyDescent="0.4">
      <c r="G6729" s="27">
        <f t="shared" si="116"/>
        <v>0</v>
      </c>
      <c r="H6729" s="28" t="e">
        <f>VLOOKUP(E6729,'Cadastro Produtos (kiwkiw)'!C:E,3,0)</f>
        <v>#N/A</v>
      </c>
    </row>
    <row r="6730" spans="7:8" ht="15" customHeight="1" x14ac:dyDescent="0.4">
      <c r="G6730" s="27">
        <f t="shared" si="116"/>
        <v>0</v>
      </c>
      <c r="H6730" s="28" t="e">
        <f>VLOOKUP(E6730,'Cadastro Produtos (kiwkiw)'!C:E,3,0)</f>
        <v>#N/A</v>
      </c>
    </row>
    <row r="6731" spans="7:8" ht="15" customHeight="1" x14ac:dyDescent="0.4">
      <c r="G6731" s="27">
        <f t="shared" si="116"/>
        <v>0</v>
      </c>
      <c r="H6731" s="28" t="e">
        <f>VLOOKUP(E6731,'Cadastro Produtos (kiwkiw)'!C:E,3,0)</f>
        <v>#N/A</v>
      </c>
    </row>
    <row r="6732" spans="7:8" ht="15" customHeight="1" x14ac:dyDescent="0.4">
      <c r="G6732" s="27">
        <f t="shared" si="116"/>
        <v>0</v>
      </c>
      <c r="H6732" s="28" t="e">
        <f>VLOOKUP(E6732,'Cadastro Produtos (kiwkiw)'!C:E,3,0)</f>
        <v>#N/A</v>
      </c>
    </row>
    <row r="6733" spans="7:8" ht="15" customHeight="1" x14ac:dyDescent="0.4">
      <c r="G6733" s="27">
        <f t="shared" si="116"/>
        <v>0</v>
      </c>
      <c r="H6733" s="28" t="e">
        <f>VLOOKUP(E6733,'Cadastro Produtos (kiwkiw)'!C:E,3,0)</f>
        <v>#N/A</v>
      </c>
    </row>
    <row r="6734" spans="7:8" ht="15" customHeight="1" x14ac:dyDescent="0.4">
      <c r="G6734" s="27">
        <f t="shared" si="116"/>
        <v>0</v>
      </c>
      <c r="H6734" s="28" t="e">
        <f>VLOOKUP(E6734,'Cadastro Produtos (kiwkiw)'!C:E,3,0)</f>
        <v>#N/A</v>
      </c>
    </row>
    <row r="6735" spans="7:8" ht="15" customHeight="1" x14ac:dyDescent="0.4">
      <c r="G6735" s="27">
        <f t="shared" si="116"/>
        <v>0</v>
      </c>
      <c r="H6735" s="28" t="e">
        <f>VLOOKUP(E6735,'Cadastro Produtos (kiwkiw)'!C:E,3,0)</f>
        <v>#N/A</v>
      </c>
    </row>
    <row r="6736" spans="7:8" ht="15" customHeight="1" x14ac:dyDescent="0.4">
      <c r="G6736" s="27">
        <f t="shared" si="116"/>
        <v>0</v>
      </c>
      <c r="H6736" s="28" t="e">
        <f>VLOOKUP(E6736,'Cadastro Produtos (kiwkiw)'!C:E,3,0)</f>
        <v>#N/A</v>
      </c>
    </row>
    <row r="6737" spans="7:8" ht="15" customHeight="1" x14ac:dyDescent="0.4">
      <c r="G6737" s="27">
        <f t="shared" si="116"/>
        <v>0</v>
      </c>
      <c r="H6737" s="28" t="e">
        <f>VLOOKUP(E6737,'Cadastro Produtos (kiwkiw)'!C:E,3,0)</f>
        <v>#N/A</v>
      </c>
    </row>
    <row r="6738" spans="7:8" ht="15" customHeight="1" x14ac:dyDescent="0.4">
      <c r="G6738" s="27">
        <f t="shared" ref="G6738:G6801" si="117">IF(C6738="Entrada",F6738,-F6738)</f>
        <v>0</v>
      </c>
      <c r="H6738" s="28" t="e">
        <f>VLOOKUP(E6738,'Cadastro Produtos (kiwkiw)'!C:E,3,0)</f>
        <v>#N/A</v>
      </c>
    </row>
    <row r="6739" spans="7:8" ht="15" customHeight="1" x14ac:dyDescent="0.4">
      <c r="G6739" s="27">
        <f t="shared" si="117"/>
        <v>0</v>
      </c>
      <c r="H6739" s="28" t="e">
        <f>VLOOKUP(E6739,'Cadastro Produtos (kiwkiw)'!C:E,3,0)</f>
        <v>#N/A</v>
      </c>
    </row>
    <row r="6740" spans="7:8" ht="15" customHeight="1" x14ac:dyDescent="0.4">
      <c r="G6740" s="27">
        <f t="shared" si="117"/>
        <v>0</v>
      </c>
      <c r="H6740" s="28" t="e">
        <f>VLOOKUP(E6740,'Cadastro Produtos (kiwkiw)'!C:E,3,0)</f>
        <v>#N/A</v>
      </c>
    </row>
    <row r="6741" spans="7:8" ht="15" customHeight="1" x14ac:dyDescent="0.4">
      <c r="G6741" s="27">
        <f t="shared" si="117"/>
        <v>0</v>
      </c>
      <c r="H6741" s="28" t="e">
        <f>VLOOKUP(E6741,'Cadastro Produtos (kiwkiw)'!C:E,3,0)</f>
        <v>#N/A</v>
      </c>
    </row>
    <row r="6742" spans="7:8" ht="15" customHeight="1" x14ac:dyDescent="0.4">
      <c r="G6742" s="27">
        <f t="shared" si="117"/>
        <v>0</v>
      </c>
      <c r="H6742" s="28" t="e">
        <f>VLOOKUP(E6742,'Cadastro Produtos (kiwkiw)'!C:E,3,0)</f>
        <v>#N/A</v>
      </c>
    </row>
    <row r="6743" spans="7:8" ht="15" customHeight="1" x14ac:dyDescent="0.4">
      <c r="G6743" s="27">
        <f t="shared" si="117"/>
        <v>0</v>
      </c>
      <c r="H6743" s="28" t="e">
        <f>VLOOKUP(E6743,'Cadastro Produtos (kiwkiw)'!C:E,3,0)</f>
        <v>#N/A</v>
      </c>
    </row>
    <row r="6744" spans="7:8" ht="15" customHeight="1" x14ac:dyDescent="0.4">
      <c r="G6744" s="27">
        <f t="shared" si="117"/>
        <v>0</v>
      </c>
      <c r="H6744" s="28" t="e">
        <f>VLOOKUP(E6744,'Cadastro Produtos (kiwkiw)'!C:E,3,0)</f>
        <v>#N/A</v>
      </c>
    </row>
    <row r="6745" spans="7:8" ht="15" customHeight="1" x14ac:dyDescent="0.4">
      <c r="G6745" s="27">
        <f t="shared" si="117"/>
        <v>0</v>
      </c>
      <c r="H6745" s="28" t="e">
        <f>VLOOKUP(E6745,'Cadastro Produtos (kiwkiw)'!C:E,3,0)</f>
        <v>#N/A</v>
      </c>
    </row>
    <row r="6746" spans="7:8" ht="15" customHeight="1" x14ac:dyDescent="0.4">
      <c r="G6746" s="27">
        <f t="shared" si="117"/>
        <v>0</v>
      </c>
      <c r="H6746" s="28" t="e">
        <f>VLOOKUP(E6746,'Cadastro Produtos (kiwkiw)'!C:E,3,0)</f>
        <v>#N/A</v>
      </c>
    </row>
    <row r="6747" spans="7:8" ht="15" customHeight="1" x14ac:dyDescent="0.4">
      <c r="G6747" s="27">
        <f t="shared" si="117"/>
        <v>0</v>
      </c>
      <c r="H6747" s="28" t="e">
        <f>VLOOKUP(E6747,'Cadastro Produtos (kiwkiw)'!C:E,3,0)</f>
        <v>#N/A</v>
      </c>
    </row>
    <row r="6748" spans="7:8" ht="15" customHeight="1" x14ac:dyDescent="0.4">
      <c r="G6748" s="27">
        <f t="shared" si="117"/>
        <v>0</v>
      </c>
      <c r="H6748" s="28" t="e">
        <f>VLOOKUP(E6748,'Cadastro Produtos (kiwkiw)'!C:E,3,0)</f>
        <v>#N/A</v>
      </c>
    </row>
    <row r="6749" spans="7:8" ht="15" customHeight="1" x14ac:dyDescent="0.4">
      <c r="G6749" s="27">
        <f t="shared" si="117"/>
        <v>0</v>
      </c>
      <c r="H6749" s="28" t="e">
        <f>VLOOKUP(E6749,'Cadastro Produtos (kiwkiw)'!C:E,3,0)</f>
        <v>#N/A</v>
      </c>
    </row>
    <row r="6750" spans="7:8" ht="15" customHeight="1" x14ac:dyDescent="0.4">
      <c r="G6750" s="27">
        <f t="shared" si="117"/>
        <v>0</v>
      </c>
      <c r="H6750" s="28" t="e">
        <f>VLOOKUP(E6750,'Cadastro Produtos (kiwkiw)'!C:E,3,0)</f>
        <v>#N/A</v>
      </c>
    </row>
    <row r="6751" spans="7:8" ht="15" customHeight="1" x14ac:dyDescent="0.4">
      <c r="G6751" s="27">
        <f t="shared" si="117"/>
        <v>0</v>
      </c>
      <c r="H6751" s="28" t="e">
        <f>VLOOKUP(E6751,'Cadastro Produtos (kiwkiw)'!C:E,3,0)</f>
        <v>#N/A</v>
      </c>
    </row>
    <row r="6752" spans="7:8" ht="15" customHeight="1" x14ac:dyDescent="0.4">
      <c r="G6752" s="27">
        <f t="shared" si="117"/>
        <v>0</v>
      </c>
      <c r="H6752" s="28" t="e">
        <f>VLOOKUP(E6752,'Cadastro Produtos (kiwkiw)'!C:E,3,0)</f>
        <v>#N/A</v>
      </c>
    </row>
    <row r="6753" spans="7:8" ht="15" customHeight="1" x14ac:dyDescent="0.4">
      <c r="G6753" s="27">
        <f t="shared" si="117"/>
        <v>0</v>
      </c>
      <c r="H6753" s="28" t="e">
        <f>VLOOKUP(E6753,'Cadastro Produtos (kiwkiw)'!C:E,3,0)</f>
        <v>#N/A</v>
      </c>
    </row>
    <row r="6754" spans="7:8" ht="15" customHeight="1" x14ac:dyDescent="0.4">
      <c r="G6754" s="27">
        <f t="shared" si="117"/>
        <v>0</v>
      </c>
      <c r="H6754" s="28" t="e">
        <f>VLOOKUP(E6754,'Cadastro Produtos (kiwkiw)'!C:E,3,0)</f>
        <v>#N/A</v>
      </c>
    </row>
    <row r="6755" spans="7:8" ht="15" customHeight="1" x14ac:dyDescent="0.4">
      <c r="G6755" s="27">
        <f t="shared" si="117"/>
        <v>0</v>
      </c>
      <c r="H6755" s="28" t="e">
        <f>VLOOKUP(E6755,'Cadastro Produtos (kiwkiw)'!C:E,3,0)</f>
        <v>#N/A</v>
      </c>
    </row>
    <row r="6756" spans="7:8" ht="15" customHeight="1" x14ac:dyDescent="0.4">
      <c r="G6756" s="27">
        <f t="shared" si="117"/>
        <v>0</v>
      </c>
      <c r="H6756" s="28" t="e">
        <f>VLOOKUP(E6756,'Cadastro Produtos (kiwkiw)'!C:E,3,0)</f>
        <v>#N/A</v>
      </c>
    </row>
    <row r="6757" spans="7:8" ht="15" customHeight="1" x14ac:dyDescent="0.4">
      <c r="G6757" s="27">
        <f t="shared" si="117"/>
        <v>0</v>
      </c>
      <c r="H6757" s="28" t="e">
        <f>VLOOKUP(E6757,'Cadastro Produtos (kiwkiw)'!C:E,3,0)</f>
        <v>#N/A</v>
      </c>
    </row>
    <row r="6758" spans="7:8" ht="15" customHeight="1" x14ac:dyDescent="0.4">
      <c r="G6758" s="27">
        <f t="shared" si="117"/>
        <v>0</v>
      </c>
      <c r="H6758" s="28" t="e">
        <f>VLOOKUP(E6758,'Cadastro Produtos (kiwkiw)'!C:E,3,0)</f>
        <v>#N/A</v>
      </c>
    </row>
    <row r="6759" spans="7:8" ht="15" customHeight="1" x14ac:dyDescent="0.4">
      <c r="G6759" s="27">
        <f t="shared" si="117"/>
        <v>0</v>
      </c>
      <c r="H6759" s="28" t="e">
        <f>VLOOKUP(E6759,'Cadastro Produtos (kiwkiw)'!C:E,3,0)</f>
        <v>#N/A</v>
      </c>
    </row>
    <row r="6760" spans="7:8" ht="15" customHeight="1" x14ac:dyDescent="0.4">
      <c r="G6760" s="27">
        <f t="shared" si="117"/>
        <v>0</v>
      </c>
      <c r="H6760" s="28" t="e">
        <f>VLOOKUP(E6760,'Cadastro Produtos (kiwkiw)'!C:E,3,0)</f>
        <v>#N/A</v>
      </c>
    </row>
    <row r="6761" spans="7:8" ht="15" customHeight="1" x14ac:dyDescent="0.4">
      <c r="G6761" s="27">
        <f t="shared" si="117"/>
        <v>0</v>
      </c>
      <c r="H6761" s="28" t="e">
        <f>VLOOKUP(E6761,'Cadastro Produtos (kiwkiw)'!C:E,3,0)</f>
        <v>#N/A</v>
      </c>
    </row>
    <row r="6762" spans="7:8" ht="15" customHeight="1" x14ac:dyDescent="0.4">
      <c r="G6762" s="27">
        <f t="shared" si="117"/>
        <v>0</v>
      </c>
      <c r="H6762" s="28" t="e">
        <f>VLOOKUP(E6762,'Cadastro Produtos (kiwkiw)'!C:E,3,0)</f>
        <v>#N/A</v>
      </c>
    </row>
    <row r="6763" spans="7:8" ht="15" customHeight="1" x14ac:dyDescent="0.4">
      <c r="G6763" s="27">
        <f t="shared" si="117"/>
        <v>0</v>
      </c>
      <c r="H6763" s="28" t="e">
        <f>VLOOKUP(E6763,'Cadastro Produtos (kiwkiw)'!C:E,3,0)</f>
        <v>#N/A</v>
      </c>
    </row>
    <row r="6764" spans="7:8" ht="15" customHeight="1" x14ac:dyDescent="0.4">
      <c r="G6764" s="27">
        <f t="shared" si="117"/>
        <v>0</v>
      </c>
      <c r="H6764" s="28" t="e">
        <f>VLOOKUP(E6764,'Cadastro Produtos (kiwkiw)'!C:E,3,0)</f>
        <v>#N/A</v>
      </c>
    </row>
    <row r="6765" spans="7:8" ht="15" customHeight="1" x14ac:dyDescent="0.4">
      <c r="G6765" s="27">
        <f t="shared" si="117"/>
        <v>0</v>
      </c>
      <c r="H6765" s="28" t="e">
        <f>VLOOKUP(E6765,'Cadastro Produtos (kiwkiw)'!C:E,3,0)</f>
        <v>#N/A</v>
      </c>
    </row>
    <row r="6766" spans="7:8" ht="15" customHeight="1" x14ac:dyDescent="0.4">
      <c r="G6766" s="27">
        <f t="shared" si="117"/>
        <v>0</v>
      </c>
      <c r="H6766" s="28" t="e">
        <f>VLOOKUP(E6766,'Cadastro Produtos (kiwkiw)'!C:E,3,0)</f>
        <v>#N/A</v>
      </c>
    </row>
    <row r="6767" spans="7:8" ht="15" customHeight="1" x14ac:dyDescent="0.4">
      <c r="G6767" s="27">
        <f t="shared" si="117"/>
        <v>0</v>
      </c>
      <c r="H6767" s="28" t="e">
        <f>VLOOKUP(E6767,'Cadastro Produtos (kiwkiw)'!C:E,3,0)</f>
        <v>#N/A</v>
      </c>
    </row>
    <row r="6768" spans="7:8" ht="15" customHeight="1" x14ac:dyDescent="0.4">
      <c r="G6768" s="27">
        <f t="shared" si="117"/>
        <v>0</v>
      </c>
      <c r="H6768" s="28" t="e">
        <f>VLOOKUP(E6768,'Cadastro Produtos (kiwkiw)'!C:E,3,0)</f>
        <v>#N/A</v>
      </c>
    </row>
    <row r="6769" spans="2:8" ht="15" customHeight="1" x14ac:dyDescent="0.4">
      <c r="G6769" s="27">
        <f t="shared" si="117"/>
        <v>0</v>
      </c>
      <c r="H6769" s="28" t="e">
        <f>VLOOKUP(E6769,'Cadastro Produtos (kiwkiw)'!C:E,3,0)</f>
        <v>#N/A</v>
      </c>
    </row>
    <row r="6770" spans="2:8" ht="15" customHeight="1" x14ac:dyDescent="0.4">
      <c r="G6770" s="27">
        <f t="shared" si="117"/>
        <v>0</v>
      </c>
      <c r="H6770" s="28" t="e">
        <f>VLOOKUP(E6770,'Cadastro Produtos (kiwkiw)'!C:E,3,0)</f>
        <v>#N/A</v>
      </c>
    </row>
    <row r="6771" spans="2:8" ht="15" customHeight="1" x14ac:dyDescent="0.4">
      <c r="G6771" s="27">
        <f t="shared" si="117"/>
        <v>0</v>
      </c>
      <c r="H6771" s="28" t="e">
        <f>VLOOKUP(E6771,'Cadastro Produtos (kiwkiw)'!C:E,3,0)</f>
        <v>#N/A</v>
      </c>
    </row>
    <row r="6772" spans="2:8" ht="15" customHeight="1" x14ac:dyDescent="0.4">
      <c r="G6772" s="27">
        <f t="shared" si="117"/>
        <v>0</v>
      </c>
      <c r="H6772" s="28" t="e">
        <f>VLOOKUP(E6772,'Cadastro Produtos (kiwkiw)'!C:E,3,0)</f>
        <v>#N/A</v>
      </c>
    </row>
    <row r="6773" spans="2:8" ht="15" customHeight="1" x14ac:dyDescent="0.4">
      <c r="G6773" s="27">
        <f t="shared" si="117"/>
        <v>0</v>
      </c>
      <c r="H6773" s="28" t="e">
        <f>VLOOKUP(E6773,'Cadastro Produtos (kiwkiw)'!C:E,3,0)</f>
        <v>#N/A</v>
      </c>
    </row>
    <row r="6774" spans="2:8" ht="15" customHeight="1" x14ac:dyDescent="0.4">
      <c r="G6774" s="27">
        <f t="shared" si="117"/>
        <v>0</v>
      </c>
      <c r="H6774" s="28" t="e">
        <f>VLOOKUP(E6774,'Cadastro Produtos (kiwkiw)'!C:E,3,0)</f>
        <v>#N/A</v>
      </c>
    </row>
    <row r="6775" spans="2:8" ht="15" customHeight="1" x14ac:dyDescent="0.4">
      <c r="G6775" s="27">
        <f t="shared" si="117"/>
        <v>0</v>
      </c>
      <c r="H6775" s="28" t="e">
        <f>VLOOKUP(E6775,'Cadastro Produtos (kiwkiw)'!C:E,3,0)</f>
        <v>#N/A</v>
      </c>
    </row>
    <row r="6776" spans="2:8" ht="15" customHeight="1" x14ac:dyDescent="0.4">
      <c r="G6776" s="27">
        <f t="shared" si="117"/>
        <v>0</v>
      </c>
      <c r="H6776" s="28" t="e">
        <f>VLOOKUP(E6776,'Cadastro Produtos (kiwkiw)'!C:E,3,0)</f>
        <v>#N/A</v>
      </c>
    </row>
    <row r="6777" spans="2:8" ht="15" customHeight="1" x14ac:dyDescent="0.4">
      <c r="G6777" s="27">
        <f t="shared" si="117"/>
        <v>0</v>
      </c>
      <c r="H6777" s="28" t="e">
        <f>VLOOKUP(E6777,'Cadastro Produtos (kiwkiw)'!C:E,3,0)</f>
        <v>#N/A</v>
      </c>
    </row>
    <row r="6778" spans="2:8" ht="15" customHeight="1" x14ac:dyDescent="0.4">
      <c r="G6778" s="27">
        <f t="shared" si="117"/>
        <v>0</v>
      </c>
      <c r="H6778" s="28" t="e">
        <f>VLOOKUP(E6778,'Cadastro Produtos (kiwkiw)'!C:E,3,0)</f>
        <v>#N/A</v>
      </c>
    </row>
    <row r="6779" spans="2:8" ht="15" customHeight="1" x14ac:dyDescent="0.4">
      <c r="B6779" s="43"/>
      <c r="G6779" s="27">
        <f t="shared" si="117"/>
        <v>0</v>
      </c>
      <c r="H6779" s="28" t="e">
        <f>VLOOKUP(E6779,'Cadastro Produtos (kiwkiw)'!C:E,3,0)</f>
        <v>#N/A</v>
      </c>
    </row>
    <row r="6780" spans="2:8" ht="15" customHeight="1" x14ac:dyDescent="0.4">
      <c r="G6780" s="27">
        <f t="shared" si="117"/>
        <v>0</v>
      </c>
      <c r="H6780" s="28" t="e">
        <f>VLOOKUP(E6780,'Cadastro Produtos (kiwkiw)'!C:E,3,0)</f>
        <v>#N/A</v>
      </c>
    </row>
    <row r="6781" spans="2:8" ht="15" customHeight="1" x14ac:dyDescent="0.4">
      <c r="G6781" s="27">
        <f t="shared" si="117"/>
        <v>0</v>
      </c>
      <c r="H6781" s="28" t="e">
        <f>VLOOKUP(E6781,'Cadastro Produtos (kiwkiw)'!C:E,3,0)</f>
        <v>#N/A</v>
      </c>
    </row>
    <row r="6782" spans="2:8" ht="15" customHeight="1" x14ac:dyDescent="0.4">
      <c r="G6782" s="27">
        <f t="shared" si="117"/>
        <v>0</v>
      </c>
      <c r="H6782" s="28" t="e">
        <f>VLOOKUP(E6782,'Cadastro Produtos (kiwkiw)'!C:E,3,0)</f>
        <v>#N/A</v>
      </c>
    </row>
    <row r="6783" spans="2:8" ht="15" customHeight="1" x14ac:dyDescent="0.4">
      <c r="G6783" s="27">
        <f t="shared" si="117"/>
        <v>0</v>
      </c>
      <c r="H6783" s="28" t="e">
        <f>VLOOKUP(E6783,'Cadastro Produtos (kiwkiw)'!C:E,3,0)</f>
        <v>#N/A</v>
      </c>
    </row>
    <row r="6784" spans="2:8" ht="15" customHeight="1" x14ac:dyDescent="0.4">
      <c r="G6784" s="27">
        <f t="shared" si="117"/>
        <v>0</v>
      </c>
      <c r="H6784" s="28" t="e">
        <f>VLOOKUP(E6784,'Cadastro Produtos (kiwkiw)'!C:E,3,0)</f>
        <v>#N/A</v>
      </c>
    </row>
    <row r="6785" spans="7:8" ht="15" customHeight="1" x14ac:dyDescent="0.4">
      <c r="G6785" s="27">
        <f t="shared" si="117"/>
        <v>0</v>
      </c>
      <c r="H6785" s="28" t="e">
        <f>VLOOKUP(E6785,'Cadastro Produtos (kiwkiw)'!C:E,3,0)</f>
        <v>#N/A</v>
      </c>
    </row>
    <row r="6786" spans="7:8" ht="15" customHeight="1" x14ac:dyDescent="0.4">
      <c r="G6786" s="27">
        <f t="shared" si="117"/>
        <v>0</v>
      </c>
      <c r="H6786" s="28" t="e">
        <f>VLOOKUP(E6786,'Cadastro Produtos (kiwkiw)'!C:E,3,0)</f>
        <v>#N/A</v>
      </c>
    </row>
    <row r="6787" spans="7:8" ht="15" customHeight="1" x14ac:dyDescent="0.4">
      <c r="G6787" s="27">
        <f t="shared" si="117"/>
        <v>0</v>
      </c>
      <c r="H6787" s="28" t="e">
        <f>VLOOKUP(E6787,'Cadastro Produtos (kiwkiw)'!C:E,3,0)</f>
        <v>#N/A</v>
      </c>
    </row>
    <row r="6788" spans="7:8" ht="15" customHeight="1" x14ac:dyDescent="0.4">
      <c r="G6788" s="27">
        <f t="shared" si="117"/>
        <v>0</v>
      </c>
      <c r="H6788" s="28" t="e">
        <f>VLOOKUP(E6788,'Cadastro Produtos (kiwkiw)'!C:E,3,0)</f>
        <v>#N/A</v>
      </c>
    </row>
    <row r="6789" spans="7:8" ht="15" customHeight="1" x14ac:dyDescent="0.4">
      <c r="G6789" s="27">
        <f t="shared" si="117"/>
        <v>0</v>
      </c>
      <c r="H6789" s="28" t="e">
        <f>VLOOKUP(E6789,'Cadastro Produtos (kiwkiw)'!C:E,3,0)</f>
        <v>#N/A</v>
      </c>
    </row>
    <row r="6790" spans="7:8" ht="15" customHeight="1" x14ac:dyDescent="0.4">
      <c r="G6790" s="27">
        <f t="shared" si="117"/>
        <v>0</v>
      </c>
      <c r="H6790" s="28" t="e">
        <f>VLOOKUP(E6790,'Cadastro Produtos (kiwkiw)'!C:E,3,0)</f>
        <v>#N/A</v>
      </c>
    </row>
    <row r="6791" spans="7:8" ht="15" customHeight="1" x14ac:dyDescent="0.4">
      <c r="G6791" s="27">
        <f t="shared" si="117"/>
        <v>0</v>
      </c>
      <c r="H6791" s="28" t="e">
        <f>VLOOKUP(E6791,'Cadastro Produtos (kiwkiw)'!C:E,3,0)</f>
        <v>#N/A</v>
      </c>
    </row>
    <row r="6792" spans="7:8" ht="15" customHeight="1" x14ac:dyDescent="0.4">
      <c r="G6792" s="27">
        <f t="shared" si="117"/>
        <v>0</v>
      </c>
      <c r="H6792" s="28" t="e">
        <f>VLOOKUP(E6792,'Cadastro Produtos (kiwkiw)'!C:E,3,0)</f>
        <v>#N/A</v>
      </c>
    </row>
    <row r="6793" spans="7:8" ht="15" customHeight="1" x14ac:dyDescent="0.4">
      <c r="G6793" s="27">
        <f t="shared" si="117"/>
        <v>0</v>
      </c>
      <c r="H6793" s="28" t="e">
        <f>VLOOKUP(E6793,'Cadastro Produtos (kiwkiw)'!C:E,3,0)</f>
        <v>#N/A</v>
      </c>
    </row>
    <row r="6794" spans="7:8" ht="15" customHeight="1" x14ac:dyDescent="0.4">
      <c r="G6794" s="27">
        <f t="shared" si="117"/>
        <v>0</v>
      </c>
      <c r="H6794" s="28" t="e">
        <f>VLOOKUP(E6794,'Cadastro Produtos (kiwkiw)'!C:E,3,0)</f>
        <v>#N/A</v>
      </c>
    </row>
    <row r="6795" spans="7:8" ht="15" customHeight="1" x14ac:dyDescent="0.4">
      <c r="G6795" s="27">
        <f t="shared" si="117"/>
        <v>0</v>
      </c>
      <c r="H6795" s="28" t="e">
        <f>VLOOKUP(E6795,'Cadastro Produtos (kiwkiw)'!C:E,3,0)</f>
        <v>#N/A</v>
      </c>
    </row>
    <row r="6796" spans="7:8" ht="15" customHeight="1" x14ac:dyDescent="0.4">
      <c r="G6796" s="27">
        <f t="shared" si="117"/>
        <v>0</v>
      </c>
      <c r="H6796" s="28" t="e">
        <f>VLOOKUP(E6796,'Cadastro Produtos (kiwkiw)'!C:E,3,0)</f>
        <v>#N/A</v>
      </c>
    </row>
    <row r="6797" spans="7:8" ht="15" customHeight="1" x14ac:dyDescent="0.4">
      <c r="G6797" s="27">
        <f t="shared" si="117"/>
        <v>0</v>
      </c>
      <c r="H6797" s="28" t="e">
        <f>VLOOKUP(E6797,'Cadastro Produtos (kiwkiw)'!C:E,3,0)</f>
        <v>#N/A</v>
      </c>
    </row>
    <row r="6798" spans="7:8" ht="15" customHeight="1" x14ac:dyDescent="0.4">
      <c r="G6798" s="27">
        <f t="shared" si="117"/>
        <v>0</v>
      </c>
      <c r="H6798" s="28" t="e">
        <f>VLOOKUP(E6798,'Cadastro Produtos (kiwkiw)'!C:E,3,0)</f>
        <v>#N/A</v>
      </c>
    </row>
    <row r="6799" spans="7:8" ht="15" customHeight="1" x14ac:dyDescent="0.4">
      <c r="G6799" s="27">
        <f t="shared" si="117"/>
        <v>0</v>
      </c>
      <c r="H6799" s="28" t="e">
        <f>VLOOKUP(E6799,'Cadastro Produtos (kiwkiw)'!C:E,3,0)</f>
        <v>#N/A</v>
      </c>
    </row>
    <row r="6800" spans="7:8" ht="15" customHeight="1" x14ac:dyDescent="0.4">
      <c r="G6800" s="27">
        <f t="shared" si="117"/>
        <v>0</v>
      </c>
      <c r="H6800" s="28" t="e">
        <f>VLOOKUP(E6800,'Cadastro Produtos (kiwkiw)'!C:E,3,0)</f>
        <v>#N/A</v>
      </c>
    </row>
    <row r="6801" spans="2:8" ht="15" customHeight="1" x14ac:dyDescent="0.4">
      <c r="G6801" s="27">
        <f t="shared" si="117"/>
        <v>0</v>
      </c>
      <c r="H6801" s="28" t="e">
        <f>VLOOKUP(E6801,'Cadastro Produtos (kiwkiw)'!C:E,3,0)</f>
        <v>#N/A</v>
      </c>
    </row>
    <row r="6802" spans="2:8" ht="15" customHeight="1" x14ac:dyDescent="0.4">
      <c r="G6802" s="27">
        <f t="shared" ref="G6802:G6865" si="118">IF(C6802="Entrada",F6802,-F6802)</f>
        <v>0</v>
      </c>
      <c r="H6802" s="28" t="e">
        <f>VLOOKUP(E6802,'Cadastro Produtos (kiwkiw)'!C:E,3,0)</f>
        <v>#N/A</v>
      </c>
    </row>
    <row r="6803" spans="2:8" ht="15" customHeight="1" x14ac:dyDescent="0.4">
      <c r="G6803" s="27">
        <f t="shared" si="118"/>
        <v>0</v>
      </c>
      <c r="H6803" s="28" t="e">
        <f>VLOOKUP(E6803,'Cadastro Produtos (kiwkiw)'!C:E,3,0)</f>
        <v>#N/A</v>
      </c>
    </row>
    <row r="6804" spans="2:8" ht="15" customHeight="1" x14ac:dyDescent="0.4">
      <c r="G6804" s="27">
        <f t="shared" si="118"/>
        <v>0</v>
      </c>
      <c r="H6804" s="28" t="e">
        <f>VLOOKUP(E6804,'Cadastro Produtos (kiwkiw)'!C:E,3,0)</f>
        <v>#N/A</v>
      </c>
    </row>
    <row r="6805" spans="2:8" ht="15" customHeight="1" x14ac:dyDescent="0.4">
      <c r="G6805" s="27">
        <f t="shared" si="118"/>
        <v>0</v>
      </c>
      <c r="H6805" s="28" t="e">
        <f>VLOOKUP(E6805,'Cadastro Produtos (kiwkiw)'!C:E,3,0)</f>
        <v>#N/A</v>
      </c>
    </row>
    <row r="6806" spans="2:8" ht="15" customHeight="1" x14ac:dyDescent="0.4">
      <c r="G6806" s="27">
        <f t="shared" si="118"/>
        <v>0</v>
      </c>
      <c r="H6806" s="28" t="e">
        <f>VLOOKUP(E6806,'Cadastro Produtos (kiwkiw)'!C:E,3,0)</f>
        <v>#N/A</v>
      </c>
    </row>
    <row r="6807" spans="2:8" ht="15" customHeight="1" x14ac:dyDescent="0.4">
      <c r="B6807" s="43"/>
      <c r="G6807" s="27">
        <f t="shared" si="118"/>
        <v>0</v>
      </c>
      <c r="H6807" s="28" t="e">
        <f>VLOOKUP(E6807,'Cadastro Produtos (kiwkiw)'!C:E,3,0)</f>
        <v>#N/A</v>
      </c>
    </row>
    <row r="6808" spans="2:8" ht="15" customHeight="1" x14ac:dyDescent="0.4">
      <c r="G6808" s="27">
        <f t="shared" si="118"/>
        <v>0</v>
      </c>
      <c r="H6808" s="28" t="e">
        <f>VLOOKUP(E6808,'Cadastro Produtos (kiwkiw)'!C:E,3,0)</f>
        <v>#N/A</v>
      </c>
    </row>
    <row r="6809" spans="2:8" ht="15" customHeight="1" x14ac:dyDescent="0.4">
      <c r="G6809" s="27">
        <f t="shared" si="118"/>
        <v>0</v>
      </c>
      <c r="H6809" s="28" t="e">
        <f>VLOOKUP(E6809,'Cadastro Produtos (kiwkiw)'!C:E,3,0)</f>
        <v>#N/A</v>
      </c>
    </row>
    <row r="6810" spans="2:8" ht="15" customHeight="1" x14ac:dyDescent="0.4">
      <c r="G6810" s="27">
        <f t="shared" si="118"/>
        <v>0</v>
      </c>
      <c r="H6810" s="28" t="e">
        <f>VLOOKUP(E6810,'Cadastro Produtos (kiwkiw)'!C:E,3,0)</f>
        <v>#N/A</v>
      </c>
    </row>
    <row r="6811" spans="2:8" ht="15" customHeight="1" x14ac:dyDescent="0.4">
      <c r="G6811" s="27">
        <f t="shared" si="118"/>
        <v>0</v>
      </c>
      <c r="H6811" s="28" t="e">
        <f>VLOOKUP(E6811,'Cadastro Produtos (kiwkiw)'!C:E,3,0)</f>
        <v>#N/A</v>
      </c>
    </row>
    <row r="6812" spans="2:8" ht="15" customHeight="1" x14ac:dyDescent="0.4">
      <c r="G6812" s="27">
        <f t="shared" si="118"/>
        <v>0</v>
      </c>
      <c r="H6812" s="28" t="e">
        <f>VLOOKUP(E6812,'Cadastro Produtos (kiwkiw)'!C:E,3,0)</f>
        <v>#N/A</v>
      </c>
    </row>
    <row r="6813" spans="2:8" ht="15" customHeight="1" x14ac:dyDescent="0.4">
      <c r="G6813" s="27">
        <f t="shared" si="118"/>
        <v>0</v>
      </c>
      <c r="H6813" s="28" t="e">
        <f>VLOOKUP(E6813,'Cadastro Produtos (kiwkiw)'!C:E,3,0)</f>
        <v>#N/A</v>
      </c>
    </row>
    <row r="6814" spans="2:8" ht="15" customHeight="1" x14ac:dyDescent="0.4">
      <c r="G6814" s="27">
        <f t="shared" si="118"/>
        <v>0</v>
      </c>
      <c r="H6814" s="28" t="e">
        <f>VLOOKUP(E6814,'Cadastro Produtos (kiwkiw)'!C:E,3,0)</f>
        <v>#N/A</v>
      </c>
    </row>
    <row r="6815" spans="2:8" ht="15" customHeight="1" x14ac:dyDescent="0.4">
      <c r="G6815" s="27">
        <f t="shared" si="118"/>
        <v>0</v>
      </c>
      <c r="H6815" s="28" t="e">
        <f>VLOOKUP(E6815,'Cadastro Produtos (kiwkiw)'!C:E,3,0)</f>
        <v>#N/A</v>
      </c>
    </row>
    <row r="6816" spans="2:8" ht="15" customHeight="1" x14ac:dyDescent="0.4">
      <c r="G6816" s="27">
        <f t="shared" si="118"/>
        <v>0</v>
      </c>
      <c r="H6816" s="28" t="e">
        <f>VLOOKUP(E6816,'Cadastro Produtos (kiwkiw)'!C:E,3,0)</f>
        <v>#N/A</v>
      </c>
    </row>
    <row r="6817" spans="7:8" ht="15" customHeight="1" x14ac:dyDescent="0.4">
      <c r="G6817" s="27">
        <f t="shared" si="118"/>
        <v>0</v>
      </c>
      <c r="H6817" s="28" t="e">
        <f>VLOOKUP(E6817,'Cadastro Produtos (kiwkiw)'!C:E,3,0)</f>
        <v>#N/A</v>
      </c>
    </row>
    <row r="6818" spans="7:8" ht="15" customHeight="1" x14ac:dyDescent="0.4">
      <c r="G6818" s="27">
        <f t="shared" si="118"/>
        <v>0</v>
      </c>
      <c r="H6818" s="28" t="e">
        <f>VLOOKUP(E6818,'Cadastro Produtos (kiwkiw)'!C:E,3,0)</f>
        <v>#N/A</v>
      </c>
    </row>
    <row r="6819" spans="7:8" ht="15" customHeight="1" x14ac:dyDescent="0.4">
      <c r="G6819" s="27">
        <f t="shared" si="118"/>
        <v>0</v>
      </c>
      <c r="H6819" s="28" t="e">
        <f>VLOOKUP(E6819,'Cadastro Produtos (kiwkiw)'!C:E,3,0)</f>
        <v>#N/A</v>
      </c>
    </row>
    <row r="6820" spans="7:8" ht="15" customHeight="1" x14ac:dyDescent="0.4">
      <c r="G6820" s="27">
        <f t="shared" si="118"/>
        <v>0</v>
      </c>
      <c r="H6820" s="28" t="e">
        <f>VLOOKUP(E6820,'Cadastro Produtos (kiwkiw)'!C:E,3,0)</f>
        <v>#N/A</v>
      </c>
    </row>
    <row r="6821" spans="7:8" ht="15" customHeight="1" x14ac:dyDescent="0.4">
      <c r="G6821" s="27">
        <f t="shared" si="118"/>
        <v>0</v>
      </c>
      <c r="H6821" s="28" t="e">
        <f>VLOOKUP(E6821,'Cadastro Produtos (kiwkiw)'!C:E,3,0)</f>
        <v>#N/A</v>
      </c>
    </row>
    <row r="6822" spans="7:8" ht="15" customHeight="1" x14ac:dyDescent="0.4">
      <c r="G6822" s="27">
        <f t="shared" si="118"/>
        <v>0</v>
      </c>
      <c r="H6822" s="28" t="e">
        <f>VLOOKUP(E6822,'Cadastro Produtos (kiwkiw)'!C:E,3,0)</f>
        <v>#N/A</v>
      </c>
    </row>
    <row r="6823" spans="7:8" ht="15" customHeight="1" x14ac:dyDescent="0.4">
      <c r="G6823" s="27">
        <f t="shared" si="118"/>
        <v>0</v>
      </c>
      <c r="H6823" s="28" t="e">
        <f>VLOOKUP(E6823,'Cadastro Produtos (kiwkiw)'!C:E,3,0)</f>
        <v>#N/A</v>
      </c>
    </row>
    <row r="6824" spans="7:8" ht="15" customHeight="1" x14ac:dyDescent="0.4">
      <c r="G6824" s="27">
        <f t="shared" si="118"/>
        <v>0</v>
      </c>
      <c r="H6824" s="28" t="e">
        <f>VLOOKUP(E6824,'Cadastro Produtos (kiwkiw)'!C:E,3,0)</f>
        <v>#N/A</v>
      </c>
    </row>
    <row r="6825" spans="7:8" ht="15" customHeight="1" x14ac:dyDescent="0.4">
      <c r="G6825" s="27">
        <f t="shared" si="118"/>
        <v>0</v>
      </c>
      <c r="H6825" s="28" t="e">
        <f>VLOOKUP(E6825,'Cadastro Produtos (kiwkiw)'!C:E,3,0)</f>
        <v>#N/A</v>
      </c>
    </row>
    <row r="6826" spans="7:8" ht="15" customHeight="1" x14ac:dyDescent="0.4">
      <c r="G6826" s="27">
        <f t="shared" si="118"/>
        <v>0</v>
      </c>
      <c r="H6826" s="28" t="e">
        <f>VLOOKUP(E6826,'Cadastro Produtos (kiwkiw)'!C:E,3,0)</f>
        <v>#N/A</v>
      </c>
    </row>
    <row r="6827" spans="7:8" ht="15" customHeight="1" x14ac:dyDescent="0.4">
      <c r="G6827" s="27">
        <f t="shared" si="118"/>
        <v>0</v>
      </c>
      <c r="H6827" s="28" t="e">
        <f>VLOOKUP(E6827,'Cadastro Produtos (kiwkiw)'!C:E,3,0)</f>
        <v>#N/A</v>
      </c>
    </row>
    <row r="6828" spans="7:8" ht="15" customHeight="1" x14ac:dyDescent="0.4">
      <c r="G6828" s="27">
        <f t="shared" si="118"/>
        <v>0</v>
      </c>
      <c r="H6828" s="28" t="e">
        <f>VLOOKUP(E6828,'Cadastro Produtos (kiwkiw)'!C:E,3,0)</f>
        <v>#N/A</v>
      </c>
    </row>
    <row r="6829" spans="7:8" ht="15" customHeight="1" x14ac:dyDescent="0.4">
      <c r="G6829" s="27">
        <f t="shared" si="118"/>
        <v>0</v>
      </c>
      <c r="H6829" s="28" t="e">
        <f>VLOOKUP(E6829,'Cadastro Produtos (kiwkiw)'!C:E,3,0)</f>
        <v>#N/A</v>
      </c>
    </row>
    <row r="6830" spans="7:8" ht="15" customHeight="1" x14ac:dyDescent="0.4">
      <c r="G6830" s="27">
        <f t="shared" si="118"/>
        <v>0</v>
      </c>
      <c r="H6830" s="28" t="e">
        <f>VLOOKUP(E6830,'Cadastro Produtos (kiwkiw)'!C:E,3,0)</f>
        <v>#N/A</v>
      </c>
    </row>
    <row r="6831" spans="7:8" ht="15" customHeight="1" x14ac:dyDescent="0.4">
      <c r="G6831" s="27">
        <f t="shared" si="118"/>
        <v>0</v>
      </c>
      <c r="H6831" s="28" t="e">
        <f>VLOOKUP(E6831,'Cadastro Produtos (kiwkiw)'!C:E,3,0)</f>
        <v>#N/A</v>
      </c>
    </row>
    <row r="6832" spans="7:8" ht="15" customHeight="1" x14ac:dyDescent="0.4">
      <c r="G6832" s="27">
        <f t="shared" si="118"/>
        <v>0</v>
      </c>
      <c r="H6832" s="28" t="e">
        <f>VLOOKUP(E6832,'Cadastro Produtos (kiwkiw)'!C:E,3,0)</f>
        <v>#N/A</v>
      </c>
    </row>
    <row r="6833" spans="7:8" ht="15" customHeight="1" x14ac:dyDescent="0.4">
      <c r="G6833" s="27">
        <f t="shared" si="118"/>
        <v>0</v>
      </c>
      <c r="H6833" s="28" t="e">
        <f>VLOOKUP(E6833,'Cadastro Produtos (kiwkiw)'!C:E,3,0)</f>
        <v>#N/A</v>
      </c>
    </row>
    <row r="6834" spans="7:8" ht="15" customHeight="1" x14ac:dyDescent="0.4">
      <c r="G6834" s="27">
        <f t="shared" si="118"/>
        <v>0</v>
      </c>
      <c r="H6834" s="28" t="e">
        <f>VLOOKUP(E6834,'Cadastro Produtos (kiwkiw)'!C:E,3,0)</f>
        <v>#N/A</v>
      </c>
    </row>
    <row r="6835" spans="7:8" ht="15" customHeight="1" x14ac:dyDescent="0.4">
      <c r="G6835" s="27">
        <f t="shared" si="118"/>
        <v>0</v>
      </c>
      <c r="H6835" s="28" t="e">
        <f>VLOOKUP(E6835,'Cadastro Produtos (kiwkiw)'!C:E,3,0)</f>
        <v>#N/A</v>
      </c>
    </row>
    <row r="6836" spans="7:8" ht="15" customHeight="1" x14ac:dyDescent="0.4">
      <c r="G6836" s="27">
        <f t="shared" si="118"/>
        <v>0</v>
      </c>
      <c r="H6836" s="28" t="e">
        <f>VLOOKUP(E6836,'Cadastro Produtos (kiwkiw)'!C:E,3,0)</f>
        <v>#N/A</v>
      </c>
    </row>
    <row r="6837" spans="7:8" ht="15" customHeight="1" x14ac:dyDescent="0.4">
      <c r="G6837" s="27">
        <f t="shared" si="118"/>
        <v>0</v>
      </c>
      <c r="H6837" s="28" t="e">
        <f>VLOOKUP(E6837,'Cadastro Produtos (kiwkiw)'!C:E,3,0)</f>
        <v>#N/A</v>
      </c>
    </row>
    <row r="6838" spans="7:8" ht="15" customHeight="1" x14ac:dyDescent="0.4">
      <c r="G6838" s="27">
        <f t="shared" si="118"/>
        <v>0</v>
      </c>
      <c r="H6838" s="28" t="e">
        <f>VLOOKUP(E6838,'Cadastro Produtos (kiwkiw)'!C:E,3,0)</f>
        <v>#N/A</v>
      </c>
    </row>
    <row r="6839" spans="7:8" ht="15" customHeight="1" x14ac:dyDescent="0.4">
      <c r="G6839" s="27">
        <f t="shared" si="118"/>
        <v>0</v>
      </c>
      <c r="H6839" s="28" t="e">
        <f>VLOOKUP(E6839,'Cadastro Produtos (kiwkiw)'!C:E,3,0)</f>
        <v>#N/A</v>
      </c>
    </row>
    <row r="6840" spans="7:8" ht="15" customHeight="1" x14ac:dyDescent="0.4">
      <c r="G6840" s="27">
        <f t="shared" si="118"/>
        <v>0</v>
      </c>
      <c r="H6840" s="28" t="e">
        <f>VLOOKUP(E6840,'Cadastro Produtos (kiwkiw)'!C:E,3,0)</f>
        <v>#N/A</v>
      </c>
    </row>
    <row r="6841" spans="7:8" ht="15" customHeight="1" x14ac:dyDescent="0.4">
      <c r="G6841" s="27">
        <f t="shared" si="118"/>
        <v>0</v>
      </c>
      <c r="H6841" s="28" t="e">
        <f>VLOOKUP(E6841,'Cadastro Produtos (kiwkiw)'!C:E,3,0)</f>
        <v>#N/A</v>
      </c>
    </row>
    <row r="6842" spans="7:8" ht="15" customHeight="1" x14ac:dyDescent="0.4">
      <c r="G6842" s="27">
        <f t="shared" si="118"/>
        <v>0</v>
      </c>
      <c r="H6842" s="28" t="e">
        <f>VLOOKUP(E6842,'Cadastro Produtos (kiwkiw)'!C:E,3,0)</f>
        <v>#N/A</v>
      </c>
    </row>
    <row r="6843" spans="7:8" ht="15" customHeight="1" x14ac:dyDescent="0.4">
      <c r="G6843" s="27">
        <f t="shared" si="118"/>
        <v>0</v>
      </c>
      <c r="H6843" s="28" t="e">
        <f>VLOOKUP(E6843,'Cadastro Produtos (kiwkiw)'!C:E,3,0)</f>
        <v>#N/A</v>
      </c>
    </row>
    <row r="6844" spans="7:8" ht="15" customHeight="1" x14ac:dyDescent="0.4">
      <c r="G6844" s="27">
        <f t="shared" si="118"/>
        <v>0</v>
      </c>
      <c r="H6844" s="28" t="e">
        <f>VLOOKUP(E6844,'Cadastro Produtos (kiwkiw)'!C:E,3,0)</f>
        <v>#N/A</v>
      </c>
    </row>
    <row r="6845" spans="7:8" ht="15" customHeight="1" x14ac:dyDescent="0.4">
      <c r="G6845" s="27">
        <f t="shared" si="118"/>
        <v>0</v>
      </c>
      <c r="H6845" s="28" t="e">
        <f>VLOOKUP(E6845,'Cadastro Produtos (kiwkiw)'!C:E,3,0)</f>
        <v>#N/A</v>
      </c>
    </row>
    <row r="6846" spans="7:8" ht="15" customHeight="1" x14ac:dyDescent="0.4">
      <c r="G6846" s="27">
        <f t="shared" si="118"/>
        <v>0</v>
      </c>
      <c r="H6846" s="28" t="e">
        <f>VLOOKUP(E6846,'Cadastro Produtos (kiwkiw)'!C:E,3,0)</f>
        <v>#N/A</v>
      </c>
    </row>
    <row r="6847" spans="7:8" ht="15" customHeight="1" x14ac:dyDescent="0.4">
      <c r="G6847" s="27">
        <f t="shared" si="118"/>
        <v>0</v>
      </c>
      <c r="H6847" s="28" t="e">
        <f>VLOOKUP(E6847,'Cadastro Produtos (kiwkiw)'!C:E,3,0)</f>
        <v>#N/A</v>
      </c>
    </row>
    <row r="6848" spans="7:8" ht="15" customHeight="1" x14ac:dyDescent="0.4">
      <c r="G6848" s="27">
        <f t="shared" si="118"/>
        <v>0</v>
      </c>
      <c r="H6848" s="28" t="e">
        <f>VLOOKUP(E6848,'Cadastro Produtos (kiwkiw)'!C:E,3,0)</f>
        <v>#N/A</v>
      </c>
    </row>
    <row r="6849" spans="7:8" ht="15" customHeight="1" x14ac:dyDescent="0.4">
      <c r="G6849" s="27">
        <f t="shared" si="118"/>
        <v>0</v>
      </c>
      <c r="H6849" s="28" t="e">
        <f>VLOOKUP(E6849,'Cadastro Produtos (kiwkiw)'!C:E,3,0)</f>
        <v>#N/A</v>
      </c>
    </row>
    <row r="6850" spans="7:8" ht="15" customHeight="1" x14ac:dyDescent="0.4">
      <c r="G6850" s="27">
        <f t="shared" si="118"/>
        <v>0</v>
      </c>
      <c r="H6850" s="28" t="e">
        <f>VLOOKUP(E6850,'Cadastro Produtos (kiwkiw)'!C:E,3,0)</f>
        <v>#N/A</v>
      </c>
    </row>
    <row r="6851" spans="7:8" ht="15" customHeight="1" x14ac:dyDescent="0.4">
      <c r="G6851" s="27">
        <f t="shared" si="118"/>
        <v>0</v>
      </c>
      <c r="H6851" s="28" t="e">
        <f>VLOOKUP(E6851,'Cadastro Produtos (kiwkiw)'!C:E,3,0)</f>
        <v>#N/A</v>
      </c>
    </row>
    <row r="6852" spans="7:8" ht="15" customHeight="1" x14ac:dyDescent="0.4">
      <c r="G6852" s="27">
        <f t="shared" si="118"/>
        <v>0</v>
      </c>
      <c r="H6852" s="28" t="e">
        <f>VLOOKUP(E6852,'Cadastro Produtos (kiwkiw)'!C:E,3,0)</f>
        <v>#N/A</v>
      </c>
    </row>
    <row r="6853" spans="7:8" ht="15" customHeight="1" x14ac:dyDescent="0.4">
      <c r="G6853" s="27">
        <f t="shared" si="118"/>
        <v>0</v>
      </c>
      <c r="H6853" s="28" t="e">
        <f>VLOOKUP(E6853,'Cadastro Produtos (kiwkiw)'!C:E,3,0)</f>
        <v>#N/A</v>
      </c>
    </row>
    <row r="6854" spans="7:8" ht="15" customHeight="1" x14ac:dyDescent="0.4">
      <c r="G6854" s="27">
        <f t="shared" si="118"/>
        <v>0</v>
      </c>
      <c r="H6854" s="28" t="e">
        <f>VLOOKUP(E6854,'Cadastro Produtos (kiwkiw)'!C:E,3,0)</f>
        <v>#N/A</v>
      </c>
    </row>
    <row r="6855" spans="7:8" ht="15" customHeight="1" x14ac:dyDescent="0.4">
      <c r="G6855" s="27">
        <f t="shared" si="118"/>
        <v>0</v>
      </c>
      <c r="H6855" s="28" t="e">
        <f>VLOOKUP(E6855,'Cadastro Produtos (kiwkiw)'!C:E,3,0)</f>
        <v>#N/A</v>
      </c>
    </row>
    <row r="6856" spans="7:8" ht="15" customHeight="1" x14ac:dyDescent="0.4">
      <c r="G6856" s="27">
        <f t="shared" si="118"/>
        <v>0</v>
      </c>
      <c r="H6856" s="28" t="e">
        <f>VLOOKUP(E6856,'Cadastro Produtos (kiwkiw)'!C:E,3,0)</f>
        <v>#N/A</v>
      </c>
    </row>
    <row r="6857" spans="7:8" ht="15" customHeight="1" x14ac:dyDescent="0.4">
      <c r="G6857" s="27">
        <f t="shared" si="118"/>
        <v>0</v>
      </c>
      <c r="H6857" s="28" t="e">
        <f>VLOOKUP(E6857,'Cadastro Produtos (kiwkiw)'!C:E,3,0)</f>
        <v>#N/A</v>
      </c>
    </row>
    <row r="6858" spans="7:8" ht="15" customHeight="1" x14ac:dyDescent="0.4">
      <c r="G6858" s="27">
        <f t="shared" si="118"/>
        <v>0</v>
      </c>
      <c r="H6858" s="28" t="e">
        <f>VLOOKUP(E6858,'Cadastro Produtos (kiwkiw)'!C:E,3,0)</f>
        <v>#N/A</v>
      </c>
    </row>
    <row r="6859" spans="7:8" ht="15" customHeight="1" x14ac:dyDescent="0.4">
      <c r="G6859" s="27">
        <f t="shared" si="118"/>
        <v>0</v>
      </c>
      <c r="H6859" s="28" t="e">
        <f>VLOOKUP(E6859,'Cadastro Produtos (kiwkiw)'!C:E,3,0)</f>
        <v>#N/A</v>
      </c>
    </row>
    <row r="6860" spans="7:8" ht="15" customHeight="1" x14ac:dyDescent="0.4">
      <c r="G6860" s="27">
        <f t="shared" si="118"/>
        <v>0</v>
      </c>
      <c r="H6860" s="28" t="e">
        <f>VLOOKUP(E6860,'Cadastro Produtos (kiwkiw)'!C:E,3,0)</f>
        <v>#N/A</v>
      </c>
    </row>
    <row r="6861" spans="7:8" ht="15" customHeight="1" x14ac:dyDescent="0.4">
      <c r="G6861" s="27">
        <f t="shared" si="118"/>
        <v>0</v>
      </c>
      <c r="H6861" s="28" t="e">
        <f>VLOOKUP(E6861,'Cadastro Produtos (kiwkiw)'!C:E,3,0)</f>
        <v>#N/A</v>
      </c>
    </row>
    <row r="6862" spans="7:8" ht="15" customHeight="1" x14ac:dyDescent="0.4">
      <c r="G6862" s="27">
        <f t="shared" si="118"/>
        <v>0</v>
      </c>
      <c r="H6862" s="28" t="e">
        <f>VLOOKUP(E6862,'Cadastro Produtos (kiwkiw)'!C:E,3,0)</f>
        <v>#N/A</v>
      </c>
    </row>
    <row r="6863" spans="7:8" ht="15" customHeight="1" x14ac:dyDescent="0.4">
      <c r="G6863" s="27">
        <f t="shared" si="118"/>
        <v>0</v>
      </c>
      <c r="H6863" s="28" t="e">
        <f>VLOOKUP(E6863,'Cadastro Produtos (kiwkiw)'!C:E,3,0)</f>
        <v>#N/A</v>
      </c>
    </row>
    <row r="6864" spans="7:8" ht="15" customHeight="1" x14ac:dyDescent="0.4">
      <c r="G6864" s="27">
        <f t="shared" si="118"/>
        <v>0</v>
      </c>
      <c r="H6864" s="28" t="e">
        <f>VLOOKUP(E6864,'Cadastro Produtos (kiwkiw)'!C:E,3,0)</f>
        <v>#N/A</v>
      </c>
    </row>
    <row r="6865" spans="7:8" ht="15" customHeight="1" x14ac:dyDescent="0.4">
      <c r="G6865" s="27">
        <f t="shared" si="118"/>
        <v>0</v>
      </c>
      <c r="H6865" s="28" t="e">
        <f>VLOOKUP(E6865,'Cadastro Produtos (kiwkiw)'!C:E,3,0)</f>
        <v>#N/A</v>
      </c>
    </row>
    <row r="6866" spans="7:8" ht="15" customHeight="1" x14ac:dyDescent="0.4">
      <c r="G6866" s="27">
        <f t="shared" ref="G6866:G6929" si="119">IF(C6866="Entrada",F6866,-F6866)</f>
        <v>0</v>
      </c>
      <c r="H6866" s="28" t="e">
        <f>VLOOKUP(E6866,'Cadastro Produtos (kiwkiw)'!C:E,3,0)</f>
        <v>#N/A</v>
      </c>
    </row>
    <row r="6867" spans="7:8" ht="15" customHeight="1" x14ac:dyDescent="0.4">
      <c r="G6867" s="27">
        <f t="shared" si="119"/>
        <v>0</v>
      </c>
      <c r="H6867" s="28" t="e">
        <f>VLOOKUP(E6867,'Cadastro Produtos (kiwkiw)'!C:E,3,0)</f>
        <v>#N/A</v>
      </c>
    </row>
    <row r="6868" spans="7:8" ht="15" customHeight="1" x14ac:dyDescent="0.4">
      <c r="G6868" s="27">
        <f t="shared" si="119"/>
        <v>0</v>
      </c>
      <c r="H6868" s="28" t="e">
        <f>VLOOKUP(E6868,'Cadastro Produtos (kiwkiw)'!C:E,3,0)</f>
        <v>#N/A</v>
      </c>
    </row>
    <row r="6869" spans="7:8" ht="15" customHeight="1" x14ac:dyDescent="0.4">
      <c r="G6869" s="27">
        <f t="shared" si="119"/>
        <v>0</v>
      </c>
      <c r="H6869" s="28" t="e">
        <f>VLOOKUP(E6869,'Cadastro Produtos (kiwkiw)'!C:E,3,0)</f>
        <v>#N/A</v>
      </c>
    </row>
    <row r="6870" spans="7:8" ht="15" customHeight="1" x14ac:dyDescent="0.4">
      <c r="G6870" s="27">
        <f t="shared" si="119"/>
        <v>0</v>
      </c>
      <c r="H6870" s="28" t="e">
        <f>VLOOKUP(E6870,'Cadastro Produtos (kiwkiw)'!C:E,3,0)</f>
        <v>#N/A</v>
      </c>
    </row>
    <row r="6871" spans="7:8" ht="15" customHeight="1" x14ac:dyDescent="0.4">
      <c r="G6871" s="27">
        <f t="shared" si="119"/>
        <v>0</v>
      </c>
      <c r="H6871" s="28" t="e">
        <f>VLOOKUP(E6871,'Cadastro Produtos (kiwkiw)'!C:E,3,0)</f>
        <v>#N/A</v>
      </c>
    </row>
    <row r="6872" spans="7:8" ht="15" customHeight="1" x14ac:dyDescent="0.4">
      <c r="G6872" s="27">
        <f t="shared" si="119"/>
        <v>0</v>
      </c>
      <c r="H6872" s="28" t="e">
        <f>VLOOKUP(E6872,'Cadastro Produtos (kiwkiw)'!C:E,3,0)</f>
        <v>#N/A</v>
      </c>
    </row>
    <row r="6873" spans="7:8" ht="15" customHeight="1" x14ac:dyDescent="0.4">
      <c r="G6873" s="27">
        <f t="shared" si="119"/>
        <v>0</v>
      </c>
      <c r="H6873" s="28" t="e">
        <f>VLOOKUP(E6873,'Cadastro Produtos (kiwkiw)'!C:E,3,0)</f>
        <v>#N/A</v>
      </c>
    </row>
    <row r="6874" spans="7:8" ht="15" customHeight="1" x14ac:dyDescent="0.4">
      <c r="G6874" s="27">
        <f t="shared" si="119"/>
        <v>0</v>
      </c>
      <c r="H6874" s="28" t="e">
        <f>VLOOKUP(E6874,'Cadastro Produtos (kiwkiw)'!C:E,3,0)</f>
        <v>#N/A</v>
      </c>
    </row>
    <row r="6875" spans="7:8" ht="15" customHeight="1" x14ac:dyDescent="0.4">
      <c r="G6875" s="27">
        <f t="shared" si="119"/>
        <v>0</v>
      </c>
      <c r="H6875" s="28" t="e">
        <f>VLOOKUP(E6875,'Cadastro Produtos (kiwkiw)'!C:E,3,0)</f>
        <v>#N/A</v>
      </c>
    </row>
    <row r="6876" spans="7:8" ht="15" customHeight="1" x14ac:dyDescent="0.4">
      <c r="G6876" s="27">
        <f t="shared" si="119"/>
        <v>0</v>
      </c>
      <c r="H6876" s="28" t="e">
        <f>VLOOKUP(E6876,'Cadastro Produtos (kiwkiw)'!C:E,3,0)</f>
        <v>#N/A</v>
      </c>
    </row>
    <row r="6877" spans="7:8" ht="15" customHeight="1" x14ac:dyDescent="0.4">
      <c r="G6877" s="27">
        <f t="shared" si="119"/>
        <v>0</v>
      </c>
      <c r="H6877" s="28" t="e">
        <f>VLOOKUP(E6877,'Cadastro Produtos (kiwkiw)'!C:E,3,0)</f>
        <v>#N/A</v>
      </c>
    </row>
    <row r="6878" spans="7:8" ht="15" customHeight="1" x14ac:dyDescent="0.4">
      <c r="G6878" s="27">
        <f t="shared" si="119"/>
        <v>0</v>
      </c>
      <c r="H6878" s="28" t="e">
        <f>VLOOKUP(E6878,'Cadastro Produtos (kiwkiw)'!C:E,3,0)</f>
        <v>#N/A</v>
      </c>
    </row>
    <row r="6879" spans="7:8" ht="15" customHeight="1" x14ac:dyDescent="0.4">
      <c r="G6879" s="27">
        <f t="shared" si="119"/>
        <v>0</v>
      </c>
      <c r="H6879" s="28" t="e">
        <f>VLOOKUP(E6879,'Cadastro Produtos (kiwkiw)'!C:E,3,0)</f>
        <v>#N/A</v>
      </c>
    </row>
    <row r="6880" spans="7:8" ht="15" customHeight="1" x14ac:dyDescent="0.4">
      <c r="G6880" s="27">
        <f t="shared" si="119"/>
        <v>0</v>
      </c>
      <c r="H6880" s="28" t="e">
        <f>VLOOKUP(E6880,'Cadastro Produtos (kiwkiw)'!C:E,3,0)</f>
        <v>#N/A</v>
      </c>
    </row>
    <row r="6881" spans="7:8" ht="15" customHeight="1" x14ac:dyDescent="0.4">
      <c r="G6881" s="27">
        <f t="shared" si="119"/>
        <v>0</v>
      </c>
      <c r="H6881" s="28" t="e">
        <f>VLOOKUP(E6881,'Cadastro Produtos (kiwkiw)'!C:E,3,0)</f>
        <v>#N/A</v>
      </c>
    </row>
    <row r="6882" spans="7:8" ht="15" customHeight="1" x14ac:dyDescent="0.4">
      <c r="G6882" s="27">
        <f t="shared" si="119"/>
        <v>0</v>
      </c>
      <c r="H6882" s="28" t="e">
        <f>VLOOKUP(E6882,'Cadastro Produtos (kiwkiw)'!C:E,3,0)</f>
        <v>#N/A</v>
      </c>
    </row>
    <row r="6883" spans="7:8" ht="15" customHeight="1" x14ac:dyDescent="0.4">
      <c r="G6883" s="27">
        <f t="shared" si="119"/>
        <v>0</v>
      </c>
      <c r="H6883" s="28" t="e">
        <f>VLOOKUP(E6883,'Cadastro Produtos (kiwkiw)'!C:E,3,0)</f>
        <v>#N/A</v>
      </c>
    </row>
    <row r="6884" spans="7:8" ht="15" customHeight="1" x14ac:dyDescent="0.4">
      <c r="G6884" s="27">
        <f t="shared" si="119"/>
        <v>0</v>
      </c>
      <c r="H6884" s="28" t="e">
        <f>VLOOKUP(E6884,'Cadastro Produtos (kiwkiw)'!C:E,3,0)</f>
        <v>#N/A</v>
      </c>
    </row>
    <row r="6885" spans="7:8" ht="15" customHeight="1" x14ac:dyDescent="0.4">
      <c r="G6885" s="27">
        <f t="shared" si="119"/>
        <v>0</v>
      </c>
      <c r="H6885" s="28" t="e">
        <f>VLOOKUP(E6885,'Cadastro Produtos (kiwkiw)'!C:E,3,0)</f>
        <v>#N/A</v>
      </c>
    </row>
    <row r="6886" spans="7:8" ht="15" customHeight="1" x14ac:dyDescent="0.4">
      <c r="G6886" s="27">
        <f t="shared" si="119"/>
        <v>0</v>
      </c>
      <c r="H6886" s="28" t="e">
        <f>VLOOKUP(E6886,'Cadastro Produtos (kiwkiw)'!C:E,3,0)</f>
        <v>#N/A</v>
      </c>
    </row>
    <row r="6887" spans="7:8" ht="15" customHeight="1" x14ac:dyDescent="0.4">
      <c r="G6887" s="27">
        <f t="shared" si="119"/>
        <v>0</v>
      </c>
      <c r="H6887" s="28" t="e">
        <f>VLOOKUP(E6887,'Cadastro Produtos (kiwkiw)'!C:E,3,0)</f>
        <v>#N/A</v>
      </c>
    </row>
    <row r="6888" spans="7:8" ht="15" customHeight="1" x14ac:dyDescent="0.4">
      <c r="G6888" s="27">
        <f t="shared" si="119"/>
        <v>0</v>
      </c>
      <c r="H6888" s="28" t="e">
        <f>VLOOKUP(E6888,'Cadastro Produtos (kiwkiw)'!C:E,3,0)</f>
        <v>#N/A</v>
      </c>
    </row>
    <row r="6889" spans="7:8" ht="15" customHeight="1" x14ac:dyDescent="0.4">
      <c r="G6889" s="27">
        <f t="shared" si="119"/>
        <v>0</v>
      </c>
      <c r="H6889" s="28" t="e">
        <f>VLOOKUP(E6889,'Cadastro Produtos (kiwkiw)'!C:E,3,0)</f>
        <v>#N/A</v>
      </c>
    </row>
    <row r="6890" spans="7:8" ht="15" customHeight="1" x14ac:dyDescent="0.4">
      <c r="G6890" s="27">
        <f t="shared" si="119"/>
        <v>0</v>
      </c>
      <c r="H6890" s="28" t="e">
        <f>VLOOKUP(E6890,'Cadastro Produtos (kiwkiw)'!C:E,3,0)</f>
        <v>#N/A</v>
      </c>
    </row>
    <row r="6891" spans="7:8" ht="15" customHeight="1" x14ac:dyDescent="0.4">
      <c r="G6891" s="27">
        <f t="shared" si="119"/>
        <v>0</v>
      </c>
      <c r="H6891" s="28" t="e">
        <f>VLOOKUP(E6891,'Cadastro Produtos (kiwkiw)'!C:E,3,0)</f>
        <v>#N/A</v>
      </c>
    </row>
    <row r="6892" spans="7:8" ht="15" customHeight="1" x14ac:dyDescent="0.4">
      <c r="G6892" s="27">
        <f t="shared" si="119"/>
        <v>0</v>
      </c>
      <c r="H6892" s="28" t="e">
        <f>VLOOKUP(E6892,'Cadastro Produtos (kiwkiw)'!C:E,3,0)</f>
        <v>#N/A</v>
      </c>
    </row>
    <row r="6893" spans="7:8" ht="15" customHeight="1" x14ac:dyDescent="0.4">
      <c r="G6893" s="27">
        <f t="shared" si="119"/>
        <v>0</v>
      </c>
      <c r="H6893" s="28" t="e">
        <f>VLOOKUP(E6893,'Cadastro Produtos (kiwkiw)'!C:E,3,0)</f>
        <v>#N/A</v>
      </c>
    </row>
    <row r="6894" spans="7:8" ht="15" customHeight="1" x14ac:dyDescent="0.4">
      <c r="G6894" s="27">
        <f t="shared" si="119"/>
        <v>0</v>
      </c>
      <c r="H6894" s="28" t="e">
        <f>VLOOKUP(E6894,'Cadastro Produtos (kiwkiw)'!C:E,3,0)</f>
        <v>#N/A</v>
      </c>
    </row>
    <row r="6895" spans="7:8" ht="15" customHeight="1" x14ac:dyDescent="0.4">
      <c r="G6895" s="27">
        <f t="shared" si="119"/>
        <v>0</v>
      </c>
      <c r="H6895" s="28" t="e">
        <f>VLOOKUP(E6895,'Cadastro Produtos (kiwkiw)'!C:E,3,0)</f>
        <v>#N/A</v>
      </c>
    </row>
    <row r="6896" spans="7:8" ht="15" customHeight="1" x14ac:dyDescent="0.4">
      <c r="G6896" s="27">
        <f t="shared" si="119"/>
        <v>0</v>
      </c>
      <c r="H6896" s="28" t="e">
        <f>VLOOKUP(E6896,'Cadastro Produtos (kiwkiw)'!C:E,3,0)</f>
        <v>#N/A</v>
      </c>
    </row>
    <row r="6897" spans="7:8" ht="15" customHeight="1" x14ac:dyDescent="0.4">
      <c r="G6897" s="27">
        <f t="shared" si="119"/>
        <v>0</v>
      </c>
      <c r="H6897" s="28" t="e">
        <f>VLOOKUP(E6897,'Cadastro Produtos (kiwkiw)'!C:E,3,0)</f>
        <v>#N/A</v>
      </c>
    </row>
    <row r="6898" spans="7:8" ht="15" customHeight="1" x14ac:dyDescent="0.4">
      <c r="G6898" s="27">
        <f t="shared" si="119"/>
        <v>0</v>
      </c>
      <c r="H6898" s="28" t="e">
        <f>VLOOKUP(E6898,'Cadastro Produtos (kiwkiw)'!C:E,3,0)</f>
        <v>#N/A</v>
      </c>
    </row>
    <row r="6899" spans="7:8" ht="15" customHeight="1" x14ac:dyDescent="0.4">
      <c r="G6899" s="27">
        <f t="shared" si="119"/>
        <v>0</v>
      </c>
      <c r="H6899" s="28" t="e">
        <f>VLOOKUP(E6899,'Cadastro Produtos (kiwkiw)'!C:E,3,0)</f>
        <v>#N/A</v>
      </c>
    </row>
    <row r="6900" spans="7:8" ht="15" customHeight="1" x14ac:dyDescent="0.4">
      <c r="G6900" s="27">
        <f t="shared" si="119"/>
        <v>0</v>
      </c>
      <c r="H6900" s="28" t="e">
        <f>VLOOKUP(E6900,'Cadastro Produtos (kiwkiw)'!C:E,3,0)</f>
        <v>#N/A</v>
      </c>
    </row>
    <row r="6901" spans="7:8" ht="15" customHeight="1" x14ac:dyDescent="0.4">
      <c r="G6901" s="27">
        <f t="shared" si="119"/>
        <v>0</v>
      </c>
      <c r="H6901" s="28" t="e">
        <f>VLOOKUP(E6901,'Cadastro Produtos (kiwkiw)'!C:E,3,0)</f>
        <v>#N/A</v>
      </c>
    </row>
    <row r="6902" spans="7:8" ht="15" customHeight="1" x14ac:dyDescent="0.4">
      <c r="G6902" s="27">
        <f t="shared" si="119"/>
        <v>0</v>
      </c>
      <c r="H6902" s="28" t="e">
        <f>VLOOKUP(E6902,'Cadastro Produtos (kiwkiw)'!C:E,3,0)</f>
        <v>#N/A</v>
      </c>
    </row>
    <row r="6903" spans="7:8" ht="15" customHeight="1" x14ac:dyDescent="0.4">
      <c r="G6903" s="27">
        <f t="shared" si="119"/>
        <v>0</v>
      </c>
      <c r="H6903" s="28" t="e">
        <f>VLOOKUP(E6903,'Cadastro Produtos (kiwkiw)'!C:E,3,0)</f>
        <v>#N/A</v>
      </c>
    </row>
    <row r="6904" spans="7:8" ht="15" customHeight="1" x14ac:dyDescent="0.4">
      <c r="G6904" s="27">
        <f t="shared" si="119"/>
        <v>0</v>
      </c>
      <c r="H6904" s="28" t="e">
        <f>VLOOKUP(E6904,'Cadastro Produtos (kiwkiw)'!C:E,3,0)</f>
        <v>#N/A</v>
      </c>
    </row>
    <row r="6905" spans="7:8" ht="15" customHeight="1" x14ac:dyDescent="0.4">
      <c r="G6905" s="27">
        <f t="shared" si="119"/>
        <v>0</v>
      </c>
      <c r="H6905" s="28" t="e">
        <f>VLOOKUP(E6905,'Cadastro Produtos (kiwkiw)'!C:E,3,0)</f>
        <v>#N/A</v>
      </c>
    </row>
    <row r="6906" spans="7:8" ht="15" customHeight="1" x14ac:dyDescent="0.4">
      <c r="G6906" s="27">
        <f t="shared" si="119"/>
        <v>0</v>
      </c>
      <c r="H6906" s="28" t="e">
        <f>VLOOKUP(E6906,'Cadastro Produtos (kiwkiw)'!C:E,3,0)</f>
        <v>#N/A</v>
      </c>
    </row>
    <row r="6907" spans="7:8" ht="15" customHeight="1" x14ac:dyDescent="0.4">
      <c r="G6907" s="27">
        <f t="shared" si="119"/>
        <v>0</v>
      </c>
      <c r="H6907" s="28" t="e">
        <f>VLOOKUP(E6907,'Cadastro Produtos (kiwkiw)'!C:E,3,0)</f>
        <v>#N/A</v>
      </c>
    </row>
    <row r="6908" spans="7:8" ht="15" customHeight="1" x14ac:dyDescent="0.4">
      <c r="G6908" s="27">
        <f t="shared" si="119"/>
        <v>0</v>
      </c>
      <c r="H6908" s="28" t="e">
        <f>VLOOKUP(E6908,'Cadastro Produtos (kiwkiw)'!C:E,3,0)</f>
        <v>#N/A</v>
      </c>
    </row>
    <row r="6909" spans="7:8" ht="15" customHeight="1" x14ac:dyDescent="0.4">
      <c r="G6909" s="27">
        <f t="shared" si="119"/>
        <v>0</v>
      </c>
      <c r="H6909" s="28" t="e">
        <f>VLOOKUP(E6909,'Cadastro Produtos (kiwkiw)'!C:E,3,0)</f>
        <v>#N/A</v>
      </c>
    </row>
    <row r="6910" spans="7:8" ht="15" customHeight="1" x14ac:dyDescent="0.4">
      <c r="G6910" s="27">
        <f t="shared" si="119"/>
        <v>0</v>
      </c>
      <c r="H6910" s="28" t="e">
        <f>VLOOKUP(E6910,'Cadastro Produtos (kiwkiw)'!C:E,3,0)</f>
        <v>#N/A</v>
      </c>
    </row>
    <row r="6911" spans="7:8" ht="15" customHeight="1" x14ac:dyDescent="0.4">
      <c r="G6911" s="27">
        <f t="shared" si="119"/>
        <v>0</v>
      </c>
      <c r="H6911" s="28" t="e">
        <f>VLOOKUP(E6911,'Cadastro Produtos (kiwkiw)'!C:E,3,0)</f>
        <v>#N/A</v>
      </c>
    </row>
    <row r="6912" spans="7:8" ht="15" customHeight="1" x14ac:dyDescent="0.4">
      <c r="G6912" s="27">
        <f t="shared" si="119"/>
        <v>0</v>
      </c>
      <c r="H6912" s="28" t="e">
        <f>VLOOKUP(E6912,'Cadastro Produtos (kiwkiw)'!C:E,3,0)</f>
        <v>#N/A</v>
      </c>
    </row>
    <row r="6913" spans="7:8" ht="15" customHeight="1" x14ac:dyDescent="0.4">
      <c r="G6913" s="27">
        <f t="shared" si="119"/>
        <v>0</v>
      </c>
      <c r="H6913" s="28" t="e">
        <f>VLOOKUP(E6913,'Cadastro Produtos (kiwkiw)'!C:E,3,0)</f>
        <v>#N/A</v>
      </c>
    </row>
    <row r="6914" spans="7:8" ht="15" customHeight="1" x14ac:dyDescent="0.4">
      <c r="G6914" s="27">
        <f t="shared" si="119"/>
        <v>0</v>
      </c>
      <c r="H6914" s="28" t="e">
        <f>VLOOKUP(E6914,'Cadastro Produtos (kiwkiw)'!C:E,3,0)</f>
        <v>#N/A</v>
      </c>
    </row>
    <row r="6915" spans="7:8" ht="15" customHeight="1" x14ac:dyDescent="0.4">
      <c r="G6915" s="27">
        <f t="shared" si="119"/>
        <v>0</v>
      </c>
      <c r="H6915" s="28" t="e">
        <f>VLOOKUP(E6915,'Cadastro Produtos (kiwkiw)'!C:E,3,0)</f>
        <v>#N/A</v>
      </c>
    </row>
    <row r="6916" spans="7:8" ht="15" customHeight="1" x14ac:dyDescent="0.4">
      <c r="G6916" s="27">
        <f t="shared" si="119"/>
        <v>0</v>
      </c>
      <c r="H6916" s="28" t="e">
        <f>VLOOKUP(E6916,'Cadastro Produtos (kiwkiw)'!C:E,3,0)</f>
        <v>#N/A</v>
      </c>
    </row>
    <row r="6917" spans="7:8" ht="15" customHeight="1" x14ac:dyDescent="0.4">
      <c r="G6917" s="27">
        <f t="shared" si="119"/>
        <v>0</v>
      </c>
      <c r="H6917" s="28" t="e">
        <f>VLOOKUP(E6917,'Cadastro Produtos (kiwkiw)'!C:E,3,0)</f>
        <v>#N/A</v>
      </c>
    </row>
    <row r="6918" spans="7:8" ht="15" customHeight="1" x14ac:dyDescent="0.4">
      <c r="G6918" s="27">
        <f t="shared" si="119"/>
        <v>0</v>
      </c>
      <c r="H6918" s="28" t="e">
        <f>VLOOKUP(E6918,'Cadastro Produtos (kiwkiw)'!C:E,3,0)</f>
        <v>#N/A</v>
      </c>
    </row>
    <row r="6919" spans="7:8" ht="15" customHeight="1" x14ac:dyDescent="0.4">
      <c r="G6919" s="27">
        <f t="shared" si="119"/>
        <v>0</v>
      </c>
      <c r="H6919" s="28" t="e">
        <f>VLOOKUP(E6919,'Cadastro Produtos (kiwkiw)'!C:E,3,0)</f>
        <v>#N/A</v>
      </c>
    </row>
    <row r="6920" spans="7:8" ht="15" customHeight="1" x14ac:dyDescent="0.4">
      <c r="G6920" s="27">
        <f t="shared" si="119"/>
        <v>0</v>
      </c>
      <c r="H6920" s="28" t="e">
        <f>VLOOKUP(E6920,'Cadastro Produtos (kiwkiw)'!C:E,3,0)</f>
        <v>#N/A</v>
      </c>
    </row>
    <row r="6921" spans="7:8" ht="15" customHeight="1" x14ac:dyDescent="0.4">
      <c r="G6921" s="27">
        <f t="shared" si="119"/>
        <v>0</v>
      </c>
      <c r="H6921" s="28" t="e">
        <f>VLOOKUP(E6921,'Cadastro Produtos (kiwkiw)'!C:E,3,0)</f>
        <v>#N/A</v>
      </c>
    </row>
    <row r="6922" spans="7:8" ht="15" customHeight="1" x14ac:dyDescent="0.4">
      <c r="G6922" s="27">
        <f t="shared" si="119"/>
        <v>0</v>
      </c>
      <c r="H6922" s="28" t="e">
        <f>VLOOKUP(E6922,'Cadastro Produtos (kiwkiw)'!C:E,3,0)</f>
        <v>#N/A</v>
      </c>
    </row>
    <row r="6923" spans="7:8" ht="15" customHeight="1" x14ac:dyDescent="0.4">
      <c r="G6923" s="27">
        <f t="shared" si="119"/>
        <v>0</v>
      </c>
      <c r="H6923" s="28" t="e">
        <f>VLOOKUP(E6923,'Cadastro Produtos (kiwkiw)'!C:E,3,0)</f>
        <v>#N/A</v>
      </c>
    </row>
    <row r="6924" spans="7:8" ht="15" customHeight="1" x14ac:dyDescent="0.4">
      <c r="G6924" s="27">
        <f t="shared" si="119"/>
        <v>0</v>
      </c>
      <c r="H6924" s="28" t="e">
        <f>VLOOKUP(E6924,'Cadastro Produtos (kiwkiw)'!C:E,3,0)</f>
        <v>#N/A</v>
      </c>
    </row>
    <row r="6925" spans="7:8" ht="15" customHeight="1" x14ac:dyDescent="0.4">
      <c r="G6925" s="27">
        <f t="shared" si="119"/>
        <v>0</v>
      </c>
      <c r="H6925" s="28" t="e">
        <f>VLOOKUP(E6925,'Cadastro Produtos (kiwkiw)'!C:E,3,0)</f>
        <v>#N/A</v>
      </c>
    </row>
    <row r="6926" spans="7:8" ht="15" customHeight="1" x14ac:dyDescent="0.4">
      <c r="G6926" s="27">
        <f t="shared" si="119"/>
        <v>0</v>
      </c>
      <c r="H6926" s="28" t="e">
        <f>VLOOKUP(E6926,'Cadastro Produtos (kiwkiw)'!C:E,3,0)</f>
        <v>#N/A</v>
      </c>
    </row>
    <row r="6927" spans="7:8" ht="15" customHeight="1" x14ac:dyDescent="0.4">
      <c r="G6927" s="27">
        <f t="shared" si="119"/>
        <v>0</v>
      </c>
      <c r="H6927" s="28" t="e">
        <f>VLOOKUP(E6927,'Cadastro Produtos (kiwkiw)'!C:E,3,0)</f>
        <v>#N/A</v>
      </c>
    </row>
    <row r="6928" spans="7:8" ht="15" customHeight="1" x14ac:dyDescent="0.4">
      <c r="G6928" s="27">
        <f t="shared" si="119"/>
        <v>0</v>
      </c>
      <c r="H6928" s="28" t="e">
        <f>VLOOKUP(E6928,'Cadastro Produtos (kiwkiw)'!C:E,3,0)</f>
        <v>#N/A</v>
      </c>
    </row>
    <row r="6929" spans="7:8" ht="15" customHeight="1" x14ac:dyDescent="0.4">
      <c r="G6929" s="27">
        <f t="shared" si="119"/>
        <v>0</v>
      </c>
      <c r="H6929" s="28" t="e">
        <f>VLOOKUP(E6929,'Cadastro Produtos (kiwkiw)'!C:E,3,0)</f>
        <v>#N/A</v>
      </c>
    </row>
    <row r="6930" spans="7:8" ht="15" customHeight="1" x14ac:dyDescent="0.4">
      <c r="G6930" s="27">
        <f t="shared" ref="G6930:G6993" si="120">IF(C6930="Entrada",F6930,-F6930)</f>
        <v>0</v>
      </c>
      <c r="H6930" s="28" t="e">
        <f>VLOOKUP(E6930,'Cadastro Produtos (kiwkiw)'!C:E,3,0)</f>
        <v>#N/A</v>
      </c>
    </row>
    <row r="6931" spans="7:8" ht="15" customHeight="1" x14ac:dyDescent="0.4">
      <c r="G6931" s="27">
        <f t="shared" si="120"/>
        <v>0</v>
      </c>
      <c r="H6931" s="28" t="e">
        <f>VLOOKUP(E6931,'Cadastro Produtos (kiwkiw)'!C:E,3,0)</f>
        <v>#N/A</v>
      </c>
    </row>
    <row r="6932" spans="7:8" ht="15" customHeight="1" x14ac:dyDescent="0.4">
      <c r="G6932" s="27">
        <f t="shared" si="120"/>
        <v>0</v>
      </c>
      <c r="H6932" s="28" t="e">
        <f>VLOOKUP(E6932,'Cadastro Produtos (kiwkiw)'!C:E,3,0)</f>
        <v>#N/A</v>
      </c>
    </row>
    <row r="6933" spans="7:8" ht="15" customHeight="1" x14ac:dyDescent="0.4">
      <c r="G6933" s="27">
        <f t="shared" si="120"/>
        <v>0</v>
      </c>
      <c r="H6933" s="28" t="e">
        <f>VLOOKUP(E6933,'Cadastro Produtos (kiwkiw)'!C:E,3,0)</f>
        <v>#N/A</v>
      </c>
    </row>
    <row r="6934" spans="7:8" ht="15" customHeight="1" x14ac:dyDescent="0.4">
      <c r="G6934" s="27">
        <f t="shared" si="120"/>
        <v>0</v>
      </c>
      <c r="H6934" s="28" t="e">
        <f>VLOOKUP(E6934,'Cadastro Produtos (kiwkiw)'!C:E,3,0)</f>
        <v>#N/A</v>
      </c>
    </row>
    <row r="6935" spans="7:8" ht="15" customHeight="1" x14ac:dyDescent="0.4">
      <c r="G6935" s="27">
        <f t="shared" si="120"/>
        <v>0</v>
      </c>
      <c r="H6935" s="28" t="e">
        <f>VLOOKUP(E6935,'Cadastro Produtos (kiwkiw)'!C:E,3,0)</f>
        <v>#N/A</v>
      </c>
    </row>
    <row r="6936" spans="7:8" ht="15" customHeight="1" x14ac:dyDescent="0.4">
      <c r="G6936" s="27">
        <f t="shared" si="120"/>
        <v>0</v>
      </c>
      <c r="H6936" s="28" t="e">
        <f>VLOOKUP(E6936,'Cadastro Produtos (kiwkiw)'!C:E,3,0)</f>
        <v>#N/A</v>
      </c>
    </row>
    <row r="6937" spans="7:8" ht="15" customHeight="1" x14ac:dyDescent="0.4">
      <c r="G6937" s="27">
        <f t="shared" si="120"/>
        <v>0</v>
      </c>
      <c r="H6937" s="28" t="e">
        <f>VLOOKUP(E6937,'Cadastro Produtos (kiwkiw)'!C:E,3,0)</f>
        <v>#N/A</v>
      </c>
    </row>
    <row r="6938" spans="7:8" ht="15" customHeight="1" x14ac:dyDescent="0.4">
      <c r="G6938" s="27">
        <f t="shared" si="120"/>
        <v>0</v>
      </c>
      <c r="H6938" s="28" t="e">
        <f>VLOOKUP(E6938,'Cadastro Produtos (kiwkiw)'!C:E,3,0)</f>
        <v>#N/A</v>
      </c>
    </row>
    <row r="6939" spans="7:8" ht="15" customHeight="1" x14ac:dyDescent="0.4">
      <c r="G6939" s="27">
        <f t="shared" si="120"/>
        <v>0</v>
      </c>
      <c r="H6939" s="28" t="e">
        <f>VLOOKUP(E6939,'Cadastro Produtos (kiwkiw)'!C:E,3,0)</f>
        <v>#N/A</v>
      </c>
    </row>
    <row r="6940" spans="7:8" ht="15" customHeight="1" x14ac:dyDescent="0.4">
      <c r="G6940" s="27">
        <f t="shared" si="120"/>
        <v>0</v>
      </c>
      <c r="H6940" s="28" t="e">
        <f>VLOOKUP(E6940,'Cadastro Produtos (kiwkiw)'!C:E,3,0)</f>
        <v>#N/A</v>
      </c>
    </row>
    <row r="6941" spans="7:8" ht="15" customHeight="1" x14ac:dyDescent="0.4">
      <c r="G6941" s="27">
        <f t="shared" si="120"/>
        <v>0</v>
      </c>
      <c r="H6941" s="28" t="e">
        <f>VLOOKUP(E6941,'Cadastro Produtos (kiwkiw)'!C:E,3,0)</f>
        <v>#N/A</v>
      </c>
    </row>
    <row r="6942" spans="7:8" ht="15" customHeight="1" x14ac:dyDescent="0.4">
      <c r="G6942" s="27">
        <f t="shared" si="120"/>
        <v>0</v>
      </c>
      <c r="H6942" s="28" t="e">
        <f>VLOOKUP(E6942,'Cadastro Produtos (kiwkiw)'!C:E,3,0)</f>
        <v>#N/A</v>
      </c>
    </row>
    <row r="6943" spans="7:8" ht="15" customHeight="1" x14ac:dyDescent="0.4">
      <c r="G6943" s="27">
        <f t="shared" si="120"/>
        <v>0</v>
      </c>
      <c r="H6943" s="28" t="e">
        <f>VLOOKUP(E6943,'Cadastro Produtos (kiwkiw)'!C:E,3,0)</f>
        <v>#N/A</v>
      </c>
    </row>
    <row r="6944" spans="7:8" ht="15" customHeight="1" x14ac:dyDescent="0.4">
      <c r="G6944" s="27">
        <f t="shared" si="120"/>
        <v>0</v>
      </c>
      <c r="H6944" s="28" t="e">
        <f>VLOOKUP(E6944,'Cadastro Produtos (kiwkiw)'!C:E,3,0)</f>
        <v>#N/A</v>
      </c>
    </row>
    <row r="6945" spans="7:8" ht="15" customHeight="1" x14ac:dyDescent="0.4">
      <c r="G6945" s="27">
        <f t="shared" si="120"/>
        <v>0</v>
      </c>
      <c r="H6945" s="28" t="e">
        <f>VLOOKUP(E6945,'Cadastro Produtos (kiwkiw)'!C:E,3,0)</f>
        <v>#N/A</v>
      </c>
    </row>
    <row r="6946" spans="7:8" ht="15" customHeight="1" x14ac:dyDescent="0.4">
      <c r="G6946" s="27">
        <f t="shared" si="120"/>
        <v>0</v>
      </c>
      <c r="H6946" s="28" t="e">
        <f>VLOOKUP(E6946,'Cadastro Produtos (kiwkiw)'!C:E,3,0)</f>
        <v>#N/A</v>
      </c>
    </row>
    <row r="6947" spans="7:8" ht="15" customHeight="1" x14ac:dyDescent="0.4">
      <c r="G6947" s="27">
        <f t="shared" si="120"/>
        <v>0</v>
      </c>
      <c r="H6947" s="28" t="e">
        <f>VLOOKUP(E6947,'Cadastro Produtos (kiwkiw)'!C:E,3,0)</f>
        <v>#N/A</v>
      </c>
    </row>
    <row r="6948" spans="7:8" ht="15" customHeight="1" x14ac:dyDescent="0.4">
      <c r="G6948" s="27">
        <f t="shared" si="120"/>
        <v>0</v>
      </c>
      <c r="H6948" s="28" t="e">
        <f>VLOOKUP(E6948,'Cadastro Produtos (kiwkiw)'!C:E,3,0)</f>
        <v>#N/A</v>
      </c>
    </row>
    <row r="6949" spans="7:8" ht="15" customHeight="1" x14ac:dyDescent="0.4">
      <c r="G6949" s="27">
        <f t="shared" si="120"/>
        <v>0</v>
      </c>
      <c r="H6949" s="28" t="e">
        <f>VLOOKUP(E6949,'Cadastro Produtos (kiwkiw)'!C:E,3,0)</f>
        <v>#N/A</v>
      </c>
    </row>
    <row r="6950" spans="7:8" ht="15" customHeight="1" x14ac:dyDescent="0.4">
      <c r="G6950" s="27">
        <f t="shared" si="120"/>
        <v>0</v>
      </c>
      <c r="H6950" s="28" t="e">
        <f>VLOOKUP(E6950,'Cadastro Produtos (kiwkiw)'!C:E,3,0)</f>
        <v>#N/A</v>
      </c>
    </row>
    <row r="6951" spans="7:8" ht="15" customHeight="1" x14ac:dyDescent="0.4">
      <c r="G6951" s="27">
        <f t="shared" si="120"/>
        <v>0</v>
      </c>
      <c r="H6951" s="28" t="e">
        <f>VLOOKUP(E6951,'Cadastro Produtos (kiwkiw)'!C:E,3,0)</f>
        <v>#N/A</v>
      </c>
    </row>
    <row r="6952" spans="7:8" ht="15" customHeight="1" x14ac:dyDescent="0.4">
      <c r="G6952" s="27">
        <f t="shared" si="120"/>
        <v>0</v>
      </c>
      <c r="H6952" s="28" t="e">
        <f>VLOOKUP(E6952,'Cadastro Produtos (kiwkiw)'!C:E,3,0)</f>
        <v>#N/A</v>
      </c>
    </row>
    <row r="6953" spans="7:8" ht="15" customHeight="1" x14ac:dyDescent="0.4">
      <c r="G6953" s="27">
        <f t="shared" si="120"/>
        <v>0</v>
      </c>
      <c r="H6953" s="28" t="e">
        <f>VLOOKUP(E6953,'Cadastro Produtos (kiwkiw)'!C:E,3,0)</f>
        <v>#N/A</v>
      </c>
    </row>
    <row r="6954" spans="7:8" ht="15" customHeight="1" x14ac:dyDescent="0.4">
      <c r="G6954" s="27">
        <f t="shared" si="120"/>
        <v>0</v>
      </c>
      <c r="H6954" s="28" t="e">
        <f>VLOOKUP(E6954,'Cadastro Produtos (kiwkiw)'!C:E,3,0)</f>
        <v>#N/A</v>
      </c>
    </row>
    <row r="6955" spans="7:8" ht="15" customHeight="1" x14ac:dyDescent="0.4">
      <c r="G6955" s="27">
        <f t="shared" si="120"/>
        <v>0</v>
      </c>
      <c r="H6955" s="28" t="e">
        <f>VLOOKUP(E6955,'Cadastro Produtos (kiwkiw)'!C:E,3,0)</f>
        <v>#N/A</v>
      </c>
    </row>
    <row r="6956" spans="7:8" ht="15" customHeight="1" x14ac:dyDescent="0.4">
      <c r="G6956" s="27">
        <f t="shared" si="120"/>
        <v>0</v>
      </c>
      <c r="H6956" s="28" t="e">
        <f>VLOOKUP(E6956,'Cadastro Produtos (kiwkiw)'!C:E,3,0)</f>
        <v>#N/A</v>
      </c>
    </row>
    <row r="6957" spans="7:8" ht="15" customHeight="1" x14ac:dyDescent="0.4">
      <c r="G6957" s="27">
        <f t="shared" si="120"/>
        <v>0</v>
      </c>
      <c r="H6957" s="28" t="e">
        <f>VLOOKUP(E6957,'Cadastro Produtos (kiwkiw)'!C:E,3,0)</f>
        <v>#N/A</v>
      </c>
    </row>
    <row r="6958" spans="7:8" ht="15" customHeight="1" x14ac:dyDescent="0.4">
      <c r="G6958" s="27">
        <f t="shared" si="120"/>
        <v>0</v>
      </c>
      <c r="H6958" s="28" t="e">
        <f>VLOOKUP(E6958,'Cadastro Produtos (kiwkiw)'!C:E,3,0)</f>
        <v>#N/A</v>
      </c>
    </row>
    <row r="6959" spans="7:8" ht="15" customHeight="1" x14ac:dyDescent="0.4">
      <c r="G6959" s="27">
        <f t="shared" si="120"/>
        <v>0</v>
      </c>
      <c r="H6959" s="28" t="e">
        <f>VLOOKUP(E6959,'Cadastro Produtos (kiwkiw)'!C:E,3,0)</f>
        <v>#N/A</v>
      </c>
    </row>
    <row r="6960" spans="7:8" ht="15" customHeight="1" x14ac:dyDescent="0.4">
      <c r="G6960" s="27">
        <f t="shared" si="120"/>
        <v>0</v>
      </c>
      <c r="H6960" s="28" t="e">
        <f>VLOOKUP(E6960,'Cadastro Produtos (kiwkiw)'!C:E,3,0)</f>
        <v>#N/A</v>
      </c>
    </row>
    <row r="6961" spans="2:8" ht="15" customHeight="1" x14ac:dyDescent="0.4">
      <c r="G6961" s="27">
        <f t="shared" si="120"/>
        <v>0</v>
      </c>
      <c r="H6961" s="28" t="e">
        <f>VLOOKUP(E6961,'Cadastro Produtos (kiwkiw)'!C:E,3,0)</f>
        <v>#N/A</v>
      </c>
    </row>
    <row r="6962" spans="2:8" ht="15" customHeight="1" x14ac:dyDescent="0.4">
      <c r="G6962" s="27">
        <f t="shared" si="120"/>
        <v>0</v>
      </c>
      <c r="H6962" s="28" t="e">
        <f>VLOOKUP(E6962,'Cadastro Produtos (kiwkiw)'!C:E,3,0)</f>
        <v>#N/A</v>
      </c>
    </row>
    <row r="6963" spans="2:8" ht="15" customHeight="1" x14ac:dyDescent="0.4">
      <c r="G6963" s="27">
        <f t="shared" si="120"/>
        <v>0</v>
      </c>
      <c r="H6963" s="28" t="e">
        <f>VLOOKUP(E6963,'Cadastro Produtos (kiwkiw)'!C:E,3,0)</f>
        <v>#N/A</v>
      </c>
    </row>
    <row r="6964" spans="2:8" ht="15" customHeight="1" x14ac:dyDescent="0.4">
      <c r="G6964" s="27">
        <f t="shared" si="120"/>
        <v>0</v>
      </c>
      <c r="H6964" s="28" t="e">
        <f>VLOOKUP(E6964,'Cadastro Produtos (kiwkiw)'!C:E,3,0)</f>
        <v>#N/A</v>
      </c>
    </row>
    <row r="6965" spans="2:8" ht="15" customHeight="1" x14ac:dyDescent="0.4">
      <c r="G6965" s="27">
        <f t="shared" si="120"/>
        <v>0</v>
      </c>
      <c r="H6965" s="28" t="e">
        <f>VLOOKUP(E6965,'Cadastro Produtos (kiwkiw)'!C:E,3,0)</f>
        <v>#N/A</v>
      </c>
    </row>
    <row r="6966" spans="2:8" ht="15" customHeight="1" x14ac:dyDescent="0.4">
      <c r="G6966" s="27">
        <f t="shared" si="120"/>
        <v>0</v>
      </c>
      <c r="H6966" s="28" t="e">
        <f>VLOOKUP(E6966,'Cadastro Produtos (kiwkiw)'!C:E,3,0)</f>
        <v>#N/A</v>
      </c>
    </row>
    <row r="6967" spans="2:8" ht="15" customHeight="1" x14ac:dyDescent="0.4">
      <c r="G6967" s="27">
        <f t="shared" si="120"/>
        <v>0</v>
      </c>
      <c r="H6967" s="28" t="e">
        <f>VLOOKUP(E6967,'Cadastro Produtos (kiwkiw)'!C:E,3,0)</f>
        <v>#N/A</v>
      </c>
    </row>
    <row r="6968" spans="2:8" ht="15" customHeight="1" x14ac:dyDescent="0.4">
      <c r="G6968" s="27">
        <f t="shared" si="120"/>
        <v>0</v>
      </c>
      <c r="H6968" s="28" t="e">
        <f>VLOOKUP(E6968,'Cadastro Produtos (kiwkiw)'!C:E,3,0)</f>
        <v>#N/A</v>
      </c>
    </row>
    <row r="6969" spans="2:8" ht="15" customHeight="1" x14ac:dyDescent="0.4">
      <c r="G6969" s="27">
        <f t="shared" si="120"/>
        <v>0</v>
      </c>
      <c r="H6969" s="28" t="e">
        <f>VLOOKUP(E6969,'Cadastro Produtos (kiwkiw)'!C:E,3,0)</f>
        <v>#N/A</v>
      </c>
    </row>
    <row r="6970" spans="2:8" ht="15" customHeight="1" x14ac:dyDescent="0.4">
      <c r="G6970" s="27">
        <f t="shared" si="120"/>
        <v>0</v>
      </c>
      <c r="H6970" s="28" t="e">
        <f>VLOOKUP(E6970,'Cadastro Produtos (kiwkiw)'!C:E,3,0)</f>
        <v>#N/A</v>
      </c>
    </row>
    <row r="6971" spans="2:8" ht="15" customHeight="1" x14ac:dyDescent="0.4">
      <c r="G6971" s="27">
        <f t="shared" si="120"/>
        <v>0</v>
      </c>
      <c r="H6971" s="28" t="e">
        <f>VLOOKUP(E6971,'Cadastro Produtos (kiwkiw)'!C:E,3,0)</f>
        <v>#N/A</v>
      </c>
    </row>
    <row r="6972" spans="2:8" ht="15" customHeight="1" x14ac:dyDescent="0.4">
      <c r="G6972" s="27">
        <f t="shared" si="120"/>
        <v>0</v>
      </c>
      <c r="H6972" s="28" t="e">
        <f>VLOOKUP(E6972,'Cadastro Produtos (kiwkiw)'!C:E,3,0)</f>
        <v>#N/A</v>
      </c>
    </row>
    <row r="6973" spans="2:8" ht="15" customHeight="1" x14ac:dyDescent="0.4">
      <c r="G6973" s="27">
        <f t="shared" si="120"/>
        <v>0</v>
      </c>
      <c r="H6973" s="28" t="e">
        <f>VLOOKUP(E6973,'Cadastro Produtos (kiwkiw)'!C:E,3,0)</f>
        <v>#N/A</v>
      </c>
    </row>
    <row r="6974" spans="2:8" ht="15" customHeight="1" x14ac:dyDescent="0.4">
      <c r="G6974" s="27">
        <f t="shared" si="120"/>
        <v>0</v>
      </c>
      <c r="H6974" s="28" t="e">
        <f>VLOOKUP(E6974,'Cadastro Produtos (kiwkiw)'!C:E,3,0)</f>
        <v>#N/A</v>
      </c>
    </row>
    <row r="6975" spans="2:8" ht="15" customHeight="1" x14ac:dyDescent="0.4">
      <c r="B6975" s="43"/>
      <c r="G6975" s="27">
        <f t="shared" si="120"/>
        <v>0</v>
      </c>
      <c r="H6975" s="28" t="e">
        <f>VLOOKUP(E6975,'Cadastro Produtos (kiwkiw)'!C:E,3,0)</f>
        <v>#N/A</v>
      </c>
    </row>
    <row r="6976" spans="2:8" ht="15" customHeight="1" x14ac:dyDescent="0.4">
      <c r="G6976" s="27">
        <f t="shared" si="120"/>
        <v>0</v>
      </c>
      <c r="H6976" s="28" t="e">
        <f>VLOOKUP(E6976,'Cadastro Produtos (kiwkiw)'!C:E,3,0)</f>
        <v>#N/A</v>
      </c>
    </row>
    <row r="6977" spans="7:8" ht="15" customHeight="1" x14ac:dyDescent="0.4">
      <c r="G6977" s="27">
        <f t="shared" si="120"/>
        <v>0</v>
      </c>
      <c r="H6977" s="28" t="e">
        <f>VLOOKUP(E6977,'Cadastro Produtos (kiwkiw)'!C:E,3,0)</f>
        <v>#N/A</v>
      </c>
    </row>
    <row r="6978" spans="7:8" ht="15" customHeight="1" x14ac:dyDescent="0.4">
      <c r="G6978" s="27">
        <f t="shared" si="120"/>
        <v>0</v>
      </c>
      <c r="H6978" s="28" t="e">
        <f>VLOOKUP(E6978,'Cadastro Produtos (kiwkiw)'!C:E,3,0)</f>
        <v>#N/A</v>
      </c>
    </row>
    <row r="6979" spans="7:8" ht="15" customHeight="1" x14ac:dyDescent="0.4">
      <c r="G6979" s="27">
        <f t="shared" si="120"/>
        <v>0</v>
      </c>
      <c r="H6979" s="28" t="e">
        <f>VLOOKUP(E6979,'Cadastro Produtos (kiwkiw)'!C:E,3,0)</f>
        <v>#N/A</v>
      </c>
    </row>
    <row r="6980" spans="7:8" ht="15" customHeight="1" x14ac:dyDescent="0.4">
      <c r="G6980" s="27">
        <f t="shared" si="120"/>
        <v>0</v>
      </c>
      <c r="H6980" s="28" t="e">
        <f>VLOOKUP(E6980,'Cadastro Produtos (kiwkiw)'!C:E,3,0)</f>
        <v>#N/A</v>
      </c>
    </row>
    <row r="6981" spans="7:8" ht="15" customHeight="1" x14ac:dyDescent="0.4">
      <c r="G6981" s="27">
        <f t="shared" si="120"/>
        <v>0</v>
      </c>
      <c r="H6981" s="28" t="e">
        <f>VLOOKUP(E6981,'Cadastro Produtos (kiwkiw)'!C:E,3,0)</f>
        <v>#N/A</v>
      </c>
    </row>
    <row r="6982" spans="7:8" ht="15" customHeight="1" x14ac:dyDescent="0.4">
      <c r="G6982" s="27">
        <f t="shared" si="120"/>
        <v>0</v>
      </c>
      <c r="H6982" s="28" t="e">
        <f>VLOOKUP(E6982,'Cadastro Produtos (kiwkiw)'!C:E,3,0)</f>
        <v>#N/A</v>
      </c>
    </row>
    <row r="6983" spans="7:8" ht="15" customHeight="1" x14ac:dyDescent="0.4">
      <c r="G6983" s="27">
        <f t="shared" si="120"/>
        <v>0</v>
      </c>
      <c r="H6983" s="28" t="e">
        <f>VLOOKUP(E6983,'Cadastro Produtos (kiwkiw)'!C:E,3,0)</f>
        <v>#N/A</v>
      </c>
    </row>
    <row r="6984" spans="7:8" ht="15" customHeight="1" x14ac:dyDescent="0.4">
      <c r="G6984" s="27">
        <f t="shared" si="120"/>
        <v>0</v>
      </c>
      <c r="H6984" s="28" t="e">
        <f>VLOOKUP(E6984,'Cadastro Produtos (kiwkiw)'!C:E,3,0)</f>
        <v>#N/A</v>
      </c>
    </row>
    <row r="6985" spans="7:8" ht="15" customHeight="1" x14ac:dyDescent="0.4">
      <c r="G6985" s="27">
        <f t="shared" si="120"/>
        <v>0</v>
      </c>
      <c r="H6985" s="28" t="e">
        <f>VLOOKUP(E6985,'Cadastro Produtos (kiwkiw)'!C:E,3,0)</f>
        <v>#N/A</v>
      </c>
    </row>
    <row r="6986" spans="7:8" ht="15" customHeight="1" x14ac:dyDescent="0.4">
      <c r="G6986" s="27">
        <f t="shared" si="120"/>
        <v>0</v>
      </c>
      <c r="H6986" s="28" t="e">
        <f>VLOOKUP(E6986,'Cadastro Produtos (kiwkiw)'!C:E,3,0)</f>
        <v>#N/A</v>
      </c>
    </row>
    <row r="6987" spans="7:8" ht="15" customHeight="1" x14ac:dyDescent="0.4">
      <c r="G6987" s="27">
        <f t="shared" si="120"/>
        <v>0</v>
      </c>
      <c r="H6987" s="28" t="e">
        <f>VLOOKUP(E6987,'Cadastro Produtos (kiwkiw)'!C:E,3,0)</f>
        <v>#N/A</v>
      </c>
    </row>
    <row r="6988" spans="7:8" ht="15" customHeight="1" x14ac:dyDescent="0.4">
      <c r="G6988" s="27">
        <f t="shared" si="120"/>
        <v>0</v>
      </c>
      <c r="H6988" s="28" t="e">
        <f>VLOOKUP(E6988,'Cadastro Produtos (kiwkiw)'!C:E,3,0)</f>
        <v>#N/A</v>
      </c>
    </row>
    <row r="6989" spans="7:8" ht="15" customHeight="1" x14ac:dyDescent="0.4">
      <c r="G6989" s="27">
        <f t="shared" si="120"/>
        <v>0</v>
      </c>
      <c r="H6989" s="28" t="e">
        <f>VLOOKUP(E6989,'Cadastro Produtos (kiwkiw)'!C:E,3,0)</f>
        <v>#N/A</v>
      </c>
    </row>
    <row r="6990" spans="7:8" ht="15" customHeight="1" x14ac:dyDescent="0.4">
      <c r="G6990" s="27">
        <f t="shared" si="120"/>
        <v>0</v>
      </c>
      <c r="H6990" s="28" t="e">
        <f>VLOOKUP(E6990,'Cadastro Produtos (kiwkiw)'!C:E,3,0)</f>
        <v>#N/A</v>
      </c>
    </row>
    <row r="6991" spans="7:8" ht="15" customHeight="1" x14ac:dyDescent="0.4">
      <c r="G6991" s="27">
        <f t="shared" si="120"/>
        <v>0</v>
      </c>
      <c r="H6991" s="28" t="e">
        <f>VLOOKUP(E6991,'Cadastro Produtos (kiwkiw)'!C:E,3,0)</f>
        <v>#N/A</v>
      </c>
    </row>
    <row r="6992" spans="7:8" ht="15" customHeight="1" x14ac:dyDescent="0.4">
      <c r="G6992" s="27">
        <f t="shared" si="120"/>
        <v>0</v>
      </c>
      <c r="H6992" s="28" t="e">
        <f>VLOOKUP(E6992,'Cadastro Produtos (kiwkiw)'!C:E,3,0)</f>
        <v>#N/A</v>
      </c>
    </row>
    <row r="6993" spans="7:8" ht="15" customHeight="1" x14ac:dyDescent="0.4">
      <c r="G6993" s="27">
        <f t="shared" si="120"/>
        <v>0</v>
      </c>
      <c r="H6993" s="28" t="e">
        <f>VLOOKUP(E6993,'Cadastro Produtos (kiwkiw)'!C:E,3,0)</f>
        <v>#N/A</v>
      </c>
    </row>
    <row r="6994" spans="7:8" ht="15" customHeight="1" x14ac:dyDescent="0.4">
      <c r="G6994" s="27">
        <f t="shared" ref="G6994:G7057" si="121">IF(C6994="Entrada",F6994,-F6994)</f>
        <v>0</v>
      </c>
      <c r="H6994" s="28" t="e">
        <f>VLOOKUP(E6994,'Cadastro Produtos (kiwkiw)'!C:E,3,0)</f>
        <v>#N/A</v>
      </c>
    </row>
    <row r="6995" spans="7:8" ht="15" customHeight="1" x14ac:dyDescent="0.4">
      <c r="G6995" s="27">
        <f t="shared" si="121"/>
        <v>0</v>
      </c>
      <c r="H6995" s="28" t="e">
        <f>VLOOKUP(E6995,'Cadastro Produtos (kiwkiw)'!C:E,3,0)</f>
        <v>#N/A</v>
      </c>
    </row>
    <row r="6996" spans="7:8" ht="15" customHeight="1" x14ac:dyDescent="0.4">
      <c r="G6996" s="27">
        <f t="shared" si="121"/>
        <v>0</v>
      </c>
      <c r="H6996" s="28" t="e">
        <f>VLOOKUP(E6996,'Cadastro Produtos (kiwkiw)'!C:E,3,0)</f>
        <v>#N/A</v>
      </c>
    </row>
    <row r="6997" spans="7:8" ht="15" customHeight="1" x14ac:dyDescent="0.4">
      <c r="G6997" s="27">
        <f t="shared" si="121"/>
        <v>0</v>
      </c>
      <c r="H6997" s="28" t="e">
        <f>VLOOKUP(E6997,'Cadastro Produtos (kiwkiw)'!C:E,3,0)</f>
        <v>#N/A</v>
      </c>
    </row>
    <row r="6998" spans="7:8" ht="15" customHeight="1" x14ac:dyDescent="0.4">
      <c r="G6998" s="27">
        <f t="shared" si="121"/>
        <v>0</v>
      </c>
      <c r="H6998" s="28" t="e">
        <f>VLOOKUP(E6998,'Cadastro Produtos (kiwkiw)'!C:E,3,0)</f>
        <v>#N/A</v>
      </c>
    </row>
    <row r="6999" spans="7:8" ht="15" customHeight="1" x14ac:dyDescent="0.4">
      <c r="G6999" s="27">
        <f t="shared" si="121"/>
        <v>0</v>
      </c>
      <c r="H6999" s="28" t="e">
        <f>VLOOKUP(E6999,'Cadastro Produtos (kiwkiw)'!C:E,3,0)</f>
        <v>#N/A</v>
      </c>
    </row>
    <row r="7000" spans="7:8" ht="15" customHeight="1" x14ac:dyDescent="0.4">
      <c r="G7000" s="27">
        <f t="shared" si="121"/>
        <v>0</v>
      </c>
      <c r="H7000" s="28" t="e">
        <f>VLOOKUP(E7000,'Cadastro Produtos (kiwkiw)'!C:E,3,0)</f>
        <v>#N/A</v>
      </c>
    </row>
    <row r="7001" spans="7:8" ht="15" customHeight="1" x14ac:dyDescent="0.4">
      <c r="G7001" s="27">
        <f t="shared" si="121"/>
        <v>0</v>
      </c>
      <c r="H7001" s="28" t="e">
        <f>VLOOKUP(E7001,'Cadastro Produtos (kiwkiw)'!C:E,3,0)</f>
        <v>#N/A</v>
      </c>
    </row>
    <row r="7002" spans="7:8" ht="15" customHeight="1" x14ac:dyDescent="0.4">
      <c r="G7002" s="27">
        <f t="shared" si="121"/>
        <v>0</v>
      </c>
      <c r="H7002" s="28" t="e">
        <f>VLOOKUP(E7002,'Cadastro Produtos (kiwkiw)'!C:E,3,0)</f>
        <v>#N/A</v>
      </c>
    </row>
    <row r="7003" spans="7:8" ht="15" customHeight="1" x14ac:dyDescent="0.4">
      <c r="G7003" s="27">
        <f t="shared" si="121"/>
        <v>0</v>
      </c>
      <c r="H7003" s="28" t="e">
        <f>VLOOKUP(E7003,'Cadastro Produtos (kiwkiw)'!C:E,3,0)</f>
        <v>#N/A</v>
      </c>
    </row>
    <row r="7004" spans="7:8" ht="15" customHeight="1" x14ac:dyDescent="0.4">
      <c r="G7004" s="27">
        <f t="shared" si="121"/>
        <v>0</v>
      </c>
      <c r="H7004" s="28" t="e">
        <f>VLOOKUP(E7004,'Cadastro Produtos (kiwkiw)'!C:E,3,0)</f>
        <v>#N/A</v>
      </c>
    </row>
    <row r="7005" spans="7:8" ht="15" customHeight="1" x14ac:dyDescent="0.4">
      <c r="G7005" s="27">
        <f t="shared" si="121"/>
        <v>0</v>
      </c>
      <c r="H7005" s="28" t="e">
        <f>VLOOKUP(E7005,'Cadastro Produtos (kiwkiw)'!C:E,3,0)</f>
        <v>#N/A</v>
      </c>
    </row>
    <row r="7006" spans="7:8" ht="15" customHeight="1" x14ac:dyDescent="0.4">
      <c r="G7006" s="27">
        <f t="shared" si="121"/>
        <v>0</v>
      </c>
      <c r="H7006" s="28" t="e">
        <f>VLOOKUP(E7006,'Cadastro Produtos (kiwkiw)'!C:E,3,0)</f>
        <v>#N/A</v>
      </c>
    </row>
    <row r="7007" spans="7:8" ht="15" customHeight="1" x14ac:dyDescent="0.4">
      <c r="G7007" s="27">
        <f t="shared" si="121"/>
        <v>0</v>
      </c>
      <c r="H7007" s="28" t="e">
        <f>VLOOKUP(E7007,'Cadastro Produtos (kiwkiw)'!C:E,3,0)</f>
        <v>#N/A</v>
      </c>
    </row>
    <row r="7008" spans="7:8" ht="15" customHeight="1" x14ac:dyDescent="0.4">
      <c r="G7008" s="27">
        <f t="shared" si="121"/>
        <v>0</v>
      </c>
      <c r="H7008" s="28" t="e">
        <f>VLOOKUP(E7008,'Cadastro Produtos (kiwkiw)'!C:E,3,0)</f>
        <v>#N/A</v>
      </c>
    </row>
    <row r="7009" spans="7:8" ht="15" customHeight="1" x14ac:dyDescent="0.4">
      <c r="G7009" s="27">
        <f t="shared" si="121"/>
        <v>0</v>
      </c>
      <c r="H7009" s="28" t="e">
        <f>VLOOKUP(E7009,'Cadastro Produtos (kiwkiw)'!C:E,3,0)</f>
        <v>#N/A</v>
      </c>
    </row>
    <row r="7010" spans="7:8" ht="15" customHeight="1" x14ac:dyDescent="0.4">
      <c r="G7010" s="27">
        <f t="shared" si="121"/>
        <v>0</v>
      </c>
      <c r="H7010" s="28" t="e">
        <f>VLOOKUP(E7010,'Cadastro Produtos (kiwkiw)'!C:E,3,0)</f>
        <v>#N/A</v>
      </c>
    </row>
    <row r="7011" spans="7:8" ht="15" customHeight="1" x14ac:dyDescent="0.4">
      <c r="G7011" s="27">
        <f t="shared" si="121"/>
        <v>0</v>
      </c>
      <c r="H7011" s="28" t="e">
        <f>VLOOKUP(E7011,'Cadastro Produtos (kiwkiw)'!C:E,3,0)</f>
        <v>#N/A</v>
      </c>
    </row>
    <row r="7012" spans="7:8" ht="15" customHeight="1" x14ac:dyDescent="0.4">
      <c r="G7012" s="27">
        <f t="shared" si="121"/>
        <v>0</v>
      </c>
      <c r="H7012" s="28" t="e">
        <f>VLOOKUP(E7012,'Cadastro Produtos (kiwkiw)'!C:E,3,0)</f>
        <v>#N/A</v>
      </c>
    </row>
    <row r="7013" spans="7:8" ht="15" customHeight="1" x14ac:dyDescent="0.4">
      <c r="G7013" s="27">
        <f t="shared" si="121"/>
        <v>0</v>
      </c>
      <c r="H7013" s="28" t="e">
        <f>VLOOKUP(E7013,'Cadastro Produtos (kiwkiw)'!C:E,3,0)</f>
        <v>#N/A</v>
      </c>
    </row>
    <row r="7014" spans="7:8" ht="15" customHeight="1" x14ac:dyDescent="0.4">
      <c r="G7014" s="27">
        <f t="shared" si="121"/>
        <v>0</v>
      </c>
      <c r="H7014" s="28" t="e">
        <f>VLOOKUP(E7014,'Cadastro Produtos (kiwkiw)'!C:E,3,0)</f>
        <v>#N/A</v>
      </c>
    </row>
    <row r="7015" spans="7:8" ht="15" customHeight="1" x14ac:dyDescent="0.4">
      <c r="G7015" s="27">
        <f t="shared" si="121"/>
        <v>0</v>
      </c>
      <c r="H7015" s="28" t="e">
        <f>VLOOKUP(E7015,'Cadastro Produtos (kiwkiw)'!C:E,3,0)</f>
        <v>#N/A</v>
      </c>
    </row>
    <row r="7016" spans="7:8" ht="15" customHeight="1" x14ac:dyDescent="0.4">
      <c r="G7016" s="27">
        <f t="shared" si="121"/>
        <v>0</v>
      </c>
      <c r="H7016" s="28" t="e">
        <f>VLOOKUP(E7016,'Cadastro Produtos (kiwkiw)'!C:E,3,0)</f>
        <v>#N/A</v>
      </c>
    </row>
    <row r="7017" spans="7:8" ht="15" customHeight="1" x14ac:dyDescent="0.4">
      <c r="G7017" s="27">
        <f t="shared" si="121"/>
        <v>0</v>
      </c>
      <c r="H7017" s="28" t="e">
        <f>VLOOKUP(E7017,'Cadastro Produtos (kiwkiw)'!C:E,3,0)</f>
        <v>#N/A</v>
      </c>
    </row>
    <row r="7018" spans="7:8" ht="15" customHeight="1" x14ac:dyDescent="0.4">
      <c r="G7018" s="27">
        <f t="shared" si="121"/>
        <v>0</v>
      </c>
      <c r="H7018" s="28" t="e">
        <f>VLOOKUP(E7018,'Cadastro Produtos (kiwkiw)'!C:E,3,0)</f>
        <v>#N/A</v>
      </c>
    </row>
    <row r="7019" spans="7:8" ht="15" customHeight="1" x14ac:dyDescent="0.4">
      <c r="G7019" s="27">
        <f t="shared" si="121"/>
        <v>0</v>
      </c>
      <c r="H7019" s="28" t="e">
        <f>VLOOKUP(E7019,'Cadastro Produtos (kiwkiw)'!C:E,3,0)</f>
        <v>#N/A</v>
      </c>
    </row>
    <row r="7020" spans="7:8" ht="15" customHeight="1" x14ac:dyDescent="0.4">
      <c r="G7020" s="27">
        <f t="shared" si="121"/>
        <v>0</v>
      </c>
      <c r="H7020" s="28" t="e">
        <f>VLOOKUP(E7020,'Cadastro Produtos (kiwkiw)'!C:E,3,0)</f>
        <v>#N/A</v>
      </c>
    </row>
    <row r="7021" spans="7:8" ht="15" customHeight="1" x14ac:dyDescent="0.4">
      <c r="G7021" s="27">
        <f t="shared" si="121"/>
        <v>0</v>
      </c>
      <c r="H7021" s="28" t="e">
        <f>VLOOKUP(E7021,'Cadastro Produtos (kiwkiw)'!C:E,3,0)</f>
        <v>#N/A</v>
      </c>
    </row>
    <row r="7022" spans="7:8" ht="15" customHeight="1" x14ac:dyDescent="0.4">
      <c r="G7022" s="27">
        <f t="shared" si="121"/>
        <v>0</v>
      </c>
      <c r="H7022" s="28" t="e">
        <f>VLOOKUP(E7022,'Cadastro Produtos (kiwkiw)'!C:E,3,0)</f>
        <v>#N/A</v>
      </c>
    </row>
    <row r="7023" spans="7:8" ht="15" customHeight="1" x14ac:dyDescent="0.4">
      <c r="G7023" s="27">
        <f t="shared" si="121"/>
        <v>0</v>
      </c>
      <c r="H7023" s="28" t="e">
        <f>VLOOKUP(E7023,'Cadastro Produtos (kiwkiw)'!C:E,3,0)</f>
        <v>#N/A</v>
      </c>
    </row>
    <row r="7024" spans="7:8" ht="15" customHeight="1" x14ac:dyDescent="0.4">
      <c r="G7024" s="27">
        <f t="shared" si="121"/>
        <v>0</v>
      </c>
      <c r="H7024" s="28" t="e">
        <f>VLOOKUP(E7024,'Cadastro Produtos (kiwkiw)'!C:E,3,0)</f>
        <v>#N/A</v>
      </c>
    </row>
    <row r="7025" spans="7:8" ht="15" customHeight="1" x14ac:dyDescent="0.4">
      <c r="G7025" s="27">
        <f t="shared" si="121"/>
        <v>0</v>
      </c>
      <c r="H7025" s="28" t="e">
        <f>VLOOKUP(E7025,'Cadastro Produtos (kiwkiw)'!C:E,3,0)</f>
        <v>#N/A</v>
      </c>
    </row>
    <row r="7026" spans="7:8" ht="15" customHeight="1" x14ac:dyDescent="0.4">
      <c r="G7026" s="27">
        <f t="shared" si="121"/>
        <v>0</v>
      </c>
      <c r="H7026" s="28" t="e">
        <f>VLOOKUP(E7026,'Cadastro Produtos (kiwkiw)'!C:E,3,0)</f>
        <v>#N/A</v>
      </c>
    </row>
    <row r="7027" spans="7:8" ht="15" customHeight="1" x14ac:dyDescent="0.4">
      <c r="G7027" s="27">
        <f t="shared" si="121"/>
        <v>0</v>
      </c>
      <c r="H7027" s="28" t="e">
        <f>VLOOKUP(E7027,'Cadastro Produtos (kiwkiw)'!C:E,3,0)</f>
        <v>#N/A</v>
      </c>
    </row>
    <row r="7028" spans="7:8" ht="15" customHeight="1" x14ac:dyDescent="0.4">
      <c r="G7028" s="27">
        <f t="shared" si="121"/>
        <v>0</v>
      </c>
      <c r="H7028" s="28" t="e">
        <f>VLOOKUP(E7028,'Cadastro Produtos (kiwkiw)'!C:E,3,0)</f>
        <v>#N/A</v>
      </c>
    </row>
    <row r="7029" spans="7:8" ht="15" customHeight="1" x14ac:dyDescent="0.4">
      <c r="G7029" s="27">
        <f t="shared" si="121"/>
        <v>0</v>
      </c>
      <c r="H7029" s="28" t="e">
        <f>VLOOKUP(E7029,'Cadastro Produtos (kiwkiw)'!C:E,3,0)</f>
        <v>#N/A</v>
      </c>
    </row>
    <row r="7030" spans="7:8" ht="15" customHeight="1" x14ac:dyDescent="0.4">
      <c r="G7030" s="27">
        <f t="shared" si="121"/>
        <v>0</v>
      </c>
      <c r="H7030" s="28" t="e">
        <f>VLOOKUP(E7030,'Cadastro Produtos (kiwkiw)'!C:E,3,0)</f>
        <v>#N/A</v>
      </c>
    </row>
    <row r="7031" spans="7:8" ht="15" customHeight="1" x14ac:dyDescent="0.4">
      <c r="G7031" s="27">
        <f t="shared" si="121"/>
        <v>0</v>
      </c>
      <c r="H7031" s="28" t="e">
        <f>VLOOKUP(E7031,'Cadastro Produtos (kiwkiw)'!C:E,3,0)</f>
        <v>#N/A</v>
      </c>
    </row>
    <row r="7032" spans="7:8" ht="15" customHeight="1" x14ac:dyDescent="0.4">
      <c r="G7032" s="27">
        <f t="shared" si="121"/>
        <v>0</v>
      </c>
      <c r="H7032" s="28" t="e">
        <f>VLOOKUP(E7032,'Cadastro Produtos (kiwkiw)'!C:E,3,0)</f>
        <v>#N/A</v>
      </c>
    </row>
    <row r="7033" spans="7:8" ht="15" customHeight="1" x14ac:dyDescent="0.4">
      <c r="G7033" s="27">
        <f t="shared" si="121"/>
        <v>0</v>
      </c>
      <c r="H7033" s="28" t="e">
        <f>VLOOKUP(E7033,'Cadastro Produtos (kiwkiw)'!C:E,3,0)</f>
        <v>#N/A</v>
      </c>
    </row>
    <row r="7034" spans="7:8" ht="15" customHeight="1" x14ac:dyDescent="0.4">
      <c r="G7034" s="27">
        <f t="shared" si="121"/>
        <v>0</v>
      </c>
      <c r="H7034" s="28" t="e">
        <f>VLOOKUP(E7034,'Cadastro Produtos (kiwkiw)'!C:E,3,0)</f>
        <v>#N/A</v>
      </c>
    </row>
    <row r="7035" spans="7:8" ht="15" customHeight="1" x14ac:dyDescent="0.4">
      <c r="G7035" s="27">
        <f t="shared" si="121"/>
        <v>0</v>
      </c>
      <c r="H7035" s="28" t="e">
        <f>VLOOKUP(E7035,'Cadastro Produtos (kiwkiw)'!C:E,3,0)</f>
        <v>#N/A</v>
      </c>
    </row>
    <row r="7036" spans="7:8" ht="15" customHeight="1" x14ac:dyDescent="0.4">
      <c r="G7036" s="27">
        <f t="shared" si="121"/>
        <v>0</v>
      </c>
      <c r="H7036" s="28" t="e">
        <f>VLOOKUP(E7036,'Cadastro Produtos (kiwkiw)'!C:E,3,0)</f>
        <v>#N/A</v>
      </c>
    </row>
    <row r="7037" spans="7:8" ht="15" customHeight="1" x14ac:dyDescent="0.4">
      <c r="G7037" s="27">
        <f t="shared" si="121"/>
        <v>0</v>
      </c>
      <c r="H7037" s="28" t="e">
        <f>VLOOKUP(E7037,'Cadastro Produtos (kiwkiw)'!C:E,3,0)</f>
        <v>#N/A</v>
      </c>
    </row>
    <row r="7038" spans="7:8" ht="15" customHeight="1" x14ac:dyDescent="0.4">
      <c r="G7038" s="27">
        <f t="shared" si="121"/>
        <v>0</v>
      </c>
      <c r="H7038" s="28" t="e">
        <f>VLOOKUP(E7038,'Cadastro Produtos (kiwkiw)'!C:E,3,0)</f>
        <v>#N/A</v>
      </c>
    </row>
    <row r="7039" spans="7:8" ht="15" customHeight="1" x14ac:dyDescent="0.4">
      <c r="G7039" s="27">
        <f t="shared" si="121"/>
        <v>0</v>
      </c>
      <c r="H7039" s="28" t="e">
        <f>VLOOKUP(E7039,'Cadastro Produtos (kiwkiw)'!C:E,3,0)</f>
        <v>#N/A</v>
      </c>
    </row>
    <row r="7040" spans="7:8" ht="15" customHeight="1" x14ac:dyDescent="0.4">
      <c r="G7040" s="27">
        <f t="shared" si="121"/>
        <v>0</v>
      </c>
      <c r="H7040" s="28" t="e">
        <f>VLOOKUP(E7040,'Cadastro Produtos (kiwkiw)'!C:E,3,0)</f>
        <v>#N/A</v>
      </c>
    </row>
    <row r="7041" spans="2:8" ht="15" customHeight="1" x14ac:dyDescent="0.4">
      <c r="G7041" s="27">
        <f t="shared" si="121"/>
        <v>0</v>
      </c>
      <c r="H7041" s="28" t="e">
        <f>VLOOKUP(E7041,'Cadastro Produtos (kiwkiw)'!C:E,3,0)</f>
        <v>#N/A</v>
      </c>
    </row>
    <row r="7042" spans="2:8" ht="15" customHeight="1" x14ac:dyDescent="0.4">
      <c r="G7042" s="27">
        <f t="shared" si="121"/>
        <v>0</v>
      </c>
      <c r="H7042" s="28" t="e">
        <f>VLOOKUP(E7042,'Cadastro Produtos (kiwkiw)'!C:E,3,0)</f>
        <v>#N/A</v>
      </c>
    </row>
    <row r="7043" spans="2:8" ht="15" customHeight="1" x14ac:dyDescent="0.4">
      <c r="G7043" s="27">
        <f t="shared" si="121"/>
        <v>0</v>
      </c>
      <c r="H7043" s="28" t="e">
        <f>VLOOKUP(E7043,'Cadastro Produtos (kiwkiw)'!C:E,3,0)</f>
        <v>#N/A</v>
      </c>
    </row>
    <row r="7044" spans="2:8" ht="15" customHeight="1" x14ac:dyDescent="0.4">
      <c r="G7044" s="27">
        <f t="shared" si="121"/>
        <v>0</v>
      </c>
      <c r="H7044" s="28" t="e">
        <f>VLOOKUP(E7044,'Cadastro Produtos (kiwkiw)'!C:E,3,0)</f>
        <v>#N/A</v>
      </c>
    </row>
    <row r="7045" spans="2:8" ht="15" customHeight="1" x14ac:dyDescent="0.4">
      <c r="B7045" s="43"/>
      <c r="G7045" s="27">
        <f t="shared" si="121"/>
        <v>0</v>
      </c>
      <c r="H7045" s="28" t="e">
        <f>VLOOKUP(E7045,'Cadastro Produtos (kiwkiw)'!C:E,3,0)</f>
        <v>#N/A</v>
      </c>
    </row>
    <row r="7046" spans="2:8" ht="15" customHeight="1" x14ac:dyDescent="0.4">
      <c r="G7046" s="27">
        <f t="shared" si="121"/>
        <v>0</v>
      </c>
      <c r="H7046" s="28" t="e">
        <f>VLOOKUP(E7046,'Cadastro Produtos (kiwkiw)'!C:E,3,0)</f>
        <v>#N/A</v>
      </c>
    </row>
    <row r="7047" spans="2:8" ht="15" customHeight="1" x14ac:dyDescent="0.4">
      <c r="G7047" s="27">
        <f t="shared" si="121"/>
        <v>0</v>
      </c>
      <c r="H7047" s="28" t="e">
        <f>VLOOKUP(E7047,'Cadastro Produtos (kiwkiw)'!C:E,3,0)</f>
        <v>#N/A</v>
      </c>
    </row>
    <row r="7048" spans="2:8" ht="15" customHeight="1" x14ac:dyDescent="0.4">
      <c r="G7048" s="27">
        <f t="shared" si="121"/>
        <v>0</v>
      </c>
      <c r="H7048" s="28" t="e">
        <f>VLOOKUP(E7048,'Cadastro Produtos (kiwkiw)'!C:E,3,0)</f>
        <v>#N/A</v>
      </c>
    </row>
    <row r="7049" spans="2:8" ht="15" customHeight="1" x14ac:dyDescent="0.4">
      <c r="G7049" s="27">
        <f t="shared" si="121"/>
        <v>0</v>
      </c>
      <c r="H7049" s="28" t="e">
        <f>VLOOKUP(E7049,'Cadastro Produtos (kiwkiw)'!C:E,3,0)</f>
        <v>#N/A</v>
      </c>
    </row>
    <row r="7050" spans="2:8" ht="15" customHeight="1" x14ac:dyDescent="0.4">
      <c r="G7050" s="27">
        <f t="shared" si="121"/>
        <v>0</v>
      </c>
      <c r="H7050" s="28" t="e">
        <f>VLOOKUP(E7050,'Cadastro Produtos (kiwkiw)'!C:E,3,0)</f>
        <v>#N/A</v>
      </c>
    </row>
    <row r="7051" spans="2:8" ht="15" customHeight="1" x14ac:dyDescent="0.4">
      <c r="G7051" s="27">
        <f t="shared" si="121"/>
        <v>0</v>
      </c>
      <c r="H7051" s="28" t="e">
        <f>VLOOKUP(E7051,'Cadastro Produtos (kiwkiw)'!C:E,3,0)</f>
        <v>#N/A</v>
      </c>
    </row>
    <row r="7052" spans="2:8" ht="15" customHeight="1" x14ac:dyDescent="0.4">
      <c r="G7052" s="27">
        <f t="shared" si="121"/>
        <v>0</v>
      </c>
      <c r="H7052" s="28" t="e">
        <f>VLOOKUP(E7052,'Cadastro Produtos (kiwkiw)'!C:E,3,0)</f>
        <v>#N/A</v>
      </c>
    </row>
    <row r="7053" spans="2:8" ht="15" customHeight="1" x14ac:dyDescent="0.4">
      <c r="G7053" s="27">
        <f t="shared" si="121"/>
        <v>0</v>
      </c>
      <c r="H7053" s="28" t="e">
        <f>VLOOKUP(E7053,'Cadastro Produtos (kiwkiw)'!C:E,3,0)</f>
        <v>#N/A</v>
      </c>
    </row>
    <row r="7054" spans="2:8" ht="15" customHeight="1" x14ac:dyDescent="0.4">
      <c r="G7054" s="27">
        <f t="shared" si="121"/>
        <v>0</v>
      </c>
      <c r="H7054" s="28" t="e">
        <f>VLOOKUP(E7054,'Cadastro Produtos (kiwkiw)'!C:E,3,0)</f>
        <v>#N/A</v>
      </c>
    </row>
    <row r="7055" spans="2:8" ht="15" customHeight="1" x14ac:dyDescent="0.4">
      <c r="G7055" s="27">
        <f t="shared" si="121"/>
        <v>0</v>
      </c>
      <c r="H7055" s="28" t="e">
        <f>VLOOKUP(E7055,'Cadastro Produtos (kiwkiw)'!C:E,3,0)</f>
        <v>#N/A</v>
      </c>
    </row>
    <row r="7056" spans="2:8" ht="15" customHeight="1" x14ac:dyDescent="0.4">
      <c r="G7056" s="27">
        <f t="shared" si="121"/>
        <v>0</v>
      </c>
      <c r="H7056" s="28" t="e">
        <f>VLOOKUP(E7056,'Cadastro Produtos (kiwkiw)'!C:E,3,0)</f>
        <v>#N/A</v>
      </c>
    </row>
    <row r="7057" spans="7:8" ht="15" customHeight="1" x14ac:dyDescent="0.4">
      <c r="G7057" s="27">
        <f t="shared" si="121"/>
        <v>0</v>
      </c>
      <c r="H7057" s="28" t="e">
        <f>VLOOKUP(E7057,'Cadastro Produtos (kiwkiw)'!C:E,3,0)</f>
        <v>#N/A</v>
      </c>
    </row>
    <row r="7058" spans="7:8" ht="15" customHeight="1" x14ac:dyDescent="0.4">
      <c r="G7058" s="27">
        <f t="shared" ref="G7058:G7121" si="122">IF(C7058="Entrada",F7058,-F7058)</f>
        <v>0</v>
      </c>
      <c r="H7058" s="28" t="e">
        <f>VLOOKUP(E7058,'Cadastro Produtos (kiwkiw)'!C:E,3,0)</f>
        <v>#N/A</v>
      </c>
    </row>
    <row r="7059" spans="7:8" ht="15" customHeight="1" x14ac:dyDescent="0.4">
      <c r="G7059" s="27">
        <f t="shared" si="122"/>
        <v>0</v>
      </c>
      <c r="H7059" s="28" t="e">
        <f>VLOOKUP(E7059,'Cadastro Produtos (kiwkiw)'!C:E,3,0)</f>
        <v>#N/A</v>
      </c>
    </row>
    <row r="7060" spans="7:8" ht="15" customHeight="1" x14ac:dyDescent="0.4">
      <c r="G7060" s="27">
        <f t="shared" si="122"/>
        <v>0</v>
      </c>
      <c r="H7060" s="28" t="e">
        <f>VLOOKUP(E7060,'Cadastro Produtos (kiwkiw)'!C:E,3,0)</f>
        <v>#N/A</v>
      </c>
    </row>
    <row r="7061" spans="7:8" ht="15" customHeight="1" x14ac:dyDescent="0.4">
      <c r="G7061" s="27">
        <f t="shared" si="122"/>
        <v>0</v>
      </c>
      <c r="H7061" s="28" t="e">
        <f>VLOOKUP(E7061,'Cadastro Produtos (kiwkiw)'!C:E,3,0)</f>
        <v>#N/A</v>
      </c>
    </row>
    <row r="7062" spans="7:8" ht="15" customHeight="1" x14ac:dyDescent="0.4">
      <c r="G7062" s="27">
        <f t="shared" si="122"/>
        <v>0</v>
      </c>
      <c r="H7062" s="28" t="e">
        <f>VLOOKUP(E7062,'Cadastro Produtos (kiwkiw)'!C:E,3,0)</f>
        <v>#N/A</v>
      </c>
    </row>
    <row r="7063" spans="7:8" ht="15" customHeight="1" x14ac:dyDescent="0.4">
      <c r="G7063" s="27">
        <f t="shared" si="122"/>
        <v>0</v>
      </c>
      <c r="H7063" s="28" t="e">
        <f>VLOOKUP(E7063,'Cadastro Produtos (kiwkiw)'!C:E,3,0)</f>
        <v>#N/A</v>
      </c>
    </row>
    <row r="7064" spans="7:8" ht="15" customHeight="1" x14ac:dyDescent="0.4">
      <c r="G7064" s="27">
        <f t="shared" si="122"/>
        <v>0</v>
      </c>
      <c r="H7064" s="28" t="e">
        <f>VLOOKUP(E7064,'Cadastro Produtos (kiwkiw)'!C:E,3,0)</f>
        <v>#N/A</v>
      </c>
    </row>
    <row r="7065" spans="7:8" ht="15" customHeight="1" x14ac:dyDescent="0.4">
      <c r="G7065" s="27">
        <f t="shared" si="122"/>
        <v>0</v>
      </c>
      <c r="H7065" s="28" t="e">
        <f>VLOOKUP(E7065,'Cadastro Produtos (kiwkiw)'!C:E,3,0)</f>
        <v>#N/A</v>
      </c>
    </row>
    <row r="7066" spans="7:8" ht="15" customHeight="1" x14ac:dyDescent="0.4">
      <c r="G7066" s="27">
        <f t="shared" si="122"/>
        <v>0</v>
      </c>
      <c r="H7066" s="28" t="e">
        <f>VLOOKUP(E7066,'Cadastro Produtos (kiwkiw)'!C:E,3,0)</f>
        <v>#N/A</v>
      </c>
    </row>
    <row r="7067" spans="7:8" ht="15" customHeight="1" x14ac:dyDescent="0.4">
      <c r="G7067" s="27">
        <f t="shared" si="122"/>
        <v>0</v>
      </c>
      <c r="H7067" s="28" t="e">
        <f>VLOOKUP(E7067,'Cadastro Produtos (kiwkiw)'!C:E,3,0)</f>
        <v>#N/A</v>
      </c>
    </row>
    <row r="7068" spans="7:8" ht="15" customHeight="1" x14ac:dyDescent="0.4">
      <c r="G7068" s="27">
        <f t="shared" si="122"/>
        <v>0</v>
      </c>
      <c r="H7068" s="28" t="e">
        <f>VLOOKUP(E7068,'Cadastro Produtos (kiwkiw)'!C:E,3,0)</f>
        <v>#N/A</v>
      </c>
    </row>
    <row r="7069" spans="7:8" ht="15" customHeight="1" x14ac:dyDescent="0.4">
      <c r="G7069" s="27">
        <f t="shared" si="122"/>
        <v>0</v>
      </c>
      <c r="H7069" s="28" t="e">
        <f>VLOOKUP(E7069,'Cadastro Produtos (kiwkiw)'!C:E,3,0)</f>
        <v>#N/A</v>
      </c>
    </row>
    <row r="7070" spans="7:8" ht="15" customHeight="1" x14ac:dyDescent="0.4">
      <c r="G7070" s="27">
        <f t="shared" si="122"/>
        <v>0</v>
      </c>
      <c r="H7070" s="28" t="e">
        <f>VLOOKUP(E7070,'Cadastro Produtos (kiwkiw)'!C:E,3,0)</f>
        <v>#N/A</v>
      </c>
    </row>
    <row r="7071" spans="7:8" ht="15" customHeight="1" x14ac:dyDescent="0.4">
      <c r="G7071" s="27">
        <f t="shared" si="122"/>
        <v>0</v>
      </c>
      <c r="H7071" s="28" t="e">
        <f>VLOOKUP(E7071,'Cadastro Produtos (kiwkiw)'!C:E,3,0)</f>
        <v>#N/A</v>
      </c>
    </row>
    <row r="7072" spans="7:8" ht="15" customHeight="1" x14ac:dyDescent="0.4">
      <c r="G7072" s="27">
        <f t="shared" si="122"/>
        <v>0</v>
      </c>
      <c r="H7072" s="28" t="e">
        <f>VLOOKUP(E7072,'Cadastro Produtos (kiwkiw)'!C:E,3,0)</f>
        <v>#N/A</v>
      </c>
    </row>
    <row r="7073" spans="7:8" ht="15" customHeight="1" x14ac:dyDescent="0.4">
      <c r="G7073" s="27">
        <f t="shared" si="122"/>
        <v>0</v>
      </c>
      <c r="H7073" s="28" t="e">
        <f>VLOOKUP(E7073,'Cadastro Produtos (kiwkiw)'!C:E,3,0)</f>
        <v>#N/A</v>
      </c>
    </row>
    <row r="7074" spans="7:8" ht="15" customHeight="1" x14ac:dyDescent="0.4">
      <c r="G7074" s="27">
        <f t="shared" si="122"/>
        <v>0</v>
      </c>
      <c r="H7074" s="28" t="e">
        <f>VLOOKUP(E7074,'Cadastro Produtos (kiwkiw)'!C:E,3,0)</f>
        <v>#N/A</v>
      </c>
    </row>
    <row r="7075" spans="7:8" ht="15" customHeight="1" x14ac:dyDescent="0.4">
      <c r="G7075" s="27">
        <f t="shared" si="122"/>
        <v>0</v>
      </c>
      <c r="H7075" s="28" t="e">
        <f>VLOOKUP(E7075,'Cadastro Produtos (kiwkiw)'!C:E,3,0)</f>
        <v>#N/A</v>
      </c>
    </row>
    <row r="7076" spans="7:8" ht="15" customHeight="1" x14ac:dyDescent="0.4">
      <c r="G7076" s="27">
        <f t="shared" si="122"/>
        <v>0</v>
      </c>
      <c r="H7076" s="28" t="e">
        <f>VLOOKUP(E7076,'Cadastro Produtos (kiwkiw)'!C:E,3,0)</f>
        <v>#N/A</v>
      </c>
    </row>
    <row r="7077" spans="7:8" ht="15" customHeight="1" x14ac:dyDescent="0.4">
      <c r="G7077" s="27">
        <f t="shared" si="122"/>
        <v>0</v>
      </c>
      <c r="H7077" s="28" t="e">
        <f>VLOOKUP(E7077,'Cadastro Produtos (kiwkiw)'!C:E,3,0)</f>
        <v>#N/A</v>
      </c>
    </row>
    <row r="7078" spans="7:8" ht="15" customHeight="1" x14ac:dyDescent="0.4">
      <c r="G7078" s="27">
        <f t="shared" si="122"/>
        <v>0</v>
      </c>
      <c r="H7078" s="28" t="e">
        <f>VLOOKUP(E7078,'Cadastro Produtos (kiwkiw)'!C:E,3,0)</f>
        <v>#N/A</v>
      </c>
    </row>
    <row r="7079" spans="7:8" ht="15" customHeight="1" x14ac:dyDescent="0.4">
      <c r="G7079" s="27">
        <f t="shared" si="122"/>
        <v>0</v>
      </c>
      <c r="H7079" s="28" t="e">
        <f>VLOOKUP(E7079,'Cadastro Produtos (kiwkiw)'!C:E,3,0)</f>
        <v>#N/A</v>
      </c>
    </row>
    <row r="7080" spans="7:8" ht="15" customHeight="1" x14ac:dyDescent="0.4">
      <c r="G7080" s="27">
        <f t="shared" si="122"/>
        <v>0</v>
      </c>
      <c r="H7080" s="28" t="e">
        <f>VLOOKUP(E7080,'Cadastro Produtos (kiwkiw)'!C:E,3,0)</f>
        <v>#N/A</v>
      </c>
    </row>
    <row r="7081" spans="7:8" ht="15" customHeight="1" x14ac:dyDescent="0.4">
      <c r="G7081" s="27">
        <f t="shared" si="122"/>
        <v>0</v>
      </c>
      <c r="H7081" s="28" t="e">
        <f>VLOOKUP(E7081,'Cadastro Produtos (kiwkiw)'!C:E,3,0)</f>
        <v>#N/A</v>
      </c>
    </row>
    <row r="7082" spans="7:8" ht="15" customHeight="1" x14ac:dyDescent="0.4">
      <c r="G7082" s="27">
        <f t="shared" si="122"/>
        <v>0</v>
      </c>
      <c r="H7082" s="28" t="e">
        <f>VLOOKUP(E7082,'Cadastro Produtos (kiwkiw)'!C:E,3,0)</f>
        <v>#N/A</v>
      </c>
    </row>
    <row r="7083" spans="7:8" ht="15" customHeight="1" x14ac:dyDescent="0.4">
      <c r="G7083" s="27">
        <f t="shared" si="122"/>
        <v>0</v>
      </c>
      <c r="H7083" s="28" t="e">
        <f>VLOOKUP(E7083,'Cadastro Produtos (kiwkiw)'!C:E,3,0)</f>
        <v>#N/A</v>
      </c>
    </row>
    <row r="7084" spans="7:8" ht="15" customHeight="1" x14ac:dyDescent="0.4">
      <c r="G7084" s="27">
        <f t="shared" si="122"/>
        <v>0</v>
      </c>
      <c r="H7084" s="28" t="e">
        <f>VLOOKUP(E7084,'Cadastro Produtos (kiwkiw)'!C:E,3,0)</f>
        <v>#N/A</v>
      </c>
    </row>
    <row r="7085" spans="7:8" ht="15" customHeight="1" x14ac:dyDescent="0.4">
      <c r="G7085" s="27">
        <f t="shared" si="122"/>
        <v>0</v>
      </c>
      <c r="H7085" s="28" t="e">
        <f>VLOOKUP(E7085,'Cadastro Produtos (kiwkiw)'!C:E,3,0)</f>
        <v>#N/A</v>
      </c>
    </row>
    <row r="7086" spans="7:8" ht="15" customHeight="1" x14ac:dyDescent="0.4">
      <c r="G7086" s="27">
        <f t="shared" si="122"/>
        <v>0</v>
      </c>
      <c r="H7086" s="28" t="e">
        <f>VLOOKUP(E7086,'Cadastro Produtos (kiwkiw)'!C:E,3,0)</f>
        <v>#N/A</v>
      </c>
    </row>
    <row r="7087" spans="7:8" ht="15" customHeight="1" x14ac:dyDescent="0.4">
      <c r="G7087" s="27">
        <f t="shared" si="122"/>
        <v>0</v>
      </c>
      <c r="H7087" s="28" t="e">
        <f>VLOOKUP(E7087,'Cadastro Produtos (kiwkiw)'!C:E,3,0)</f>
        <v>#N/A</v>
      </c>
    </row>
    <row r="7088" spans="7:8" ht="15" customHeight="1" x14ac:dyDescent="0.4">
      <c r="G7088" s="27">
        <f t="shared" si="122"/>
        <v>0</v>
      </c>
      <c r="H7088" s="28" t="e">
        <f>VLOOKUP(E7088,'Cadastro Produtos (kiwkiw)'!C:E,3,0)</f>
        <v>#N/A</v>
      </c>
    </row>
    <row r="7089" spans="7:8" ht="15" customHeight="1" x14ac:dyDescent="0.4">
      <c r="G7089" s="27">
        <f t="shared" si="122"/>
        <v>0</v>
      </c>
      <c r="H7089" s="28" t="e">
        <f>VLOOKUP(E7089,'Cadastro Produtos (kiwkiw)'!C:E,3,0)</f>
        <v>#N/A</v>
      </c>
    </row>
    <row r="7090" spans="7:8" ht="15" customHeight="1" x14ac:dyDescent="0.4">
      <c r="G7090" s="27">
        <f t="shared" si="122"/>
        <v>0</v>
      </c>
      <c r="H7090" s="28" t="e">
        <f>VLOOKUP(E7090,'Cadastro Produtos (kiwkiw)'!C:E,3,0)</f>
        <v>#N/A</v>
      </c>
    </row>
    <row r="7091" spans="7:8" ht="15" customHeight="1" x14ac:dyDescent="0.4">
      <c r="G7091" s="27">
        <f t="shared" si="122"/>
        <v>0</v>
      </c>
      <c r="H7091" s="28" t="e">
        <f>VLOOKUP(E7091,'Cadastro Produtos (kiwkiw)'!C:E,3,0)</f>
        <v>#N/A</v>
      </c>
    </row>
    <row r="7092" spans="7:8" ht="15" customHeight="1" x14ac:dyDescent="0.4">
      <c r="G7092" s="27">
        <f t="shared" si="122"/>
        <v>0</v>
      </c>
      <c r="H7092" s="28" t="e">
        <f>VLOOKUP(E7092,'Cadastro Produtos (kiwkiw)'!C:E,3,0)</f>
        <v>#N/A</v>
      </c>
    </row>
    <row r="7093" spans="7:8" ht="15" customHeight="1" x14ac:dyDescent="0.4">
      <c r="G7093" s="27">
        <f t="shared" si="122"/>
        <v>0</v>
      </c>
      <c r="H7093" s="28" t="e">
        <f>VLOOKUP(E7093,'Cadastro Produtos (kiwkiw)'!C:E,3,0)</f>
        <v>#N/A</v>
      </c>
    </row>
    <row r="7094" spans="7:8" ht="15" customHeight="1" x14ac:dyDescent="0.4">
      <c r="G7094" s="27">
        <f t="shared" si="122"/>
        <v>0</v>
      </c>
      <c r="H7094" s="28" t="e">
        <f>VLOOKUP(E7094,'Cadastro Produtos (kiwkiw)'!C:E,3,0)</f>
        <v>#N/A</v>
      </c>
    </row>
    <row r="7095" spans="7:8" ht="15" customHeight="1" x14ac:dyDescent="0.4">
      <c r="G7095" s="27">
        <f t="shared" si="122"/>
        <v>0</v>
      </c>
      <c r="H7095" s="28" t="e">
        <f>VLOOKUP(E7095,'Cadastro Produtos (kiwkiw)'!C:E,3,0)</f>
        <v>#N/A</v>
      </c>
    </row>
    <row r="7096" spans="7:8" ht="15" customHeight="1" x14ac:dyDescent="0.4">
      <c r="G7096" s="27">
        <f t="shared" si="122"/>
        <v>0</v>
      </c>
      <c r="H7096" s="28" t="e">
        <f>VLOOKUP(E7096,'Cadastro Produtos (kiwkiw)'!C:E,3,0)</f>
        <v>#N/A</v>
      </c>
    </row>
    <row r="7097" spans="7:8" ht="15" customHeight="1" x14ac:dyDescent="0.4">
      <c r="G7097" s="27">
        <f t="shared" si="122"/>
        <v>0</v>
      </c>
      <c r="H7097" s="28" t="e">
        <f>VLOOKUP(E7097,'Cadastro Produtos (kiwkiw)'!C:E,3,0)</f>
        <v>#N/A</v>
      </c>
    </row>
    <row r="7098" spans="7:8" ht="15" customHeight="1" x14ac:dyDescent="0.4">
      <c r="G7098" s="27">
        <f t="shared" si="122"/>
        <v>0</v>
      </c>
      <c r="H7098" s="28" t="e">
        <f>VLOOKUP(E7098,'Cadastro Produtos (kiwkiw)'!C:E,3,0)</f>
        <v>#N/A</v>
      </c>
    </row>
    <row r="7099" spans="7:8" ht="15" customHeight="1" x14ac:dyDescent="0.4">
      <c r="G7099" s="27">
        <f t="shared" si="122"/>
        <v>0</v>
      </c>
      <c r="H7099" s="28" t="e">
        <f>VLOOKUP(E7099,'Cadastro Produtos (kiwkiw)'!C:E,3,0)</f>
        <v>#N/A</v>
      </c>
    </row>
    <row r="7100" spans="7:8" ht="15" customHeight="1" x14ac:dyDescent="0.4">
      <c r="G7100" s="27">
        <f t="shared" si="122"/>
        <v>0</v>
      </c>
      <c r="H7100" s="28" t="e">
        <f>VLOOKUP(E7100,'Cadastro Produtos (kiwkiw)'!C:E,3,0)</f>
        <v>#N/A</v>
      </c>
    </row>
    <row r="7101" spans="7:8" ht="15" customHeight="1" x14ac:dyDescent="0.4">
      <c r="G7101" s="27">
        <f t="shared" si="122"/>
        <v>0</v>
      </c>
      <c r="H7101" s="28" t="e">
        <f>VLOOKUP(E7101,'Cadastro Produtos (kiwkiw)'!C:E,3,0)</f>
        <v>#N/A</v>
      </c>
    </row>
    <row r="7102" spans="7:8" ht="15" customHeight="1" x14ac:dyDescent="0.4">
      <c r="G7102" s="27">
        <f t="shared" si="122"/>
        <v>0</v>
      </c>
      <c r="H7102" s="28" t="e">
        <f>VLOOKUP(E7102,'Cadastro Produtos (kiwkiw)'!C:E,3,0)</f>
        <v>#N/A</v>
      </c>
    </row>
    <row r="7103" spans="7:8" ht="15" customHeight="1" x14ac:dyDescent="0.4">
      <c r="G7103" s="27">
        <f t="shared" si="122"/>
        <v>0</v>
      </c>
      <c r="H7103" s="28" t="e">
        <f>VLOOKUP(E7103,'Cadastro Produtos (kiwkiw)'!C:E,3,0)</f>
        <v>#N/A</v>
      </c>
    </row>
    <row r="7104" spans="7:8" ht="15" customHeight="1" x14ac:dyDescent="0.4">
      <c r="G7104" s="27">
        <f t="shared" si="122"/>
        <v>0</v>
      </c>
      <c r="H7104" s="28" t="e">
        <f>VLOOKUP(E7104,'Cadastro Produtos (kiwkiw)'!C:E,3,0)</f>
        <v>#N/A</v>
      </c>
    </row>
    <row r="7105" spans="7:8" ht="15" customHeight="1" x14ac:dyDescent="0.4">
      <c r="G7105" s="27">
        <f t="shared" si="122"/>
        <v>0</v>
      </c>
      <c r="H7105" s="28" t="e">
        <f>VLOOKUP(E7105,'Cadastro Produtos (kiwkiw)'!C:E,3,0)</f>
        <v>#N/A</v>
      </c>
    </row>
    <row r="7106" spans="7:8" ht="15" customHeight="1" x14ac:dyDescent="0.4">
      <c r="G7106" s="27">
        <f t="shared" si="122"/>
        <v>0</v>
      </c>
      <c r="H7106" s="28" t="e">
        <f>VLOOKUP(E7106,'Cadastro Produtos (kiwkiw)'!C:E,3,0)</f>
        <v>#N/A</v>
      </c>
    </row>
    <row r="7107" spans="7:8" ht="15" customHeight="1" x14ac:dyDescent="0.4">
      <c r="G7107" s="27">
        <f t="shared" si="122"/>
        <v>0</v>
      </c>
      <c r="H7107" s="28" t="e">
        <f>VLOOKUP(E7107,'Cadastro Produtos (kiwkiw)'!C:E,3,0)</f>
        <v>#N/A</v>
      </c>
    </row>
    <row r="7108" spans="7:8" ht="15" customHeight="1" x14ac:dyDescent="0.4">
      <c r="G7108" s="27">
        <f t="shared" si="122"/>
        <v>0</v>
      </c>
      <c r="H7108" s="28" t="e">
        <f>VLOOKUP(E7108,'Cadastro Produtos (kiwkiw)'!C:E,3,0)</f>
        <v>#N/A</v>
      </c>
    </row>
    <row r="7109" spans="7:8" ht="15" customHeight="1" x14ac:dyDescent="0.4">
      <c r="G7109" s="27">
        <f t="shared" si="122"/>
        <v>0</v>
      </c>
      <c r="H7109" s="28" t="e">
        <f>VLOOKUP(E7109,'Cadastro Produtos (kiwkiw)'!C:E,3,0)</f>
        <v>#N/A</v>
      </c>
    </row>
    <row r="7110" spans="7:8" ht="15" customHeight="1" x14ac:dyDescent="0.4">
      <c r="G7110" s="27">
        <f t="shared" si="122"/>
        <v>0</v>
      </c>
      <c r="H7110" s="28" t="e">
        <f>VLOOKUP(E7110,'Cadastro Produtos (kiwkiw)'!C:E,3,0)</f>
        <v>#N/A</v>
      </c>
    </row>
    <row r="7111" spans="7:8" ht="15" customHeight="1" x14ac:dyDescent="0.4">
      <c r="G7111" s="27">
        <f t="shared" si="122"/>
        <v>0</v>
      </c>
      <c r="H7111" s="28" t="e">
        <f>VLOOKUP(E7111,'Cadastro Produtos (kiwkiw)'!C:E,3,0)</f>
        <v>#N/A</v>
      </c>
    </row>
    <row r="7112" spans="7:8" ht="15" customHeight="1" x14ac:dyDescent="0.4">
      <c r="G7112" s="27">
        <f t="shared" si="122"/>
        <v>0</v>
      </c>
      <c r="H7112" s="28" t="e">
        <f>VLOOKUP(E7112,'Cadastro Produtos (kiwkiw)'!C:E,3,0)</f>
        <v>#N/A</v>
      </c>
    </row>
    <row r="7113" spans="7:8" ht="15" customHeight="1" x14ac:dyDescent="0.4">
      <c r="G7113" s="27">
        <f t="shared" si="122"/>
        <v>0</v>
      </c>
      <c r="H7113" s="28" t="e">
        <f>VLOOKUP(E7113,'Cadastro Produtos (kiwkiw)'!C:E,3,0)</f>
        <v>#N/A</v>
      </c>
    </row>
    <row r="7114" spans="7:8" ht="15" customHeight="1" x14ac:dyDescent="0.4">
      <c r="G7114" s="27">
        <f t="shared" si="122"/>
        <v>0</v>
      </c>
      <c r="H7114" s="28" t="e">
        <f>VLOOKUP(E7114,'Cadastro Produtos (kiwkiw)'!C:E,3,0)</f>
        <v>#N/A</v>
      </c>
    </row>
    <row r="7115" spans="7:8" ht="15" customHeight="1" x14ac:dyDescent="0.4">
      <c r="G7115" s="27">
        <f t="shared" si="122"/>
        <v>0</v>
      </c>
      <c r="H7115" s="28" t="e">
        <f>VLOOKUP(E7115,'Cadastro Produtos (kiwkiw)'!C:E,3,0)</f>
        <v>#N/A</v>
      </c>
    </row>
    <row r="7116" spans="7:8" ht="15" customHeight="1" x14ac:dyDescent="0.4">
      <c r="G7116" s="27">
        <f t="shared" si="122"/>
        <v>0</v>
      </c>
      <c r="H7116" s="28" t="e">
        <f>VLOOKUP(E7116,'Cadastro Produtos (kiwkiw)'!C:E,3,0)</f>
        <v>#N/A</v>
      </c>
    </row>
    <row r="7117" spans="7:8" ht="15" customHeight="1" x14ac:dyDescent="0.4">
      <c r="G7117" s="27">
        <f t="shared" si="122"/>
        <v>0</v>
      </c>
      <c r="H7117" s="28" t="e">
        <f>VLOOKUP(E7117,'Cadastro Produtos (kiwkiw)'!C:E,3,0)</f>
        <v>#N/A</v>
      </c>
    </row>
    <row r="7118" spans="7:8" ht="15" customHeight="1" x14ac:dyDescent="0.4">
      <c r="G7118" s="27">
        <f t="shared" si="122"/>
        <v>0</v>
      </c>
      <c r="H7118" s="28" t="e">
        <f>VLOOKUP(E7118,'Cadastro Produtos (kiwkiw)'!C:E,3,0)</f>
        <v>#N/A</v>
      </c>
    </row>
    <row r="7119" spans="7:8" ht="15" customHeight="1" x14ac:dyDescent="0.4">
      <c r="G7119" s="27">
        <f t="shared" si="122"/>
        <v>0</v>
      </c>
      <c r="H7119" s="28" t="e">
        <f>VLOOKUP(E7119,'Cadastro Produtos (kiwkiw)'!C:E,3,0)</f>
        <v>#N/A</v>
      </c>
    </row>
    <row r="7120" spans="7:8" ht="15" customHeight="1" x14ac:dyDescent="0.4">
      <c r="G7120" s="27">
        <f t="shared" si="122"/>
        <v>0</v>
      </c>
      <c r="H7120" s="28" t="e">
        <f>VLOOKUP(E7120,'Cadastro Produtos (kiwkiw)'!C:E,3,0)</f>
        <v>#N/A</v>
      </c>
    </row>
    <row r="7121" spans="2:8" ht="15" customHeight="1" x14ac:dyDescent="0.4">
      <c r="G7121" s="27">
        <f t="shared" si="122"/>
        <v>0</v>
      </c>
      <c r="H7121" s="28" t="e">
        <f>VLOOKUP(E7121,'Cadastro Produtos (kiwkiw)'!C:E,3,0)</f>
        <v>#N/A</v>
      </c>
    </row>
    <row r="7122" spans="2:8" ht="15" customHeight="1" x14ac:dyDescent="0.4">
      <c r="G7122" s="27">
        <f t="shared" ref="G7122:G7185" si="123">IF(C7122="Entrada",F7122,-F7122)</f>
        <v>0</v>
      </c>
      <c r="H7122" s="28" t="e">
        <f>VLOOKUP(E7122,'Cadastro Produtos (kiwkiw)'!C:E,3,0)</f>
        <v>#N/A</v>
      </c>
    </row>
    <row r="7123" spans="2:8" ht="15" customHeight="1" x14ac:dyDescent="0.4">
      <c r="G7123" s="27">
        <f t="shared" si="123"/>
        <v>0</v>
      </c>
      <c r="H7123" s="28" t="e">
        <f>VLOOKUP(E7123,'Cadastro Produtos (kiwkiw)'!C:E,3,0)</f>
        <v>#N/A</v>
      </c>
    </row>
    <row r="7124" spans="2:8" ht="15" customHeight="1" x14ac:dyDescent="0.4">
      <c r="G7124" s="27">
        <f t="shared" si="123"/>
        <v>0</v>
      </c>
      <c r="H7124" s="28" t="e">
        <f>VLOOKUP(E7124,'Cadastro Produtos (kiwkiw)'!C:E,3,0)</f>
        <v>#N/A</v>
      </c>
    </row>
    <row r="7125" spans="2:8" ht="15" customHeight="1" x14ac:dyDescent="0.4">
      <c r="G7125" s="27">
        <f t="shared" si="123"/>
        <v>0</v>
      </c>
      <c r="H7125" s="28" t="e">
        <f>VLOOKUP(E7125,'Cadastro Produtos (kiwkiw)'!C:E,3,0)</f>
        <v>#N/A</v>
      </c>
    </row>
    <row r="7126" spans="2:8" ht="15" customHeight="1" x14ac:dyDescent="0.4">
      <c r="G7126" s="27">
        <f t="shared" si="123"/>
        <v>0</v>
      </c>
      <c r="H7126" s="28" t="e">
        <f>VLOOKUP(E7126,'Cadastro Produtos (kiwkiw)'!C:E,3,0)</f>
        <v>#N/A</v>
      </c>
    </row>
    <row r="7127" spans="2:8" ht="15" customHeight="1" x14ac:dyDescent="0.4">
      <c r="G7127" s="27">
        <f t="shared" si="123"/>
        <v>0</v>
      </c>
      <c r="H7127" s="28" t="e">
        <f>VLOOKUP(E7127,'Cadastro Produtos (kiwkiw)'!C:E,3,0)</f>
        <v>#N/A</v>
      </c>
    </row>
    <row r="7128" spans="2:8" ht="15" customHeight="1" x14ac:dyDescent="0.4">
      <c r="B7128" s="43"/>
      <c r="G7128" s="27">
        <f t="shared" si="123"/>
        <v>0</v>
      </c>
      <c r="H7128" s="28" t="e">
        <f>VLOOKUP(E7128,'Cadastro Produtos (kiwkiw)'!C:E,3,0)</f>
        <v>#N/A</v>
      </c>
    </row>
    <row r="7129" spans="2:8" ht="15" customHeight="1" x14ac:dyDescent="0.4">
      <c r="G7129" s="27">
        <f t="shared" si="123"/>
        <v>0</v>
      </c>
      <c r="H7129" s="28" t="e">
        <f>VLOOKUP(E7129,'Cadastro Produtos (kiwkiw)'!C:E,3,0)</f>
        <v>#N/A</v>
      </c>
    </row>
    <row r="7130" spans="2:8" ht="15" customHeight="1" x14ac:dyDescent="0.4">
      <c r="G7130" s="27">
        <f t="shared" si="123"/>
        <v>0</v>
      </c>
      <c r="H7130" s="28" t="e">
        <f>VLOOKUP(E7130,'Cadastro Produtos (kiwkiw)'!C:E,3,0)</f>
        <v>#N/A</v>
      </c>
    </row>
    <row r="7131" spans="2:8" ht="15" customHeight="1" x14ac:dyDescent="0.4">
      <c r="B7131" s="43"/>
      <c r="G7131" s="27">
        <f t="shared" si="123"/>
        <v>0</v>
      </c>
      <c r="H7131" s="28" t="e">
        <f>VLOOKUP(E7131,'Cadastro Produtos (kiwkiw)'!C:E,3,0)</f>
        <v>#N/A</v>
      </c>
    </row>
    <row r="7132" spans="2:8" ht="15" customHeight="1" x14ac:dyDescent="0.4">
      <c r="G7132" s="27">
        <f t="shared" si="123"/>
        <v>0</v>
      </c>
      <c r="H7132" s="28" t="e">
        <f>VLOOKUP(E7132,'Cadastro Produtos (kiwkiw)'!C:E,3,0)</f>
        <v>#N/A</v>
      </c>
    </row>
    <row r="7133" spans="2:8" ht="15" customHeight="1" x14ac:dyDescent="0.4">
      <c r="G7133" s="27">
        <f t="shared" si="123"/>
        <v>0</v>
      </c>
      <c r="H7133" s="28" t="e">
        <f>VLOOKUP(E7133,'Cadastro Produtos (kiwkiw)'!C:E,3,0)</f>
        <v>#N/A</v>
      </c>
    </row>
    <row r="7134" spans="2:8" ht="15" customHeight="1" x14ac:dyDescent="0.4">
      <c r="G7134" s="27">
        <f t="shared" si="123"/>
        <v>0</v>
      </c>
      <c r="H7134" s="28" t="e">
        <f>VLOOKUP(E7134,'Cadastro Produtos (kiwkiw)'!C:E,3,0)</f>
        <v>#N/A</v>
      </c>
    </row>
    <row r="7135" spans="2:8" ht="15" customHeight="1" x14ac:dyDescent="0.4">
      <c r="G7135" s="27">
        <f t="shared" si="123"/>
        <v>0</v>
      </c>
      <c r="H7135" s="28" t="e">
        <f>VLOOKUP(E7135,'Cadastro Produtos (kiwkiw)'!C:E,3,0)</f>
        <v>#N/A</v>
      </c>
    </row>
    <row r="7136" spans="2:8" ht="15" customHeight="1" x14ac:dyDescent="0.4">
      <c r="G7136" s="27">
        <f t="shared" si="123"/>
        <v>0</v>
      </c>
      <c r="H7136" s="28" t="e">
        <f>VLOOKUP(E7136,'Cadastro Produtos (kiwkiw)'!C:E,3,0)</f>
        <v>#N/A</v>
      </c>
    </row>
    <row r="7137" spans="7:8" ht="15" customHeight="1" x14ac:dyDescent="0.4">
      <c r="G7137" s="27">
        <f t="shared" si="123"/>
        <v>0</v>
      </c>
      <c r="H7137" s="28" t="e">
        <f>VLOOKUP(E7137,'Cadastro Produtos (kiwkiw)'!C:E,3,0)</f>
        <v>#N/A</v>
      </c>
    </row>
    <row r="7138" spans="7:8" ht="15" customHeight="1" x14ac:dyDescent="0.4">
      <c r="G7138" s="27">
        <f t="shared" si="123"/>
        <v>0</v>
      </c>
      <c r="H7138" s="28" t="e">
        <f>VLOOKUP(E7138,'Cadastro Produtos (kiwkiw)'!C:E,3,0)</f>
        <v>#N/A</v>
      </c>
    </row>
    <row r="7139" spans="7:8" ht="15" customHeight="1" x14ac:dyDescent="0.4">
      <c r="G7139" s="27">
        <f t="shared" si="123"/>
        <v>0</v>
      </c>
      <c r="H7139" s="28" t="e">
        <f>VLOOKUP(E7139,'Cadastro Produtos (kiwkiw)'!C:E,3,0)</f>
        <v>#N/A</v>
      </c>
    </row>
    <row r="7140" spans="7:8" ht="15" customHeight="1" x14ac:dyDescent="0.4">
      <c r="G7140" s="27">
        <f t="shared" si="123"/>
        <v>0</v>
      </c>
      <c r="H7140" s="28" t="e">
        <f>VLOOKUP(E7140,'Cadastro Produtos (kiwkiw)'!C:E,3,0)</f>
        <v>#N/A</v>
      </c>
    </row>
    <row r="7141" spans="7:8" ht="15" customHeight="1" x14ac:dyDescent="0.4">
      <c r="G7141" s="27">
        <f t="shared" si="123"/>
        <v>0</v>
      </c>
      <c r="H7141" s="28" t="e">
        <f>VLOOKUP(E7141,'Cadastro Produtos (kiwkiw)'!C:E,3,0)</f>
        <v>#N/A</v>
      </c>
    </row>
    <row r="7142" spans="7:8" ht="15" customHeight="1" x14ac:dyDescent="0.4">
      <c r="G7142" s="27">
        <f t="shared" si="123"/>
        <v>0</v>
      </c>
      <c r="H7142" s="28" t="e">
        <f>VLOOKUP(E7142,'Cadastro Produtos (kiwkiw)'!C:E,3,0)</f>
        <v>#N/A</v>
      </c>
    </row>
    <row r="7143" spans="7:8" ht="15" customHeight="1" x14ac:dyDescent="0.4">
      <c r="G7143" s="27">
        <f t="shared" si="123"/>
        <v>0</v>
      </c>
      <c r="H7143" s="28" t="e">
        <f>VLOOKUP(E7143,'Cadastro Produtos (kiwkiw)'!C:E,3,0)</f>
        <v>#N/A</v>
      </c>
    </row>
    <row r="7144" spans="7:8" ht="15" customHeight="1" x14ac:dyDescent="0.4">
      <c r="G7144" s="27">
        <f t="shared" si="123"/>
        <v>0</v>
      </c>
      <c r="H7144" s="28" t="e">
        <f>VLOOKUP(E7144,'Cadastro Produtos (kiwkiw)'!C:E,3,0)</f>
        <v>#N/A</v>
      </c>
    </row>
    <row r="7145" spans="7:8" ht="15" customHeight="1" x14ac:dyDescent="0.4">
      <c r="G7145" s="27">
        <f t="shared" si="123"/>
        <v>0</v>
      </c>
      <c r="H7145" s="28" t="e">
        <f>VLOOKUP(E7145,'Cadastro Produtos (kiwkiw)'!C:E,3,0)</f>
        <v>#N/A</v>
      </c>
    </row>
    <row r="7146" spans="7:8" ht="15" customHeight="1" x14ac:dyDescent="0.4">
      <c r="G7146" s="27">
        <f t="shared" si="123"/>
        <v>0</v>
      </c>
      <c r="H7146" s="28" t="e">
        <f>VLOOKUP(E7146,'Cadastro Produtos (kiwkiw)'!C:E,3,0)</f>
        <v>#N/A</v>
      </c>
    </row>
    <row r="7147" spans="7:8" ht="15" customHeight="1" x14ac:dyDescent="0.4">
      <c r="G7147" s="27">
        <f t="shared" si="123"/>
        <v>0</v>
      </c>
      <c r="H7147" s="28" t="e">
        <f>VLOOKUP(E7147,'Cadastro Produtos (kiwkiw)'!C:E,3,0)</f>
        <v>#N/A</v>
      </c>
    </row>
    <row r="7148" spans="7:8" ht="15" customHeight="1" x14ac:dyDescent="0.4">
      <c r="G7148" s="27">
        <f t="shared" si="123"/>
        <v>0</v>
      </c>
      <c r="H7148" s="28" t="e">
        <f>VLOOKUP(E7148,'Cadastro Produtos (kiwkiw)'!C:E,3,0)</f>
        <v>#N/A</v>
      </c>
    </row>
    <row r="7149" spans="7:8" ht="15" customHeight="1" x14ac:dyDescent="0.4">
      <c r="G7149" s="27">
        <f t="shared" si="123"/>
        <v>0</v>
      </c>
      <c r="H7149" s="28" t="e">
        <f>VLOOKUP(E7149,'Cadastro Produtos (kiwkiw)'!C:E,3,0)</f>
        <v>#N/A</v>
      </c>
    </row>
    <row r="7150" spans="7:8" ht="15" customHeight="1" x14ac:dyDescent="0.4">
      <c r="G7150" s="27">
        <f t="shared" si="123"/>
        <v>0</v>
      </c>
      <c r="H7150" s="28" t="e">
        <f>VLOOKUP(E7150,'Cadastro Produtos (kiwkiw)'!C:E,3,0)</f>
        <v>#N/A</v>
      </c>
    </row>
    <row r="7151" spans="7:8" ht="15" customHeight="1" x14ac:dyDescent="0.4">
      <c r="G7151" s="27">
        <f t="shared" si="123"/>
        <v>0</v>
      </c>
      <c r="H7151" s="28" t="e">
        <f>VLOOKUP(E7151,'Cadastro Produtos (kiwkiw)'!C:E,3,0)</f>
        <v>#N/A</v>
      </c>
    </row>
    <row r="7152" spans="7:8" ht="15" customHeight="1" x14ac:dyDescent="0.4">
      <c r="G7152" s="27">
        <f t="shared" si="123"/>
        <v>0</v>
      </c>
      <c r="H7152" s="28" t="e">
        <f>VLOOKUP(E7152,'Cadastro Produtos (kiwkiw)'!C:E,3,0)</f>
        <v>#N/A</v>
      </c>
    </row>
    <row r="7153" spans="7:8" ht="15" customHeight="1" x14ac:dyDescent="0.4">
      <c r="G7153" s="27">
        <f t="shared" si="123"/>
        <v>0</v>
      </c>
      <c r="H7153" s="28" t="e">
        <f>VLOOKUP(E7153,'Cadastro Produtos (kiwkiw)'!C:E,3,0)</f>
        <v>#N/A</v>
      </c>
    </row>
    <row r="7154" spans="7:8" ht="15" customHeight="1" x14ac:dyDescent="0.4">
      <c r="G7154" s="27">
        <f t="shared" si="123"/>
        <v>0</v>
      </c>
      <c r="H7154" s="28" t="e">
        <f>VLOOKUP(E7154,'Cadastro Produtos (kiwkiw)'!C:E,3,0)</f>
        <v>#N/A</v>
      </c>
    </row>
    <row r="7155" spans="7:8" ht="15" customHeight="1" x14ac:dyDescent="0.4">
      <c r="G7155" s="27">
        <f t="shared" si="123"/>
        <v>0</v>
      </c>
      <c r="H7155" s="28" t="e">
        <f>VLOOKUP(E7155,'Cadastro Produtos (kiwkiw)'!C:E,3,0)</f>
        <v>#N/A</v>
      </c>
    </row>
    <row r="7156" spans="7:8" ht="15" customHeight="1" x14ac:dyDescent="0.4">
      <c r="G7156" s="27">
        <f t="shared" si="123"/>
        <v>0</v>
      </c>
      <c r="H7156" s="28" t="e">
        <f>VLOOKUP(E7156,'Cadastro Produtos (kiwkiw)'!C:E,3,0)</f>
        <v>#N/A</v>
      </c>
    </row>
    <row r="7157" spans="7:8" ht="15" customHeight="1" x14ac:dyDescent="0.4">
      <c r="G7157" s="27">
        <f t="shared" si="123"/>
        <v>0</v>
      </c>
      <c r="H7157" s="28" t="e">
        <f>VLOOKUP(E7157,'Cadastro Produtos (kiwkiw)'!C:E,3,0)</f>
        <v>#N/A</v>
      </c>
    </row>
    <row r="7158" spans="7:8" ht="15" customHeight="1" x14ac:dyDescent="0.4">
      <c r="G7158" s="27">
        <f t="shared" si="123"/>
        <v>0</v>
      </c>
      <c r="H7158" s="28" t="e">
        <f>VLOOKUP(E7158,'Cadastro Produtos (kiwkiw)'!C:E,3,0)</f>
        <v>#N/A</v>
      </c>
    </row>
    <row r="7159" spans="7:8" ht="15" customHeight="1" x14ac:dyDescent="0.4">
      <c r="G7159" s="27">
        <f t="shared" si="123"/>
        <v>0</v>
      </c>
      <c r="H7159" s="28" t="e">
        <f>VLOOKUP(E7159,'Cadastro Produtos (kiwkiw)'!C:E,3,0)</f>
        <v>#N/A</v>
      </c>
    </row>
    <row r="7160" spans="7:8" ht="15" customHeight="1" x14ac:dyDescent="0.4">
      <c r="G7160" s="27">
        <f t="shared" si="123"/>
        <v>0</v>
      </c>
      <c r="H7160" s="28" t="e">
        <f>VLOOKUP(E7160,'Cadastro Produtos (kiwkiw)'!C:E,3,0)</f>
        <v>#N/A</v>
      </c>
    </row>
    <row r="7161" spans="7:8" ht="15" customHeight="1" x14ac:dyDescent="0.4">
      <c r="G7161" s="27">
        <f t="shared" si="123"/>
        <v>0</v>
      </c>
      <c r="H7161" s="28" t="e">
        <f>VLOOKUP(E7161,'Cadastro Produtos (kiwkiw)'!C:E,3,0)</f>
        <v>#N/A</v>
      </c>
    </row>
    <row r="7162" spans="7:8" ht="15" customHeight="1" x14ac:dyDescent="0.4">
      <c r="G7162" s="27">
        <f t="shared" si="123"/>
        <v>0</v>
      </c>
      <c r="H7162" s="28" t="e">
        <f>VLOOKUP(E7162,'Cadastro Produtos (kiwkiw)'!C:E,3,0)</f>
        <v>#N/A</v>
      </c>
    </row>
    <row r="7163" spans="7:8" ht="15" customHeight="1" x14ac:dyDescent="0.4">
      <c r="G7163" s="27">
        <f t="shared" si="123"/>
        <v>0</v>
      </c>
      <c r="H7163" s="28" t="e">
        <f>VLOOKUP(E7163,'Cadastro Produtos (kiwkiw)'!C:E,3,0)</f>
        <v>#N/A</v>
      </c>
    </row>
    <row r="7164" spans="7:8" ht="15" customHeight="1" x14ac:dyDescent="0.4">
      <c r="G7164" s="27">
        <f t="shared" si="123"/>
        <v>0</v>
      </c>
      <c r="H7164" s="28" t="e">
        <f>VLOOKUP(E7164,'Cadastro Produtos (kiwkiw)'!C:E,3,0)</f>
        <v>#N/A</v>
      </c>
    </row>
    <row r="7165" spans="7:8" ht="15" customHeight="1" x14ac:dyDescent="0.4">
      <c r="G7165" s="27">
        <f t="shared" si="123"/>
        <v>0</v>
      </c>
      <c r="H7165" s="28" t="e">
        <f>VLOOKUP(E7165,'Cadastro Produtos (kiwkiw)'!C:E,3,0)</f>
        <v>#N/A</v>
      </c>
    </row>
    <row r="7166" spans="7:8" ht="15" customHeight="1" x14ac:dyDescent="0.4">
      <c r="G7166" s="27">
        <f t="shared" si="123"/>
        <v>0</v>
      </c>
      <c r="H7166" s="28" t="e">
        <f>VLOOKUP(E7166,'Cadastro Produtos (kiwkiw)'!C:E,3,0)</f>
        <v>#N/A</v>
      </c>
    </row>
    <row r="7167" spans="7:8" ht="15" customHeight="1" x14ac:dyDescent="0.4">
      <c r="G7167" s="27">
        <f t="shared" si="123"/>
        <v>0</v>
      </c>
      <c r="H7167" s="28" t="e">
        <f>VLOOKUP(E7167,'Cadastro Produtos (kiwkiw)'!C:E,3,0)</f>
        <v>#N/A</v>
      </c>
    </row>
    <row r="7168" spans="7:8" ht="15" customHeight="1" x14ac:dyDescent="0.4">
      <c r="G7168" s="27">
        <f t="shared" si="123"/>
        <v>0</v>
      </c>
      <c r="H7168" s="28" t="e">
        <f>VLOOKUP(E7168,'Cadastro Produtos (kiwkiw)'!C:E,3,0)</f>
        <v>#N/A</v>
      </c>
    </row>
    <row r="7169" spans="7:8" ht="15" customHeight="1" x14ac:dyDescent="0.4">
      <c r="G7169" s="27">
        <f t="shared" si="123"/>
        <v>0</v>
      </c>
      <c r="H7169" s="28" t="e">
        <f>VLOOKUP(E7169,'Cadastro Produtos (kiwkiw)'!C:E,3,0)</f>
        <v>#N/A</v>
      </c>
    </row>
    <row r="7170" spans="7:8" ht="15" customHeight="1" x14ac:dyDescent="0.4">
      <c r="G7170" s="27">
        <f t="shared" si="123"/>
        <v>0</v>
      </c>
      <c r="H7170" s="28" t="e">
        <f>VLOOKUP(E7170,'Cadastro Produtos (kiwkiw)'!C:E,3,0)</f>
        <v>#N/A</v>
      </c>
    </row>
    <row r="7171" spans="7:8" ht="15" customHeight="1" x14ac:dyDescent="0.4">
      <c r="G7171" s="27">
        <f t="shared" si="123"/>
        <v>0</v>
      </c>
      <c r="H7171" s="28" t="e">
        <f>VLOOKUP(E7171,'Cadastro Produtos (kiwkiw)'!C:E,3,0)</f>
        <v>#N/A</v>
      </c>
    </row>
    <row r="7172" spans="7:8" ht="15" customHeight="1" x14ac:dyDescent="0.4">
      <c r="G7172" s="27">
        <f t="shared" si="123"/>
        <v>0</v>
      </c>
      <c r="H7172" s="28" t="e">
        <f>VLOOKUP(E7172,'Cadastro Produtos (kiwkiw)'!C:E,3,0)</f>
        <v>#N/A</v>
      </c>
    </row>
    <row r="7173" spans="7:8" ht="15" customHeight="1" x14ac:dyDescent="0.4">
      <c r="G7173" s="27">
        <f t="shared" si="123"/>
        <v>0</v>
      </c>
      <c r="H7173" s="28" t="e">
        <f>VLOOKUP(E7173,'Cadastro Produtos (kiwkiw)'!C:E,3,0)</f>
        <v>#N/A</v>
      </c>
    </row>
    <row r="7174" spans="7:8" ht="15" customHeight="1" x14ac:dyDescent="0.4">
      <c r="G7174" s="27">
        <f t="shared" si="123"/>
        <v>0</v>
      </c>
      <c r="H7174" s="28" t="e">
        <f>VLOOKUP(E7174,'Cadastro Produtos (kiwkiw)'!C:E,3,0)</f>
        <v>#N/A</v>
      </c>
    </row>
    <row r="7175" spans="7:8" ht="15" customHeight="1" x14ac:dyDescent="0.4">
      <c r="G7175" s="27">
        <f t="shared" si="123"/>
        <v>0</v>
      </c>
      <c r="H7175" s="28" t="e">
        <f>VLOOKUP(E7175,'Cadastro Produtos (kiwkiw)'!C:E,3,0)</f>
        <v>#N/A</v>
      </c>
    </row>
    <row r="7176" spans="7:8" ht="15" customHeight="1" x14ac:dyDescent="0.4">
      <c r="G7176" s="27">
        <f t="shared" si="123"/>
        <v>0</v>
      </c>
      <c r="H7176" s="28" t="e">
        <f>VLOOKUP(E7176,'Cadastro Produtos (kiwkiw)'!C:E,3,0)</f>
        <v>#N/A</v>
      </c>
    </row>
    <row r="7177" spans="7:8" ht="15" customHeight="1" x14ac:dyDescent="0.4">
      <c r="G7177" s="27">
        <f t="shared" si="123"/>
        <v>0</v>
      </c>
      <c r="H7177" s="28" t="e">
        <f>VLOOKUP(E7177,'Cadastro Produtos (kiwkiw)'!C:E,3,0)</f>
        <v>#N/A</v>
      </c>
    </row>
    <row r="7178" spans="7:8" ht="15" customHeight="1" x14ac:dyDescent="0.4">
      <c r="G7178" s="27">
        <f t="shared" si="123"/>
        <v>0</v>
      </c>
      <c r="H7178" s="28" t="e">
        <f>VLOOKUP(E7178,'Cadastro Produtos (kiwkiw)'!C:E,3,0)</f>
        <v>#N/A</v>
      </c>
    </row>
    <row r="7179" spans="7:8" ht="15" customHeight="1" x14ac:dyDescent="0.4">
      <c r="G7179" s="27">
        <f t="shared" si="123"/>
        <v>0</v>
      </c>
      <c r="H7179" s="28" t="e">
        <f>VLOOKUP(E7179,'Cadastro Produtos (kiwkiw)'!C:E,3,0)</f>
        <v>#N/A</v>
      </c>
    </row>
    <row r="7180" spans="7:8" ht="15" customHeight="1" x14ac:dyDescent="0.4">
      <c r="G7180" s="27">
        <f t="shared" si="123"/>
        <v>0</v>
      </c>
      <c r="H7180" s="28" t="e">
        <f>VLOOKUP(E7180,'Cadastro Produtos (kiwkiw)'!C:E,3,0)</f>
        <v>#N/A</v>
      </c>
    </row>
    <row r="7181" spans="7:8" ht="15" customHeight="1" x14ac:dyDescent="0.4">
      <c r="G7181" s="27">
        <f t="shared" si="123"/>
        <v>0</v>
      </c>
      <c r="H7181" s="28" t="e">
        <f>VLOOKUP(E7181,'Cadastro Produtos (kiwkiw)'!C:E,3,0)</f>
        <v>#N/A</v>
      </c>
    </row>
    <row r="7182" spans="7:8" ht="15" customHeight="1" x14ac:dyDescent="0.4">
      <c r="G7182" s="27">
        <f t="shared" si="123"/>
        <v>0</v>
      </c>
      <c r="H7182" s="28" t="e">
        <f>VLOOKUP(E7182,'Cadastro Produtos (kiwkiw)'!C:E,3,0)</f>
        <v>#N/A</v>
      </c>
    </row>
    <row r="7183" spans="7:8" ht="15" customHeight="1" x14ac:dyDescent="0.4">
      <c r="G7183" s="27">
        <f t="shared" si="123"/>
        <v>0</v>
      </c>
      <c r="H7183" s="28" t="e">
        <f>VLOOKUP(E7183,'Cadastro Produtos (kiwkiw)'!C:E,3,0)</f>
        <v>#N/A</v>
      </c>
    </row>
    <row r="7184" spans="7:8" ht="15" customHeight="1" x14ac:dyDescent="0.4">
      <c r="G7184" s="27">
        <f t="shared" si="123"/>
        <v>0</v>
      </c>
      <c r="H7184" s="28" t="e">
        <f>VLOOKUP(E7184,'Cadastro Produtos (kiwkiw)'!C:E,3,0)</f>
        <v>#N/A</v>
      </c>
    </row>
    <row r="7185" spans="2:8" ht="15" customHeight="1" x14ac:dyDescent="0.4">
      <c r="G7185" s="27">
        <f t="shared" si="123"/>
        <v>0</v>
      </c>
      <c r="H7185" s="28" t="e">
        <f>VLOOKUP(E7185,'Cadastro Produtos (kiwkiw)'!C:E,3,0)</f>
        <v>#N/A</v>
      </c>
    </row>
    <row r="7186" spans="2:8" ht="15" customHeight="1" x14ac:dyDescent="0.4">
      <c r="G7186" s="27">
        <f t="shared" ref="G7186:G7249" si="124">IF(C7186="Entrada",F7186,-F7186)</f>
        <v>0</v>
      </c>
      <c r="H7186" s="28" t="e">
        <f>VLOOKUP(E7186,'Cadastro Produtos (kiwkiw)'!C:E,3,0)</f>
        <v>#N/A</v>
      </c>
    </row>
    <row r="7187" spans="2:8" ht="15" customHeight="1" x14ac:dyDescent="0.4">
      <c r="G7187" s="27">
        <f t="shared" si="124"/>
        <v>0</v>
      </c>
      <c r="H7187" s="28" t="e">
        <f>VLOOKUP(E7187,'Cadastro Produtos (kiwkiw)'!C:E,3,0)</f>
        <v>#N/A</v>
      </c>
    </row>
    <row r="7188" spans="2:8" ht="15" customHeight="1" x14ac:dyDescent="0.4">
      <c r="B7188" s="43"/>
      <c r="G7188" s="27">
        <f t="shared" si="124"/>
        <v>0</v>
      </c>
      <c r="H7188" s="28" t="e">
        <f>VLOOKUP(E7188,'Cadastro Produtos (kiwkiw)'!C:E,3,0)</f>
        <v>#N/A</v>
      </c>
    </row>
    <row r="7189" spans="2:8" ht="15" customHeight="1" x14ac:dyDescent="0.4">
      <c r="G7189" s="27">
        <f t="shared" si="124"/>
        <v>0</v>
      </c>
      <c r="H7189" s="28" t="e">
        <f>VLOOKUP(E7189,'Cadastro Produtos (kiwkiw)'!C:E,3,0)</f>
        <v>#N/A</v>
      </c>
    </row>
    <row r="7190" spans="2:8" ht="15" customHeight="1" x14ac:dyDescent="0.4">
      <c r="G7190" s="27">
        <f t="shared" si="124"/>
        <v>0</v>
      </c>
      <c r="H7190" s="28" t="e">
        <f>VLOOKUP(E7190,'Cadastro Produtos (kiwkiw)'!C:E,3,0)</f>
        <v>#N/A</v>
      </c>
    </row>
    <row r="7191" spans="2:8" ht="15" customHeight="1" x14ac:dyDescent="0.4">
      <c r="B7191" s="43"/>
      <c r="G7191" s="27">
        <f t="shared" si="124"/>
        <v>0</v>
      </c>
      <c r="H7191" s="28" t="e">
        <f>VLOOKUP(E7191,'Cadastro Produtos (kiwkiw)'!C:E,3,0)</f>
        <v>#N/A</v>
      </c>
    </row>
    <row r="7192" spans="2:8" ht="15" customHeight="1" x14ac:dyDescent="0.4">
      <c r="G7192" s="27">
        <f t="shared" si="124"/>
        <v>0</v>
      </c>
      <c r="H7192" s="28" t="e">
        <f>VLOOKUP(E7192,'Cadastro Produtos (kiwkiw)'!C:E,3,0)</f>
        <v>#N/A</v>
      </c>
    </row>
    <row r="7193" spans="2:8" ht="15" customHeight="1" x14ac:dyDescent="0.4">
      <c r="G7193" s="27">
        <f t="shared" si="124"/>
        <v>0</v>
      </c>
      <c r="H7193" s="28" t="e">
        <f>VLOOKUP(E7193,'Cadastro Produtos (kiwkiw)'!C:E,3,0)</f>
        <v>#N/A</v>
      </c>
    </row>
    <row r="7194" spans="2:8" ht="15" customHeight="1" x14ac:dyDescent="0.4">
      <c r="G7194" s="27">
        <f t="shared" si="124"/>
        <v>0</v>
      </c>
      <c r="H7194" s="28" t="e">
        <f>VLOOKUP(E7194,'Cadastro Produtos (kiwkiw)'!C:E,3,0)</f>
        <v>#N/A</v>
      </c>
    </row>
    <row r="7195" spans="2:8" ht="15" customHeight="1" x14ac:dyDescent="0.4">
      <c r="G7195" s="27">
        <f t="shared" si="124"/>
        <v>0</v>
      </c>
      <c r="H7195" s="28" t="e">
        <f>VLOOKUP(E7195,'Cadastro Produtos (kiwkiw)'!C:E,3,0)</f>
        <v>#N/A</v>
      </c>
    </row>
    <row r="7196" spans="2:8" ht="15" customHeight="1" x14ac:dyDescent="0.4">
      <c r="G7196" s="27">
        <f t="shared" si="124"/>
        <v>0</v>
      </c>
      <c r="H7196" s="28" t="e">
        <f>VLOOKUP(E7196,'Cadastro Produtos (kiwkiw)'!C:E,3,0)</f>
        <v>#N/A</v>
      </c>
    </row>
    <row r="7197" spans="2:8" ht="15" customHeight="1" x14ac:dyDescent="0.4">
      <c r="G7197" s="27">
        <f t="shared" si="124"/>
        <v>0</v>
      </c>
      <c r="H7197" s="28" t="e">
        <f>VLOOKUP(E7197,'Cadastro Produtos (kiwkiw)'!C:E,3,0)</f>
        <v>#N/A</v>
      </c>
    </row>
    <row r="7198" spans="2:8" ht="15" customHeight="1" x14ac:dyDescent="0.4">
      <c r="G7198" s="27">
        <f t="shared" si="124"/>
        <v>0</v>
      </c>
      <c r="H7198" s="28" t="e">
        <f>VLOOKUP(E7198,'Cadastro Produtos (kiwkiw)'!C:E,3,0)</f>
        <v>#N/A</v>
      </c>
    </row>
    <row r="7199" spans="2:8" ht="15" customHeight="1" x14ac:dyDescent="0.4">
      <c r="G7199" s="27">
        <f t="shared" si="124"/>
        <v>0</v>
      </c>
      <c r="H7199" s="28" t="e">
        <f>VLOOKUP(E7199,'Cadastro Produtos (kiwkiw)'!C:E,3,0)</f>
        <v>#N/A</v>
      </c>
    </row>
    <row r="7200" spans="2:8" ht="15" customHeight="1" x14ac:dyDescent="0.4">
      <c r="G7200" s="27">
        <f t="shared" si="124"/>
        <v>0</v>
      </c>
      <c r="H7200" s="28" t="e">
        <f>VLOOKUP(E7200,'Cadastro Produtos (kiwkiw)'!C:E,3,0)</f>
        <v>#N/A</v>
      </c>
    </row>
    <row r="7201" spans="2:8" ht="15" customHeight="1" x14ac:dyDescent="0.4">
      <c r="G7201" s="27">
        <f t="shared" si="124"/>
        <v>0</v>
      </c>
      <c r="H7201" s="28" t="e">
        <f>VLOOKUP(E7201,'Cadastro Produtos (kiwkiw)'!C:E,3,0)</f>
        <v>#N/A</v>
      </c>
    </row>
    <row r="7202" spans="2:8" ht="15" customHeight="1" x14ac:dyDescent="0.4">
      <c r="G7202" s="27">
        <f t="shared" si="124"/>
        <v>0</v>
      </c>
      <c r="H7202" s="28" t="e">
        <f>VLOOKUP(E7202,'Cadastro Produtos (kiwkiw)'!C:E,3,0)</f>
        <v>#N/A</v>
      </c>
    </row>
    <row r="7203" spans="2:8" ht="15" customHeight="1" x14ac:dyDescent="0.4">
      <c r="G7203" s="27">
        <f t="shared" si="124"/>
        <v>0</v>
      </c>
      <c r="H7203" s="28" t="e">
        <f>VLOOKUP(E7203,'Cadastro Produtos (kiwkiw)'!C:E,3,0)</f>
        <v>#N/A</v>
      </c>
    </row>
    <row r="7204" spans="2:8" ht="15" customHeight="1" x14ac:dyDescent="0.4">
      <c r="G7204" s="27">
        <f t="shared" si="124"/>
        <v>0</v>
      </c>
      <c r="H7204" s="28" t="e">
        <f>VLOOKUP(E7204,'Cadastro Produtos (kiwkiw)'!C:E,3,0)</f>
        <v>#N/A</v>
      </c>
    </row>
    <row r="7205" spans="2:8" ht="15" customHeight="1" x14ac:dyDescent="0.4">
      <c r="G7205" s="27">
        <f t="shared" si="124"/>
        <v>0</v>
      </c>
      <c r="H7205" s="28" t="e">
        <f>VLOOKUP(E7205,'Cadastro Produtos (kiwkiw)'!C:E,3,0)</f>
        <v>#N/A</v>
      </c>
    </row>
    <row r="7206" spans="2:8" ht="15" customHeight="1" x14ac:dyDescent="0.4">
      <c r="G7206" s="27">
        <f t="shared" si="124"/>
        <v>0</v>
      </c>
      <c r="H7206" s="28" t="e">
        <f>VLOOKUP(E7206,'Cadastro Produtos (kiwkiw)'!C:E,3,0)</f>
        <v>#N/A</v>
      </c>
    </row>
    <row r="7207" spans="2:8" ht="15" customHeight="1" x14ac:dyDescent="0.4">
      <c r="G7207" s="27">
        <f t="shared" si="124"/>
        <v>0</v>
      </c>
      <c r="H7207" s="28" t="e">
        <f>VLOOKUP(E7207,'Cadastro Produtos (kiwkiw)'!C:E,3,0)</f>
        <v>#N/A</v>
      </c>
    </row>
    <row r="7208" spans="2:8" ht="15" customHeight="1" x14ac:dyDescent="0.4">
      <c r="G7208" s="27">
        <f t="shared" si="124"/>
        <v>0</v>
      </c>
      <c r="H7208" s="28" t="e">
        <f>VLOOKUP(E7208,'Cadastro Produtos (kiwkiw)'!C:E,3,0)</f>
        <v>#N/A</v>
      </c>
    </row>
    <row r="7209" spans="2:8" ht="15" customHeight="1" x14ac:dyDescent="0.4">
      <c r="G7209" s="27">
        <f t="shared" si="124"/>
        <v>0</v>
      </c>
      <c r="H7209" s="28" t="e">
        <f>VLOOKUP(E7209,'Cadastro Produtos (kiwkiw)'!C:E,3,0)</f>
        <v>#N/A</v>
      </c>
    </row>
    <row r="7210" spans="2:8" ht="15" customHeight="1" x14ac:dyDescent="0.4">
      <c r="G7210" s="27">
        <f t="shared" si="124"/>
        <v>0</v>
      </c>
      <c r="H7210" s="28" t="e">
        <f>VLOOKUP(E7210,'Cadastro Produtos (kiwkiw)'!C:E,3,0)</f>
        <v>#N/A</v>
      </c>
    </row>
    <row r="7211" spans="2:8" ht="15" customHeight="1" x14ac:dyDescent="0.4">
      <c r="G7211" s="27">
        <f t="shared" si="124"/>
        <v>0</v>
      </c>
      <c r="H7211" s="28" t="e">
        <f>VLOOKUP(E7211,'Cadastro Produtos (kiwkiw)'!C:E,3,0)</f>
        <v>#N/A</v>
      </c>
    </row>
    <row r="7212" spans="2:8" ht="15" customHeight="1" x14ac:dyDescent="0.4">
      <c r="G7212" s="27">
        <f t="shared" si="124"/>
        <v>0</v>
      </c>
      <c r="H7212" s="28" t="e">
        <f>VLOOKUP(E7212,'Cadastro Produtos (kiwkiw)'!C:E,3,0)</f>
        <v>#N/A</v>
      </c>
    </row>
    <row r="7213" spans="2:8" ht="15" customHeight="1" x14ac:dyDescent="0.4">
      <c r="B7213" s="43"/>
      <c r="G7213" s="27">
        <f t="shared" si="124"/>
        <v>0</v>
      </c>
      <c r="H7213" s="28" t="e">
        <f>VLOOKUP(E7213,'Cadastro Produtos (kiwkiw)'!C:E,3,0)</f>
        <v>#N/A</v>
      </c>
    </row>
    <row r="7214" spans="2:8" ht="15" customHeight="1" x14ac:dyDescent="0.4">
      <c r="B7214" s="43"/>
      <c r="G7214" s="27">
        <f t="shared" si="124"/>
        <v>0</v>
      </c>
      <c r="H7214" s="28" t="e">
        <f>VLOOKUP(E7214,'Cadastro Produtos (kiwkiw)'!C:E,3,0)</f>
        <v>#N/A</v>
      </c>
    </row>
    <row r="7215" spans="2:8" ht="15" customHeight="1" x14ac:dyDescent="0.4">
      <c r="G7215" s="27">
        <f t="shared" si="124"/>
        <v>0</v>
      </c>
      <c r="H7215" s="28" t="e">
        <f>VLOOKUP(E7215,'Cadastro Produtos (kiwkiw)'!C:E,3,0)</f>
        <v>#N/A</v>
      </c>
    </row>
    <row r="7216" spans="2:8" ht="15" customHeight="1" x14ac:dyDescent="0.4">
      <c r="G7216" s="27">
        <f t="shared" si="124"/>
        <v>0</v>
      </c>
      <c r="H7216" s="28" t="e">
        <f>VLOOKUP(E7216,'Cadastro Produtos (kiwkiw)'!C:E,3,0)</f>
        <v>#N/A</v>
      </c>
    </row>
    <row r="7217" spans="7:8" ht="15" customHeight="1" x14ac:dyDescent="0.4">
      <c r="G7217" s="27">
        <f t="shared" si="124"/>
        <v>0</v>
      </c>
      <c r="H7217" s="28" t="e">
        <f>VLOOKUP(E7217,'Cadastro Produtos (kiwkiw)'!C:E,3,0)</f>
        <v>#N/A</v>
      </c>
    </row>
    <row r="7218" spans="7:8" ht="15" customHeight="1" x14ac:dyDescent="0.4">
      <c r="G7218" s="27">
        <f t="shared" si="124"/>
        <v>0</v>
      </c>
      <c r="H7218" s="28" t="e">
        <f>VLOOKUP(E7218,'Cadastro Produtos (kiwkiw)'!C:E,3,0)</f>
        <v>#N/A</v>
      </c>
    </row>
    <row r="7219" spans="7:8" ht="15" customHeight="1" x14ac:dyDescent="0.4">
      <c r="G7219" s="27">
        <f t="shared" si="124"/>
        <v>0</v>
      </c>
      <c r="H7219" s="28" t="e">
        <f>VLOOKUP(E7219,'Cadastro Produtos (kiwkiw)'!C:E,3,0)</f>
        <v>#N/A</v>
      </c>
    </row>
    <row r="7220" spans="7:8" ht="15" customHeight="1" x14ac:dyDescent="0.4">
      <c r="G7220" s="27">
        <f t="shared" si="124"/>
        <v>0</v>
      </c>
      <c r="H7220" s="28" t="e">
        <f>VLOOKUP(E7220,'Cadastro Produtos (kiwkiw)'!C:E,3,0)</f>
        <v>#N/A</v>
      </c>
    </row>
    <row r="7221" spans="7:8" ht="15" customHeight="1" x14ac:dyDescent="0.4">
      <c r="G7221" s="27">
        <f t="shared" si="124"/>
        <v>0</v>
      </c>
      <c r="H7221" s="28" t="e">
        <f>VLOOKUP(E7221,'Cadastro Produtos (kiwkiw)'!C:E,3,0)</f>
        <v>#N/A</v>
      </c>
    </row>
    <row r="7222" spans="7:8" ht="15" customHeight="1" x14ac:dyDescent="0.4">
      <c r="G7222" s="27">
        <f t="shared" si="124"/>
        <v>0</v>
      </c>
      <c r="H7222" s="28" t="e">
        <f>VLOOKUP(E7222,'Cadastro Produtos (kiwkiw)'!C:E,3,0)</f>
        <v>#N/A</v>
      </c>
    </row>
    <row r="7223" spans="7:8" ht="15" customHeight="1" x14ac:dyDescent="0.4">
      <c r="G7223" s="27">
        <f t="shared" si="124"/>
        <v>0</v>
      </c>
      <c r="H7223" s="28" t="e">
        <f>VLOOKUP(E7223,'Cadastro Produtos (kiwkiw)'!C:E,3,0)</f>
        <v>#N/A</v>
      </c>
    </row>
    <row r="7224" spans="7:8" ht="15" customHeight="1" x14ac:dyDescent="0.4">
      <c r="G7224" s="27">
        <f t="shared" si="124"/>
        <v>0</v>
      </c>
      <c r="H7224" s="28" t="e">
        <f>VLOOKUP(E7224,'Cadastro Produtos (kiwkiw)'!C:E,3,0)</f>
        <v>#N/A</v>
      </c>
    </row>
    <row r="7225" spans="7:8" ht="15" customHeight="1" x14ac:dyDescent="0.4">
      <c r="G7225" s="27">
        <f t="shared" si="124"/>
        <v>0</v>
      </c>
      <c r="H7225" s="28" t="e">
        <f>VLOOKUP(E7225,'Cadastro Produtos (kiwkiw)'!C:E,3,0)</f>
        <v>#N/A</v>
      </c>
    </row>
    <row r="7226" spans="7:8" ht="15" customHeight="1" x14ac:dyDescent="0.4">
      <c r="G7226" s="27">
        <f t="shared" si="124"/>
        <v>0</v>
      </c>
      <c r="H7226" s="28" t="e">
        <f>VLOOKUP(E7226,'Cadastro Produtos (kiwkiw)'!C:E,3,0)</f>
        <v>#N/A</v>
      </c>
    </row>
    <row r="7227" spans="7:8" ht="15" customHeight="1" x14ac:dyDescent="0.4">
      <c r="G7227" s="27">
        <f t="shared" si="124"/>
        <v>0</v>
      </c>
      <c r="H7227" s="28" t="e">
        <f>VLOOKUP(E7227,'Cadastro Produtos (kiwkiw)'!C:E,3,0)</f>
        <v>#N/A</v>
      </c>
    </row>
    <row r="7228" spans="7:8" ht="15" customHeight="1" x14ac:dyDescent="0.4">
      <c r="G7228" s="27">
        <f t="shared" si="124"/>
        <v>0</v>
      </c>
      <c r="H7228" s="28" t="e">
        <f>VLOOKUP(E7228,'Cadastro Produtos (kiwkiw)'!C:E,3,0)</f>
        <v>#N/A</v>
      </c>
    </row>
    <row r="7229" spans="7:8" ht="15" customHeight="1" x14ac:dyDescent="0.4">
      <c r="G7229" s="27">
        <f t="shared" si="124"/>
        <v>0</v>
      </c>
      <c r="H7229" s="28" t="e">
        <f>VLOOKUP(E7229,'Cadastro Produtos (kiwkiw)'!C:E,3,0)</f>
        <v>#N/A</v>
      </c>
    </row>
    <row r="7230" spans="7:8" ht="15" customHeight="1" x14ac:dyDescent="0.4">
      <c r="G7230" s="27">
        <f t="shared" si="124"/>
        <v>0</v>
      </c>
      <c r="H7230" s="28" t="e">
        <f>VLOOKUP(E7230,'Cadastro Produtos (kiwkiw)'!C:E,3,0)</f>
        <v>#N/A</v>
      </c>
    </row>
    <row r="7231" spans="7:8" ht="15" customHeight="1" x14ac:dyDescent="0.4">
      <c r="G7231" s="27">
        <f t="shared" si="124"/>
        <v>0</v>
      </c>
      <c r="H7231" s="28" t="e">
        <f>VLOOKUP(E7231,'Cadastro Produtos (kiwkiw)'!C:E,3,0)</f>
        <v>#N/A</v>
      </c>
    </row>
    <row r="7232" spans="7:8" ht="15" customHeight="1" x14ac:dyDescent="0.4">
      <c r="G7232" s="27">
        <f t="shared" si="124"/>
        <v>0</v>
      </c>
      <c r="H7232" s="28" t="e">
        <f>VLOOKUP(E7232,'Cadastro Produtos (kiwkiw)'!C:E,3,0)</f>
        <v>#N/A</v>
      </c>
    </row>
    <row r="7233" spans="7:8" ht="15" customHeight="1" x14ac:dyDescent="0.4">
      <c r="G7233" s="27">
        <f t="shared" si="124"/>
        <v>0</v>
      </c>
      <c r="H7233" s="28" t="e">
        <f>VLOOKUP(E7233,'Cadastro Produtos (kiwkiw)'!C:E,3,0)</f>
        <v>#N/A</v>
      </c>
    </row>
    <row r="7234" spans="7:8" ht="15" customHeight="1" x14ac:dyDescent="0.4">
      <c r="G7234" s="27">
        <f t="shared" si="124"/>
        <v>0</v>
      </c>
      <c r="H7234" s="28" t="e">
        <f>VLOOKUP(E7234,'Cadastro Produtos (kiwkiw)'!C:E,3,0)</f>
        <v>#N/A</v>
      </c>
    </row>
    <row r="7235" spans="7:8" ht="15" customHeight="1" x14ac:dyDescent="0.4">
      <c r="G7235" s="27">
        <f t="shared" si="124"/>
        <v>0</v>
      </c>
      <c r="H7235" s="28" t="e">
        <f>VLOOKUP(E7235,'Cadastro Produtos (kiwkiw)'!C:E,3,0)</f>
        <v>#N/A</v>
      </c>
    </row>
    <row r="7236" spans="7:8" ht="15" customHeight="1" x14ac:dyDescent="0.4">
      <c r="G7236" s="27">
        <f t="shared" si="124"/>
        <v>0</v>
      </c>
      <c r="H7236" s="28" t="e">
        <f>VLOOKUP(E7236,'Cadastro Produtos (kiwkiw)'!C:E,3,0)</f>
        <v>#N/A</v>
      </c>
    </row>
    <row r="7237" spans="7:8" ht="15" customHeight="1" x14ac:dyDescent="0.4">
      <c r="G7237" s="27">
        <f t="shared" si="124"/>
        <v>0</v>
      </c>
      <c r="H7237" s="28" t="e">
        <f>VLOOKUP(E7237,'Cadastro Produtos (kiwkiw)'!C:E,3,0)</f>
        <v>#N/A</v>
      </c>
    </row>
    <row r="7238" spans="7:8" ht="15" customHeight="1" x14ac:dyDescent="0.4">
      <c r="G7238" s="27">
        <f t="shared" si="124"/>
        <v>0</v>
      </c>
      <c r="H7238" s="28" t="e">
        <f>VLOOKUP(E7238,'Cadastro Produtos (kiwkiw)'!C:E,3,0)</f>
        <v>#N/A</v>
      </c>
    </row>
    <row r="7239" spans="7:8" ht="15" customHeight="1" x14ac:dyDescent="0.4">
      <c r="G7239" s="27">
        <f t="shared" si="124"/>
        <v>0</v>
      </c>
      <c r="H7239" s="28" t="e">
        <f>VLOOKUP(E7239,'Cadastro Produtos (kiwkiw)'!C:E,3,0)</f>
        <v>#N/A</v>
      </c>
    </row>
    <row r="7240" spans="7:8" ht="15" customHeight="1" x14ac:dyDescent="0.4">
      <c r="G7240" s="27">
        <f t="shared" si="124"/>
        <v>0</v>
      </c>
      <c r="H7240" s="28" t="e">
        <f>VLOOKUP(E7240,'Cadastro Produtos (kiwkiw)'!C:E,3,0)</f>
        <v>#N/A</v>
      </c>
    </row>
    <row r="7241" spans="7:8" ht="15" customHeight="1" x14ac:dyDescent="0.4">
      <c r="G7241" s="27">
        <f t="shared" si="124"/>
        <v>0</v>
      </c>
      <c r="H7241" s="28" t="e">
        <f>VLOOKUP(E7241,'Cadastro Produtos (kiwkiw)'!C:E,3,0)</f>
        <v>#N/A</v>
      </c>
    </row>
    <row r="7242" spans="7:8" ht="15" customHeight="1" x14ac:dyDescent="0.4">
      <c r="G7242" s="27">
        <f t="shared" si="124"/>
        <v>0</v>
      </c>
      <c r="H7242" s="28" t="e">
        <f>VLOOKUP(E7242,'Cadastro Produtos (kiwkiw)'!C:E,3,0)</f>
        <v>#N/A</v>
      </c>
    </row>
    <row r="7243" spans="7:8" ht="15" customHeight="1" x14ac:dyDescent="0.4">
      <c r="G7243" s="27">
        <f t="shared" si="124"/>
        <v>0</v>
      </c>
      <c r="H7243" s="28" t="e">
        <f>VLOOKUP(E7243,'Cadastro Produtos (kiwkiw)'!C:E,3,0)</f>
        <v>#N/A</v>
      </c>
    </row>
    <row r="7244" spans="7:8" ht="15" customHeight="1" x14ac:dyDescent="0.4">
      <c r="G7244" s="27">
        <f t="shared" si="124"/>
        <v>0</v>
      </c>
      <c r="H7244" s="28" t="e">
        <f>VLOOKUP(E7244,'Cadastro Produtos (kiwkiw)'!C:E,3,0)</f>
        <v>#N/A</v>
      </c>
    </row>
    <row r="7245" spans="7:8" ht="15" customHeight="1" x14ac:dyDescent="0.4">
      <c r="G7245" s="27">
        <f t="shared" si="124"/>
        <v>0</v>
      </c>
      <c r="H7245" s="28" t="e">
        <f>VLOOKUP(E7245,'Cadastro Produtos (kiwkiw)'!C:E,3,0)</f>
        <v>#N/A</v>
      </c>
    </row>
    <row r="7246" spans="7:8" ht="15" customHeight="1" x14ac:dyDescent="0.4">
      <c r="G7246" s="27">
        <f t="shared" si="124"/>
        <v>0</v>
      </c>
      <c r="H7246" s="28" t="e">
        <f>VLOOKUP(E7246,'Cadastro Produtos (kiwkiw)'!C:E,3,0)</f>
        <v>#N/A</v>
      </c>
    </row>
    <row r="7247" spans="7:8" ht="15" customHeight="1" x14ac:dyDescent="0.4">
      <c r="G7247" s="27">
        <f t="shared" si="124"/>
        <v>0</v>
      </c>
      <c r="H7247" s="28" t="e">
        <f>VLOOKUP(E7247,'Cadastro Produtos (kiwkiw)'!C:E,3,0)</f>
        <v>#N/A</v>
      </c>
    </row>
    <row r="7248" spans="7:8" ht="15" customHeight="1" x14ac:dyDescent="0.4">
      <c r="G7248" s="27">
        <f t="shared" si="124"/>
        <v>0</v>
      </c>
      <c r="H7248" s="28" t="e">
        <f>VLOOKUP(E7248,'Cadastro Produtos (kiwkiw)'!C:E,3,0)</f>
        <v>#N/A</v>
      </c>
    </row>
    <row r="7249" spans="7:8" ht="15" customHeight="1" x14ac:dyDescent="0.4">
      <c r="G7249" s="27">
        <f t="shared" si="124"/>
        <v>0</v>
      </c>
      <c r="H7249" s="28" t="e">
        <f>VLOOKUP(E7249,'Cadastro Produtos (kiwkiw)'!C:E,3,0)</f>
        <v>#N/A</v>
      </c>
    </row>
    <row r="7250" spans="7:8" ht="15" customHeight="1" x14ac:dyDescent="0.4">
      <c r="G7250" s="27">
        <f t="shared" ref="G7250:G7313" si="125">IF(C7250="Entrada",F7250,-F7250)</f>
        <v>0</v>
      </c>
      <c r="H7250" s="28" t="e">
        <f>VLOOKUP(E7250,'Cadastro Produtos (kiwkiw)'!C:E,3,0)</f>
        <v>#N/A</v>
      </c>
    </row>
    <row r="7251" spans="7:8" ht="15" customHeight="1" x14ac:dyDescent="0.4">
      <c r="G7251" s="27">
        <f t="shared" si="125"/>
        <v>0</v>
      </c>
      <c r="H7251" s="28" t="e">
        <f>VLOOKUP(E7251,'Cadastro Produtos (kiwkiw)'!C:E,3,0)</f>
        <v>#N/A</v>
      </c>
    </row>
    <row r="7252" spans="7:8" ht="15" customHeight="1" x14ac:dyDescent="0.4">
      <c r="G7252" s="27">
        <f t="shared" si="125"/>
        <v>0</v>
      </c>
      <c r="H7252" s="28" t="e">
        <f>VLOOKUP(E7252,'Cadastro Produtos (kiwkiw)'!C:E,3,0)</f>
        <v>#N/A</v>
      </c>
    </row>
    <row r="7253" spans="7:8" ht="15" customHeight="1" x14ac:dyDescent="0.4">
      <c r="G7253" s="27">
        <f t="shared" si="125"/>
        <v>0</v>
      </c>
      <c r="H7253" s="28" t="e">
        <f>VLOOKUP(E7253,'Cadastro Produtos (kiwkiw)'!C:E,3,0)</f>
        <v>#N/A</v>
      </c>
    </row>
    <row r="7254" spans="7:8" ht="15" customHeight="1" x14ac:dyDescent="0.4">
      <c r="G7254" s="27">
        <f t="shared" si="125"/>
        <v>0</v>
      </c>
      <c r="H7254" s="28" t="e">
        <f>VLOOKUP(E7254,'Cadastro Produtos (kiwkiw)'!C:E,3,0)</f>
        <v>#N/A</v>
      </c>
    </row>
    <row r="7255" spans="7:8" ht="15" customHeight="1" x14ac:dyDescent="0.4">
      <c r="G7255" s="27">
        <f t="shared" si="125"/>
        <v>0</v>
      </c>
      <c r="H7255" s="28" t="e">
        <f>VLOOKUP(E7255,'Cadastro Produtos (kiwkiw)'!C:E,3,0)</f>
        <v>#N/A</v>
      </c>
    </row>
    <row r="7256" spans="7:8" ht="15" customHeight="1" x14ac:dyDescent="0.4">
      <c r="G7256" s="27">
        <f t="shared" si="125"/>
        <v>0</v>
      </c>
      <c r="H7256" s="28" t="e">
        <f>VLOOKUP(E7256,'Cadastro Produtos (kiwkiw)'!C:E,3,0)</f>
        <v>#N/A</v>
      </c>
    </row>
    <row r="7257" spans="7:8" ht="15" customHeight="1" x14ac:dyDescent="0.4">
      <c r="G7257" s="27">
        <f t="shared" si="125"/>
        <v>0</v>
      </c>
      <c r="H7257" s="28" t="e">
        <f>VLOOKUP(E7257,'Cadastro Produtos (kiwkiw)'!C:E,3,0)</f>
        <v>#N/A</v>
      </c>
    </row>
    <row r="7258" spans="7:8" ht="15" customHeight="1" x14ac:dyDescent="0.4">
      <c r="G7258" s="27">
        <f t="shared" si="125"/>
        <v>0</v>
      </c>
      <c r="H7258" s="28" t="e">
        <f>VLOOKUP(E7258,'Cadastro Produtos (kiwkiw)'!C:E,3,0)</f>
        <v>#N/A</v>
      </c>
    </row>
    <row r="7259" spans="7:8" ht="15" customHeight="1" x14ac:dyDescent="0.4">
      <c r="G7259" s="27">
        <f t="shared" si="125"/>
        <v>0</v>
      </c>
      <c r="H7259" s="28" t="e">
        <f>VLOOKUP(E7259,'Cadastro Produtos (kiwkiw)'!C:E,3,0)</f>
        <v>#N/A</v>
      </c>
    </row>
    <row r="7260" spans="7:8" ht="15" customHeight="1" x14ac:dyDescent="0.4">
      <c r="G7260" s="27">
        <f t="shared" si="125"/>
        <v>0</v>
      </c>
      <c r="H7260" s="28" t="e">
        <f>VLOOKUP(E7260,'Cadastro Produtos (kiwkiw)'!C:E,3,0)</f>
        <v>#N/A</v>
      </c>
    </row>
    <row r="7261" spans="7:8" ht="15" customHeight="1" x14ac:dyDescent="0.4">
      <c r="G7261" s="27">
        <f t="shared" si="125"/>
        <v>0</v>
      </c>
      <c r="H7261" s="28" t="e">
        <f>VLOOKUP(E7261,'Cadastro Produtos (kiwkiw)'!C:E,3,0)</f>
        <v>#N/A</v>
      </c>
    </row>
    <row r="7262" spans="7:8" ht="15" customHeight="1" x14ac:dyDescent="0.4">
      <c r="G7262" s="27">
        <f t="shared" si="125"/>
        <v>0</v>
      </c>
      <c r="H7262" s="28" t="e">
        <f>VLOOKUP(E7262,'Cadastro Produtos (kiwkiw)'!C:E,3,0)</f>
        <v>#N/A</v>
      </c>
    </row>
    <row r="7263" spans="7:8" ht="15" customHeight="1" x14ac:dyDescent="0.4">
      <c r="G7263" s="27">
        <f t="shared" si="125"/>
        <v>0</v>
      </c>
      <c r="H7263" s="28" t="e">
        <f>VLOOKUP(E7263,'Cadastro Produtos (kiwkiw)'!C:E,3,0)</f>
        <v>#N/A</v>
      </c>
    </row>
    <row r="7264" spans="7:8" ht="15" customHeight="1" x14ac:dyDescent="0.4">
      <c r="G7264" s="27">
        <f t="shared" si="125"/>
        <v>0</v>
      </c>
      <c r="H7264" s="28" t="e">
        <f>VLOOKUP(E7264,'Cadastro Produtos (kiwkiw)'!C:E,3,0)</f>
        <v>#N/A</v>
      </c>
    </row>
    <row r="7265" spans="7:8" ht="15" customHeight="1" x14ac:dyDescent="0.4">
      <c r="G7265" s="27">
        <f t="shared" si="125"/>
        <v>0</v>
      </c>
      <c r="H7265" s="28" t="e">
        <f>VLOOKUP(E7265,'Cadastro Produtos (kiwkiw)'!C:E,3,0)</f>
        <v>#N/A</v>
      </c>
    </row>
    <row r="7266" spans="7:8" ht="15" customHeight="1" x14ac:dyDescent="0.4">
      <c r="G7266" s="27">
        <f t="shared" si="125"/>
        <v>0</v>
      </c>
      <c r="H7266" s="28" t="e">
        <f>VLOOKUP(E7266,'Cadastro Produtos (kiwkiw)'!C:E,3,0)</f>
        <v>#N/A</v>
      </c>
    </row>
    <row r="7267" spans="7:8" ht="15" customHeight="1" x14ac:dyDescent="0.4">
      <c r="G7267" s="27">
        <f t="shared" si="125"/>
        <v>0</v>
      </c>
      <c r="H7267" s="28" t="e">
        <f>VLOOKUP(E7267,'Cadastro Produtos (kiwkiw)'!C:E,3,0)</f>
        <v>#N/A</v>
      </c>
    </row>
    <row r="7268" spans="7:8" ht="15" customHeight="1" x14ac:dyDescent="0.4">
      <c r="G7268" s="27">
        <f t="shared" si="125"/>
        <v>0</v>
      </c>
      <c r="H7268" s="28" t="e">
        <f>VLOOKUP(E7268,'Cadastro Produtos (kiwkiw)'!C:E,3,0)</f>
        <v>#N/A</v>
      </c>
    </row>
    <row r="7269" spans="7:8" ht="15" customHeight="1" x14ac:dyDescent="0.4">
      <c r="G7269" s="27">
        <f t="shared" si="125"/>
        <v>0</v>
      </c>
      <c r="H7269" s="28" t="e">
        <f>VLOOKUP(E7269,'Cadastro Produtos (kiwkiw)'!C:E,3,0)</f>
        <v>#N/A</v>
      </c>
    </row>
    <row r="7270" spans="7:8" ht="15" customHeight="1" x14ac:dyDescent="0.4">
      <c r="G7270" s="27">
        <f t="shared" si="125"/>
        <v>0</v>
      </c>
      <c r="H7270" s="28" t="e">
        <f>VLOOKUP(E7270,'Cadastro Produtos (kiwkiw)'!C:E,3,0)</f>
        <v>#N/A</v>
      </c>
    </row>
    <row r="7271" spans="7:8" ht="15" customHeight="1" x14ac:dyDescent="0.4">
      <c r="G7271" s="27">
        <f t="shared" si="125"/>
        <v>0</v>
      </c>
      <c r="H7271" s="28" t="e">
        <f>VLOOKUP(E7271,'Cadastro Produtos (kiwkiw)'!C:E,3,0)</f>
        <v>#N/A</v>
      </c>
    </row>
    <row r="7272" spans="7:8" ht="15" customHeight="1" x14ac:dyDescent="0.4">
      <c r="G7272" s="27">
        <f t="shared" si="125"/>
        <v>0</v>
      </c>
      <c r="H7272" s="28" t="e">
        <f>VLOOKUP(E7272,'Cadastro Produtos (kiwkiw)'!C:E,3,0)</f>
        <v>#N/A</v>
      </c>
    </row>
    <row r="7273" spans="7:8" ht="15" customHeight="1" x14ac:dyDescent="0.4">
      <c r="G7273" s="27">
        <f t="shared" si="125"/>
        <v>0</v>
      </c>
      <c r="H7273" s="28" t="e">
        <f>VLOOKUP(E7273,'Cadastro Produtos (kiwkiw)'!C:E,3,0)</f>
        <v>#N/A</v>
      </c>
    </row>
    <row r="7274" spans="7:8" ht="15" customHeight="1" x14ac:dyDescent="0.4">
      <c r="G7274" s="27">
        <f t="shared" si="125"/>
        <v>0</v>
      </c>
      <c r="H7274" s="28" t="e">
        <f>VLOOKUP(E7274,'Cadastro Produtos (kiwkiw)'!C:E,3,0)</f>
        <v>#N/A</v>
      </c>
    </row>
    <row r="7275" spans="7:8" ht="15" customHeight="1" x14ac:dyDescent="0.4">
      <c r="G7275" s="27">
        <f t="shared" si="125"/>
        <v>0</v>
      </c>
      <c r="H7275" s="28" t="e">
        <f>VLOOKUP(E7275,'Cadastro Produtos (kiwkiw)'!C:E,3,0)</f>
        <v>#N/A</v>
      </c>
    </row>
    <row r="7276" spans="7:8" ht="15" customHeight="1" x14ac:dyDescent="0.4">
      <c r="G7276" s="27">
        <f t="shared" si="125"/>
        <v>0</v>
      </c>
      <c r="H7276" s="28" t="e">
        <f>VLOOKUP(E7276,'Cadastro Produtos (kiwkiw)'!C:E,3,0)</f>
        <v>#N/A</v>
      </c>
    </row>
    <row r="7277" spans="7:8" ht="15" customHeight="1" x14ac:dyDescent="0.4">
      <c r="G7277" s="27">
        <f t="shared" si="125"/>
        <v>0</v>
      </c>
      <c r="H7277" s="28" t="e">
        <f>VLOOKUP(E7277,'Cadastro Produtos (kiwkiw)'!C:E,3,0)</f>
        <v>#N/A</v>
      </c>
    </row>
    <row r="7278" spans="7:8" ht="15" customHeight="1" x14ac:dyDescent="0.4">
      <c r="G7278" s="27">
        <f t="shared" si="125"/>
        <v>0</v>
      </c>
      <c r="H7278" s="28" t="e">
        <f>VLOOKUP(E7278,'Cadastro Produtos (kiwkiw)'!C:E,3,0)</f>
        <v>#N/A</v>
      </c>
    </row>
    <row r="7279" spans="7:8" ht="15" customHeight="1" x14ac:dyDescent="0.4">
      <c r="G7279" s="27">
        <f t="shared" si="125"/>
        <v>0</v>
      </c>
      <c r="H7279" s="28" t="e">
        <f>VLOOKUP(E7279,'Cadastro Produtos (kiwkiw)'!C:E,3,0)</f>
        <v>#N/A</v>
      </c>
    </row>
    <row r="7280" spans="7:8" ht="15" customHeight="1" x14ac:dyDescent="0.4">
      <c r="G7280" s="27">
        <f t="shared" si="125"/>
        <v>0</v>
      </c>
      <c r="H7280" s="28" t="e">
        <f>VLOOKUP(E7280,'Cadastro Produtos (kiwkiw)'!C:E,3,0)</f>
        <v>#N/A</v>
      </c>
    </row>
    <row r="7281" spans="2:8" ht="15" customHeight="1" x14ac:dyDescent="0.4">
      <c r="G7281" s="27">
        <f t="shared" si="125"/>
        <v>0</v>
      </c>
      <c r="H7281" s="28" t="e">
        <f>VLOOKUP(E7281,'Cadastro Produtos (kiwkiw)'!C:E,3,0)</f>
        <v>#N/A</v>
      </c>
    </row>
    <row r="7282" spans="2:8" ht="15" customHeight="1" x14ac:dyDescent="0.4">
      <c r="B7282" s="43"/>
      <c r="G7282" s="27">
        <f t="shared" si="125"/>
        <v>0</v>
      </c>
      <c r="H7282" s="28" t="e">
        <f>VLOOKUP(E7282,'Cadastro Produtos (kiwkiw)'!C:E,3,0)</f>
        <v>#N/A</v>
      </c>
    </row>
    <row r="7283" spans="2:8" ht="15" customHeight="1" x14ac:dyDescent="0.4">
      <c r="G7283" s="27">
        <f t="shared" si="125"/>
        <v>0</v>
      </c>
      <c r="H7283" s="28" t="e">
        <f>VLOOKUP(E7283,'Cadastro Produtos (kiwkiw)'!C:E,3,0)</f>
        <v>#N/A</v>
      </c>
    </row>
    <row r="7284" spans="2:8" ht="15" customHeight="1" x14ac:dyDescent="0.4">
      <c r="G7284" s="27">
        <f t="shared" si="125"/>
        <v>0</v>
      </c>
      <c r="H7284" s="28" t="e">
        <f>VLOOKUP(E7284,'Cadastro Produtos (kiwkiw)'!C:E,3,0)</f>
        <v>#N/A</v>
      </c>
    </row>
    <row r="7285" spans="2:8" ht="15" customHeight="1" x14ac:dyDescent="0.4">
      <c r="G7285" s="27">
        <f t="shared" si="125"/>
        <v>0</v>
      </c>
      <c r="H7285" s="28" t="e">
        <f>VLOOKUP(E7285,'Cadastro Produtos (kiwkiw)'!C:E,3,0)</f>
        <v>#N/A</v>
      </c>
    </row>
    <row r="7286" spans="2:8" ht="15" customHeight="1" x14ac:dyDescent="0.4">
      <c r="G7286" s="27">
        <f t="shared" si="125"/>
        <v>0</v>
      </c>
      <c r="H7286" s="28" t="e">
        <f>VLOOKUP(E7286,'Cadastro Produtos (kiwkiw)'!C:E,3,0)</f>
        <v>#N/A</v>
      </c>
    </row>
    <row r="7287" spans="2:8" ht="15" customHeight="1" x14ac:dyDescent="0.4">
      <c r="G7287" s="27">
        <f t="shared" si="125"/>
        <v>0</v>
      </c>
      <c r="H7287" s="28" t="e">
        <f>VLOOKUP(E7287,'Cadastro Produtos (kiwkiw)'!C:E,3,0)</f>
        <v>#N/A</v>
      </c>
    </row>
    <row r="7288" spans="2:8" ht="15" customHeight="1" x14ac:dyDescent="0.4">
      <c r="G7288" s="27">
        <f t="shared" si="125"/>
        <v>0</v>
      </c>
      <c r="H7288" s="28" t="e">
        <f>VLOOKUP(E7288,'Cadastro Produtos (kiwkiw)'!C:E,3,0)</f>
        <v>#N/A</v>
      </c>
    </row>
    <row r="7289" spans="2:8" ht="15" customHeight="1" x14ac:dyDescent="0.4">
      <c r="G7289" s="27">
        <f t="shared" si="125"/>
        <v>0</v>
      </c>
      <c r="H7289" s="28" t="e">
        <f>VLOOKUP(E7289,'Cadastro Produtos (kiwkiw)'!C:E,3,0)</f>
        <v>#N/A</v>
      </c>
    </row>
    <row r="7290" spans="2:8" ht="15" customHeight="1" x14ac:dyDescent="0.4">
      <c r="G7290" s="27">
        <f t="shared" si="125"/>
        <v>0</v>
      </c>
      <c r="H7290" s="28" t="e">
        <f>VLOOKUP(E7290,'Cadastro Produtos (kiwkiw)'!C:E,3,0)</f>
        <v>#N/A</v>
      </c>
    </row>
    <row r="7291" spans="2:8" ht="15" customHeight="1" x14ac:dyDescent="0.4">
      <c r="G7291" s="27">
        <f t="shared" si="125"/>
        <v>0</v>
      </c>
      <c r="H7291" s="28" t="e">
        <f>VLOOKUP(E7291,'Cadastro Produtos (kiwkiw)'!C:E,3,0)</f>
        <v>#N/A</v>
      </c>
    </row>
    <row r="7292" spans="2:8" ht="15" customHeight="1" x14ac:dyDescent="0.4">
      <c r="G7292" s="27">
        <f t="shared" si="125"/>
        <v>0</v>
      </c>
      <c r="H7292" s="28" t="e">
        <f>VLOOKUP(E7292,'Cadastro Produtos (kiwkiw)'!C:E,3,0)</f>
        <v>#N/A</v>
      </c>
    </row>
    <row r="7293" spans="2:8" ht="15" customHeight="1" x14ac:dyDescent="0.4">
      <c r="G7293" s="27">
        <f t="shared" si="125"/>
        <v>0</v>
      </c>
      <c r="H7293" s="28" t="e">
        <f>VLOOKUP(E7293,'Cadastro Produtos (kiwkiw)'!C:E,3,0)</f>
        <v>#N/A</v>
      </c>
    </row>
    <row r="7294" spans="2:8" ht="15" customHeight="1" x14ac:dyDescent="0.4">
      <c r="G7294" s="27">
        <f t="shared" si="125"/>
        <v>0</v>
      </c>
      <c r="H7294" s="28" t="e">
        <f>VLOOKUP(E7294,'Cadastro Produtos (kiwkiw)'!C:E,3,0)</f>
        <v>#N/A</v>
      </c>
    </row>
    <row r="7295" spans="2:8" ht="15" customHeight="1" x14ac:dyDescent="0.4">
      <c r="G7295" s="27">
        <f t="shared" si="125"/>
        <v>0</v>
      </c>
      <c r="H7295" s="28" t="e">
        <f>VLOOKUP(E7295,'Cadastro Produtos (kiwkiw)'!C:E,3,0)</f>
        <v>#N/A</v>
      </c>
    </row>
    <row r="7296" spans="2:8" ht="15" customHeight="1" x14ac:dyDescent="0.4">
      <c r="G7296" s="27">
        <f t="shared" si="125"/>
        <v>0</v>
      </c>
      <c r="H7296" s="28" t="e">
        <f>VLOOKUP(E7296,'Cadastro Produtos (kiwkiw)'!C:E,3,0)</f>
        <v>#N/A</v>
      </c>
    </row>
    <row r="7297" spans="7:8" ht="15" customHeight="1" x14ac:dyDescent="0.4">
      <c r="G7297" s="27">
        <f t="shared" si="125"/>
        <v>0</v>
      </c>
      <c r="H7297" s="28" t="e">
        <f>VLOOKUP(E7297,'Cadastro Produtos (kiwkiw)'!C:E,3,0)</f>
        <v>#N/A</v>
      </c>
    </row>
    <row r="7298" spans="7:8" ht="15" customHeight="1" x14ac:dyDescent="0.4">
      <c r="G7298" s="27">
        <f t="shared" si="125"/>
        <v>0</v>
      </c>
      <c r="H7298" s="28" t="e">
        <f>VLOOKUP(E7298,'Cadastro Produtos (kiwkiw)'!C:E,3,0)</f>
        <v>#N/A</v>
      </c>
    </row>
    <row r="7299" spans="7:8" ht="15" customHeight="1" x14ac:dyDescent="0.4">
      <c r="G7299" s="27">
        <f t="shared" si="125"/>
        <v>0</v>
      </c>
      <c r="H7299" s="28" t="e">
        <f>VLOOKUP(E7299,'Cadastro Produtos (kiwkiw)'!C:E,3,0)</f>
        <v>#N/A</v>
      </c>
    </row>
    <row r="7300" spans="7:8" ht="15" customHeight="1" x14ac:dyDescent="0.4">
      <c r="G7300" s="27">
        <f t="shared" si="125"/>
        <v>0</v>
      </c>
      <c r="H7300" s="28" t="e">
        <f>VLOOKUP(E7300,'Cadastro Produtos (kiwkiw)'!C:E,3,0)</f>
        <v>#N/A</v>
      </c>
    </row>
    <row r="7301" spans="7:8" ht="15" customHeight="1" x14ac:dyDescent="0.4">
      <c r="G7301" s="27">
        <f t="shared" si="125"/>
        <v>0</v>
      </c>
      <c r="H7301" s="28" t="e">
        <f>VLOOKUP(E7301,'Cadastro Produtos (kiwkiw)'!C:E,3,0)</f>
        <v>#N/A</v>
      </c>
    </row>
    <row r="7302" spans="7:8" ht="15" customHeight="1" x14ac:dyDescent="0.4">
      <c r="G7302" s="27">
        <f t="shared" si="125"/>
        <v>0</v>
      </c>
      <c r="H7302" s="28" t="e">
        <f>VLOOKUP(E7302,'Cadastro Produtos (kiwkiw)'!C:E,3,0)</f>
        <v>#N/A</v>
      </c>
    </row>
    <row r="7303" spans="7:8" ht="15" customHeight="1" x14ac:dyDescent="0.4">
      <c r="G7303" s="27">
        <f t="shared" si="125"/>
        <v>0</v>
      </c>
      <c r="H7303" s="28" t="e">
        <f>VLOOKUP(E7303,'Cadastro Produtos (kiwkiw)'!C:E,3,0)</f>
        <v>#N/A</v>
      </c>
    </row>
    <row r="7304" spans="7:8" ht="15" customHeight="1" x14ac:dyDescent="0.4">
      <c r="G7304" s="27">
        <f t="shared" si="125"/>
        <v>0</v>
      </c>
      <c r="H7304" s="28" t="e">
        <f>VLOOKUP(E7304,'Cadastro Produtos (kiwkiw)'!C:E,3,0)</f>
        <v>#N/A</v>
      </c>
    </row>
    <row r="7305" spans="7:8" ht="15" customHeight="1" x14ac:dyDescent="0.4">
      <c r="G7305" s="27">
        <f t="shared" si="125"/>
        <v>0</v>
      </c>
      <c r="H7305" s="28" t="e">
        <f>VLOOKUP(E7305,'Cadastro Produtos (kiwkiw)'!C:E,3,0)</f>
        <v>#N/A</v>
      </c>
    </row>
    <row r="7306" spans="7:8" ht="15" customHeight="1" x14ac:dyDescent="0.4">
      <c r="G7306" s="27">
        <f t="shared" si="125"/>
        <v>0</v>
      </c>
      <c r="H7306" s="28" t="e">
        <f>VLOOKUP(E7306,'Cadastro Produtos (kiwkiw)'!C:E,3,0)</f>
        <v>#N/A</v>
      </c>
    </row>
    <row r="7307" spans="7:8" ht="15" customHeight="1" x14ac:dyDescent="0.4">
      <c r="G7307" s="27">
        <f t="shared" si="125"/>
        <v>0</v>
      </c>
      <c r="H7307" s="28" t="e">
        <f>VLOOKUP(E7307,'Cadastro Produtos (kiwkiw)'!C:E,3,0)</f>
        <v>#N/A</v>
      </c>
    </row>
    <row r="7308" spans="7:8" ht="15" customHeight="1" x14ac:dyDescent="0.4">
      <c r="G7308" s="27">
        <f t="shared" si="125"/>
        <v>0</v>
      </c>
      <c r="H7308" s="28" t="e">
        <f>VLOOKUP(E7308,'Cadastro Produtos (kiwkiw)'!C:E,3,0)</f>
        <v>#N/A</v>
      </c>
    </row>
    <row r="7309" spans="7:8" ht="15" customHeight="1" x14ac:dyDescent="0.4">
      <c r="G7309" s="27">
        <f t="shared" si="125"/>
        <v>0</v>
      </c>
      <c r="H7309" s="28" t="e">
        <f>VLOOKUP(E7309,'Cadastro Produtos (kiwkiw)'!C:E,3,0)</f>
        <v>#N/A</v>
      </c>
    </row>
    <row r="7310" spans="7:8" ht="15" customHeight="1" x14ac:dyDescent="0.4">
      <c r="G7310" s="27">
        <f t="shared" si="125"/>
        <v>0</v>
      </c>
      <c r="H7310" s="28" t="e">
        <f>VLOOKUP(E7310,'Cadastro Produtos (kiwkiw)'!C:E,3,0)</f>
        <v>#N/A</v>
      </c>
    </row>
    <row r="7311" spans="7:8" ht="15" customHeight="1" x14ac:dyDescent="0.4">
      <c r="G7311" s="27">
        <f t="shared" si="125"/>
        <v>0</v>
      </c>
      <c r="H7311" s="28" t="e">
        <f>VLOOKUP(E7311,'Cadastro Produtos (kiwkiw)'!C:E,3,0)</f>
        <v>#N/A</v>
      </c>
    </row>
    <row r="7312" spans="7:8" ht="15" customHeight="1" x14ac:dyDescent="0.4">
      <c r="G7312" s="27">
        <f t="shared" si="125"/>
        <v>0</v>
      </c>
      <c r="H7312" s="28" t="e">
        <f>VLOOKUP(E7312,'Cadastro Produtos (kiwkiw)'!C:E,3,0)</f>
        <v>#N/A</v>
      </c>
    </row>
    <row r="7313" spans="2:8" ht="15" customHeight="1" x14ac:dyDescent="0.4">
      <c r="G7313" s="27">
        <f t="shared" si="125"/>
        <v>0</v>
      </c>
      <c r="H7313" s="28" t="e">
        <f>VLOOKUP(E7313,'Cadastro Produtos (kiwkiw)'!C:E,3,0)</f>
        <v>#N/A</v>
      </c>
    </row>
    <row r="7314" spans="2:8" ht="15" customHeight="1" x14ac:dyDescent="0.4">
      <c r="G7314" s="27">
        <f t="shared" ref="G7314:G7377" si="126">IF(C7314="Entrada",F7314,-F7314)</f>
        <v>0</v>
      </c>
      <c r="H7314" s="28" t="e">
        <f>VLOOKUP(E7314,'Cadastro Produtos (kiwkiw)'!C:E,3,0)</f>
        <v>#N/A</v>
      </c>
    </row>
    <row r="7315" spans="2:8" ht="15" customHeight="1" x14ac:dyDescent="0.4">
      <c r="G7315" s="27">
        <f t="shared" si="126"/>
        <v>0</v>
      </c>
      <c r="H7315" s="28" t="e">
        <f>VLOOKUP(E7315,'Cadastro Produtos (kiwkiw)'!C:E,3,0)</f>
        <v>#N/A</v>
      </c>
    </row>
    <row r="7316" spans="2:8" ht="15" customHeight="1" x14ac:dyDescent="0.4">
      <c r="B7316" s="43"/>
      <c r="G7316" s="27">
        <f t="shared" si="126"/>
        <v>0</v>
      </c>
      <c r="H7316" s="28" t="e">
        <f>VLOOKUP(E7316,'Cadastro Produtos (kiwkiw)'!C:E,3,0)</f>
        <v>#N/A</v>
      </c>
    </row>
    <row r="7317" spans="2:8" ht="15" customHeight="1" x14ac:dyDescent="0.4">
      <c r="G7317" s="27">
        <f t="shared" si="126"/>
        <v>0</v>
      </c>
      <c r="H7317" s="28" t="e">
        <f>VLOOKUP(E7317,'Cadastro Produtos (kiwkiw)'!C:E,3,0)</f>
        <v>#N/A</v>
      </c>
    </row>
    <row r="7318" spans="2:8" ht="15" customHeight="1" x14ac:dyDescent="0.4">
      <c r="G7318" s="27">
        <f t="shared" si="126"/>
        <v>0</v>
      </c>
      <c r="H7318" s="28" t="e">
        <f>VLOOKUP(E7318,'Cadastro Produtos (kiwkiw)'!C:E,3,0)</f>
        <v>#N/A</v>
      </c>
    </row>
    <row r="7319" spans="2:8" ht="15" customHeight="1" x14ac:dyDescent="0.4">
      <c r="G7319" s="27">
        <f t="shared" si="126"/>
        <v>0</v>
      </c>
      <c r="H7319" s="28" t="e">
        <f>VLOOKUP(E7319,'Cadastro Produtos (kiwkiw)'!C:E,3,0)</f>
        <v>#N/A</v>
      </c>
    </row>
    <row r="7320" spans="2:8" ht="15" customHeight="1" x14ac:dyDescent="0.4">
      <c r="G7320" s="27">
        <f t="shared" si="126"/>
        <v>0</v>
      </c>
      <c r="H7320" s="28" t="e">
        <f>VLOOKUP(E7320,'Cadastro Produtos (kiwkiw)'!C:E,3,0)</f>
        <v>#N/A</v>
      </c>
    </row>
    <row r="7321" spans="2:8" ht="15" customHeight="1" x14ac:dyDescent="0.4">
      <c r="G7321" s="27">
        <f t="shared" si="126"/>
        <v>0</v>
      </c>
      <c r="H7321" s="28" t="e">
        <f>VLOOKUP(E7321,'Cadastro Produtos (kiwkiw)'!C:E,3,0)</f>
        <v>#N/A</v>
      </c>
    </row>
    <row r="7322" spans="2:8" ht="15" customHeight="1" x14ac:dyDescent="0.4">
      <c r="G7322" s="27">
        <f t="shared" si="126"/>
        <v>0</v>
      </c>
      <c r="H7322" s="28" t="e">
        <f>VLOOKUP(E7322,'Cadastro Produtos (kiwkiw)'!C:E,3,0)</f>
        <v>#N/A</v>
      </c>
    </row>
    <row r="7323" spans="2:8" ht="15" customHeight="1" x14ac:dyDescent="0.4">
      <c r="G7323" s="27">
        <f t="shared" si="126"/>
        <v>0</v>
      </c>
      <c r="H7323" s="28" t="e">
        <f>VLOOKUP(E7323,'Cadastro Produtos (kiwkiw)'!C:E,3,0)</f>
        <v>#N/A</v>
      </c>
    </row>
    <row r="7324" spans="2:8" ht="15" customHeight="1" x14ac:dyDescent="0.4">
      <c r="G7324" s="27">
        <f t="shared" si="126"/>
        <v>0</v>
      </c>
      <c r="H7324" s="28" t="e">
        <f>VLOOKUP(E7324,'Cadastro Produtos (kiwkiw)'!C:E,3,0)</f>
        <v>#N/A</v>
      </c>
    </row>
    <row r="7325" spans="2:8" ht="15" customHeight="1" x14ac:dyDescent="0.4">
      <c r="G7325" s="27">
        <f t="shared" si="126"/>
        <v>0</v>
      </c>
      <c r="H7325" s="28" t="e">
        <f>VLOOKUP(E7325,'Cadastro Produtos (kiwkiw)'!C:E,3,0)</f>
        <v>#N/A</v>
      </c>
    </row>
    <row r="7326" spans="2:8" ht="15" customHeight="1" x14ac:dyDescent="0.4">
      <c r="G7326" s="27">
        <f t="shared" si="126"/>
        <v>0</v>
      </c>
      <c r="H7326" s="28" t="e">
        <f>VLOOKUP(E7326,'Cadastro Produtos (kiwkiw)'!C:E,3,0)</f>
        <v>#N/A</v>
      </c>
    </row>
    <row r="7327" spans="2:8" ht="15" customHeight="1" x14ac:dyDescent="0.4">
      <c r="G7327" s="27">
        <f t="shared" si="126"/>
        <v>0</v>
      </c>
      <c r="H7327" s="28" t="e">
        <f>VLOOKUP(E7327,'Cadastro Produtos (kiwkiw)'!C:E,3,0)</f>
        <v>#N/A</v>
      </c>
    </row>
    <row r="7328" spans="2:8" ht="15" customHeight="1" x14ac:dyDescent="0.4">
      <c r="G7328" s="27">
        <f t="shared" si="126"/>
        <v>0</v>
      </c>
      <c r="H7328" s="28" t="e">
        <f>VLOOKUP(E7328,'Cadastro Produtos (kiwkiw)'!C:E,3,0)</f>
        <v>#N/A</v>
      </c>
    </row>
    <row r="7329" spans="7:8" ht="15" customHeight="1" x14ac:dyDescent="0.4">
      <c r="G7329" s="27">
        <f t="shared" si="126"/>
        <v>0</v>
      </c>
      <c r="H7329" s="28" t="e">
        <f>VLOOKUP(E7329,'Cadastro Produtos (kiwkiw)'!C:E,3,0)</f>
        <v>#N/A</v>
      </c>
    </row>
    <row r="7330" spans="7:8" ht="15" customHeight="1" x14ac:dyDescent="0.4">
      <c r="G7330" s="27">
        <f t="shared" si="126"/>
        <v>0</v>
      </c>
      <c r="H7330" s="28" t="e">
        <f>VLOOKUP(E7330,'Cadastro Produtos (kiwkiw)'!C:E,3,0)</f>
        <v>#N/A</v>
      </c>
    </row>
    <row r="7331" spans="7:8" ht="15" customHeight="1" x14ac:dyDescent="0.4">
      <c r="G7331" s="27">
        <f t="shared" si="126"/>
        <v>0</v>
      </c>
      <c r="H7331" s="28" t="e">
        <f>VLOOKUP(E7331,'Cadastro Produtos (kiwkiw)'!C:E,3,0)</f>
        <v>#N/A</v>
      </c>
    </row>
    <row r="7332" spans="7:8" ht="15" customHeight="1" x14ac:dyDescent="0.4">
      <c r="G7332" s="27">
        <f t="shared" si="126"/>
        <v>0</v>
      </c>
      <c r="H7332" s="28" t="e">
        <f>VLOOKUP(E7332,'Cadastro Produtos (kiwkiw)'!C:E,3,0)</f>
        <v>#N/A</v>
      </c>
    </row>
    <row r="7333" spans="7:8" ht="15" customHeight="1" x14ac:dyDescent="0.4">
      <c r="G7333" s="27">
        <f t="shared" si="126"/>
        <v>0</v>
      </c>
      <c r="H7333" s="28" t="e">
        <f>VLOOKUP(E7333,'Cadastro Produtos (kiwkiw)'!C:E,3,0)</f>
        <v>#N/A</v>
      </c>
    </row>
    <row r="7334" spans="7:8" ht="15" customHeight="1" x14ac:dyDescent="0.4">
      <c r="G7334" s="27">
        <f t="shared" si="126"/>
        <v>0</v>
      </c>
      <c r="H7334" s="28" t="e">
        <f>VLOOKUP(E7334,'Cadastro Produtos (kiwkiw)'!C:E,3,0)</f>
        <v>#N/A</v>
      </c>
    </row>
    <row r="7335" spans="7:8" ht="15" customHeight="1" x14ac:dyDescent="0.4">
      <c r="G7335" s="27">
        <f t="shared" si="126"/>
        <v>0</v>
      </c>
      <c r="H7335" s="28" t="e">
        <f>VLOOKUP(E7335,'Cadastro Produtos (kiwkiw)'!C:E,3,0)</f>
        <v>#N/A</v>
      </c>
    </row>
    <row r="7336" spans="7:8" ht="15" customHeight="1" x14ac:dyDescent="0.4">
      <c r="G7336" s="27">
        <f t="shared" si="126"/>
        <v>0</v>
      </c>
      <c r="H7336" s="28" t="e">
        <f>VLOOKUP(E7336,'Cadastro Produtos (kiwkiw)'!C:E,3,0)</f>
        <v>#N/A</v>
      </c>
    </row>
    <row r="7337" spans="7:8" ht="15" customHeight="1" x14ac:dyDescent="0.4">
      <c r="G7337" s="27">
        <f t="shared" si="126"/>
        <v>0</v>
      </c>
      <c r="H7337" s="28" t="e">
        <f>VLOOKUP(E7337,'Cadastro Produtos (kiwkiw)'!C:E,3,0)</f>
        <v>#N/A</v>
      </c>
    </row>
    <row r="7338" spans="7:8" ht="15" customHeight="1" x14ac:dyDescent="0.4">
      <c r="G7338" s="27">
        <f t="shared" si="126"/>
        <v>0</v>
      </c>
      <c r="H7338" s="28" t="e">
        <f>VLOOKUP(E7338,'Cadastro Produtos (kiwkiw)'!C:E,3,0)</f>
        <v>#N/A</v>
      </c>
    </row>
    <row r="7339" spans="7:8" ht="15" customHeight="1" x14ac:dyDescent="0.4">
      <c r="G7339" s="27">
        <f t="shared" si="126"/>
        <v>0</v>
      </c>
      <c r="H7339" s="28" t="e">
        <f>VLOOKUP(E7339,'Cadastro Produtos (kiwkiw)'!C:E,3,0)</f>
        <v>#N/A</v>
      </c>
    </row>
    <row r="7340" spans="7:8" ht="15" customHeight="1" x14ac:dyDescent="0.4">
      <c r="G7340" s="27">
        <f t="shared" si="126"/>
        <v>0</v>
      </c>
      <c r="H7340" s="28" t="e">
        <f>VLOOKUP(E7340,'Cadastro Produtos (kiwkiw)'!C:E,3,0)</f>
        <v>#N/A</v>
      </c>
    </row>
    <row r="7341" spans="7:8" ht="15" customHeight="1" x14ac:dyDescent="0.4">
      <c r="G7341" s="27">
        <f t="shared" si="126"/>
        <v>0</v>
      </c>
      <c r="H7341" s="28" t="e">
        <f>VLOOKUP(E7341,'Cadastro Produtos (kiwkiw)'!C:E,3,0)</f>
        <v>#N/A</v>
      </c>
    </row>
    <row r="7342" spans="7:8" ht="15" customHeight="1" x14ac:dyDescent="0.4">
      <c r="G7342" s="27">
        <f t="shared" si="126"/>
        <v>0</v>
      </c>
      <c r="H7342" s="28" t="e">
        <f>VLOOKUP(E7342,'Cadastro Produtos (kiwkiw)'!C:E,3,0)</f>
        <v>#N/A</v>
      </c>
    </row>
    <row r="7343" spans="7:8" ht="15" customHeight="1" x14ac:dyDescent="0.4">
      <c r="G7343" s="27">
        <f t="shared" si="126"/>
        <v>0</v>
      </c>
      <c r="H7343" s="28" t="e">
        <f>VLOOKUP(E7343,'Cadastro Produtos (kiwkiw)'!C:E,3,0)</f>
        <v>#N/A</v>
      </c>
    </row>
    <row r="7344" spans="7:8" ht="15" customHeight="1" x14ac:dyDescent="0.4">
      <c r="G7344" s="27">
        <f t="shared" si="126"/>
        <v>0</v>
      </c>
      <c r="H7344" s="28" t="e">
        <f>VLOOKUP(E7344,'Cadastro Produtos (kiwkiw)'!C:E,3,0)</f>
        <v>#N/A</v>
      </c>
    </row>
    <row r="7345" spans="7:8" ht="15" customHeight="1" x14ac:dyDescent="0.4">
      <c r="G7345" s="27">
        <f t="shared" si="126"/>
        <v>0</v>
      </c>
      <c r="H7345" s="28" t="e">
        <f>VLOOKUP(E7345,'Cadastro Produtos (kiwkiw)'!C:E,3,0)</f>
        <v>#N/A</v>
      </c>
    </row>
    <row r="7346" spans="7:8" ht="15" customHeight="1" x14ac:dyDescent="0.4">
      <c r="G7346" s="27">
        <f t="shared" si="126"/>
        <v>0</v>
      </c>
      <c r="H7346" s="28" t="e">
        <f>VLOOKUP(E7346,'Cadastro Produtos (kiwkiw)'!C:E,3,0)</f>
        <v>#N/A</v>
      </c>
    </row>
    <row r="7347" spans="7:8" ht="15" customHeight="1" x14ac:dyDescent="0.4">
      <c r="G7347" s="27">
        <f t="shared" si="126"/>
        <v>0</v>
      </c>
      <c r="H7347" s="28" t="e">
        <f>VLOOKUP(E7347,'Cadastro Produtos (kiwkiw)'!C:E,3,0)</f>
        <v>#N/A</v>
      </c>
    </row>
    <row r="7348" spans="7:8" ht="15" customHeight="1" x14ac:dyDescent="0.4">
      <c r="G7348" s="27">
        <f t="shared" si="126"/>
        <v>0</v>
      </c>
      <c r="H7348" s="28" t="e">
        <f>VLOOKUP(E7348,'Cadastro Produtos (kiwkiw)'!C:E,3,0)</f>
        <v>#N/A</v>
      </c>
    </row>
    <row r="7349" spans="7:8" ht="15" customHeight="1" x14ac:dyDescent="0.4">
      <c r="G7349" s="27">
        <f t="shared" si="126"/>
        <v>0</v>
      </c>
      <c r="H7349" s="28" t="e">
        <f>VLOOKUP(E7349,'Cadastro Produtos (kiwkiw)'!C:E,3,0)</f>
        <v>#N/A</v>
      </c>
    </row>
    <row r="7350" spans="7:8" ht="15" customHeight="1" x14ac:dyDescent="0.4">
      <c r="G7350" s="27">
        <f t="shared" si="126"/>
        <v>0</v>
      </c>
      <c r="H7350" s="28" t="e">
        <f>VLOOKUP(E7350,'Cadastro Produtos (kiwkiw)'!C:E,3,0)</f>
        <v>#N/A</v>
      </c>
    </row>
    <row r="7351" spans="7:8" ht="15" customHeight="1" x14ac:dyDescent="0.4">
      <c r="G7351" s="27">
        <f t="shared" si="126"/>
        <v>0</v>
      </c>
      <c r="H7351" s="28" t="e">
        <f>VLOOKUP(E7351,'Cadastro Produtos (kiwkiw)'!C:E,3,0)</f>
        <v>#N/A</v>
      </c>
    </row>
    <row r="7352" spans="7:8" ht="15" customHeight="1" x14ac:dyDescent="0.4">
      <c r="G7352" s="27">
        <f t="shared" si="126"/>
        <v>0</v>
      </c>
      <c r="H7352" s="28" t="e">
        <f>VLOOKUP(E7352,'Cadastro Produtos (kiwkiw)'!C:E,3,0)</f>
        <v>#N/A</v>
      </c>
    </row>
    <row r="7353" spans="7:8" ht="15" customHeight="1" x14ac:dyDescent="0.4">
      <c r="G7353" s="27">
        <f t="shared" si="126"/>
        <v>0</v>
      </c>
      <c r="H7353" s="28" t="e">
        <f>VLOOKUP(E7353,'Cadastro Produtos (kiwkiw)'!C:E,3,0)</f>
        <v>#N/A</v>
      </c>
    </row>
    <row r="7354" spans="7:8" ht="15" customHeight="1" x14ac:dyDescent="0.4">
      <c r="G7354" s="27">
        <f t="shared" si="126"/>
        <v>0</v>
      </c>
      <c r="H7354" s="28" t="e">
        <f>VLOOKUP(E7354,'Cadastro Produtos (kiwkiw)'!C:E,3,0)</f>
        <v>#N/A</v>
      </c>
    </row>
    <row r="7355" spans="7:8" ht="15" customHeight="1" x14ac:dyDescent="0.4">
      <c r="G7355" s="27">
        <f t="shared" si="126"/>
        <v>0</v>
      </c>
      <c r="H7355" s="28" t="e">
        <f>VLOOKUP(E7355,'Cadastro Produtos (kiwkiw)'!C:E,3,0)</f>
        <v>#N/A</v>
      </c>
    </row>
    <row r="7356" spans="7:8" ht="15" customHeight="1" x14ac:dyDescent="0.4">
      <c r="G7356" s="27">
        <f t="shared" si="126"/>
        <v>0</v>
      </c>
      <c r="H7356" s="28" t="e">
        <f>VLOOKUP(E7356,'Cadastro Produtos (kiwkiw)'!C:E,3,0)</f>
        <v>#N/A</v>
      </c>
    </row>
    <row r="7357" spans="7:8" ht="15" customHeight="1" x14ac:dyDescent="0.4">
      <c r="G7357" s="27">
        <f t="shared" si="126"/>
        <v>0</v>
      </c>
      <c r="H7357" s="28" t="e">
        <f>VLOOKUP(E7357,'Cadastro Produtos (kiwkiw)'!C:E,3,0)</f>
        <v>#N/A</v>
      </c>
    </row>
    <row r="7358" spans="7:8" ht="15" customHeight="1" x14ac:dyDescent="0.4">
      <c r="G7358" s="27">
        <f t="shared" si="126"/>
        <v>0</v>
      </c>
      <c r="H7358" s="28" t="e">
        <f>VLOOKUP(E7358,'Cadastro Produtos (kiwkiw)'!C:E,3,0)</f>
        <v>#N/A</v>
      </c>
    </row>
    <row r="7359" spans="7:8" ht="15" customHeight="1" x14ac:dyDescent="0.4">
      <c r="G7359" s="27">
        <f t="shared" si="126"/>
        <v>0</v>
      </c>
      <c r="H7359" s="28" t="e">
        <f>VLOOKUP(E7359,'Cadastro Produtos (kiwkiw)'!C:E,3,0)</f>
        <v>#N/A</v>
      </c>
    </row>
    <row r="7360" spans="7:8" ht="15" customHeight="1" x14ac:dyDescent="0.4">
      <c r="G7360" s="27">
        <f t="shared" si="126"/>
        <v>0</v>
      </c>
      <c r="H7360" s="28" t="e">
        <f>VLOOKUP(E7360,'Cadastro Produtos (kiwkiw)'!C:E,3,0)</f>
        <v>#N/A</v>
      </c>
    </row>
    <row r="7361" spans="7:8" ht="15" customHeight="1" x14ac:dyDescent="0.4">
      <c r="G7361" s="27">
        <f t="shared" si="126"/>
        <v>0</v>
      </c>
      <c r="H7361" s="28" t="e">
        <f>VLOOKUP(E7361,'Cadastro Produtos (kiwkiw)'!C:E,3,0)</f>
        <v>#N/A</v>
      </c>
    </row>
    <row r="7362" spans="7:8" ht="15" customHeight="1" x14ac:dyDescent="0.4">
      <c r="G7362" s="27">
        <f t="shared" si="126"/>
        <v>0</v>
      </c>
      <c r="H7362" s="28" t="e">
        <f>VLOOKUP(E7362,'Cadastro Produtos (kiwkiw)'!C:E,3,0)</f>
        <v>#N/A</v>
      </c>
    </row>
    <row r="7363" spans="7:8" ht="15" customHeight="1" x14ac:dyDescent="0.4">
      <c r="G7363" s="27">
        <f t="shared" si="126"/>
        <v>0</v>
      </c>
      <c r="H7363" s="28" t="e">
        <f>VLOOKUP(E7363,'Cadastro Produtos (kiwkiw)'!C:E,3,0)</f>
        <v>#N/A</v>
      </c>
    </row>
    <row r="7364" spans="7:8" ht="15" customHeight="1" x14ac:dyDescent="0.4">
      <c r="G7364" s="27">
        <f t="shared" si="126"/>
        <v>0</v>
      </c>
      <c r="H7364" s="28" t="e">
        <f>VLOOKUP(E7364,'Cadastro Produtos (kiwkiw)'!C:E,3,0)</f>
        <v>#N/A</v>
      </c>
    </row>
    <row r="7365" spans="7:8" ht="15" customHeight="1" x14ac:dyDescent="0.4">
      <c r="G7365" s="27">
        <f t="shared" si="126"/>
        <v>0</v>
      </c>
      <c r="H7365" s="28" t="e">
        <f>VLOOKUP(E7365,'Cadastro Produtos (kiwkiw)'!C:E,3,0)</f>
        <v>#N/A</v>
      </c>
    </row>
    <row r="7366" spans="7:8" ht="15" customHeight="1" x14ac:dyDescent="0.4">
      <c r="G7366" s="27">
        <f t="shared" si="126"/>
        <v>0</v>
      </c>
      <c r="H7366" s="28" t="e">
        <f>VLOOKUP(E7366,'Cadastro Produtos (kiwkiw)'!C:E,3,0)</f>
        <v>#N/A</v>
      </c>
    </row>
    <row r="7367" spans="7:8" ht="15" customHeight="1" x14ac:dyDescent="0.4">
      <c r="G7367" s="27">
        <f t="shared" si="126"/>
        <v>0</v>
      </c>
      <c r="H7367" s="28" t="e">
        <f>VLOOKUP(E7367,'Cadastro Produtos (kiwkiw)'!C:E,3,0)</f>
        <v>#N/A</v>
      </c>
    </row>
    <row r="7368" spans="7:8" ht="15" customHeight="1" x14ac:dyDescent="0.4">
      <c r="G7368" s="27">
        <f t="shared" si="126"/>
        <v>0</v>
      </c>
      <c r="H7368" s="28" t="e">
        <f>VLOOKUP(E7368,'Cadastro Produtos (kiwkiw)'!C:E,3,0)</f>
        <v>#N/A</v>
      </c>
    </row>
    <row r="7369" spans="7:8" ht="15" customHeight="1" x14ac:dyDescent="0.4">
      <c r="G7369" s="27">
        <f t="shared" si="126"/>
        <v>0</v>
      </c>
      <c r="H7369" s="28" t="e">
        <f>VLOOKUP(E7369,'Cadastro Produtos (kiwkiw)'!C:E,3,0)</f>
        <v>#N/A</v>
      </c>
    </row>
    <row r="7370" spans="7:8" ht="15" customHeight="1" x14ac:dyDescent="0.4">
      <c r="G7370" s="27">
        <f t="shared" si="126"/>
        <v>0</v>
      </c>
      <c r="H7370" s="28" t="e">
        <f>VLOOKUP(E7370,'Cadastro Produtos (kiwkiw)'!C:E,3,0)</f>
        <v>#N/A</v>
      </c>
    </row>
    <row r="7371" spans="7:8" ht="15" customHeight="1" x14ac:dyDescent="0.4">
      <c r="G7371" s="27">
        <f t="shared" si="126"/>
        <v>0</v>
      </c>
      <c r="H7371" s="28" t="e">
        <f>VLOOKUP(E7371,'Cadastro Produtos (kiwkiw)'!C:E,3,0)</f>
        <v>#N/A</v>
      </c>
    </row>
    <row r="7372" spans="7:8" ht="15" customHeight="1" x14ac:dyDescent="0.4">
      <c r="G7372" s="27">
        <f t="shared" si="126"/>
        <v>0</v>
      </c>
      <c r="H7372" s="28" t="e">
        <f>VLOOKUP(E7372,'Cadastro Produtos (kiwkiw)'!C:E,3,0)</f>
        <v>#N/A</v>
      </c>
    </row>
    <row r="7373" spans="7:8" ht="15" customHeight="1" x14ac:dyDescent="0.4">
      <c r="G7373" s="27">
        <f t="shared" si="126"/>
        <v>0</v>
      </c>
      <c r="H7373" s="28" t="e">
        <f>VLOOKUP(E7373,'Cadastro Produtos (kiwkiw)'!C:E,3,0)</f>
        <v>#N/A</v>
      </c>
    </row>
    <row r="7374" spans="7:8" ht="15" customHeight="1" x14ac:dyDescent="0.4">
      <c r="G7374" s="27">
        <f t="shared" si="126"/>
        <v>0</v>
      </c>
      <c r="H7374" s="28" t="e">
        <f>VLOOKUP(E7374,'Cadastro Produtos (kiwkiw)'!C:E,3,0)</f>
        <v>#N/A</v>
      </c>
    </row>
    <row r="7375" spans="7:8" ht="15" customHeight="1" x14ac:dyDescent="0.4">
      <c r="G7375" s="27">
        <f t="shared" si="126"/>
        <v>0</v>
      </c>
      <c r="H7375" s="28" t="e">
        <f>VLOOKUP(E7375,'Cadastro Produtos (kiwkiw)'!C:E,3,0)</f>
        <v>#N/A</v>
      </c>
    </row>
    <row r="7376" spans="7:8" ht="15" customHeight="1" x14ac:dyDescent="0.4">
      <c r="G7376" s="27">
        <f t="shared" si="126"/>
        <v>0</v>
      </c>
      <c r="H7376" s="28" t="e">
        <f>VLOOKUP(E7376,'Cadastro Produtos (kiwkiw)'!C:E,3,0)</f>
        <v>#N/A</v>
      </c>
    </row>
    <row r="7377" spans="7:8" ht="15" customHeight="1" x14ac:dyDescent="0.4">
      <c r="G7377" s="27">
        <f t="shared" si="126"/>
        <v>0</v>
      </c>
      <c r="H7377" s="28" t="e">
        <f>VLOOKUP(E7377,'Cadastro Produtos (kiwkiw)'!C:E,3,0)</f>
        <v>#N/A</v>
      </c>
    </row>
    <row r="7378" spans="7:8" ht="15" customHeight="1" x14ac:dyDescent="0.4">
      <c r="G7378" s="27">
        <f t="shared" ref="G7378:G7441" si="127">IF(C7378="Entrada",F7378,-F7378)</f>
        <v>0</v>
      </c>
      <c r="H7378" s="28" t="e">
        <f>VLOOKUP(E7378,'Cadastro Produtos (kiwkiw)'!C:E,3,0)</f>
        <v>#N/A</v>
      </c>
    </row>
    <row r="7379" spans="7:8" ht="15" customHeight="1" x14ac:dyDescent="0.4">
      <c r="G7379" s="27">
        <f t="shared" si="127"/>
        <v>0</v>
      </c>
      <c r="H7379" s="28" t="e">
        <f>VLOOKUP(E7379,'Cadastro Produtos (kiwkiw)'!C:E,3,0)</f>
        <v>#N/A</v>
      </c>
    </row>
    <row r="7380" spans="7:8" ht="15" customHeight="1" x14ac:dyDescent="0.4">
      <c r="G7380" s="27">
        <f t="shared" si="127"/>
        <v>0</v>
      </c>
      <c r="H7380" s="28" t="e">
        <f>VLOOKUP(E7380,'Cadastro Produtos (kiwkiw)'!C:E,3,0)</f>
        <v>#N/A</v>
      </c>
    </row>
    <row r="7381" spans="7:8" ht="15" customHeight="1" x14ac:dyDescent="0.4">
      <c r="G7381" s="27">
        <f t="shared" si="127"/>
        <v>0</v>
      </c>
      <c r="H7381" s="28" t="e">
        <f>VLOOKUP(E7381,'Cadastro Produtos (kiwkiw)'!C:E,3,0)</f>
        <v>#N/A</v>
      </c>
    </row>
    <row r="7382" spans="7:8" ht="15" customHeight="1" x14ac:dyDescent="0.4">
      <c r="G7382" s="27">
        <f t="shared" si="127"/>
        <v>0</v>
      </c>
      <c r="H7382" s="28" t="e">
        <f>VLOOKUP(E7382,'Cadastro Produtos (kiwkiw)'!C:E,3,0)</f>
        <v>#N/A</v>
      </c>
    </row>
    <row r="7383" spans="7:8" ht="15" customHeight="1" x14ac:dyDescent="0.4">
      <c r="G7383" s="27">
        <f t="shared" si="127"/>
        <v>0</v>
      </c>
      <c r="H7383" s="28" t="e">
        <f>VLOOKUP(E7383,'Cadastro Produtos (kiwkiw)'!C:E,3,0)</f>
        <v>#N/A</v>
      </c>
    </row>
    <row r="7384" spans="7:8" ht="15" customHeight="1" x14ac:dyDescent="0.4">
      <c r="G7384" s="27">
        <f t="shared" si="127"/>
        <v>0</v>
      </c>
      <c r="H7384" s="28" t="e">
        <f>VLOOKUP(E7384,'Cadastro Produtos (kiwkiw)'!C:E,3,0)</f>
        <v>#N/A</v>
      </c>
    </row>
    <row r="7385" spans="7:8" ht="15" customHeight="1" x14ac:dyDescent="0.4">
      <c r="G7385" s="27">
        <f t="shared" si="127"/>
        <v>0</v>
      </c>
      <c r="H7385" s="28" t="e">
        <f>VLOOKUP(E7385,'Cadastro Produtos (kiwkiw)'!C:E,3,0)</f>
        <v>#N/A</v>
      </c>
    </row>
    <row r="7386" spans="7:8" ht="15" customHeight="1" x14ac:dyDescent="0.4">
      <c r="G7386" s="27">
        <f t="shared" si="127"/>
        <v>0</v>
      </c>
      <c r="H7386" s="28" t="e">
        <f>VLOOKUP(E7386,'Cadastro Produtos (kiwkiw)'!C:E,3,0)</f>
        <v>#N/A</v>
      </c>
    </row>
    <row r="7387" spans="7:8" ht="15" customHeight="1" x14ac:dyDescent="0.4">
      <c r="G7387" s="27">
        <f t="shared" si="127"/>
        <v>0</v>
      </c>
      <c r="H7387" s="28" t="e">
        <f>VLOOKUP(E7387,'Cadastro Produtos (kiwkiw)'!C:E,3,0)</f>
        <v>#N/A</v>
      </c>
    </row>
    <row r="7388" spans="7:8" ht="15" customHeight="1" x14ac:dyDescent="0.4">
      <c r="G7388" s="27">
        <f t="shared" si="127"/>
        <v>0</v>
      </c>
      <c r="H7388" s="28" t="e">
        <f>VLOOKUP(E7388,'Cadastro Produtos (kiwkiw)'!C:E,3,0)</f>
        <v>#N/A</v>
      </c>
    </row>
    <row r="7389" spans="7:8" ht="15" customHeight="1" x14ac:dyDescent="0.4">
      <c r="G7389" s="27">
        <f t="shared" si="127"/>
        <v>0</v>
      </c>
      <c r="H7389" s="28" t="e">
        <f>VLOOKUP(E7389,'Cadastro Produtos (kiwkiw)'!C:E,3,0)</f>
        <v>#N/A</v>
      </c>
    </row>
    <row r="7390" spans="7:8" ht="15" customHeight="1" x14ac:dyDescent="0.4">
      <c r="G7390" s="27">
        <f t="shared" si="127"/>
        <v>0</v>
      </c>
      <c r="H7390" s="28" t="e">
        <f>VLOOKUP(E7390,'Cadastro Produtos (kiwkiw)'!C:E,3,0)</f>
        <v>#N/A</v>
      </c>
    </row>
    <row r="7391" spans="7:8" ht="15" customHeight="1" x14ac:dyDescent="0.4">
      <c r="G7391" s="27">
        <f t="shared" si="127"/>
        <v>0</v>
      </c>
      <c r="H7391" s="28" t="e">
        <f>VLOOKUP(E7391,'Cadastro Produtos (kiwkiw)'!C:E,3,0)</f>
        <v>#N/A</v>
      </c>
    </row>
    <row r="7392" spans="7:8" ht="15" customHeight="1" x14ac:dyDescent="0.4">
      <c r="G7392" s="27">
        <f t="shared" si="127"/>
        <v>0</v>
      </c>
      <c r="H7392" s="28" t="e">
        <f>VLOOKUP(E7392,'Cadastro Produtos (kiwkiw)'!C:E,3,0)</f>
        <v>#N/A</v>
      </c>
    </row>
    <row r="7393" spans="2:8" ht="15" customHeight="1" x14ac:dyDescent="0.4">
      <c r="G7393" s="27">
        <f t="shared" si="127"/>
        <v>0</v>
      </c>
      <c r="H7393" s="28" t="e">
        <f>VLOOKUP(E7393,'Cadastro Produtos (kiwkiw)'!C:E,3,0)</f>
        <v>#N/A</v>
      </c>
    </row>
    <row r="7394" spans="2:8" ht="15" customHeight="1" x14ac:dyDescent="0.4">
      <c r="G7394" s="27">
        <f t="shared" si="127"/>
        <v>0</v>
      </c>
      <c r="H7394" s="28" t="e">
        <f>VLOOKUP(E7394,'Cadastro Produtos (kiwkiw)'!C:E,3,0)</f>
        <v>#N/A</v>
      </c>
    </row>
    <row r="7395" spans="2:8" ht="15" customHeight="1" x14ac:dyDescent="0.4">
      <c r="G7395" s="27">
        <f t="shared" si="127"/>
        <v>0</v>
      </c>
      <c r="H7395" s="28" t="e">
        <f>VLOOKUP(E7395,'Cadastro Produtos (kiwkiw)'!C:E,3,0)</f>
        <v>#N/A</v>
      </c>
    </row>
    <row r="7396" spans="2:8" ht="15" customHeight="1" x14ac:dyDescent="0.4">
      <c r="G7396" s="27">
        <f t="shared" si="127"/>
        <v>0</v>
      </c>
      <c r="H7396" s="28" t="e">
        <f>VLOOKUP(E7396,'Cadastro Produtos (kiwkiw)'!C:E,3,0)</f>
        <v>#N/A</v>
      </c>
    </row>
    <row r="7397" spans="2:8" ht="15" customHeight="1" x14ac:dyDescent="0.4">
      <c r="G7397" s="27">
        <f t="shared" si="127"/>
        <v>0</v>
      </c>
      <c r="H7397" s="28" t="e">
        <f>VLOOKUP(E7397,'Cadastro Produtos (kiwkiw)'!C:E,3,0)</f>
        <v>#N/A</v>
      </c>
    </row>
    <row r="7398" spans="2:8" ht="15" customHeight="1" x14ac:dyDescent="0.4">
      <c r="G7398" s="27">
        <f t="shared" si="127"/>
        <v>0</v>
      </c>
      <c r="H7398" s="28" t="e">
        <f>VLOOKUP(E7398,'Cadastro Produtos (kiwkiw)'!C:E,3,0)</f>
        <v>#N/A</v>
      </c>
    </row>
    <row r="7399" spans="2:8" ht="15" customHeight="1" x14ac:dyDescent="0.4">
      <c r="G7399" s="27">
        <f t="shared" si="127"/>
        <v>0</v>
      </c>
      <c r="H7399" s="28" t="e">
        <f>VLOOKUP(E7399,'Cadastro Produtos (kiwkiw)'!C:E,3,0)</f>
        <v>#N/A</v>
      </c>
    </row>
    <row r="7400" spans="2:8" ht="15" customHeight="1" x14ac:dyDescent="0.4">
      <c r="G7400" s="27">
        <f t="shared" si="127"/>
        <v>0</v>
      </c>
      <c r="H7400" s="28" t="e">
        <f>VLOOKUP(E7400,'Cadastro Produtos (kiwkiw)'!C:E,3,0)</f>
        <v>#N/A</v>
      </c>
    </row>
    <row r="7401" spans="2:8" ht="15" customHeight="1" x14ac:dyDescent="0.4">
      <c r="G7401" s="27">
        <f t="shared" si="127"/>
        <v>0</v>
      </c>
      <c r="H7401" s="28" t="e">
        <f>VLOOKUP(E7401,'Cadastro Produtos (kiwkiw)'!C:E,3,0)</f>
        <v>#N/A</v>
      </c>
    </row>
    <row r="7402" spans="2:8" ht="15" customHeight="1" x14ac:dyDescent="0.4">
      <c r="G7402" s="27">
        <f t="shared" si="127"/>
        <v>0</v>
      </c>
      <c r="H7402" s="28" t="e">
        <f>VLOOKUP(E7402,'Cadastro Produtos (kiwkiw)'!C:E,3,0)</f>
        <v>#N/A</v>
      </c>
    </row>
    <row r="7403" spans="2:8" ht="15" customHeight="1" x14ac:dyDescent="0.4">
      <c r="G7403" s="27">
        <f t="shared" si="127"/>
        <v>0</v>
      </c>
      <c r="H7403" s="28" t="e">
        <f>VLOOKUP(E7403,'Cadastro Produtos (kiwkiw)'!C:E,3,0)</f>
        <v>#N/A</v>
      </c>
    </row>
    <row r="7404" spans="2:8" ht="15" customHeight="1" x14ac:dyDescent="0.4">
      <c r="G7404" s="27">
        <f t="shared" si="127"/>
        <v>0</v>
      </c>
      <c r="H7404" s="28" t="e">
        <f>VLOOKUP(E7404,'Cadastro Produtos (kiwkiw)'!C:E,3,0)</f>
        <v>#N/A</v>
      </c>
    </row>
    <row r="7405" spans="2:8" ht="15" customHeight="1" x14ac:dyDescent="0.4">
      <c r="B7405" s="43"/>
      <c r="G7405" s="27">
        <f t="shared" si="127"/>
        <v>0</v>
      </c>
      <c r="H7405" s="28" t="e">
        <f>VLOOKUP(E7405,'Cadastro Produtos (kiwkiw)'!C:E,3,0)</f>
        <v>#N/A</v>
      </c>
    </row>
    <row r="7406" spans="2:8" ht="15" customHeight="1" x14ac:dyDescent="0.4">
      <c r="G7406" s="27">
        <f t="shared" si="127"/>
        <v>0</v>
      </c>
      <c r="H7406" s="28" t="e">
        <f>VLOOKUP(E7406,'Cadastro Produtos (kiwkiw)'!C:E,3,0)</f>
        <v>#N/A</v>
      </c>
    </row>
    <row r="7407" spans="2:8" ht="15" customHeight="1" x14ac:dyDescent="0.4">
      <c r="G7407" s="27">
        <f t="shared" si="127"/>
        <v>0</v>
      </c>
      <c r="H7407" s="28" t="e">
        <f>VLOOKUP(E7407,'Cadastro Produtos (kiwkiw)'!C:E,3,0)</f>
        <v>#N/A</v>
      </c>
    </row>
    <row r="7408" spans="2:8" ht="15" customHeight="1" x14ac:dyDescent="0.4">
      <c r="G7408" s="27">
        <f t="shared" si="127"/>
        <v>0</v>
      </c>
      <c r="H7408" s="28" t="e">
        <f>VLOOKUP(E7408,'Cadastro Produtos (kiwkiw)'!C:E,3,0)</f>
        <v>#N/A</v>
      </c>
    </row>
    <row r="7409" spans="7:8" ht="15" customHeight="1" x14ac:dyDescent="0.4">
      <c r="G7409" s="27">
        <f t="shared" si="127"/>
        <v>0</v>
      </c>
      <c r="H7409" s="28" t="e">
        <f>VLOOKUP(E7409,'Cadastro Produtos (kiwkiw)'!C:E,3,0)</f>
        <v>#N/A</v>
      </c>
    </row>
    <row r="7410" spans="7:8" ht="15" customHeight="1" x14ac:dyDescent="0.4">
      <c r="G7410" s="27">
        <f t="shared" si="127"/>
        <v>0</v>
      </c>
      <c r="H7410" s="28" t="e">
        <f>VLOOKUP(E7410,'Cadastro Produtos (kiwkiw)'!C:E,3,0)</f>
        <v>#N/A</v>
      </c>
    </row>
    <row r="7411" spans="7:8" ht="15" customHeight="1" x14ac:dyDescent="0.4">
      <c r="G7411" s="27">
        <f t="shared" si="127"/>
        <v>0</v>
      </c>
      <c r="H7411" s="28" t="e">
        <f>VLOOKUP(E7411,'Cadastro Produtos (kiwkiw)'!C:E,3,0)</f>
        <v>#N/A</v>
      </c>
    </row>
    <row r="7412" spans="7:8" ht="15" customHeight="1" x14ac:dyDescent="0.4">
      <c r="G7412" s="27">
        <f t="shared" si="127"/>
        <v>0</v>
      </c>
      <c r="H7412" s="28" t="e">
        <f>VLOOKUP(E7412,'Cadastro Produtos (kiwkiw)'!C:E,3,0)</f>
        <v>#N/A</v>
      </c>
    </row>
    <row r="7413" spans="7:8" ht="15" customHeight="1" x14ac:dyDescent="0.4">
      <c r="G7413" s="27">
        <f t="shared" si="127"/>
        <v>0</v>
      </c>
      <c r="H7413" s="28" t="e">
        <f>VLOOKUP(E7413,'Cadastro Produtos (kiwkiw)'!C:E,3,0)</f>
        <v>#N/A</v>
      </c>
    </row>
    <row r="7414" spans="7:8" ht="15" customHeight="1" x14ac:dyDescent="0.4">
      <c r="G7414" s="27">
        <f t="shared" si="127"/>
        <v>0</v>
      </c>
      <c r="H7414" s="28" t="e">
        <f>VLOOKUP(E7414,'Cadastro Produtos (kiwkiw)'!C:E,3,0)</f>
        <v>#N/A</v>
      </c>
    </row>
    <row r="7415" spans="7:8" ht="15" customHeight="1" x14ac:dyDescent="0.4">
      <c r="G7415" s="27">
        <f t="shared" si="127"/>
        <v>0</v>
      </c>
      <c r="H7415" s="28" t="e">
        <f>VLOOKUP(E7415,'Cadastro Produtos (kiwkiw)'!C:E,3,0)</f>
        <v>#N/A</v>
      </c>
    </row>
    <row r="7416" spans="7:8" ht="15" customHeight="1" x14ac:dyDescent="0.4">
      <c r="G7416" s="27">
        <f t="shared" si="127"/>
        <v>0</v>
      </c>
      <c r="H7416" s="28" t="e">
        <f>VLOOKUP(E7416,'Cadastro Produtos (kiwkiw)'!C:E,3,0)</f>
        <v>#N/A</v>
      </c>
    </row>
    <row r="7417" spans="7:8" ht="15" customHeight="1" x14ac:dyDescent="0.4">
      <c r="G7417" s="27">
        <f t="shared" si="127"/>
        <v>0</v>
      </c>
      <c r="H7417" s="28" t="e">
        <f>VLOOKUP(E7417,'Cadastro Produtos (kiwkiw)'!C:E,3,0)</f>
        <v>#N/A</v>
      </c>
    </row>
    <row r="7418" spans="7:8" ht="15" customHeight="1" x14ac:dyDescent="0.4">
      <c r="G7418" s="27">
        <f t="shared" si="127"/>
        <v>0</v>
      </c>
      <c r="H7418" s="28" t="e">
        <f>VLOOKUP(E7418,'Cadastro Produtos (kiwkiw)'!C:E,3,0)</f>
        <v>#N/A</v>
      </c>
    </row>
    <row r="7419" spans="7:8" ht="15" customHeight="1" x14ac:dyDescent="0.4">
      <c r="G7419" s="27">
        <f t="shared" si="127"/>
        <v>0</v>
      </c>
      <c r="H7419" s="28" t="e">
        <f>VLOOKUP(E7419,'Cadastro Produtos (kiwkiw)'!C:E,3,0)</f>
        <v>#N/A</v>
      </c>
    </row>
    <row r="7420" spans="7:8" ht="15" customHeight="1" x14ac:dyDescent="0.4">
      <c r="G7420" s="27">
        <f t="shared" si="127"/>
        <v>0</v>
      </c>
      <c r="H7420" s="28" t="e">
        <f>VLOOKUP(E7420,'Cadastro Produtos (kiwkiw)'!C:E,3,0)</f>
        <v>#N/A</v>
      </c>
    </row>
    <row r="7421" spans="7:8" ht="15" customHeight="1" x14ac:dyDescent="0.4">
      <c r="G7421" s="27">
        <f t="shared" si="127"/>
        <v>0</v>
      </c>
      <c r="H7421" s="28" t="e">
        <f>VLOOKUP(E7421,'Cadastro Produtos (kiwkiw)'!C:E,3,0)</f>
        <v>#N/A</v>
      </c>
    </row>
    <row r="7422" spans="7:8" ht="15" customHeight="1" x14ac:dyDescent="0.4">
      <c r="G7422" s="27">
        <f t="shared" si="127"/>
        <v>0</v>
      </c>
      <c r="H7422" s="28" t="e">
        <f>VLOOKUP(E7422,'Cadastro Produtos (kiwkiw)'!C:E,3,0)</f>
        <v>#N/A</v>
      </c>
    </row>
    <row r="7423" spans="7:8" ht="15" customHeight="1" x14ac:dyDescent="0.4">
      <c r="G7423" s="27">
        <f t="shared" si="127"/>
        <v>0</v>
      </c>
      <c r="H7423" s="28" t="e">
        <f>VLOOKUP(E7423,'Cadastro Produtos (kiwkiw)'!C:E,3,0)</f>
        <v>#N/A</v>
      </c>
    </row>
    <row r="7424" spans="7:8" ht="15" customHeight="1" x14ac:dyDescent="0.4">
      <c r="G7424" s="27">
        <f t="shared" si="127"/>
        <v>0</v>
      </c>
      <c r="H7424" s="28" t="e">
        <f>VLOOKUP(E7424,'Cadastro Produtos (kiwkiw)'!C:E,3,0)</f>
        <v>#N/A</v>
      </c>
    </row>
    <row r="7425" spans="7:8" ht="15" customHeight="1" x14ac:dyDescent="0.4">
      <c r="G7425" s="27">
        <f t="shared" si="127"/>
        <v>0</v>
      </c>
      <c r="H7425" s="28" t="e">
        <f>VLOOKUP(E7425,'Cadastro Produtos (kiwkiw)'!C:E,3,0)</f>
        <v>#N/A</v>
      </c>
    </row>
    <row r="7426" spans="7:8" ht="15" customHeight="1" x14ac:dyDescent="0.4">
      <c r="G7426" s="27">
        <f t="shared" si="127"/>
        <v>0</v>
      </c>
      <c r="H7426" s="28" t="e">
        <f>VLOOKUP(E7426,'Cadastro Produtos (kiwkiw)'!C:E,3,0)</f>
        <v>#N/A</v>
      </c>
    </row>
    <row r="7427" spans="7:8" ht="15" customHeight="1" x14ac:dyDescent="0.4">
      <c r="G7427" s="27">
        <f t="shared" si="127"/>
        <v>0</v>
      </c>
      <c r="H7427" s="28" t="e">
        <f>VLOOKUP(E7427,'Cadastro Produtos (kiwkiw)'!C:E,3,0)</f>
        <v>#N/A</v>
      </c>
    </row>
    <row r="7428" spans="7:8" ht="15" customHeight="1" x14ac:dyDescent="0.4">
      <c r="G7428" s="27">
        <f t="shared" si="127"/>
        <v>0</v>
      </c>
      <c r="H7428" s="28" t="e">
        <f>VLOOKUP(E7428,'Cadastro Produtos (kiwkiw)'!C:E,3,0)</f>
        <v>#N/A</v>
      </c>
    </row>
    <row r="7429" spans="7:8" ht="15" customHeight="1" x14ac:dyDescent="0.4">
      <c r="G7429" s="27">
        <f t="shared" si="127"/>
        <v>0</v>
      </c>
      <c r="H7429" s="28" t="e">
        <f>VLOOKUP(E7429,'Cadastro Produtos (kiwkiw)'!C:E,3,0)</f>
        <v>#N/A</v>
      </c>
    </row>
    <row r="7430" spans="7:8" ht="15" customHeight="1" x14ac:dyDescent="0.4">
      <c r="G7430" s="27">
        <f t="shared" si="127"/>
        <v>0</v>
      </c>
      <c r="H7430" s="28" t="e">
        <f>VLOOKUP(E7430,'Cadastro Produtos (kiwkiw)'!C:E,3,0)</f>
        <v>#N/A</v>
      </c>
    </row>
    <row r="7431" spans="7:8" ht="15" customHeight="1" x14ac:dyDescent="0.4">
      <c r="G7431" s="27">
        <f t="shared" si="127"/>
        <v>0</v>
      </c>
      <c r="H7431" s="28" t="e">
        <f>VLOOKUP(E7431,'Cadastro Produtos (kiwkiw)'!C:E,3,0)</f>
        <v>#N/A</v>
      </c>
    </row>
    <row r="7432" spans="7:8" ht="15" customHeight="1" x14ac:dyDescent="0.4">
      <c r="G7432" s="27">
        <f t="shared" si="127"/>
        <v>0</v>
      </c>
      <c r="H7432" s="28" t="e">
        <f>VLOOKUP(E7432,'Cadastro Produtos (kiwkiw)'!C:E,3,0)</f>
        <v>#N/A</v>
      </c>
    </row>
    <row r="7433" spans="7:8" ht="15" customHeight="1" x14ac:dyDescent="0.4">
      <c r="G7433" s="27">
        <f t="shared" si="127"/>
        <v>0</v>
      </c>
      <c r="H7433" s="28" t="e">
        <f>VLOOKUP(E7433,'Cadastro Produtos (kiwkiw)'!C:E,3,0)</f>
        <v>#N/A</v>
      </c>
    </row>
    <row r="7434" spans="7:8" ht="15" customHeight="1" x14ac:dyDescent="0.4">
      <c r="G7434" s="27">
        <f t="shared" si="127"/>
        <v>0</v>
      </c>
      <c r="H7434" s="28" t="e">
        <f>VLOOKUP(E7434,'Cadastro Produtos (kiwkiw)'!C:E,3,0)</f>
        <v>#N/A</v>
      </c>
    </row>
    <row r="7435" spans="7:8" ht="15" customHeight="1" x14ac:dyDescent="0.4">
      <c r="G7435" s="27">
        <f t="shared" si="127"/>
        <v>0</v>
      </c>
      <c r="H7435" s="28" t="e">
        <f>VLOOKUP(E7435,'Cadastro Produtos (kiwkiw)'!C:E,3,0)</f>
        <v>#N/A</v>
      </c>
    </row>
    <row r="7436" spans="7:8" ht="15" customHeight="1" x14ac:dyDescent="0.4">
      <c r="G7436" s="27">
        <f t="shared" si="127"/>
        <v>0</v>
      </c>
      <c r="H7436" s="28" t="e">
        <f>VLOOKUP(E7436,'Cadastro Produtos (kiwkiw)'!C:E,3,0)</f>
        <v>#N/A</v>
      </c>
    </row>
    <row r="7437" spans="7:8" ht="15" customHeight="1" x14ac:dyDescent="0.4">
      <c r="G7437" s="27">
        <f t="shared" si="127"/>
        <v>0</v>
      </c>
      <c r="H7437" s="28" t="e">
        <f>VLOOKUP(E7437,'Cadastro Produtos (kiwkiw)'!C:E,3,0)</f>
        <v>#N/A</v>
      </c>
    </row>
    <row r="7438" spans="7:8" ht="15" customHeight="1" x14ac:dyDescent="0.4">
      <c r="G7438" s="27">
        <f t="shared" si="127"/>
        <v>0</v>
      </c>
      <c r="H7438" s="28" t="e">
        <f>VLOOKUP(E7438,'Cadastro Produtos (kiwkiw)'!C:E,3,0)</f>
        <v>#N/A</v>
      </c>
    </row>
    <row r="7439" spans="7:8" ht="15" customHeight="1" x14ac:dyDescent="0.4">
      <c r="G7439" s="27">
        <f t="shared" si="127"/>
        <v>0</v>
      </c>
      <c r="H7439" s="28" t="e">
        <f>VLOOKUP(E7439,'Cadastro Produtos (kiwkiw)'!C:E,3,0)</f>
        <v>#N/A</v>
      </c>
    </row>
    <row r="7440" spans="7:8" ht="15" customHeight="1" x14ac:dyDescent="0.4">
      <c r="G7440" s="27">
        <f t="shared" si="127"/>
        <v>0</v>
      </c>
      <c r="H7440" s="28" t="e">
        <f>VLOOKUP(E7440,'Cadastro Produtos (kiwkiw)'!C:E,3,0)</f>
        <v>#N/A</v>
      </c>
    </row>
    <row r="7441" spans="7:8" ht="15" customHeight="1" x14ac:dyDescent="0.4">
      <c r="G7441" s="27">
        <f t="shared" si="127"/>
        <v>0</v>
      </c>
      <c r="H7441" s="28" t="e">
        <f>VLOOKUP(E7441,'Cadastro Produtos (kiwkiw)'!C:E,3,0)</f>
        <v>#N/A</v>
      </c>
    </row>
    <row r="7442" spans="7:8" ht="15" customHeight="1" x14ac:dyDescent="0.4">
      <c r="G7442" s="27">
        <f t="shared" ref="G7442:G7505" si="128">IF(C7442="Entrada",F7442,-F7442)</f>
        <v>0</v>
      </c>
      <c r="H7442" s="28" t="e">
        <f>VLOOKUP(E7442,'Cadastro Produtos (kiwkiw)'!C:E,3,0)</f>
        <v>#N/A</v>
      </c>
    </row>
    <row r="7443" spans="7:8" ht="15" customHeight="1" x14ac:dyDescent="0.4">
      <c r="G7443" s="27">
        <f t="shared" si="128"/>
        <v>0</v>
      </c>
      <c r="H7443" s="28" t="e">
        <f>VLOOKUP(E7443,'Cadastro Produtos (kiwkiw)'!C:E,3,0)</f>
        <v>#N/A</v>
      </c>
    </row>
    <row r="7444" spans="7:8" ht="15" customHeight="1" x14ac:dyDescent="0.4">
      <c r="G7444" s="27">
        <f t="shared" si="128"/>
        <v>0</v>
      </c>
      <c r="H7444" s="28" t="e">
        <f>VLOOKUP(E7444,'Cadastro Produtos (kiwkiw)'!C:E,3,0)</f>
        <v>#N/A</v>
      </c>
    </row>
    <row r="7445" spans="7:8" ht="15" customHeight="1" x14ac:dyDescent="0.4">
      <c r="G7445" s="27">
        <f t="shared" si="128"/>
        <v>0</v>
      </c>
      <c r="H7445" s="28" t="e">
        <f>VLOOKUP(E7445,'Cadastro Produtos (kiwkiw)'!C:E,3,0)</f>
        <v>#N/A</v>
      </c>
    </row>
    <row r="7446" spans="7:8" ht="15" customHeight="1" x14ac:dyDescent="0.4">
      <c r="G7446" s="27">
        <f t="shared" si="128"/>
        <v>0</v>
      </c>
      <c r="H7446" s="28" t="e">
        <f>VLOOKUP(E7446,'Cadastro Produtos (kiwkiw)'!C:E,3,0)</f>
        <v>#N/A</v>
      </c>
    </row>
    <row r="7447" spans="7:8" ht="15" customHeight="1" x14ac:dyDescent="0.4">
      <c r="G7447" s="27">
        <f t="shared" si="128"/>
        <v>0</v>
      </c>
      <c r="H7447" s="28" t="e">
        <f>VLOOKUP(E7447,'Cadastro Produtos (kiwkiw)'!C:E,3,0)</f>
        <v>#N/A</v>
      </c>
    </row>
    <row r="7448" spans="7:8" ht="15" customHeight="1" x14ac:dyDescent="0.4">
      <c r="G7448" s="27">
        <f t="shared" si="128"/>
        <v>0</v>
      </c>
      <c r="H7448" s="28" t="e">
        <f>VLOOKUP(E7448,'Cadastro Produtos (kiwkiw)'!C:E,3,0)</f>
        <v>#N/A</v>
      </c>
    </row>
    <row r="7449" spans="7:8" ht="15" customHeight="1" x14ac:dyDescent="0.4">
      <c r="G7449" s="27">
        <f t="shared" si="128"/>
        <v>0</v>
      </c>
      <c r="H7449" s="28" t="e">
        <f>VLOOKUP(E7449,'Cadastro Produtos (kiwkiw)'!C:E,3,0)</f>
        <v>#N/A</v>
      </c>
    </row>
    <row r="7450" spans="7:8" ht="15" customHeight="1" x14ac:dyDescent="0.4">
      <c r="G7450" s="27">
        <f t="shared" si="128"/>
        <v>0</v>
      </c>
      <c r="H7450" s="28" t="e">
        <f>VLOOKUP(E7450,'Cadastro Produtos (kiwkiw)'!C:E,3,0)</f>
        <v>#N/A</v>
      </c>
    </row>
    <row r="7451" spans="7:8" ht="15" customHeight="1" x14ac:dyDescent="0.4">
      <c r="G7451" s="27">
        <f t="shared" si="128"/>
        <v>0</v>
      </c>
      <c r="H7451" s="28" t="e">
        <f>VLOOKUP(E7451,'Cadastro Produtos (kiwkiw)'!C:E,3,0)</f>
        <v>#N/A</v>
      </c>
    </row>
    <row r="7452" spans="7:8" ht="15" customHeight="1" x14ac:dyDescent="0.4">
      <c r="G7452" s="27">
        <f t="shared" si="128"/>
        <v>0</v>
      </c>
      <c r="H7452" s="28" t="e">
        <f>VLOOKUP(E7452,'Cadastro Produtos (kiwkiw)'!C:E,3,0)</f>
        <v>#N/A</v>
      </c>
    </row>
    <row r="7453" spans="7:8" ht="15" customHeight="1" x14ac:dyDescent="0.4">
      <c r="G7453" s="27">
        <f t="shared" si="128"/>
        <v>0</v>
      </c>
      <c r="H7453" s="28" t="e">
        <f>VLOOKUP(E7453,'Cadastro Produtos (kiwkiw)'!C:E,3,0)</f>
        <v>#N/A</v>
      </c>
    </row>
    <row r="7454" spans="7:8" ht="15" customHeight="1" x14ac:dyDescent="0.4">
      <c r="G7454" s="27">
        <f t="shared" si="128"/>
        <v>0</v>
      </c>
      <c r="H7454" s="28" t="e">
        <f>VLOOKUP(E7454,'Cadastro Produtos (kiwkiw)'!C:E,3,0)</f>
        <v>#N/A</v>
      </c>
    </row>
    <row r="7455" spans="7:8" ht="15" customHeight="1" x14ac:dyDescent="0.4">
      <c r="G7455" s="27">
        <f t="shared" si="128"/>
        <v>0</v>
      </c>
      <c r="H7455" s="28" t="e">
        <f>VLOOKUP(E7455,'Cadastro Produtos (kiwkiw)'!C:E,3,0)</f>
        <v>#N/A</v>
      </c>
    </row>
    <row r="7456" spans="7:8" ht="15" customHeight="1" x14ac:dyDescent="0.4">
      <c r="G7456" s="27">
        <f t="shared" si="128"/>
        <v>0</v>
      </c>
      <c r="H7456" s="28" t="e">
        <f>VLOOKUP(E7456,'Cadastro Produtos (kiwkiw)'!C:E,3,0)</f>
        <v>#N/A</v>
      </c>
    </row>
    <row r="7457" spans="7:8" ht="15" customHeight="1" x14ac:dyDescent="0.4">
      <c r="G7457" s="27">
        <f t="shared" si="128"/>
        <v>0</v>
      </c>
      <c r="H7457" s="28" t="e">
        <f>VLOOKUP(E7457,'Cadastro Produtos (kiwkiw)'!C:E,3,0)</f>
        <v>#N/A</v>
      </c>
    </row>
    <row r="7458" spans="7:8" ht="15" customHeight="1" x14ac:dyDescent="0.4">
      <c r="G7458" s="27">
        <f t="shared" si="128"/>
        <v>0</v>
      </c>
      <c r="H7458" s="28" t="e">
        <f>VLOOKUP(E7458,'Cadastro Produtos (kiwkiw)'!C:E,3,0)</f>
        <v>#N/A</v>
      </c>
    </row>
    <row r="7459" spans="7:8" ht="15" customHeight="1" x14ac:dyDescent="0.4">
      <c r="G7459" s="27">
        <f t="shared" si="128"/>
        <v>0</v>
      </c>
      <c r="H7459" s="28" t="e">
        <f>VLOOKUP(E7459,'Cadastro Produtos (kiwkiw)'!C:E,3,0)</f>
        <v>#N/A</v>
      </c>
    </row>
    <row r="7460" spans="7:8" ht="15" customHeight="1" x14ac:dyDescent="0.4">
      <c r="G7460" s="27">
        <f t="shared" si="128"/>
        <v>0</v>
      </c>
      <c r="H7460" s="28" t="e">
        <f>VLOOKUP(E7460,'Cadastro Produtos (kiwkiw)'!C:E,3,0)</f>
        <v>#N/A</v>
      </c>
    </row>
    <row r="7461" spans="7:8" ht="15" customHeight="1" x14ac:dyDescent="0.4">
      <c r="G7461" s="27">
        <f t="shared" si="128"/>
        <v>0</v>
      </c>
      <c r="H7461" s="28" t="e">
        <f>VLOOKUP(E7461,'Cadastro Produtos (kiwkiw)'!C:E,3,0)</f>
        <v>#N/A</v>
      </c>
    </row>
    <row r="7462" spans="7:8" ht="15" customHeight="1" x14ac:dyDescent="0.4">
      <c r="G7462" s="27">
        <f t="shared" si="128"/>
        <v>0</v>
      </c>
      <c r="H7462" s="28" t="e">
        <f>VLOOKUP(E7462,'Cadastro Produtos (kiwkiw)'!C:E,3,0)</f>
        <v>#N/A</v>
      </c>
    </row>
    <row r="7463" spans="7:8" ht="15" customHeight="1" x14ac:dyDescent="0.4">
      <c r="G7463" s="27">
        <f t="shared" si="128"/>
        <v>0</v>
      </c>
      <c r="H7463" s="28" t="e">
        <f>VLOOKUP(E7463,'Cadastro Produtos (kiwkiw)'!C:E,3,0)</f>
        <v>#N/A</v>
      </c>
    </row>
    <row r="7464" spans="7:8" ht="15" customHeight="1" x14ac:dyDescent="0.4">
      <c r="G7464" s="27">
        <f t="shared" si="128"/>
        <v>0</v>
      </c>
      <c r="H7464" s="28" t="e">
        <f>VLOOKUP(E7464,'Cadastro Produtos (kiwkiw)'!C:E,3,0)</f>
        <v>#N/A</v>
      </c>
    </row>
    <row r="7465" spans="7:8" ht="15" customHeight="1" x14ac:dyDescent="0.4">
      <c r="G7465" s="27">
        <f t="shared" si="128"/>
        <v>0</v>
      </c>
      <c r="H7465" s="28" t="e">
        <f>VLOOKUP(E7465,'Cadastro Produtos (kiwkiw)'!C:E,3,0)</f>
        <v>#N/A</v>
      </c>
    </row>
    <row r="7466" spans="7:8" ht="15" customHeight="1" x14ac:dyDescent="0.4">
      <c r="G7466" s="27">
        <f t="shared" si="128"/>
        <v>0</v>
      </c>
      <c r="H7466" s="28" t="e">
        <f>VLOOKUP(E7466,'Cadastro Produtos (kiwkiw)'!C:E,3,0)</f>
        <v>#N/A</v>
      </c>
    </row>
    <row r="7467" spans="7:8" ht="15" customHeight="1" x14ac:dyDescent="0.4">
      <c r="G7467" s="27">
        <f t="shared" si="128"/>
        <v>0</v>
      </c>
      <c r="H7467" s="28" t="e">
        <f>VLOOKUP(E7467,'Cadastro Produtos (kiwkiw)'!C:E,3,0)</f>
        <v>#N/A</v>
      </c>
    </row>
    <row r="7468" spans="7:8" ht="15" customHeight="1" x14ac:dyDescent="0.4">
      <c r="G7468" s="27">
        <f t="shared" si="128"/>
        <v>0</v>
      </c>
      <c r="H7468" s="28" t="e">
        <f>VLOOKUP(E7468,'Cadastro Produtos (kiwkiw)'!C:E,3,0)</f>
        <v>#N/A</v>
      </c>
    </row>
    <row r="7469" spans="7:8" ht="15" customHeight="1" x14ac:dyDescent="0.4">
      <c r="G7469" s="27">
        <f t="shared" si="128"/>
        <v>0</v>
      </c>
      <c r="H7469" s="28" t="e">
        <f>VLOOKUP(E7469,'Cadastro Produtos (kiwkiw)'!C:E,3,0)</f>
        <v>#N/A</v>
      </c>
    </row>
    <row r="7470" spans="7:8" ht="15" customHeight="1" x14ac:dyDescent="0.4">
      <c r="G7470" s="27">
        <f t="shared" si="128"/>
        <v>0</v>
      </c>
      <c r="H7470" s="28" t="e">
        <f>VLOOKUP(E7470,'Cadastro Produtos (kiwkiw)'!C:E,3,0)</f>
        <v>#N/A</v>
      </c>
    </row>
    <row r="7471" spans="7:8" ht="15" customHeight="1" x14ac:dyDescent="0.4">
      <c r="G7471" s="27">
        <f t="shared" si="128"/>
        <v>0</v>
      </c>
      <c r="H7471" s="28" t="e">
        <f>VLOOKUP(E7471,'Cadastro Produtos (kiwkiw)'!C:E,3,0)</f>
        <v>#N/A</v>
      </c>
    </row>
    <row r="7472" spans="7:8" ht="15" customHeight="1" x14ac:dyDescent="0.4">
      <c r="G7472" s="27">
        <f t="shared" si="128"/>
        <v>0</v>
      </c>
      <c r="H7472" s="28" t="e">
        <f>VLOOKUP(E7472,'Cadastro Produtos (kiwkiw)'!C:E,3,0)</f>
        <v>#N/A</v>
      </c>
    </row>
    <row r="7473" spans="2:8" ht="15" customHeight="1" x14ac:dyDescent="0.4">
      <c r="G7473" s="27">
        <f t="shared" si="128"/>
        <v>0</v>
      </c>
      <c r="H7473" s="28" t="e">
        <f>VLOOKUP(E7473,'Cadastro Produtos (kiwkiw)'!C:E,3,0)</f>
        <v>#N/A</v>
      </c>
    </row>
    <row r="7474" spans="2:8" ht="15" customHeight="1" x14ac:dyDescent="0.4">
      <c r="G7474" s="27">
        <f t="shared" si="128"/>
        <v>0</v>
      </c>
      <c r="H7474" s="28" t="e">
        <f>VLOOKUP(E7474,'Cadastro Produtos (kiwkiw)'!C:E,3,0)</f>
        <v>#N/A</v>
      </c>
    </row>
    <row r="7475" spans="2:8" ht="15" customHeight="1" x14ac:dyDescent="0.4">
      <c r="G7475" s="27">
        <f t="shared" si="128"/>
        <v>0</v>
      </c>
      <c r="H7475" s="28" t="e">
        <f>VLOOKUP(E7475,'Cadastro Produtos (kiwkiw)'!C:E,3,0)</f>
        <v>#N/A</v>
      </c>
    </row>
    <row r="7476" spans="2:8" ht="15" customHeight="1" x14ac:dyDescent="0.4">
      <c r="G7476" s="27">
        <f t="shared" si="128"/>
        <v>0</v>
      </c>
      <c r="H7476" s="28" t="e">
        <f>VLOOKUP(E7476,'Cadastro Produtos (kiwkiw)'!C:E,3,0)</f>
        <v>#N/A</v>
      </c>
    </row>
    <row r="7477" spans="2:8" ht="15" customHeight="1" x14ac:dyDescent="0.4">
      <c r="G7477" s="27">
        <f t="shared" si="128"/>
        <v>0</v>
      </c>
      <c r="H7477" s="28" t="e">
        <f>VLOOKUP(E7477,'Cadastro Produtos (kiwkiw)'!C:E,3,0)</f>
        <v>#N/A</v>
      </c>
    </row>
    <row r="7478" spans="2:8" ht="15" customHeight="1" x14ac:dyDescent="0.4">
      <c r="G7478" s="27">
        <f t="shared" si="128"/>
        <v>0</v>
      </c>
      <c r="H7478" s="28" t="e">
        <f>VLOOKUP(E7478,'Cadastro Produtos (kiwkiw)'!C:E,3,0)</f>
        <v>#N/A</v>
      </c>
    </row>
    <row r="7479" spans="2:8" ht="15" customHeight="1" x14ac:dyDescent="0.4">
      <c r="G7479" s="27">
        <f t="shared" si="128"/>
        <v>0</v>
      </c>
      <c r="H7479" s="28" t="e">
        <f>VLOOKUP(E7479,'Cadastro Produtos (kiwkiw)'!C:E,3,0)</f>
        <v>#N/A</v>
      </c>
    </row>
    <row r="7480" spans="2:8" ht="15" customHeight="1" x14ac:dyDescent="0.4">
      <c r="G7480" s="27">
        <f t="shared" si="128"/>
        <v>0</v>
      </c>
      <c r="H7480" s="28" t="e">
        <f>VLOOKUP(E7480,'Cadastro Produtos (kiwkiw)'!C:E,3,0)</f>
        <v>#N/A</v>
      </c>
    </row>
    <row r="7481" spans="2:8" ht="15" customHeight="1" x14ac:dyDescent="0.4">
      <c r="G7481" s="27">
        <f t="shared" si="128"/>
        <v>0</v>
      </c>
      <c r="H7481" s="28" t="e">
        <f>VLOOKUP(E7481,'Cadastro Produtos (kiwkiw)'!C:E,3,0)</f>
        <v>#N/A</v>
      </c>
    </row>
    <row r="7482" spans="2:8" ht="15" customHeight="1" x14ac:dyDescent="0.4">
      <c r="G7482" s="27">
        <f t="shared" si="128"/>
        <v>0</v>
      </c>
      <c r="H7482" s="28" t="e">
        <f>VLOOKUP(E7482,'Cadastro Produtos (kiwkiw)'!C:E,3,0)</f>
        <v>#N/A</v>
      </c>
    </row>
    <row r="7483" spans="2:8" ht="15" customHeight="1" x14ac:dyDescent="0.4">
      <c r="G7483" s="27">
        <f t="shared" si="128"/>
        <v>0</v>
      </c>
      <c r="H7483" s="28" t="e">
        <f>VLOOKUP(E7483,'Cadastro Produtos (kiwkiw)'!C:E,3,0)</f>
        <v>#N/A</v>
      </c>
    </row>
    <row r="7484" spans="2:8" ht="15" customHeight="1" x14ac:dyDescent="0.4">
      <c r="B7484" s="43"/>
      <c r="G7484" s="27">
        <f t="shared" si="128"/>
        <v>0</v>
      </c>
      <c r="H7484" s="28" t="e">
        <f>VLOOKUP(E7484,'Cadastro Produtos (kiwkiw)'!C:E,3,0)</f>
        <v>#N/A</v>
      </c>
    </row>
    <row r="7485" spans="2:8" ht="15" customHeight="1" x14ac:dyDescent="0.4">
      <c r="G7485" s="27">
        <f t="shared" si="128"/>
        <v>0</v>
      </c>
      <c r="H7485" s="28" t="e">
        <f>VLOOKUP(E7485,'Cadastro Produtos (kiwkiw)'!C:E,3,0)</f>
        <v>#N/A</v>
      </c>
    </row>
    <row r="7486" spans="2:8" ht="15" customHeight="1" x14ac:dyDescent="0.4">
      <c r="G7486" s="27">
        <f t="shared" si="128"/>
        <v>0</v>
      </c>
      <c r="H7486" s="28" t="e">
        <f>VLOOKUP(E7486,'Cadastro Produtos (kiwkiw)'!C:E,3,0)</f>
        <v>#N/A</v>
      </c>
    </row>
    <row r="7487" spans="2:8" ht="15" customHeight="1" x14ac:dyDescent="0.4">
      <c r="G7487" s="27">
        <f t="shared" si="128"/>
        <v>0</v>
      </c>
      <c r="H7487" s="28" t="e">
        <f>VLOOKUP(E7487,'Cadastro Produtos (kiwkiw)'!C:E,3,0)</f>
        <v>#N/A</v>
      </c>
    </row>
    <row r="7488" spans="2:8" ht="15" customHeight="1" x14ac:dyDescent="0.4">
      <c r="G7488" s="27">
        <f t="shared" si="128"/>
        <v>0</v>
      </c>
      <c r="H7488" s="28" t="e">
        <f>VLOOKUP(E7488,'Cadastro Produtos (kiwkiw)'!C:E,3,0)</f>
        <v>#N/A</v>
      </c>
    </row>
    <row r="7489" spans="7:8" ht="15" customHeight="1" x14ac:dyDescent="0.4">
      <c r="G7489" s="27">
        <f t="shared" si="128"/>
        <v>0</v>
      </c>
      <c r="H7489" s="28" t="e">
        <f>VLOOKUP(E7489,'Cadastro Produtos (kiwkiw)'!C:E,3,0)</f>
        <v>#N/A</v>
      </c>
    </row>
    <row r="7490" spans="7:8" ht="15" customHeight="1" x14ac:dyDescent="0.4">
      <c r="G7490" s="27">
        <f t="shared" si="128"/>
        <v>0</v>
      </c>
      <c r="H7490" s="28" t="e">
        <f>VLOOKUP(E7490,'Cadastro Produtos (kiwkiw)'!C:E,3,0)</f>
        <v>#N/A</v>
      </c>
    </row>
    <row r="7491" spans="7:8" ht="15" customHeight="1" x14ac:dyDescent="0.4">
      <c r="G7491" s="27">
        <f t="shared" si="128"/>
        <v>0</v>
      </c>
      <c r="H7491" s="28" t="e">
        <f>VLOOKUP(E7491,'Cadastro Produtos (kiwkiw)'!C:E,3,0)</f>
        <v>#N/A</v>
      </c>
    </row>
    <row r="7492" spans="7:8" ht="15" customHeight="1" x14ac:dyDescent="0.4">
      <c r="G7492" s="27">
        <f t="shared" si="128"/>
        <v>0</v>
      </c>
      <c r="H7492" s="28" t="e">
        <f>VLOOKUP(E7492,'Cadastro Produtos (kiwkiw)'!C:E,3,0)</f>
        <v>#N/A</v>
      </c>
    </row>
    <row r="7493" spans="7:8" ht="15" customHeight="1" x14ac:dyDescent="0.4">
      <c r="G7493" s="27">
        <f t="shared" si="128"/>
        <v>0</v>
      </c>
      <c r="H7493" s="28" t="e">
        <f>VLOOKUP(E7493,'Cadastro Produtos (kiwkiw)'!C:E,3,0)</f>
        <v>#N/A</v>
      </c>
    </row>
    <row r="7494" spans="7:8" ht="15" customHeight="1" x14ac:dyDescent="0.4">
      <c r="G7494" s="27">
        <f t="shared" si="128"/>
        <v>0</v>
      </c>
      <c r="H7494" s="28" t="e">
        <f>VLOOKUP(E7494,'Cadastro Produtos (kiwkiw)'!C:E,3,0)</f>
        <v>#N/A</v>
      </c>
    </row>
    <row r="7495" spans="7:8" ht="15" customHeight="1" x14ac:dyDescent="0.4">
      <c r="G7495" s="27">
        <f t="shared" si="128"/>
        <v>0</v>
      </c>
      <c r="H7495" s="28" t="e">
        <f>VLOOKUP(E7495,'Cadastro Produtos (kiwkiw)'!C:E,3,0)</f>
        <v>#N/A</v>
      </c>
    </row>
    <row r="7496" spans="7:8" ht="15" customHeight="1" x14ac:dyDescent="0.4">
      <c r="G7496" s="27">
        <f t="shared" si="128"/>
        <v>0</v>
      </c>
      <c r="H7496" s="28" t="e">
        <f>VLOOKUP(E7496,'Cadastro Produtos (kiwkiw)'!C:E,3,0)</f>
        <v>#N/A</v>
      </c>
    </row>
    <row r="7497" spans="7:8" ht="15" customHeight="1" x14ac:dyDescent="0.4">
      <c r="G7497" s="27">
        <f t="shared" si="128"/>
        <v>0</v>
      </c>
      <c r="H7497" s="28" t="e">
        <f>VLOOKUP(E7497,'Cadastro Produtos (kiwkiw)'!C:E,3,0)</f>
        <v>#N/A</v>
      </c>
    </row>
    <row r="7498" spans="7:8" ht="15" customHeight="1" x14ac:dyDescent="0.4">
      <c r="G7498" s="27">
        <f t="shared" si="128"/>
        <v>0</v>
      </c>
      <c r="H7498" s="28" t="e">
        <f>VLOOKUP(E7498,'Cadastro Produtos (kiwkiw)'!C:E,3,0)</f>
        <v>#N/A</v>
      </c>
    </row>
    <row r="7499" spans="7:8" ht="15" customHeight="1" x14ac:dyDescent="0.4">
      <c r="G7499" s="27">
        <f t="shared" si="128"/>
        <v>0</v>
      </c>
      <c r="H7499" s="28" t="e">
        <f>VLOOKUP(E7499,'Cadastro Produtos (kiwkiw)'!C:E,3,0)</f>
        <v>#N/A</v>
      </c>
    </row>
    <row r="7500" spans="7:8" ht="15" customHeight="1" x14ac:dyDescent="0.4">
      <c r="G7500" s="27">
        <f t="shared" si="128"/>
        <v>0</v>
      </c>
      <c r="H7500" s="28" t="e">
        <f>VLOOKUP(E7500,'Cadastro Produtos (kiwkiw)'!C:E,3,0)</f>
        <v>#N/A</v>
      </c>
    </row>
    <row r="7501" spans="7:8" ht="15" customHeight="1" x14ac:dyDescent="0.4">
      <c r="G7501" s="27">
        <f t="shared" si="128"/>
        <v>0</v>
      </c>
      <c r="H7501" s="28" t="e">
        <f>VLOOKUP(E7501,'Cadastro Produtos (kiwkiw)'!C:E,3,0)</f>
        <v>#N/A</v>
      </c>
    </row>
    <row r="7502" spans="7:8" ht="15" customHeight="1" x14ac:dyDescent="0.4">
      <c r="G7502" s="27">
        <f t="shared" si="128"/>
        <v>0</v>
      </c>
      <c r="H7502" s="28" t="e">
        <f>VLOOKUP(E7502,'Cadastro Produtos (kiwkiw)'!C:E,3,0)</f>
        <v>#N/A</v>
      </c>
    </row>
    <row r="7503" spans="7:8" ht="15" customHeight="1" x14ac:dyDescent="0.4">
      <c r="G7503" s="27">
        <f t="shared" si="128"/>
        <v>0</v>
      </c>
      <c r="H7503" s="28" t="e">
        <f>VLOOKUP(E7503,'Cadastro Produtos (kiwkiw)'!C:E,3,0)</f>
        <v>#N/A</v>
      </c>
    </row>
    <row r="7504" spans="7:8" ht="15" customHeight="1" x14ac:dyDescent="0.4">
      <c r="G7504" s="27">
        <f t="shared" si="128"/>
        <v>0</v>
      </c>
      <c r="H7504" s="28" t="e">
        <f>VLOOKUP(E7504,'Cadastro Produtos (kiwkiw)'!C:E,3,0)</f>
        <v>#N/A</v>
      </c>
    </row>
    <row r="7505" spans="7:8" ht="15" customHeight="1" x14ac:dyDescent="0.4">
      <c r="G7505" s="27">
        <f t="shared" si="128"/>
        <v>0</v>
      </c>
      <c r="H7505" s="28" t="e">
        <f>VLOOKUP(E7505,'Cadastro Produtos (kiwkiw)'!C:E,3,0)</f>
        <v>#N/A</v>
      </c>
    </row>
    <row r="7506" spans="7:8" ht="15" customHeight="1" x14ac:dyDescent="0.4">
      <c r="G7506" s="27">
        <f t="shared" ref="G7506:G7569" si="129">IF(C7506="Entrada",F7506,-F7506)</f>
        <v>0</v>
      </c>
      <c r="H7506" s="28" t="e">
        <f>VLOOKUP(E7506,'Cadastro Produtos (kiwkiw)'!C:E,3,0)</f>
        <v>#N/A</v>
      </c>
    </row>
    <row r="7507" spans="7:8" ht="15" customHeight="1" x14ac:dyDescent="0.4">
      <c r="G7507" s="27">
        <f t="shared" si="129"/>
        <v>0</v>
      </c>
      <c r="H7507" s="28" t="e">
        <f>VLOOKUP(E7507,'Cadastro Produtos (kiwkiw)'!C:E,3,0)</f>
        <v>#N/A</v>
      </c>
    </row>
    <row r="7508" spans="7:8" ht="15" customHeight="1" x14ac:dyDescent="0.4">
      <c r="G7508" s="27">
        <f t="shared" si="129"/>
        <v>0</v>
      </c>
      <c r="H7508" s="28" t="e">
        <f>VLOOKUP(E7508,'Cadastro Produtos (kiwkiw)'!C:E,3,0)</f>
        <v>#N/A</v>
      </c>
    </row>
    <row r="7509" spans="7:8" ht="15" customHeight="1" x14ac:dyDescent="0.4">
      <c r="G7509" s="27">
        <f t="shared" si="129"/>
        <v>0</v>
      </c>
      <c r="H7509" s="28" t="e">
        <f>VLOOKUP(E7509,'Cadastro Produtos (kiwkiw)'!C:E,3,0)</f>
        <v>#N/A</v>
      </c>
    </row>
    <row r="7510" spans="7:8" ht="15" customHeight="1" x14ac:dyDescent="0.4">
      <c r="G7510" s="27">
        <f t="shared" si="129"/>
        <v>0</v>
      </c>
      <c r="H7510" s="28" t="e">
        <f>VLOOKUP(E7510,'Cadastro Produtos (kiwkiw)'!C:E,3,0)</f>
        <v>#N/A</v>
      </c>
    </row>
    <row r="7511" spans="7:8" ht="15" customHeight="1" x14ac:dyDescent="0.4">
      <c r="G7511" s="27">
        <f t="shared" si="129"/>
        <v>0</v>
      </c>
      <c r="H7511" s="28" t="e">
        <f>VLOOKUP(E7511,'Cadastro Produtos (kiwkiw)'!C:E,3,0)</f>
        <v>#N/A</v>
      </c>
    </row>
    <row r="7512" spans="7:8" ht="15" customHeight="1" x14ac:dyDescent="0.4">
      <c r="G7512" s="27">
        <f t="shared" si="129"/>
        <v>0</v>
      </c>
      <c r="H7512" s="28" t="e">
        <f>VLOOKUP(E7512,'Cadastro Produtos (kiwkiw)'!C:E,3,0)</f>
        <v>#N/A</v>
      </c>
    </row>
    <row r="7513" spans="7:8" ht="15" customHeight="1" x14ac:dyDescent="0.4">
      <c r="G7513" s="27">
        <f t="shared" si="129"/>
        <v>0</v>
      </c>
      <c r="H7513" s="28" t="e">
        <f>VLOOKUP(E7513,'Cadastro Produtos (kiwkiw)'!C:E,3,0)</f>
        <v>#N/A</v>
      </c>
    </row>
    <row r="7514" spans="7:8" ht="15" customHeight="1" x14ac:dyDescent="0.4">
      <c r="G7514" s="27">
        <f t="shared" si="129"/>
        <v>0</v>
      </c>
      <c r="H7514" s="28" t="e">
        <f>VLOOKUP(E7514,'Cadastro Produtos (kiwkiw)'!C:E,3,0)</f>
        <v>#N/A</v>
      </c>
    </row>
    <row r="7515" spans="7:8" ht="15" customHeight="1" x14ac:dyDescent="0.4">
      <c r="G7515" s="27">
        <f t="shared" si="129"/>
        <v>0</v>
      </c>
      <c r="H7515" s="28" t="e">
        <f>VLOOKUP(E7515,'Cadastro Produtos (kiwkiw)'!C:E,3,0)</f>
        <v>#N/A</v>
      </c>
    </row>
    <row r="7516" spans="7:8" ht="15" customHeight="1" x14ac:dyDescent="0.4">
      <c r="G7516" s="27">
        <f t="shared" si="129"/>
        <v>0</v>
      </c>
      <c r="H7516" s="28" t="e">
        <f>VLOOKUP(E7516,'Cadastro Produtos (kiwkiw)'!C:E,3,0)</f>
        <v>#N/A</v>
      </c>
    </row>
    <row r="7517" spans="7:8" ht="15" customHeight="1" x14ac:dyDescent="0.4">
      <c r="G7517" s="27">
        <f t="shared" si="129"/>
        <v>0</v>
      </c>
      <c r="H7517" s="28" t="e">
        <f>VLOOKUP(E7517,'Cadastro Produtos (kiwkiw)'!C:E,3,0)</f>
        <v>#N/A</v>
      </c>
    </row>
    <row r="7518" spans="7:8" ht="15" customHeight="1" x14ac:dyDescent="0.4">
      <c r="G7518" s="27">
        <f t="shared" si="129"/>
        <v>0</v>
      </c>
      <c r="H7518" s="28" t="e">
        <f>VLOOKUP(E7518,'Cadastro Produtos (kiwkiw)'!C:E,3,0)</f>
        <v>#N/A</v>
      </c>
    </row>
    <row r="7519" spans="7:8" ht="15" customHeight="1" x14ac:dyDescent="0.4">
      <c r="G7519" s="27">
        <f t="shared" si="129"/>
        <v>0</v>
      </c>
      <c r="H7519" s="28" t="e">
        <f>VLOOKUP(E7519,'Cadastro Produtos (kiwkiw)'!C:E,3,0)</f>
        <v>#N/A</v>
      </c>
    </row>
    <row r="7520" spans="7:8" ht="15" customHeight="1" x14ac:dyDescent="0.4">
      <c r="G7520" s="27">
        <f t="shared" si="129"/>
        <v>0</v>
      </c>
      <c r="H7520" s="28" t="e">
        <f>VLOOKUP(E7520,'Cadastro Produtos (kiwkiw)'!C:E,3,0)</f>
        <v>#N/A</v>
      </c>
    </row>
    <row r="7521" spans="2:8" ht="15" customHeight="1" x14ac:dyDescent="0.4">
      <c r="G7521" s="27">
        <f t="shared" si="129"/>
        <v>0</v>
      </c>
      <c r="H7521" s="28" t="e">
        <f>VLOOKUP(E7521,'Cadastro Produtos (kiwkiw)'!C:E,3,0)</f>
        <v>#N/A</v>
      </c>
    </row>
    <row r="7522" spans="2:8" ht="15" customHeight="1" x14ac:dyDescent="0.4">
      <c r="G7522" s="27">
        <f t="shared" si="129"/>
        <v>0</v>
      </c>
      <c r="H7522" s="28" t="e">
        <f>VLOOKUP(E7522,'Cadastro Produtos (kiwkiw)'!C:E,3,0)</f>
        <v>#N/A</v>
      </c>
    </row>
    <row r="7523" spans="2:8" ht="15" customHeight="1" x14ac:dyDescent="0.4">
      <c r="G7523" s="27">
        <f t="shared" si="129"/>
        <v>0</v>
      </c>
      <c r="H7523" s="28" t="e">
        <f>VLOOKUP(E7523,'Cadastro Produtos (kiwkiw)'!C:E,3,0)</f>
        <v>#N/A</v>
      </c>
    </row>
    <row r="7524" spans="2:8" ht="15" customHeight="1" x14ac:dyDescent="0.4">
      <c r="G7524" s="27">
        <f t="shared" si="129"/>
        <v>0</v>
      </c>
      <c r="H7524" s="28" t="e">
        <f>VLOOKUP(E7524,'Cadastro Produtos (kiwkiw)'!C:E,3,0)</f>
        <v>#N/A</v>
      </c>
    </row>
    <row r="7525" spans="2:8" ht="15" customHeight="1" x14ac:dyDescent="0.4">
      <c r="G7525" s="27">
        <f t="shared" si="129"/>
        <v>0</v>
      </c>
      <c r="H7525" s="28" t="e">
        <f>VLOOKUP(E7525,'Cadastro Produtos (kiwkiw)'!C:E,3,0)</f>
        <v>#N/A</v>
      </c>
    </row>
    <row r="7526" spans="2:8" ht="15" customHeight="1" x14ac:dyDescent="0.4">
      <c r="G7526" s="27">
        <f t="shared" si="129"/>
        <v>0</v>
      </c>
      <c r="H7526" s="28" t="e">
        <f>VLOOKUP(E7526,'Cadastro Produtos (kiwkiw)'!C:E,3,0)</f>
        <v>#N/A</v>
      </c>
    </row>
    <row r="7527" spans="2:8" ht="15" customHeight="1" x14ac:dyDescent="0.4">
      <c r="G7527" s="27">
        <f t="shared" si="129"/>
        <v>0</v>
      </c>
      <c r="H7527" s="28" t="e">
        <f>VLOOKUP(E7527,'Cadastro Produtos (kiwkiw)'!C:E,3,0)</f>
        <v>#N/A</v>
      </c>
    </row>
    <row r="7528" spans="2:8" ht="15" customHeight="1" x14ac:dyDescent="0.4">
      <c r="G7528" s="27">
        <f t="shared" si="129"/>
        <v>0</v>
      </c>
      <c r="H7528" s="28" t="e">
        <f>VLOOKUP(E7528,'Cadastro Produtos (kiwkiw)'!C:E,3,0)</f>
        <v>#N/A</v>
      </c>
    </row>
    <row r="7529" spans="2:8" ht="15" customHeight="1" x14ac:dyDescent="0.4">
      <c r="G7529" s="27">
        <f t="shared" si="129"/>
        <v>0</v>
      </c>
      <c r="H7529" s="28" t="e">
        <f>VLOOKUP(E7529,'Cadastro Produtos (kiwkiw)'!C:E,3,0)</f>
        <v>#N/A</v>
      </c>
    </row>
    <row r="7530" spans="2:8" ht="15" customHeight="1" x14ac:dyDescent="0.4">
      <c r="G7530" s="27">
        <f t="shared" si="129"/>
        <v>0</v>
      </c>
      <c r="H7530" s="28" t="e">
        <f>VLOOKUP(E7530,'Cadastro Produtos (kiwkiw)'!C:E,3,0)</f>
        <v>#N/A</v>
      </c>
    </row>
    <row r="7531" spans="2:8" ht="15" customHeight="1" x14ac:dyDescent="0.4">
      <c r="G7531" s="27">
        <f t="shared" si="129"/>
        <v>0</v>
      </c>
      <c r="H7531" s="28" t="e">
        <f>VLOOKUP(E7531,'Cadastro Produtos (kiwkiw)'!C:E,3,0)</f>
        <v>#N/A</v>
      </c>
    </row>
    <row r="7532" spans="2:8" ht="15" customHeight="1" x14ac:dyDescent="0.4">
      <c r="G7532" s="27">
        <f t="shared" si="129"/>
        <v>0</v>
      </c>
      <c r="H7532" s="28" t="e">
        <f>VLOOKUP(E7532,'Cadastro Produtos (kiwkiw)'!C:E,3,0)</f>
        <v>#N/A</v>
      </c>
    </row>
    <row r="7533" spans="2:8" ht="15" customHeight="1" x14ac:dyDescent="0.4">
      <c r="G7533" s="27">
        <f t="shared" si="129"/>
        <v>0</v>
      </c>
      <c r="H7533" s="28" t="e">
        <f>VLOOKUP(E7533,'Cadastro Produtos (kiwkiw)'!C:E,3,0)</f>
        <v>#N/A</v>
      </c>
    </row>
    <row r="7534" spans="2:8" ht="15" customHeight="1" x14ac:dyDescent="0.4">
      <c r="G7534" s="27">
        <f t="shared" si="129"/>
        <v>0</v>
      </c>
      <c r="H7534" s="28" t="e">
        <f>VLOOKUP(E7534,'Cadastro Produtos (kiwkiw)'!C:E,3,0)</f>
        <v>#N/A</v>
      </c>
    </row>
    <row r="7535" spans="2:8" ht="15" customHeight="1" x14ac:dyDescent="0.4">
      <c r="G7535" s="27">
        <f t="shared" si="129"/>
        <v>0</v>
      </c>
      <c r="H7535" s="28" t="e">
        <f>VLOOKUP(E7535,'Cadastro Produtos (kiwkiw)'!C:E,3,0)</f>
        <v>#N/A</v>
      </c>
    </row>
    <row r="7536" spans="2:8" ht="15" customHeight="1" x14ac:dyDescent="0.4">
      <c r="B7536" s="43"/>
      <c r="G7536" s="27">
        <f t="shared" si="129"/>
        <v>0</v>
      </c>
      <c r="H7536" s="28" t="e">
        <f>VLOOKUP(E7536,'Cadastro Produtos (kiwkiw)'!C:E,3,0)</f>
        <v>#N/A</v>
      </c>
    </row>
    <row r="7537" spans="2:8" ht="15" customHeight="1" x14ac:dyDescent="0.4">
      <c r="B7537" s="43"/>
      <c r="G7537" s="27">
        <f t="shared" si="129"/>
        <v>0</v>
      </c>
      <c r="H7537" s="28" t="e">
        <f>VLOOKUP(E7537,'Cadastro Produtos (kiwkiw)'!C:E,3,0)</f>
        <v>#N/A</v>
      </c>
    </row>
    <row r="7538" spans="2:8" ht="15" customHeight="1" x14ac:dyDescent="0.4">
      <c r="G7538" s="27">
        <f t="shared" si="129"/>
        <v>0</v>
      </c>
      <c r="H7538" s="28" t="e">
        <f>VLOOKUP(E7538,'Cadastro Produtos (kiwkiw)'!C:E,3,0)</f>
        <v>#N/A</v>
      </c>
    </row>
    <row r="7539" spans="2:8" ht="15" customHeight="1" x14ac:dyDescent="0.4">
      <c r="G7539" s="27">
        <f t="shared" si="129"/>
        <v>0</v>
      </c>
      <c r="H7539" s="28" t="e">
        <f>VLOOKUP(E7539,'Cadastro Produtos (kiwkiw)'!C:E,3,0)</f>
        <v>#N/A</v>
      </c>
    </row>
    <row r="7540" spans="2:8" ht="15" customHeight="1" x14ac:dyDescent="0.4">
      <c r="G7540" s="27">
        <f t="shared" si="129"/>
        <v>0</v>
      </c>
      <c r="H7540" s="28" t="e">
        <f>VLOOKUP(E7540,'Cadastro Produtos (kiwkiw)'!C:E,3,0)</f>
        <v>#N/A</v>
      </c>
    </row>
    <row r="7541" spans="2:8" ht="15" customHeight="1" x14ac:dyDescent="0.4">
      <c r="G7541" s="27">
        <f t="shared" si="129"/>
        <v>0</v>
      </c>
      <c r="H7541" s="28" t="e">
        <f>VLOOKUP(E7541,'Cadastro Produtos (kiwkiw)'!C:E,3,0)</f>
        <v>#N/A</v>
      </c>
    </row>
    <row r="7542" spans="2:8" ht="15" customHeight="1" x14ac:dyDescent="0.4">
      <c r="G7542" s="27">
        <f t="shared" si="129"/>
        <v>0</v>
      </c>
      <c r="H7542" s="28" t="e">
        <f>VLOOKUP(E7542,'Cadastro Produtos (kiwkiw)'!C:E,3,0)</f>
        <v>#N/A</v>
      </c>
    </row>
    <row r="7543" spans="2:8" ht="15" customHeight="1" x14ac:dyDescent="0.4">
      <c r="G7543" s="27">
        <f t="shared" si="129"/>
        <v>0</v>
      </c>
      <c r="H7543" s="28" t="e">
        <f>VLOOKUP(E7543,'Cadastro Produtos (kiwkiw)'!C:E,3,0)</f>
        <v>#N/A</v>
      </c>
    </row>
    <row r="7544" spans="2:8" ht="15" customHeight="1" x14ac:dyDescent="0.4">
      <c r="G7544" s="27">
        <f t="shared" si="129"/>
        <v>0</v>
      </c>
      <c r="H7544" s="28" t="e">
        <f>VLOOKUP(E7544,'Cadastro Produtos (kiwkiw)'!C:E,3,0)</f>
        <v>#N/A</v>
      </c>
    </row>
    <row r="7545" spans="2:8" ht="15" customHeight="1" x14ac:dyDescent="0.4">
      <c r="G7545" s="27">
        <f t="shared" si="129"/>
        <v>0</v>
      </c>
      <c r="H7545" s="28" t="e">
        <f>VLOOKUP(E7545,'Cadastro Produtos (kiwkiw)'!C:E,3,0)</f>
        <v>#N/A</v>
      </c>
    </row>
    <row r="7546" spans="2:8" ht="15" customHeight="1" x14ac:dyDescent="0.4">
      <c r="G7546" s="27">
        <f t="shared" si="129"/>
        <v>0</v>
      </c>
      <c r="H7546" s="28" t="e">
        <f>VLOOKUP(E7546,'Cadastro Produtos (kiwkiw)'!C:E,3,0)</f>
        <v>#N/A</v>
      </c>
    </row>
    <row r="7547" spans="2:8" ht="15" customHeight="1" x14ac:dyDescent="0.4">
      <c r="G7547" s="27">
        <f t="shared" si="129"/>
        <v>0</v>
      </c>
      <c r="H7547" s="28" t="e">
        <f>VLOOKUP(E7547,'Cadastro Produtos (kiwkiw)'!C:E,3,0)</f>
        <v>#N/A</v>
      </c>
    </row>
    <row r="7548" spans="2:8" ht="15" customHeight="1" x14ac:dyDescent="0.4">
      <c r="G7548" s="27">
        <f t="shared" si="129"/>
        <v>0</v>
      </c>
      <c r="H7548" s="28" t="e">
        <f>VLOOKUP(E7548,'Cadastro Produtos (kiwkiw)'!C:E,3,0)</f>
        <v>#N/A</v>
      </c>
    </row>
    <row r="7549" spans="2:8" ht="15" customHeight="1" x14ac:dyDescent="0.4">
      <c r="G7549" s="27">
        <f t="shared" si="129"/>
        <v>0</v>
      </c>
      <c r="H7549" s="28" t="e">
        <f>VLOOKUP(E7549,'Cadastro Produtos (kiwkiw)'!C:E,3,0)</f>
        <v>#N/A</v>
      </c>
    </row>
    <row r="7550" spans="2:8" ht="15" customHeight="1" x14ac:dyDescent="0.4">
      <c r="G7550" s="27">
        <f t="shared" si="129"/>
        <v>0</v>
      </c>
      <c r="H7550" s="28" t="e">
        <f>VLOOKUP(E7550,'Cadastro Produtos (kiwkiw)'!C:E,3,0)</f>
        <v>#N/A</v>
      </c>
    </row>
    <row r="7551" spans="2:8" ht="15" customHeight="1" x14ac:dyDescent="0.4">
      <c r="G7551" s="27">
        <f t="shared" si="129"/>
        <v>0</v>
      </c>
      <c r="H7551" s="28" t="e">
        <f>VLOOKUP(E7551,'Cadastro Produtos (kiwkiw)'!C:E,3,0)</f>
        <v>#N/A</v>
      </c>
    </row>
    <row r="7552" spans="2:8" ht="15" customHeight="1" x14ac:dyDescent="0.4">
      <c r="G7552" s="27">
        <f t="shared" si="129"/>
        <v>0</v>
      </c>
      <c r="H7552" s="28" t="e">
        <f>VLOOKUP(E7552,'Cadastro Produtos (kiwkiw)'!C:E,3,0)</f>
        <v>#N/A</v>
      </c>
    </row>
    <row r="7553" spans="7:8" ht="15" customHeight="1" x14ac:dyDescent="0.4">
      <c r="G7553" s="27">
        <f t="shared" si="129"/>
        <v>0</v>
      </c>
      <c r="H7553" s="28" t="e">
        <f>VLOOKUP(E7553,'Cadastro Produtos (kiwkiw)'!C:E,3,0)</f>
        <v>#N/A</v>
      </c>
    </row>
    <row r="7554" spans="7:8" ht="15" customHeight="1" x14ac:dyDescent="0.4">
      <c r="G7554" s="27">
        <f t="shared" si="129"/>
        <v>0</v>
      </c>
      <c r="H7554" s="28" t="e">
        <f>VLOOKUP(E7554,'Cadastro Produtos (kiwkiw)'!C:E,3,0)</f>
        <v>#N/A</v>
      </c>
    </row>
    <row r="7555" spans="7:8" ht="15" customHeight="1" x14ac:dyDescent="0.4">
      <c r="G7555" s="27">
        <f t="shared" si="129"/>
        <v>0</v>
      </c>
      <c r="H7555" s="28" t="e">
        <f>VLOOKUP(E7555,'Cadastro Produtos (kiwkiw)'!C:E,3,0)</f>
        <v>#N/A</v>
      </c>
    </row>
    <row r="7556" spans="7:8" ht="15" customHeight="1" x14ac:dyDescent="0.4">
      <c r="G7556" s="27">
        <f t="shared" si="129"/>
        <v>0</v>
      </c>
      <c r="H7556" s="28" t="e">
        <f>VLOOKUP(E7556,'Cadastro Produtos (kiwkiw)'!C:E,3,0)</f>
        <v>#N/A</v>
      </c>
    </row>
    <row r="7557" spans="7:8" ht="15" customHeight="1" x14ac:dyDescent="0.4">
      <c r="G7557" s="27">
        <f t="shared" si="129"/>
        <v>0</v>
      </c>
      <c r="H7557" s="28" t="e">
        <f>VLOOKUP(E7557,'Cadastro Produtos (kiwkiw)'!C:E,3,0)</f>
        <v>#N/A</v>
      </c>
    </row>
    <row r="7558" spans="7:8" ht="15" customHeight="1" x14ac:dyDescent="0.4">
      <c r="G7558" s="27">
        <f t="shared" si="129"/>
        <v>0</v>
      </c>
      <c r="H7558" s="28" t="e">
        <f>VLOOKUP(E7558,'Cadastro Produtos (kiwkiw)'!C:E,3,0)</f>
        <v>#N/A</v>
      </c>
    </row>
    <row r="7559" spans="7:8" ht="15" customHeight="1" x14ac:dyDescent="0.4">
      <c r="G7559" s="27">
        <f t="shared" si="129"/>
        <v>0</v>
      </c>
      <c r="H7559" s="28" t="e">
        <f>VLOOKUP(E7559,'Cadastro Produtos (kiwkiw)'!C:E,3,0)</f>
        <v>#N/A</v>
      </c>
    </row>
    <row r="7560" spans="7:8" ht="15" customHeight="1" x14ac:dyDescent="0.4">
      <c r="G7560" s="27">
        <f t="shared" si="129"/>
        <v>0</v>
      </c>
      <c r="H7560" s="28" t="e">
        <f>VLOOKUP(E7560,'Cadastro Produtos (kiwkiw)'!C:E,3,0)</f>
        <v>#N/A</v>
      </c>
    </row>
    <row r="7561" spans="7:8" ht="15" customHeight="1" x14ac:dyDescent="0.4">
      <c r="G7561" s="27">
        <f t="shared" si="129"/>
        <v>0</v>
      </c>
      <c r="H7561" s="28" t="e">
        <f>VLOOKUP(E7561,'Cadastro Produtos (kiwkiw)'!C:E,3,0)</f>
        <v>#N/A</v>
      </c>
    </row>
    <row r="7562" spans="7:8" ht="15" customHeight="1" x14ac:dyDescent="0.4">
      <c r="G7562" s="27">
        <f t="shared" si="129"/>
        <v>0</v>
      </c>
      <c r="H7562" s="28" t="e">
        <f>VLOOKUP(E7562,'Cadastro Produtos (kiwkiw)'!C:E,3,0)</f>
        <v>#N/A</v>
      </c>
    </row>
    <row r="7563" spans="7:8" ht="15" customHeight="1" x14ac:dyDescent="0.4">
      <c r="G7563" s="27">
        <f t="shared" si="129"/>
        <v>0</v>
      </c>
      <c r="H7563" s="28" t="e">
        <f>VLOOKUP(E7563,'Cadastro Produtos (kiwkiw)'!C:E,3,0)</f>
        <v>#N/A</v>
      </c>
    </row>
    <row r="7564" spans="7:8" ht="15" customHeight="1" x14ac:dyDescent="0.4">
      <c r="G7564" s="27">
        <f t="shared" si="129"/>
        <v>0</v>
      </c>
      <c r="H7564" s="28" t="e">
        <f>VLOOKUP(E7564,'Cadastro Produtos (kiwkiw)'!C:E,3,0)</f>
        <v>#N/A</v>
      </c>
    </row>
    <row r="7565" spans="7:8" ht="15" customHeight="1" x14ac:dyDescent="0.4">
      <c r="G7565" s="27">
        <f t="shared" si="129"/>
        <v>0</v>
      </c>
      <c r="H7565" s="28" t="e">
        <f>VLOOKUP(E7565,'Cadastro Produtos (kiwkiw)'!C:E,3,0)</f>
        <v>#N/A</v>
      </c>
    </row>
    <row r="7566" spans="7:8" ht="15" customHeight="1" x14ac:dyDescent="0.4">
      <c r="G7566" s="27">
        <f t="shared" si="129"/>
        <v>0</v>
      </c>
      <c r="H7566" s="28" t="e">
        <f>VLOOKUP(E7566,'Cadastro Produtos (kiwkiw)'!C:E,3,0)</f>
        <v>#N/A</v>
      </c>
    </row>
    <row r="7567" spans="7:8" ht="15" customHeight="1" x14ac:dyDescent="0.4">
      <c r="G7567" s="27">
        <f t="shared" si="129"/>
        <v>0</v>
      </c>
      <c r="H7567" s="28" t="e">
        <f>VLOOKUP(E7567,'Cadastro Produtos (kiwkiw)'!C:E,3,0)</f>
        <v>#N/A</v>
      </c>
    </row>
    <row r="7568" spans="7:8" ht="15" customHeight="1" x14ac:dyDescent="0.4">
      <c r="G7568" s="27">
        <f t="shared" si="129"/>
        <v>0</v>
      </c>
      <c r="H7568" s="28" t="e">
        <f>VLOOKUP(E7568,'Cadastro Produtos (kiwkiw)'!C:E,3,0)</f>
        <v>#N/A</v>
      </c>
    </row>
    <row r="7569" spans="7:8" ht="15" customHeight="1" x14ac:dyDescent="0.4">
      <c r="G7569" s="27">
        <f t="shared" si="129"/>
        <v>0</v>
      </c>
      <c r="H7569" s="28" t="e">
        <f>VLOOKUP(E7569,'Cadastro Produtos (kiwkiw)'!C:E,3,0)</f>
        <v>#N/A</v>
      </c>
    </row>
    <row r="7570" spans="7:8" ht="15" customHeight="1" x14ac:dyDescent="0.4">
      <c r="G7570" s="27">
        <f t="shared" ref="G7570:G7633" si="130">IF(C7570="Entrada",F7570,-F7570)</f>
        <v>0</v>
      </c>
      <c r="H7570" s="28" t="e">
        <f>VLOOKUP(E7570,'Cadastro Produtos (kiwkiw)'!C:E,3,0)</f>
        <v>#N/A</v>
      </c>
    </row>
    <row r="7571" spans="7:8" ht="15" customHeight="1" x14ac:dyDescent="0.4">
      <c r="G7571" s="27">
        <f t="shared" si="130"/>
        <v>0</v>
      </c>
      <c r="H7571" s="28" t="e">
        <f>VLOOKUP(E7571,'Cadastro Produtos (kiwkiw)'!C:E,3,0)</f>
        <v>#N/A</v>
      </c>
    </row>
    <row r="7572" spans="7:8" ht="15" customHeight="1" x14ac:dyDescent="0.4">
      <c r="G7572" s="27">
        <f t="shared" si="130"/>
        <v>0</v>
      </c>
      <c r="H7572" s="28" t="e">
        <f>VLOOKUP(E7572,'Cadastro Produtos (kiwkiw)'!C:E,3,0)</f>
        <v>#N/A</v>
      </c>
    </row>
    <row r="7573" spans="7:8" ht="15" customHeight="1" x14ac:dyDescent="0.4">
      <c r="G7573" s="27">
        <f t="shared" si="130"/>
        <v>0</v>
      </c>
      <c r="H7573" s="28" t="e">
        <f>VLOOKUP(E7573,'Cadastro Produtos (kiwkiw)'!C:E,3,0)</f>
        <v>#N/A</v>
      </c>
    </row>
    <row r="7574" spans="7:8" ht="15" customHeight="1" x14ac:dyDescent="0.4">
      <c r="G7574" s="27">
        <f t="shared" si="130"/>
        <v>0</v>
      </c>
      <c r="H7574" s="28" t="e">
        <f>VLOOKUP(E7574,'Cadastro Produtos (kiwkiw)'!C:E,3,0)</f>
        <v>#N/A</v>
      </c>
    </row>
    <row r="7575" spans="7:8" ht="15" customHeight="1" x14ac:dyDescent="0.4">
      <c r="G7575" s="27">
        <f t="shared" si="130"/>
        <v>0</v>
      </c>
      <c r="H7575" s="28" t="e">
        <f>VLOOKUP(E7575,'Cadastro Produtos (kiwkiw)'!C:E,3,0)</f>
        <v>#N/A</v>
      </c>
    </row>
    <row r="7576" spans="7:8" ht="15" customHeight="1" x14ac:dyDescent="0.4">
      <c r="G7576" s="27">
        <f t="shared" si="130"/>
        <v>0</v>
      </c>
      <c r="H7576" s="28" t="e">
        <f>VLOOKUP(E7576,'Cadastro Produtos (kiwkiw)'!C:E,3,0)</f>
        <v>#N/A</v>
      </c>
    </row>
    <row r="7577" spans="7:8" ht="15" customHeight="1" x14ac:dyDescent="0.4">
      <c r="G7577" s="27">
        <f t="shared" si="130"/>
        <v>0</v>
      </c>
      <c r="H7577" s="28" t="e">
        <f>VLOOKUP(E7577,'Cadastro Produtos (kiwkiw)'!C:E,3,0)</f>
        <v>#N/A</v>
      </c>
    </row>
    <row r="7578" spans="7:8" ht="15" customHeight="1" x14ac:dyDescent="0.4">
      <c r="G7578" s="27">
        <f t="shared" si="130"/>
        <v>0</v>
      </c>
      <c r="H7578" s="28" t="e">
        <f>VLOOKUP(E7578,'Cadastro Produtos (kiwkiw)'!C:E,3,0)</f>
        <v>#N/A</v>
      </c>
    </row>
    <row r="7579" spans="7:8" ht="15" customHeight="1" x14ac:dyDescent="0.4">
      <c r="G7579" s="27">
        <f t="shared" si="130"/>
        <v>0</v>
      </c>
      <c r="H7579" s="28" t="e">
        <f>VLOOKUP(E7579,'Cadastro Produtos (kiwkiw)'!C:E,3,0)</f>
        <v>#N/A</v>
      </c>
    </row>
    <row r="7580" spans="7:8" ht="15" customHeight="1" x14ac:dyDescent="0.4">
      <c r="G7580" s="27">
        <f t="shared" si="130"/>
        <v>0</v>
      </c>
      <c r="H7580" s="28" t="e">
        <f>VLOOKUP(E7580,'Cadastro Produtos (kiwkiw)'!C:E,3,0)</f>
        <v>#N/A</v>
      </c>
    </row>
    <row r="7581" spans="7:8" ht="15" customHeight="1" x14ac:dyDescent="0.4">
      <c r="G7581" s="27">
        <f t="shared" si="130"/>
        <v>0</v>
      </c>
      <c r="H7581" s="28" t="e">
        <f>VLOOKUP(E7581,'Cadastro Produtos (kiwkiw)'!C:E,3,0)</f>
        <v>#N/A</v>
      </c>
    </row>
    <row r="7582" spans="7:8" ht="15" customHeight="1" x14ac:dyDescent="0.4">
      <c r="G7582" s="27">
        <f t="shared" si="130"/>
        <v>0</v>
      </c>
      <c r="H7582" s="28" t="e">
        <f>VLOOKUP(E7582,'Cadastro Produtos (kiwkiw)'!C:E,3,0)</f>
        <v>#N/A</v>
      </c>
    </row>
    <row r="7583" spans="7:8" ht="15" customHeight="1" x14ac:dyDescent="0.4">
      <c r="G7583" s="27">
        <f t="shared" si="130"/>
        <v>0</v>
      </c>
      <c r="H7583" s="28" t="e">
        <f>VLOOKUP(E7583,'Cadastro Produtos (kiwkiw)'!C:E,3,0)</f>
        <v>#N/A</v>
      </c>
    </row>
    <row r="7584" spans="7:8" ht="15" customHeight="1" x14ac:dyDescent="0.4">
      <c r="G7584" s="27">
        <f t="shared" si="130"/>
        <v>0</v>
      </c>
      <c r="H7584" s="28" t="e">
        <f>VLOOKUP(E7584,'Cadastro Produtos (kiwkiw)'!C:E,3,0)</f>
        <v>#N/A</v>
      </c>
    </row>
    <row r="7585" spans="2:8" ht="15" customHeight="1" x14ac:dyDescent="0.4">
      <c r="G7585" s="27">
        <f t="shared" si="130"/>
        <v>0</v>
      </c>
      <c r="H7585" s="28" t="e">
        <f>VLOOKUP(E7585,'Cadastro Produtos (kiwkiw)'!C:E,3,0)</f>
        <v>#N/A</v>
      </c>
    </row>
    <row r="7586" spans="2:8" ht="15" customHeight="1" x14ac:dyDescent="0.4">
      <c r="G7586" s="27">
        <f t="shared" si="130"/>
        <v>0</v>
      </c>
      <c r="H7586" s="28" t="e">
        <f>VLOOKUP(E7586,'Cadastro Produtos (kiwkiw)'!C:E,3,0)</f>
        <v>#N/A</v>
      </c>
    </row>
    <row r="7587" spans="2:8" ht="15" customHeight="1" x14ac:dyDescent="0.4">
      <c r="G7587" s="27">
        <f t="shared" si="130"/>
        <v>0</v>
      </c>
      <c r="H7587" s="28" t="e">
        <f>VLOOKUP(E7587,'Cadastro Produtos (kiwkiw)'!C:E,3,0)</f>
        <v>#N/A</v>
      </c>
    </row>
    <row r="7588" spans="2:8" ht="15" customHeight="1" x14ac:dyDescent="0.4">
      <c r="G7588" s="27">
        <f t="shared" si="130"/>
        <v>0</v>
      </c>
      <c r="H7588" s="28" t="e">
        <f>VLOOKUP(E7588,'Cadastro Produtos (kiwkiw)'!C:E,3,0)</f>
        <v>#N/A</v>
      </c>
    </row>
    <row r="7589" spans="2:8" ht="15" customHeight="1" x14ac:dyDescent="0.4">
      <c r="G7589" s="27">
        <f t="shared" si="130"/>
        <v>0</v>
      </c>
      <c r="H7589" s="28" t="e">
        <f>VLOOKUP(E7589,'Cadastro Produtos (kiwkiw)'!C:E,3,0)</f>
        <v>#N/A</v>
      </c>
    </row>
    <row r="7590" spans="2:8" ht="15" customHeight="1" x14ac:dyDescent="0.4">
      <c r="G7590" s="27">
        <f t="shared" si="130"/>
        <v>0</v>
      </c>
      <c r="H7590" s="28" t="e">
        <f>VLOOKUP(E7590,'Cadastro Produtos (kiwkiw)'!C:E,3,0)</f>
        <v>#N/A</v>
      </c>
    </row>
    <row r="7591" spans="2:8" ht="15" customHeight="1" x14ac:dyDescent="0.4">
      <c r="G7591" s="27">
        <f t="shared" si="130"/>
        <v>0</v>
      </c>
      <c r="H7591" s="28" t="e">
        <f>VLOOKUP(E7591,'Cadastro Produtos (kiwkiw)'!C:E,3,0)</f>
        <v>#N/A</v>
      </c>
    </row>
    <row r="7592" spans="2:8" ht="15" customHeight="1" x14ac:dyDescent="0.4">
      <c r="G7592" s="27">
        <f t="shared" si="130"/>
        <v>0</v>
      </c>
      <c r="H7592" s="28" t="e">
        <f>VLOOKUP(E7592,'Cadastro Produtos (kiwkiw)'!C:E,3,0)</f>
        <v>#N/A</v>
      </c>
    </row>
    <row r="7593" spans="2:8" ht="15" customHeight="1" x14ac:dyDescent="0.4">
      <c r="G7593" s="27">
        <f t="shared" si="130"/>
        <v>0</v>
      </c>
      <c r="H7593" s="28" t="e">
        <f>VLOOKUP(E7593,'Cadastro Produtos (kiwkiw)'!C:E,3,0)</f>
        <v>#N/A</v>
      </c>
    </row>
    <row r="7594" spans="2:8" ht="15" customHeight="1" x14ac:dyDescent="0.4">
      <c r="G7594" s="27">
        <f t="shared" si="130"/>
        <v>0</v>
      </c>
      <c r="H7594" s="28" t="e">
        <f>VLOOKUP(E7594,'Cadastro Produtos (kiwkiw)'!C:E,3,0)</f>
        <v>#N/A</v>
      </c>
    </row>
    <row r="7595" spans="2:8" ht="15" customHeight="1" x14ac:dyDescent="0.4">
      <c r="G7595" s="27">
        <f t="shared" si="130"/>
        <v>0</v>
      </c>
      <c r="H7595" s="28" t="e">
        <f>VLOOKUP(E7595,'Cadastro Produtos (kiwkiw)'!C:E,3,0)</f>
        <v>#N/A</v>
      </c>
    </row>
    <row r="7596" spans="2:8" ht="15" customHeight="1" x14ac:dyDescent="0.4">
      <c r="G7596" s="27">
        <f t="shared" si="130"/>
        <v>0</v>
      </c>
      <c r="H7596" s="28" t="e">
        <f>VLOOKUP(E7596,'Cadastro Produtos (kiwkiw)'!C:E,3,0)</f>
        <v>#N/A</v>
      </c>
    </row>
    <row r="7597" spans="2:8" ht="15" customHeight="1" x14ac:dyDescent="0.4">
      <c r="G7597" s="27">
        <f t="shared" si="130"/>
        <v>0</v>
      </c>
      <c r="H7597" s="28" t="e">
        <f>VLOOKUP(E7597,'Cadastro Produtos (kiwkiw)'!C:E,3,0)</f>
        <v>#N/A</v>
      </c>
    </row>
    <row r="7598" spans="2:8" ht="15" customHeight="1" x14ac:dyDescent="0.4">
      <c r="G7598" s="27">
        <f t="shared" si="130"/>
        <v>0</v>
      </c>
      <c r="H7598" s="28" t="e">
        <f>VLOOKUP(E7598,'Cadastro Produtos (kiwkiw)'!C:E,3,0)</f>
        <v>#N/A</v>
      </c>
    </row>
    <row r="7599" spans="2:8" ht="15" customHeight="1" x14ac:dyDescent="0.4">
      <c r="B7599" s="43"/>
      <c r="G7599" s="27">
        <f t="shared" si="130"/>
        <v>0</v>
      </c>
      <c r="H7599" s="28" t="e">
        <f>VLOOKUP(E7599,'Cadastro Produtos (kiwkiw)'!C:E,3,0)</f>
        <v>#N/A</v>
      </c>
    </row>
    <row r="7600" spans="2:8" ht="15" customHeight="1" x14ac:dyDescent="0.4">
      <c r="B7600" s="43"/>
      <c r="G7600" s="27">
        <f t="shared" si="130"/>
        <v>0</v>
      </c>
      <c r="H7600" s="28" t="e">
        <f>VLOOKUP(E7600,'Cadastro Produtos (kiwkiw)'!C:E,3,0)</f>
        <v>#N/A</v>
      </c>
    </row>
    <row r="7601" spans="7:8" ht="15" customHeight="1" x14ac:dyDescent="0.4">
      <c r="G7601" s="27">
        <f t="shared" si="130"/>
        <v>0</v>
      </c>
      <c r="H7601" s="28" t="e">
        <f>VLOOKUP(E7601,'Cadastro Produtos (kiwkiw)'!C:E,3,0)</f>
        <v>#N/A</v>
      </c>
    </row>
    <row r="7602" spans="7:8" ht="15" customHeight="1" x14ac:dyDescent="0.4">
      <c r="G7602" s="27">
        <f t="shared" si="130"/>
        <v>0</v>
      </c>
      <c r="H7602" s="28" t="e">
        <f>VLOOKUP(E7602,'Cadastro Produtos (kiwkiw)'!C:E,3,0)</f>
        <v>#N/A</v>
      </c>
    </row>
    <row r="7603" spans="7:8" ht="15" customHeight="1" x14ac:dyDescent="0.4">
      <c r="G7603" s="27">
        <f t="shared" si="130"/>
        <v>0</v>
      </c>
      <c r="H7603" s="28" t="e">
        <f>VLOOKUP(E7603,'Cadastro Produtos (kiwkiw)'!C:E,3,0)</f>
        <v>#N/A</v>
      </c>
    </row>
    <row r="7604" spans="7:8" ht="15" customHeight="1" x14ac:dyDescent="0.4">
      <c r="G7604" s="27">
        <f t="shared" si="130"/>
        <v>0</v>
      </c>
      <c r="H7604" s="28" t="e">
        <f>VLOOKUP(E7604,'Cadastro Produtos (kiwkiw)'!C:E,3,0)</f>
        <v>#N/A</v>
      </c>
    </row>
    <row r="7605" spans="7:8" ht="15" customHeight="1" x14ac:dyDescent="0.4">
      <c r="G7605" s="27">
        <f t="shared" si="130"/>
        <v>0</v>
      </c>
      <c r="H7605" s="28" t="e">
        <f>VLOOKUP(E7605,'Cadastro Produtos (kiwkiw)'!C:E,3,0)</f>
        <v>#N/A</v>
      </c>
    </row>
    <row r="7606" spans="7:8" ht="15" customHeight="1" x14ac:dyDescent="0.4">
      <c r="G7606" s="27">
        <f t="shared" si="130"/>
        <v>0</v>
      </c>
      <c r="H7606" s="28" t="e">
        <f>VLOOKUP(E7606,'Cadastro Produtos (kiwkiw)'!C:E,3,0)</f>
        <v>#N/A</v>
      </c>
    </row>
    <row r="7607" spans="7:8" ht="15" customHeight="1" x14ac:dyDescent="0.4">
      <c r="G7607" s="27">
        <f t="shared" si="130"/>
        <v>0</v>
      </c>
      <c r="H7607" s="28" t="e">
        <f>VLOOKUP(E7607,'Cadastro Produtos (kiwkiw)'!C:E,3,0)</f>
        <v>#N/A</v>
      </c>
    </row>
    <row r="7608" spans="7:8" ht="15" customHeight="1" x14ac:dyDescent="0.4">
      <c r="G7608" s="27">
        <f t="shared" si="130"/>
        <v>0</v>
      </c>
      <c r="H7608" s="28" t="e">
        <f>VLOOKUP(E7608,'Cadastro Produtos (kiwkiw)'!C:E,3,0)</f>
        <v>#N/A</v>
      </c>
    </row>
    <row r="7609" spans="7:8" ht="15" customHeight="1" x14ac:dyDescent="0.4">
      <c r="G7609" s="27">
        <f t="shared" si="130"/>
        <v>0</v>
      </c>
      <c r="H7609" s="28" t="e">
        <f>VLOOKUP(E7609,'Cadastro Produtos (kiwkiw)'!C:E,3,0)</f>
        <v>#N/A</v>
      </c>
    </row>
    <row r="7610" spans="7:8" ht="15" customHeight="1" x14ac:dyDescent="0.4">
      <c r="G7610" s="27">
        <f t="shared" si="130"/>
        <v>0</v>
      </c>
      <c r="H7610" s="28" t="e">
        <f>VLOOKUP(E7610,'Cadastro Produtos (kiwkiw)'!C:E,3,0)</f>
        <v>#N/A</v>
      </c>
    </row>
    <row r="7611" spans="7:8" ht="15" customHeight="1" x14ac:dyDescent="0.4">
      <c r="G7611" s="27">
        <f t="shared" si="130"/>
        <v>0</v>
      </c>
      <c r="H7611" s="28" t="e">
        <f>VLOOKUP(E7611,'Cadastro Produtos (kiwkiw)'!C:E,3,0)</f>
        <v>#N/A</v>
      </c>
    </row>
    <row r="7612" spans="7:8" ht="15" customHeight="1" x14ac:dyDescent="0.4">
      <c r="G7612" s="27">
        <f t="shared" si="130"/>
        <v>0</v>
      </c>
      <c r="H7612" s="28" t="e">
        <f>VLOOKUP(E7612,'Cadastro Produtos (kiwkiw)'!C:E,3,0)</f>
        <v>#N/A</v>
      </c>
    </row>
    <row r="7613" spans="7:8" ht="15" customHeight="1" x14ac:dyDescent="0.4">
      <c r="G7613" s="27">
        <f t="shared" si="130"/>
        <v>0</v>
      </c>
      <c r="H7613" s="28" t="e">
        <f>VLOOKUP(E7613,'Cadastro Produtos (kiwkiw)'!C:E,3,0)</f>
        <v>#N/A</v>
      </c>
    </row>
    <row r="7614" spans="7:8" ht="15" customHeight="1" x14ac:dyDescent="0.4">
      <c r="G7614" s="27">
        <f t="shared" si="130"/>
        <v>0</v>
      </c>
      <c r="H7614" s="28" t="e">
        <f>VLOOKUP(E7614,'Cadastro Produtos (kiwkiw)'!C:E,3,0)</f>
        <v>#N/A</v>
      </c>
    </row>
    <row r="7615" spans="7:8" ht="15" customHeight="1" x14ac:dyDescent="0.4">
      <c r="G7615" s="27">
        <f t="shared" si="130"/>
        <v>0</v>
      </c>
      <c r="H7615" s="28" t="e">
        <f>VLOOKUP(E7615,'Cadastro Produtos (kiwkiw)'!C:E,3,0)</f>
        <v>#N/A</v>
      </c>
    </row>
    <row r="7616" spans="7:8" ht="15" customHeight="1" x14ac:dyDescent="0.4">
      <c r="G7616" s="27">
        <f t="shared" si="130"/>
        <v>0</v>
      </c>
      <c r="H7616" s="28" t="e">
        <f>VLOOKUP(E7616,'Cadastro Produtos (kiwkiw)'!C:E,3,0)</f>
        <v>#N/A</v>
      </c>
    </row>
    <row r="7617" spans="7:8" ht="15" customHeight="1" x14ac:dyDescent="0.4">
      <c r="G7617" s="27">
        <f t="shared" si="130"/>
        <v>0</v>
      </c>
      <c r="H7617" s="28" t="e">
        <f>VLOOKUP(E7617,'Cadastro Produtos (kiwkiw)'!C:E,3,0)</f>
        <v>#N/A</v>
      </c>
    </row>
    <row r="7618" spans="7:8" ht="15" customHeight="1" x14ac:dyDescent="0.4">
      <c r="G7618" s="27">
        <f t="shared" si="130"/>
        <v>0</v>
      </c>
      <c r="H7618" s="28" t="e">
        <f>VLOOKUP(E7618,'Cadastro Produtos (kiwkiw)'!C:E,3,0)</f>
        <v>#N/A</v>
      </c>
    </row>
    <row r="7619" spans="7:8" ht="15" customHeight="1" x14ac:dyDescent="0.4">
      <c r="G7619" s="27">
        <f t="shared" si="130"/>
        <v>0</v>
      </c>
      <c r="H7619" s="28" t="e">
        <f>VLOOKUP(E7619,'Cadastro Produtos (kiwkiw)'!C:E,3,0)</f>
        <v>#N/A</v>
      </c>
    </row>
    <row r="7620" spans="7:8" ht="15" customHeight="1" x14ac:dyDescent="0.4">
      <c r="G7620" s="27">
        <f t="shared" si="130"/>
        <v>0</v>
      </c>
      <c r="H7620" s="28" t="e">
        <f>VLOOKUP(E7620,'Cadastro Produtos (kiwkiw)'!C:E,3,0)</f>
        <v>#N/A</v>
      </c>
    </row>
    <row r="7621" spans="7:8" ht="15" customHeight="1" x14ac:dyDescent="0.4">
      <c r="G7621" s="27">
        <f t="shared" si="130"/>
        <v>0</v>
      </c>
      <c r="H7621" s="28" t="e">
        <f>VLOOKUP(E7621,'Cadastro Produtos (kiwkiw)'!C:E,3,0)</f>
        <v>#N/A</v>
      </c>
    </row>
    <row r="7622" spans="7:8" ht="15" customHeight="1" x14ac:dyDescent="0.4">
      <c r="G7622" s="27">
        <f t="shared" si="130"/>
        <v>0</v>
      </c>
      <c r="H7622" s="28" t="e">
        <f>VLOOKUP(E7622,'Cadastro Produtos (kiwkiw)'!C:E,3,0)</f>
        <v>#N/A</v>
      </c>
    </row>
    <row r="7623" spans="7:8" ht="15" customHeight="1" x14ac:dyDescent="0.4">
      <c r="G7623" s="27">
        <f t="shared" si="130"/>
        <v>0</v>
      </c>
      <c r="H7623" s="28" t="e">
        <f>VLOOKUP(E7623,'Cadastro Produtos (kiwkiw)'!C:E,3,0)</f>
        <v>#N/A</v>
      </c>
    </row>
    <row r="7624" spans="7:8" ht="15" customHeight="1" x14ac:dyDescent="0.4">
      <c r="G7624" s="27">
        <f t="shared" si="130"/>
        <v>0</v>
      </c>
      <c r="H7624" s="28" t="e">
        <f>VLOOKUP(E7624,'Cadastro Produtos (kiwkiw)'!C:E,3,0)</f>
        <v>#N/A</v>
      </c>
    </row>
    <row r="7625" spans="7:8" ht="15" customHeight="1" x14ac:dyDescent="0.4">
      <c r="G7625" s="27">
        <f t="shared" si="130"/>
        <v>0</v>
      </c>
      <c r="H7625" s="28" t="e">
        <f>VLOOKUP(E7625,'Cadastro Produtos (kiwkiw)'!C:E,3,0)</f>
        <v>#N/A</v>
      </c>
    </row>
    <row r="7626" spans="7:8" ht="15" customHeight="1" x14ac:dyDescent="0.4">
      <c r="G7626" s="27">
        <f t="shared" si="130"/>
        <v>0</v>
      </c>
      <c r="H7626" s="28" t="e">
        <f>VLOOKUP(E7626,'Cadastro Produtos (kiwkiw)'!C:E,3,0)</f>
        <v>#N/A</v>
      </c>
    </row>
    <row r="7627" spans="7:8" ht="15" customHeight="1" x14ac:dyDescent="0.4">
      <c r="G7627" s="27">
        <f t="shared" si="130"/>
        <v>0</v>
      </c>
      <c r="H7627" s="28" t="e">
        <f>VLOOKUP(E7627,'Cadastro Produtos (kiwkiw)'!C:E,3,0)</f>
        <v>#N/A</v>
      </c>
    </row>
    <row r="7628" spans="7:8" ht="15" customHeight="1" x14ac:dyDescent="0.4">
      <c r="G7628" s="27">
        <f t="shared" si="130"/>
        <v>0</v>
      </c>
      <c r="H7628" s="28" t="e">
        <f>VLOOKUP(E7628,'Cadastro Produtos (kiwkiw)'!C:E,3,0)</f>
        <v>#N/A</v>
      </c>
    </row>
    <row r="7629" spans="7:8" ht="15" customHeight="1" x14ac:dyDescent="0.4">
      <c r="G7629" s="27">
        <f t="shared" si="130"/>
        <v>0</v>
      </c>
      <c r="H7629" s="28" t="e">
        <f>VLOOKUP(E7629,'Cadastro Produtos (kiwkiw)'!C:E,3,0)</f>
        <v>#N/A</v>
      </c>
    </row>
    <row r="7630" spans="7:8" ht="15" customHeight="1" x14ac:dyDescent="0.4">
      <c r="G7630" s="27">
        <f t="shared" si="130"/>
        <v>0</v>
      </c>
      <c r="H7630" s="28" t="e">
        <f>VLOOKUP(E7630,'Cadastro Produtos (kiwkiw)'!C:E,3,0)</f>
        <v>#N/A</v>
      </c>
    </row>
    <row r="7631" spans="7:8" ht="15" customHeight="1" x14ac:dyDescent="0.4">
      <c r="G7631" s="27">
        <f t="shared" si="130"/>
        <v>0</v>
      </c>
      <c r="H7631" s="28" t="e">
        <f>VLOOKUP(E7631,'Cadastro Produtos (kiwkiw)'!C:E,3,0)</f>
        <v>#N/A</v>
      </c>
    </row>
    <row r="7632" spans="7:8" ht="15" customHeight="1" x14ac:dyDescent="0.4">
      <c r="G7632" s="27">
        <f t="shared" si="130"/>
        <v>0</v>
      </c>
      <c r="H7632" s="28" t="e">
        <f>VLOOKUP(E7632,'Cadastro Produtos (kiwkiw)'!C:E,3,0)</f>
        <v>#N/A</v>
      </c>
    </row>
    <row r="7633" spans="7:8" ht="15" customHeight="1" x14ac:dyDescent="0.4">
      <c r="G7633" s="27">
        <f t="shared" si="130"/>
        <v>0</v>
      </c>
      <c r="H7633" s="28" t="e">
        <f>VLOOKUP(E7633,'Cadastro Produtos (kiwkiw)'!C:E,3,0)</f>
        <v>#N/A</v>
      </c>
    </row>
    <row r="7634" spans="7:8" ht="15" customHeight="1" x14ac:dyDescent="0.4">
      <c r="G7634" s="27">
        <f t="shared" ref="G7634:G7697" si="131">IF(C7634="Entrada",F7634,-F7634)</f>
        <v>0</v>
      </c>
      <c r="H7634" s="28" t="e">
        <f>VLOOKUP(E7634,'Cadastro Produtos (kiwkiw)'!C:E,3,0)</f>
        <v>#N/A</v>
      </c>
    </row>
    <row r="7635" spans="7:8" ht="15" customHeight="1" x14ac:dyDescent="0.4">
      <c r="G7635" s="27">
        <f t="shared" si="131"/>
        <v>0</v>
      </c>
      <c r="H7635" s="28" t="e">
        <f>VLOOKUP(E7635,'Cadastro Produtos (kiwkiw)'!C:E,3,0)</f>
        <v>#N/A</v>
      </c>
    </row>
    <row r="7636" spans="7:8" ht="15" customHeight="1" x14ac:dyDescent="0.4">
      <c r="G7636" s="27">
        <f t="shared" si="131"/>
        <v>0</v>
      </c>
      <c r="H7636" s="28" t="e">
        <f>VLOOKUP(E7636,'Cadastro Produtos (kiwkiw)'!C:E,3,0)</f>
        <v>#N/A</v>
      </c>
    </row>
    <row r="7637" spans="7:8" ht="15" customHeight="1" x14ac:dyDescent="0.4">
      <c r="G7637" s="27">
        <f t="shared" si="131"/>
        <v>0</v>
      </c>
      <c r="H7637" s="28" t="e">
        <f>VLOOKUP(E7637,'Cadastro Produtos (kiwkiw)'!C:E,3,0)</f>
        <v>#N/A</v>
      </c>
    </row>
    <row r="7638" spans="7:8" ht="15" customHeight="1" x14ac:dyDescent="0.4">
      <c r="G7638" s="27">
        <f t="shared" si="131"/>
        <v>0</v>
      </c>
      <c r="H7638" s="28" t="e">
        <f>VLOOKUP(E7638,'Cadastro Produtos (kiwkiw)'!C:E,3,0)</f>
        <v>#N/A</v>
      </c>
    </row>
    <row r="7639" spans="7:8" ht="15" customHeight="1" x14ac:dyDescent="0.4">
      <c r="G7639" s="27">
        <f t="shared" si="131"/>
        <v>0</v>
      </c>
      <c r="H7639" s="28" t="e">
        <f>VLOOKUP(E7639,'Cadastro Produtos (kiwkiw)'!C:E,3,0)</f>
        <v>#N/A</v>
      </c>
    </row>
    <row r="7640" spans="7:8" ht="15" customHeight="1" x14ac:dyDescent="0.4">
      <c r="G7640" s="27">
        <f t="shared" si="131"/>
        <v>0</v>
      </c>
      <c r="H7640" s="28" t="e">
        <f>VLOOKUP(E7640,'Cadastro Produtos (kiwkiw)'!C:E,3,0)</f>
        <v>#N/A</v>
      </c>
    </row>
    <row r="7641" spans="7:8" ht="15" customHeight="1" x14ac:dyDescent="0.4">
      <c r="G7641" s="27">
        <f t="shared" si="131"/>
        <v>0</v>
      </c>
      <c r="H7641" s="28" t="e">
        <f>VLOOKUP(E7641,'Cadastro Produtos (kiwkiw)'!C:E,3,0)</f>
        <v>#N/A</v>
      </c>
    </row>
    <row r="7642" spans="7:8" ht="15" customHeight="1" x14ac:dyDescent="0.4">
      <c r="G7642" s="27">
        <f t="shared" si="131"/>
        <v>0</v>
      </c>
      <c r="H7642" s="28" t="e">
        <f>VLOOKUP(E7642,'Cadastro Produtos (kiwkiw)'!C:E,3,0)</f>
        <v>#N/A</v>
      </c>
    </row>
    <row r="7643" spans="7:8" ht="15" customHeight="1" x14ac:dyDescent="0.4">
      <c r="G7643" s="27">
        <f t="shared" si="131"/>
        <v>0</v>
      </c>
      <c r="H7643" s="28" t="e">
        <f>VLOOKUP(E7643,'Cadastro Produtos (kiwkiw)'!C:E,3,0)</f>
        <v>#N/A</v>
      </c>
    </row>
    <row r="7644" spans="7:8" ht="15" customHeight="1" x14ac:dyDescent="0.4">
      <c r="G7644" s="27">
        <f t="shared" si="131"/>
        <v>0</v>
      </c>
      <c r="H7644" s="28" t="e">
        <f>VLOOKUP(E7644,'Cadastro Produtos (kiwkiw)'!C:E,3,0)</f>
        <v>#N/A</v>
      </c>
    </row>
    <row r="7645" spans="7:8" ht="15" customHeight="1" x14ac:dyDescent="0.4">
      <c r="G7645" s="27">
        <f t="shared" si="131"/>
        <v>0</v>
      </c>
      <c r="H7645" s="28" t="e">
        <f>VLOOKUP(E7645,'Cadastro Produtos (kiwkiw)'!C:E,3,0)</f>
        <v>#N/A</v>
      </c>
    </row>
    <row r="7646" spans="7:8" ht="15" customHeight="1" x14ac:dyDescent="0.4">
      <c r="G7646" s="27">
        <f t="shared" si="131"/>
        <v>0</v>
      </c>
      <c r="H7646" s="28" t="e">
        <f>VLOOKUP(E7646,'Cadastro Produtos (kiwkiw)'!C:E,3,0)</f>
        <v>#N/A</v>
      </c>
    </row>
    <row r="7647" spans="7:8" ht="15" customHeight="1" x14ac:dyDescent="0.4">
      <c r="G7647" s="27">
        <f t="shared" si="131"/>
        <v>0</v>
      </c>
      <c r="H7647" s="28" t="e">
        <f>VLOOKUP(E7647,'Cadastro Produtos (kiwkiw)'!C:E,3,0)</f>
        <v>#N/A</v>
      </c>
    </row>
    <row r="7648" spans="7:8" ht="15" customHeight="1" x14ac:dyDescent="0.4">
      <c r="G7648" s="27">
        <f t="shared" si="131"/>
        <v>0</v>
      </c>
      <c r="H7648" s="28" t="e">
        <f>VLOOKUP(E7648,'Cadastro Produtos (kiwkiw)'!C:E,3,0)</f>
        <v>#N/A</v>
      </c>
    </row>
    <row r="7649" spans="7:8" ht="15" customHeight="1" x14ac:dyDescent="0.4">
      <c r="G7649" s="27">
        <f t="shared" si="131"/>
        <v>0</v>
      </c>
      <c r="H7649" s="28" t="e">
        <f>VLOOKUP(E7649,'Cadastro Produtos (kiwkiw)'!C:E,3,0)</f>
        <v>#N/A</v>
      </c>
    </row>
    <row r="7650" spans="7:8" ht="15" customHeight="1" x14ac:dyDescent="0.4">
      <c r="G7650" s="27">
        <f t="shared" si="131"/>
        <v>0</v>
      </c>
      <c r="H7650" s="28" t="e">
        <f>VLOOKUP(E7650,'Cadastro Produtos (kiwkiw)'!C:E,3,0)</f>
        <v>#N/A</v>
      </c>
    </row>
    <row r="7651" spans="7:8" ht="15" customHeight="1" x14ac:dyDescent="0.4">
      <c r="G7651" s="27">
        <f t="shared" si="131"/>
        <v>0</v>
      </c>
      <c r="H7651" s="28" t="e">
        <f>VLOOKUP(E7651,'Cadastro Produtos (kiwkiw)'!C:E,3,0)</f>
        <v>#N/A</v>
      </c>
    </row>
    <row r="7652" spans="7:8" ht="15" customHeight="1" x14ac:dyDescent="0.4">
      <c r="G7652" s="27">
        <f t="shared" si="131"/>
        <v>0</v>
      </c>
      <c r="H7652" s="28" t="e">
        <f>VLOOKUP(E7652,'Cadastro Produtos (kiwkiw)'!C:E,3,0)</f>
        <v>#N/A</v>
      </c>
    </row>
    <row r="7653" spans="7:8" ht="15" customHeight="1" x14ac:dyDescent="0.4">
      <c r="G7653" s="27">
        <f t="shared" si="131"/>
        <v>0</v>
      </c>
      <c r="H7653" s="28" t="e">
        <f>VLOOKUP(E7653,'Cadastro Produtos (kiwkiw)'!C:E,3,0)</f>
        <v>#N/A</v>
      </c>
    </row>
    <row r="7654" spans="7:8" ht="15" customHeight="1" x14ac:dyDescent="0.4">
      <c r="G7654" s="27">
        <f t="shared" si="131"/>
        <v>0</v>
      </c>
      <c r="H7654" s="28" t="e">
        <f>VLOOKUP(E7654,'Cadastro Produtos (kiwkiw)'!C:E,3,0)</f>
        <v>#N/A</v>
      </c>
    </row>
    <row r="7655" spans="7:8" ht="15" customHeight="1" x14ac:dyDescent="0.4">
      <c r="G7655" s="27">
        <f t="shared" si="131"/>
        <v>0</v>
      </c>
      <c r="H7655" s="28" t="e">
        <f>VLOOKUP(E7655,'Cadastro Produtos (kiwkiw)'!C:E,3,0)</f>
        <v>#N/A</v>
      </c>
    </row>
    <row r="7656" spans="7:8" ht="15" customHeight="1" x14ac:dyDescent="0.4">
      <c r="G7656" s="27">
        <f t="shared" si="131"/>
        <v>0</v>
      </c>
      <c r="H7656" s="28" t="e">
        <f>VLOOKUP(E7656,'Cadastro Produtos (kiwkiw)'!C:E,3,0)</f>
        <v>#N/A</v>
      </c>
    </row>
    <row r="7657" spans="7:8" ht="15" customHeight="1" x14ac:dyDescent="0.4">
      <c r="G7657" s="27">
        <f t="shared" si="131"/>
        <v>0</v>
      </c>
      <c r="H7657" s="28" t="e">
        <f>VLOOKUP(E7657,'Cadastro Produtos (kiwkiw)'!C:E,3,0)</f>
        <v>#N/A</v>
      </c>
    </row>
    <row r="7658" spans="7:8" ht="15" customHeight="1" x14ac:dyDescent="0.4">
      <c r="G7658" s="27">
        <f t="shared" si="131"/>
        <v>0</v>
      </c>
      <c r="H7658" s="28" t="e">
        <f>VLOOKUP(E7658,'Cadastro Produtos (kiwkiw)'!C:E,3,0)</f>
        <v>#N/A</v>
      </c>
    </row>
    <row r="7659" spans="7:8" ht="15" customHeight="1" x14ac:dyDescent="0.4">
      <c r="G7659" s="27">
        <f t="shared" si="131"/>
        <v>0</v>
      </c>
      <c r="H7659" s="28" t="e">
        <f>VLOOKUP(E7659,'Cadastro Produtos (kiwkiw)'!C:E,3,0)</f>
        <v>#N/A</v>
      </c>
    </row>
    <row r="7660" spans="7:8" ht="15" customHeight="1" x14ac:dyDescent="0.4">
      <c r="G7660" s="27">
        <f t="shared" si="131"/>
        <v>0</v>
      </c>
      <c r="H7660" s="28" t="e">
        <f>VLOOKUP(E7660,'Cadastro Produtos (kiwkiw)'!C:E,3,0)</f>
        <v>#N/A</v>
      </c>
    </row>
    <row r="7661" spans="7:8" ht="15" customHeight="1" x14ac:dyDescent="0.4">
      <c r="G7661" s="27">
        <f t="shared" si="131"/>
        <v>0</v>
      </c>
      <c r="H7661" s="28" t="e">
        <f>VLOOKUP(E7661,'Cadastro Produtos (kiwkiw)'!C:E,3,0)</f>
        <v>#N/A</v>
      </c>
    </row>
    <row r="7662" spans="7:8" ht="15" customHeight="1" x14ac:dyDescent="0.4">
      <c r="G7662" s="27">
        <f t="shared" si="131"/>
        <v>0</v>
      </c>
      <c r="H7662" s="28" t="e">
        <f>VLOOKUP(E7662,'Cadastro Produtos (kiwkiw)'!C:E,3,0)</f>
        <v>#N/A</v>
      </c>
    </row>
    <row r="7663" spans="7:8" ht="15" customHeight="1" x14ac:dyDescent="0.4">
      <c r="G7663" s="27">
        <f t="shared" si="131"/>
        <v>0</v>
      </c>
      <c r="H7663" s="28" t="e">
        <f>VLOOKUP(E7663,'Cadastro Produtos (kiwkiw)'!C:E,3,0)</f>
        <v>#N/A</v>
      </c>
    </row>
    <row r="7664" spans="7:8" ht="15" customHeight="1" x14ac:dyDescent="0.4">
      <c r="G7664" s="27">
        <f t="shared" si="131"/>
        <v>0</v>
      </c>
      <c r="H7664" s="28" t="e">
        <f>VLOOKUP(E7664,'Cadastro Produtos (kiwkiw)'!C:E,3,0)</f>
        <v>#N/A</v>
      </c>
    </row>
    <row r="7665" spans="7:8" ht="15" customHeight="1" x14ac:dyDescent="0.4">
      <c r="G7665" s="27">
        <f t="shared" si="131"/>
        <v>0</v>
      </c>
      <c r="H7665" s="28" t="e">
        <f>VLOOKUP(E7665,'Cadastro Produtos (kiwkiw)'!C:E,3,0)</f>
        <v>#N/A</v>
      </c>
    </row>
    <row r="7666" spans="7:8" ht="15" customHeight="1" x14ac:dyDescent="0.4">
      <c r="G7666" s="27">
        <f t="shared" si="131"/>
        <v>0</v>
      </c>
      <c r="H7666" s="28" t="e">
        <f>VLOOKUP(E7666,'Cadastro Produtos (kiwkiw)'!C:E,3,0)</f>
        <v>#N/A</v>
      </c>
    </row>
    <row r="7667" spans="7:8" ht="15" customHeight="1" x14ac:dyDescent="0.4">
      <c r="G7667" s="27">
        <f t="shared" si="131"/>
        <v>0</v>
      </c>
      <c r="H7667" s="28" t="e">
        <f>VLOOKUP(E7667,'Cadastro Produtos (kiwkiw)'!C:E,3,0)</f>
        <v>#N/A</v>
      </c>
    </row>
    <row r="7668" spans="7:8" ht="15" customHeight="1" x14ac:dyDescent="0.4">
      <c r="G7668" s="27">
        <f t="shared" si="131"/>
        <v>0</v>
      </c>
      <c r="H7668" s="28" t="e">
        <f>VLOOKUP(E7668,'Cadastro Produtos (kiwkiw)'!C:E,3,0)</f>
        <v>#N/A</v>
      </c>
    </row>
    <row r="7669" spans="7:8" ht="15" customHeight="1" x14ac:dyDescent="0.4">
      <c r="G7669" s="27">
        <f t="shared" si="131"/>
        <v>0</v>
      </c>
      <c r="H7669" s="28" t="e">
        <f>VLOOKUP(E7669,'Cadastro Produtos (kiwkiw)'!C:E,3,0)</f>
        <v>#N/A</v>
      </c>
    </row>
    <row r="7670" spans="7:8" ht="15" customHeight="1" x14ac:dyDescent="0.4">
      <c r="G7670" s="27">
        <f t="shared" si="131"/>
        <v>0</v>
      </c>
      <c r="H7670" s="28" t="e">
        <f>VLOOKUP(E7670,'Cadastro Produtos (kiwkiw)'!C:E,3,0)</f>
        <v>#N/A</v>
      </c>
    </row>
    <row r="7671" spans="7:8" ht="15" customHeight="1" x14ac:dyDescent="0.4">
      <c r="G7671" s="27">
        <f t="shared" si="131"/>
        <v>0</v>
      </c>
      <c r="H7671" s="28" t="e">
        <f>VLOOKUP(E7671,'Cadastro Produtos (kiwkiw)'!C:E,3,0)</f>
        <v>#N/A</v>
      </c>
    </row>
    <row r="7672" spans="7:8" ht="15" customHeight="1" x14ac:dyDescent="0.4">
      <c r="G7672" s="27">
        <f t="shared" si="131"/>
        <v>0</v>
      </c>
      <c r="H7672" s="28" t="e">
        <f>VLOOKUP(E7672,'Cadastro Produtos (kiwkiw)'!C:E,3,0)</f>
        <v>#N/A</v>
      </c>
    </row>
    <row r="7673" spans="7:8" ht="15" customHeight="1" x14ac:dyDescent="0.4">
      <c r="G7673" s="27">
        <f t="shared" si="131"/>
        <v>0</v>
      </c>
      <c r="H7673" s="28" t="e">
        <f>VLOOKUP(E7673,'Cadastro Produtos (kiwkiw)'!C:E,3,0)</f>
        <v>#N/A</v>
      </c>
    </row>
    <row r="7674" spans="7:8" ht="15" customHeight="1" x14ac:dyDescent="0.4">
      <c r="G7674" s="27">
        <f t="shared" si="131"/>
        <v>0</v>
      </c>
      <c r="H7674" s="28" t="e">
        <f>VLOOKUP(E7674,'Cadastro Produtos (kiwkiw)'!C:E,3,0)</f>
        <v>#N/A</v>
      </c>
    </row>
    <row r="7675" spans="7:8" ht="15" customHeight="1" x14ac:dyDescent="0.4">
      <c r="G7675" s="27">
        <f t="shared" si="131"/>
        <v>0</v>
      </c>
      <c r="H7675" s="28" t="e">
        <f>VLOOKUP(E7675,'Cadastro Produtos (kiwkiw)'!C:E,3,0)</f>
        <v>#N/A</v>
      </c>
    </row>
    <row r="7676" spans="7:8" ht="15" customHeight="1" x14ac:dyDescent="0.4">
      <c r="G7676" s="27">
        <f t="shared" si="131"/>
        <v>0</v>
      </c>
      <c r="H7676" s="28" t="e">
        <f>VLOOKUP(E7676,'Cadastro Produtos (kiwkiw)'!C:E,3,0)</f>
        <v>#N/A</v>
      </c>
    </row>
    <row r="7677" spans="7:8" ht="15" customHeight="1" x14ac:dyDescent="0.4">
      <c r="G7677" s="27">
        <f t="shared" si="131"/>
        <v>0</v>
      </c>
      <c r="H7677" s="28" t="e">
        <f>VLOOKUP(E7677,'Cadastro Produtos (kiwkiw)'!C:E,3,0)</f>
        <v>#N/A</v>
      </c>
    </row>
    <row r="7678" spans="7:8" ht="15" customHeight="1" x14ac:dyDescent="0.4">
      <c r="G7678" s="27">
        <f t="shared" si="131"/>
        <v>0</v>
      </c>
      <c r="H7678" s="28" t="e">
        <f>VLOOKUP(E7678,'Cadastro Produtos (kiwkiw)'!C:E,3,0)</f>
        <v>#N/A</v>
      </c>
    </row>
    <row r="7679" spans="7:8" ht="15" customHeight="1" x14ac:dyDescent="0.4">
      <c r="G7679" s="27">
        <f t="shared" si="131"/>
        <v>0</v>
      </c>
      <c r="H7679" s="28" t="e">
        <f>VLOOKUP(E7679,'Cadastro Produtos (kiwkiw)'!C:E,3,0)</f>
        <v>#N/A</v>
      </c>
    </row>
    <row r="7680" spans="7:8" ht="15" customHeight="1" x14ac:dyDescent="0.4">
      <c r="G7680" s="27">
        <f t="shared" si="131"/>
        <v>0</v>
      </c>
      <c r="H7680" s="28" t="e">
        <f>VLOOKUP(E7680,'Cadastro Produtos (kiwkiw)'!C:E,3,0)</f>
        <v>#N/A</v>
      </c>
    </row>
    <row r="7681" spans="7:8" ht="15" customHeight="1" x14ac:dyDescent="0.4">
      <c r="G7681" s="27">
        <f t="shared" si="131"/>
        <v>0</v>
      </c>
      <c r="H7681" s="28" t="e">
        <f>VLOOKUP(E7681,'Cadastro Produtos (kiwkiw)'!C:E,3,0)</f>
        <v>#N/A</v>
      </c>
    </row>
    <row r="7682" spans="7:8" ht="15" customHeight="1" x14ac:dyDescent="0.4">
      <c r="G7682" s="27">
        <f t="shared" si="131"/>
        <v>0</v>
      </c>
      <c r="H7682" s="28" t="e">
        <f>VLOOKUP(E7682,'Cadastro Produtos (kiwkiw)'!C:E,3,0)</f>
        <v>#N/A</v>
      </c>
    </row>
    <row r="7683" spans="7:8" ht="15" customHeight="1" x14ac:dyDescent="0.4">
      <c r="G7683" s="27">
        <f t="shared" si="131"/>
        <v>0</v>
      </c>
      <c r="H7683" s="28" t="e">
        <f>VLOOKUP(E7683,'Cadastro Produtos (kiwkiw)'!C:E,3,0)</f>
        <v>#N/A</v>
      </c>
    </row>
    <row r="7684" spans="7:8" ht="15" customHeight="1" x14ac:dyDescent="0.4">
      <c r="G7684" s="27">
        <f t="shared" si="131"/>
        <v>0</v>
      </c>
      <c r="H7684" s="28" t="e">
        <f>VLOOKUP(E7684,'Cadastro Produtos (kiwkiw)'!C:E,3,0)</f>
        <v>#N/A</v>
      </c>
    </row>
    <row r="7685" spans="7:8" ht="15" customHeight="1" x14ac:dyDescent="0.4">
      <c r="G7685" s="27">
        <f t="shared" si="131"/>
        <v>0</v>
      </c>
      <c r="H7685" s="28" t="e">
        <f>VLOOKUP(E7685,'Cadastro Produtos (kiwkiw)'!C:E,3,0)</f>
        <v>#N/A</v>
      </c>
    </row>
    <row r="7686" spans="7:8" ht="15" customHeight="1" x14ac:dyDescent="0.4">
      <c r="G7686" s="27">
        <f t="shared" si="131"/>
        <v>0</v>
      </c>
      <c r="H7686" s="28" t="e">
        <f>VLOOKUP(E7686,'Cadastro Produtos (kiwkiw)'!C:E,3,0)</f>
        <v>#N/A</v>
      </c>
    </row>
    <row r="7687" spans="7:8" ht="15" customHeight="1" x14ac:dyDescent="0.4">
      <c r="G7687" s="27">
        <f t="shared" si="131"/>
        <v>0</v>
      </c>
      <c r="H7687" s="28" t="e">
        <f>VLOOKUP(E7687,'Cadastro Produtos (kiwkiw)'!C:E,3,0)</f>
        <v>#N/A</v>
      </c>
    </row>
    <row r="7688" spans="7:8" ht="15" customHeight="1" x14ac:dyDescent="0.4">
      <c r="G7688" s="27">
        <f t="shared" si="131"/>
        <v>0</v>
      </c>
      <c r="H7688" s="28" t="e">
        <f>VLOOKUP(E7688,'Cadastro Produtos (kiwkiw)'!C:E,3,0)</f>
        <v>#N/A</v>
      </c>
    </row>
    <row r="7689" spans="7:8" ht="15" customHeight="1" x14ac:dyDescent="0.4">
      <c r="G7689" s="27">
        <f t="shared" si="131"/>
        <v>0</v>
      </c>
      <c r="H7689" s="28" t="e">
        <f>VLOOKUP(E7689,'Cadastro Produtos (kiwkiw)'!C:E,3,0)</f>
        <v>#N/A</v>
      </c>
    </row>
    <row r="7690" spans="7:8" ht="15" customHeight="1" x14ac:dyDescent="0.4">
      <c r="G7690" s="27">
        <f t="shared" si="131"/>
        <v>0</v>
      </c>
      <c r="H7690" s="28" t="e">
        <f>VLOOKUP(E7690,'Cadastro Produtos (kiwkiw)'!C:E,3,0)</f>
        <v>#N/A</v>
      </c>
    </row>
    <row r="7691" spans="7:8" ht="15" customHeight="1" x14ac:dyDescent="0.4">
      <c r="G7691" s="27">
        <f t="shared" si="131"/>
        <v>0</v>
      </c>
      <c r="H7691" s="28" t="e">
        <f>VLOOKUP(E7691,'Cadastro Produtos (kiwkiw)'!C:E,3,0)</f>
        <v>#N/A</v>
      </c>
    </row>
    <row r="7692" spans="7:8" ht="15" customHeight="1" x14ac:dyDescent="0.4">
      <c r="G7692" s="27">
        <f t="shared" si="131"/>
        <v>0</v>
      </c>
      <c r="H7692" s="28" t="e">
        <f>VLOOKUP(E7692,'Cadastro Produtos (kiwkiw)'!C:E,3,0)</f>
        <v>#N/A</v>
      </c>
    </row>
    <row r="7693" spans="7:8" ht="15" customHeight="1" x14ac:dyDescent="0.4">
      <c r="G7693" s="27">
        <f t="shared" si="131"/>
        <v>0</v>
      </c>
      <c r="H7693" s="28" t="e">
        <f>VLOOKUP(E7693,'Cadastro Produtos (kiwkiw)'!C:E,3,0)</f>
        <v>#N/A</v>
      </c>
    </row>
    <row r="7694" spans="7:8" ht="15" customHeight="1" x14ac:dyDescent="0.4">
      <c r="G7694" s="27">
        <f t="shared" si="131"/>
        <v>0</v>
      </c>
      <c r="H7694" s="28" t="e">
        <f>VLOOKUP(E7694,'Cadastro Produtos (kiwkiw)'!C:E,3,0)</f>
        <v>#N/A</v>
      </c>
    </row>
    <row r="7695" spans="7:8" ht="15" customHeight="1" x14ac:dyDescent="0.4">
      <c r="G7695" s="27">
        <f t="shared" si="131"/>
        <v>0</v>
      </c>
      <c r="H7695" s="28" t="e">
        <f>VLOOKUP(E7695,'Cadastro Produtos (kiwkiw)'!C:E,3,0)</f>
        <v>#N/A</v>
      </c>
    </row>
    <row r="7696" spans="7:8" ht="15" customHeight="1" x14ac:dyDescent="0.4">
      <c r="G7696" s="27">
        <f t="shared" si="131"/>
        <v>0</v>
      </c>
      <c r="H7696" s="28" t="e">
        <f>VLOOKUP(E7696,'Cadastro Produtos (kiwkiw)'!C:E,3,0)</f>
        <v>#N/A</v>
      </c>
    </row>
    <row r="7697" spans="7:8" ht="15" customHeight="1" x14ac:dyDescent="0.4">
      <c r="G7697" s="27">
        <f t="shared" si="131"/>
        <v>0</v>
      </c>
      <c r="H7697" s="28" t="e">
        <f>VLOOKUP(E7697,'Cadastro Produtos (kiwkiw)'!C:E,3,0)</f>
        <v>#N/A</v>
      </c>
    </row>
    <row r="7698" spans="7:8" ht="15" customHeight="1" x14ac:dyDescent="0.4">
      <c r="G7698" s="27">
        <f t="shared" ref="G7698:G7761" si="132">IF(C7698="Entrada",F7698,-F7698)</f>
        <v>0</v>
      </c>
      <c r="H7698" s="28" t="e">
        <f>VLOOKUP(E7698,'Cadastro Produtos (kiwkiw)'!C:E,3,0)</f>
        <v>#N/A</v>
      </c>
    </row>
    <row r="7699" spans="7:8" ht="15" customHeight="1" x14ac:dyDescent="0.4">
      <c r="G7699" s="27">
        <f t="shared" si="132"/>
        <v>0</v>
      </c>
      <c r="H7699" s="28" t="e">
        <f>VLOOKUP(E7699,'Cadastro Produtos (kiwkiw)'!C:E,3,0)</f>
        <v>#N/A</v>
      </c>
    </row>
    <row r="7700" spans="7:8" ht="15" customHeight="1" x14ac:dyDescent="0.4">
      <c r="G7700" s="27">
        <f t="shared" si="132"/>
        <v>0</v>
      </c>
      <c r="H7700" s="28" t="e">
        <f>VLOOKUP(E7700,'Cadastro Produtos (kiwkiw)'!C:E,3,0)</f>
        <v>#N/A</v>
      </c>
    </row>
    <row r="7701" spans="7:8" ht="15" customHeight="1" x14ac:dyDescent="0.4">
      <c r="G7701" s="27">
        <f t="shared" si="132"/>
        <v>0</v>
      </c>
      <c r="H7701" s="28" t="e">
        <f>VLOOKUP(E7701,'Cadastro Produtos (kiwkiw)'!C:E,3,0)</f>
        <v>#N/A</v>
      </c>
    </row>
    <row r="7702" spans="7:8" ht="15" customHeight="1" x14ac:dyDescent="0.4">
      <c r="G7702" s="27">
        <f t="shared" si="132"/>
        <v>0</v>
      </c>
      <c r="H7702" s="28" t="e">
        <f>VLOOKUP(E7702,'Cadastro Produtos (kiwkiw)'!C:E,3,0)</f>
        <v>#N/A</v>
      </c>
    </row>
    <row r="7703" spans="7:8" ht="15" customHeight="1" x14ac:dyDescent="0.4">
      <c r="G7703" s="27">
        <f t="shared" si="132"/>
        <v>0</v>
      </c>
      <c r="H7703" s="28" t="e">
        <f>VLOOKUP(E7703,'Cadastro Produtos (kiwkiw)'!C:E,3,0)</f>
        <v>#N/A</v>
      </c>
    </row>
    <row r="7704" spans="7:8" ht="15" customHeight="1" x14ac:dyDescent="0.4">
      <c r="G7704" s="27">
        <f t="shared" si="132"/>
        <v>0</v>
      </c>
      <c r="H7704" s="28" t="e">
        <f>VLOOKUP(E7704,'Cadastro Produtos (kiwkiw)'!C:E,3,0)</f>
        <v>#N/A</v>
      </c>
    </row>
    <row r="7705" spans="7:8" ht="15" customHeight="1" x14ac:dyDescent="0.4">
      <c r="G7705" s="27">
        <f t="shared" si="132"/>
        <v>0</v>
      </c>
      <c r="H7705" s="28" t="e">
        <f>VLOOKUP(E7705,'Cadastro Produtos (kiwkiw)'!C:E,3,0)</f>
        <v>#N/A</v>
      </c>
    </row>
    <row r="7706" spans="7:8" ht="15" customHeight="1" x14ac:dyDescent="0.4">
      <c r="G7706" s="27">
        <f t="shared" si="132"/>
        <v>0</v>
      </c>
      <c r="H7706" s="28" t="e">
        <f>VLOOKUP(E7706,'Cadastro Produtos (kiwkiw)'!C:E,3,0)</f>
        <v>#N/A</v>
      </c>
    </row>
    <row r="7707" spans="7:8" ht="15" customHeight="1" x14ac:dyDescent="0.4">
      <c r="G7707" s="27">
        <f t="shared" si="132"/>
        <v>0</v>
      </c>
      <c r="H7707" s="28" t="e">
        <f>VLOOKUP(E7707,'Cadastro Produtos (kiwkiw)'!C:E,3,0)</f>
        <v>#N/A</v>
      </c>
    </row>
    <row r="7708" spans="7:8" ht="15" customHeight="1" x14ac:dyDescent="0.4">
      <c r="G7708" s="27">
        <f t="shared" si="132"/>
        <v>0</v>
      </c>
      <c r="H7708" s="28" t="e">
        <f>VLOOKUP(E7708,'Cadastro Produtos (kiwkiw)'!C:E,3,0)</f>
        <v>#N/A</v>
      </c>
    </row>
    <row r="7709" spans="7:8" ht="15" customHeight="1" x14ac:dyDescent="0.4">
      <c r="G7709" s="27">
        <f t="shared" si="132"/>
        <v>0</v>
      </c>
      <c r="H7709" s="28" t="e">
        <f>VLOOKUP(E7709,'Cadastro Produtos (kiwkiw)'!C:E,3,0)</f>
        <v>#N/A</v>
      </c>
    </row>
    <row r="7710" spans="7:8" ht="15" customHeight="1" x14ac:dyDescent="0.4">
      <c r="G7710" s="27">
        <f t="shared" si="132"/>
        <v>0</v>
      </c>
      <c r="H7710" s="28" t="e">
        <f>VLOOKUP(E7710,'Cadastro Produtos (kiwkiw)'!C:E,3,0)</f>
        <v>#N/A</v>
      </c>
    </row>
    <row r="7711" spans="7:8" ht="15" customHeight="1" x14ac:dyDescent="0.4">
      <c r="G7711" s="27">
        <f t="shared" si="132"/>
        <v>0</v>
      </c>
      <c r="H7711" s="28" t="e">
        <f>VLOOKUP(E7711,'Cadastro Produtos (kiwkiw)'!C:E,3,0)</f>
        <v>#N/A</v>
      </c>
    </row>
    <row r="7712" spans="7:8" ht="15" customHeight="1" x14ac:dyDescent="0.4">
      <c r="G7712" s="27">
        <f t="shared" si="132"/>
        <v>0</v>
      </c>
      <c r="H7712" s="28" t="e">
        <f>VLOOKUP(E7712,'Cadastro Produtos (kiwkiw)'!C:E,3,0)</f>
        <v>#N/A</v>
      </c>
    </row>
    <row r="7713" spans="7:8" ht="15" customHeight="1" x14ac:dyDescent="0.4">
      <c r="G7713" s="27">
        <f t="shared" si="132"/>
        <v>0</v>
      </c>
      <c r="H7713" s="28" t="e">
        <f>VLOOKUP(E7713,'Cadastro Produtos (kiwkiw)'!C:E,3,0)</f>
        <v>#N/A</v>
      </c>
    </row>
    <row r="7714" spans="7:8" ht="15" customHeight="1" x14ac:dyDescent="0.4">
      <c r="G7714" s="27">
        <f t="shared" si="132"/>
        <v>0</v>
      </c>
      <c r="H7714" s="28" t="e">
        <f>VLOOKUP(E7714,'Cadastro Produtos (kiwkiw)'!C:E,3,0)</f>
        <v>#N/A</v>
      </c>
    </row>
    <row r="7715" spans="7:8" ht="15" customHeight="1" x14ac:dyDescent="0.4">
      <c r="G7715" s="27">
        <f t="shared" si="132"/>
        <v>0</v>
      </c>
      <c r="H7715" s="28" t="e">
        <f>VLOOKUP(E7715,'Cadastro Produtos (kiwkiw)'!C:E,3,0)</f>
        <v>#N/A</v>
      </c>
    </row>
    <row r="7716" spans="7:8" ht="15" customHeight="1" x14ac:dyDescent="0.4">
      <c r="G7716" s="27">
        <f t="shared" si="132"/>
        <v>0</v>
      </c>
      <c r="H7716" s="28" t="e">
        <f>VLOOKUP(E7716,'Cadastro Produtos (kiwkiw)'!C:E,3,0)</f>
        <v>#N/A</v>
      </c>
    </row>
    <row r="7717" spans="7:8" ht="15" customHeight="1" x14ac:dyDescent="0.4">
      <c r="G7717" s="27">
        <f t="shared" si="132"/>
        <v>0</v>
      </c>
      <c r="H7717" s="28" t="e">
        <f>VLOOKUP(E7717,'Cadastro Produtos (kiwkiw)'!C:E,3,0)</f>
        <v>#N/A</v>
      </c>
    </row>
    <row r="7718" spans="7:8" ht="15" customHeight="1" x14ac:dyDescent="0.4">
      <c r="G7718" s="27">
        <f t="shared" si="132"/>
        <v>0</v>
      </c>
      <c r="H7718" s="28" t="e">
        <f>VLOOKUP(E7718,'Cadastro Produtos (kiwkiw)'!C:E,3,0)</f>
        <v>#N/A</v>
      </c>
    </row>
    <row r="7719" spans="7:8" ht="15" customHeight="1" x14ac:dyDescent="0.4">
      <c r="G7719" s="27">
        <f t="shared" si="132"/>
        <v>0</v>
      </c>
      <c r="H7719" s="28" t="e">
        <f>VLOOKUP(E7719,'Cadastro Produtos (kiwkiw)'!C:E,3,0)</f>
        <v>#N/A</v>
      </c>
    </row>
    <row r="7720" spans="7:8" ht="15" customHeight="1" x14ac:dyDescent="0.4">
      <c r="G7720" s="27">
        <f t="shared" si="132"/>
        <v>0</v>
      </c>
      <c r="H7720" s="28" t="e">
        <f>VLOOKUP(E7720,'Cadastro Produtos (kiwkiw)'!C:E,3,0)</f>
        <v>#N/A</v>
      </c>
    </row>
    <row r="7721" spans="7:8" ht="15" customHeight="1" x14ac:dyDescent="0.4">
      <c r="G7721" s="27">
        <f t="shared" si="132"/>
        <v>0</v>
      </c>
      <c r="H7721" s="28" t="e">
        <f>VLOOKUP(E7721,'Cadastro Produtos (kiwkiw)'!C:E,3,0)</f>
        <v>#N/A</v>
      </c>
    </row>
    <row r="7722" spans="7:8" ht="15" customHeight="1" x14ac:dyDescent="0.4">
      <c r="G7722" s="27">
        <f t="shared" si="132"/>
        <v>0</v>
      </c>
      <c r="H7722" s="28" t="e">
        <f>VLOOKUP(E7722,'Cadastro Produtos (kiwkiw)'!C:E,3,0)</f>
        <v>#N/A</v>
      </c>
    </row>
    <row r="7723" spans="7:8" ht="15" customHeight="1" x14ac:dyDescent="0.4">
      <c r="G7723" s="27">
        <f t="shared" si="132"/>
        <v>0</v>
      </c>
      <c r="H7723" s="28" t="e">
        <f>VLOOKUP(E7723,'Cadastro Produtos (kiwkiw)'!C:E,3,0)</f>
        <v>#N/A</v>
      </c>
    </row>
    <row r="7724" spans="7:8" ht="15" customHeight="1" x14ac:dyDescent="0.4">
      <c r="G7724" s="27">
        <f t="shared" si="132"/>
        <v>0</v>
      </c>
      <c r="H7724" s="28" t="e">
        <f>VLOOKUP(E7724,'Cadastro Produtos (kiwkiw)'!C:E,3,0)</f>
        <v>#N/A</v>
      </c>
    </row>
    <row r="7725" spans="7:8" ht="15" customHeight="1" x14ac:dyDescent="0.4">
      <c r="G7725" s="27">
        <f t="shared" si="132"/>
        <v>0</v>
      </c>
      <c r="H7725" s="28" t="e">
        <f>VLOOKUP(E7725,'Cadastro Produtos (kiwkiw)'!C:E,3,0)</f>
        <v>#N/A</v>
      </c>
    </row>
    <row r="7726" spans="7:8" ht="15" customHeight="1" x14ac:dyDescent="0.4">
      <c r="G7726" s="27">
        <f t="shared" si="132"/>
        <v>0</v>
      </c>
      <c r="H7726" s="28" t="e">
        <f>VLOOKUP(E7726,'Cadastro Produtos (kiwkiw)'!C:E,3,0)</f>
        <v>#N/A</v>
      </c>
    </row>
    <row r="7727" spans="7:8" ht="15" customHeight="1" x14ac:dyDescent="0.4">
      <c r="G7727" s="27">
        <f t="shared" si="132"/>
        <v>0</v>
      </c>
      <c r="H7727" s="28" t="e">
        <f>VLOOKUP(E7727,'Cadastro Produtos (kiwkiw)'!C:E,3,0)</f>
        <v>#N/A</v>
      </c>
    </row>
    <row r="7728" spans="7:8" ht="15" customHeight="1" x14ac:dyDescent="0.4">
      <c r="G7728" s="27">
        <f t="shared" si="132"/>
        <v>0</v>
      </c>
      <c r="H7728" s="28" t="e">
        <f>VLOOKUP(E7728,'Cadastro Produtos (kiwkiw)'!C:E,3,0)</f>
        <v>#N/A</v>
      </c>
    </row>
    <row r="7729" spans="7:8" ht="15" customHeight="1" x14ac:dyDescent="0.4">
      <c r="G7729" s="27">
        <f t="shared" si="132"/>
        <v>0</v>
      </c>
      <c r="H7729" s="28" t="e">
        <f>VLOOKUP(E7729,'Cadastro Produtos (kiwkiw)'!C:E,3,0)</f>
        <v>#N/A</v>
      </c>
    </row>
    <row r="7730" spans="7:8" ht="15" customHeight="1" x14ac:dyDescent="0.4">
      <c r="G7730" s="27">
        <f t="shared" si="132"/>
        <v>0</v>
      </c>
      <c r="H7730" s="28" t="e">
        <f>VLOOKUP(E7730,'Cadastro Produtos (kiwkiw)'!C:E,3,0)</f>
        <v>#N/A</v>
      </c>
    </row>
    <row r="7731" spans="7:8" ht="15" customHeight="1" x14ac:dyDescent="0.4">
      <c r="G7731" s="27">
        <f t="shared" si="132"/>
        <v>0</v>
      </c>
      <c r="H7731" s="28" t="e">
        <f>VLOOKUP(E7731,'Cadastro Produtos (kiwkiw)'!C:E,3,0)</f>
        <v>#N/A</v>
      </c>
    </row>
    <row r="7732" spans="7:8" ht="15" customHeight="1" x14ac:dyDescent="0.4">
      <c r="G7732" s="27">
        <f t="shared" si="132"/>
        <v>0</v>
      </c>
      <c r="H7732" s="28" t="e">
        <f>VLOOKUP(E7732,'Cadastro Produtos (kiwkiw)'!C:E,3,0)</f>
        <v>#N/A</v>
      </c>
    </row>
    <row r="7733" spans="7:8" ht="15" customHeight="1" x14ac:dyDescent="0.4">
      <c r="G7733" s="27">
        <f t="shared" si="132"/>
        <v>0</v>
      </c>
      <c r="H7733" s="28" t="e">
        <f>VLOOKUP(E7733,'Cadastro Produtos (kiwkiw)'!C:E,3,0)</f>
        <v>#N/A</v>
      </c>
    </row>
    <row r="7734" spans="7:8" ht="15" customHeight="1" x14ac:dyDescent="0.4">
      <c r="G7734" s="27">
        <f t="shared" si="132"/>
        <v>0</v>
      </c>
      <c r="H7734" s="28" t="e">
        <f>VLOOKUP(E7734,'Cadastro Produtos (kiwkiw)'!C:E,3,0)</f>
        <v>#N/A</v>
      </c>
    </row>
    <row r="7735" spans="7:8" ht="15" customHeight="1" x14ac:dyDescent="0.4">
      <c r="G7735" s="27">
        <f t="shared" si="132"/>
        <v>0</v>
      </c>
      <c r="H7735" s="28" t="e">
        <f>VLOOKUP(E7735,'Cadastro Produtos (kiwkiw)'!C:E,3,0)</f>
        <v>#N/A</v>
      </c>
    </row>
    <row r="7736" spans="7:8" ht="15" customHeight="1" x14ac:dyDescent="0.4">
      <c r="G7736" s="27">
        <f t="shared" si="132"/>
        <v>0</v>
      </c>
      <c r="H7736" s="28" t="e">
        <f>VLOOKUP(E7736,'Cadastro Produtos (kiwkiw)'!C:E,3,0)</f>
        <v>#N/A</v>
      </c>
    </row>
    <row r="7737" spans="7:8" ht="15" customHeight="1" x14ac:dyDescent="0.4">
      <c r="G7737" s="27">
        <f t="shared" si="132"/>
        <v>0</v>
      </c>
      <c r="H7737" s="28" t="e">
        <f>VLOOKUP(E7737,'Cadastro Produtos (kiwkiw)'!C:E,3,0)</f>
        <v>#N/A</v>
      </c>
    </row>
    <row r="7738" spans="7:8" ht="15" customHeight="1" x14ac:dyDescent="0.4">
      <c r="G7738" s="27">
        <f t="shared" si="132"/>
        <v>0</v>
      </c>
      <c r="H7738" s="28" t="e">
        <f>VLOOKUP(E7738,'Cadastro Produtos (kiwkiw)'!C:E,3,0)</f>
        <v>#N/A</v>
      </c>
    </row>
    <row r="7739" spans="7:8" ht="15" customHeight="1" x14ac:dyDescent="0.4">
      <c r="G7739" s="27">
        <f t="shared" si="132"/>
        <v>0</v>
      </c>
      <c r="H7739" s="28" t="e">
        <f>VLOOKUP(E7739,'Cadastro Produtos (kiwkiw)'!C:E,3,0)</f>
        <v>#N/A</v>
      </c>
    </row>
    <row r="7740" spans="7:8" ht="15" customHeight="1" x14ac:dyDescent="0.4">
      <c r="G7740" s="27">
        <f t="shared" si="132"/>
        <v>0</v>
      </c>
      <c r="H7740" s="28" t="e">
        <f>VLOOKUP(E7740,'Cadastro Produtos (kiwkiw)'!C:E,3,0)</f>
        <v>#N/A</v>
      </c>
    </row>
    <row r="7741" spans="7:8" ht="15" customHeight="1" x14ac:dyDescent="0.4">
      <c r="G7741" s="27">
        <f t="shared" si="132"/>
        <v>0</v>
      </c>
      <c r="H7741" s="28" t="e">
        <f>VLOOKUP(E7741,'Cadastro Produtos (kiwkiw)'!C:E,3,0)</f>
        <v>#N/A</v>
      </c>
    </row>
    <row r="7742" spans="7:8" ht="15" customHeight="1" x14ac:dyDescent="0.4">
      <c r="G7742" s="27">
        <f t="shared" si="132"/>
        <v>0</v>
      </c>
      <c r="H7742" s="28" t="e">
        <f>VLOOKUP(E7742,'Cadastro Produtos (kiwkiw)'!C:E,3,0)</f>
        <v>#N/A</v>
      </c>
    </row>
    <row r="7743" spans="7:8" ht="15" customHeight="1" x14ac:dyDescent="0.4">
      <c r="G7743" s="27">
        <f t="shared" si="132"/>
        <v>0</v>
      </c>
      <c r="H7743" s="28" t="e">
        <f>VLOOKUP(E7743,'Cadastro Produtos (kiwkiw)'!C:E,3,0)</f>
        <v>#N/A</v>
      </c>
    </row>
    <row r="7744" spans="7:8" ht="15" customHeight="1" x14ac:dyDescent="0.4">
      <c r="G7744" s="27">
        <f t="shared" si="132"/>
        <v>0</v>
      </c>
      <c r="H7744" s="28" t="e">
        <f>VLOOKUP(E7744,'Cadastro Produtos (kiwkiw)'!C:E,3,0)</f>
        <v>#N/A</v>
      </c>
    </row>
    <row r="7745" spans="7:8" ht="15" customHeight="1" x14ac:dyDescent="0.4">
      <c r="G7745" s="27">
        <f t="shared" si="132"/>
        <v>0</v>
      </c>
      <c r="H7745" s="28" t="e">
        <f>VLOOKUP(E7745,'Cadastro Produtos (kiwkiw)'!C:E,3,0)</f>
        <v>#N/A</v>
      </c>
    </row>
    <row r="7746" spans="7:8" ht="15" customHeight="1" x14ac:dyDescent="0.4">
      <c r="G7746" s="27">
        <f t="shared" si="132"/>
        <v>0</v>
      </c>
      <c r="H7746" s="28" t="e">
        <f>VLOOKUP(E7746,'Cadastro Produtos (kiwkiw)'!C:E,3,0)</f>
        <v>#N/A</v>
      </c>
    </row>
    <row r="7747" spans="7:8" ht="15" customHeight="1" x14ac:dyDescent="0.4">
      <c r="G7747" s="27">
        <f t="shared" si="132"/>
        <v>0</v>
      </c>
      <c r="H7747" s="28" t="e">
        <f>VLOOKUP(E7747,'Cadastro Produtos (kiwkiw)'!C:E,3,0)</f>
        <v>#N/A</v>
      </c>
    </row>
    <row r="7748" spans="7:8" ht="15" customHeight="1" x14ac:dyDescent="0.4">
      <c r="G7748" s="27">
        <f t="shared" si="132"/>
        <v>0</v>
      </c>
      <c r="H7748" s="28" t="e">
        <f>VLOOKUP(E7748,'Cadastro Produtos (kiwkiw)'!C:E,3,0)</f>
        <v>#N/A</v>
      </c>
    </row>
    <row r="7749" spans="7:8" ht="15" customHeight="1" x14ac:dyDescent="0.4">
      <c r="G7749" s="27">
        <f t="shared" si="132"/>
        <v>0</v>
      </c>
      <c r="H7749" s="28" t="e">
        <f>VLOOKUP(E7749,'Cadastro Produtos (kiwkiw)'!C:E,3,0)</f>
        <v>#N/A</v>
      </c>
    </row>
    <row r="7750" spans="7:8" ht="15" customHeight="1" x14ac:dyDescent="0.4">
      <c r="G7750" s="27">
        <f t="shared" si="132"/>
        <v>0</v>
      </c>
      <c r="H7750" s="28" t="e">
        <f>VLOOKUP(E7750,'Cadastro Produtos (kiwkiw)'!C:E,3,0)</f>
        <v>#N/A</v>
      </c>
    </row>
    <row r="7751" spans="7:8" ht="15" customHeight="1" x14ac:dyDescent="0.4">
      <c r="G7751" s="27">
        <f t="shared" si="132"/>
        <v>0</v>
      </c>
      <c r="H7751" s="28" t="e">
        <f>VLOOKUP(E7751,'Cadastro Produtos (kiwkiw)'!C:E,3,0)</f>
        <v>#N/A</v>
      </c>
    </row>
    <row r="7752" spans="7:8" ht="15" customHeight="1" x14ac:dyDescent="0.4">
      <c r="G7752" s="27">
        <f t="shared" si="132"/>
        <v>0</v>
      </c>
      <c r="H7752" s="28" t="e">
        <f>VLOOKUP(E7752,'Cadastro Produtos (kiwkiw)'!C:E,3,0)</f>
        <v>#N/A</v>
      </c>
    </row>
    <row r="7753" spans="7:8" ht="15" customHeight="1" x14ac:dyDescent="0.4">
      <c r="G7753" s="27">
        <f t="shared" si="132"/>
        <v>0</v>
      </c>
      <c r="H7753" s="28" t="e">
        <f>VLOOKUP(E7753,'Cadastro Produtos (kiwkiw)'!C:E,3,0)</f>
        <v>#N/A</v>
      </c>
    </row>
    <row r="7754" spans="7:8" ht="15" customHeight="1" x14ac:dyDescent="0.4">
      <c r="G7754" s="27">
        <f t="shared" si="132"/>
        <v>0</v>
      </c>
      <c r="H7754" s="28" t="e">
        <f>VLOOKUP(E7754,'Cadastro Produtos (kiwkiw)'!C:E,3,0)</f>
        <v>#N/A</v>
      </c>
    </row>
    <row r="7755" spans="7:8" ht="15" customHeight="1" x14ac:dyDescent="0.4">
      <c r="G7755" s="27">
        <f t="shared" si="132"/>
        <v>0</v>
      </c>
      <c r="H7755" s="28" t="e">
        <f>VLOOKUP(E7755,'Cadastro Produtos (kiwkiw)'!C:E,3,0)</f>
        <v>#N/A</v>
      </c>
    </row>
    <row r="7756" spans="7:8" ht="15" customHeight="1" x14ac:dyDescent="0.4">
      <c r="G7756" s="27">
        <f t="shared" si="132"/>
        <v>0</v>
      </c>
      <c r="H7756" s="28" t="e">
        <f>VLOOKUP(E7756,'Cadastro Produtos (kiwkiw)'!C:E,3,0)</f>
        <v>#N/A</v>
      </c>
    </row>
    <row r="7757" spans="7:8" ht="15" customHeight="1" x14ac:dyDescent="0.4">
      <c r="G7757" s="27">
        <f t="shared" si="132"/>
        <v>0</v>
      </c>
      <c r="H7757" s="28" t="e">
        <f>VLOOKUP(E7757,'Cadastro Produtos (kiwkiw)'!C:E,3,0)</f>
        <v>#N/A</v>
      </c>
    </row>
    <row r="7758" spans="7:8" ht="15" customHeight="1" x14ac:dyDescent="0.4">
      <c r="G7758" s="27">
        <f t="shared" si="132"/>
        <v>0</v>
      </c>
      <c r="H7758" s="28" t="e">
        <f>VLOOKUP(E7758,'Cadastro Produtos (kiwkiw)'!C:E,3,0)</f>
        <v>#N/A</v>
      </c>
    </row>
    <row r="7759" spans="7:8" ht="15" customHeight="1" x14ac:dyDescent="0.4">
      <c r="G7759" s="27">
        <f t="shared" si="132"/>
        <v>0</v>
      </c>
      <c r="H7759" s="28" t="e">
        <f>VLOOKUP(E7759,'Cadastro Produtos (kiwkiw)'!C:E,3,0)</f>
        <v>#N/A</v>
      </c>
    </row>
    <row r="7760" spans="7:8" ht="15" customHeight="1" x14ac:dyDescent="0.4">
      <c r="G7760" s="27">
        <f t="shared" si="132"/>
        <v>0</v>
      </c>
      <c r="H7760" s="28" t="e">
        <f>VLOOKUP(E7760,'Cadastro Produtos (kiwkiw)'!C:E,3,0)</f>
        <v>#N/A</v>
      </c>
    </row>
    <row r="7761" spans="7:8" ht="15" customHeight="1" x14ac:dyDescent="0.4">
      <c r="G7761" s="27">
        <f t="shared" si="132"/>
        <v>0</v>
      </c>
      <c r="H7761" s="28" t="e">
        <f>VLOOKUP(E7761,'Cadastro Produtos (kiwkiw)'!C:E,3,0)</f>
        <v>#N/A</v>
      </c>
    </row>
    <row r="7762" spans="7:8" ht="15" customHeight="1" x14ac:dyDescent="0.4">
      <c r="G7762" s="27">
        <f t="shared" ref="G7762:G7825" si="133">IF(C7762="Entrada",F7762,-F7762)</f>
        <v>0</v>
      </c>
      <c r="H7762" s="28" t="e">
        <f>VLOOKUP(E7762,'Cadastro Produtos (kiwkiw)'!C:E,3,0)</f>
        <v>#N/A</v>
      </c>
    </row>
    <row r="7763" spans="7:8" ht="15" customHeight="1" x14ac:dyDescent="0.4">
      <c r="G7763" s="27">
        <f t="shared" si="133"/>
        <v>0</v>
      </c>
      <c r="H7763" s="28" t="e">
        <f>VLOOKUP(E7763,'Cadastro Produtos (kiwkiw)'!C:E,3,0)</f>
        <v>#N/A</v>
      </c>
    </row>
    <row r="7764" spans="7:8" ht="15" customHeight="1" x14ac:dyDescent="0.4">
      <c r="G7764" s="27">
        <f t="shared" si="133"/>
        <v>0</v>
      </c>
      <c r="H7764" s="28" t="e">
        <f>VLOOKUP(E7764,'Cadastro Produtos (kiwkiw)'!C:E,3,0)</f>
        <v>#N/A</v>
      </c>
    </row>
    <row r="7765" spans="7:8" ht="15" customHeight="1" x14ac:dyDescent="0.4">
      <c r="G7765" s="27">
        <f t="shared" si="133"/>
        <v>0</v>
      </c>
      <c r="H7765" s="28" t="e">
        <f>VLOOKUP(E7765,'Cadastro Produtos (kiwkiw)'!C:E,3,0)</f>
        <v>#N/A</v>
      </c>
    </row>
    <row r="7766" spans="7:8" ht="15" customHeight="1" x14ac:dyDescent="0.4">
      <c r="G7766" s="27">
        <f t="shared" si="133"/>
        <v>0</v>
      </c>
      <c r="H7766" s="28" t="e">
        <f>VLOOKUP(E7766,'Cadastro Produtos (kiwkiw)'!C:E,3,0)</f>
        <v>#N/A</v>
      </c>
    </row>
    <row r="7767" spans="7:8" ht="15" customHeight="1" x14ac:dyDescent="0.4">
      <c r="G7767" s="27">
        <f t="shared" si="133"/>
        <v>0</v>
      </c>
      <c r="H7767" s="28" t="e">
        <f>VLOOKUP(E7767,'Cadastro Produtos (kiwkiw)'!C:E,3,0)</f>
        <v>#N/A</v>
      </c>
    </row>
    <row r="7768" spans="7:8" ht="15" customHeight="1" x14ac:dyDescent="0.4">
      <c r="G7768" s="27">
        <f t="shared" si="133"/>
        <v>0</v>
      </c>
      <c r="H7768" s="28" t="e">
        <f>VLOOKUP(E7768,'Cadastro Produtos (kiwkiw)'!C:E,3,0)</f>
        <v>#N/A</v>
      </c>
    </row>
    <row r="7769" spans="7:8" ht="15" customHeight="1" x14ac:dyDescent="0.4">
      <c r="G7769" s="27">
        <f t="shared" si="133"/>
        <v>0</v>
      </c>
      <c r="H7769" s="28" t="e">
        <f>VLOOKUP(E7769,'Cadastro Produtos (kiwkiw)'!C:E,3,0)</f>
        <v>#N/A</v>
      </c>
    </row>
    <row r="7770" spans="7:8" ht="15" customHeight="1" x14ac:dyDescent="0.4">
      <c r="G7770" s="27">
        <f t="shared" si="133"/>
        <v>0</v>
      </c>
      <c r="H7770" s="28" t="e">
        <f>VLOOKUP(E7770,'Cadastro Produtos (kiwkiw)'!C:E,3,0)</f>
        <v>#N/A</v>
      </c>
    </row>
    <row r="7771" spans="7:8" ht="15" customHeight="1" x14ac:dyDescent="0.4">
      <c r="G7771" s="27">
        <f t="shared" si="133"/>
        <v>0</v>
      </c>
      <c r="H7771" s="28" t="e">
        <f>VLOOKUP(E7771,'Cadastro Produtos (kiwkiw)'!C:E,3,0)</f>
        <v>#N/A</v>
      </c>
    </row>
    <row r="7772" spans="7:8" ht="15" customHeight="1" x14ac:dyDescent="0.4">
      <c r="G7772" s="27">
        <f t="shared" si="133"/>
        <v>0</v>
      </c>
      <c r="H7772" s="28" t="e">
        <f>VLOOKUP(E7772,'Cadastro Produtos (kiwkiw)'!C:E,3,0)</f>
        <v>#N/A</v>
      </c>
    </row>
    <row r="7773" spans="7:8" ht="15" customHeight="1" x14ac:dyDescent="0.4">
      <c r="G7773" s="27">
        <f t="shared" si="133"/>
        <v>0</v>
      </c>
      <c r="H7773" s="28" t="e">
        <f>VLOOKUP(E7773,'Cadastro Produtos (kiwkiw)'!C:E,3,0)</f>
        <v>#N/A</v>
      </c>
    </row>
    <row r="7774" spans="7:8" ht="15" customHeight="1" x14ac:dyDescent="0.4">
      <c r="G7774" s="27">
        <f t="shared" si="133"/>
        <v>0</v>
      </c>
      <c r="H7774" s="28" t="e">
        <f>VLOOKUP(E7774,'Cadastro Produtos (kiwkiw)'!C:E,3,0)</f>
        <v>#N/A</v>
      </c>
    </row>
    <row r="7775" spans="7:8" ht="15" customHeight="1" x14ac:dyDescent="0.4">
      <c r="G7775" s="27">
        <f t="shared" si="133"/>
        <v>0</v>
      </c>
      <c r="H7775" s="28" t="e">
        <f>VLOOKUP(E7775,'Cadastro Produtos (kiwkiw)'!C:E,3,0)</f>
        <v>#N/A</v>
      </c>
    </row>
    <row r="7776" spans="7:8" ht="15" customHeight="1" x14ac:dyDescent="0.4">
      <c r="G7776" s="27">
        <f t="shared" si="133"/>
        <v>0</v>
      </c>
      <c r="H7776" s="28" t="e">
        <f>VLOOKUP(E7776,'Cadastro Produtos (kiwkiw)'!C:E,3,0)</f>
        <v>#N/A</v>
      </c>
    </row>
    <row r="7777" spans="7:8" ht="15" customHeight="1" x14ac:dyDescent="0.4">
      <c r="G7777" s="27">
        <f t="shared" si="133"/>
        <v>0</v>
      </c>
      <c r="H7777" s="28" t="e">
        <f>VLOOKUP(E7777,'Cadastro Produtos (kiwkiw)'!C:E,3,0)</f>
        <v>#N/A</v>
      </c>
    </row>
    <row r="7778" spans="7:8" ht="15" customHeight="1" x14ac:dyDescent="0.4">
      <c r="G7778" s="27">
        <f t="shared" si="133"/>
        <v>0</v>
      </c>
      <c r="H7778" s="28" t="e">
        <f>VLOOKUP(E7778,'Cadastro Produtos (kiwkiw)'!C:E,3,0)</f>
        <v>#N/A</v>
      </c>
    </row>
    <row r="7779" spans="7:8" ht="15" customHeight="1" x14ac:dyDescent="0.4">
      <c r="G7779" s="27">
        <f t="shared" si="133"/>
        <v>0</v>
      </c>
      <c r="H7779" s="28" t="e">
        <f>VLOOKUP(E7779,'Cadastro Produtos (kiwkiw)'!C:E,3,0)</f>
        <v>#N/A</v>
      </c>
    </row>
    <row r="7780" spans="7:8" ht="15" customHeight="1" x14ac:dyDescent="0.4">
      <c r="G7780" s="27">
        <f t="shared" si="133"/>
        <v>0</v>
      </c>
      <c r="H7780" s="28" t="e">
        <f>VLOOKUP(E7780,'Cadastro Produtos (kiwkiw)'!C:E,3,0)</f>
        <v>#N/A</v>
      </c>
    </row>
    <row r="7781" spans="7:8" ht="15" customHeight="1" x14ac:dyDescent="0.4">
      <c r="G7781" s="27">
        <f t="shared" si="133"/>
        <v>0</v>
      </c>
      <c r="H7781" s="28" t="e">
        <f>VLOOKUP(E7781,'Cadastro Produtos (kiwkiw)'!C:E,3,0)</f>
        <v>#N/A</v>
      </c>
    </row>
    <row r="7782" spans="7:8" ht="15" customHeight="1" x14ac:dyDescent="0.4">
      <c r="G7782" s="27">
        <f t="shared" si="133"/>
        <v>0</v>
      </c>
      <c r="H7782" s="28" t="e">
        <f>VLOOKUP(E7782,'Cadastro Produtos (kiwkiw)'!C:E,3,0)</f>
        <v>#N/A</v>
      </c>
    </row>
    <row r="7783" spans="7:8" ht="15" customHeight="1" x14ac:dyDescent="0.4">
      <c r="G7783" s="27">
        <f t="shared" si="133"/>
        <v>0</v>
      </c>
      <c r="H7783" s="28" t="e">
        <f>VLOOKUP(E7783,'Cadastro Produtos (kiwkiw)'!C:E,3,0)</f>
        <v>#N/A</v>
      </c>
    </row>
    <row r="7784" spans="7:8" ht="15" customHeight="1" x14ac:dyDescent="0.4">
      <c r="G7784" s="27">
        <f t="shared" si="133"/>
        <v>0</v>
      </c>
      <c r="H7784" s="28" t="e">
        <f>VLOOKUP(E7784,'Cadastro Produtos (kiwkiw)'!C:E,3,0)</f>
        <v>#N/A</v>
      </c>
    </row>
    <row r="7785" spans="7:8" ht="15" customHeight="1" x14ac:dyDescent="0.4">
      <c r="G7785" s="27">
        <f t="shared" si="133"/>
        <v>0</v>
      </c>
      <c r="H7785" s="28" t="e">
        <f>VLOOKUP(E7785,'Cadastro Produtos (kiwkiw)'!C:E,3,0)</f>
        <v>#N/A</v>
      </c>
    </row>
    <row r="7786" spans="7:8" ht="15" customHeight="1" x14ac:dyDescent="0.4">
      <c r="G7786" s="27">
        <f t="shared" si="133"/>
        <v>0</v>
      </c>
      <c r="H7786" s="28" t="e">
        <f>VLOOKUP(E7786,'Cadastro Produtos (kiwkiw)'!C:E,3,0)</f>
        <v>#N/A</v>
      </c>
    </row>
    <row r="7787" spans="7:8" ht="15" customHeight="1" x14ac:dyDescent="0.4">
      <c r="G7787" s="27">
        <f t="shared" si="133"/>
        <v>0</v>
      </c>
      <c r="H7787" s="28" t="e">
        <f>VLOOKUP(E7787,'Cadastro Produtos (kiwkiw)'!C:E,3,0)</f>
        <v>#N/A</v>
      </c>
    </row>
    <row r="7788" spans="7:8" ht="15" customHeight="1" x14ac:dyDescent="0.4">
      <c r="G7788" s="27">
        <f t="shared" si="133"/>
        <v>0</v>
      </c>
      <c r="H7788" s="28" t="e">
        <f>VLOOKUP(E7788,'Cadastro Produtos (kiwkiw)'!C:E,3,0)</f>
        <v>#N/A</v>
      </c>
    </row>
    <row r="7789" spans="7:8" ht="15" customHeight="1" x14ac:dyDescent="0.4">
      <c r="G7789" s="27">
        <f t="shared" si="133"/>
        <v>0</v>
      </c>
      <c r="H7789" s="28" t="e">
        <f>VLOOKUP(E7789,'Cadastro Produtos (kiwkiw)'!C:E,3,0)</f>
        <v>#N/A</v>
      </c>
    </row>
    <row r="7790" spans="7:8" ht="15" customHeight="1" x14ac:dyDescent="0.4">
      <c r="G7790" s="27">
        <f t="shared" si="133"/>
        <v>0</v>
      </c>
      <c r="H7790" s="28" t="e">
        <f>VLOOKUP(E7790,'Cadastro Produtos (kiwkiw)'!C:E,3,0)</f>
        <v>#N/A</v>
      </c>
    </row>
    <row r="7791" spans="7:8" ht="15" customHeight="1" x14ac:dyDescent="0.4">
      <c r="G7791" s="27">
        <f t="shared" si="133"/>
        <v>0</v>
      </c>
      <c r="H7791" s="28" t="e">
        <f>VLOOKUP(E7791,'Cadastro Produtos (kiwkiw)'!C:E,3,0)</f>
        <v>#N/A</v>
      </c>
    </row>
    <row r="7792" spans="7:8" ht="15" customHeight="1" x14ac:dyDescent="0.4">
      <c r="G7792" s="27">
        <f t="shared" si="133"/>
        <v>0</v>
      </c>
      <c r="H7792" s="28" t="e">
        <f>VLOOKUP(E7792,'Cadastro Produtos (kiwkiw)'!C:E,3,0)</f>
        <v>#N/A</v>
      </c>
    </row>
    <row r="7793" spans="7:8" ht="15" customHeight="1" x14ac:dyDescent="0.4">
      <c r="G7793" s="27">
        <f t="shared" si="133"/>
        <v>0</v>
      </c>
      <c r="H7793" s="28" t="e">
        <f>VLOOKUP(E7793,'Cadastro Produtos (kiwkiw)'!C:E,3,0)</f>
        <v>#N/A</v>
      </c>
    </row>
    <row r="7794" spans="7:8" ht="15" customHeight="1" x14ac:dyDescent="0.4">
      <c r="G7794" s="27">
        <f t="shared" si="133"/>
        <v>0</v>
      </c>
      <c r="H7794" s="28" t="e">
        <f>VLOOKUP(E7794,'Cadastro Produtos (kiwkiw)'!C:E,3,0)</f>
        <v>#N/A</v>
      </c>
    </row>
    <row r="7795" spans="7:8" ht="15" customHeight="1" x14ac:dyDescent="0.4">
      <c r="G7795" s="27">
        <f t="shared" si="133"/>
        <v>0</v>
      </c>
      <c r="H7795" s="28" t="e">
        <f>VLOOKUP(E7795,'Cadastro Produtos (kiwkiw)'!C:E,3,0)</f>
        <v>#N/A</v>
      </c>
    </row>
    <row r="7796" spans="7:8" ht="15" customHeight="1" x14ac:dyDescent="0.4">
      <c r="G7796" s="27">
        <f t="shared" si="133"/>
        <v>0</v>
      </c>
      <c r="H7796" s="28" t="e">
        <f>VLOOKUP(E7796,'Cadastro Produtos (kiwkiw)'!C:E,3,0)</f>
        <v>#N/A</v>
      </c>
    </row>
    <row r="7797" spans="7:8" ht="15" customHeight="1" x14ac:dyDescent="0.4">
      <c r="G7797" s="27">
        <f t="shared" si="133"/>
        <v>0</v>
      </c>
      <c r="H7797" s="28" t="e">
        <f>VLOOKUP(E7797,'Cadastro Produtos (kiwkiw)'!C:E,3,0)</f>
        <v>#N/A</v>
      </c>
    </row>
    <row r="7798" spans="7:8" ht="15" customHeight="1" x14ac:dyDescent="0.4">
      <c r="G7798" s="27">
        <f t="shared" si="133"/>
        <v>0</v>
      </c>
      <c r="H7798" s="28" t="e">
        <f>VLOOKUP(E7798,'Cadastro Produtos (kiwkiw)'!C:E,3,0)</f>
        <v>#N/A</v>
      </c>
    </row>
    <row r="7799" spans="7:8" ht="15" customHeight="1" x14ac:dyDescent="0.4">
      <c r="G7799" s="27">
        <f t="shared" si="133"/>
        <v>0</v>
      </c>
      <c r="H7799" s="28" t="e">
        <f>VLOOKUP(E7799,'Cadastro Produtos (kiwkiw)'!C:E,3,0)</f>
        <v>#N/A</v>
      </c>
    </row>
    <row r="7800" spans="7:8" ht="15" customHeight="1" x14ac:dyDescent="0.4">
      <c r="G7800" s="27">
        <f t="shared" si="133"/>
        <v>0</v>
      </c>
      <c r="H7800" s="28" t="e">
        <f>VLOOKUP(E7800,'Cadastro Produtos (kiwkiw)'!C:E,3,0)</f>
        <v>#N/A</v>
      </c>
    </row>
    <row r="7801" spans="7:8" ht="15" customHeight="1" x14ac:dyDescent="0.4">
      <c r="G7801" s="27">
        <f t="shared" si="133"/>
        <v>0</v>
      </c>
      <c r="H7801" s="28" t="e">
        <f>VLOOKUP(E7801,'Cadastro Produtos (kiwkiw)'!C:E,3,0)</f>
        <v>#N/A</v>
      </c>
    </row>
    <row r="7802" spans="7:8" ht="15" customHeight="1" x14ac:dyDescent="0.4">
      <c r="G7802" s="27">
        <f t="shared" si="133"/>
        <v>0</v>
      </c>
      <c r="H7802" s="28" t="e">
        <f>VLOOKUP(E7802,'Cadastro Produtos (kiwkiw)'!C:E,3,0)</f>
        <v>#N/A</v>
      </c>
    </row>
    <row r="7803" spans="7:8" ht="15" customHeight="1" x14ac:dyDescent="0.4">
      <c r="G7803" s="27">
        <f t="shared" si="133"/>
        <v>0</v>
      </c>
      <c r="H7803" s="28" t="e">
        <f>VLOOKUP(E7803,'Cadastro Produtos (kiwkiw)'!C:E,3,0)</f>
        <v>#N/A</v>
      </c>
    </row>
    <row r="7804" spans="7:8" ht="15" customHeight="1" x14ac:dyDescent="0.4">
      <c r="G7804" s="27">
        <f t="shared" si="133"/>
        <v>0</v>
      </c>
      <c r="H7804" s="28" t="e">
        <f>VLOOKUP(E7804,'Cadastro Produtos (kiwkiw)'!C:E,3,0)</f>
        <v>#N/A</v>
      </c>
    </row>
    <row r="7805" spans="7:8" ht="15" customHeight="1" x14ac:dyDescent="0.4">
      <c r="G7805" s="27">
        <f t="shared" si="133"/>
        <v>0</v>
      </c>
      <c r="H7805" s="28" t="e">
        <f>VLOOKUP(E7805,'Cadastro Produtos (kiwkiw)'!C:E,3,0)</f>
        <v>#N/A</v>
      </c>
    </row>
    <row r="7806" spans="7:8" ht="15" customHeight="1" x14ac:dyDescent="0.4">
      <c r="G7806" s="27">
        <f t="shared" si="133"/>
        <v>0</v>
      </c>
      <c r="H7806" s="28" t="e">
        <f>VLOOKUP(E7806,'Cadastro Produtos (kiwkiw)'!C:E,3,0)</f>
        <v>#N/A</v>
      </c>
    </row>
    <row r="7807" spans="7:8" ht="15" customHeight="1" x14ac:dyDescent="0.4">
      <c r="G7807" s="27">
        <f t="shared" si="133"/>
        <v>0</v>
      </c>
      <c r="H7807" s="28" t="e">
        <f>VLOOKUP(E7807,'Cadastro Produtos (kiwkiw)'!C:E,3,0)</f>
        <v>#N/A</v>
      </c>
    </row>
    <row r="7808" spans="7:8" ht="15" customHeight="1" x14ac:dyDescent="0.4">
      <c r="G7808" s="27">
        <f t="shared" si="133"/>
        <v>0</v>
      </c>
      <c r="H7808" s="28" t="e">
        <f>VLOOKUP(E7808,'Cadastro Produtos (kiwkiw)'!C:E,3,0)</f>
        <v>#N/A</v>
      </c>
    </row>
    <row r="7809" spans="7:8" ht="15" customHeight="1" x14ac:dyDescent="0.4">
      <c r="G7809" s="27">
        <f t="shared" si="133"/>
        <v>0</v>
      </c>
      <c r="H7809" s="28" t="e">
        <f>VLOOKUP(E7809,'Cadastro Produtos (kiwkiw)'!C:E,3,0)</f>
        <v>#N/A</v>
      </c>
    </row>
    <row r="7810" spans="7:8" ht="15" customHeight="1" x14ac:dyDescent="0.4">
      <c r="G7810" s="27">
        <f t="shared" si="133"/>
        <v>0</v>
      </c>
      <c r="H7810" s="28" t="e">
        <f>VLOOKUP(E7810,'Cadastro Produtos (kiwkiw)'!C:E,3,0)</f>
        <v>#N/A</v>
      </c>
    </row>
    <row r="7811" spans="7:8" ht="15" customHeight="1" x14ac:dyDescent="0.4">
      <c r="G7811" s="27">
        <f t="shared" si="133"/>
        <v>0</v>
      </c>
      <c r="H7811" s="28" t="e">
        <f>VLOOKUP(E7811,'Cadastro Produtos (kiwkiw)'!C:E,3,0)</f>
        <v>#N/A</v>
      </c>
    </row>
    <row r="7812" spans="7:8" ht="15" customHeight="1" x14ac:dyDescent="0.4">
      <c r="G7812" s="27">
        <f t="shared" si="133"/>
        <v>0</v>
      </c>
      <c r="H7812" s="28" t="e">
        <f>VLOOKUP(E7812,'Cadastro Produtos (kiwkiw)'!C:E,3,0)</f>
        <v>#N/A</v>
      </c>
    </row>
    <row r="7813" spans="7:8" ht="15" customHeight="1" x14ac:dyDescent="0.4">
      <c r="G7813" s="27">
        <f t="shared" si="133"/>
        <v>0</v>
      </c>
      <c r="H7813" s="28" t="e">
        <f>VLOOKUP(E7813,'Cadastro Produtos (kiwkiw)'!C:E,3,0)</f>
        <v>#N/A</v>
      </c>
    </row>
    <row r="7814" spans="7:8" ht="15" customHeight="1" x14ac:dyDescent="0.4">
      <c r="G7814" s="27">
        <f t="shared" si="133"/>
        <v>0</v>
      </c>
      <c r="H7814" s="28" t="e">
        <f>VLOOKUP(E7814,'Cadastro Produtos (kiwkiw)'!C:E,3,0)</f>
        <v>#N/A</v>
      </c>
    </row>
    <row r="7815" spans="7:8" ht="15" customHeight="1" x14ac:dyDescent="0.4">
      <c r="G7815" s="27">
        <f t="shared" si="133"/>
        <v>0</v>
      </c>
      <c r="H7815" s="28" t="e">
        <f>VLOOKUP(E7815,'Cadastro Produtos (kiwkiw)'!C:E,3,0)</f>
        <v>#N/A</v>
      </c>
    </row>
    <row r="7816" spans="7:8" ht="15" customHeight="1" x14ac:dyDescent="0.4">
      <c r="G7816" s="27">
        <f t="shared" si="133"/>
        <v>0</v>
      </c>
      <c r="H7816" s="28" t="e">
        <f>VLOOKUP(E7816,'Cadastro Produtos (kiwkiw)'!C:E,3,0)</f>
        <v>#N/A</v>
      </c>
    </row>
    <row r="7817" spans="7:8" ht="15" customHeight="1" x14ac:dyDescent="0.4">
      <c r="G7817" s="27">
        <f t="shared" si="133"/>
        <v>0</v>
      </c>
      <c r="H7817" s="28" t="e">
        <f>VLOOKUP(E7817,'Cadastro Produtos (kiwkiw)'!C:E,3,0)</f>
        <v>#N/A</v>
      </c>
    </row>
    <row r="7818" spans="7:8" ht="15" customHeight="1" x14ac:dyDescent="0.4">
      <c r="G7818" s="27">
        <f t="shared" si="133"/>
        <v>0</v>
      </c>
      <c r="H7818" s="28" t="e">
        <f>VLOOKUP(E7818,'Cadastro Produtos (kiwkiw)'!C:E,3,0)</f>
        <v>#N/A</v>
      </c>
    </row>
    <row r="7819" spans="7:8" ht="15" customHeight="1" x14ac:dyDescent="0.4">
      <c r="G7819" s="27">
        <f t="shared" si="133"/>
        <v>0</v>
      </c>
      <c r="H7819" s="28" t="e">
        <f>VLOOKUP(E7819,'Cadastro Produtos (kiwkiw)'!C:E,3,0)</f>
        <v>#N/A</v>
      </c>
    </row>
    <row r="7820" spans="7:8" ht="15" customHeight="1" x14ac:dyDescent="0.4">
      <c r="G7820" s="27">
        <f t="shared" si="133"/>
        <v>0</v>
      </c>
      <c r="H7820" s="28" t="e">
        <f>VLOOKUP(E7820,'Cadastro Produtos (kiwkiw)'!C:E,3,0)</f>
        <v>#N/A</v>
      </c>
    </row>
    <row r="7821" spans="7:8" ht="15" customHeight="1" x14ac:dyDescent="0.4">
      <c r="G7821" s="27">
        <f t="shared" si="133"/>
        <v>0</v>
      </c>
      <c r="H7821" s="28" t="e">
        <f>VLOOKUP(E7821,'Cadastro Produtos (kiwkiw)'!C:E,3,0)</f>
        <v>#N/A</v>
      </c>
    </row>
    <row r="7822" spans="7:8" ht="15" customHeight="1" x14ac:dyDescent="0.4">
      <c r="G7822" s="27">
        <f t="shared" si="133"/>
        <v>0</v>
      </c>
      <c r="H7822" s="28" t="e">
        <f>VLOOKUP(E7822,'Cadastro Produtos (kiwkiw)'!C:E,3,0)</f>
        <v>#N/A</v>
      </c>
    </row>
    <row r="7823" spans="7:8" ht="15" customHeight="1" x14ac:dyDescent="0.4">
      <c r="G7823" s="27">
        <f t="shared" si="133"/>
        <v>0</v>
      </c>
      <c r="H7823" s="28" t="e">
        <f>VLOOKUP(E7823,'Cadastro Produtos (kiwkiw)'!C:E,3,0)</f>
        <v>#N/A</v>
      </c>
    </row>
    <row r="7824" spans="7:8" ht="15" customHeight="1" x14ac:dyDescent="0.4">
      <c r="G7824" s="27">
        <f t="shared" si="133"/>
        <v>0</v>
      </c>
      <c r="H7824" s="28" t="e">
        <f>VLOOKUP(E7824,'Cadastro Produtos (kiwkiw)'!C:E,3,0)</f>
        <v>#N/A</v>
      </c>
    </row>
    <row r="7825" spans="7:8" ht="15" customHeight="1" x14ac:dyDescent="0.4">
      <c r="G7825" s="27">
        <f t="shared" si="133"/>
        <v>0</v>
      </c>
      <c r="H7825" s="28" t="e">
        <f>VLOOKUP(E7825,'Cadastro Produtos (kiwkiw)'!C:E,3,0)</f>
        <v>#N/A</v>
      </c>
    </row>
    <row r="7826" spans="7:8" ht="15" customHeight="1" x14ac:dyDescent="0.4">
      <c r="G7826" s="27">
        <f t="shared" ref="G7826:G7889" si="134">IF(C7826="Entrada",F7826,-F7826)</f>
        <v>0</v>
      </c>
      <c r="H7826" s="28" t="e">
        <f>VLOOKUP(E7826,'Cadastro Produtos (kiwkiw)'!C:E,3,0)</f>
        <v>#N/A</v>
      </c>
    </row>
    <row r="7827" spans="7:8" ht="15" customHeight="1" x14ac:dyDescent="0.4">
      <c r="G7827" s="27">
        <f t="shared" si="134"/>
        <v>0</v>
      </c>
      <c r="H7827" s="28" t="e">
        <f>VLOOKUP(E7827,'Cadastro Produtos (kiwkiw)'!C:E,3,0)</f>
        <v>#N/A</v>
      </c>
    </row>
    <row r="7828" spans="7:8" ht="15" customHeight="1" x14ac:dyDescent="0.4">
      <c r="G7828" s="27">
        <f t="shared" si="134"/>
        <v>0</v>
      </c>
      <c r="H7828" s="28" t="e">
        <f>VLOOKUP(E7828,'Cadastro Produtos (kiwkiw)'!C:E,3,0)</f>
        <v>#N/A</v>
      </c>
    </row>
    <row r="7829" spans="7:8" ht="15" customHeight="1" x14ac:dyDescent="0.4">
      <c r="G7829" s="27">
        <f t="shared" si="134"/>
        <v>0</v>
      </c>
      <c r="H7829" s="28" t="e">
        <f>VLOOKUP(E7829,'Cadastro Produtos (kiwkiw)'!C:E,3,0)</f>
        <v>#N/A</v>
      </c>
    </row>
    <row r="7830" spans="7:8" ht="15" customHeight="1" x14ac:dyDescent="0.4">
      <c r="G7830" s="27">
        <f t="shared" si="134"/>
        <v>0</v>
      </c>
      <c r="H7830" s="28" t="e">
        <f>VLOOKUP(E7830,'Cadastro Produtos (kiwkiw)'!C:E,3,0)</f>
        <v>#N/A</v>
      </c>
    </row>
    <row r="7831" spans="7:8" ht="15" customHeight="1" x14ac:dyDescent="0.4">
      <c r="G7831" s="27">
        <f t="shared" si="134"/>
        <v>0</v>
      </c>
      <c r="H7831" s="28" t="e">
        <f>VLOOKUP(E7831,'Cadastro Produtos (kiwkiw)'!C:E,3,0)</f>
        <v>#N/A</v>
      </c>
    </row>
    <row r="7832" spans="7:8" ht="15" customHeight="1" x14ac:dyDescent="0.4">
      <c r="G7832" s="27">
        <f t="shared" si="134"/>
        <v>0</v>
      </c>
      <c r="H7832" s="28" t="e">
        <f>VLOOKUP(E7832,'Cadastro Produtos (kiwkiw)'!C:E,3,0)</f>
        <v>#N/A</v>
      </c>
    </row>
    <row r="7833" spans="7:8" ht="15" customHeight="1" x14ac:dyDescent="0.4">
      <c r="G7833" s="27">
        <f t="shared" si="134"/>
        <v>0</v>
      </c>
      <c r="H7833" s="28" t="e">
        <f>VLOOKUP(E7833,'Cadastro Produtos (kiwkiw)'!C:E,3,0)</f>
        <v>#N/A</v>
      </c>
    </row>
    <row r="7834" spans="7:8" ht="15" customHeight="1" x14ac:dyDescent="0.4">
      <c r="G7834" s="27">
        <f t="shared" si="134"/>
        <v>0</v>
      </c>
      <c r="H7834" s="28" t="e">
        <f>VLOOKUP(E7834,'Cadastro Produtos (kiwkiw)'!C:E,3,0)</f>
        <v>#N/A</v>
      </c>
    </row>
    <row r="7835" spans="7:8" ht="15" customHeight="1" x14ac:dyDescent="0.4">
      <c r="G7835" s="27">
        <f t="shared" si="134"/>
        <v>0</v>
      </c>
      <c r="H7835" s="28" t="e">
        <f>VLOOKUP(E7835,'Cadastro Produtos (kiwkiw)'!C:E,3,0)</f>
        <v>#N/A</v>
      </c>
    </row>
    <row r="7836" spans="7:8" ht="15" customHeight="1" x14ac:dyDescent="0.4">
      <c r="G7836" s="27">
        <f t="shared" si="134"/>
        <v>0</v>
      </c>
      <c r="H7836" s="28" t="e">
        <f>VLOOKUP(E7836,'Cadastro Produtos (kiwkiw)'!C:E,3,0)</f>
        <v>#N/A</v>
      </c>
    </row>
    <row r="7837" spans="7:8" ht="15" customHeight="1" x14ac:dyDescent="0.4">
      <c r="G7837" s="27">
        <f t="shared" si="134"/>
        <v>0</v>
      </c>
      <c r="H7837" s="28" t="e">
        <f>VLOOKUP(E7837,'Cadastro Produtos (kiwkiw)'!C:E,3,0)</f>
        <v>#N/A</v>
      </c>
    </row>
    <row r="7838" spans="7:8" ht="15" customHeight="1" x14ac:dyDescent="0.4">
      <c r="G7838" s="27">
        <f t="shared" si="134"/>
        <v>0</v>
      </c>
      <c r="H7838" s="28" t="e">
        <f>VLOOKUP(E7838,'Cadastro Produtos (kiwkiw)'!C:E,3,0)</f>
        <v>#N/A</v>
      </c>
    </row>
    <row r="7839" spans="7:8" ht="15" customHeight="1" x14ac:dyDescent="0.4">
      <c r="G7839" s="27">
        <f t="shared" si="134"/>
        <v>0</v>
      </c>
      <c r="H7839" s="28" t="e">
        <f>VLOOKUP(E7839,'Cadastro Produtos (kiwkiw)'!C:E,3,0)</f>
        <v>#N/A</v>
      </c>
    </row>
    <row r="7840" spans="7:8" ht="15" customHeight="1" x14ac:dyDescent="0.4">
      <c r="G7840" s="27">
        <f t="shared" si="134"/>
        <v>0</v>
      </c>
      <c r="H7840" s="28" t="e">
        <f>VLOOKUP(E7840,'Cadastro Produtos (kiwkiw)'!C:E,3,0)</f>
        <v>#N/A</v>
      </c>
    </row>
    <row r="7841" spans="7:8" ht="15" customHeight="1" x14ac:dyDescent="0.4">
      <c r="G7841" s="27">
        <f t="shared" si="134"/>
        <v>0</v>
      </c>
      <c r="H7841" s="28" t="e">
        <f>VLOOKUP(E7841,'Cadastro Produtos (kiwkiw)'!C:E,3,0)</f>
        <v>#N/A</v>
      </c>
    </row>
    <row r="7842" spans="7:8" ht="15" customHeight="1" x14ac:dyDescent="0.4">
      <c r="G7842" s="27">
        <f t="shared" si="134"/>
        <v>0</v>
      </c>
      <c r="H7842" s="28" t="e">
        <f>VLOOKUP(E7842,'Cadastro Produtos (kiwkiw)'!C:E,3,0)</f>
        <v>#N/A</v>
      </c>
    </row>
    <row r="7843" spans="7:8" ht="15" customHeight="1" x14ac:dyDescent="0.4">
      <c r="G7843" s="27">
        <f t="shared" si="134"/>
        <v>0</v>
      </c>
      <c r="H7843" s="28" t="e">
        <f>VLOOKUP(E7843,'Cadastro Produtos (kiwkiw)'!C:E,3,0)</f>
        <v>#N/A</v>
      </c>
    </row>
    <row r="7844" spans="7:8" ht="15" customHeight="1" x14ac:dyDescent="0.4">
      <c r="G7844" s="27">
        <f t="shared" si="134"/>
        <v>0</v>
      </c>
      <c r="H7844" s="28" t="e">
        <f>VLOOKUP(E7844,'Cadastro Produtos (kiwkiw)'!C:E,3,0)</f>
        <v>#N/A</v>
      </c>
    </row>
    <row r="7845" spans="7:8" ht="15" customHeight="1" x14ac:dyDescent="0.4">
      <c r="G7845" s="27">
        <f t="shared" si="134"/>
        <v>0</v>
      </c>
      <c r="H7845" s="28" t="e">
        <f>VLOOKUP(E7845,'Cadastro Produtos (kiwkiw)'!C:E,3,0)</f>
        <v>#N/A</v>
      </c>
    </row>
    <row r="7846" spans="7:8" ht="15" customHeight="1" x14ac:dyDescent="0.4">
      <c r="G7846" s="27">
        <f t="shared" si="134"/>
        <v>0</v>
      </c>
      <c r="H7846" s="28" t="e">
        <f>VLOOKUP(E7846,'Cadastro Produtos (kiwkiw)'!C:E,3,0)</f>
        <v>#N/A</v>
      </c>
    </row>
    <row r="7847" spans="7:8" ht="15" customHeight="1" x14ac:dyDescent="0.4">
      <c r="G7847" s="27">
        <f t="shared" si="134"/>
        <v>0</v>
      </c>
      <c r="H7847" s="28" t="e">
        <f>VLOOKUP(E7847,'Cadastro Produtos (kiwkiw)'!C:E,3,0)</f>
        <v>#N/A</v>
      </c>
    </row>
    <row r="7848" spans="7:8" ht="15" customHeight="1" x14ac:dyDescent="0.4">
      <c r="G7848" s="27">
        <f t="shared" si="134"/>
        <v>0</v>
      </c>
      <c r="H7848" s="28" t="e">
        <f>VLOOKUP(E7848,'Cadastro Produtos (kiwkiw)'!C:E,3,0)</f>
        <v>#N/A</v>
      </c>
    </row>
    <row r="7849" spans="7:8" ht="15" customHeight="1" x14ac:dyDescent="0.4">
      <c r="G7849" s="27">
        <f t="shared" si="134"/>
        <v>0</v>
      </c>
      <c r="H7849" s="28" t="e">
        <f>VLOOKUP(E7849,'Cadastro Produtos (kiwkiw)'!C:E,3,0)</f>
        <v>#N/A</v>
      </c>
    </row>
    <row r="7850" spans="7:8" ht="15" customHeight="1" x14ac:dyDescent="0.4">
      <c r="G7850" s="27">
        <f t="shared" si="134"/>
        <v>0</v>
      </c>
      <c r="H7850" s="28" t="e">
        <f>VLOOKUP(E7850,'Cadastro Produtos (kiwkiw)'!C:E,3,0)</f>
        <v>#N/A</v>
      </c>
    </row>
    <row r="7851" spans="7:8" ht="15" customHeight="1" x14ac:dyDescent="0.4">
      <c r="G7851" s="27">
        <f t="shared" si="134"/>
        <v>0</v>
      </c>
      <c r="H7851" s="28" t="e">
        <f>VLOOKUP(E7851,'Cadastro Produtos (kiwkiw)'!C:E,3,0)</f>
        <v>#N/A</v>
      </c>
    </row>
    <row r="7852" spans="7:8" ht="15" customHeight="1" x14ac:dyDescent="0.4">
      <c r="G7852" s="27">
        <f t="shared" si="134"/>
        <v>0</v>
      </c>
      <c r="H7852" s="28" t="e">
        <f>VLOOKUP(E7852,'Cadastro Produtos (kiwkiw)'!C:E,3,0)</f>
        <v>#N/A</v>
      </c>
    </row>
    <row r="7853" spans="7:8" ht="15" customHeight="1" x14ac:dyDescent="0.4">
      <c r="G7853" s="27">
        <f t="shared" si="134"/>
        <v>0</v>
      </c>
      <c r="H7853" s="28" t="e">
        <f>VLOOKUP(E7853,'Cadastro Produtos (kiwkiw)'!C:E,3,0)</f>
        <v>#N/A</v>
      </c>
    </row>
    <row r="7854" spans="7:8" ht="15" customHeight="1" x14ac:dyDescent="0.4">
      <c r="G7854" s="27">
        <f t="shared" si="134"/>
        <v>0</v>
      </c>
      <c r="H7854" s="28" t="e">
        <f>VLOOKUP(E7854,'Cadastro Produtos (kiwkiw)'!C:E,3,0)</f>
        <v>#N/A</v>
      </c>
    </row>
    <row r="7855" spans="7:8" ht="15" customHeight="1" x14ac:dyDescent="0.4">
      <c r="G7855" s="27">
        <f t="shared" si="134"/>
        <v>0</v>
      </c>
      <c r="H7855" s="28" t="e">
        <f>VLOOKUP(E7855,'Cadastro Produtos (kiwkiw)'!C:E,3,0)</f>
        <v>#N/A</v>
      </c>
    </row>
    <row r="7856" spans="7:8" ht="15" customHeight="1" x14ac:dyDescent="0.4">
      <c r="G7856" s="27">
        <f t="shared" si="134"/>
        <v>0</v>
      </c>
      <c r="H7856" s="28" t="e">
        <f>VLOOKUP(E7856,'Cadastro Produtos (kiwkiw)'!C:E,3,0)</f>
        <v>#N/A</v>
      </c>
    </row>
    <row r="7857" spans="7:8" ht="15" customHeight="1" x14ac:dyDescent="0.4">
      <c r="G7857" s="27">
        <f t="shared" si="134"/>
        <v>0</v>
      </c>
      <c r="H7857" s="28" t="e">
        <f>VLOOKUP(E7857,'Cadastro Produtos (kiwkiw)'!C:E,3,0)</f>
        <v>#N/A</v>
      </c>
    </row>
    <row r="7858" spans="7:8" ht="15" customHeight="1" x14ac:dyDescent="0.4">
      <c r="G7858" s="27">
        <f t="shared" si="134"/>
        <v>0</v>
      </c>
      <c r="H7858" s="28" t="e">
        <f>VLOOKUP(E7858,'Cadastro Produtos (kiwkiw)'!C:E,3,0)</f>
        <v>#N/A</v>
      </c>
    </row>
    <row r="7859" spans="7:8" ht="15" customHeight="1" x14ac:dyDescent="0.4">
      <c r="G7859" s="27">
        <f t="shared" si="134"/>
        <v>0</v>
      </c>
      <c r="H7859" s="28" t="e">
        <f>VLOOKUP(E7859,'Cadastro Produtos (kiwkiw)'!C:E,3,0)</f>
        <v>#N/A</v>
      </c>
    </row>
    <row r="7860" spans="7:8" ht="15" customHeight="1" x14ac:dyDescent="0.4">
      <c r="G7860" s="27">
        <f t="shared" si="134"/>
        <v>0</v>
      </c>
      <c r="H7860" s="28" t="e">
        <f>VLOOKUP(E7860,'Cadastro Produtos (kiwkiw)'!C:E,3,0)</f>
        <v>#N/A</v>
      </c>
    </row>
    <row r="7861" spans="7:8" ht="15" customHeight="1" x14ac:dyDescent="0.4">
      <c r="G7861" s="27">
        <f t="shared" si="134"/>
        <v>0</v>
      </c>
      <c r="H7861" s="28" t="e">
        <f>VLOOKUP(E7861,'Cadastro Produtos (kiwkiw)'!C:E,3,0)</f>
        <v>#N/A</v>
      </c>
    </row>
    <row r="7862" spans="7:8" ht="15" customHeight="1" x14ac:dyDescent="0.4">
      <c r="G7862" s="27">
        <f t="shared" si="134"/>
        <v>0</v>
      </c>
      <c r="H7862" s="28" t="e">
        <f>VLOOKUP(E7862,'Cadastro Produtos (kiwkiw)'!C:E,3,0)</f>
        <v>#N/A</v>
      </c>
    </row>
    <row r="7863" spans="7:8" ht="15" customHeight="1" x14ac:dyDescent="0.4">
      <c r="G7863" s="27">
        <f t="shared" si="134"/>
        <v>0</v>
      </c>
      <c r="H7863" s="28" t="e">
        <f>VLOOKUP(E7863,'Cadastro Produtos (kiwkiw)'!C:E,3,0)</f>
        <v>#N/A</v>
      </c>
    </row>
    <row r="7864" spans="7:8" ht="15" customHeight="1" x14ac:dyDescent="0.4">
      <c r="G7864" s="27">
        <f t="shared" si="134"/>
        <v>0</v>
      </c>
      <c r="H7864" s="28" t="e">
        <f>VLOOKUP(E7864,'Cadastro Produtos (kiwkiw)'!C:E,3,0)</f>
        <v>#N/A</v>
      </c>
    </row>
    <row r="7865" spans="7:8" ht="15" customHeight="1" x14ac:dyDescent="0.4">
      <c r="G7865" s="27">
        <f t="shared" si="134"/>
        <v>0</v>
      </c>
      <c r="H7865" s="28" t="e">
        <f>VLOOKUP(E7865,'Cadastro Produtos (kiwkiw)'!C:E,3,0)</f>
        <v>#N/A</v>
      </c>
    </row>
    <row r="7866" spans="7:8" ht="15" customHeight="1" x14ac:dyDescent="0.4">
      <c r="G7866" s="27">
        <f t="shared" si="134"/>
        <v>0</v>
      </c>
      <c r="H7866" s="28" t="e">
        <f>VLOOKUP(E7866,'Cadastro Produtos (kiwkiw)'!C:E,3,0)</f>
        <v>#N/A</v>
      </c>
    </row>
    <row r="7867" spans="7:8" ht="15" customHeight="1" x14ac:dyDescent="0.4">
      <c r="G7867" s="27">
        <f t="shared" si="134"/>
        <v>0</v>
      </c>
      <c r="H7867" s="28" t="e">
        <f>VLOOKUP(E7867,'Cadastro Produtos (kiwkiw)'!C:E,3,0)</f>
        <v>#N/A</v>
      </c>
    </row>
    <row r="7868" spans="7:8" ht="15" customHeight="1" x14ac:dyDescent="0.4">
      <c r="G7868" s="27">
        <f t="shared" si="134"/>
        <v>0</v>
      </c>
      <c r="H7868" s="28" t="e">
        <f>VLOOKUP(E7868,'Cadastro Produtos (kiwkiw)'!C:E,3,0)</f>
        <v>#N/A</v>
      </c>
    </row>
    <row r="7869" spans="7:8" ht="15" customHeight="1" x14ac:dyDescent="0.4">
      <c r="G7869" s="27">
        <f t="shared" si="134"/>
        <v>0</v>
      </c>
      <c r="H7869" s="28" t="e">
        <f>VLOOKUP(E7869,'Cadastro Produtos (kiwkiw)'!C:E,3,0)</f>
        <v>#N/A</v>
      </c>
    </row>
    <row r="7870" spans="7:8" ht="15" customHeight="1" x14ac:dyDescent="0.4">
      <c r="G7870" s="27">
        <f t="shared" si="134"/>
        <v>0</v>
      </c>
      <c r="H7870" s="28" t="e">
        <f>VLOOKUP(E7870,'Cadastro Produtos (kiwkiw)'!C:E,3,0)</f>
        <v>#N/A</v>
      </c>
    </row>
    <row r="7871" spans="7:8" ht="15" customHeight="1" x14ac:dyDescent="0.4">
      <c r="G7871" s="27">
        <f t="shared" si="134"/>
        <v>0</v>
      </c>
      <c r="H7871" s="28" t="e">
        <f>VLOOKUP(E7871,'Cadastro Produtos (kiwkiw)'!C:E,3,0)</f>
        <v>#N/A</v>
      </c>
    </row>
    <row r="7872" spans="7:8" ht="15" customHeight="1" x14ac:dyDescent="0.4">
      <c r="G7872" s="27">
        <f t="shared" si="134"/>
        <v>0</v>
      </c>
      <c r="H7872" s="28" t="e">
        <f>VLOOKUP(E7872,'Cadastro Produtos (kiwkiw)'!C:E,3,0)</f>
        <v>#N/A</v>
      </c>
    </row>
    <row r="7873" spans="7:8" ht="15" customHeight="1" x14ac:dyDescent="0.4">
      <c r="G7873" s="27">
        <f t="shared" si="134"/>
        <v>0</v>
      </c>
      <c r="H7873" s="28" t="e">
        <f>VLOOKUP(E7873,'Cadastro Produtos (kiwkiw)'!C:E,3,0)</f>
        <v>#N/A</v>
      </c>
    </row>
    <row r="7874" spans="7:8" ht="15" customHeight="1" x14ac:dyDescent="0.4">
      <c r="G7874" s="27">
        <f t="shared" si="134"/>
        <v>0</v>
      </c>
      <c r="H7874" s="28" t="e">
        <f>VLOOKUP(E7874,'Cadastro Produtos (kiwkiw)'!C:E,3,0)</f>
        <v>#N/A</v>
      </c>
    </row>
    <row r="7875" spans="7:8" ht="15" customHeight="1" x14ac:dyDescent="0.4">
      <c r="G7875" s="27">
        <f t="shared" si="134"/>
        <v>0</v>
      </c>
      <c r="H7875" s="28" t="e">
        <f>VLOOKUP(E7875,'Cadastro Produtos (kiwkiw)'!C:E,3,0)</f>
        <v>#N/A</v>
      </c>
    </row>
    <row r="7876" spans="7:8" ht="15" customHeight="1" x14ac:dyDescent="0.4">
      <c r="G7876" s="27">
        <f t="shared" si="134"/>
        <v>0</v>
      </c>
      <c r="H7876" s="28" t="e">
        <f>VLOOKUP(E7876,'Cadastro Produtos (kiwkiw)'!C:E,3,0)</f>
        <v>#N/A</v>
      </c>
    </row>
    <row r="7877" spans="7:8" ht="15" customHeight="1" x14ac:dyDescent="0.4">
      <c r="G7877" s="27">
        <f t="shared" si="134"/>
        <v>0</v>
      </c>
      <c r="H7877" s="28" t="e">
        <f>VLOOKUP(E7877,'Cadastro Produtos (kiwkiw)'!C:E,3,0)</f>
        <v>#N/A</v>
      </c>
    </row>
    <row r="7878" spans="7:8" ht="15" customHeight="1" x14ac:dyDescent="0.4">
      <c r="G7878" s="27">
        <f t="shared" si="134"/>
        <v>0</v>
      </c>
      <c r="H7878" s="28" t="e">
        <f>VLOOKUP(E7878,'Cadastro Produtos (kiwkiw)'!C:E,3,0)</f>
        <v>#N/A</v>
      </c>
    </row>
    <row r="7879" spans="7:8" ht="15" customHeight="1" x14ac:dyDescent="0.4">
      <c r="G7879" s="27">
        <f t="shared" si="134"/>
        <v>0</v>
      </c>
      <c r="H7879" s="28" t="e">
        <f>VLOOKUP(E7879,'Cadastro Produtos (kiwkiw)'!C:E,3,0)</f>
        <v>#N/A</v>
      </c>
    </row>
    <row r="7880" spans="7:8" ht="15" customHeight="1" x14ac:dyDescent="0.4">
      <c r="G7880" s="27">
        <f t="shared" si="134"/>
        <v>0</v>
      </c>
      <c r="H7880" s="28" t="e">
        <f>VLOOKUP(E7880,'Cadastro Produtos (kiwkiw)'!C:E,3,0)</f>
        <v>#N/A</v>
      </c>
    </row>
    <row r="7881" spans="7:8" ht="15" customHeight="1" x14ac:dyDescent="0.4">
      <c r="G7881" s="27">
        <f t="shared" si="134"/>
        <v>0</v>
      </c>
      <c r="H7881" s="28" t="e">
        <f>VLOOKUP(E7881,'Cadastro Produtos (kiwkiw)'!C:E,3,0)</f>
        <v>#N/A</v>
      </c>
    </row>
    <row r="7882" spans="7:8" ht="15" customHeight="1" x14ac:dyDescent="0.4">
      <c r="G7882" s="27">
        <f t="shared" si="134"/>
        <v>0</v>
      </c>
      <c r="H7882" s="28" t="e">
        <f>VLOOKUP(E7882,'Cadastro Produtos (kiwkiw)'!C:E,3,0)</f>
        <v>#N/A</v>
      </c>
    </row>
    <row r="7883" spans="7:8" ht="15" customHeight="1" x14ac:dyDescent="0.4">
      <c r="G7883" s="27">
        <f t="shared" si="134"/>
        <v>0</v>
      </c>
      <c r="H7883" s="28" t="e">
        <f>VLOOKUP(E7883,'Cadastro Produtos (kiwkiw)'!C:E,3,0)</f>
        <v>#N/A</v>
      </c>
    </row>
    <row r="7884" spans="7:8" ht="15" customHeight="1" x14ac:dyDescent="0.4">
      <c r="G7884" s="27">
        <f t="shared" si="134"/>
        <v>0</v>
      </c>
      <c r="H7884" s="28" t="e">
        <f>VLOOKUP(E7884,'Cadastro Produtos (kiwkiw)'!C:E,3,0)</f>
        <v>#N/A</v>
      </c>
    </row>
    <row r="7885" spans="7:8" ht="15" customHeight="1" x14ac:dyDescent="0.4">
      <c r="G7885" s="27">
        <f t="shared" si="134"/>
        <v>0</v>
      </c>
      <c r="H7885" s="28" t="e">
        <f>VLOOKUP(E7885,'Cadastro Produtos (kiwkiw)'!C:E,3,0)</f>
        <v>#N/A</v>
      </c>
    </row>
    <row r="7886" spans="7:8" ht="15" customHeight="1" x14ac:dyDescent="0.4">
      <c r="G7886" s="27">
        <f t="shared" si="134"/>
        <v>0</v>
      </c>
      <c r="H7886" s="28" t="e">
        <f>VLOOKUP(E7886,'Cadastro Produtos (kiwkiw)'!C:E,3,0)</f>
        <v>#N/A</v>
      </c>
    </row>
    <row r="7887" spans="7:8" ht="15" customHeight="1" x14ac:dyDescent="0.4">
      <c r="G7887" s="27">
        <f t="shared" si="134"/>
        <v>0</v>
      </c>
      <c r="H7887" s="28" t="e">
        <f>VLOOKUP(E7887,'Cadastro Produtos (kiwkiw)'!C:E,3,0)</f>
        <v>#N/A</v>
      </c>
    </row>
    <row r="7888" spans="7:8" ht="15" customHeight="1" x14ac:dyDescent="0.4">
      <c r="G7888" s="27">
        <f t="shared" si="134"/>
        <v>0</v>
      </c>
      <c r="H7888" s="28" t="e">
        <f>VLOOKUP(E7888,'Cadastro Produtos (kiwkiw)'!C:E,3,0)</f>
        <v>#N/A</v>
      </c>
    </row>
    <row r="7889" spans="7:8" ht="15" customHeight="1" x14ac:dyDescent="0.4">
      <c r="G7889" s="27">
        <f t="shared" si="134"/>
        <v>0</v>
      </c>
      <c r="H7889" s="28" t="e">
        <f>VLOOKUP(E7889,'Cadastro Produtos (kiwkiw)'!C:E,3,0)</f>
        <v>#N/A</v>
      </c>
    </row>
    <row r="7890" spans="7:8" ht="15" customHeight="1" x14ac:dyDescent="0.4">
      <c r="G7890" s="27">
        <f t="shared" ref="G7890:G7953" si="135">IF(C7890="Entrada",F7890,-F7890)</f>
        <v>0</v>
      </c>
      <c r="H7890" s="28" t="e">
        <f>VLOOKUP(E7890,'Cadastro Produtos (kiwkiw)'!C:E,3,0)</f>
        <v>#N/A</v>
      </c>
    </row>
    <row r="7891" spans="7:8" ht="15" customHeight="1" x14ac:dyDescent="0.4">
      <c r="G7891" s="27">
        <f t="shared" si="135"/>
        <v>0</v>
      </c>
      <c r="H7891" s="28" t="e">
        <f>VLOOKUP(E7891,'Cadastro Produtos (kiwkiw)'!C:E,3,0)</f>
        <v>#N/A</v>
      </c>
    </row>
    <row r="7892" spans="7:8" ht="15" customHeight="1" x14ac:dyDescent="0.4">
      <c r="G7892" s="27">
        <f t="shared" si="135"/>
        <v>0</v>
      </c>
      <c r="H7892" s="28" t="e">
        <f>VLOOKUP(E7892,'Cadastro Produtos (kiwkiw)'!C:E,3,0)</f>
        <v>#N/A</v>
      </c>
    </row>
    <row r="7893" spans="7:8" ht="15" customHeight="1" x14ac:dyDescent="0.4">
      <c r="G7893" s="27">
        <f t="shared" si="135"/>
        <v>0</v>
      </c>
      <c r="H7893" s="28" t="e">
        <f>VLOOKUP(E7893,'Cadastro Produtos (kiwkiw)'!C:E,3,0)</f>
        <v>#N/A</v>
      </c>
    </row>
    <row r="7894" spans="7:8" ht="15" customHeight="1" x14ac:dyDescent="0.4">
      <c r="G7894" s="27">
        <f t="shared" si="135"/>
        <v>0</v>
      </c>
      <c r="H7894" s="28" t="e">
        <f>VLOOKUP(E7894,'Cadastro Produtos (kiwkiw)'!C:E,3,0)</f>
        <v>#N/A</v>
      </c>
    </row>
    <row r="7895" spans="7:8" ht="15" customHeight="1" x14ac:dyDescent="0.4">
      <c r="G7895" s="27">
        <f t="shared" si="135"/>
        <v>0</v>
      </c>
      <c r="H7895" s="28" t="e">
        <f>VLOOKUP(E7895,'Cadastro Produtos (kiwkiw)'!C:E,3,0)</f>
        <v>#N/A</v>
      </c>
    </row>
    <row r="7896" spans="7:8" ht="15" customHeight="1" x14ac:dyDescent="0.4">
      <c r="G7896" s="27">
        <f t="shared" si="135"/>
        <v>0</v>
      </c>
      <c r="H7896" s="28" t="e">
        <f>VLOOKUP(E7896,'Cadastro Produtos (kiwkiw)'!C:E,3,0)</f>
        <v>#N/A</v>
      </c>
    </row>
    <row r="7897" spans="7:8" ht="15" customHeight="1" x14ac:dyDescent="0.4">
      <c r="G7897" s="27">
        <f t="shared" si="135"/>
        <v>0</v>
      </c>
      <c r="H7897" s="28" t="e">
        <f>VLOOKUP(E7897,'Cadastro Produtos (kiwkiw)'!C:E,3,0)</f>
        <v>#N/A</v>
      </c>
    </row>
    <row r="7898" spans="7:8" ht="15" customHeight="1" x14ac:dyDescent="0.4">
      <c r="G7898" s="27">
        <f t="shared" si="135"/>
        <v>0</v>
      </c>
      <c r="H7898" s="28" t="e">
        <f>VLOOKUP(E7898,'Cadastro Produtos (kiwkiw)'!C:E,3,0)</f>
        <v>#N/A</v>
      </c>
    </row>
    <row r="7899" spans="7:8" ht="15" customHeight="1" x14ac:dyDescent="0.4">
      <c r="G7899" s="27">
        <f t="shared" si="135"/>
        <v>0</v>
      </c>
      <c r="H7899" s="28" t="e">
        <f>VLOOKUP(E7899,'Cadastro Produtos (kiwkiw)'!C:E,3,0)</f>
        <v>#N/A</v>
      </c>
    </row>
    <row r="7900" spans="7:8" ht="15" customHeight="1" x14ac:dyDescent="0.4">
      <c r="G7900" s="27">
        <f t="shared" si="135"/>
        <v>0</v>
      </c>
      <c r="H7900" s="28" t="e">
        <f>VLOOKUP(E7900,'Cadastro Produtos (kiwkiw)'!C:E,3,0)</f>
        <v>#N/A</v>
      </c>
    </row>
    <row r="7901" spans="7:8" ht="15" customHeight="1" x14ac:dyDescent="0.4">
      <c r="G7901" s="27">
        <f t="shared" si="135"/>
        <v>0</v>
      </c>
      <c r="H7901" s="28" t="e">
        <f>VLOOKUP(E7901,'Cadastro Produtos (kiwkiw)'!C:E,3,0)</f>
        <v>#N/A</v>
      </c>
    </row>
    <row r="7902" spans="7:8" ht="15" customHeight="1" x14ac:dyDescent="0.4">
      <c r="G7902" s="27">
        <f t="shared" si="135"/>
        <v>0</v>
      </c>
      <c r="H7902" s="28" t="e">
        <f>VLOOKUP(E7902,'Cadastro Produtos (kiwkiw)'!C:E,3,0)</f>
        <v>#N/A</v>
      </c>
    </row>
    <row r="7903" spans="7:8" ht="15" customHeight="1" x14ac:dyDescent="0.4">
      <c r="G7903" s="27">
        <f t="shared" si="135"/>
        <v>0</v>
      </c>
      <c r="H7903" s="28" t="e">
        <f>VLOOKUP(E7903,'Cadastro Produtos (kiwkiw)'!C:E,3,0)</f>
        <v>#N/A</v>
      </c>
    </row>
    <row r="7904" spans="7:8" ht="15" customHeight="1" x14ac:dyDescent="0.4">
      <c r="G7904" s="27">
        <f t="shared" si="135"/>
        <v>0</v>
      </c>
      <c r="H7904" s="28" t="e">
        <f>VLOOKUP(E7904,'Cadastro Produtos (kiwkiw)'!C:E,3,0)</f>
        <v>#N/A</v>
      </c>
    </row>
    <row r="7905" spans="7:8" ht="15" customHeight="1" x14ac:dyDescent="0.4">
      <c r="G7905" s="27">
        <f t="shared" si="135"/>
        <v>0</v>
      </c>
      <c r="H7905" s="28" t="e">
        <f>VLOOKUP(E7905,'Cadastro Produtos (kiwkiw)'!C:E,3,0)</f>
        <v>#N/A</v>
      </c>
    </row>
    <row r="7906" spans="7:8" ht="15" customHeight="1" x14ac:dyDescent="0.4">
      <c r="G7906" s="27">
        <f t="shared" si="135"/>
        <v>0</v>
      </c>
      <c r="H7906" s="28" t="e">
        <f>VLOOKUP(E7906,'Cadastro Produtos (kiwkiw)'!C:E,3,0)</f>
        <v>#N/A</v>
      </c>
    </row>
    <row r="7907" spans="7:8" ht="15" customHeight="1" x14ac:dyDescent="0.4">
      <c r="G7907" s="27">
        <f t="shared" si="135"/>
        <v>0</v>
      </c>
      <c r="H7907" s="28" t="e">
        <f>VLOOKUP(E7907,'Cadastro Produtos (kiwkiw)'!C:E,3,0)</f>
        <v>#N/A</v>
      </c>
    </row>
    <row r="7908" spans="7:8" ht="15" customHeight="1" x14ac:dyDescent="0.4">
      <c r="G7908" s="27">
        <f t="shared" si="135"/>
        <v>0</v>
      </c>
      <c r="H7908" s="28" t="e">
        <f>VLOOKUP(E7908,'Cadastro Produtos (kiwkiw)'!C:E,3,0)</f>
        <v>#N/A</v>
      </c>
    </row>
    <row r="7909" spans="7:8" ht="15" customHeight="1" x14ac:dyDescent="0.4">
      <c r="G7909" s="27">
        <f t="shared" si="135"/>
        <v>0</v>
      </c>
      <c r="H7909" s="28" t="e">
        <f>VLOOKUP(E7909,'Cadastro Produtos (kiwkiw)'!C:E,3,0)</f>
        <v>#N/A</v>
      </c>
    </row>
    <row r="7910" spans="7:8" ht="15" customHeight="1" x14ac:dyDescent="0.4">
      <c r="G7910" s="27">
        <f t="shared" si="135"/>
        <v>0</v>
      </c>
      <c r="H7910" s="28" t="e">
        <f>VLOOKUP(E7910,'Cadastro Produtos (kiwkiw)'!C:E,3,0)</f>
        <v>#N/A</v>
      </c>
    </row>
    <row r="7911" spans="7:8" ht="15" customHeight="1" x14ac:dyDescent="0.4">
      <c r="G7911" s="27">
        <f t="shared" si="135"/>
        <v>0</v>
      </c>
      <c r="H7911" s="28" t="e">
        <f>VLOOKUP(E7911,'Cadastro Produtos (kiwkiw)'!C:E,3,0)</f>
        <v>#N/A</v>
      </c>
    </row>
    <row r="7912" spans="7:8" ht="15" customHeight="1" x14ac:dyDescent="0.4">
      <c r="G7912" s="27">
        <f t="shared" si="135"/>
        <v>0</v>
      </c>
      <c r="H7912" s="28" t="e">
        <f>VLOOKUP(E7912,'Cadastro Produtos (kiwkiw)'!C:E,3,0)</f>
        <v>#N/A</v>
      </c>
    </row>
    <row r="7913" spans="7:8" ht="15" customHeight="1" x14ac:dyDescent="0.4">
      <c r="G7913" s="27">
        <f t="shared" si="135"/>
        <v>0</v>
      </c>
      <c r="H7913" s="28" t="e">
        <f>VLOOKUP(E7913,'Cadastro Produtos (kiwkiw)'!C:E,3,0)</f>
        <v>#N/A</v>
      </c>
    </row>
    <row r="7914" spans="7:8" ht="15" customHeight="1" x14ac:dyDescent="0.4">
      <c r="G7914" s="27">
        <f t="shared" si="135"/>
        <v>0</v>
      </c>
      <c r="H7914" s="28" t="e">
        <f>VLOOKUP(E7914,'Cadastro Produtos (kiwkiw)'!C:E,3,0)</f>
        <v>#N/A</v>
      </c>
    </row>
    <row r="7915" spans="7:8" ht="15" customHeight="1" x14ac:dyDescent="0.4">
      <c r="G7915" s="27">
        <f t="shared" si="135"/>
        <v>0</v>
      </c>
      <c r="H7915" s="28" t="e">
        <f>VLOOKUP(E7915,'Cadastro Produtos (kiwkiw)'!C:E,3,0)</f>
        <v>#N/A</v>
      </c>
    </row>
    <row r="7916" spans="7:8" ht="15" customHeight="1" x14ac:dyDescent="0.4">
      <c r="G7916" s="27">
        <f t="shared" si="135"/>
        <v>0</v>
      </c>
      <c r="H7916" s="28" t="e">
        <f>VLOOKUP(E7916,'Cadastro Produtos (kiwkiw)'!C:E,3,0)</f>
        <v>#N/A</v>
      </c>
    </row>
    <row r="7917" spans="7:8" ht="15" customHeight="1" x14ac:dyDescent="0.4">
      <c r="G7917" s="27">
        <f t="shared" si="135"/>
        <v>0</v>
      </c>
      <c r="H7917" s="28" t="e">
        <f>VLOOKUP(E7917,'Cadastro Produtos (kiwkiw)'!C:E,3,0)</f>
        <v>#N/A</v>
      </c>
    </row>
    <row r="7918" spans="7:8" ht="15" customHeight="1" x14ac:dyDescent="0.4">
      <c r="G7918" s="27">
        <f t="shared" si="135"/>
        <v>0</v>
      </c>
      <c r="H7918" s="28" t="e">
        <f>VLOOKUP(E7918,'Cadastro Produtos (kiwkiw)'!C:E,3,0)</f>
        <v>#N/A</v>
      </c>
    </row>
    <row r="7919" spans="7:8" ht="15" customHeight="1" x14ac:dyDescent="0.4">
      <c r="G7919" s="27">
        <f t="shared" si="135"/>
        <v>0</v>
      </c>
      <c r="H7919" s="28" t="e">
        <f>VLOOKUP(E7919,'Cadastro Produtos (kiwkiw)'!C:E,3,0)</f>
        <v>#N/A</v>
      </c>
    </row>
    <row r="7920" spans="7:8" ht="15" customHeight="1" x14ac:dyDescent="0.4">
      <c r="G7920" s="27">
        <f t="shared" si="135"/>
        <v>0</v>
      </c>
      <c r="H7920" s="28" t="e">
        <f>VLOOKUP(E7920,'Cadastro Produtos (kiwkiw)'!C:E,3,0)</f>
        <v>#N/A</v>
      </c>
    </row>
    <row r="7921" spans="7:8" ht="15" customHeight="1" x14ac:dyDescent="0.4">
      <c r="G7921" s="27">
        <f t="shared" si="135"/>
        <v>0</v>
      </c>
      <c r="H7921" s="28" t="e">
        <f>VLOOKUP(E7921,'Cadastro Produtos (kiwkiw)'!C:E,3,0)</f>
        <v>#N/A</v>
      </c>
    </row>
    <row r="7922" spans="7:8" ht="15" customHeight="1" x14ac:dyDescent="0.4">
      <c r="G7922" s="27">
        <f t="shared" si="135"/>
        <v>0</v>
      </c>
      <c r="H7922" s="28" t="e">
        <f>VLOOKUP(E7922,'Cadastro Produtos (kiwkiw)'!C:E,3,0)</f>
        <v>#N/A</v>
      </c>
    </row>
    <row r="7923" spans="7:8" ht="15" customHeight="1" x14ac:dyDescent="0.4">
      <c r="G7923" s="27">
        <f t="shared" si="135"/>
        <v>0</v>
      </c>
      <c r="H7923" s="28" t="e">
        <f>VLOOKUP(E7923,'Cadastro Produtos (kiwkiw)'!C:E,3,0)</f>
        <v>#N/A</v>
      </c>
    </row>
    <row r="7924" spans="7:8" ht="15" customHeight="1" x14ac:dyDescent="0.4">
      <c r="G7924" s="27">
        <f t="shared" si="135"/>
        <v>0</v>
      </c>
      <c r="H7924" s="28" t="e">
        <f>VLOOKUP(E7924,'Cadastro Produtos (kiwkiw)'!C:E,3,0)</f>
        <v>#N/A</v>
      </c>
    </row>
    <row r="7925" spans="7:8" ht="15" customHeight="1" x14ac:dyDescent="0.4">
      <c r="G7925" s="27">
        <f t="shared" si="135"/>
        <v>0</v>
      </c>
      <c r="H7925" s="28" t="e">
        <f>VLOOKUP(E7925,'Cadastro Produtos (kiwkiw)'!C:E,3,0)</f>
        <v>#N/A</v>
      </c>
    </row>
    <row r="7926" spans="7:8" ht="15" customHeight="1" x14ac:dyDescent="0.4">
      <c r="G7926" s="27">
        <f t="shared" si="135"/>
        <v>0</v>
      </c>
      <c r="H7926" s="28" t="e">
        <f>VLOOKUP(E7926,'Cadastro Produtos (kiwkiw)'!C:E,3,0)</f>
        <v>#N/A</v>
      </c>
    </row>
    <row r="7927" spans="7:8" ht="15" customHeight="1" x14ac:dyDescent="0.4">
      <c r="G7927" s="27">
        <f t="shared" si="135"/>
        <v>0</v>
      </c>
      <c r="H7927" s="28" t="e">
        <f>VLOOKUP(E7927,'Cadastro Produtos (kiwkiw)'!C:E,3,0)</f>
        <v>#N/A</v>
      </c>
    </row>
    <row r="7928" spans="7:8" ht="15" customHeight="1" x14ac:dyDescent="0.4">
      <c r="G7928" s="27">
        <f t="shared" si="135"/>
        <v>0</v>
      </c>
      <c r="H7928" s="28" t="e">
        <f>VLOOKUP(E7928,'Cadastro Produtos (kiwkiw)'!C:E,3,0)</f>
        <v>#N/A</v>
      </c>
    </row>
    <row r="7929" spans="7:8" ht="15" customHeight="1" x14ac:dyDescent="0.4">
      <c r="G7929" s="27">
        <f t="shared" si="135"/>
        <v>0</v>
      </c>
      <c r="H7929" s="28" t="e">
        <f>VLOOKUP(E7929,'Cadastro Produtos (kiwkiw)'!C:E,3,0)</f>
        <v>#N/A</v>
      </c>
    </row>
    <row r="7930" spans="7:8" ht="15" customHeight="1" x14ac:dyDescent="0.4">
      <c r="G7930" s="27">
        <f t="shared" si="135"/>
        <v>0</v>
      </c>
      <c r="H7930" s="28" t="e">
        <f>VLOOKUP(E7930,'Cadastro Produtos (kiwkiw)'!C:E,3,0)</f>
        <v>#N/A</v>
      </c>
    </row>
    <row r="7931" spans="7:8" ht="15" customHeight="1" x14ac:dyDescent="0.4">
      <c r="G7931" s="27">
        <f t="shared" si="135"/>
        <v>0</v>
      </c>
      <c r="H7931" s="28" t="e">
        <f>VLOOKUP(E7931,'Cadastro Produtos (kiwkiw)'!C:E,3,0)</f>
        <v>#N/A</v>
      </c>
    </row>
    <row r="7932" spans="7:8" ht="15" customHeight="1" x14ac:dyDescent="0.4">
      <c r="G7932" s="27">
        <f t="shared" si="135"/>
        <v>0</v>
      </c>
      <c r="H7932" s="28" t="e">
        <f>VLOOKUP(E7932,'Cadastro Produtos (kiwkiw)'!C:E,3,0)</f>
        <v>#N/A</v>
      </c>
    </row>
    <row r="7933" spans="7:8" ht="15" customHeight="1" x14ac:dyDescent="0.4">
      <c r="G7933" s="27">
        <f t="shared" si="135"/>
        <v>0</v>
      </c>
      <c r="H7933" s="28" t="e">
        <f>VLOOKUP(E7933,'Cadastro Produtos (kiwkiw)'!C:E,3,0)</f>
        <v>#N/A</v>
      </c>
    </row>
    <row r="7934" spans="7:8" ht="15" customHeight="1" x14ac:dyDescent="0.4">
      <c r="G7934" s="27">
        <f t="shared" si="135"/>
        <v>0</v>
      </c>
      <c r="H7934" s="28" t="e">
        <f>VLOOKUP(E7934,'Cadastro Produtos (kiwkiw)'!C:E,3,0)</f>
        <v>#N/A</v>
      </c>
    </row>
    <row r="7935" spans="7:8" ht="15" customHeight="1" x14ac:dyDescent="0.4">
      <c r="G7935" s="27">
        <f t="shared" si="135"/>
        <v>0</v>
      </c>
      <c r="H7935" s="28" t="e">
        <f>VLOOKUP(E7935,'Cadastro Produtos (kiwkiw)'!C:E,3,0)</f>
        <v>#N/A</v>
      </c>
    </row>
    <row r="7936" spans="7:8" ht="15" customHeight="1" x14ac:dyDescent="0.4">
      <c r="G7936" s="27">
        <f t="shared" si="135"/>
        <v>0</v>
      </c>
      <c r="H7936" s="28" t="e">
        <f>VLOOKUP(E7936,'Cadastro Produtos (kiwkiw)'!C:E,3,0)</f>
        <v>#N/A</v>
      </c>
    </row>
    <row r="7937" spans="7:8" ht="15" customHeight="1" x14ac:dyDescent="0.4">
      <c r="G7937" s="27">
        <f t="shared" si="135"/>
        <v>0</v>
      </c>
      <c r="H7937" s="28" t="e">
        <f>VLOOKUP(E7937,'Cadastro Produtos (kiwkiw)'!C:E,3,0)</f>
        <v>#N/A</v>
      </c>
    </row>
    <row r="7938" spans="7:8" ht="15" customHeight="1" x14ac:dyDescent="0.4">
      <c r="G7938" s="27">
        <f t="shared" si="135"/>
        <v>0</v>
      </c>
      <c r="H7938" s="28" t="e">
        <f>VLOOKUP(E7938,'Cadastro Produtos (kiwkiw)'!C:E,3,0)</f>
        <v>#N/A</v>
      </c>
    </row>
    <row r="7939" spans="7:8" ht="15" customHeight="1" x14ac:dyDescent="0.4">
      <c r="G7939" s="27">
        <f t="shared" si="135"/>
        <v>0</v>
      </c>
      <c r="H7939" s="28" t="e">
        <f>VLOOKUP(E7939,'Cadastro Produtos (kiwkiw)'!C:E,3,0)</f>
        <v>#N/A</v>
      </c>
    </row>
    <row r="7940" spans="7:8" ht="15" customHeight="1" x14ac:dyDescent="0.4">
      <c r="G7940" s="27">
        <f t="shared" si="135"/>
        <v>0</v>
      </c>
      <c r="H7940" s="28" t="e">
        <f>VLOOKUP(E7940,'Cadastro Produtos (kiwkiw)'!C:E,3,0)</f>
        <v>#N/A</v>
      </c>
    </row>
    <row r="7941" spans="7:8" ht="15" customHeight="1" x14ac:dyDescent="0.4">
      <c r="G7941" s="27">
        <f t="shared" si="135"/>
        <v>0</v>
      </c>
      <c r="H7941" s="28" t="e">
        <f>VLOOKUP(E7941,'Cadastro Produtos (kiwkiw)'!C:E,3,0)</f>
        <v>#N/A</v>
      </c>
    </row>
    <row r="7942" spans="7:8" ht="15" customHeight="1" x14ac:dyDescent="0.4">
      <c r="G7942" s="27">
        <f t="shared" si="135"/>
        <v>0</v>
      </c>
      <c r="H7942" s="28" t="e">
        <f>VLOOKUP(E7942,'Cadastro Produtos (kiwkiw)'!C:E,3,0)</f>
        <v>#N/A</v>
      </c>
    </row>
    <row r="7943" spans="7:8" ht="15" customHeight="1" x14ac:dyDescent="0.4">
      <c r="G7943" s="27">
        <f t="shared" si="135"/>
        <v>0</v>
      </c>
      <c r="H7943" s="28" t="e">
        <f>VLOOKUP(E7943,'Cadastro Produtos (kiwkiw)'!C:E,3,0)</f>
        <v>#N/A</v>
      </c>
    </row>
    <row r="7944" spans="7:8" ht="15" customHeight="1" x14ac:dyDescent="0.4">
      <c r="G7944" s="27">
        <f t="shared" si="135"/>
        <v>0</v>
      </c>
      <c r="H7944" s="28" t="e">
        <f>VLOOKUP(E7944,'Cadastro Produtos (kiwkiw)'!C:E,3,0)</f>
        <v>#N/A</v>
      </c>
    </row>
    <row r="7945" spans="7:8" ht="15" customHeight="1" x14ac:dyDescent="0.4">
      <c r="G7945" s="27">
        <f t="shared" si="135"/>
        <v>0</v>
      </c>
      <c r="H7945" s="28" t="e">
        <f>VLOOKUP(E7945,'Cadastro Produtos (kiwkiw)'!C:E,3,0)</f>
        <v>#N/A</v>
      </c>
    </row>
    <row r="7946" spans="7:8" ht="15" customHeight="1" x14ac:dyDescent="0.4">
      <c r="G7946" s="27">
        <f t="shared" si="135"/>
        <v>0</v>
      </c>
      <c r="H7946" s="28" t="e">
        <f>VLOOKUP(E7946,'Cadastro Produtos (kiwkiw)'!C:E,3,0)</f>
        <v>#N/A</v>
      </c>
    </row>
    <row r="7947" spans="7:8" ht="15" customHeight="1" x14ac:dyDescent="0.4">
      <c r="G7947" s="27">
        <f t="shared" si="135"/>
        <v>0</v>
      </c>
      <c r="H7947" s="28" t="e">
        <f>VLOOKUP(E7947,'Cadastro Produtos (kiwkiw)'!C:E,3,0)</f>
        <v>#N/A</v>
      </c>
    </row>
    <row r="7948" spans="7:8" ht="15" customHeight="1" x14ac:dyDescent="0.4">
      <c r="G7948" s="27">
        <f t="shared" si="135"/>
        <v>0</v>
      </c>
      <c r="H7948" s="28" t="e">
        <f>VLOOKUP(E7948,'Cadastro Produtos (kiwkiw)'!C:E,3,0)</f>
        <v>#N/A</v>
      </c>
    </row>
    <row r="7949" spans="7:8" ht="15" customHeight="1" x14ac:dyDescent="0.4">
      <c r="G7949" s="27">
        <f t="shared" si="135"/>
        <v>0</v>
      </c>
      <c r="H7949" s="28" t="e">
        <f>VLOOKUP(E7949,'Cadastro Produtos (kiwkiw)'!C:E,3,0)</f>
        <v>#N/A</v>
      </c>
    </row>
    <row r="7950" spans="7:8" ht="15" customHeight="1" x14ac:dyDescent="0.4">
      <c r="G7950" s="27">
        <f t="shared" si="135"/>
        <v>0</v>
      </c>
      <c r="H7950" s="28" t="e">
        <f>VLOOKUP(E7950,'Cadastro Produtos (kiwkiw)'!C:E,3,0)</f>
        <v>#N/A</v>
      </c>
    </row>
    <row r="7951" spans="7:8" ht="15" customHeight="1" x14ac:dyDescent="0.4">
      <c r="G7951" s="27">
        <f t="shared" si="135"/>
        <v>0</v>
      </c>
      <c r="H7951" s="28" t="e">
        <f>VLOOKUP(E7951,'Cadastro Produtos (kiwkiw)'!C:E,3,0)</f>
        <v>#N/A</v>
      </c>
    </row>
    <row r="7952" spans="7:8" ht="15" customHeight="1" x14ac:dyDescent="0.4">
      <c r="G7952" s="27">
        <f t="shared" si="135"/>
        <v>0</v>
      </c>
      <c r="H7952" s="28" t="e">
        <f>VLOOKUP(E7952,'Cadastro Produtos (kiwkiw)'!C:E,3,0)</f>
        <v>#N/A</v>
      </c>
    </row>
    <row r="7953" spans="7:8" ht="15" customHeight="1" x14ac:dyDescent="0.4">
      <c r="G7953" s="27">
        <f t="shared" si="135"/>
        <v>0</v>
      </c>
      <c r="H7953" s="28" t="e">
        <f>VLOOKUP(E7953,'Cadastro Produtos (kiwkiw)'!C:E,3,0)</f>
        <v>#N/A</v>
      </c>
    </row>
    <row r="7954" spans="7:8" ht="15" customHeight="1" x14ac:dyDescent="0.4">
      <c r="G7954" s="27">
        <f t="shared" ref="G7954:G8017" si="136">IF(C7954="Entrada",F7954,-F7954)</f>
        <v>0</v>
      </c>
      <c r="H7954" s="28" t="e">
        <f>VLOOKUP(E7954,'Cadastro Produtos (kiwkiw)'!C:E,3,0)</f>
        <v>#N/A</v>
      </c>
    </row>
    <row r="7955" spans="7:8" ht="15" customHeight="1" x14ac:dyDescent="0.4">
      <c r="G7955" s="27">
        <f t="shared" si="136"/>
        <v>0</v>
      </c>
      <c r="H7955" s="28" t="e">
        <f>VLOOKUP(E7955,'Cadastro Produtos (kiwkiw)'!C:E,3,0)</f>
        <v>#N/A</v>
      </c>
    </row>
    <row r="7956" spans="7:8" ht="15" customHeight="1" x14ac:dyDescent="0.4">
      <c r="G7956" s="27">
        <f t="shared" si="136"/>
        <v>0</v>
      </c>
      <c r="H7956" s="28" t="e">
        <f>VLOOKUP(E7956,'Cadastro Produtos (kiwkiw)'!C:E,3,0)</f>
        <v>#N/A</v>
      </c>
    </row>
    <row r="7957" spans="7:8" ht="15" customHeight="1" x14ac:dyDescent="0.4">
      <c r="G7957" s="27">
        <f t="shared" si="136"/>
        <v>0</v>
      </c>
      <c r="H7957" s="28" t="e">
        <f>VLOOKUP(E7957,'Cadastro Produtos (kiwkiw)'!C:E,3,0)</f>
        <v>#N/A</v>
      </c>
    </row>
    <row r="7958" spans="7:8" ht="15" customHeight="1" x14ac:dyDescent="0.4">
      <c r="G7958" s="27">
        <f t="shared" si="136"/>
        <v>0</v>
      </c>
      <c r="H7958" s="28" t="e">
        <f>VLOOKUP(E7958,'Cadastro Produtos (kiwkiw)'!C:E,3,0)</f>
        <v>#N/A</v>
      </c>
    </row>
    <row r="7959" spans="7:8" ht="15" customHeight="1" x14ac:dyDescent="0.4">
      <c r="G7959" s="27">
        <f t="shared" si="136"/>
        <v>0</v>
      </c>
      <c r="H7959" s="28" t="e">
        <f>VLOOKUP(E7959,'Cadastro Produtos (kiwkiw)'!C:E,3,0)</f>
        <v>#N/A</v>
      </c>
    </row>
    <row r="7960" spans="7:8" ht="15" customHeight="1" x14ac:dyDescent="0.4">
      <c r="G7960" s="27">
        <f t="shared" si="136"/>
        <v>0</v>
      </c>
      <c r="H7960" s="28" t="e">
        <f>VLOOKUP(E7960,'Cadastro Produtos (kiwkiw)'!C:E,3,0)</f>
        <v>#N/A</v>
      </c>
    </row>
    <row r="7961" spans="7:8" ht="15" customHeight="1" x14ac:dyDescent="0.4">
      <c r="G7961" s="27">
        <f t="shared" si="136"/>
        <v>0</v>
      </c>
      <c r="H7961" s="28" t="e">
        <f>VLOOKUP(E7961,'Cadastro Produtos (kiwkiw)'!C:E,3,0)</f>
        <v>#N/A</v>
      </c>
    </row>
    <row r="7962" spans="7:8" ht="15" customHeight="1" x14ac:dyDescent="0.4">
      <c r="G7962" s="27">
        <f t="shared" si="136"/>
        <v>0</v>
      </c>
      <c r="H7962" s="28" t="e">
        <f>VLOOKUP(E7962,'Cadastro Produtos (kiwkiw)'!C:E,3,0)</f>
        <v>#N/A</v>
      </c>
    </row>
    <row r="7963" spans="7:8" ht="15" customHeight="1" x14ac:dyDescent="0.4">
      <c r="G7963" s="27">
        <f t="shared" si="136"/>
        <v>0</v>
      </c>
      <c r="H7963" s="28" t="e">
        <f>VLOOKUP(E7963,'Cadastro Produtos (kiwkiw)'!C:E,3,0)</f>
        <v>#N/A</v>
      </c>
    </row>
    <row r="7964" spans="7:8" ht="15" customHeight="1" x14ac:dyDescent="0.4">
      <c r="G7964" s="27">
        <f t="shared" si="136"/>
        <v>0</v>
      </c>
      <c r="H7964" s="28" t="e">
        <f>VLOOKUP(E7964,'Cadastro Produtos (kiwkiw)'!C:E,3,0)</f>
        <v>#N/A</v>
      </c>
    </row>
    <row r="7965" spans="7:8" ht="15" customHeight="1" x14ac:dyDescent="0.4">
      <c r="G7965" s="27">
        <f t="shared" si="136"/>
        <v>0</v>
      </c>
      <c r="H7965" s="28" t="e">
        <f>VLOOKUP(E7965,'Cadastro Produtos (kiwkiw)'!C:E,3,0)</f>
        <v>#N/A</v>
      </c>
    </row>
    <row r="7966" spans="7:8" ht="15" customHeight="1" x14ac:dyDescent="0.4">
      <c r="G7966" s="27">
        <f t="shared" si="136"/>
        <v>0</v>
      </c>
      <c r="H7966" s="28" t="e">
        <f>VLOOKUP(E7966,'Cadastro Produtos (kiwkiw)'!C:E,3,0)</f>
        <v>#N/A</v>
      </c>
    </row>
    <row r="7967" spans="7:8" ht="15" customHeight="1" x14ac:dyDescent="0.4">
      <c r="G7967" s="27">
        <f t="shared" si="136"/>
        <v>0</v>
      </c>
      <c r="H7967" s="28" t="e">
        <f>VLOOKUP(E7967,'Cadastro Produtos (kiwkiw)'!C:E,3,0)</f>
        <v>#N/A</v>
      </c>
    </row>
    <row r="7968" spans="7:8" ht="15" customHeight="1" x14ac:dyDescent="0.4">
      <c r="G7968" s="27">
        <f t="shared" si="136"/>
        <v>0</v>
      </c>
      <c r="H7968" s="28" t="e">
        <f>VLOOKUP(E7968,'Cadastro Produtos (kiwkiw)'!C:E,3,0)</f>
        <v>#N/A</v>
      </c>
    </row>
    <row r="7969" spans="7:8" ht="15" customHeight="1" x14ac:dyDescent="0.4">
      <c r="G7969" s="27">
        <f t="shared" si="136"/>
        <v>0</v>
      </c>
      <c r="H7969" s="28" t="e">
        <f>VLOOKUP(E7969,'Cadastro Produtos (kiwkiw)'!C:E,3,0)</f>
        <v>#N/A</v>
      </c>
    </row>
    <row r="7970" spans="7:8" ht="15" customHeight="1" x14ac:dyDescent="0.4">
      <c r="G7970" s="27">
        <f t="shared" si="136"/>
        <v>0</v>
      </c>
      <c r="H7970" s="28" t="e">
        <f>VLOOKUP(E7970,'Cadastro Produtos (kiwkiw)'!C:E,3,0)</f>
        <v>#N/A</v>
      </c>
    </row>
    <row r="7971" spans="7:8" ht="15" customHeight="1" x14ac:dyDescent="0.4">
      <c r="G7971" s="27">
        <f t="shared" si="136"/>
        <v>0</v>
      </c>
      <c r="H7971" s="28" t="e">
        <f>VLOOKUP(E7971,'Cadastro Produtos (kiwkiw)'!C:E,3,0)</f>
        <v>#N/A</v>
      </c>
    </row>
    <row r="7972" spans="7:8" ht="15" customHeight="1" x14ac:dyDescent="0.4">
      <c r="G7972" s="27">
        <f t="shared" si="136"/>
        <v>0</v>
      </c>
      <c r="H7972" s="28" t="e">
        <f>VLOOKUP(E7972,'Cadastro Produtos (kiwkiw)'!C:E,3,0)</f>
        <v>#N/A</v>
      </c>
    </row>
    <row r="7973" spans="7:8" ht="15" customHeight="1" x14ac:dyDescent="0.4">
      <c r="G7973" s="27">
        <f t="shared" si="136"/>
        <v>0</v>
      </c>
      <c r="H7973" s="28" t="e">
        <f>VLOOKUP(E7973,'Cadastro Produtos (kiwkiw)'!C:E,3,0)</f>
        <v>#N/A</v>
      </c>
    </row>
    <row r="7974" spans="7:8" ht="15" customHeight="1" x14ac:dyDescent="0.4">
      <c r="G7974" s="27">
        <f t="shared" si="136"/>
        <v>0</v>
      </c>
      <c r="H7974" s="28" t="e">
        <f>VLOOKUP(E7974,'Cadastro Produtos (kiwkiw)'!C:E,3,0)</f>
        <v>#N/A</v>
      </c>
    </row>
    <row r="7975" spans="7:8" ht="15" customHeight="1" x14ac:dyDescent="0.4">
      <c r="G7975" s="27">
        <f t="shared" si="136"/>
        <v>0</v>
      </c>
      <c r="H7975" s="28" t="e">
        <f>VLOOKUP(E7975,'Cadastro Produtos (kiwkiw)'!C:E,3,0)</f>
        <v>#N/A</v>
      </c>
    </row>
    <row r="7976" spans="7:8" ht="15" customHeight="1" x14ac:dyDescent="0.4">
      <c r="G7976" s="27">
        <f t="shared" si="136"/>
        <v>0</v>
      </c>
      <c r="H7976" s="28" t="e">
        <f>VLOOKUP(E7976,'Cadastro Produtos (kiwkiw)'!C:E,3,0)</f>
        <v>#N/A</v>
      </c>
    </row>
    <row r="7977" spans="7:8" ht="15" customHeight="1" x14ac:dyDescent="0.4">
      <c r="G7977" s="27">
        <f t="shared" si="136"/>
        <v>0</v>
      </c>
      <c r="H7977" s="28" t="e">
        <f>VLOOKUP(E7977,'Cadastro Produtos (kiwkiw)'!C:E,3,0)</f>
        <v>#N/A</v>
      </c>
    </row>
    <row r="7978" spans="7:8" ht="15" customHeight="1" x14ac:dyDescent="0.4">
      <c r="G7978" s="27">
        <f t="shared" si="136"/>
        <v>0</v>
      </c>
      <c r="H7978" s="28" t="e">
        <f>VLOOKUP(E7978,'Cadastro Produtos (kiwkiw)'!C:E,3,0)</f>
        <v>#N/A</v>
      </c>
    </row>
    <row r="7979" spans="7:8" ht="15" customHeight="1" x14ac:dyDescent="0.4">
      <c r="G7979" s="27">
        <f t="shared" si="136"/>
        <v>0</v>
      </c>
      <c r="H7979" s="28" t="e">
        <f>VLOOKUP(E7979,'Cadastro Produtos (kiwkiw)'!C:E,3,0)</f>
        <v>#N/A</v>
      </c>
    </row>
    <row r="7980" spans="7:8" ht="15" customHeight="1" x14ac:dyDescent="0.4">
      <c r="G7980" s="27">
        <f t="shared" si="136"/>
        <v>0</v>
      </c>
      <c r="H7980" s="28" t="e">
        <f>VLOOKUP(E7980,'Cadastro Produtos (kiwkiw)'!C:E,3,0)</f>
        <v>#N/A</v>
      </c>
    </row>
    <row r="7981" spans="7:8" ht="15" customHeight="1" x14ac:dyDescent="0.4">
      <c r="G7981" s="27">
        <f t="shared" si="136"/>
        <v>0</v>
      </c>
      <c r="H7981" s="28" t="e">
        <f>VLOOKUP(E7981,'Cadastro Produtos (kiwkiw)'!C:E,3,0)</f>
        <v>#N/A</v>
      </c>
    </row>
    <row r="7982" spans="7:8" ht="15" customHeight="1" x14ac:dyDescent="0.4">
      <c r="G7982" s="27">
        <f t="shared" si="136"/>
        <v>0</v>
      </c>
      <c r="H7982" s="28" t="e">
        <f>VLOOKUP(E7982,'Cadastro Produtos (kiwkiw)'!C:E,3,0)</f>
        <v>#N/A</v>
      </c>
    </row>
    <row r="7983" spans="7:8" ht="15" customHeight="1" x14ac:dyDescent="0.4">
      <c r="G7983" s="27">
        <f t="shared" si="136"/>
        <v>0</v>
      </c>
      <c r="H7983" s="28" t="e">
        <f>VLOOKUP(E7983,'Cadastro Produtos (kiwkiw)'!C:E,3,0)</f>
        <v>#N/A</v>
      </c>
    </row>
    <row r="7984" spans="7:8" ht="15" customHeight="1" x14ac:dyDescent="0.4">
      <c r="G7984" s="27">
        <f t="shared" si="136"/>
        <v>0</v>
      </c>
      <c r="H7984" s="28" t="e">
        <f>VLOOKUP(E7984,'Cadastro Produtos (kiwkiw)'!C:E,3,0)</f>
        <v>#N/A</v>
      </c>
    </row>
    <row r="7985" spans="2:8" ht="15" customHeight="1" x14ac:dyDescent="0.4">
      <c r="G7985" s="27">
        <f t="shared" si="136"/>
        <v>0</v>
      </c>
      <c r="H7985" s="28" t="e">
        <f>VLOOKUP(E7985,'Cadastro Produtos (kiwkiw)'!C:E,3,0)</f>
        <v>#N/A</v>
      </c>
    </row>
    <row r="7986" spans="2:8" ht="15" customHeight="1" x14ac:dyDescent="0.4">
      <c r="G7986" s="27">
        <f t="shared" si="136"/>
        <v>0</v>
      </c>
      <c r="H7986" s="28" t="e">
        <f>VLOOKUP(E7986,'Cadastro Produtos (kiwkiw)'!C:E,3,0)</f>
        <v>#N/A</v>
      </c>
    </row>
    <row r="7987" spans="2:8" ht="15" customHeight="1" x14ac:dyDescent="0.4">
      <c r="G7987" s="27">
        <f t="shared" si="136"/>
        <v>0</v>
      </c>
      <c r="H7987" s="28" t="e">
        <f>VLOOKUP(E7987,'Cadastro Produtos (kiwkiw)'!C:E,3,0)</f>
        <v>#N/A</v>
      </c>
    </row>
    <row r="7988" spans="2:8" ht="15" customHeight="1" x14ac:dyDescent="0.4">
      <c r="G7988" s="27">
        <f t="shared" si="136"/>
        <v>0</v>
      </c>
      <c r="H7988" s="28" t="e">
        <f>VLOOKUP(E7988,'Cadastro Produtos (kiwkiw)'!C:E,3,0)</f>
        <v>#N/A</v>
      </c>
    </row>
    <row r="7989" spans="2:8" ht="15" customHeight="1" x14ac:dyDescent="0.4">
      <c r="G7989" s="27">
        <f t="shared" si="136"/>
        <v>0</v>
      </c>
      <c r="H7989" s="28" t="e">
        <f>VLOOKUP(E7989,'Cadastro Produtos (kiwkiw)'!C:E,3,0)</f>
        <v>#N/A</v>
      </c>
    </row>
    <row r="7990" spans="2:8" ht="15" customHeight="1" x14ac:dyDescent="0.4">
      <c r="G7990" s="27">
        <f t="shared" si="136"/>
        <v>0</v>
      </c>
      <c r="H7990" s="28" t="e">
        <f>VLOOKUP(E7990,'Cadastro Produtos (kiwkiw)'!C:E,3,0)</f>
        <v>#N/A</v>
      </c>
    </row>
    <row r="7991" spans="2:8" ht="15" customHeight="1" x14ac:dyDescent="0.4">
      <c r="G7991" s="27">
        <f t="shared" si="136"/>
        <v>0</v>
      </c>
      <c r="H7991" s="28" t="e">
        <f>VLOOKUP(E7991,'Cadastro Produtos (kiwkiw)'!C:E,3,0)</f>
        <v>#N/A</v>
      </c>
    </row>
    <row r="7992" spans="2:8" ht="15" customHeight="1" x14ac:dyDescent="0.4">
      <c r="G7992" s="27">
        <f t="shared" si="136"/>
        <v>0</v>
      </c>
      <c r="H7992" s="28" t="e">
        <f>VLOOKUP(E7992,'Cadastro Produtos (kiwkiw)'!C:E,3,0)</f>
        <v>#N/A</v>
      </c>
    </row>
    <row r="7993" spans="2:8" ht="15" customHeight="1" x14ac:dyDescent="0.4">
      <c r="G7993" s="27">
        <f t="shared" si="136"/>
        <v>0</v>
      </c>
      <c r="H7993" s="28" t="e">
        <f>VLOOKUP(E7993,'Cadastro Produtos (kiwkiw)'!C:E,3,0)</f>
        <v>#N/A</v>
      </c>
    </row>
    <row r="7994" spans="2:8" ht="15" customHeight="1" x14ac:dyDescent="0.4">
      <c r="G7994" s="27">
        <f t="shared" si="136"/>
        <v>0</v>
      </c>
      <c r="H7994" s="28" t="e">
        <f>VLOOKUP(E7994,'Cadastro Produtos (kiwkiw)'!C:E,3,0)</f>
        <v>#N/A</v>
      </c>
    </row>
    <row r="7995" spans="2:8" ht="15" customHeight="1" x14ac:dyDescent="0.4">
      <c r="B7995" s="43"/>
      <c r="G7995" s="27">
        <f t="shared" si="136"/>
        <v>0</v>
      </c>
      <c r="H7995" s="28" t="e">
        <f>VLOOKUP(E7995,'Cadastro Produtos (kiwkiw)'!C:E,3,0)</f>
        <v>#N/A</v>
      </c>
    </row>
    <row r="7996" spans="2:8" ht="15" customHeight="1" x14ac:dyDescent="0.4">
      <c r="B7996" s="43"/>
      <c r="G7996" s="27">
        <f t="shared" si="136"/>
        <v>0</v>
      </c>
      <c r="H7996" s="28" t="e">
        <f>VLOOKUP(E7996,'Cadastro Produtos (kiwkiw)'!C:E,3,0)</f>
        <v>#N/A</v>
      </c>
    </row>
    <row r="7997" spans="2:8" ht="15" customHeight="1" x14ac:dyDescent="0.4">
      <c r="G7997" s="27">
        <f t="shared" si="136"/>
        <v>0</v>
      </c>
      <c r="H7997" s="28" t="e">
        <f>VLOOKUP(E7997,'Cadastro Produtos (kiwkiw)'!C:E,3,0)</f>
        <v>#N/A</v>
      </c>
    </row>
    <row r="7998" spans="2:8" ht="15" customHeight="1" x14ac:dyDescent="0.4">
      <c r="G7998" s="27">
        <f t="shared" si="136"/>
        <v>0</v>
      </c>
      <c r="H7998" s="28" t="e">
        <f>VLOOKUP(E7998,'Cadastro Produtos (kiwkiw)'!C:E,3,0)</f>
        <v>#N/A</v>
      </c>
    </row>
    <row r="7999" spans="2:8" ht="15" customHeight="1" x14ac:dyDescent="0.4">
      <c r="G7999" s="27">
        <f t="shared" si="136"/>
        <v>0</v>
      </c>
      <c r="H7999" s="28" t="e">
        <f>VLOOKUP(E7999,'Cadastro Produtos (kiwkiw)'!C:E,3,0)</f>
        <v>#N/A</v>
      </c>
    </row>
    <row r="8000" spans="2:8" ht="15" customHeight="1" x14ac:dyDescent="0.4">
      <c r="G8000" s="27">
        <f t="shared" si="136"/>
        <v>0</v>
      </c>
      <c r="H8000" s="28" t="e">
        <f>VLOOKUP(E8000,'Cadastro Produtos (kiwkiw)'!C:E,3,0)</f>
        <v>#N/A</v>
      </c>
    </row>
    <row r="8001" spans="7:8" ht="15" customHeight="1" x14ac:dyDescent="0.4">
      <c r="G8001" s="27">
        <f t="shared" si="136"/>
        <v>0</v>
      </c>
      <c r="H8001" s="28" t="e">
        <f>VLOOKUP(E8001,'Cadastro Produtos (kiwkiw)'!C:E,3,0)</f>
        <v>#N/A</v>
      </c>
    </row>
    <row r="8002" spans="7:8" ht="15" customHeight="1" x14ac:dyDescent="0.4">
      <c r="G8002" s="27">
        <f t="shared" si="136"/>
        <v>0</v>
      </c>
      <c r="H8002" s="28" t="e">
        <f>VLOOKUP(E8002,'Cadastro Produtos (kiwkiw)'!C:E,3,0)</f>
        <v>#N/A</v>
      </c>
    </row>
    <row r="8003" spans="7:8" ht="15" customHeight="1" x14ac:dyDescent="0.4">
      <c r="G8003" s="27">
        <f t="shared" si="136"/>
        <v>0</v>
      </c>
      <c r="H8003" s="28" t="e">
        <f>VLOOKUP(E8003,'Cadastro Produtos (kiwkiw)'!C:E,3,0)</f>
        <v>#N/A</v>
      </c>
    </row>
    <row r="8004" spans="7:8" ht="15" customHeight="1" x14ac:dyDescent="0.4">
      <c r="G8004" s="27">
        <f t="shared" si="136"/>
        <v>0</v>
      </c>
      <c r="H8004" s="28" t="e">
        <f>VLOOKUP(E8004,'Cadastro Produtos (kiwkiw)'!C:E,3,0)</f>
        <v>#N/A</v>
      </c>
    </row>
    <row r="8005" spans="7:8" ht="15" customHeight="1" x14ac:dyDescent="0.4">
      <c r="G8005" s="27">
        <f t="shared" si="136"/>
        <v>0</v>
      </c>
      <c r="H8005" s="28" t="e">
        <f>VLOOKUP(E8005,'Cadastro Produtos (kiwkiw)'!C:E,3,0)</f>
        <v>#N/A</v>
      </c>
    </row>
    <row r="8006" spans="7:8" ht="15" customHeight="1" x14ac:dyDescent="0.4">
      <c r="G8006" s="27">
        <f t="shared" si="136"/>
        <v>0</v>
      </c>
      <c r="H8006" s="28" t="e">
        <f>VLOOKUP(E8006,'Cadastro Produtos (kiwkiw)'!C:E,3,0)</f>
        <v>#N/A</v>
      </c>
    </row>
    <row r="8007" spans="7:8" ht="15" customHeight="1" x14ac:dyDescent="0.4">
      <c r="G8007" s="27">
        <f t="shared" si="136"/>
        <v>0</v>
      </c>
      <c r="H8007" s="28" t="e">
        <f>VLOOKUP(E8007,'Cadastro Produtos (kiwkiw)'!C:E,3,0)</f>
        <v>#N/A</v>
      </c>
    </row>
    <row r="8008" spans="7:8" ht="15" customHeight="1" x14ac:dyDescent="0.4">
      <c r="G8008" s="27">
        <f t="shared" si="136"/>
        <v>0</v>
      </c>
      <c r="H8008" s="28" t="e">
        <f>VLOOKUP(E8008,'Cadastro Produtos (kiwkiw)'!C:E,3,0)</f>
        <v>#N/A</v>
      </c>
    </row>
    <row r="8009" spans="7:8" ht="15" customHeight="1" x14ac:dyDescent="0.4">
      <c r="G8009" s="27">
        <f t="shared" si="136"/>
        <v>0</v>
      </c>
      <c r="H8009" s="28" t="e">
        <f>VLOOKUP(E8009,'Cadastro Produtos (kiwkiw)'!C:E,3,0)</f>
        <v>#N/A</v>
      </c>
    </row>
    <row r="8010" spans="7:8" ht="15" customHeight="1" x14ac:dyDescent="0.4">
      <c r="G8010" s="27">
        <f t="shared" si="136"/>
        <v>0</v>
      </c>
      <c r="H8010" s="28" t="e">
        <f>VLOOKUP(E8010,'Cadastro Produtos (kiwkiw)'!C:E,3,0)</f>
        <v>#N/A</v>
      </c>
    </row>
    <row r="8011" spans="7:8" ht="15" customHeight="1" x14ac:dyDescent="0.4">
      <c r="G8011" s="27">
        <f t="shared" si="136"/>
        <v>0</v>
      </c>
      <c r="H8011" s="28" t="e">
        <f>VLOOKUP(E8011,'Cadastro Produtos (kiwkiw)'!C:E,3,0)</f>
        <v>#N/A</v>
      </c>
    </row>
    <row r="8012" spans="7:8" ht="15" customHeight="1" x14ac:dyDescent="0.4">
      <c r="G8012" s="27">
        <f t="shared" si="136"/>
        <v>0</v>
      </c>
      <c r="H8012" s="28" t="e">
        <f>VLOOKUP(E8012,'Cadastro Produtos (kiwkiw)'!C:E,3,0)</f>
        <v>#N/A</v>
      </c>
    </row>
    <row r="8013" spans="7:8" ht="15" customHeight="1" x14ac:dyDescent="0.4">
      <c r="G8013" s="27">
        <f t="shared" si="136"/>
        <v>0</v>
      </c>
      <c r="H8013" s="28" t="e">
        <f>VLOOKUP(E8013,'Cadastro Produtos (kiwkiw)'!C:E,3,0)</f>
        <v>#N/A</v>
      </c>
    </row>
    <row r="8014" spans="7:8" ht="15" customHeight="1" x14ac:dyDescent="0.4">
      <c r="G8014" s="27">
        <f t="shared" si="136"/>
        <v>0</v>
      </c>
      <c r="H8014" s="28" t="e">
        <f>VLOOKUP(E8014,'Cadastro Produtos (kiwkiw)'!C:E,3,0)</f>
        <v>#N/A</v>
      </c>
    </row>
    <row r="8015" spans="7:8" ht="15" customHeight="1" x14ac:dyDescent="0.4">
      <c r="G8015" s="27">
        <f t="shared" si="136"/>
        <v>0</v>
      </c>
      <c r="H8015" s="28" t="e">
        <f>VLOOKUP(E8015,'Cadastro Produtos (kiwkiw)'!C:E,3,0)</f>
        <v>#N/A</v>
      </c>
    </row>
    <row r="8016" spans="7:8" ht="15" customHeight="1" x14ac:dyDescent="0.4">
      <c r="G8016" s="27">
        <f t="shared" si="136"/>
        <v>0</v>
      </c>
      <c r="H8016" s="28" t="e">
        <f>VLOOKUP(E8016,'Cadastro Produtos (kiwkiw)'!C:E,3,0)</f>
        <v>#N/A</v>
      </c>
    </row>
    <row r="8017" spans="7:8" ht="15" customHeight="1" x14ac:dyDescent="0.4">
      <c r="G8017" s="27">
        <f t="shared" si="136"/>
        <v>0</v>
      </c>
      <c r="H8017" s="28" t="e">
        <f>VLOOKUP(E8017,'Cadastro Produtos (kiwkiw)'!C:E,3,0)</f>
        <v>#N/A</v>
      </c>
    </row>
    <row r="8018" spans="7:8" ht="15" customHeight="1" x14ac:dyDescent="0.4">
      <c r="G8018" s="27">
        <f t="shared" ref="G8018:G8081" si="137">IF(C8018="Entrada",F8018,-F8018)</f>
        <v>0</v>
      </c>
      <c r="H8018" s="28" t="e">
        <f>VLOOKUP(E8018,'Cadastro Produtos (kiwkiw)'!C:E,3,0)</f>
        <v>#N/A</v>
      </c>
    </row>
    <row r="8019" spans="7:8" ht="15" customHeight="1" x14ac:dyDescent="0.4">
      <c r="G8019" s="27">
        <f t="shared" si="137"/>
        <v>0</v>
      </c>
      <c r="H8019" s="28" t="e">
        <f>VLOOKUP(E8019,'Cadastro Produtos (kiwkiw)'!C:E,3,0)</f>
        <v>#N/A</v>
      </c>
    </row>
    <row r="8020" spans="7:8" ht="15" customHeight="1" x14ac:dyDescent="0.4">
      <c r="G8020" s="27">
        <f t="shared" si="137"/>
        <v>0</v>
      </c>
      <c r="H8020" s="28" t="e">
        <f>VLOOKUP(E8020,'Cadastro Produtos (kiwkiw)'!C:E,3,0)</f>
        <v>#N/A</v>
      </c>
    </row>
    <row r="8021" spans="7:8" ht="15" customHeight="1" x14ac:dyDescent="0.4">
      <c r="G8021" s="27">
        <f t="shared" si="137"/>
        <v>0</v>
      </c>
      <c r="H8021" s="28" t="e">
        <f>VLOOKUP(E8021,'Cadastro Produtos (kiwkiw)'!C:E,3,0)</f>
        <v>#N/A</v>
      </c>
    </row>
    <row r="8022" spans="7:8" ht="15" customHeight="1" x14ac:dyDescent="0.4">
      <c r="G8022" s="27">
        <f t="shared" si="137"/>
        <v>0</v>
      </c>
      <c r="H8022" s="28" t="e">
        <f>VLOOKUP(E8022,'Cadastro Produtos (kiwkiw)'!C:E,3,0)</f>
        <v>#N/A</v>
      </c>
    </row>
    <row r="8023" spans="7:8" ht="15" customHeight="1" x14ac:dyDescent="0.4">
      <c r="G8023" s="27">
        <f t="shared" si="137"/>
        <v>0</v>
      </c>
      <c r="H8023" s="28" t="e">
        <f>VLOOKUP(E8023,'Cadastro Produtos (kiwkiw)'!C:E,3,0)</f>
        <v>#N/A</v>
      </c>
    </row>
    <row r="8024" spans="7:8" ht="15" customHeight="1" x14ac:dyDescent="0.4">
      <c r="G8024" s="27">
        <f t="shared" si="137"/>
        <v>0</v>
      </c>
      <c r="H8024" s="28" t="e">
        <f>VLOOKUP(E8024,'Cadastro Produtos (kiwkiw)'!C:E,3,0)</f>
        <v>#N/A</v>
      </c>
    </row>
    <row r="8025" spans="7:8" ht="15" customHeight="1" x14ac:dyDescent="0.4">
      <c r="G8025" s="27">
        <f t="shared" si="137"/>
        <v>0</v>
      </c>
      <c r="H8025" s="28" t="e">
        <f>VLOOKUP(E8025,'Cadastro Produtos (kiwkiw)'!C:E,3,0)</f>
        <v>#N/A</v>
      </c>
    </row>
    <row r="8026" spans="7:8" ht="15" customHeight="1" x14ac:dyDescent="0.4">
      <c r="G8026" s="27">
        <f t="shared" si="137"/>
        <v>0</v>
      </c>
      <c r="H8026" s="28" t="e">
        <f>VLOOKUP(E8026,'Cadastro Produtos (kiwkiw)'!C:E,3,0)</f>
        <v>#N/A</v>
      </c>
    </row>
    <row r="8027" spans="7:8" ht="15" customHeight="1" x14ac:dyDescent="0.4">
      <c r="G8027" s="27">
        <f t="shared" si="137"/>
        <v>0</v>
      </c>
      <c r="H8027" s="28" t="e">
        <f>VLOOKUP(E8027,'Cadastro Produtos (kiwkiw)'!C:E,3,0)</f>
        <v>#N/A</v>
      </c>
    </row>
    <row r="8028" spans="7:8" ht="15" customHeight="1" x14ac:dyDescent="0.4">
      <c r="G8028" s="27">
        <f t="shared" si="137"/>
        <v>0</v>
      </c>
      <c r="H8028" s="28" t="e">
        <f>VLOOKUP(E8028,'Cadastro Produtos (kiwkiw)'!C:E,3,0)</f>
        <v>#N/A</v>
      </c>
    </row>
    <row r="8029" spans="7:8" ht="15" customHeight="1" x14ac:dyDescent="0.4">
      <c r="G8029" s="27">
        <f t="shared" si="137"/>
        <v>0</v>
      </c>
      <c r="H8029" s="28" t="e">
        <f>VLOOKUP(E8029,'Cadastro Produtos (kiwkiw)'!C:E,3,0)</f>
        <v>#N/A</v>
      </c>
    </row>
    <row r="8030" spans="7:8" ht="15" customHeight="1" x14ac:dyDescent="0.4">
      <c r="G8030" s="27">
        <f t="shared" si="137"/>
        <v>0</v>
      </c>
      <c r="H8030" s="28" t="e">
        <f>VLOOKUP(E8030,'Cadastro Produtos (kiwkiw)'!C:E,3,0)</f>
        <v>#N/A</v>
      </c>
    </row>
    <row r="8031" spans="7:8" ht="15" customHeight="1" x14ac:dyDescent="0.4">
      <c r="G8031" s="27">
        <f t="shared" si="137"/>
        <v>0</v>
      </c>
      <c r="H8031" s="28" t="e">
        <f>VLOOKUP(E8031,'Cadastro Produtos (kiwkiw)'!C:E,3,0)</f>
        <v>#N/A</v>
      </c>
    </row>
    <row r="8032" spans="7:8" ht="15" customHeight="1" x14ac:dyDescent="0.4">
      <c r="G8032" s="27">
        <f t="shared" si="137"/>
        <v>0</v>
      </c>
      <c r="H8032" s="28" t="e">
        <f>VLOOKUP(E8032,'Cadastro Produtos (kiwkiw)'!C:E,3,0)</f>
        <v>#N/A</v>
      </c>
    </row>
    <row r="8033" spans="7:8" ht="15" customHeight="1" x14ac:dyDescent="0.4">
      <c r="G8033" s="27">
        <f t="shared" si="137"/>
        <v>0</v>
      </c>
      <c r="H8033" s="28" t="e">
        <f>VLOOKUP(E8033,'Cadastro Produtos (kiwkiw)'!C:E,3,0)</f>
        <v>#N/A</v>
      </c>
    </row>
    <row r="8034" spans="7:8" ht="15" customHeight="1" x14ac:dyDescent="0.4">
      <c r="G8034" s="27">
        <f t="shared" si="137"/>
        <v>0</v>
      </c>
      <c r="H8034" s="28" t="e">
        <f>VLOOKUP(E8034,'Cadastro Produtos (kiwkiw)'!C:E,3,0)</f>
        <v>#N/A</v>
      </c>
    </row>
    <row r="8035" spans="7:8" ht="15" customHeight="1" x14ac:dyDescent="0.4">
      <c r="G8035" s="27">
        <f t="shared" si="137"/>
        <v>0</v>
      </c>
      <c r="H8035" s="28" t="e">
        <f>VLOOKUP(E8035,'Cadastro Produtos (kiwkiw)'!C:E,3,0)</f>
        <v>#N/A</v>
      </c>
    </row>
    <row r="8036" spans="7:8" ht="15" customHeight="1" x14ac:dyDescent="0.4">
      <c r="G8036" s="27">
        <f t="shared" si="137"/>
        <v>0</v>
      </c>
      <c r="H8036" s="28" t="e">
        <f>VLOOKUP(E8036,'Cadastro Produtos (kiwkiw)'!C:E,3,0)</f>
        <v>#N/A</v>
      </c>
    </row>
    <row r="8037" spans="7:8" ht="15" customHeight="1" x14ac:dyDescent="0.4">
      <c r="G8037" s="27">
        <f t="shared" si="137"/>
        <v>0</v>
      </c>
      <c r="H8037" s="28" t="e">
        <f>VLOOKUP(E8037,'Cadastro Produtos (kiwkiw)'!C:E,3,0)</f>
        <v>#N/A</v>
      </c>
    </row>
    <row r="8038" spans="7:8" ht="15" customHeight="1" x14ac:dyDescent="0.4">
      <c r="G8038" s="27">
        <f t="shared" si="137"/>
        <v>0</v>
      </c>
      <c r="H8038" s="28" t="e">
        <f>VLOOKUP(E8038,'Cadastro Produtos (kiwkiw)'!C:E,3,0)</f>
        <v>#N/A</v>
      </c>
    </row>
    <row r="8039" spans="7:8" ht="15" customHeight="1" x14ac:dyDescent="0.4">
      <c r="G8039" s="27">
        <f t="shared" si="137"/>
        <v>0</v>
      </c>
      <c r="H8039" s="28" t="e">
        <f>VLOOKUP(E8039,'Cadastro Produtos (kiwkiw)'!C:E,3,0)</f>
        <v>#N/A</v>
      </c>
    </row>
    <row r="8040" spans="7:8" ht="15" customHeight="1" x14ac:dyDescent="0.4">
      <c r="G8040" s="27">
        <f t="shared" si="137"/>
        <v>0</v>
      </c>
      <c r="H8040" s="28" t="e">
        <f>VLOOKUP(E8040,'Cadastro Produtos (kiwkiw)'!C:E,3,0)</f>
        <v>#N/A</v>
      </c>
    </row>
    <row r="8041" spans="7:8" ht="15" customHeight="1" x14ac:dyDescent="0.4">
      <c r="G8041" s="27">
        <f t="shared" si="137"/>
        <v>0</v>
      </c>
      <c r="H8041" s="28" t="e">
        <f>VLOOKUP(E8041,'Cadastro Produtos (kiwkiw)'!C:E,3,0)</f>
        <v>#N/A</v>
      </c>
    </row>
    <row r="8042" spans="7:8" ht="15" customHeight="1" x14ac:dyDescent="0.4">
      <c r="G8042" s="27">
        <f t="shared" si="137"/>
        <v>0</v>
      </c>
      <c r="H8042" s="28" t="e">
        <f>VLOOKUP(E8042,'Cadastro Produtos (kiwkiw)'!C:E,3,0)</f>
        <v>#N/A</v>
      </c>
    </row>
    <row r="8043" spans="7:8" ht="15" customHeight="1" x14ac:dyDescent="0.4">
      <c r="G8043" s="27">
        <f t="shared" si="137"/>
        <v>0</v>
      </c>
      <c r="H8043" s="28" t="e">
        <f>VLOOKUP(E8043,'Cadastro Produtos (kiwkiw)'!C:E,3,0)</f>
        <v>#N/A</v>
      </c>
    </row>
    <row r="8044" spans="7:8" ht="15" customHeight="1" x14ac:dyDescent="0.4">
      <c r="G8044" s="27">
        <f t="shared" si="137"/>
        <v>0</v>
      </c>
      <c r="H8044" s="28" t="e">
        <f>VLOOKUP(E8044,'Cadastro Produtos (kiwkiw)'!C:E,3,0)</f>
        <v>#N/A</v>
      </c>
    </row>
    <row r="8045" spans="7:8" ht="15" customHeight="1" x14ac:dyDescent="0.4">
      <c r="G8045" s="27">
        <f t="shared" si="137"/>
        <v>0</v>
      </c>
      <c r="H8045" s="28" t="e">
        <f>VLOOKUP(E8045,'Cadastro Produtos (kiwkiw)'!C:E,3,0)</f>
        <v>#N/A</v>
      </c>
    </row>
    <row r="8046" spans="7:8" ht="15" customHeight="1" x14ac:dyDescent="0.4">
      <c r="G8046" s="27">
        <f t="shared" si="137"/>
        <v>0</v>
      </c>
      <c r="H8046" s="28" t="e">
        <f>VLOOKUP(E8046,'Cadastro Produtos (kiwkiw)'!C:E,3,0)</f>
        <v>#N/A</v>
      </c>
    </row>
    <row r="8047" spans="7:8" ht="15" customHeight="1" x14ac:dyDescent="0.4">
      <c r="G8047" s="27">
        <f t="shared" si="137"/>
        <v>0</v>
      </c>
      <c r="H8047" s="28" t="e">
        <f>VLOOKUP(E8047,'Cadastro Produtos (kiwkiw)'!C:E,3,0)</f>
        <v>#N/A</v>
      </c>
    </row>
    <row r="8048" spans="7:8" ht="15" customHeight="1" x14ac:dyDescent="0.4">
      <c r="G8048" s="27">
        <f t="shared" si="137"/>
        <v>0</v>
      </c>
      <c r="H8048" s="28" t="e">
        <f>VLOOKUP(E8048,'Cadastro Produtos (kiwkiw)'!C:E,3,0)</f>
        <v>#N/A</v>
      </c>
    </row>
    <row r="8049" spans="7:8" ht="15" customHeight="1" x14ac:dyDescent="0.4">
      <c r="G8049" s="27">
        <f t="shared" si="137"/>
        <v>0</v>
      </c>
      <c r="H8049" s="28" t="e">
        <f>VLOOKUP(E8049,'Cadastro Produtos (kiwkiw)'!C:E,3,0)</f>
        <v>#N/A</v>
      </c>
    </row>
    <row r="8050" spans="7:8" ht="15" customHeight="1" x14ac:dyDescent="0.4">
      <c r="G8050" s="27">
        <f t="shared" si="137"/>
        <v>0</v>
      </c>
      <c r="H8050" s="28" t="e">
        <f>VLOOKUP(E8050,'Cadastro Produtos (kiwkiw)'!C:E,3,0)</f>
        <v>#N/A</v>
      </c>
    </row>
    <row r="8051" spans="7:8" ht="15" customHeight="1" x14ac:dyDescent="0.4">
      <c r="G8051" s="27">
        <f t="shared" si="137"/>
        <v>0</v>
      </c>
      <c r="H8051" s="28" t="e">
        <f>VLOOKUP(E8051,'Cadastro Produtos (kiwkiw)'!C:E,3,0)</f>
        <v>#N/A</v>
      </c>
    </row>
    <row r="8052" spans="7:8" ht="15" customHeight="1" x14ac:dyDescent="0.4">
      <c r="G8052" s="27">
        <f t="shared" si="137"/>
        <v>0</v>
      </c>
      <c r="H8052" s="28" t="e">
        <f>VLOOKUP(E8052,'Cadastro Produtos (kiwkiw)'!C:E,3,0)</f>
        <v>#N/A</v>
      </c>
    </row>
    <row r="8053" spans="7:8" ht="15" customHeight="1" x14ac:dyDescent="0.4">
      <c r="G8053" s="27">
        <f t="shared" si="137"/>
        <v>0</v>
      </c>
      <c r="H8053" s="28" t="e">
        <f>VLOOKUP(E8053,'Cadastro Produtos (kiwkiw)'!C:E,3,0)</f>
        <v>#N/A</v>
      </c>
    </row>
    <row r="8054" spans="7:8" ht="15" customHeight="1" x14ac:dyDescent="0.4">
      <c r="G8054" s="27">
        <f t="shared" si="137"/>
        <v>0</v>
      </c>
      <c r="H8054" s="28" t="e">
        <f>VLOOKUP(E8054,'Cadastro Produtos (kiwkiw)'!C:E,3,0)</f>
        <v>#N/A</v>
      </c>
    </row>
    <row r="8055" spans="7:8" ht="15" customHeight="1" x14ac:dyDescent="0.4">
      <c r="G8055" s="27">
        <f t="shared" si="137"/>
        <v>0</v>
      </c>
      <c r="H8055" s="28" t="e">
        <f>VLOOKUP(E8055,'Cadastro Produtos (kiwkiw)'!C:E,3,0)</f>
        <v>#N/A</v>
      </c>
    </row>
    <row r="8056" spans="7:8" ht="15" customHeight="1" x14ac:dyDescent="0.4">
      <c r="G8056" s="27">
        <f t="shared" si="137"/>
        <v>0</v>
      </c>
      <c r="H8056" s="28" t="e">
        <f>VLOOKUP(E8056,'Cadastro Produtos (kiwkiw)'!C:E,3,0)</f>
        <v>#N/A</v>
      </c>
    </row>
    <row r="8057" spans="7:8" ht="15" customHeight="1" x14ac:dyDescent="0.4">
      <c r="G8057" s="27">
        <f t="shared" si="137"/>
        <v>0</v>
      </c>
      <c r="H8057" s="28" t="e">
        <f>VLOOKUP(E8057,'Cadastro Produtos (kiwkiw)'!C:E,3,0)</f>
        <v>#N/A</v>
      </c>
    </row>
    <row r="8058" spans="7:8" ht="15" customHeight="1" x14ac:dyDescent="0.4">
      <c r="G8058" s="27">
        <f t="shared" si="137"/>
        <v>0</v>
      </c>
      <c r="H8058" s="28" t="e">
        <f>VLOOKUP(E8058,'Cadastro Produtos (kiwkiw)'!C:E,3,0)</f>
        <v>#N/A</v>
      </c>
    </row>
    <row r="8059" spans="7:8" ht="15" customHeight="1" x14ac:dyDescent="0.4">
      <c r="G8059" s="27">
        <f t="shared" si="137"/>
        <v>0</v>
      </c>
      <c r="H8059" s="28" t="e">
        <f>VLOOKUP(E8059,'Cadastro Produtos (kiwkiw)'!C:E,3,0)</f>
        <v>#N/A</v>
      </c>
    </row>
    <row r="8060" spans="7:8" ht="15" customHeight="1" x14ac:dyDescent="0.4">
      <c r="G8060" s="27">
        <f t="shared" si="137"/>
        <v>0</v>
      </c>
      <c r="H8060" s="28" t="e">
        <f>VLOOKUP(E8060,'Cadastro Produtos (kiwkiw)'!C:E,3,0)</f>
        <v>#N/A</v>
      </c>
    </row>
    <row r="8061" spans="7:8" ht="15" customHeight="1" x14ac:dyDescent="0.4">
      <c r="G8061" s="27">
        <f t="shared" si="137"/>
        <v>0</v>
      </c>
      <c r="H8061" s="28" t="e">
        <f>VLOOKUP(E8061,'Cadastro Produtos (kiwkiw)'!C:E,3,0)</f>
        <v>#N/A</v>
      </c>
    </row>
    <row r="8062" spans="7:8" ht="15" customHeight="1" x14ac:dyDescent="0.4">
      <c r="G8062" s="27">
        <f t="shared" si="137"/>
        <v>0</v>
      </c>
      <c r="H8062" s="28" t="e">
        <f>VLOOKUP(E8062,'Cadastro Produtos (kiwkiw)'!C:E,3,0)</f>
        <v>#N/A</v>
      </c>
    </row>
    <row r="8063" spans="7:8" ht="15" customHeight="1" x14ac:dyDescent="0.4">
      <c r="G8063" s="27">
        <f t="shared" si="137"/>
        <v>0</v>
      </c>
      <c r="H8063" s="28" t="e">
        <f>VLOOKUP(E8063,'Cadastro Produtos (kiwkiw)'!C:E,3,0)</f>
        <v>#N/A</v>
      </c>
    </row>
    <row r="8064" spans="7:8" ht="15" customHeight="1" x14ac:dyDescent="0.4">
      <c r="G8064" s="27">
        <f t="shared" si="137"/>
        <v>0</v>
      </c>
      <c r="H8064" s="28" t="e">
        <f>VLOOKUP(E8064,'Cadastro Produtos (kiwkiw)'!C:E,3,0)</f>
        <v>#N/A</v>
      </c>
    </row>
    <row r="8065" spans="7:8" ht="15" customHeight="1" x14ac:dyDescent="0.4">
      <c r="G8065" s="27">
        <f t="shared" si="137"/>
        <v>0</v>
      </c>
      <c r="H8065" s="28" t="e">
        <f>VLOOKUP(E8065,'Cadastro Produtos (kiwkiw)'!C:E,3,0)</f>
        <v>#N/A</v>
      </c>
    </row>
    <row r="8066" spans="7:8" ht="15" customHeight="1" x14ac:dyDescent="0.4">
      <c r="G8066" s="27">
        <f t="shared" si="137"/>
        <v>0</v>
      </c>
      <c r="H8066" s="28" t="e">
        <f>VLOOKUP(E8066,'Cadastro Produtos (kiwkiw)'!C:E,3,0)</f>
        <v>#N/A</v>
      </c>
    </row>
    <row r="8067" spans="7:8" ht="15" customHeight="1" x14ac:dyDescent="0.4">
      <c r="G8067" s="27">
        <f t="shared" si="137"/>
        <v>0</v>
      </c>
      <c r="H8067" s="28" t="e">
        <f>VLOOKUP(E8067,'Cadastro Produtos (kiwkiw)'!C:E,3,0)</f>
        <v>#N/A</v>
      </c>
    </row>
    <row r="8068" spans="7:8" ht="15" customHeight="1" x14ac:dyDescent="0.4">
      <c r="G8068" s="27">
        <f t="shared" si="137"/>
        <v>0</v>
      </c>
      <c r="H8068" s="28" t="e">
        <f>VLOOKUP(E8068,'Cadastro Produtos (kiwkiw)'!C:E,3,0)</f>
        <v>#N/A</v>
      </c>
    </row>
    <row r="8069" spans="7:8" ht="15" customHeight="1" x14ac:dyDescent="0.4">
      <c r="G8069" s="27">
        <f t="shared" si="137"/>
        <v>0</v>
      </c>
      <c r="H8069" s="28" t="e">
        <f>VLOOKUP(E8069,'Cadastro Produtos (kiwkiw)'!C:E,3,0)</f>
        <v>#N/A</v>
      </c>
    </row>
    <row r="8070" spans="7:8" ht="15" customHeight="1" x14ac:dyDescent="0.4">
      <c r="G8070" s="27">
        <f t="shared" si="137"/>
        <v>0</v>
      </c>
      <c r="H8070" s="28" t="e">
        <f>VLOOKUP(E8070,'Cadastro Produtos (kiwkiw)'!C:E,3,0)</f>
        <v>#N/A</v>
      </c>
    </row>
    <row r="8071" spans="7:8" ht="15" customHeight="1" x14ac:dyDescent="0.4">
      <c r="G8071" s="27">
        <f t="shared" si="137"/>
        <v>0</v>
      </c>
      <c r="H8071" s="28" t="e">
        <f>VLOOKUP(E8071,'Cadastro Produtos (kiwkiw)'!C:E,3,0)</f>
        <v>#N/A</v>
      </c>
    </row>
    <row r="8072" spans="7:8" ht="15" customHeight="1" x14ac:dyDescent="0.4">
      <c r="G8072" s="27">
        <f t="shared" si="137"/>
        <v>0</v>
      </c>
      <c r="H8072" s="28" t="e">
        <f>VLOOKUP(E8072,'Cadastro Produtos (kiwkiw)'!C:E,3,0)</f>
        <v>#N/A</v>
      </c>
    </row>
    <row r="8073" spans="7:8" ht="15" customHeight="1" x14ac:dyDescent="0.4">
      <c r="G8073" s="27">
        <f t="shared" si="137"/>
        <v>0</v>
      </c>
      <c r="H8073" s="28" t="e">
        <f>VLOOKUP(E8073,'Cadastro Produtos (kiwkiw)'!C:E,3,0)</f>
        <v>#N/A</v>
      </c>
    </row>
    <row r="8074" spans="7:8" ht="15" customHeight="1" x14ac:dyDescent="0.4">
      <c r="G8074" s="27">
        <f t="shared" si="137"/>
        <v>0</v>
      </c>
      <c r="H8074" s="28" t="e">
        <f>VLOOKUP(E8074,'Cadastro Produtos (kiwkiw)'!C:E,3,0)</f>
        <v>#N/A</v>
      </c>
    </row>
    <row r="8075" spans="7:8" ht="15" customHeight="1" x14ac:dyDescent="0.4">
      <c r="G8075" s="27">
        <f t="shared" si="137"/>
        <v>0</v>
      </c>
      <c r="H8075" s="28" t="e">
        <f>VLOOKUP(E8075,'Cadastro Produtos (kiwkiw)'!C:E,3,0)</f>
        <v>#N/A</v>
      </c>
    </row>
    <row r="8076" spans="7:8" ht="15" customHeight="1" x14ac:dyDescent="0.4">
      <c r="G8076" s="27">
        <f t="shared" si="137"/>
        <v>0</v>
      </c>
      <c r="H8076" s="28" t="e">
        <f>VLOOKUP(E8076,'Cadastro Produtos (kiwkiw)'!C:E,3,0)</f>
        <v>#N/A</v>
      </c>
    </row>
    <row r="8077" spans="7:8" ht="15" customHeight="1" x14ac:dyDescent="0.4">
      <c r="G8077" s="27">
        <f t="shared" si="137"/>
        <v>0</v>
      </c>
      <c r="H8077" s="28" t="e">
        <f>VLOOKUP(E8077,'Cadastro Produtos (kiwkiw)'!C:E,3,0)</f>
        <v>#N/A</v>
      </c>
    </row>
    <row r="8078" spans="7:8" ht="15" customHeight="1" x14ac:dyDescent="0.4">
      <c r="G8078" s="27">
        <f t="shared" si="137"/>
        <v>0</v>
      </c>
      <c r="H8078" s="28" t="e">
        <f>VLOOKUP(E8078,'Cadastro Produtos (kiwkiw)'!C:E,3,0)</f>
        <v>#N/A</v>
      </c>
    </row>
    <row r="8079" spans="7:8" ht="15" customHeight="1" x14ac:dyDescent="0.4">
      <c r="G8079" s="27">
        <f t="shared" si="137"/>
        <v>0</v>
      </c>
      <c r="H8079" s="28" t="e">
        <f>VLOOKUP(E8079,'Cadastro Produtos (kiwkiw)'!C:E,3,0)</f>
        <v>#N/A</v>
      </c>
    </row>
    <row r="8080" spans="7:8" ht="15" customHeight="1" x14ac:dyDescent="0.4">
      <c r="G8080" s="27">
        <f t="shared" si="137"/>
        <v>0</v>
      </c>
      <c r="H8080" s="28" t="e">
        <f>VLOOKUP(E8080,'Cadastro Produtos (kiwkiw)'!C:E,3,0)</f>
        <v>#N/A</v>
      </c>
    </row>
    <row r="8081" spans="7:8" ht="15" customHeight="1" x14ac:dyDescent="0.4">
      <c r="G8081" s="27">
        <f t="shared" si="137"/>
        <v>0</v>
      </c>
      <c r="H8081" s="28" t="e">
        <f>VLOOKUP(E8081,'Cadastro Produtos (kiwkiw)'!C:E,3,0)</f>
        <v>#N/A</v>
      </c>
    </row>
    <row r="8082" spans="7:8" ht="15" customHeight="1" x14ac:dyDescent="0.4">
      <c r="G8082" s="27">
        <f t="shared" ref="G8082:G8145" si="138">IF(C8082="Entrada",F8082,-F8082)</f>
        <v>0</v>
      </c>
      <c r="H8082" s="28" t="e">
        <f>VLOOKUP(E8082,'Cadastro Produtos (kiwkiw)'!C:E,3,0)</f>
        <v>#N/A</v>
      </c>
    </row>
    <row r="8083" spans="7:8" ht="15" customHeight="1" x14ac:dyDescent="0.4">
      <c r="G8083" s="27">
        <f t="shared" si="138"/>
        <v>0</v>
      </c>
      <c r="H8083" s="28" t="e">
        <f>VLOOKUP(E8083,'Cadastro Produtos (kiwkiw)'!C:E,3,0)</f>
        <v>#N/A</v>
      </c>
    </row>
    <row r="8084" spans="7:8" ht="15" customHeight="1" x14ac:dyDescent="0.4">
      <c r="G8084" s="27">
        <f t="shared" si="138"/>
        <v>0</v>
      </c>
      <c r="H8084" s="28" t="e">
        <f>VLOOKUP(E8084,'Cadastro Produtos (kiwkiw)'!C:E,3,0)</f>
        <v>#N/A</v>
      </c>
    </row>
    <row r="8085" spans="7:8" ht="15" customHeight="1" x14ac:dyDescent="0.4">
      <c r="G8085" s="27">
        <f t="shared" si="138"/>
        <v>0</v>
      </c>
      <c r="H8085" s="28" t="e">
        <f>VLOOKUP(E8085,'Cadastro Produtos (kiwkiw)'!C:E,3,0)</f>
        <v>#N/A</v>
      </c>
    </row>
    <row r="8086" spans="7:8" ht="15" customHeight="1" x14ac:dyDescent="0.4">
      <c r="G8086" s="27">
        <f t="shared" si="138"/>
        <v>0</v>
      </c>
      <c r="H8086" s="28" t="e">
        <f>VLOOKUP(E8086,'Cadastro Produtos (kiwkiw)'!C:E,3,0)</f>
        <v>#N/A</v>
      </c>
    </row>
    <row r="8087" spans="7:8" ht="15" customHeight="1" x14ac:dyDescent="0.4">
      <c r="G8087" s="27">
        <f t="shared" si="138"/>
        <v>0</v>
      </c>
      <c r="H8087" s="28" t="e">
        <f>VLOOKUP(E8087,'Cadastro Produtos (kiwkiw)'!C:E,3,0)</f>
        <v>#N/A</v>
      </c>
    </row>
    <row r="8088" spans="7:8" ht="15" customHeight="1" x14ac:dyDescent="0.4">
      <c r="G8088" s="27">
        <f t="shared" si="138"/>
        <v>0</v>
      </c>
      <c r="H8088" s="28" t="e">
        <f>VLOOKUP(E8088,'Cadastro Produtos (kiwkiw)'!C:E,3,0)</f>
        <v>#N/A</v>
      </c>
    </row>
    <row r="8089" spans="7:8" ht="15" customHeight="1" x14ac:dyDescent="0.4">
      <c r="G8089" s="27">
        <f t="shared" si="138"/>
        <v>0</v>
      </c>
      <c r="H8089" s="28" t="e">
        <f>VLOOKUP(E8089,'Cadastro Produtos (kiwkiw)'!C:E,3,0)</f>
        <v>#N/A</v>
      </c>
    </row>
    <row r="8090" spans="7:8" ht="15" customHeight="1" x14ac:dyDescent="0.4">
      <c r="G8090" s="27">
        <f t="shared" si="138"/>
        <v>0</v>
      </c>
      <c r="H8090" s="28" t="e">
        <f>VLOOKUP(E8090,'Cadastro Produtos (kiwkiw)'!C:E,3,0)</f>
        <v>#N/A</v>
      </c>
    </row>
    <row r="8091" spans="7:8" ht="15" customHeight="1" x14ac:dyDescent="0.4">
      <c r="G8091" s="27">
        <f t="shared" si="138"/>
        <v>0</v>
      </c>
      <c r="H8091" s="28" t="e">
        <f>VLOOKUP(E8091,'Cadastro Produtos (kiwkiw)'!C:E,3,0)</f>
        <v>#N/A</v>
      </c>
    </row>
    <row r="8092" spans="7:8" ht="15" customHeight="1" x14ac:dyDescent="0.4">
      <c r="G8092" s="27">
        <f t="shared" si="138"/>
        <v>0</v>
      </c>
      <c r="H8092" s="28" t="e">
        <f>VLOOKUP(E8092,'Cadastro Produtos (kiwkiw)'!C:E,3,0)</f>
        <v>#N/A</v>
      </c>
    </row>
    <row r="8093" spans="7:8" ht="15" customHeight="1" x14ac:dyDescent="0.4">
      <c r="G8093" s="27">
        <f t="shared" si="138"/>
        <v>0</v>
      </c>
      <c r="H8093" s="28" t="e">
        <f>VLOOKUP(E8093,'Cadastro Produtos (kiwkiw)'!C:E,3,0)</f>
        <v>#N/A</v>
      </c>
    </row>
    <row r="8094" spans="7:8" ht="15" customHeight="1" x14ac:dyDescent="0.4">
      <c r="G8094" s="27">
        <f t="shared" si="138"/>
        <v>0</v>
      </c>
      <c r="H8094" s="28" t="e">
        <f>VLOOKUP(E8094,'Cadastro Produtos (kiwkiw)'!C:E,3,0)</f>
        <v>#N/A</v>
      </c>
    </row>
    <row r="8095" spans="7:8" ht="15" customHeight="1" x14ac:dyDescent="0.4">
      <c r="G8095" s="27">
        <f t="shared" si="138"/>
        <v>0</v>
      </c>
      <c r="H8095" s="28" t="e">
        <f>VLOOKUP(E8095,'Cadastro Produtos (kiwkiw)'!C:E,3,0)</f>
        <v>#N/A</v>
      </c>
    </row>
    <row r="8096" spans="7:8" ht="15" customHeight="1" x14ac:dyDescent="0.4">
      <c r="G8096" s="27">
        <f t="shared" si="138"/>
        <v>0</v>
      </c>
      <c r="H8096" s="28" t="e">
        <f>VLOOKUP(E8096,'Cadastro Produtos (kiwkiw)'!C:E,3,0)</f>
        <v>#N/A</v>
      </c>
    </row>
    <row r="8097" spans="7:8" ht="15" customHeight="1" x14ac:dyDescent="0.4">
      <c r="G8097" s="27">
        <f t="shared" si="138"/>
        <v>0</v>
      </c>
      <c r="H8097" s="28" t="e">
        <f>VLOOKUP(E8097,'Cadastro Produtos (kiwkiw)'!C:E,3,0)</f>
        <v>#N/A</v>
      </c>
    </row>
    <row r="8098" spans="7:8" ht="15" customHeight="1" x14ac:dyDescent="0.4">
      <c r="G8098" s="27">
        <f t="shared" si="138"/>
        <v>0</v>
      </c>
      <c r="H8098" s="28" t="e">
        <f>VLOOKUP(E8098,'Cadastro Produtos (kiwkiw)'!C:E,3,0)</f>
        <v>#N/A</v>
      </c>
    </row>
    <row r="8099" spans="7:8" ht="15" customHeight="1" x14ac:dyDescent="0.4">
      <c r="G8099" s="27">
        <f t="shared" si="138"/>
        <v>0</v>
      </c>
      <c r="H8099" s="28" t="e">
        <f>VLOOKUP(E8099,'Cadastro Produtos (kiwkiw)'!C:E,3,0)</f>
        <v>#N/A</v>
      </c>
    </row>
    <row r="8100" spans="7:8" ht="15" customHeight="1" x14ac:dyDescent="0.4">
      <c r="G8100" s="27">
        <f t="shared" si="138"/>
        <v>0</v>
      </c>
      <c r="H8100" s="28" t="e">
        <f>VLOOKUP(E8100,'Cadastro Produtos (kiwkiw)'!C:E,3,0)</f>
        <v>#N/A</v>
      </c>
    </row>
    <row r="8101" spans="7:8" ht="15" customHeight="1" x14ac:dyDescent="0.4">
      <c r="G8101" s="27">
        <f t="shared" si="138"/>
        <v>0</v>
      </c>
      <c r="H8101" s="28" t="e">
        <f>VLOOKUP(E8101,'Cadastro Produtos (kiwkiw)'!C:E,3,0)</f>
        <v>#N/A</v>
      </c>
    </row>
    <row r="8102" spans="7:8" ht="15" customHeight="1" x14ac:dyDescent="0.4">
      <c r="G8102" s="27">
        <f t="shared" si="138"/>
        <v>0</v>
      </c>
      <c r="H8102" s="28" t="e">
        <f>VLOOKUP(E8102,'Cadastro Produtos (kiwkiw)'!C:E,3,0)</f>
        <v>#N/A</v>
      </c>
    </row>
    <row r="8103" spans="7:8" ht="15" customHeight="1" x14ac:dyDescent="0.4">
      <c r="G8103" s="27">
        <f t="shared" si="138"/>
        <v>0</v>
      </c>
      <c r="H8103" s="28" t="e">
        <f>VLOOKUP(E8103,'Cadastro Produtos (kiwkiw)'!C:E,3,0)</f>
        <v>#N/A</v>
      </c>
    </row>
    <row r="8104" spans="7:8" ht="15" customHeight="1" x14ac:dyDescent="0.4">
      <c r="G8104" s="27">
        <f t="shared" si="138"/>
        <v>0</v>
      </c>
      <c r="H8104" s="28" t="e">
        <f>VLOOKUP(E8104,'Cadastro Produtos (kiwkiw)'!C:E,3,0)</f>
        <v>#N/A</v>
      </c>
    </row>
    <row r="8105" spans="7:8" ht="15" customHeight="1" x14ac:dyDescent="0.4">
      <c r="G8105" s="27">
        <f t="shared" si="138"/>
        <v>0</v>
      </c>
      <c r="H8105" s="28" t="e">
        <f>VLOOKUP(E8105,'Cadastro Produtos (kiwkiw)'!C:E,3,0)</f>
        <v>#N/A</v>
      </c>
    </row>
    <row r="8106" spans="7:8" ht="15" customHeight="1" x14ac:dyDescent="0.4">
      <c r="G8106" s="27">
        <f t="shared" si="138"/>
        <v>0</v>
      </c>
      <c r="H8106" s="28" t="e">
        <f>VLOOKUP(E8106,'Cadastro Produtos (kiwkiw)'!C:E,3,0)</f>
        <v>#N/A</v>
      </c>
    </row>
    <row r="8107" spans="7:8" ht="15" customHeight="1" x14ac:dyDescent="0.4">
      <c r="G8107" s="27">
        <f t="shared" si="138"/>
        <v>0</v>
      </c>
      <c r="H8107" s="28" t="e">
        <f>VLOOKUP(E8107,'Cadastro Produtos (kiwkiw)'!C:E,3,0)</f>
        <v>#N/A</v>
      </c>
    </row>
    <row r="8108" spans="7:8" ht="15" customHeight="1" x14ac:dyDescent="0.4">
      <c r="G8108" s="27">
        <f t="shared" si="138"/>
        <v>0</v>
      </c>
      <c r="H8108" s="28" t="e">
        <f>VLOOKUP(E8108,'Cadastro Produtos (kiwkiw)'!C:E,3,0)</f>
        <v>#N/A</v>
      </c>
    </row>
    <row r="8109" spans="7:8" ht="15" customHeight="1" x14ac:dyDescent="0.4">
      <c r="G8109" s="27">
        <f t="shared" si="138"/>
        <v>0</v>
      </c>
      <c r="H8109" s="28" t="e">
        <f>VLOOKUP(E8109,'Cadastro Produtos (kiwkiw)'!C:E,3,0)</f>
        <v>#N/A</v>
      </c>
    </row>
    <row r="8110" spans="7:8" ht="15" customHeight="1" x14ac:dyDescent="0.4">
      <c r="G8110" s="27">
        <f t="shared" si="138"/>
        <v>0</v>
      </c>
      <c r="H8110" s="28" t="e">
        <f>VLOOKUP(E8110,'Cadastro Produtos (kiwkiw)'!C:E,3,0)</f>
        <v>#N/A</v>
      </c>
    </row>
    <row r="8111" spans="7:8" ht="15" customHeight="1" x14ac:dyDescent="0.4">
      <c r="G8111" s="27">
        <f t="shared" si="138"/>
        <v>0</v>
      </c>
      <c r="H8111" s="28" t="e">
        <f>VLOOKUP(E8111,'Cadastro Produtos (kiwkiw)'!C:E,3,0)</f>
        <v>#N/A</v>
      </c>
    </row>
    <row r="8112" spans="7:8" ht="15" customHeight="1" x14ac:dyDescent="0.4">
      <c r="G8112" s="27">
        <f t="shared" si="138"/>
        <v>0</v>
      </c>
      <c r="H8112" s="28" t="e">
        <f>VLOOKUP(E8112,'Cadastro Produtos (kiwkiw)'!C:E,3,0)</f>
        <v>#N/A</v>
      </c>
    </row>
    <row r="8113" spans="7:8" ht="15" customHeight="1" x14ac:dyDescent="0.4">
      <c r="G8113" s="27">
        <f t="shared" si="138"/>
        <v>0</v>
      </c>
      <c r="H8113" s="28" t="e">
        <f>VLOOKUP(E8113,'Cadastro Produtos (kiwkiw)'!C:E,3,0)</f>
        <v>#N/A</v>
      </c>
    </row>
    <row r="8114" spans="7:8" ht="15" customHeight="1" x14ac:dyDescent="0.4">
      <c r="G8114" s="27">
        <f t="shared" si="138"/>
        <v>0</v>
      </c>
      <c r="H8114" s="28" t="e">
        <f>VLOOKUP(E8114,'Cadastro Produtos (kiwkiw)'!C:E,3,0)</f>
        <v>#N/A</v>
      </c>
    </row>
    <row r="8115" spans="7:8" ht="15" customHeight="1" x14ac:dyDescent="0.4">
      <c r="G8115" s="27">
        <f t="shared" si="138"/>
        <v>0</v>
      </c>
      <c r="H8115" s="28" t="e">
        <f>VLOOKUP(E8115,'Cadastro Produtos (kiwkiw)'!C:E,3,0)</f>
        <v>#N/A</v>
      </c>
    </row>
    <row r="8116" spans="7:8" ht="15" customHeight="1" x14ac:dyDescent="0.4">
      <c r="G8116" s="27">
        <f t="shared" si="138"/>
        <v>0</v>
      </c>
      <c r="H8116" s="28" t="e">
        <f>VLOOKUP(E8116,'Cadastro Produtos (kiwkiw)'!C:E,3,0)</f>
        <v>#N/A</v>
      </c>
    </row>
    <row r="8117" spans="7:8" ht="15" customHeight="1" x14ac:dyDescent="0.4">
      <c r="G8117" s="27">
        <f t="shared" si="138"/>
        <v>0</v>
      </c>
      <c r="H8117" s="28" t="e">
        <f>VLOOKUP(E8117,'Cadastro Produtos (kiwkiw)'!C:E,3,0)</f>
        <v>#N/A</v>
      </c>
    </row>
    <row r="8118" spans="7:8" ht="15" customHeight="1" x14ac:dyDescent="0.4">
      <c r="G8118" s="27">
        <f t="shared" si="138"/>
        <v>0</v>
      </c>
      <c r="H8118" s="28" t="e">
        <f>VLOOKUP(E8118,'Cadastro Produtos (kiwkiw)'!C:E,3,0)</f>
        <v>#N/A</v>
      </c>
    </row>
    <row r="8119" spans="7:8" ht="15" customHeight="1" x14ac:dyDescent="0.4">
      <c r="G8119" s="27">
        <f t="shared" si="138"/>
        <v>0</v>
      </c>
      <c r="H8119" s="28" t="e">
        <f>VLOOKUP(E8119,'Cadastro Produtos (kiwkiw)'!C:E,3,0)</f>
        <v>#N/A</v>
      </c>
    </row>
    <row r="8120" spans="7:8" ht="15" customHeight="1" x14ac:dyDescent="0.4">
      <c r="G8120" s="27">
        <f t="shared" si="138"/>
        <v>0</v>
      </c>
      <c r="H8120" s="28" t="e">
        <f>VLOOKUP(E8120,'Cadastro Produtos (kiwkiw)'!C:E,3,0)</f>
        <v>#N/A</v>
      </c>
    </row>
    <row r="8121" spans="7:8" ht="15" customHeight="1" x14ac:dyDescent="0.4">
      <c r="G8121" s="27">
        <f t="shared" si="138"/>
        <v>0</v>
      </c>
      <c r="H8121" s="28" t="e">
        <f>VLOOKUP(E8121,'Cadastro Produtos (kiwkiw)'!C:E,3,0)</f>
        <v>#N/A</v>
      </c>
    </row>
    <row r="8122" spans="7:8" ht="15" customHeight="1" x14ac:dyDescent="0.4">
      <c r="G8122" s="27">
        <f t="shared" si="138"/>
        <v>0</v>
      </c>
      <c r="H8122" s="28" t="e">
        <f>VLOOKUP(E8122,'Cadastro Produtos (kiwkiw)'!C:E,3,0)</f>
        <v>#N/A</v>
      </c>
    </row>
    <row r="8123" spans="7:8" ht="15" customHeight="1" x14ac:dyDescent="0.4">
      <c r="G8123" s="27">
        <f t="shared" si="138"/>
        <v>0</v>
      </c>
      <c r="H8123" s="28" t="e">
        <f>VLOOKUP(E8123,'Cadastro Produtos (kiwkiw)'!C:E,3,0)</f>
        <v>#N/A</v>
      </c>
    </row>
    <row r="8124" spans="7:8" ht="15" customHeight="1" x14ac:dyDescent="0.4">
      <c r="G8124" s="27">
        <f t="shared" si="138"/>
        <v>0</v>
      </c>
      <c r="H8124" s="28" t="e">
        <f>VLOOKUP(E8124,'Cadastro Produtos (kiwkiw)'!C:E,3,0)</f>
        <v>#N/A</v>
      </c>
    </row>
    <row r="8125" spans="7:8" ht="15" customHeight="1" x14ac:dyDescent="0.4">
      <c r="G8125" s="27">
        <f t="shared" si="138"/>
        <v>0</v>
      </c>
      <c r="H8125" s="28" t="e">
        <f>VLOOKUP(E8125,'Cadastro Produtos (kiwkiw)'!C:E,3,0)</f>
        <v>#N/A</v>
      </c>
    </row>
    <row r="8126" spans="7:8" ht="15" customHeight="1" x14ac:dyDescent="0.4">
      <c r="G8126" s="27">
        <f t="shared" si="138"/>
        <v>0</v>
      </c>
      <c r="H8126" s="28" t="e">
        <f>VLOOKUP(E8126,'Cadastro Produtos (kiwkiw)'!C:E,3,0)</f>
        <v>#N/A</v>
      </c>
    </row>
    <row r="8127" spans="7:8" ht="15" customHeight="1" x14ac:dyDescent="0.4">
      <c r="G8127" s="27">
        <f t="shared" si="138"/>
        <v>0</v>
      </c>
      <c r="H8127" s="28" t="e">
        <f>VLOOKUP(E8127,'Cadastro Produtos (kiwkiw)'!C:E,3,0)</f>
        <v>#N/A</v>
      </c>
    </row>
    <row r="8128" spans="7:8" ht="15" customHeight="1" x14ac:dyDescent="0.4">
      <c r="G8128" s="27">
        <f t="shared" si="138"/>
        <v>0</v>
      </c>
      <c r="H8128" s="28" t="e">
        <f>VLOOKUP(E8128,'Cadastro Produtos (kiwkiw)'!C:E,3,0)</f>
        <v>#N/A</v>
      </c>
    </row>
    <row r="8129" spans="7:8" ht="15" customHeight="1" x14ac:dyDescent="0.4">
      <c r="G8129" s="27">
        <f t="shared" si="138"/>
        <v>0</v>
      </c>
      <c r="H8129" s="28" t="e">
        <f>VLOOKUP(E8129,'Cadastro Produtos (kiwkiw)'!C:E,3,0)</f>
        <v>#N/A</v>
      </c>
    </row>
    <row r="8130" spans="7:8" ht="15" customHeight="1" x14ac:dyDescent="0.4">
      <c r="G8130" s="27">
        <f t="shared" si="138"/>
        <v>0</v>
      </c>
      <c r="H8130" s="28" t="e">
        <f>VLOOKUP(E8130,'Cadastro Produtos (kiwkiw)'!C:E,3,0)</f>
        <v>#N/A</v>
      </c>
    </row>
    <row r="8131" spans="7:8" ht="15" customHeight="1" x14ac:dyDescent="0.4">
      <c r="G8131" s="27">
        <f t="shared" si="138"/>
        <v>0</v>
      </c>
      <c r="H8131" s="28" t="e">
        <f>VLOOKUP(E8131,'Cadastro Produtos (kiwkiw)'!C:E,3,0)</f>
        <v>#N/A</v>
      </c>
    </row>
    <row r="8132" spans="7:8" ht="15" customHeight="1" x14ac:dyDescent="0.4">
      <c r="G8132" s="27">
        <f t="shared" si="138"/>
        <v>0</v>
      </c>
      <c r="H8132" s="28" t="e">
        <f>VLOOKUP(E8132,'Cadastro Produtos (kiwkiw)'!C:E,3,0)</f>
        <v>#N/A</v>
      </c>
    </row>
    <row r="8133" spans="7:8" ht="15" customHeight="1" x14ac:dyDescent="0.4">
      <c r="G8133" s="27">
        <f t="shared" si="138"/>
        <v>0</v>
      </c>
      <c r="H8133" s="28" t="e">
        <f>VLOOKUP(E8133,'Cadastro Produtos (kiwkiw)'!C:E,3,0)</f>
        <v>#N/A</v>
      </c>
    </row>
    <row r="8134" spans="7:8" ht="15" customHeight="1" x14ac:dyDescent="0.4">
      <c r="G8134" s="27">
        <f t="shared" si="138"/>
        <v>0</v>
      </c>
      <c r="H8134" s="28" t="e">
        <f>VLOOKUP(E8134,'Cadastro Produtos (kiwkiw)'!C:E,3,0)</f>
        <v>#N/A</v>
      </c>
    </row>
    <row r="8135" spans="7:8" ht="15" customHeight="1" x14ac:dyDescent="0.4">
      <c r="G8135" s="27">
        <f t="shared" si="138"/>
        <v>0</v>
      </c>
      <c r="H8135" s="28" t="e">
        <f>VLOOKUP(E8135,'Cadastro Produtos (kiwkiw)'!C:E,3,0)</f>
        <v>#N/A</v>
      </c>
    </row>
    <row r="8136" spans="7:8" ht="15" customHeight="1" x14ac:dyDescent="0.4">
      <c r="G8136" s="27">
        <f t="shared" si="138"/>
        <v>0</v>
      </c>
      <c r="H8136" s="28" t="e">
        <f>VLOOKUP(E8136,'Cadastro Produtos (kiwkiw)'!C:E,3,0)</f>
        <v>#N/A</v>
      </c>
    </row>
    <row r="8137" spans="7:8" ht="15" customHeight="1" x14ac:dyDescent="0.4">
      <c r="G8137" s="27">
        <f t="shared" si="138"/>
        <v>0</v>
      </c>
      <c r="H8137" s="28" t="e">
        <f>VLOOKUP(E8137,'Cadastro Produtos (kiwkiw)'!C:E,3,0)</f>
        <v>#N/A</v>
      </c>
    </row>
    <row r="8138" spans="7:8" ht="15" customHeight="1" x14ac:dyDescent="0.4">
      <c r="G8138" s="27">
        <f t="shared" si="138"/>
        <v>0</v>
      </c>
      <c r="H8138" s="28" t="e">
        <f>VLOOKUP(E8138,'Cadastro Produtos (kiwkiw)'!C:E,3,0)</f>
        <v>#N/A</v>
      </c>
    </row>
    <row r="8139" spans="7:8" ht="15" customHeight="1" x14ac:dyDescent="0.4">
      <c r="G8139" s="27">
        <f t="shared" si="138"/>
        <v>0</v>
      </c>
      <c r="H8139" s="28" t="e">
        <f>VLOOKUP(E8139,'Cadastro Produtos (kiwkiw)'!C:E,3,0)</f>
        <v>#N/A</v>
      </c>
    </row>
    <row r="8140" spans="7:8" ht="15" customHeight="1" x14ac:dyDescent="0.4">
      <c r="G8140" s="27">
        <f t="shared" si="138"/>
        <v>0</v>
      </c>
      <c r="H8140" s="28" t="e">
        <f>VLOOKUP(E8140,'Cadastro Produtos (kiwkiw)'!C:E,3,0)</f>
        <v>#N/A</v>
      </c>
    </row>
    <row r="8141" spans="7:8" ht="15" customHeight="1" x14ac:dyDescent="0.4">
      <c r="G8141" s="27">
        <f t="shared" si="138"/>
        <v>0</v>
      </c>
      <c r="H8141" s="28" t="e">
        <f>VLOOKUP(E8141,'Cadastro Produtos (kiwkiw)'!C:E,3,0)</f>
        <v>#N/A</v>
      </c>
    </row>
    <row r="8142" spans="7:8" ht="15" customHeight="1" x14ac:dyDescent="0.4">
      <c r="G8142" s="27">
        <f t="shared" si="138"/>
        <v>0</v>
      </c>
      <c r="H8142" s="28" t="e">
        <f>VLOOKUP(E8142,'Cadastro Produtos (kiwkiw)'!C:E,3,0)</f>
        <v>#N/A</v>
      </c>
    </row>
    <row r="8143" spans="7:8" ht="15" customHeight="1" x14ac:dyDescent="0.4">
      <c r="G8143" s="27">
        <f t="shared" si="138"/>
        <v>0</v>
      </c>
      <c r="H8143" s="28" t="e">
        <f>VLOOKUP(E8143,'Cadastro Produtos (kiwkiw)'!C:E,3,0)</f>
        <v>#N/A</v>
      </c>
    </row>
    <row r="8144" spans="7:8" ht="15" customHeight="1" x14ac:dyDescent="0.4">
      <c r="G8144" s="27">
        <f t="shared" si="138"/>
        <v>0</v>
      </c>
      <c r="H8144" s="28" t="e">
        <f>VLOOKUP(E8144,'Cadastro Produtos (kiwkiw)'!C:E,3,0)</f>
        <v>#N/A</v>
      </c>
    </row>
    <row r="8145" spans="7:8" ht="15" customHeight="1" x14ac:dyDescent="0.4">
      <c r="G8145" s="27">
        <f t="shared" si="138"/>
        <v>0</v>
      </c>
      <c r="H8145" s="28" t="e">
        <f>VLOOKUP(E8145,'Cadastro Produtos (kiwkiw)'!C:E,3,0)</f>
        <v>#N/A</v>
      </c>
    </row>
    <row r="8146" spans="7:8" ht="15" customHeight="1" x14ac:dyDescent="0.4">
      <c r="G8146" s="27">
        <f t="shared" ref="G8146:G8209" si="139">IF(C8146="Entrada",F8146,-F8146)</f>
        <v>0</v>
      </c>
      <c r="H8146" s="28" t="e">
        <f>VLOOKUP(E8146,'Cadastro Produtos (kiwkiw)'!C:E,3,0)</f>
        <v>#N/A</v>
      </c>
    </row>
    <row r="8147" spans="7:8" ht="15" customHeight="1" x14ac:dyDescent="0.4">
      <c r="G8147" s="27">
        <f t="shared" si="139"/>
        <v>0</v>
      </c>
      <c r="H8147" s="28" t="e">
        <f>VLOOKUP(E8147,'Cadastro Produtos (kiwkiw)'!C:E,3,0)</f>
        <v>#N/A</v>
      </c>
    </row>
    <row r="8148" spans="7:8" ht="15" customHeight="1" x14ac:dyDescent="0.4">
      <c r="G8148" s="27">
        <f t="shared" si="139"/>
        <v>0</v>
      </c>
      <c r="H8148" s="28" t="e">
        <f>VLOOKUP(E8148,'Cadastro Produtos (kiwkiw)'!C:E,3,0)</f>
        <v>#N/A</v>
      </c>
    </row>
    <row r="8149" spans="7:8" ht="15" customHeight="1" x14ac:dyDescent="0.4">
      <c r="G8149" s="27">
        <f t="shared" si="139"/>
        <v>0</v>
      </c>
      <c r="H8149" s="28" t="e">
        <f>VLOOKUP(E8149,'Cadastro Produtos (kiwkiw)'!C:E,3,0)</f>
        <v>#N/A</v>
      </c>
    </row>
    <row r="8150" spans="7:8" ht="15" customHeight="1" x14ac:dyDescent="0.4">
      <c r="G8150" s="27">
        <f t="shared" si="139"/>
        <v>0</v>
      </c>
      <c r="H8150" s="28" t="e">
        <f>VLOOKUP(E8150,'Cadastro Produtos (kiwkiw)'!C:E,3,0)</f>
        <v>#N/A</v>
      </c>
    </row>
    <row r="8151" spans="7:8" ht="15" customHeight="1" x14ac:dyDescent="0.4">
      <c r="G8151" s="27">
        <f t="shared" si="139"/>
        <v>0</v>
      </c>
      <c r="H8151" s="28" t="e">
        <f>VLOOKUP(E8151,'Cadastro Produtos (kiwkiw)'!C:E,3,0)</f>
        <v>#N/A</v>
      </c>
    </row>
    <row r="8152" spans="7:8" ht="15" customHeight="1" x14ac:dyDescent="0.4">
      <c r="G8152" s="27">
        <f t="shared" si="139"/>
        <v>0</v>
      </c>
      <c r="H8152" s="28" t="e">
        <f>VLOOKUP(E8152,'Cadastro Produtos (kiwkiw)'!C:E,3,0)</f>
        <v>#N/A</v>
      </c>
    </row>
    <row r="8153" spans="7:8" ht="15" customHeight="1" x14ac:dyDescent="0.4">
      <c r="G8153" s="27">
        <f t="shared" si="139"/>
        <v>0</v>
      </c>
      <c r="H8153" s="28" t="e">
        <f>VLOOKUP(E8153,'Cadastro Produtos (kiwkiw)'!C:E,3,0)</f>
        <v>#N/A</v>
      </c>
    </row>
    <row r="8154" spans="7:8" ht="15" customHeight="1" x14ac:dyDescent="0.4">
      <c r="G8154" s="27">
        <f t="shared" si="139"/>
        <v>0</v>
      </c>
      <c r="H8154" s="28" t="e">
        <f>VLOOKUP(E8154,'Cadastro Produtos (kiwkiw)'!C:E,3,0)</f>
        <v>#N/A</v>
      </c>
    </row>
    <row r="8155" spans="7:8" ht="15" customHeight="1" x14ac:dyDescent="0.4">
      <c r="G8155" s="27">
        <f t="shared" si="139"/>
        <v>0</v>
      </c>
      <c r="H8155" s="28" t="e">
        <f>VLOOKUP(E8155,'Cadastro Produtos (kiwkiw)'!C:E,3,0)</f>
        <v>#N/A</v>
      </c>
    </row>
    <row r="8156" spans="7:8" ht="15" customHeight="1" x14ac:dyDescent="0.4">
      <c r="G8156" s="27">
        <f t="shared" si="139"/>
        <v>0</v>
      </c>
      <c r="H8156" s="28" t="e">
        <f>VLOOKUP(E8156,'Cadastro Produtos (kiwkiw)'!C:E,3,0)</f>
        <v>#N/A</v>
      </c>
    </row>
    <row r="8157" spans="7:8" ht="15" customHeight="1" x14ac:dyDescent="0.4">
      <c r="G8157" s="27">
        <f t="shared" si="139"/>
        <v>0</v>
      </c>
      <c r="H8157" s="28" t="e">
        <f>VLOOKUP(E8157,'Cadastro Produtos (kiwkiw)'!C:E,3,0)</f>
        <v>#N/A</v>
      </c>
    </row>
    <row r="8158" spans="7:8" ht="15" customHeight="1" x14ac:dyDescent="0.4">
      <c r="G8158" s="27">
        <f t="shared" si="139"/>
        <v>0</v>
      </c>
      <c r="H8158" s="28" t="e">
        <f>VLOOKUP(E8158,'Cadastro Produtos (kiwkiw)'!C:E,3,0)</f>
        <v>#N/A</v>
      </c>
    </row>
    <row r="8159" spans="7:8" ht="15" customHeight="1" x14ac:dyDescent="0.4">
      <c r="G8159" s="27">
        <f t="shared" si="139"/>
        <v>0</v>
      </c>
      <c r="H8159" s="28" t="e">
        <f>VLOOKUP(E8159,'Cadastro Produtos (kiwkiw)'!C:E,3,0)</f>
        <v>#N/A</v>
      </c>
    </row>
    <row r="8160" spans="7:8" ht="15" customHeight="1" x14ac:dyDescent="0.4">
      <c r="G8160" s="27">
        <f t="shared" si="139"/>
        <v>0</v>
      </c>
      <c r="H8160" s="28" t="e">
        <f>VLOOKUP(E8160,'Cadastro Produtos (kiwkiw)'!C:E,3,0)</f>
        <v>#N/A</v>
      </c>
    </row>
    <row r="8161" spans="7:8" ht="15" customHeight="1" x14ac:dyDescent="0.4">
      <c r="G8161" s="27">
        <f t="shared" si="139"/>
        <v>0</v>
      </c>
      <c r="H8161" s="28" t="e">
        <f>VLOOKUP(E8161,'Cadastro Produtos (kiwkiw)'!C:E,3,0)</f>
        <v>#N/A</v>
      </c>
    </row>
    <row r="8162" spans="7:8" ht="15" customHeight="1" x14ac:dyDescent="0.4">
      <c r="G8162" s="27">
        <f t="shared" si="139"/>
        <v>0</v>
      </c>
      <c r="H8162" s="28" t="e">
        <f>VLOOKUP(E8162,'Cadastro Produtos (kiwkiw)'!C:E,3,0)</f>
        <v>#N/A</v>
      </c>
    </row>
    <row r="8163" spans="7:8" ht="15" customHeight="1" x14ac:dyDescent="0.4">
      <c r="G8163" s="27">
        <f t="shared" si="139"/>
        <v>0</v>
      </c>
      <c r="H8163" s="28" t="e">
        <f>VLOOKUP(E8163,'Cadastro Produtos (kiwkiw)'!C:E,3,0)</f>
        <v>#N/A</v>
      </c>
    </row>
    <row r="8164" spans="7:8" ht="15" customHeight="1" x14ac:dyDescent="0.4">
      <c r="G8164" s="27">
        <f t="shared" si="139"/>
        <v>0</v>
      </c>
      <c r="H8164" s="28" t="e">
        <f>VLOOKUP(E8164,'Cadastro Produtos (kiwkiw)'!C:E,3,0)</f>
        <v>#N/A</v>
      </c>
    </row>
    <row r="8165" spans="7:8" ht="15" customHeight="1" x14ac:dyDescent="0.4">
      <c r="G8165" s="27">
        <f t="shared" si="139"/>
        <v>0</v>
      </c>
      <c r="H8165" s="28" t="e">
        <f>VLOOKUP(E8165,'Cadastro Produtos (kiwkiw)'!C:E,3,0)</f>
        <v>#N/A</v>
      </c>
    </row>
    <row r="8166" spans="7:8" ht="15" customHeight="1" x14ac:dyDescent="0.4">
      <c r="G8166" s="27">
        <f t="shared" si="139"/>
        <v>0</v>
      </c>
      <c r="H8166" s="28" t="e">
        <f>VLOOKUP(E8166,'Cadastro Produtos (kiwkiw)'!C:E,3,0)</f>
        <v>#N/A</v>
      </c>
    </row>
    <row r="8167" spans="7:8" ht="15" customHeight="1" x14ac:dyDescent="0.4">
      <c r="G8167" s="27">
        <f t="shared" si="139"/>
        <v>0</v>
      </c>
      <c r="H8167" s="28" t="e">
        <f>VLOOKUP(E8167,'Cadastro Produtos (kiwkiw)'!C:E,3,0)</f>
        <v>#N/A</v>
      </c>
    </row>
    <row r="8168" spans="7:8" ht="15" customHeight="1" x14ac:dyDescent="0.4">
      <c r="G8168" s="27">
        <f t="shared" si="139"/>
        <v>0</v>
      </c>
      <c r="H8168" s="28" t="e">
        <f>VLOOKUP(E8168,'Cadastro Produtos (kiwkiw)'!C:E,3,0)</f>
        <v>#N/A</v>
      </c>
    </row>
    <row r="8169" spans="7:8" ht="15" customHeight="1" x14ac:dyDescent="0.4">
      <c r="G8169" s="27">
        <f t="shared" si="139"/>
        <v>0</v>
      </c>
      <c r="H8169" s="28" t="e">
        <f>VLOOKUP(E8169,'Cadastro Produtos (kiwkiw)'!C:E,3,0)</f>
        <v>#N/A</v>
      </c>
    </row>
    <row r="8170" spans="7:8" ht="15" customHeight="1" x14ac:dyDescent="0.4">
      <c r="G8170" s="27">
        <f t="shared" si="139"/>
        <v>0</v>
      </c>
      <c r="H8170" s="28" t="e">
        <f>VLOOKUP(E8170,'Cadastro Produtos (kiwkiw)'!C:E,3,0)</f>
        <v>#N/A</v>
      </c>
    </row>
    <row r="8171" spans="7:8" ht="15" customHeight="1" x14ac:dyDescent="0.4">
      <c r="G8171" s="27">
        <f t="shared" si="139"/>
        <v>0</v>
      </c>
      <c r="H8171" s="28" t="e">
        <f>VLOOKUP(E8171,'Cadastro Produtos (kiwkiw)'!C:E,3,0)</f>
        <v>#N/A</v>
      </c>
    </row>
    <row r="8172" spans="7:8" ht="15" customHeight="1" x14ac:dyDescent="0.4">
      <c r="G8172" s="27">
        <f t="shared" si="139"/>
        <v>0</v>
      </c>
      <c r="H8172" s="28" t="e">
        <f>VLOOKUP(E8172,'Cadastro Produtos (kiwkiw)'!C:E,3,0)</f>
        <v>#N/A</v>
      </c>
    </row>
    <row r="8173" spans="7:8" ht="15" customHeight="1" x14ac:dyDescent="0.4">
      <c r="G8173" s="27">
        <f t="shared" si="139"/>
        <v>0</v>
      </c>
      <c r="H8173" s="28" t="e">
        <f>VLOOKUP(E8173,'Cadastro Produtos (kiwkiw)'!C:E,3,0)</f>
        <v>#N/A</v>
      </c>
    </row>
    <row r="8174" spans="7:8" ht="15" customHeight="1" x14ac:dyDescent="0.4">
      <c r="G8174" s="27">
        <f t="shared" si="139"/>
        <v>0</v>
      </c>
      <c r="H8174" s="28" t="e">
        <f>VLOOKUP(E8174,'Cadastro Produtos (kiwkiw)'!C:E,3,0)</f>
        <v>#N/A</v>
      </c>
    </row>
    <row r="8175" spans="7:8" ht="15" customHeight="1" x14ac:dyDescent="0.4">
      <c r="G8175" s="27">
        <f t="shared" si="139"/>
        <v>0</v>
      </c>
      <c r="H8175" s="28" t="e">
        <f>VLOOKUP(E8175,'Cadastro Produtos (kiwkiw)'!C:E,3,0)</f>
        <v>#N/A</v>
      </c>
    </row>
    <row r="8176" spans="7:8" ht="15" customHeight="1" x14ac:dyDescent="0.4">
      <c r="G8176" s="27">
        <f t="shared" si="139"/>
        <v>0</v>
      </c>
      <c r="H8176" s="28" t="e">
        <f>VLOOKUP(E8176,'Cadastro Produtos (kiwkiw)'!C:E,3,0)</f>
        <v>#N/A</v>
      </c>
    </row>
    <row r="8177" spans="7:8" ht="15" customHeight="1" x14ac:dyDescent="0.4">
      <c r="G8177" s="27">
        <f t="shared" si="139"/>
        <v>0</v>
      </c>
      <c r="H8177" s="28" t="e">
        <f>VLOOKUP(E8177,'Cadastro Produtos (kiwkiw)'!C:E,3,0)</f>
        <v>#N/A</v>
      </c>
    </row>
    <row r="8178" spans="7:8" ht="15" customHeight="1" x14ac:dyDescent="0.4">
      <c r="G8178" s="27">
        <f t="shared" si="139"/>
        <v>0</v>
      </c>
      <c r="H8178" s="28" t="e">
        <f>VLOOKUP(E8178,'Cadastro Produtos (kiwkiw)'!C:E,3,0)</f>
        <v>#N/A</v>
      </c>
    </row>
    <row r="8179" spans="7:8" ht="15" customHeight="1" x14ac:dyDescent="0.4">
      <c r="G8179" s="27">
        <f t="shared" si="139"/>
        <v>0</v>
      </c>
      <c r="H8179" s="28" t="e">
        <f>VLOOKUP(E8179,'Cadastro Produtos (kiwkiw)'!C:E,3,0)</f>
        <v>#N/A</v>
      </c>
    </row>
    <row r="8180" spans="7:8" ht="15" customHeight="1" x14ac:dyDescent="0.4">
      <c r="G8180" s="27">
        <f t="shared" si="139"/>
        <v>0</v>
      </c>
      <c r="H8180" s="28" t="e">
        <f>VLOOKUP(E8180,'Cadastro Produtos (kiwkiw)'!C:E,3,0)</f>
        <v>#N/A</v>
      </c>
    </row>
    <row r="8181" spans="7:8" ht="15" customHeight="1" x14ac:dyDescent="0.4">
      <c r="G8181" s="27">
        <f t="shared" si="139"/>
        <v>0</v>
      </c>
      <c r="H8181" s="28" t="e">
        <f>VLOOKUP(E8181,'Cadastro Produtos (kiwkiw)'!C:E,3,0)</f>
        <v>#N/A</v>
      </c>
    </row>
    <row r="8182" spans="7:8" ht="15" customHeight="1" x14ac:dyDescent="0.4">
      <c r="G8182" s="27">
        <f t="shared" si="139"/>
        <v>0</v>
      </c>
      <c r="H8182" s="28" t="e">
        <f>VLOOKUP(E8182,'Cadastro Produtos (kiwkiw)'!C:E,3,0)</f>
        <v>#N/A</v>
      </c>
    </row>
    <row r="8183" spans="7:8" ht="15" customHeight="1" x14ac:dyDescent="0.4">
      <c r="G8183" s="27">
        <f t="shared" si="139"/>
        <v>0</v>
      </c>
      <c r="H8183" s="28" t="e">
        <f>VLOOKUP(E8183,'Cadastro Produtos (kiwkiw)'!C:E,3,0)</f>
        <v>#N/A</v>
      </c>
    </row>
    <row r="8184" spans="7:8" ht="15" customHeight="1" x14ac:dyDescent="0.4">
      <c r="G8184" s="27">
        <f t="shared" si="139"/>
        <v>0</v>
      </c>
      <c r="H8184" s="28" t="e">
        <f>VLOOKUP(E8184,'Cadastro Produtos (kiwkiw)'!C:E,3,0)</f>
        <v>#N/A</v>
      </c>
    </row>
    <row r="8185" spans="7:8" ht="15" customHeight="1" x14ac:dyDescent="0.4">
      <c r="G8185" s="27">
        <f t="shared" si="139"/>
        <v>0</v>
      </c>
      <c r="H8185" s="28" t="e">
        <f>VLOOKUP(E8185,'Cadastro Produtos (kiwkiw)'!C:E,3,0)</f>
        <v>#N/A</v>
      </c>
    </row>
    <row r="8186" spans="7:8" ht="15" customHeight="1" x14ac:dyDescent="0.4">
      <c r="G8186" s="27">
        <f t="shared" si="139"/>
        <v>0</v>
      </c>
      <c r="H8186" s="28" t="e">
        <f>VLOOKUP(E8186,'Cadastro Produtos (kiwkiw)'!C:E,3,0)</f>
        <v>#N/A</v>
      </c>
    </row>
    <row r="8187" spans="7:8" ht="15" customHeight="1" x14ac:dyDescent="0.4">
      <c r="G8187" s="27">
        <f t="shared" si="139"/>
        <v>0</v>
      </c>
      <c r="H8187" s="28" t="e">
        <f>VLOOKUP(E8187,'Cadastro Produtos (kiwkiw)'!C:E,3,0)</f>
        <v>#N/A</v>
      </c>
    </row>
    <row r="8188" spans="7:8" ht="15" customHeight="1" x14ac:dyDescent="0.4">
      <c r="G8188" s="27">
        <f t="shared" si="139"/>
        <v>0</v>
      </c>
      <c r="H8188" s="28" t="e">
        <f>VLOOKUP(E8188,'Cadastro Produtos (kiwkiw)'!C:E,3,0)</f>
        <v>#N/A</v>
      </c>
    </row>
    <row r="8189" spans="7:8" ht="15" customHeight="1" x14ac:dyDescent="0.4">
      <c r="G8189" s="27">
        <f t="shared" si="139"/>
        <v>0</v>
      </c>
      <c r="H8189" s="28" t="e">
        <f>VLOOKUP(E8189,'Cadastro Produtos (kiwkiw)'!C:E,3,0)</f>
        <v>#N/A</v>
      </c>
    </row>
    <row r="8190" spans="7:8" ht="15" customHeight="1" x14ac:dyDescent="0.4">
      <c r="G8190" s="27">
        <f t="shared" si="139"/>
        <v>0</v>
      </c>
      <c r="H8190" s="28" t="e">
        <f>VLOOKUP(E8190,'Cadastro Produtos (kiwkiw)'!C:E,3,0)</f>
        <v>#N/A</v>
      </c>
    </row>
    <row r="8191" spans="7:8" ht="15" customHeight="1" x14ac:dyDescent="0.4">
      <c r="G8191" s="27">
        <f t="shared" si="139"/>
        <v>0</v>
      </c>
      <c r="H8191" s="28" t="e">
        <f>VLOOKUP(E8191,'Cadastro Produtos (kiwkiw)'!C:E,3,0)</f>
        <v>#N/A</v>
      </c>
    </row>
    <row r="8192" spans="7:8" ht="15" customHeight="1" x14ac:dyDescent="0.4">
      <c r="G8192" s="27">
        <f t="shared" si="139"/>
        <v>0</v>
      </c>
      <c r="H8192" s="28" t="e">
        <f>VLOOKUP(E8192,'Cadastro Produtos (kiwkiw)'!C:E,3,0)</f>
        <v>#N/A</v>
      </c>
    </row>
    <row r="8193" spans="7:8" ht="15" customHeight="1" x14ac:dyDescent="0.4">
      <c r="G8193" s="27">
        <f t="shared" si="139"/>
        <v>0</v>
      </c>
      <c r="H8193" s="28" t="e">
        <f>VLOOKUP(E8193,'Cadastro Produtos (kiwkiw)'!C:E,3,0)</f>
        <v>#N/A</v>
      </c>
    </row>
    <row r="8194" spans="7:8" ht="15" customHeight="1" x14ac:dyDescent="0.4">
      <c r="G8194" s="27">
        <f t="shared" si="139"/>
        <v>0</v>
      </c>
      <c r="H8194" s="28" t="e">
        <f>VLOOKUP(E8194,'Cadastro Produtos (kiwkiw)'!C:E,3,0)</f>
        <v>#N/A</v>
      </c>
    </row>
    <row r="8195" spans="7:8" ht="15" customHeight="1" x14ac:dyDescent="0.4">
      <c r="G8195" s="27">
        <f t="shared" si="139"/>
        <v>0</v>
      </c>
      <c r="H8195" s="28" t="e">
        <f>VLOOKUP(E8195,'Cadastro Produtos (kiwkiw)'!C:E,3,0)</f>
        <v>#N/A</v>
      </c>
    </row>
    <row r="8196" spans="7:8" ht="15" customHeight="1" x14ac:dyDescent="0.4">
      <c r="G8196" s="27">
        <f t="shared" si="139"/>
        <v>0</v>
      </c>
      <c r="H8196" s="28" t="e">
        <f>VLOOKUP(E8196,'Cadastro Produtos (kiwkiw)'!C:E,3,0)</f>
        <v>#N/A</v>
      </c>
    </row>
    <row r="8197" spans="7:8" ht="15" customHeight="1" x14ac:dyDescent="0.4">
      <c r="G8197" s="27">
        <f t="shared" si="139"/>
        <v>0</v>
      </c>
      <c r="H8197" s="28" t="e">
        <f>VLOOKUP(E8197,'Cadastro Produtos (kiwkiw)'!C:E,3,0)</f>
        <v>#N/A</v>
      </c>
    </row>
    <row r="8198" spans="7:8" ht="15" customHeight="1" x14ac:dyDescent="0.4">
      <c r="G8198" s="27">
        <f t="shared" si="139"/>
        <v>0</v>
      </c>
      <c r="H8198" s="28" t="e">
        <f>VLOOKUP(E8198,'Cadastro Produtos (kiwkiw)'!C:E,3,0)</f>
        <v>#N/A</v>
      </c>
    </row>
    <row r="8199" spans="7:8" ht="15" customHeight="1" x14ac:dyDescent="0.4">
      <c r="G8199" s="27">
        <f t="shared" si="139"/>
        <v>0</v>
      </c>
      <c r="H8199" s="28" t="e">
        <f>VLOOKUP(E8199,'Cadastro Produtos (kiwkiw)'!C:E,3,0)</f>
        <v>#N/A</v>
      </c>
    </row>
    <row r="8200" spans="7:8" ht="15" customHeight="1" x14ac:dyDescent="0.4">
      <c r="G8200" s="27">
        <f t="shared" si="139"/>
        <v>0</v>
      </c>
      <c r="H8200" s="28" t="e">
        <f>VLOOKUP(E8200,'Cadastro Produtos (kiwkiw)'!C:E,3,0)</f>
        <v>#N/A</v>
      </c>
    </row>
    <row r="8201" spans="7:8" ht="15" customHeight="1" x14ac:dyDescent="0.4">
      <c r="G8201" s="27">
        <f t="shared" si="139"/>
        <v>0</v>
      </c>
      <c r="H8201" s="28" t="e">
        <f>VLOOKUP(E8201,'Cadastro Produtos (kiwkiw)'!C:E,3,0)</f>
        <v>#N/A</v>
      </c>
    </row>
    <row r="8202" spans="7:8" ht="15" customHeight="1" x14ac:dyDescent="0.4">
      <c r="G8202" s="27">
        <f t="shared" si="139"/>
        <v>0</v>
      </c>
      <c r="H8202" s="28" t="e">
        <f>VLOOKUP(E8202,'Cadastro Produtos (kiwkiw)'!C:E,3,0)</f>
        <v>#N/A</v>
      </c>
    </row>
    <row r="8203" spans="7:8" ht="15" customHeight="1" x14ac:dyDescent="0.4">
      <c r="G8203" s="27">
        <f t="shared" si="139"/>
        <v>0</v>
      </c>
      <c r="H8203" s="28" t="e">
        <f>VLOOKUP(E8203,'Cadastro Produtos (kiwkiw)'!C:E,3,0)</f>
        <v>#N/A</v>
      </c>
    </row>
    <row r="8204" spans="7:8" ht="15" customHeight="1" x14ac:dyDescent="0.4">
      <c r="G8204" s="27">
        <f t="shared" si="139"/>
        <v>0</v>
      </c>
      <c r="H8204" s="28" t="e">
        <f>VLOOKUP(E8204,'Cadastro Produtos (kiwkiw)'!C:E,3,0)</f>
        <v>#N/A</v>
      </c>
    </row>
    <row r="8205" spans="7:8" ht="15" customHeight="1" x14ac:dyDescent="0.4">
      <c r="G8205" s="27">
        <f t="shared" si="139"/>
        <v>0</v>
      </c>
      <c r="H8205" s="28" t="e">
        <f>VLOOKUP(E8205,'Cadastro Produtos (kiwkiw)'!C:E,3,0)</f>
        <v>#N/A</v>
      </c>
    </row>
    <row r="8206" spans="7:8" ht="15" customHeight="1" x14ac:dyDescent="0.4">
      <c r="G8206" s="27">
        <f t="shared" si="139"/>
        <v>0</v>
      </c>
      <c r="H8206" s="28" t="e">
        <f>VLOOKUP(E8206,'Cadastro Produtos (kiwkiw)'!C:E,3,0)</f>
        <v>#N/A</v>
      </c>
    </row>
    <row r="8207" spans="7:8" ht="15" customHeight="1" x14ac:dyDescent="0.4">
      <c r="G8207" s="27">
        <f t="shared" si="139"/>
        <v>0</v>
      </c>
      <c r="H8207" s="28" t="e">
        <f>VLOOKUP(E8207,'Cadastro Produtos (kiwkiw)'!C:E,3,0)</f>
        <v>#N/A</v>
      </c>
    </row>
    <row r="8208" spans="7:8" ht="15" customHeight="1" x14ac:dyDescent="0.4">
      <c r="G8208" s="27">
        <f t="shared" si="139"/>
        <v>0</v>
      </c>
      <c r="H8208" s="28" t="e">
        <f>VLOOKUP(E8208,'Cadastro Produtos (kiwkiw)'!C:E,3,0)</f>
        <v>#N/A</v>
      </c>
    </row>
    <row r="8209" spans="7:8" ht="15" customHeight="1" x14ac:dyDescent="0.4">
      <c r="G8209" s="27">
        <f t="shared" si="139"/>
        <v>0</v>
      </c>
      <c r="H8209" s="28" t="e">
        <f>VLOOKUP(E8209,'Cadastro Produtos (kiwkiw)'!C:E,3,0)</f>
        <v>#N/A</v>
      </c>
    </row>
    <row r="8210" spans="7:8" ht="15" customHeight="1" x14ac:dyDescent="0.4">
      <c r="G8210" s="27">
        <f t="shared" ref="G8210:G8273" si="140">IF(C8210="Entrada",F8210,-F8210)</f>
        <v>0</v>
      </c>
      <c r="H8210" s="28" t="e">
        <f>VLOOKUP(E8210,'Cadastro Produtos (kiwkiw)'!C:E,3,0)</f>
        <v>#N/A</v>
      </c>
    </row>
    <row r="8211" spans="7:8" ht="15" customHeight="1" x14ac:dyDescent="0.4">
      <c r="G8211" s="27">
        <f t="shared" si="140"/>
        <v>0</v>
      </c>
      <c r="H8211" s="28" t="e">
        <f>VLOOKUP(E8211,'Cadastro Produtos (kiwkiw)'!C:E,3,0)</f>
        <v>#N/A</v>
      </c>
    </row>
    <row r="8212" spans="7:8" ht="15" customHeight="1" x14ac:dyDescent="0.4">
      <c r="G8212" s="27">
        <f t="shared" si="140"/>
        <v>0</v>
      </c>
      <c r="H8212" s="28" t="e">
        <f>VLOOKUP(E8212,'Cadastro Produtos (kiwkiw)'!C:E,3,0)</f>
        <v>#N/A</v>
      </c>
    </row>
    <row r="8213" spans="7:8" ht="15" customHeight="1" x14ac:dyDescent="0.4">
      <c r="G8213" s="27">
        <f t="shared" si="140"/>
        <v>0</v>
      </c>
      <c r="H8213" s="28" t="e">
        <f>VLOOKUP(E8213,'Cadastro Produtos (kiwkiw)'!C:E,3,0)</f>
        <v>#N/A</v>
      </c>
    </row>
    <row r="8214" spans="7:8" ht="15" customHeight="1" x14ac:dyDescent="0.4">
      <c r="G8214" s="27">
        <f t="shared" si="140"/>
        <v>0</v>
      </c>
      <c r="H8214" s="28" t="e">
        <f>VLOOKUP(E8214,'Cadastro Produtos (kiwkiw)'!C:E,3,0)</f>
        <v>#N/A</v>
      </c>
    </row>
    <row r="8215" spans="7:8" ht="15" customHeight="1" x14ac:dyDescent="0.4">
      <c r="G8215" s="27">
        <f t="shared" si="140"/>
        <v>0</v>
      </c>
      <c r="H8215" s="28" t="e">
        <f>VLOOKUP(E8215,'Cadastro Produtos (kiwkiw)'!C:E,3,0)</f>
        <v>#N/A</v>
      </c>
    </row>
    <row r="8216" spans="7:8" ht="15" customHeight="1" x14ac:dyDescent="0.4">
      <c r="G8216" s="27">
        <f t="shared" si="140"/>
        <v>0</v>
      </c>
      <c r="H8216" s="28" t="e">
        <f>VLOOKUP(E8216,'Cadastro Produtos (kiwkiw)'!C:E,3,0)</f>
        <v>#N/A</v>
      </c>
    </row>
    <row r="8217" spans="7:8" ht="15" customHeight="1" x14ac:dyDescent="0.4">
      <c r="G8217" s="27">
        <f t="shared" si="140"/>
        <v>0</v>
      </c>
      <c r="H8217" s="28" t="e">
        <f>VLOOKUP(E8217,'Cadastro Produtos (kiwkiw)'!C:E,3,0)</f>
        <v>#N/A</v>
      </c>
    </row>
    <row r="8218" spans="7:8" ht="15" customHeight="1" x14ac:dyDescent="0.4">
      <c r="G8218" s="27">
        <f t="shared" si="140"/>
        <v>0</v>
      </c>
      <c r="H8218" s="28" t="e">
        <f>VLOOKUP(E8218,'Cadastro Produtos (kiwkiw)'!C:E,3,0)</f>
        <v>#N/A</v>
      </c>
    </row>
    <row r="8219" spans="7:8" ht="15" customHeight="1" x14ac:dyDescent="0.4">
      <c r="G8219" s="27">
        <f t="shared" si="140"/>
        <v>0</v>
      </c>
      <c r="H8219" s="28" t="e">
        <f>VLOOKUP(E8219,'Cadastro Produtos (kiwkiw)'!C:E,3,0)</f>
        <v>#N/A</v>
      </c>
    </row>
    <row r="8220" spans="7:8" ht="15" customHeight="1" x14ac:dyDescent="0.4">
      <c r="G8220" s="27">
        <f t="shared" si="140"/>
        <v>0</v>
      </c>
      <c r="H8220" s="28" t="e">
        <f>VLOOKUP(E8220,'Cadastro Produtos (kiwkiw)'!C:E,3,0)</f>
        <v>#N/A</v>
      </c>
    </row>
    <row r="8221" spans="7:8" ht="15" customHeight="1" x14ac:dyDescent="0.4">
      <c r="G8221" s="27">
        <f t="shared" si="140"/>
        <v>0</v>
      </c>
      <c r="H8221" s="28" t="e">
        <f>VLOOKUP(E8221,'Cadastro Produtos (kiwkiw)'!C:E,3,0)</f>
        <v>#N/A</v>
      </c>
    </row>
    <row r="8222" spans="7:8" ht="15" customHeight="1" x14ac:dyDescent="0.4">
      <c r="G8222" s="27">
        <f t="shared" si="140"/>
        <v>0</v>
      </c>
      <c r="H8222" s="28" t="e">
        <f>VLOOKUP(E8222,'Cadastro Produtos (kiwkiw)'!C:E,3,0)</f>
        <v>#N/A</v>
      </c>
    </row>
    <row r="8223" spans="7:8" ht="15" customHeight="1" x14ac:dyDescent="0.4">
      <c r="G8223" s="27">
        <f t="shared" si="140"/>
        <v>0</v>
      </c>
      <c r="H8223" s="28" t="e">
        <f>VLOOKUP(E8223,'Cadastro Produtos (kiwkiw)'!C:E,3,0)</f>
        <v>#N/A</v>
      </c>
    </row>
    <row r="8224" spans="7:8" ht="15" customHeight="1" x14ac:dyDescent="0.4">
      <c r="G8224" s="27">
        <f t="shared" si="140"/>
        <v>0</v>
      </c>
      <c r="H8224" s="28" t="e">
        <f>VLOOKUP(E8224,'Cadastro Produtos (kiwkiw)'!C:E,3,0)</f>
        <v>#N/A</v>
      </c>
    </row>
    <row r="8225" spans="7:8" ht="15" customHeight="1" x14ac:dyDescent="0.4">
      <c r="G8225" s="27">
        <f t="shared" si="140"/>
        <v>0</v>
      </c>
      <c r="H8225" s="28" t="e">
        <f>VLOOKUP(E8225,'Cadastro Produtos (kiwkiw)'!C:E,3,0)</f>
        <v>#N/A</v>
      </c>
    </row>
    <row r="8226" spans="7:8" ht="15" customHeight="1" x14ac:dyDescent="0.4">
      <c r="G8226" s="27">
        <f t="shared" si="140"/>
        <v>0</v>
      </c>
      <c r="H8226" s="28" t="e">
        <f>VLOOKUP(E8226,'Cadastro Produtos (kiwkiw)'!C:E,3,0)</f>
        <v>#N/A</v>
      </c>
    </row>
    <row r="8227" spans="7:8" ht="15" customHeight="1" x14ac:dyDescent="0.4">
      <c r="G8227" s="27">
        <f t="shared" si="140"/>
        <v>0</v>
      </c>
      <c r="H8227" s="28" t="e">
        <f>VLOOKUP(E8227,'Cadastro Produtos (kiwkiw)'!C:E,3,0)</f>
        <v>#N/A</v>
      </c>
    </row>
    <row r="8228" spans="7:8" ht="15" customHeight="1" x14ac:dyDescent="0.4">
      <c r="G8228" s="27">
        <f t="shared" si="140"/>
        <v>0</v>
      </c>
      <c r="H8228" s="28" t="e">
        <f>VLOOKUP(E8228,'Cadastro Produtos (kiwkiw)'!C:E,3,0)</f>
        <v>#N/A</v>
      </c>
    </row>
    <row r="8229" spans="7:8" ht="15" customHeight="1" x14ac:dyDescent="0.4">
      <c r="G8229" s="27">
        <f t="shared" si="140"/>
        <v>0</v>
      </c>
      <c r="H8229" s="28" t="e">
        <f>VLOOKUP(E8229,'Cadastro Produtos (kiwkiw)'!C:E,3,0)</f>
        <v>#N/A</v>
      </c>
    </row>
    <row r="8230" spans="7:8" ht="15" customHeight="1" x14ac:dyDescent="0.4">
      <c r="G8230" s="27">
        <f t="shared" si="140"/>
        <v>0</v>
      </c>
      <c r="H8230" s="28" t="e">
        <f>VLOOKUP(E8230,'Cadastro Produtos (kiwkiw)'!C:E,3,0)</f>
        <v>#N/A</v>
      </c>
    </row>
    <row r="8231" spans="7:8" ht="15" customHeight="1" x14ac:dyDescent="0.4">
      <c r="G8231" s="27">
        <f t="shared" si="140"/>
        <v>0</v>
      </c>
      <c r="H8231" s="28" t="e">
        <f>VLOOKUP(E8231,'Cadastro Produtos (kiwkiw)'!C:E,3,0)</f>
        <v>#N/A</v>
      </c>
    </row>
    <row r="8232" spans="7:8" ht="15" customHeight="1" x14ac:dyDescent="0.4">
      <c r="G8232" s="27">
        <f t="shared" si="140"/>
        <v>0</v>
      </c>
      <c r="H8232" s="28" t="e">
        <f>VLOOKUP(E8232,'Cadastro Produtos (kiwkiw)'!C:E,3,0)</f>
        <v>#N/A</v>
      </c>
    </row>
    <row r="8233" spans="7:8" ht="15" customHeight="1" x14ac:dyDescent="0.4">
      <c r="G8233" s="27">
        <f t="shared" si="140"/>
        <v>0</v>
      </c>
      <c r="H8233" s="28" t="e">
        <f>VLOOKUP(E8233,'Cadastro Produtos (kiwkiw)'!C:E,3,0)</f>
        <v>#N/A</v>
      </c>
    </row>
    <row r="8234" spans="7:8" ht="15" customHeight="1" x14ac:dyDescent="0.4">
      <c r="G8234" s="27">
        <f t="shared" si="140"/>
        <v>0</v>
      </c>
      <c r="H8234" s="28" t="e">
        <f>VLOOKUP(E8234,'Cadastro Produtos (kiwkiw)'!C:E,3,0)</f>
        <v>#N/A</v>
      </c>
    </row>
    <row r="8235" spans="7:8" ht="15" customHeight="1" x14ac:dyDescent="0.4">
      <c r="G8235" s="27">
        <f t="shared" si="140"/>
        <v>0</v>
      </c>
      <c r="H8235" s="28" t="e">
        <f>VLOOKUP(E8235,'Cadastro Produtos (kiwkiw)'!C:E,3,0)</f>
        <v>#N/A</v>
      </c>
    </row>
    <row r="8236" spans="7:8" ht="15" customHeight="1" x14ac:dyDescent="0.4">
      <c r="G8236" s="27">
        <f t="shared" si="140"/>
        <v>0</v>
      </c>
      <c r="H8236" s="28" t="e">
        <f>VLOOKUP(E8236,'Cadastro Produtos (kiwkiw)'!C:E,3,0)</f>
        <v>#N/A</v>
      </c>
    </row>
    <row r="8237" spans="7:8" ht="15" customHeight="1" x14ac:dyDescent="0.4">
      <c r="G8237" s="27">
        <f t="shared" si="140"/>
        <v>0</v>
      </c>
      <c r="H8237" s="28" t="e">
        <f>VLOOKUP(E8237,'Cadastro Produtos (kiwkiw)'!C:E,3,0)</f>
        <v>#N/A</v>
      </c>
    </row>
    <row r="8238" spans="7:8" ht="15" customHeight="1" x14ac:dyDescent="0.4">
      <c r="G8238" s="27">
        <f t="shared" si="140"/>
        <v>0</v>
      </c>
      <c r="H8238" s="28" t="e">
        <f>VLOOKUP(E8238,'Cadastro Produtos (kiwkiw)'!C:E,3,0)</f>
        <v>#N/A</v>
      </c>
    </row>
    <row r="8239" spans="7:8" ht="15" customHeight="1" x14ac:dyDescent="0.4">
      <c r="G8239" s="27">
        <f t="shared" si="140"/>
        <v>0</v>
      </c>
      <c r="H8239" s="28" t="e">
        <f>VLOOKUP(E8239,'Cadastro Produtos (kiwkiw)'!C:E,3,0)</f>
        <v>#N/A</v>
      </c>
    </row>
    <row r="8240" spans="7:8" ht="15" customHeight="1" x14ac:dyDescent="0.4">
      <c r="G8240" s="27">
        <f t="shared" si="140"/>
        <v>0</v>
      </c>
      <c r="H8240" s="28" t="e">
        <f>VLOOKUP(E8240,'Cadastro Produtos (kiwkiw)'!C:E,3,0)</f>
        <v>#N/A</v>
      </c>
    </row>
    <row r="8241" spans="7:8" ht="15" customHeight="1" x14ac:dyDescent="0.4">
      <c r="G8241" s="27">
        <f t="shared" si="140"/>
        <v>0</v>
      </c>
      <c r="H8241" s="28" t="e">
        <f>VLOOKUP(E8241,'Cadastro Produtos (kiwkiw)'!C:E,3,0)</f>
        <v>#N/A</v>
      </c>
    </row>
    <row r="8242" spans="7:8" ht="15" customHeight="1" x14ac:dyDescent="0.4">
      <c r="G8242" s="27">
        <f t="shared" si="140"/>
        <v>0</v>
      </c>
      <c r="H8242" s="28" t="e">
        <f>VLOOKUP(E8242,'Cadastro Produtos (kiwkiw)'!C:E,3,0)</f>
        <v>#N/A</v>
      </c>
    </row>
    <row r="8243" spans="7:8" ht="15" customHeight="1" x14ac:dyDescent="0.4">
      <c r="G8243" s="27">
        <f t="shared" si="140"/>
        <v>0</v>
      </c>
      <c r="H8243" s="28" t="e">
        <f>VLOOKUP(E8243,'Cadastro Produtos (kiwkiw)'!C:E,3,0)</f>
        <v>#N/A</v>
      </c>
    </row>
    <row r="8244" spans="7:8" ht="15" customHeight="1" x14ac:dyDescent="0.4">
      <c r="G8244" s="27">
        <f t="shared" si="140"/>
        <v>0</v>
      </c>
      <c r="H8244" s="28" t="e">
        <f>VLOOKUP(E8244,'Cadastro Produtos (kiwkiw)'!C:E,3,0)</f>
        <v>#N/A</v>
      </c>
    </row>
    <row r="8245" spans="7:8" ht="15" customHeight="1" x14ac:dyDescent="0.4">
      <c r="G8245" s="27">
        <f t="shared" si="140"/>
        <v>0</v>
      </c>
      <c r="H8245" s="28" t="e">
        <f>VLOOKUP(E8245,'Cadastro Produtos (kiwkiw)'!C:E,3,0)</f>
        <v>#N/A</v>
      </c>
    </row>
    <row r="8246" spans="7:8" ht="15" customHeight="1" x14ac:dyDescent="0.4">
      <c r="G8246" s="27">
        <f t="shared" si="140"/>
        <v>0</v>
      </c>
      <c r="H8246" s="28" t="e">
        <f>VLOOKUP(E8246,'Cadastro Produtos (kiwkiw)'!C:E,3,0)</f>
        <v>#N/A</v>
      </c>
    </row>
    <row r="8247" spans="7:8" ht="15" customHeight="1" x14ac:dyDescent="0.4">
      <c r="G8247" s="27">
        <f t="shared" si="140"/>
        <v>0</v>
      </c>
      <c r="H8247" s="28" t="e">
        <f>VLOOKUP(E8247,'Cadastro Produtos (kiwkiw)'!C:E,3,0)</f>
        <v>#N/A</v>
      </c>
    </row>
    <row r="8248" spans="7:8" ht="15" customHeight="1" x14ac:dyDescent="0.4">
      <c r="G8248" s="27">
        <f t="shared" si="140"/>
        <v>0</v>
      </c>
      <c r="H8248" s="28" t="e">
        <f>VLOOKUP(E8248,'Cadastro Produtos (kiwkiw)'!C:E,3,0)</f>
        <v>#N/A</v>
      </c>
    </row>
    <row r="8249" spans="7:8" ht="15" customHeight="1" x14ac:dyDescent="0.4">
      <c r="G8249" s="27">
        <f t="shared" si="140"/>
        <v>0</v>
      </c>
      <c r="H8249" s="28" t="e">
        <f>VLOOKUP(E8249,'Cadastro Produtos (kiwkiw)'!C:E,3,0)</f>
        <v>#N/A</v>
      </c>
    </row>
    <row r="8250" spans="7:8" ht="15" customHeight="1" x14ac:dyDescent="0.4">
      <c r="G8250" s="27">
        <f t="shared" si="140"/>
        <v>0</v>
      </c>
      <c r="H8250" s="28" t="e">
        <f>VLOOKUP(E8250,'Cadastro Produtos (kiwkiw)'!C:E,3,0)</f>
        <v>#N/A</v>
      </c>
    </row>
    <row r="8251" spans="7:8" ht="15" customHeight="1" x14ac:dyDescent="0.4">
      <c r="G8251" s="27">
        <f t="shared" si="140"/>
        <v>0</v>
      </c>
      <c r="H8251" s="28" t="e">
        <f>VLOOKUP(E8251,'Cadastro Produtos (kiwkiw)'!C:E,3,0)</f>
        <v>#N/A</v>
      </c>
    </row>
    <row r="8252" spans="7:8" ht="15" customHeight="1" x14ac:dyDescent="0.4">
      <c r="G8252" s="27">
        <f t="shared" si="140"/>
        <v>0</v>
      </c>
      <c r="H8252" s="28" t="e">
        <f>VLOOKUP(E8252,'Cadastro Produtos (kiwkiw)'!C:E,3,0)</f>
        <v>#N/A</v>
      </c>
    </row>
    <row r="8253" spans="7:8" ht="15" customHeight="1" x14ac:dyDescent="0.4">
      <c r="G8253" s="27">
        <f t="shared" si="140"/>
        <v>0</v>
      </c>
      <c r="H8253" s="28" t="e">
        <f>VLOOKUP(E8253,'Cadastro Produtos (kiwkiw)'!C:E,3,0)</f>
        <v>#N/A</v>
      </c>
    </row>
    <row r="8254" spans="7:8" ht="15" customHeight="1" x14ac:dyDescent="0.4">
      <c r="G8254" s="27">
        <f t="shared" si="140"/>
        <v>0</v>
      </c>
      <c r="H8254" s="28" t="e">
        <f>VLOOKUP(E8254,'Cadastro Produtos (kiwkiw)'!C:E,3,0)</f>
        <v>#N/A</v>
      </c>
    </row>
    <row r="8255" spans="7:8" ht="15" customHeight="1" x14ac:dyDescent="0.4">
      <c r="G8255" s="27">
        <f t="shared" si="140"/>
        <v>0</v>
      </c>
      <c r="H8255" s="28" t="e">
        <f>VLOOKUP(E8255,'Cadastro Produtos (kiwkiw)'!C:E,3,0)</f>
        <v>#N/A</v>
      </c>
    </row>
    <row r="8256" spans="7:8" ht="15" customHeight="1" x14ac:dyDescent="0.4">
      <c r="G8256" s="27">
        <f t="shared" si="140"/>
        <v>0</v>
      </c>
      <c r="H8256" s="28" t="e">
        <f>VLOOKUP(E8256,'Cadastro Produtos (kiwkiw)'!C:E,3,0)</f>
        <v>#N/A</v>
      </c>
    </row>
    <row r="8257" spans="7:8" ht="15" customHeight="1" x14ac:dyDescent="0.4">
      <c r="G8257" s="27">
        <f t="shared" si="140"/>
        <v>0</v>
      </c>
      <c r="H8257" s="28" t="e">
        <f>VLOOKUP(E8257,'Cadastro Produtos (kiwkiw)'!C:E,3,0)</f>
        <v>#N/A</v>
      </c>
    </row>
    <row r="8258" spans="7:8" ht="15" customHeight="1" x14ac:dyDescent="0.4">
      <c r="G8258" s="27">
        <f t="shared" si="140"/>
        <v>0</v>
      </c>
      <c r="H8258" s="28" t="e">
        <f>VLOOKUP(E8258,'Cadastro Produtos (kiwkiw)'!C:E,3,0)</f>
        <v>#N/A</v>
      </c>
    </row>
    <row r="8259" spans="7:8" ht="15" customHeight="1" x14ac:dyDescent="0.4">
      <c r="G8259" s="27">
        <f t="shared" si="140"/>
        <v>0</v>
      </c>
      <c r="H8259" s="28" t="e">
        <f>VLOOKUP(E8259,'Cadastro Produtos (kiwkiw)'!C:E,3,0)</f>
        <v>#N/A</v>
      </c>
    </row>
    <row r="8260" spans="7:8" ht="15" customHeight="1" x14ac:dyDescent="0.4">
      <c r="G8260" s="27">
        <f t="shared" si="140"/>
        <v>0</v>
      </c>
      <c r="H8260" s="28" t="e">
        <f>VLOOKUP(E8260,'Cadastro Produtos (kiwkiw)'!C:E,3,0)</f>
        <v>#N/A</v>
      </c>
    </row>
    <row r="8261" spans="7:8" ht="15" customHeight="1" x14ac:dyDescent="0.4">
      <c r="G8261" s="27">
        <f t="shared" si="140"/>
        <v>0</v>
      </c>
      <c r="H8261" s="28" t="e">
        <f>VLOOKUP(E8261,'Cadastro Produtos (kiwkiw)'!C:E,3,0)</f>
        <v>#N/A</v>
      </c>
    </row>
    <row r="8262" spans="7:8" ht="15" customHeight="1" x14ac:dyDescent="0.4">
      <c r="G8262" s="27">
        <f t="shared" si="140"/>
        <v>0</v>
      </c>
      <c r="H8262" s="28" t="e">
        <f>VLOOKUP(E8262,'Cadastro Produtos (kiwkiw)'!C:E,3,0)</f>
        <v>#N/A</v>
      </c>
    </row>
    <row r="8263" spans="7:8" ht="15" customHeight="1" x14ac:dyDescent="0.4">
      <c r="G8263" s="27">
        <f t="shared" si="140"/>
        <v>0</v>
      </c>
      <c r="H8263" s="28" t="e">
        <f>VLOOKUP(E8263,'Cadastro Produtos (kiwkiw)'!C:E,3,0)</f>
        <v>#N/A</v>
      </c>
    </row>
    <row r="8264" spans="7:8" ht="15" customHeight="1" x14ac:dyDescent="0.4">
      <c r="G8264" s="27">
        <f t="shared" si="140"/>
        <v>0</v>
      </c>
      <c r="H8264" s="28" t="e">
        <f>VLOOKUP(E8264,'Cadastro Produtos (kiwkiw)'!C:E,3,0)</f>
        <v>#N/A</v>
      </c>
    </row>
    <row r="8265" spans="7:8" ht="15" customHeight="1" x14ac:dyDescent="0.4">
      <c r="G8265" s="27">
        <f t="shared" si="140"/>
        <v>0</v>
      </c>
      <c r="H8265" s="28" t="e">
        <f>VLOOKUP(E8265,'Cadastro Produtos (kiwkiw)'!C:E,3,0)</f>
        <v>#N/A</v>
      </c>
    </row>
    <row r="8266" spans="7:8" ht="15" customHeight="1" x14ac:dyDescent="0.4">
      <c r="G8266" s="27">
        <f t="shared" si="140"/>
        <v>0</v>
      </c>
      <c r="H8266" s="28" t="e">
        <f>VLOOKUP(E8266,'Cadastro Produtos (kiwkiw)'!C:E,3,0)</f>
        <v>#N/A</v>
      </c>
    </row>
    <row r="8267" spans="7:8" ht="15" customHeight="1" x14ac:dyDescent="0.4">
      <c r="G8267" s="27">
        <f t="shared" si="140"/>
        <v>0</v>
      </c>
      <c r="H8267" s="28" t="e">
        <f>VLOOKUP(E8267,'Cadastro Produtos (kiwkiw)'!C:E,3,0)</f>
        <v>#N/A</v>
      </c>
    </row>
    <row r="8268" spans="7:8" ht="15" customHeight="1" x14ac:dyDescent="0.4">
      <c r="G8268" s="27">
        <f t="shared" si="140"/>
        <v>0</v>
      </c>
      <c r="H8268" s="28" t="e">
        <f>VLOOKUP(E8268,'Cadastro Produtos (kiwkiw)'!C:E,3,0)</f>
        <v>#N/A</v>
      </c>
    </row>
    <row r="8269" spans="7:8" ht="15" customHeight="1" x14ac:dyDescent="0.4">
      <c r="G8269" s="27">
        <f t="shared" si="140"/>
        <v>0</v>
      </c>
      <c r="H8269" s="28" t="e">
        <f>VLOOKUP(E8269,'Cadastro Produtos (kiwkiw)'!C:E,3,0)</f>
        <v>#N/A</v>
      </c>
    </row>
    <row r="8270" spans="7:8" ht="15" customHeight="1" x14ac:dyDescent="0.4">
      <c r="G8270" s="27">
        <f t="shared" si="140"/>
        <v>0</v>
      </c>
      <c r="H8270" s="28" t="e">
        <f>VLOOKUP(E8270,'Cadastro Produtos (kiwkiw)'!C:E,3,0)</f>
        <v>#N/A</v>
      </c>
    </row>
    <row r="8271" spans="7:8" ht="15" customHeight="1" x14ac:dyDescent="0.4">
      <c r="G8271" s="27">
        <f t="shared" si="140"/>
        <v>0</v>
      </c>
      <c r="H8271" s="28" t="e">
        <f>VLOOKUP(E8271,'Cadastro Produtos (kiwkiw)'!C:E,3,0)</f>
        <v>#N/A</v>
      </c>
    </row>
    <row r="8272" spans="7:8" ht="15" customHeight="1" x14ac:dyDescent="0.4">
      <c r="G8272" s="27">
        <f t="shared" si="140"/>
        <v>0</v>
      </c>
      <c r="H8272" s="28" t="e">
        <f>VLOOKUP(E8272,'Cadastro Produtos (kiwkiw)'!C:E,3,0)</f>
        <v>#N/A</v>
      </c>
    </row>
    <row r="8273" spans="7:8" ht="15" customHeight="1" x14ac:dyDescent="0.4">
      <c r="G8273" s="27">
        <f t="shared" si="140"/>
        <v>0</v>
      </c>
      <c r="H8273" s="28" t="e">
        <f>VLOOKUP(E8273,'Cadastro Produtos (kiwkiw)'!C:E,3,0)</f>
        <v>#N/A</v>
      </c>
    </row>
    <row r="8274" spans="7:8" ht="15" customHeight="1" x14ac:dyDescent="0.4">
      <c r="G8274" s="27">
        <f t="shared" ref="G8274:G8337" si="141">IF(C8274="Entrada",F8274,-F8274)</f>
        <v>0</v>
      </c>
      <c r="H8274" s="28" t="e">
        <f>VLOOKUP(E8274,'Cadastro Produtos (kiwkiw)'!C:E,3,0)</f>
        <v>#N/A</v>
      </c>
    </row>
    <row r="8275" spans="7:8" ht="15" customHeight="1" x14ac:dyDescent="0.4">
      <c r="G8275" s="27">
        <f t="shared" si="141"/>
        <v>0</v>
      </c>
      <c r="H8275" s="28" t="e">
        <f>VLOOKUP(E8275,'Cadastro Produtos (kiwkiw)'!C:E,3,0)</f>
        <v>#N/A</v>
      </c>
    </row>
    <row r="8276" spans="7:8" ht="15" customHeight="1" x14ac:dyDescent="0.4">
      <c r="G8276" s="27">
        <f t="shared" si="141"/>
        <v>0</v>
      </c>
      <c r="H8276" s="28" t="e">
        <f>VLOOKUP(E8276,'Cadastro Produtos (kiwkiw)'!C:E,3,0)</f>
        <v>#N/A</v>
      </c>
    </row>
    <row r="8277" spans="7:8" ht="15" customHeight="1" x14ac:dyDescent="0.4">
      <c r="G8277" s="27">
        <f t="shared" si="141"/>
        <v>0</v>
      </c>
      <c r="H8277" s="28" t="e">
        <f>VLOOKUP(E8277,'Cadastro Produtos (kiwkiw)'!C:E,3,0)</f>
        <v>#N/A</v>
      </c>
    </row>
    <row r="8278" spans="7:8" ht="15" customHeight="1" x14ac:dyDescent="0.4">
      <c r="G8278" s="27">
        <f t="shared" si="141"/>
        <v>0</v>
      </c>
      <c r="H8278" s="28" t="e">
        <f>VLOOKUP(E8278,'Cadastro Produtos (kiwkiw)'!C:E,3,0)</f>
        <v>#N/A</v>
      </c>
    </row>
    <row r="8279" spans="7:8" ht="15" customHeight="1" x14ac:dyDescent="0.4">
      <c r="G8279" s="27">
        <f t="shared" si="141"/>
        <v>0</v>
      </c>
      <c r="H8279" s="28" t="e">
        <f>VLOOKUP(E8279,'Cadastro Produtos (kiwkiw)'!C:E,3,0)</f>
        <v>#N/A</v>
      </c>
    </row>
    <row r="8280" spans="7:8" ht="15" customHeight="1" x14ac:dyDescent="0.4">
      <c r="G8280" s="27">
        <f t="shared" si="141"/>
        <v>0</v>
      </c>
      <c r="H8280" s="28" t="e">
        <f>VLOOKUP(E8280,'Cadastro Produtos (kiwkiw)'!C:E,3,0)</f>
        <v>#N/A</v>
      </c>
    </row>
    <row r="8281" spans="7:8" ht="15" customHeight="1" x14ac:dyDescent="0.4">
      <c r="G8281" s="27">
        <f t="shared" si="141"/>
        <v>0</v>
      </c>
      <c r="H8281" s="28" t="e">
        <f>VLOOKUP(E8281,'Cadastro Produtos (kiwkiw)'!C:E,3,0)</f>
        <v>#N/A</v>
      </c>
    </row>
    <row r="8282" spans="7:8" ht="15" customHeight="1" x14ac:dyDescent="0.4">
      <c r="G8282" s="27">
        <f t="shared" si="141"/>
        <v>0</v>
      </c>
      <c r="H8282" s="28" t="e">
        <f>VLOOKUP(E8282,'Cadastro Produtos (kiwkiw)'!C:E,3,0)</f>
        <v>#N/A</v>
      </c>
    </row>
    <row r="8283" spans="7:8" ht="15" customHeight="1" x14ac:dyDescent="0.4">
      <c r="G8283" s="27">
        <f t="shared" si="141"/>
        <v>0</v>
      </c>
      <c r="H8283" s="28" t="e">
        <f>VLOOKUP(E8283,'Cadastro Produtos (kiwkiw)'!C:E,3,0)</f>
        <v>#N/A</v>
      </c>
    </row>
    <row r="8284" spans="7:8" ht="15" customHeight="1" x14ac:dyDescent="0.4">
      <c r="G8284" s="27">
        <f t="shared" si="141"/>
        <v>0</v>
      </c>
      <c r="H8284" s="28" t="e">
        <f>VLOOKUP(E8284,'Cadastro Produtos (kiwkiw)'!C:E,3,0)</f>
        <v>#N/A</v>
      </c>
    </row>
    <row r="8285" spans="7:8" ht="15" customHeight="1" x14ac:dyDescent="0.4">
      <c r="G8285" s="27">
        <f t="shared" si="141"/>
        <v>0</v>
      </c>
      <c r="H8285" s="28" t="e">
        <f>VLOOKUP(E8285,'Cadastro Produtos (kiwkiw)'!C:E,3,0)</f>
        <v>#N/A</v>
      </c>
    </row>
    <row r="8286" spans="7:8" ht="15" customHeight="1" x14ac:dyDescent="0.4">
      <c r="G8286" s="27">
        <f t="shared" si="141"/>
        <v>0</v>
      </c>
      <c r="H8286" s="28" t="e">
        <f>VLOOKUP(E8286,'Cadastro Produtos (kiwkiw)'!C:E,3,0)</f>
        <v>#N/A</v>
      </c>
    </row>
    <row r="8287" spans="7:8" ht="15" customHeight="1" x14ac:dyDescent="0.4">
      <c r="G8287" s="27">
        <f t="shared" si="141"/>
        <v>0</v>
      </c>
      <c r="H8287" s="28" t="e">
        <f>VLOOKUP(E8287,'Cadastro Produtos (kiwkiw)'!C:E,3,0)</f>
        <v>#N/A</v>
      </c>
    </row>
    <row r="8288" spans="7:8" ht="15" customHeight="1" x14ac:dyDescent="0.4">
      <c r="G8288" s="27">
        <f t="shared" si="141"/>
        <v>0</v>
      </c>
      <c r="H8288" s="28" t="e">
        <f>VLOOKUP(E8288,'Cadastro Produtos (kiwkiw)'!C:E,3,0)</f>
        <v>#N/A</v>
      </c>
    </row>
    <row r="8289" spans="7:8" ht="15" customHeight="1" x14ac:dyDescent="0.4">
      <c r="G8289" s="27">
        <f t="shared" si="141"/>
        <v>0</v>
      </c>
      <c r="H8289" s="28" t="e">
        <f>VLOOKUP(E8289,'Cadastro Produtos (kiwkiw)'!C:E,3,0)</f>
        <v>#N/A</v>
      </c>
    </row>
    <row r="8290" spans="7:8" ht="15" customHeight="1" x14ac:dyDescent="0.4">
      <c r="G8290" s="27">
        <f t="shared" si="141"/>
        <v>0</v>
      </c>
      <c r="H8290" s="28" t="e">
        <f>VLOOKUP(E8290,'Cadastro Produtos (kiwkiw)'!C:E,3,0)</f>
        <v>#N/A</v>
      </c>
    </row>
    <row r="8291" spans="7:8" ht="15" customHeight="1" x14ac:dyDescent="0.4">
      <c r="G8291" s="27">
        <f t="shared" si="141"/>
        <v>0</v>
      </c>
      <c r="H8291" s="28" t="e">
        <f>VLOOKUP(E8291,'Cadastro Produtos (kiwkiw)'!C:E,3,0)</f>
        <v>#N/A</v>
      </c>
    </row>
    <row r="8292" spans="7:8" ht="15" customHeight="1" x14ac:dyDescent="0.4">
      <c r="G8292" s="27">
        <f t="shared" si="141"/>
        <v>0</v>
      </c>
      <c r="H8292" s="28" t="e">
        <f>VLOOKUP(E8292,'Cadastro Produtos (kiwkiw)'!C:E,3,0)</f>
        <v>#N/A</v>
      </c>
    </row>
    <row r="8293" spans="7:8" ht="15" customHeight="1" x14ac:dyDescent="0.4">
      <c r="G8293" s="27">
        <f t="shared" si="141"/>
        <v>0</v>
      </c>
      <c r="H8293" s="28" t="e">
        <f>VLOOKUP(E8293,'Cadastro Produtos (kiwkiw)'!C:E,3,0)</f>
        <v>#N/A</v>
      </c>
    </row>
    <row r="8294" spans="7:8" ht="15" customHeight="1" x14ac:dyDescent="0.4">
      <c r="G8294" s="27">
        <f t="shared" si="141"/>
        <v>0</v>
      </c>
      <c r="H8294" s="28" t="e">
        <f>VLOOKUP(E8294,'Cadastro Produtos (kiwkiw)'!C:E,3,0)</f>
        <v>#N/A</v>
      </c>
    </row>
    <row r="8295" spans="7:8" ht="15" customHeight="1" x14ac:dyDescent="0.4">
      <c r="G8295" s="27">
        <f t="shared" si="141"/>
        <v>0</v>
      </c>
      <c r="H8295" s="28" t="e">
        <f>VLOOKUP(E8295,'Cadastro Produtos (kiwkiw)'!C:E,3,0)</f>
        <v>#N/A</v>
      </c>
    </row>
    <row r="8296" spans="7:8" ht="15" customHeight="1" x14ac:dyDescent="0.4">
      <c r="G8296" s="27">
        <f t="shared" si="141"/>
        <v>0</v>
      </c>
      <c r="H8296" s="28" t="e">
        <f>VLOOKUP(E8296,'Cadastro Produtos (kiwkiw)'!C:E,3,0)</f>
        <v>#N/A</v>
      </c>
    </row>
    <row r="8297" spans="7:8" ht="15" customHeight="1" x14ac:dyDescent="0.4">
      <c r="G8297" s="27">
        <f t="shared" si="141"/>
        <v>0</v>
      </c>
      <c r="H8297" s="28" t="e">
        <f>VLOOKUP(E8297,'Cadastro Produtos (kiwkiw)'!C:E,3,0)</f>
        <v>#N/A</v>
      </c>
    </row>
    <row r="8298" spans="7:8" ht="15" customHeight="1" x14ac:dyDescent="0.4">
      <c r="G8298" s="27">
        <f t="shared" si="141"/>
        <v>0</v>
      </c>
      <c r="H8298" s="28" t="e">
        <f>VLOOKUP(E8298,'Cadastro Produtos (kiwkiw)'!C:E,3,0)</f>
        <v>#N/A</v>
      </c>
    </row>
    <row r="8299" spans="7:8" ht="15" customHeight="1" x14ac:dyDescent="0.4">
      <c r="G8299" s="27">
        <f t="shared" si="141"/>
        <v>0</v>
      </c>
      <c r="H8299" s="28" t="e">
        <f>VLOOKUP(E8299,'Cadastro Produtos (kiwkiw)'!C:E,3,0)</f>
        <v>#N/A</v>
      </c>
    </row>
    <row r="8300" spans="7:8" ht="15" customHeight="1" x14ac:dyDescent="0.4">
      <c r="G8300" s="27">
        <f t="shared" si="141"/>
        <v>0</v>
      </c>
      <c r="H8300" s="28" t="e">
        <f>VLOOKUP(E8300,'Cadastro Produtos (kiwkiw)'!C:E,3,0)</f>
        <v>#N/A</v>
      </c>
    </row>
    <row r="8301" spans="7:8" ht="15" customHeight="1" x14ac:dyDescent="0.4">
      <c r="G8301" s="27">
        <f t="shared" si="141"/>
        <v>0</v>
      </c>
      <c r="H8301" s="28" t="e">
        <f>VLOOKUP(E8301,'Cadastro Produtos (kiwkiw)'!C:E,3,0)</f>
        <v>#N/A</v>
      </c>
    </row>
    <row r="8302" spans="7:8" ht="15" customHeight="1" x14ac:dyDescent="0.4">
      <c r="G8302" s="27">
        <f t="shared" si="141"/>
        <v>0</v>
      </c>
      <c r="H8302" s="28" t="e">
        <f>VLOOKUP(E8302,'Cadastro Produtos (kiwkiw)'!C:E,3,0)</f>
        <v>#N/A</v>
      </c>
    </row>
    <row r="8303" spans="7:8" ht="15" customHeight="1" x14ac:dyDescent="0.4">
      <c r="G8303" s="27">
        <f t="shared" si="141"/>
        <v>0</v>
      </c>
      <c r="H8303" s="28" t="e">
        <f>VLOOKUP(E8303,'Cadastro Produtos (kiwkiw)'!C:E,3,0)</f>
        <v>#N/A</v>
      </c>
    </row>
    <row r="8304" spans="7:8" ht="15" customHeight="1" x14ac:dyDescent="0.4">
      <c r="G8304" s="27">
        <f t="shared" si="141"/>
        <v>0</v>
      </c>
      <c r="H8304" s="28" t="e">
        <f>VLOOKUP(E8304,'Cadastro Produtos (kiwkiw)'!C:E,3,0)</f>
        <v>#N/A</v>
      </c>
    </row>
    <row r="8305" spans="7:8" ht="15" customHeight="1" x14ac:dyDescent="0.4">
      <c r="G8305" s="27">
        <f t="shared" si="141"/>
        <v>0</v>
      </c>
      <c r="H8305" s="28" t="e">
        <f>VLOOKUP(E8305,'Cadastro Produtos (kiwkiw)'!C:E,3,0)</f>
        <v>#N/A</v>
      </c>
    </row>
    <row r="8306" spans="7:8" ht="15" customHeight="1" x14ac:dyDescent="0.4">
      <c r="G8306" s="27">
        <f t="shared" si="141"/>
        <v>0</v>
      </c>
      <c r="H8306" s="28" t="e">
        <f>VLOOKUP(E8306,'Cadastro Produtos (kiwkiw)'!C:E,3,0)</f>
        <v>#N/A</v>
      </c>
    </row>
    <row r="8307" spans="7:8" ht="15" customHeight="1" x14ac:dyDescent="0.4">
      <c r="G8307" s="27">
        <f t="shared" si="141"/>
        <v>0</v>
      </c>
      <c r="H8307" s="28" t="e">
        <f>VLOOKUP(E8307,'Cadastro Produtos (kiwkiw)'!C:E,3,0)</f>
        <v>#N/A</v>
      </c>
    </row>
    <row r="8308" spans="7:8" ht="15" customHeight="1" x14ac:dyDescent="0.4">
      <c r="G8308" s="27">
        <f t="shared" si="141"/>
        <v>0</v>
      </c>
      <c r="H8308" s="28" t="e">
        <f>VLOOKUP(E8308,'Cadastro Produtos (kiwkiw)'!C:E,3,0)</f>
        <v>#N/A</v>
      </c>
    </row>
    <row r="8309" spans="7:8" ht="15" customHeight="1" x14ac:dyDescent="0.4">
      <c r="G8309" s="27">
        <f t="shared" si="141"/>
        <v>0</v>
      </c>
      <c r="H8309" s="28" t="e">
        <f>VLOOKUP(E8309,'Cadastro Produtos (kiwkiw)'!C:E,3,0)</f>
        <v>#N/A</v>
      </c>
    </row>
    <row r="8310" spans="7:8" ht="15" customHeight="1" x14ac:dyDescent="0.4">
      <c r="G8310" s="27">
        <f t="shared" si="141"/>
        <v>0</v>
      </c>
      <c r="H8310" s="28" t="e">
        <f>VLOOKUP(E8310,'Cadastro Produtos (kiwkiw)'!C:E,3,0)</f>
        <v>#N/A</v>
      </c>
    </row>
    <row r="8311" spans="7:8" ht="15" customHeight="1" x14ac:dyDescent="0.4">
      <c r="G8311" s="27">
        <f t="shared" si="141"/>
        <v>0</v>
      </c>
      <c r="H8311" s="28" t="e">
        <f>VLOOKUP(E8311,'Cadastro Produtos (kiwkiw)'!C:E,3,0)</f>
        <v>#N/A</v>
      </c>
    </row>
    <row r="8312" spans="7:8" ht="15" customHeight="1" x14ac:dyDescent="0.4">
      <c r="G8312" s="27">
        <f t="shared" si="141"/>
        <v>0</v>
      </c>
      <c r="H8312" s="28" t="e">
        <f>VLOOKUP(E8312,'Cadastro Produtos (kiwkiw)'!C:E,3,0)</f>
        <v>#N/A</v>
      </c>
    </row>
    <row r="8313" spans="7:8" ht="15" customHeight="1" x14ac:dyDescent="0.4">
      <c r="G8313" s="27">
        <f t="shared" si="141"/>
        <v>0</v>
      </c>
      <c r="H8313" s="28" t="e">
        <f>VLOOKUP(E8313,'Cadastro Produtos (kiwkiw)'!C:E,3,0)</f>
        <v>#N/A</v>
      </c>
    </row>
    <row r="8314" spans="7:8" ht="15" customHeight="1" x14ac:dyDescent="0.4">
      <c r="G8314" s="27">
        <f t="shared" si="141"/>
        <v>0</v>
      </c>
      <c r="H8314" s="28" t="e">
        <f>VLOOKUP(E8314,'Cadastro Produtos (kiwkiw)'!C:E,3,0)</f>
        <v>#N/A</v>
      </c>
    </row>
    <row r="8315" spans="7:8" ht="15" customHeight="1" x14ac:dyDescent="0.4">
      <c r="G8315" s="27">
        <f t="shared" si="141"/>
        <v>0</v>
      </c>
      <c r="H8315" s="28" t="e">
        <f>VLOOKUP(E8315,'Cadastro Produtos (kiwkiw)'!C:E,3,0)</f>
        <v>#N/A</v>
      </c>
    </row>
    <row r="8316" spans="7:8" ht="15" customHeight="1" x14ac:dyDescent="0.4">
      <c r="G8316" s="27">
        <f t="shared" si="141"/>
        <v>0</v>
      </c>
      <c r="H8316" s="28" t="e">
        <f>VLOOKUP(E8316,'Cadastro Produtos (kiwkiw)'!C:E,3,0)</f>
        <v>#N/A</v>
      </c>
    </row>
    <row r="8317" spans="7:8" ht="15" customHeight="1" x14ac:dyDescent="0.4">
      <c r="G8317" s="27">
        <f t="shared" si="141"/>
        <v>0</v>
      </c>
      <c r="H8317" s="28" t="e">
        <f>VLOOKUP(E8317,'Cadastro Produtos (kiwkiw)'!C:E,3,0)</f>
        <v>#N/A</v>
      </c>
    </row>
    <row r="8318" spans="7:8" ht="15" customHeight="1" x14ac:dyDescent="0.4">
      <c r="G8318" s="27">
        <f t="shared" si="141"/>
        <v>0</v>
      </c>
      <c r="H8318" s="28" t="e">
        <f>VLOOKUP(E8318,'Cadastro Produtos (kiwkiw)'!C:E,3,0)</f>
        <v>#N/A</v>
      </c>
    </row>
    <row r="8319" spans="7:8" ht="15" customHeight="1" x14ac:dyDescent="0.4">
      <c r="G8319" s="27">
        <f t="shared" si="141"/>
        <v>0</v>
      </c>
      <c r="H8319" s="28" t="e">
        <f>VLOOKUP(E8319,'Cadastro Produtos (kiwkiw)'!C:E,3,0)</f>
        <v>#N/A</v>
      </c>
    </row>
    <row r="8320" spans="7:8" ht="15" customHeight="1" x14ac:dyDescent="0.4">
      <c r="G8320" s="27">
        <f t="shared" si="141"/>
        <v>0</v>
      </c>
      <c r="H8320" s="28" t="e">
        <f>VLOOKUP(E8320,'Cadastro Produtos (kiwkiw)'!C:E,3,0)</f>
        <v>#N/A</v>
      </c>
    </row>
    <row r="8321" spans="7:8" ht="15" customHeight="1" x14ac:dyDescent="0.4">
      <c r="G8321" s="27">
        <f t="shared" si="141"/>
        <v>0</v>
      </c>
      <c r="H8321" s="28" t="e">
        <f>VLOOKUP(E8321,'Cadastro Produtos (kiwkiw)'!C:E,3,0)</f>
        <v>#N/A</v>
      </c>
    </row>
    <row r="8322" spans="7:8" ht="15" customHeight="1" x14ac:dyDescent="0.4">
      <c r="G8322" s="27">
        <f t="shared" si="141"/>
        <v>0</v>
      </c>
      <c r="H8322" s="28" t="e">
        <f>VLOOKUP(E8322,'Cadastro Produtos (kiwkiw)'!C:E,3,0)</f>
        <v>#N/A</v>
      </c>
    </row>
    <row r="8323" spans="7:8" ht="15" customHeight="1" x14ac:dyDescent="0.4">
      <c r="G8323" s="27">
        <f t="shared" si="141"/>
        <v>0</v>
      </c>
      <c r="H8323" s="28" t="e">
        <f>VLOOKUP(E8323,'Cadastro Produtos (kiwkiw)'!C:E,3,0)</f>
        <v>#N/A</v>
      </c>
    </row>
    <row r="8324" spans="7:8" ht="15" customHeight="1" x14ac:dyDescent="0.4">
      <c r="G8324" s="27">
        <f t="shared" si="141"/>
        <v>0</v>
      </c>
      <c r="H8324" s="28" t="e">
        <f>VLOOKUP(E8324,'Cadastro Produtos (kiwkiw)'!C:E,3,0)</f>
        <v>#N/A</v>
      </c>
    </row>
    <row r="8325" spans="7:8" ht="15" customHeight="1" x14ac:dyDescent="0.4">
      <c r="G8325" s="27">
        <f t="shared" si="141"/>
        <v>0</v>
      </c>
      <c r="H8325" s="28" t="e">
        <f>VLOOKUP(E8325,'Cadastro Produtos (kiwkiw)'!C:E,3,0)</f>
        <v>#N/A</v>
      </c>
    </row>
    <row r="8326" spans="7:8" ht="15" customHeight="1" x14ac:dyDescent="0.4">
      <c r="G8326" s="27">
        <f t="shared" si="141"/>
        <v>0</v>
      </c>
      <c r="H8326" s="28" t="e">
        <f>VLOOKUP(E8326,'Cadastro Produtos (kiwkiw)'!C:E,3,0)</f>
        <v>#N/A</v>
      </c>
    </row>
    <row r="8327" spans="7:8" ht="15" customHeight="1" x14ac:dyDescent="0.4">
      <c r="G8327" s="27">
        <f t="shared" si="141"/>
        <v>0</v>
      </c>
      <c r="H8327" s="28" t="e">
        <f>VLOOKUP(E8327,'Cadastro Produtos (kiwkiw)'!C:E,3,0)</f>
        <v>#N/A</v>
      </c>
    </row>
    <row r="8328" spans="7:8" ht="15" customHeight="1" x14ac:dyDescent="0.4">
      <c r="G8328" s="27">
        <f t="shared" si="141"/>
        <v>0</v>
      </c>
      <c r="H8328" s="28" t="e">
        <f>VLOOKUP(E8328,'Cadastro Produtos (kiwkiw)'!C:E,3,0)</f>
        <v>#N/A</v>
      </c>
    </row>
    <row r="8329" spans="7:8" ht="15" customHeight="1" x14ac:dyDescent="0.4">
      <c r="G8329" s="27">
        <f t="shared" si="141"/>
        <v>0</v>
      </c>
      <c r="H8329" s="28" t="e">
        <f>VLOOKUP(E8329,'Cadastro Produtos (kiwkiw)'!C:E,3,0)</f>
        <v>#N/A</v>
      </c>
    </row>
    <row r="8330" spans="7:8" ht="15" customHeight="1" x14ac:dyDescent="0.4">
      <c r="G8330" s="27">
        <f t="shared" si="141"/>
        <v>0</v>
      </c>
      <c r="H8330" s="28" t="e">
        <f>VLOOKUP(E8330,'Cadastro Produtos (kiwkiw)'!C:E,3,0)</f>
        <v>#N/A</v>
      </c>
    </row>
    <row r="8331" spans="7:8" ht="15" customHeight="1" x14ac:dyDescent="0.4">
      <c r="G8331" s="27">
        <f t="shared" si="141"/>
        <v>0</v>
      </c>
      <c r="H8331" s="28" t="e">
        <f>VLOOKUP(E8331,'Cadastro Produtos (kiwkiw)'!C:E,3,0)</f>
        <v>#N/A</v>
      </c>
    </row>
    <row r="8332" spans="7:8" ht="15" customHeight="1" x14ac:dyDescent="0.4">
      <c r="G8332" s="27">
        <f t="shared" si="141"/>
        <v>0</v>
      </c>
      <c r="H8332" s="28" t="e">
        <f>VLOOKUP(E8332,'Cadastro Produtos (kiwkiw)'!C:E,3,0)</f>
        <v>#N/A</v>
      </c>
    </row>
    <row r="8333" spans="7:8" ht="15" customHeight="1" x14ac:dyDescent="0.4">
      <c r="G8333" s="27">
        <f t="shared" si="141"/>
        <v>0</v>
      </c>
      <c r="H8333" s="28" t="e">
        <f>VLOOKUP(E8333,'Cadastro Produtos (kiwkiw)'!C:E,3,0)</f>
        <v>#N/A</v>
      </c>
    </row>
    <row r="8334" spans="7:8" ht="15" customHeight="1" x14ac:dyDescent="0.4">
      <c r="G8334" s="27">
        <f t="shared" si="141"/>
        <v>0</v>
      </c>
      <c r="H8334" s="28" t="e">
        <f>VLOOKUP(E8334,'Cadastro Produtos (kiwkiw)'!C:E,3,0)</f>
        <v>#N/A</v>
      </c>
    </row>
    <row r="8335" spans="7:8" ht="15" customHeight="1" x14ac:dyDescent="0.4">
      <c r="G8335" s="27">
        <f t="shared" si="141"/>
        <v>0</v>
      </c>
      <c r="H8335" s="28" t="e">
        <f>VLOOKUP(E8335,'Cadastro Produtos (kiwkiw)'!C:E,3,0)</f>
        <v>#N/A</v>
      </c>
    </row>
    <row r="8336" spans="7:8" ht="15" customHeight="1" x14ac:dyDescent="0.4">
      <c r="G8336" s="27">
        <f t="shared" si="141"/>
        <v>0</v>
      </c>
      <c r="H8336" s="28" t="e">
        <f>VLOOKUP(E8336,'Cadastro Produtos (kiwkiw)'!C:E,3,0)</f>
        <v>#N/A</v>
      </c>
    </row>
    <row r="8337" spans="7:8" ht="15" customHeight="1" x14ac:dyDescent="0.4">
      <c r="G8337" s="27">
        <f t="shared" si="141"/>
        <v>0</v>
      </c>
      <c r="H8337" s="28" t="e">
        <f>VLOOKUP(E8337,'Cadastro Produtos (kiwkiw)'!C:E,3,0)</f>
        <v>#N/A</v>
      </c>
    </row>
    <row r="8338" spans="7:8" ht="15" customHeight="1" x14ac:dyDescent="0.4">
      <c r="G8338" s="27">
        <f t="shared" ref="G8338:G8401" si="142">IF(C8338="Entrada",F8338,-F8338)</f>
        <v>0</v>
      </c>
      <c r="H8338" s="28" t="e">
        <f>VLOOKUP(E8338,'Cadastro Produtos (kiwkiw)'!C:E,3,0)</f>
        <v>#N/A</v>
      </c>
    </row>
    <row r="8339" spans="7:8" ht="15" customHeight="1" x14ac:dyDescent="0.4">
      <c r="G8339" s="27">
        <f t="shared" si="142"/>
        <v>0</v>
      </c>
      <c r="H8339" s="28" t="e">
        <f>VLOOKUP(E8339,'Cadastro Produtos (kiwkiw)'!C:E,3,0)</f>
        <v>#N/A</v>
      </c>
    </row>
    <row r="8340" spans="7:8" ht="15" customHeight="1" x14ac:dyDescent="0.4">
      <c r="G8340" s="27">
        <f t="shared" si="142"/>
        <v>0</v>
      </c>
      <c r="H8340" s="28" t="e">
        <f>VLOOKUP(E8340,'Cadastro Produtos (kiwkiw)'!C:E,3,0)</f>
        <v>#N/A</v>
      </c>
    </row>
    <row r="8341" spans="7:8" ht="15" customHeight="1" x14ac:dyDescent="0.4">
      <c r="G8341" s="27">
        <f t="shared" si="142"/>
        <v>0</v>
      </c>
      <c r="H8341" s="28" t="e">
        <f>VLOOKUP(E8341,'Cadastro Produtos (kiwkiw)'!C:E,3,0)</f>
        <v>#N/A</v>
      </c>
    </row>
    <row r="8342" spans="7:8" ht="15" customHeight="1" x14ac:dyDescent="0.4">
      <c r="G8342" s="27">
        <f t="shared" si="142"/>
        <v>0</v>
      </c>
      <c r="H8342" s="28" t="e">
        <f>VLOOKUP(E8342,'Cadastro Produtos (kiwkiw)'!C:E,3,0)</f>
        <v>#N/A</v>
      </c>
    </row>
    <row r="8343" spans="7:8" ht="15" customHeight="1" x14ac:dyDescent="0.4">
      <c r="G8343" s="27">
        <f t="shared" si="142"/>
        <v>0</v>
      </c>
      <c r="H8343" s="28" t="e">
        <f>VLOOKUP(E8343,'Cadastro Produtos (kiwkiw)'!C:E,3,0)</f>
        <v>#N/A</v>
      </c>
    </row>
    <row r="8344" spans="7:8" ht="15" customHeight="1" x14ac:dyDescent="0.4">
      <c r="G8344" s="27">
        <f t="shared" si="142"/>
        <v>0</v>
      </c>
      <c r="H8344" s="28" t="e">
        <f>VLOOKUP(E8344,'Cadastro Produtos (kiwkiw)'!C:E,3,0)</f>
        <v>#N/A</v>
      </c>
    </row>
    <row r="8345" spans="7:8" ht="15" customHeight="1" x14ac:dyDescent="0.4">
      <c r="G8345" s="27">
        <f t="shared" si="142"/>
        <v>0</v>
      </c>
      <c r="H8345" s="28" t="e">
        <f>VLOOKUP(E8345,'Cadastro Produtos (kiwkiw)'!C:E,3,0)</f>
        <v>#N/A</v>
      </c>
    </row>
    <row r="8346" spans="7:8" ht="15" customHeight="1" x14ac:dyDescent="0.4">
      <c r="G8346" s="27">
        <f t="shared" si="142"/>
        <v>0</v>
      </c>
      <c r="H8346" s="28" t="e">
        <f>VLOOKUP(E8346,'Cadastro Produtos (kiwkiw)'!C:E,3,0)</f>
        <v>#N/A</v>
      </c>
    </row>
    <row r="8347" spans="7:8" ht="15" customHeight="1" x14ac:dyDescent="0.4">
      <c r="G8347" s="27">
        <f t="shared" si="142"/>
        <v>0</v>
      </c>
      <c r="H8347" s="28" t="e">
        <f>VLOOKUP(E8347,'Cadastro Produtos (kiwkiw)'!C:E,3,0)</f>
        <v>#N/A</v>
      </c>
    </row>
    <row r="8348" spans="7:8" ht="15" customHeight="1" x14ac:dyDescent="0.4">
      <c r="G8348" s="27">
        <f t="shared" si="142"/>
        <v>0</v>
      </c>
      <c r="H8348" s="28" t="e">
        <f>VLOOKUP(E8348,'Cadastro Produtos (kiwkiw)'!C:E,3,0)</f>
        <v>#N/A</v>
      </c>
    </row>
    <row r="8349" spans="7:8" ht="15" customHeight="1" x14ac:dyDescent="0.4">
      <c r="G8349" s="27">
        <f t="shared" si="142"/>
        <v>0</v>
      </c>
      <c r="H8349" s="28" t="e">
        <f>VLOOKUP(E8349,'Cadastro Produtos (kiwkiw)'!C:E,3,0)</f>
        <v>#N/A</v>
      </c>
    </row>
    <row r="8350" spans="7:8" ht="15" customHeight="1" x14ac:dyDescent="0.4">
      <c r="G8350" s="27">
        <f t="shared" si="142"/>
        <v>0</v>
      </c>
      <c r="H8350" s="28" t="e">
        <f>VLOOKUP(E8350,'Cadastro Produtos (kiwkiw)'!C:E,3,0)</f>
        <v>#N/A</v>
      </c>
    </row>
    <row r="8351" spans="7:8" ht="15" customHeight="1" x14ac:dyDescent="0.4">
      <c r="G8351" s="27">
        <f t="shared" si="142"/>
        <v>0</v>
      </c>
      <c r="H8351" s="28" t="e">
        <f>VLOOKUP(E8351,'Cadastro Produtos (kiwkiw)'!C:E,3,0)</f>
        <v>#N/A</v>
      </c>
    </row>
    <row r="8352" spans="7:8" ht="15" customHeight="1" x14ac:dyDescent="0.4">
      <c r="G8352" s="27">
        <f t="shared" si="142"/>
        <v>0</v>
      </c>
      <c r="H8352" s="28" t="e">
        <f>VLOOKUP(E8352,'Cadastro Produtos (kiwkiw)'!C:E,3,0)</f>
        <v>#N/A</v>
      </c>
    </row>
    <row r="8353" spans="7:8" ht="15" customHeight="1" x14ac:dyDescent="0.4">
      <c r="G8353" s="27">
        <f t="shared" si="142"/>
        <v>0</v>
      </c>
      <c r="H8353" s="28" t="e">
        <f>VLOOKUP(E8353,'Cadastro Produtos (kiwkiw)'!C:E,3,0)</f>
        <v>#N/A</v>
      </c>
    </row>
    <row r="8354" spans="7:8" ht="15" customHeight="1" x14ac:dyDescent="0.4">
      <c r="G8354" s="27">
        <f t="shared" si="142"/>
        <v>0</v>
      </c>
      <c r="H8354" s="28" t="e">
        <f>VLOOKUP(E8354,'Cadastro Produtos (kiwkiw)'!C:E,3,0)</f>
        <v>#N/A</v>
      </c>
    </row>
    <row r="8355" spans="7:8" ht="15" customHeight="1" x14ac:dyDescent="0.4">
      <c r="G8355" s="27">
        <f t="shared" si="142"/>
        <v>0</v>
      </c>
      <c r="H8355" s="28" t="e">
        <f>VLOOKUP(E8355,'Cadastro Produtos (kiwkiw)'!C:E,3,0)</f>
        <v>#N/A</v>
      </c>
    </row>
    <row r="8356" spans="7:8" ht="15" customHeight="1" x14ac:dyDescent="0.4">
      <c r="G8356" s="27">
        <f t="shared" si="142"/>
        <v>0</v>
      </c>
      <c r="H8356" s="28" t="e">
        <f>VLOOKUP(E8356,'Cadastro Produtos (kiwkiw)'!C:E,3,0)</f>
        <v>#N/A</v>
      </c>
    </row>
    <row r="8357" spans="7:8" ht="15" customHeight="1" x14ac:dyDescent="0.4">
      <c r="G8357" s="27">
        <f t="shared" si="142"/>
        <v>0</v>
      </c>
      <c r="H8357" s="28" t="e">
        <f>VLOOKUP(E8357,'Cadastro Produtos (kiwkiw)'!C:E,3,0)</f>
        <v>#N/A</v>
      </c>
    </row>
    <row r="8358" spans="7:8" ht="15" customHeight="1" x14ac:dyDescent="0.4">
      <c r="G8358" s="27">
        <f t="shared" si="142"/>
        <v>0</v>
      </c>
      <c r="H8358" s="28" t="e">
        <f>VLOOKUP(E8358,'Cadastro Produtos (kiwkiw)'!C:E,3,0)</f>
        <v>#N/A</v>
      </c>
    </row>
    <row r="8359" spans="7:8" ht="15" customHeight="1" x14ac:dyDescent="0.4">
      <c r="G8359" s="27">
        <f t="shared" si="142"/>
        <v>0</v>
      </c>
      <c r="H8359" s="28" t="e">
        <f>VLOOKUP(E8359,'Cadastro Produtos (kiwkiw)'!C:E,3,0)</f>
        <v>#N/A</v>
      </c>
    </row>
    <row r="8360" spans="7:8" ht="15" customHeight="1" x14ac:dyDescent="0.4">
      <c r="G8360" s="27">
        <f t="shared" si="142"/>
        <v>0</v>
      </c>
      <c r="H8360" s="28" t="e">
        <f>VLOOKUP(E8360,'Cadastro Produtos (kiwkiw)'!C:E,3,0)</f>
        <v>#N/A</v>
      </c>
    </row>
    <row r="8361" spans="7:8" ht="15" customHeight="1" x14ac:dyDescent="0.4">
      <c r="G8361" s="27">
        <f t="shared" si="142"/>
        <v>0</v>
      </c>
      <c r="H8361" s="28" t="e">
        <f>VLOOKUP(E8361,'Cadastro Produtos (kiwkiw)'!C:E,3,0)</f>
        <v>#N/A</v>
      </c>
    </row>
    <row r="8362" spans="7:8" ht="15" customHeight="1" x14ac:dyDescent="0.4">
      <c r="G8362" s="27">
        <f t="shared" si="142"/>
        <v>0</v>
      </c>
      <c r="H8362" s="28" t="e">
        <f>VLOOKUP(E8362,'Cadastro Produtos (kiwkiw)'!C:E,3,0)</f>
        <v>#N/A</v>
      </c>
    </row>
    <row r="8363" spans="7:8" ht="15" customHeight="1" x14ac:dyDescent="0.4">
      <c r="G8363" s="27">
        <f t="shared" si="142"/>
        <v>0</v>
      </c>
      <c r="H8363" s="28" t="e">
        <f>VLOOKUP(E8363,'Cadastro Produtos (kiwkiw)'!C:E,3,0)</f>
        <v>#N/A</v>
      </c>
    </row>
    <row r="8364" spans="7:8" ht="15" customHeight="1" x14ac:dyDescent="0.4">
      <c r="G8364" s="27">
        <f t="shared" si="142"/>
        <v>0</v>
      </c>
      <c r="H8364" s="28" t="e">
        <f>VLOOKUP(E8364,'Cadastro Produtos (kiwkiw)'!C:E,3,0)</f>
        <v>#N/A</v>
      </c>
    </row>
    <row r="8365" spans="7:8" ht="15" customHeight="1" x14ac:dyDescent="0.4">
      <c r="G8365" s="27">
        <f t="shared" si="142"/>
        <v>0</v>
      </c>
      <c r="H8365" s="28" t="e">
        <f>VLOOKUP(E8365,'Cadastro Produtos (kiwkiw)'!C:E,3,0)</f>
        <v>#N/A</v>
      </c>
    </row>
    <row r="8366" spans="7:8" ht="15" customHeight="1" x14ac:dyDescent="0.4">
      <c r="G8366" s="27">
        <f t="shared" si="142"/>
        <v>0</v>
      </c>
      <c r="H8366" s="28" t="e">
        <f>VLOOKUP(E8366,'Cadastro Produtos (kiwkiw)'!C:E,3,0)</f>
        <v>#N/A</v>
      </c>
    </row>
    <row r="8367" spans="7:8" ht="15" customHeight="1" x14ac:dyDescent="0.4">
      <c r="G8367" s="27">
        <f t="shared" si="142"/>
        <v>0</v>
      </c>
      <c r="H8367" s="28" t="e">
        <f>VLOOKUP(E8367,'Cadastro Produtos (kiwkiw)'!C:E,3,0)</f>
        <v>#N/A</v>
      </c>
    </row>
    <row r="8368" spans="7:8" ht="15" customHeight="1" x14ac:dyDescent="0.4">
      <c r="G8368" s="27">
        <f t="shared" si="142"/>
        <v>0</v>
      </c>
      <c r="H8368" s="28" t="e">
        <f>VLOOKUP(E8368,'Cadastro Produtos (kiwkiw)'!C:E,3,0)</f>
        <v>#N/A</v>
      </c>
    </row>
    <row r="8369" spans="7:8" ht="15" customHeight="1" x14ac:dyDescent="0.4">
      <c r="G8369" s="27">
        <f t="shared" si="142"/>
        <v>0</v>
      </c>
      <c r="H8369" s="28" t="e">
        <f>VLOOKUP(E8369,'Cadastro Produtos (kiwkiw)'!C:E,3,0)</f>
        <v>#N/A</v>
      </c>
    </row>
    <row r="8370" spans="7:8" ht="15" customHeight="1" x14ac:dyDescent="0.4">
      <c r="G8370" s="27">
        <f t="shared" si="142"/>
        <v>0</v>
      </c>
      <c r="H8370" s="28" t="e">
        <f>VLOOKUP(E8370,'Cadastro Produtos (kiwkiw)'!C:E,3,0)</f>
        <v>#N/A</v>
      </c>
    </row>
    <row r="8371" spans="7:8" ht="15" customHeight="1" x14ac:dyDescent="0.4">
      <c r="G8371" s="27">
        <f t="shared" si="142"/>
        <v>0</v>
      </c>
      <c r="H8371" s="28" t="e">
        <f>VLOOKUP(E8371,'Cadastro Produtos (kiwkiw)'!C:E,3,0)</f>
        <v>#N/A</v>
      </c>
    </row>
    <row r="8372" spans="7:8" ht="15" customHeight="1" x14ac:dyDescent="0.4">
      <c r="G8372" s="27">
        <f t="shared" si="142"/>
        <v>0</v>
      </c>
      <c r="H8372" s="28" t="e">
        <f>VLOOKUP(E8372,'Cadastro Produtos (kiwkiw)'!C:E,3,0)</f>
        <v>#N/A</v>
      </c>
    </row>
    <row r="8373" spans="7:8" ht="15" customHeight="1" x14ac:dyDescent="0.4">
      <c r="G8373" s="27">
        <f t="shared" si="142"/>
        <v>0</v>
      </c>
      <c r="H8373" s="28" t="e">
        <f>VLOOKUP(E8373,'Cadastro Produtos (kiwkiw)'!C:E,3,0)</f>
        <v>#N/A</v>
      </c>
    </row>
    <row r="8374" spans="7:8" ht="15" customHeight="1" x14ac:dyDescent="0.4">
      <c r="G8374" s="27">
        <f t="shared" si="142"/>
        <v>0</v>
      </c>
      <c r="H8374" s="28" t="e">
        <f>VLOOKUP(E8374,'Cadastro Produtos (kiwkiw)'!C:E,3,0)</f>
        <v>#N/A</v>
      </c>
    </row>
    <row r="8375" spans="7:8" ht="15" customHeight="1" x14ac:dyDescent="0.4">
      <c r="G8375" s="27">
        <f t="shared" si="142"/>
        <v>0</v>
      </c>
      <c r="H8375" s="28" t="e">
        <f>VLOOKUP(E8375,'Cadastro Produtos (kiwkiw)'!C:E,3,0)</f>
        <v>#N/A</v>
      </c>
    </row>
    <row r="8376" spans="7:8" ht="15" customHeight="1" x14ac:dyDescent="0.4">
      <c r="G8376" s="27">
        <f t="shared" si="142"/>
        <v>0</v>
      </c>
      <c r="H8376" s="28" t="e">
        <f>VLOOKUP(E8376,'Cadastro Produtos (kiwkiw)'!C:E,3,0)</f>
        <v>#N/A</v>
      </c>
    </row>
    <row r="8377" spans="7:8" ht="15" customHeight="1" x14ac:dyDescent="0.4">
      <c r="G8377" s="27">
        <f t="shared" si="142"/>
        <v>0</v>
      </c>
      <c r="H8377" s="28" t="e">
        <f>VLOOKUP(E8377,'Cadastro Produtos (kiwkiw)'!C:E,3,0)</f>
        <v>#N/A</v>
      </c>
    </row>
    <row r="8378" spans="7:8" ht="15" customHeight="1" x14ac:dyDescent="0.4">
      <c r="G8378" s="27">
        <f t="shared" si="142"/>
        <v>0</v>
      </c>
      <c r="H8378" s="28" t="e">
        <f>VLOOKUP(E8378,'Cadastro Produtos (kiwkiw)'!C:E,3,0)</f>
        <v>#N/A</v>
      </c>
    </row>
    <row r="8379" spans="7:8" ht="15" customHeight="1" x14ac:dyDescent="0.4">
      <c r="G8379" s="27">
        <f t="shared" si="142"/>
        <v>0</v>
      </c>
      <c r="H8379" s="28" t="e">
        <f>VLOOKUP(E8379,'Cadastro Produtos (kiwkiw)'!C:E,3,0)</f>
        <v>#N/A</v>
      </c>
    </row>
    <row r="8380" spans="7:8" ht="15" customHeight="1" x14ac:dyDescent="0.4">
      <c r="G8380" s="27">
        <f t="shared" si="142"/>
        <v>0</v>
      </c>
      <c r="H8380" s="28" t="e">
        <f>VLOOKUP(E8380,'Cadastro Produtos (kiwkiw)'!C:E,3,0)</f>
        <v>#N/A</v>
      </c>
    </row>
    <row r="8381" spans="7:8" ht="15" customHeight="1" x14ac:dyDescent="0.4">
      <c r="G8381" s="27">
        <f t="shared" si="142"/>
        <v>0</v>
      </c>
      <c r="H8381" s="28" t="e">
        <f>VLOOKUP(E8381,'Cadastro Produtos (kiwkiw)'!C:E,3,0)</f>
        <v>#N/A</v>
      </c>
    </row>
    <row r="8382" spans="7:8" ht="15" customHeight="1" x14ac:dyDescent="0.4">
      <c r="G8382" s="27">
        <f t="shared" si="142"/>
        <v>0</v>
      </c>
      <c r="H8382" s="28" t="e">
        <f>VLOOKUP(E8382,'Cadastro Produtos (kiwkiw)'!C:E,3,0)</f>
        <v>#N/A</v>
      </c>
    </row>
    <row r="8383" spans="7:8" ht="15" customHeight="1" x14ac:dyDescent="0.4">
      <c r="G8383" s="27">
        <f t="shared" si="142"/>
        <v>0</v>
      </c>
      <c r="H8383" s="28" t="e">
        <f>VLOOKUP(E8383,'Cadastro Produtos (kiwkiw)'!C:E,3,0)</f>
        <v>#N/A</v>
      </c>
    </row>
    <row r="8384" spans="7:8" ht="15" customHeight="1" x14ac:dyDescent="0.4">
      <c r="G8384" s="27">
        <f t="shared" si="142"/>
        <v>0</v>
      </c>
      <c r="H8384" s="28" t="e">
        <f>VLOOKUP(E8384,'Cadastro Produtos (kiwkiw)'!C:E,3,0)</f>
        <v>#N/A</v>
      </c>
    </row>
    <row r="8385" spans="7:8" ht="15" customHeight="1" x14ac:dyDescent="0.4">
      <c r="G8385" s="27">
        <f t="shared" si="142"/>
        <v>0</v>
      </c>
      <c r="H8385" s="28" t="e">
        <f>VLOOKUP(E8385,'Cadastro Produtos (kiwkiw)'!C:E,3,0)</f>
        <v>#N/A</v>
      </c>
    </row>
    <row r="8386" spans="7:8" ht="15" customHeight="1" x14ac:dyDescent="0.4">
      <c r="G8386" s="27">
        <f t="shared" si="142"/>
        <v>0</v>
      </c>
      <c r="H8386" s="28" t="e">
        <f>VLOOKUP(E8386,'Cadastro Produtos (kiwkiw)'!C:E,3,0)</f>
        <v>#N/A</v>
      </c>
    </row>
    <row r="8387" spans="7:8" ht="15" customHeight="1" x14ac:dyDescent="0.4">
      <c r="G8387" s="27">
        <f t="shared" si="142"/>
        <v>0</v>
      </c>
      <c r="H8387" s="28" t="e">
        <f>VLOOKUP(E8387,'Cadastro Produtos (kiwkiw)'!C:E,3,0)</f>
        <v>#N/A</v>
      </c>
    </row>
    <row r="8388" spans="7:8" ht="15" customHeight="1" x14ac:dyDescent="0.4">
      <c r="G8388" s="27">
        <f t="shared" si="142"/>
        <v>0</v>
      </c>
      <c r="H8388" s="28" t="e">
        <f>VLOOKUP(E8388,'Cadastro Produtos (kiwkiw)'!C:E,3,0)</f>
        <v>#N/A</v>
      </c>
    </row>
    <row r="8389" spans="7:8" ht="15" customHeight="1" x14ac:dyDescent="0.4">
      <c r="G8389" s="27">
        <f t="shared" si="142"/>
        <v>0</v>
      </c>
      <c r="H8389" s="28" t="e">
        <f>VLOOKUP(E8389,'Cadastro Produtos (kiwkiw)'!C:E,3,0)</f>
        <v>#N/A</v>
      </c>
    </row>
    <row r="8390" spans="7:8" ht="15" customHeight="1" x14ac:dyDescent="0.4">
      <c r="G8390" s="27">
        <f t="shared" si="142"/>
        <v>0</v>
      </c>
      <c r="H8390" s="28" t="e">
        <f>VLOOKUP(E8390,'Cadastro Produtos (kiwkiw)'!C:E,3,0)</f>
        <v>#N/A</v>
      </c>
    </row>
    <row r="8391" spans="7:8" ht="15" customHeight="1" x14ac:dyDescent="0.4">
      <c r="G8391" s="27">
        <f t="shared" si="142"/>
        <v>0</v>
      </c>
      <c r="H8391" s="28" t="e">
        <f>VLOOKUP(E8391,'Cadastro Produtos (kiwkiw)'!C:E,3,0)</f>
        <v>#N/A</v>
      </c>
    </row>
    <row r="8392" spans="7:8" ht="15" customHeight="1" x14ac:dyDescent="0.4">
      <c r="G8392" s="27">
        <f t="shared" si="142"/>
        <v>0</v>
      </c>
      <c r="H8392" s="28" t="e">
        <f>VLOOKUP(E8392,'Cadastro Produtos (kiwkiw)'!C:E,3,0)</f>
        <v>#N/A</v>
      </c>
    </row>
    <row r="8393" spans="7:8" ht="15" customHeight="1" x14ac:dyDescent="0.4">
      <c r="G8393" s="27">
        <f t="shared" si="142"/>
        <v>0</v>
      </c>
      <c r="H8393" s="28" t="e">
        <f>VLOOKUP(E8393,'Cadastro Produtos (kiwkiw)'!C:E,3,0)</f>
        <v>#N/A</v>
      </c>
    </row>
    <row r="8394" spans="7:8" ht="15" customHeight="1" x14ac:dyDescent="0.4">
      <c r="G8394" s="27">
        <f t="shared" si="142"/>
        <v>0</v>
      </c>
      <c r="H8394" s="28" t="e">
        <f>VLOOKUP(E8394,'Cadastro Produtos (kiwkiw)'!C:E,3,0)</f>
        <v>#N/A</v>
      </c>
    </row>
    <row r="8395" spans="7:8" ht="15" customHeight="1" x14ac:dyDescent="0.4">
      <c r="G8395" s="27">
        <f t="shared" si="142"/>
        <v>0</v>
      </c>
      <c r="H8395" s="28" t="e">
        <f>VLOOKUP(E8395,'Cadastro Produtos (kiwkiw)'!C:E,3,0)</f>
        <v>#N/A</v>
      </c>
    </row>
    <row r="8396" spans="7:8" ht="15" customHeight="1" x14ac:dyDescent="0.4">
      <c r="G8396" s="27">
        <f t="shared" si="142"/>
        <v>0</v>
      </c>
      <c r="H8396" s="28" t="e">
        <f>VLOOKUP(E8396,'Cadastro Produtos (kiwkiw)'!C:E,3,0)</f>
        <v>#N/A</v>
      </c>
    </row>
    <row r="8397" spans="7:8" ht="15" customHeight="1" x14ac:dyDescent="0.4">
      <c r="G8397" s="27">
        <f t="shared" si="142"/>
        <v>0</v>
      </c>
      <c r="H8397" s="28" t="e">
        <f>VLOOKUP(E8397,'Cadastro Produtos (kiwkiw)'!C:E,3,0)</f>
        <v>#N/A</v>
      </c>
    </row>
    <row r="8398" spans="7:8" ht="15" customHeight="1" x14ac:dyDescent="0.4">
      <c r="G8398" s="27">
        <f t="shared" si="142"/>
        <v>0</v>
      </c>
      <c r="H8398" s="28" t="e">
        <f>VLOOKUP(E8398,'Cadastro Produtos (kiwkiw)'!C:E,3,0)</f>
        <v>#N/A</v>
      </c>
    </row>
    <row r="8399" spans="7:8" ht="15" customHeight="1" x14ac:dyDescent="0.4">
      <c r="G8399" s="27">
        <f t="shared" si="142"/>
        <v>0</v>
      </c>
      <c r="H8399" s="28" t="e">
        <f>VLOOKUP(E8399,'Cadastro Produtos (kiwkiw)'!C:E,3,0)</f>
        <v>#N/A</v>
      </c>
    </row>
    <row r="8400" spans="7:8" ht="15" customHeight="1" x14ac:dyDescent="0.4">
      <c r="G8400" s="27">
        <f t="shared" si="142"/>
        <v>0</v>
      </c>
      <c r="H8400" s="28" t="e">
        <f>VLOOKUP(E8400,'Cadastro Produtos (kiwkiw)'!C:E,3,0)</f>
        <v>#N/A</v>
      </c>
    </row>
    <row r="8401" spans="7:8" ht="15" customHeight="1" x14ac:dyDescent="0.4">
      <c r="G8401" s="27">
        <f t="shared" si="142"/>
        <v>0</v>
      </c>
      <c r="H8401" s="28" t="e">
        <f>VLOOKUP(E8401,'Cadastro Produtos (kiwkiw)'!C:E,3,0)</f>
        <v>#N/A</v>
      </c>
    </row>
    <row r="8402" spans="7:8" ht="15" customHeight="1" x14ac:dyDescent="0.4">
      <c r="G8402" s="27">
        <f t="shared" ref="G8402:G8465" si="143">IF(C8402="Entrada",F8402,-F8402)</f>
        <v>0</v>
      </c>
      <c r="H8402" s="28" t="e">
        <f>VLOOKUP(E8402,'Cadastro Produtos (kiwkiw)'!C:E,3,0)</f>
        <v>#N/A</v>
      </c>
    </row>
    <row r="8403" spans="7:8" ht="15" customHeight="1" x14ac:dyDescent="0.4">
      <c r="G8403" s="27">
        <f t="shared" si="143"/>
        <v>0</v>
      </c>
      <c r="H8403" s="28" t="e">
        <f>VLOOKUP(E8403,'Cadastro Produtos (kiwkiw)'!C:E,3,0)</f>
        <v>#N/A</v>
      </c>
    </row>
    <row r="8404" spans="7:8" ht="15" customHeight="1" x14ac:dyDescent="0.4">
      <c r="G8404" s="27">
        <f t="shared" si="143"/>
        <v>0</v>
      </c>
      <c r="H8404" s="28" t="e">
        <f>VLOOKUP(E8404,'Cadastro Produtos (kiwkiw)'!C:E,3,0)</f>
        <v>#N/A</v>
      </c>
    </row>
    <row r="8405" spans="7:8" ht="15" customHeight="1" x14ac:dyDescent="0.4">
      <c r="G8405" s="27">
        <f t="shared" si="143"/>
        <v>0</v>
      </c>
      <c r="H8405" s="28" t="e">
        <f>VLOOKUP(E8405,'Cadastro Produtos (kiwkiw)'!C:E,3,0)</f>
        <v>#N/A</v>
      </c>
    </row>
    <row r="8406" spans="7:8" ht="15" customHeight="1" x14ac:dyDescent="0.4">
      <c r="G8406" s="27">
        <f t="shared" si="143"/>
        <v>0</v>
      </c>
      <c r="H8406" s="28" t="e">
        <f>VLOOKUP(E8406,'Cadastro Produtos (kiwkiw)'!C:E,3,0)</f>
        <v>#N/A</v>
      </c>
    </row>
    <row r="8407" spans="7:8" ht="15" customHeight="1" x14ac:dyDescent="0.4">
      <c r="G8407" s="27">
        <f t="shared" si="143"/>
        <v>0</v>
      </c>
      <c r="H8407" s="28" t="e">
        <f>VLOOKUP(E8407,'Cadastro Produtos (kiwkiw)'!C:E,3,0)</f>
        <v>#N/A</v>
      </c>
    </row>
    <row r="8408" spans="7:8" ht="15" customHeight="1" x14ac:dyDescent="0.4">
      <c r="G8408" s="27">
        <f t="shared" si="143"/>
        <v>0</v>
      </c>
      <c r="H8408" s="28" t="e">
        <f>VLOOKUP(E8408,'Cadastro Produtos (kiwkiw)'!C:E,3,0)</f>
        <v>#N/A</v>
      </c>
    </row>
    <row r="8409" spans="7:8" ht="15" customHeight="1" x14ac:dyDescent="0.4">
      <c r="G8409" s="27">
        <f t="shared" si="143"/>
        <v>0</v>
      </c>
      <c r="H8409" s="28" t="e">
        <f>VLOOKUP(E8409,'Cadastro Produtos (kiwkiw)'!C:E,3,0)</f>
        <v>#N/A</v>
      </c>
    </row>
    <row r="8410" spans="7:8" ht="15" customHeight="1" x14ac:dyDescent="0.4">
      <c r="G8410" s="27">
        <f t="shared" si="143"/>
        <v>0</v>
      </c>
      <c r="H8410" s="28" t="e">
        <f>VLOOKUP(E8410,'Cadastro Produtos (kiwkiw)'!C:E,3,0)</f>
        <v>#N/A</v>
      </c>
    </row>
    <row r="8411" spans="7:8" ht="15" customHeight="1" x14ac:dyDescent="0.4">
      <c r="G8411" s="27">
        <f t="shared" si="143"/>
        <v>0</v>
      </c>
      <c r="H8411" s="28" t="e">
        <f>VLOOKUP(E8411,'Cadastro Produtos (kiwkiw)'!C:E,3,0)</f>
        <v>#N/A</v>
      </c>
    </row>
    <row r="8412" spans="7:8" ht="15" customHeight="1" x14ac:dyDescent="0.4">
      <c r="G8412" s="27">
        <f t="shared" si="143"/>
        <v>0</v>
      </c>
      <c r="H8412" s="28" t="e">
        <f>VLOOKUP(E8412,'Cadastro Produtos (kiwkiw)'!C:E,3,0)</f>
        <v>#N/A</v>
      </c>
    </row>
    <row r="8413" spans="7:8" ht="15" customHeight="1" x14ac:dyDescent="0.4">
      <c r="G8413" s="27">
        <f t="shared" si="143"/>
        <v>0</v>
      </c>
      <c r="H8413" s="28" t="e">
        <f>VLOOKUP(E8413,'Cadastro Produtos (kiwkiw)'!C:E,3,0)</f>
        <v>#N/A</v>
      </c>
    </row>
    <row r="8414" spans="7:8" ht="15" customHeight="1" x14ac:dyDescent="0.4">
      <c r="G8414" s="27">
        <f t="shared" si="143"/>
        <v>0</v>
      </c>
      <c r="H8414" s="28" t="e">
        <f>VLOOKUP(E8414,'Cadastro Produtos (kiwkiw)'!C:E,3,0)</f>
        <v>#N/A</v>
      </c>
    </row>
    <row r="8415" spans="7:8" ht="15" customHeight="1" x14ac:dyDescent="0.4">
      <c r="G8415" s="27">
        <f t="shared" si="143"/>
        <v>0</v>
      </c>
      <c r="H8415" s="28" t="e">
        <f>VLOOKUP(E8415,'Cadastro Produtos (kiwkiw)'!C:E,3,0)</f>
        <v>#N/A</v>
      </c>
    </row>
    <row r="8416" spans="7:8" ht="15" customHeight="1" x14ac:dyDescent="0.4">
      <c r="G8416" s="27">
        <f t="shared" si="143"/>
        <v>0</v>
      </c>
      <c r="H8416" s="28" t="e">
        <f>VLOOKUP(E8416,'Cadastro Produtos (kiwkiw)'!C:E,3,0)</f>
        <v>#N/A</v>
      </c>
    </row>
    <row r="8417" spans="7:8" ht="15" customHeight="1" x14ac:dyDescent="0.4">
      <c r="G8417" s="27">
        <f t="shared" si="143"/>
        <v>0</v>
      </c>
      <c r="H8417" s="28" t="e">
        <f>VLOOKUP(E8417,'Cadastro Produtos (kiwkiw)'!C:E,3,0)</f>
        <v>#N/A</v>
      </c>
    </row>
    <row r="8418" spans="7:8" ht="15" customHeight="1" x14ac:dyDescent="0.4">
      <c r="G8418" s="27">
        <f t="shared" si="143"/>
        <v>0</v>
      </c>
      <c r="H8418" s="28" t="e">
        <f>VLOOKUP(E8418,'Cadastro Produtos (kiwkiw)'!C:E,3,0)</f>
        <v>#N/A</v>
      </c>
    </row>
    <row r="8419" spans="7:8" ht="15" customHeight="1" x14ac:dyDescent="0.4">
      <c r="G8419" s="27">
        <f t="shared" si="143"/>
        <v>0</v>
      </c>
      <c r="H8419" s="28" t="e">
        <f>VLOOKUP(E8419,'Cadastro Produtos (kiwkiw)'!C:E,3,0)</f>
        <v>#N/A</v>
      </c>
    </row>
    <row r="8420" spans="7:8" ht="15" customHeight="1" x14ac:dyDescent="0.4">
      <c r="G8420" s="27">
        <f t="shared" si="143"/>
        <v>0</v>
      </c>
      <c r="H8420" s="28" t="e">
        <f>VLOOKUP(E8420,'Cadastro Produtos (kiwkiw)'!C:E,3,0)</f>
        <v>#N/A</v>
      </c>
    </row>
    <row r="8421" spans="7:8" ht="15" customHeight="1" x14ac:dyDescent="0.4">
      <c r="G8421" s="27">
        <f t="shared" si="143"/>
        <v>0</v>
      </c>
      <c r="H8421" s="28" t="e">
        <f>VLOOKUP(E8421,'Cadastro Produtos (kiwkiw)'!C:E,3,0)</f>
        <v>#N/A</v>
      </c>
    </row>
    <row r="8422" spans="7:8" ht="15" customHeight="1" x14ac:dyDescent="0.4">
      <c r="G8422" s="27">
        <f t="shared" si="143"/>
        <v>0</v>
      </c>
      <c r="H8422" s="28" t="e">
        <f>VLOOKUP(E8422,'Cadastro Produtos (kiwkiw)'!C:E,3,0)</f>
        <v>#N/A</v>
      </c>
    </row>
    <row r="8423" spans="7:8" ht="15" customHeight="1" x14ac:dyDescent="0.4">
      <c r="G8423" s="27">
        <f t="shared" si="143"/>
        <v>0</v>
      </c>
      <c r="H8423" s="28" t="e">
        <f>VLOOKUP(E8423,'Cadastro Produtos (kiwkiw)'!C:E,3,0)</f>
        <v>#N/A</v>
      </c>
    </row>
    <row r="8424" spans="7:8" ht="15" customHeight="1" x14ac:dyDescent="0.4">
      <c r="G8424" s="27">
        <f t="shared" si="143"/>
        <v>0</v>
      </c>
      <c r="H8424" s="28" t="e">
        <f>VLOOKUP(E8424,'Cadastro Produtos (kiwkiw)'!C:E,3,0)</f>
        <v>#N/A</v>
      </c>
    </row>
    <row r="8425" spans="7:8" ht="15" customHeight="1" x14ac:dyDescent="0.4">
      <c r="G8425" s="27">
        <f t="shared" si="143"/>
        <v>0</v>
      </c>
      <c r="H8425" s="28" t="e">
        <f>VLOOKUP(E8425,'Cadastro Produtos (kiwkiw)'!C:E,3,0)</f>
        <v>#N/A</v>
      </c>
    </row>
    <row r="8426" spans="7:8" ht="15" customHeight="1" x14ac:dyDescent="0.4">
      <c r="G8426" s="27">
        <f t="shared" si="143"/>
        <v>0</v>
      </c>
      <c r="H8426" s="28" t="e">
        <f>VLOOKUP(E8426,'Cadastro Produtos (kiwkiw)'!C:E,3,0)</f>
        <v>#N/A</v>
      </c>
    </row>
    <row r="8427" spans="7:8" ht="15" customHeight="1" x14ac:dyDescent="0.4">
      <c r="G8427" s="27">
        <f t="shared" si="143"/>
        <v>0</v>
      </c>
      <c r="H8427" s="28" t="e">
        <f>VLOOKUP(E8427,'Cadastro Produtos (kiwkiw)'!C:E,3,0)</f>
        <v>#N/A</v>
      </c>
    </row>
    <row r="8428" spans="7:8" ht="15" customHeight="1" x14ac:dyDescent="0.4">
      <c r="G8428" s="27">
        <f t="shared" si="143"/>
        <v>0</v>
      </c>
      <c r="H8428" s="28" t="e">
        <f>VLOOKUP(E8428,'Cadastro Produtos (kiwkiw)'!C:E,3,0)</f>
        <v>#N/A</v>
      </c>
    </row>
    <row r="8429" spans="7:8" ht="15" customHeight="1" x14ac:dyDescent="0.4">
      <c r="G8429" s="27">
        <f t="shared" si="143"/>
        <v>0</v>
      </c>
      <c r="H8429" s="28" t="e">
        <f>VLOOKUP(E8429,'Cadastro Produtos (kiwkiw)'!C:E,3,0)</f>
        <v>#N/A</v>
      </c>
    </row>
    <row r="8430" spans="7:8" ht="15" customHeight="1" x14ac:dyDescent="0.4">
      <c r="G8430" s="27">
        <f t="shared" si="143"/>
        <v>0</v>
      </c>
      <c r="H8430" s="28" t="e">
        <f>VLOOKUP(E8430,'Cadastro Produtos (kiwkiw)'!C:E,3,0)</f>
        <v>#N/A</v>
      </c>
    </row>
    <row r="8431" spans="7:8" ht="15" customHeight="1" x14ac:dyDescent="0.4">
      <c r="G8431" s="27">
        <f t="shared" si="143"/>
        <v>0</v>
      </c>
      <c r="H8431" s="28" t="e">
        <f>VLOOKUP(E8431,'Cadastro Produtos (kiwkiw)'!C:E,3,0)</f>
        <v>#N/A</v>
      </c>
    </row>
    <row r="8432" spans="7:8" ht="15" customHeight="1" x14ac:dyDescent="0.4">
      <c r="G8432" s="27">
        <f t="shared" si="143"/>
        <v>0</v>
      </c>
      <c r="H8432" s="28" t="e">
        <f>VLOOKUP(E8432,'Cadastro Produtos (kiwkiw)'!C:E,3,0)</f>
        <v>#N/A</v>
      </c>
    </row>
    <row r="8433" spans="7:8" ht="15" customHeight="1" x14ac:dyDescent="0.4">
      <c r="G8433" s="27">
        <f t="shared" si="143"/>
        <v>0</v>
      </c>
      <c r="H8433" s="28" t="e">
        <f>VLOOKUP(E8433,'Cadastro Produtos (kiwkiw)'!C:E,3,0)</f>
        <v>#N/A</v>
      </c>
    </row>
    <row r="8434" spans="7:8" ht="15" customHeight="1" x14ac:dyDescent="0.4">
      <c r="G8434" s="27">
        <f t="shared" si="143"/>
        <v>0</v>
      </c>
      <c r="H8434" s="28" t="e">
        <f>VLOOKUP(E8434,'Cadastro Produtos (kiwkiw)'!C:E,3,0)</f>
        <v>#N/A</v>
      </c>
    </row>
    <row r="8435" spans="7:8" ht="15" customHeight="1" x14ac:dyDescent="0.4">
      <c r="G8435" s="27">
        <f t="shared" si="143"/>
        <v>0</v>
      </c>
      <c r="H8435" s="28" t="e">
        <f>VLOOKUP(E8435,'Cadastro Produtos (kiwkiw)'!C:E,3,0)</f>
        <v>#N/A</v>
      </c>
    </row>
    <row r="8436" spans="7:8" ht="15" customHeight="1" x14ac:dyDescent="0.4">
      <c r="G8436" s="27">
        <f t="shared" si="143"/>
        <v>0</v>
      </c>
      <c r="H8436" s="28" t="e">
        <f>VLOOKUP(E8436,'Cadastro Produtos (kiwkiw)'!C:E,3,0)</f>
        <v>#N/A</v>
      </c>
    </row>
    <row r="8437" spans="7:8" ht="15" customHeight="1" x14ac:dyDescent="0.4">
      <c r="G8437" s="27">
        <f t="shared" si="143"/>
        <v>0</v>
      </c>
      <c r="H8437" s="28" t="e">
        <f>VLOOKUP(E8437,'Cadastro Produtos (kiwkiw)'!C:E,3,0)</f>
        <v>#N/A</v>
      </c>
    </row>
    <row r="8438" spans="7:8" ht="15" customHeight="1" x14ac:dyDescent="0.4">
      <c r="G8438" s="27">
        <f t="shared" si="143"/>
        <v>0</v>
      </c>
      <c r="H8438" s="28" t="e">
        <f>VLOOKUP(E8438,'Cadastro Produtos (kiwkiw)'!C:E,3,0)</f>
        <v>#N/A</v>
      </c>
    </row>
    <row r="8439" spans="7:8" ht="15" customHeight="1" x14ac:dyDescent="0.4">
      <c r="G8439" s="27">
        <f t="shared" si="143"/>
        <v>0</v>
      </c>
      <c r="H8439" s="28" t="e">
        <f>VLOOKUP(E8439,'Cadastro Produtos (kiwkiw)'!C:E,3,0)</f>
        <v>#N/A</v>
      </c>
    </row>
    <row r="8440" spans="7:8" ht="15" customHeight="1" x14ac:dyDescent="0.4">
      <c r="G8440" s="27">
        <f t="shared" si="143"/>
        <v>0</v>
      </c>
      <c r="H8440" s="28" t="e">
        <f>VLOOKUP(E8440,'Cadastro Produtos (kiwkiw)'!C:E,3,0)</f>
        <v>#N/A</v>
      </c>
    </row>
    <row r="8441" spans="7:8" ht="15" customHeight="1" x14ac:dyDescent="0.4">
      <c r="G8441" s="27">
        <f t="shared" si="143"/>
        <v>0</v>
      </c>
      <c r="H8441" s="28" t="e">
        <f>VLOOKUP(E8441,'Cadastro Produtos (kiwkiw)'!C:E,3,0)</f>
        <v>#N/A</v>
      </c>
    </row>
    <row r="8442" spans="7:8" ht="15" customHeight="1" x14ac:dyDescent="0.4">
      <c r="G8442" s="27">
        <f t="shared" si="143"/>
        <v>0</v>
      </c>
      <c r="H8442" s="28" t="e">
        <f>VLOOKUP(E8442,'Cadastro Produtos (kiwkiw)'!C:E,3,0)</f>
        <v>#N/A</v>
      </c>
    </row>
    <row r="8443" spans="7:8" ht="15" customHeight="1" x14ac:dyDescent="0.4">
      <c r="G8443" s="27">
        <f t="shared" si="143"/>
        <v>0</v>
      </c>
      <c r="H8443" s="28" t="e">
        <f>VLOOKUP(E8443,'Cadastro Produtos (kiwkiw)'!C:E,3,0)</f>
        <v>#N/A</v>
      </c>
    </row>
    <row r="8444" spans="7:8" ht="15" customHeight="1" x14ac:dyDescent="0.4">
      <c r="G8444" s="27">
        <f t="shared" si="143"/>
        <v>0</v>
      </c>
      <c r="H8444" s="28" t="e">
        <f>VLOOKUP(E8444,'Cadastro Produtos (kiwkiw)'!C:E,3,0)</f>
        <v>#N/A</v>
      </c>
    </row>
    <row r="8445" spans="7:8" ht="15" customHeight="1" x14ac:dyDescent="0.4">
      <c r="G8445" s="27">
        <f t="shared" si="143"/>
        <v>0</v>
      </c>
      <c r="H8445" s="28" t="e">
        <f>VLOOKUP(E8445,'Cadastro Produtos (kiwkiw)'!C:E,3,0)</f>
        <v>#N/A</v>
      </c>
    </row>
    <row r="8446" spans="7:8" ht="15" customHeight="1" x14ac:dyDescent="0.4">
      <c r="G8446" s="27">
        <f t="shared" si="143"/>
        <v>0</v>
      </c>
      <c r="H8446" s="28" t="e">
        <f>VLOOKUP(E8446,'Cadastro Produtos (kiwkiw)'!C:E,3,0)</f>
        <v>#N/A</v>
      </c>
    </row>
    <row r="8447" spans="7:8" ht="15" customHeight="1" x14ac:dyDescent="0.4">
      <c r="G8447" s="27">
        <f t="shared" si="143"/>
        <v>0</v>
      </c>
      <c r="H8447" s="28" t="e">
        <f>VLOOKUP(E8447,'Cadastro Produtos (kiwkiw)'!C:E,3,0)</f>
        <v>#N/A</v>
      </c>
    </row>
    <row r="8448" spans="7:8" ht="15" customHeight="1" x14ac:dyDescent="0.4">
      <c r="G8448" s="27">
        <f t="shared" si="143"/>
        <v>0</v>
      </c>
      <c r="H8448" s="28" t="e">
        <f>VLOOKUP(E8448,'Cadastro Produtos (kiwkiw)'!C:E,3,0)</f>
        <v>#N/A</v>
      </c>
    </row>
    <row r="8449" spans="7:8" ht="15" customHeight="1" x14ac:dyDescent="0.4">
      <c r="G8449" s="27">
        <f t="shared" si="143"/>
        <v>0</v>
      </c>
      <c r="H8449" s="28" t="e">
        <f>VLOOKUP(E8449,'Cadastro Produtos (kiwkiw)'!C:E,3,0)</f>
        <v>#N/A</v>
      </c>
    </row>
    <row r="8450" spans="7:8" ht="15" customHeight="1" x14ac:dyDescent="0.4">
      <c r="G8450" s="27">
        <f t="shared" si="143"/>
        <v>0</v>
      </c>
      <c r="H8450" s="28" t="e">
        <f>VLOOKUP(E8450,'Cadastro Produtos (kiwkiw)'!C:E,3,0)</f>
        <v>#N/A</v>
      </c>
    </row>
    <row r="8451" spans="7:8" ht="15" customHeight="1" x14ac:dyDescent="0.4">
      <c r="G8451" s="27">
        <f t="shared" si="143"/>
        <v>0</v>
      </c>
      <c r="H8451" s="28" t="e">
        <f>VLOOKUP(E8451,'Cadastro Produtos (kiwkiw)'!C:E,3,0)</f>
        <v>#N/A</v>
      </c>
    </row>
    <row r="8452" spans="7:8" ht="15" customHeight="1" x14ac:dyDescent="0.4">
      <c r="G8452" s="27">
        <f t="shared" si="143"/>
        <v>0</v>
      </c>
      <c r="H8452" s="28" t="e">
        <f>VLOOKUP(E8452,'Cadastro Produtos (kiwkiw)'!C:E,3,0)</f>
        <v>#N/A</v>
      </c>
    </row>
    <row r="8453" spans="7:8" ht="15" customHeight="1" x14ac:dyDescent="0.4">
      <c r="G8453" s="27">
        <f t="shared" si="143"/>
        <v>0</v>
      </c>
      <c r="H8453" s="28" t="e">
        <f>VLOOKUP(E8453,'Cadastro Produtos (kiwkiw)'!C:E,3,0)</f>
        <v>#N/A</v>
      </c>
    </row>
    <row r="8454" spans="7:8" ht="15" customHeight="1" x14ac:dyDescent="0.4">
      <c r="G8454" s="27">
        <f t="shared" si="143"/>
        <v>0</v>
      </c>
      <c r="H8454" s="28" t="e">
        <f>VLOOKUP(E8454,'Cadastro Produtos (kiwkiw)'!C:E,3,0)</f>
        <v>#N/A</v>
      </c>
    </row>
    <row r="8455" spans="7:8" ht="15" customHeight="1" x14ac:dyDescent="0.4">
      <c r="G8455" s="27">
        <f t="shared" si="143"/>
        <v>0</v>
      </c>
      <c r="H8455" s="28" t="e">
        <f>VLOOKUP(E8455,'Cadastro Produtos (kiwkiw)'!C:E,3,0)</f>
        <v>#N/A</v>
      </c>
    </row>
    <row r="8456" spans="7:8" ht="15" customHeight="1" x14ac:dyDescent="0.4">
      <c r="G8456" s="27">
        <f t="shared" si="143"/>
        <v>0</v>
      </c>
      <c r="H8456" s="28" t="e">
        <f>VLOOKUP(E8456,'Cadastro Produtos (kiwkiw)'!C:E,3,0)</f>
        <v>#N/A</v>
      </c>
    </row>
    <row r="8457" spans="7:8" ht="15" customHeight="1" x14ac:dyDescent="0.4">
      <c r="G8457" s="27">
        <f t="shared" si="143"/>
        <v>0</v>
      </c>
      <c r="H8457" s="28" t="e">
        <f>VLOOKUP(E8457,'Cadastro Produtos (kiwkiw)'!C:E,3,0)</f>
        <v>#N/A</v>
      </c>
    </row>
    <row r="8458" spans="7:8" ht="15" customHeight="1" x14ac:dyDescent="0.4">
      <c r="G8458" s="27">
        <f t="shared" si="143"/>
        <v>0</v>
      </c>
      <c r="H8458" s="28" t="e">
        <f>VLOOKUP(E8458,'Cadastro Produtos (kiwkiw)'!C:E,3,0)</f>
        <v>#N/A</v>
      </c>
    </row>
    <row r="8459" spans="7:8" ht="15" customHeight="1" x14ac:dyDescent="0.4">
      <c r="G8459" s="27">
        <f t="shared" si="143"/>
        <v>0</v>
      </c>
      <c r="H8459" s="28" t="e">
        <f>VLOOKUP(E8459,'Cadastro Produtos (kiwkiw)'!C:E,3,0)</f>
        <v>#N/A</v>
      </c>
    </row>
    <row r="8460" spans="7:8" ht="15" customHeight="1" x14ac:dyDescent="0.4">
      <c r="G8460" s="27">
        <f t="shared" si="143"/>
        <v>0</v>
      </c>
      <c r="H8460" s="28" t="e">
        <f>VLOOKUP(E8460,'Cadastro Produtos (kiwkiw)'!C:E,3,0)</f>
        <v>#N/A</v>
      </c>
    </row>
    <row r="8461" spans="7:8" ht="15" customHeight="1" x14ac:dyDescent="0.4">
      <c r="G8461" s="27">
        <f t="shared" si="143"/>
        <v>0</v>
      </c>
      <c r="H8461" s="28" t="e">
        <f>VLOOKUP(E8461,'Cadastro Produtos (kiwkiw)'!C:E,3,0)</f>
        <v>#N/A</v>
      </c>
    </row>
    <row r="8462" spans="7:8" ht="15" customHeight="1" x14ac:dyDescent="0.4">
      <c r="G8462" s="27">
        <f t="shared" si="143"/>
        <v>0</v>
      </c>
      <c r="H8462" s="28" t="e">
        <f>VLOOKUP(E8462,'Cadastro Produtos (kiwkiw)'!C:E,3,0)</f>
        <v>#N/A</v>
      </c>
    </row>
    <row r="8463" spans="7:8" ht="15" customHeight="1" x14ac:dyDescent="0.4">
      <c r="G8463" s="27">
        <f t="shared" si="143"/>
        <v>0</v>
      </c>
      <c r="H8463" s="28" t="e">
        <f>VLOOKUP(E8463,'Cadastro Produtos (kiwkiw)'!C:E,3,0)</f>
        <v>#N/A</v>
      </c>
    </row>
    <row r="8464" spans="7:8" ht="15" customHeight="1" x14ac:dyDescent="0.4">
      <c r="G8464" s="27">
        <f t="shared" si="143"/>
        <v>0</v>
      </c>
      <c r="H8464" s="28" t="e">
        <f>VLOOKUP(E8464,'Cadastro Produtos (kiwkiw)'!C:E,3,0)</f>
        <v>#N/A</v>
      </c>
    </row>
    <row r="8465" spans="7:8" ht="15" customHeight="1" x14ac:dyDescent="0.4">
      <c r="G8465" s="27">
        <f t="shared" si="143"/>
        <v>0</v>
      </c>
      <c r="H8465" s="28" t="e">
        <f>VLOOKUP(E8465,'Cadastro Produtos (kiwkiw)'!C:E,3,0)</f>
        <v>#N/A</v>
      </c>
    </row>
    <row r="8466" spans="7:8" ht="15" customHeight="1" x14ac:dyDescent="0.4">
      <c r="G8466" s="27">
        <f t="shared" ref="G8466:G8529" si="144">IF(C8466="Entrada",F8466,-F8466)</f>
        <v>0</v>
      </c>
      <c r="H8466" s="28" t="e">
        <f>VLOOKUP(E8466,'Cadastro Produtos (kiwkiw)'!C:E,3,0)</f>
        <v>#N/A</v>
      </c>
    </row>
    <row r="8467" spans="7:8" ht="15" customHeight="1" x14ac:dyDescent="0.4">
      <c r="G8467" s="27">
        <f t="shared" si="144"/>
        <v>0</v>
      </c>
      <c r="H8467" s="28" t="e">
        <f>VLOOKUP(E8467,'Cadastro Produtos (kiwkiw)'!C:E,3,0)</f>
        <v>#N/A</v>
      </c>
    </row>
    <row r="8468" spans="7:8" ht="15" customHeight="1" x14ac:dyDescent="0.4">
      <c r="G8468" s="27">
        <f t="shared" si="144"/>
        <v>0</v>
      </c>
      <c r="H8468" s="28" t="e">
        <f>VLOOKUP(E8468,'Cadastro Produtos (kiwkiw)'!C:E,3,0)</f>
        <v>#N/A</v>
      </c>
    </row>
    <row r="8469" spans="7:8" ht="15" customHeight="1" x14ac:dyDescent="0.4">
      <c r="G8469" s="27">
        <f t="shared" si="144"/>
        <v>0</v>
      </c>
      <c r="H8469" s="28" t="e">
        <f>VLOOKUP(E8469,'Cadastro Produtos (kiwkiw)'!C:E,3,0)</f>
        <v>#N/A</v>
      </c>
    </row>
    <row r="8470" spans="7:8" ht="15" customHeight="1" x14ac:dyDescent="0.4">
      <c r="G8470" s="27">
        <f t="shared" si="144"/>
        <v>0</v>
      </c>
      <c r="H8470" s="28" t="e">
        <f>VLOOKUP(E8470,'Cadastro Produtos (kiwkiw)'!C:E,3,0)</f>
        <v>#N/A</v>
      </c>
    </row>
    <row r="8471" spans="7:8" ht="15" customHeight="1" x14ac:dyDescent="0.4">
      <c r="G8471" s="27">
        <f t="shared" si="144"/>
        <v>0</v>
      </c>
      <c r="H8471" s="28" t="e">
        <f>VLOOKUP(E8471,'Cadastro Produtos (kiwkiw)'!C:E,3,0)</f>
        <v>#N/A</v>
      </c>
    </row>
    <row r="8472" spans="7:8" ht="15" customHeight="1" x14ac:dyDescent="0.4">
      <c r="G8472" s="27">
        <f t="shared" si="144"/>
        <v>0</v>
      </c>
      <c r="H8472" s="28" t="e">
        <f>VLOOKUP(E8472,'Cadastro Produtos (kiwkiw)'!C:E,3,0)</f>
        <v>#N/A</v>
      </c>
    </row>
    <row r="8473" spans="7:8" ht="15" customHeight="1" x14ac:dyDescent="0.4">
      <c r="G8473" s="27">
        <f t="shared" si="144"/>
        <v>0</v>
      </c>
      <c r="H8473" s="28" t="e">
        <f>VLOOKUP(E8473,'Cadastro Produtos (kiwkiw)'!C:E,3,0)</f>
        <v>#N/A</v>
      </c>
    </row>
    <row r="8474" spans="7:8" ht="15" customHeight="1" x14ac:dyDescent="0.4">
      <c r="G8474" s="27">
        <f t="shared" si="144"/>
        <v>0</v>
      </c>
      <c r="H8474" s="28" t="e">
        <f>VLOOKUP(E8474,'Cadastro Produtos (kiwkiw)'!C:E,3,0)</f>
        <v>#N/A</v>
      </c>
    </row>
    <row r="8475" spans="7:8" ht="15" customHeight="1" x14ac:dyDescent="0.4">
      <c r="G8475" s="27">
        <f t="shared" si="144"/>
        <v>0</v>
      </c>
      <c r="H8475" s="28" t="e">
        <f>VLOOKUP(E8475,'Cadastro Produtos (kiwkiw)'!C:E,3,0)</f>
        <v>#N/A</v>
      </c>
    </row>
    <row r="8476" spans="7:8" ht="15" customHeight="1" x14ac:dyDescent="0.4">
      <c r="G8476" s="27">
        <f t="shared" si="144"/>
        <v>0</v>
      </c>
      <c r="H8476" s="28" t="e">
        <f>VLOOKUP(E8476,'Cadastro Produtos (kiwkiw)'!C:E,3,0)</f>
        <v>#N/A</v>
      </c>
    </row>
    <row r="8477" spans="7:8" ht="15" customHeight="1" x14ac:dyDescent="0.4">
      <c r="G8477" s="27">
        <f t="shared" si="144"/>
        <v>0</v>
      </c>
      <c r="H8477" s="28" t="e">
        <f>VLOOKUP(E8477,'Cadastro Produtos (kiwkiw)'!C:E,3,0)</f>
        <v>#N/A</v>
      </c>
    </row>
    <row r="8478" spans="7:8" ht="15" customHeight="1" x14ac:dyDescent="0.4">
      <c r="G8478" s="27">
        <f t="shared" si="144"/>
        <v>0</v>
      </c>
      <c r="H8478" s="28" t="e">
        <f>VLOOKUP(E8478,'Cadastro Produtos (kiwkiw)'!C:E,3,0)</f>
        <v>#N/A</v>
      </c>
    </row>
    <row r="8479" spans="7:8" ht="15" customHeight="1" x14ac:dyDescent="0.4">
      <c r="G8479" s="27">
        <f t="shared" si="144"/>
        <v>0</v>
      </c>
      <c r="H8479" s="28" t="e">
        <f>VLOOKUP(E8479,'Cadastro Produtos (kiwkiw)'!C:E,3,0)</f>
        <v>#N/A</v>
      </c>
    </row>
    <row r="8480" spans="7:8" ht="15" customHeight="1" x14ac:dyDescent="0.4">
      <c r="G8480" s="27">
        <f t="shared" si="144"/>
        <v>0</v>
      </c>
      <c r="H8480" s="28" t="e">
        <f>VLOOKUP(E8480,'Cadastro Produtos (kiwkiw)'!C:E,3,0)</f>
        <v>#N/A</v>
      </c>
    </row>
    <row r="8481" spans="2:8" ht="15" customHeight="1" x14ac:dyDescent="0.4">
      <c r="G8481" s="27">
        <f t="shared" si="144"/>
        <v>0</v>
      </c>
      <c r="H8481" s="28" t="e">
        <f>VLOOKUP(E8481,'Cadastro Produtos (kiwkiw)'!C:E,3,0)</f>
        <v>#N/A</v>
      </c>
    </row>
    <row r="8482" spans="2:8" ht="15" customHeight="1" x14ac:dyDescent="0.4">
      <c r="G8482" s="27">
        <f t="shared" si="144"/>
        <v>0</v>
      </c>
      <c r="H8482" s="28" t="e">
        <f>VLOOKUP(E8482,'Cadastro Produtos (kiwkiw)'!C:E,3,0)</f>
        <v>#N/A</v>
      </c>
    </row>
    <row r="8483" spans="2:8" ht="15" customHeight="1" x14ac:dyDescent="0.4">
      <c r="G8483" s="27">
        <f t="shared" si="144"/>
        <v>0</v>
      </c>
      <c r="H8483" s="28" t="e">
        <f>VLOOKUP(E8483,'Cadastro Produtos (kiwkiw)'!C:E,3,0)</f>
        <v>#N/A</v>
      </c>
    </row>
    <row r="8484" spans="2:8" ht="15" customHeight="1" x14ac:dyDescent="0.4">
      <c r="G8484" s="27">
        <f t="shared" si="144"/>
        <v>0</v>
      </c>
      <c r="H8484" s="28" t="e">
        <f>VLOOKUP(E8484,'Cadastro Produtos (kiwkiw)'!C:E,3,0)</f>
        <v>#N/A</v>
      </c>
    </row>
    <row r="8485" spans="2:8" ht="15" customHeight="1" x14ac:dyDescent="0.4">
      <c r="G8485" s="27">
        <f t="shared" si="144"/>
        <v>0</v>
      </c>
      <c r="H8485" s="28" t="e">
        <f>VLOOKUP(E8485,'Cadastro Produtos (kiwkiw)'!C:E,3,0)</f>
        <v>#N/A</v>
      </c>
    </row>
    <row r="8486" spans="2:8" ht="15" customHeight="1" x14ac:dyDescent="0.4">
      <c r="B8486" s="43"/>
      <c r="G8486" s="27">
        <f t="shared" si="144"/>
        <v>0</v>
      </c>
      <c r="H8486" s="28" t="e">
        <f>VLOOKUP(E8486,'Cadastro Produtos (kiwkiw)'!C:E,3,0)</f>
        <v>#N/A</v>
      </c>
    </row>
    <row r="8487" spans="2:8" ht="15" customHeight="1" x14ac:dyDescent="0.4">
      <c r="G8487" s="27">
        <f t="shared" si="144"/>
        <v>0</v>
      </c>
      <c r="H8487" s="28" t="e">
        <f>VLOOKUP(E8487,'Cadastro Produtos (kiwkiw)'!C:E,3,0)</f>
        <v>#N/A</v>
      </c>
    </row>
    <row r="8488" spans="2:8" ht="15" customHeight="1" x14ac:dyDescent="0.4">
      <c r="G8488" s="27">
        <f t="shared" si="144"/>
        <v>0</v>
      </c>
      <c r="H8488" s="28" t="e">
        <f>VLOOKUP(E8488,'Cadastro Produtos (kiwkiw)'!C:E,3,0)</f>
        <v>#N/A</v>
      </c>
    </row>
    <row r="8489" spans="2:8" ht="15" customHeight="1" x14ac:dyDescent="0.4">
      <c r="G8489" s="27">
        <f t="shared" si="144"/>
        <v>0</v>
      </c>
      <c r="H8489" s="28" t="e">
        <f>VLOOKUP(E8489,'Cadastro Produtos (kiwkiw)'!C:E,3,0)</f>
        <v>#N/A</v>
      </c>
    </row>
    <row r="8490" spans="2:8" ht="15" customHeight="1" x14ac:dyDescent="0.4">
      <c r="G8490" s="27">
        <f t="shared" si="144"/>
        <v>0</v>
      </c>
      <c r="H8490" s="28" t="e">
        <f>VLOOKUP(E8490,'Cadastro Produtos (kiwkiw)'!C:E,3,0)</f>
        <v>#N/A</v>
      </c>
    </row>
    <row r="8491" spans="2:8" ht="15" customHeight="1" x14ac:dyDescent="0.4">
      <c r="G8491" s="27">
        <f t="shared" si="144"/>
        <v>0</v>
      </c>
      <c r="H8491" s="28" t="e">
        <f>VLOOKUP(E8491,'Cadastro Produtos (kiwkiw)'!C:E,3,0)</f>
        <v>#N/A</v>
      </c>
    </row>
    <row r="8492" spans="2:8" ht="15" customHeight="1" x14ac:dyDescent="0.4">
      <c r="G8492" s="27">
        <f t="shared" si="144"/>
        <v>0</v>
      </c>
      <c r="H8492" s="28" t="e">
        <f>VLOOKUP(E8492,'Cadastro Produtos (kiwkiw)'!C:E,3,0)</f>
        <v>#N/A</v>
      </c>
    </row>
    <row r="8493" spans="2:8" ht="15" customHeight="1" x14ac:dyDescent="0.4">
      <c r="G8493" s="27">
        <f t="shared" si="144"/>
        <v>0</v>
      </c>
      <c r="H8493" s="28" t="e">
        <f>VLOOKUP(E8493,'Cadastro Produtos (kiwkiw)'!C:E,3,0)</f>
        <v>#N/A</v>
      </c>
    </row>
    <row r="8494" spans="2:8" ht="15" customHeight="1" x14ac:dyDescent="0.4">
      <c r="G8494" s="27">
        <f t="shared" si="144"/>
        <v>0</v>
      </c>
      <c r="H8494" s="28" t="e">
        <f>VLOOKUP(E8494,'Cadastro Produtos (kiwkiw)'!C:E,3,0)</f>
        <v>#N/A</v>
      </c>
    </row>
    <row r="8495" spans="2:8" ht="15" customHeight="1" x14ac:dyDescent="0.4">
      <c r="G8495" s="27">
        <f t="shared" si="144"/>
        <v>0</v>
      </c>
      <c r="H8495" s="28" t="e">
        <f>VLOOKUP(E8495,'Cadastro Produtos (kiwkiw)'!C:E,3,0)</f>
        <v>#N/A</v>
      </c>
    </row>
    <row r="8496" spans="2:8" ht="15" customHeight="1" x14ac:dyDescent="0.4">
      <c r="G8496" s="27">
        <f t="shared" si="144"/>
        <v>0</v>
      </c>
      <c r="H8496" s="28" t="e">
        <f>VLOOKUP(E8496,'Cadastro Produtos (kiwkiw)'!C:E,3,0)</f>
        <v>#N/A</v>
      </c>
    </row>
    <row r="8497" spans="7:8" ht="15" customHeight="1" x14ac:dyDescent="0.4">
      <c r="G8497" s="27">
        <f t="shared" si="144"/>
        <v>0</v>
      </c>
      <c r="H8497" s="28" t="e">
        <f>VLOOKUP(E8497,'Cadastro Produtos (kiwkiw)'!C:E,3,0)</f>
        <v>#N/A</v>
      </c>
    </row>
    <row r="8498" spans="7:8" ht="15" customHeight="1" x14ac:dyDescent="0.4">
      <c r="G8498" s="27">
        <f t="shared" si="144"/>
        <v>0</v>
      </c>
      <c r="H8498" s="28" t="e">
        <f>VLOOKUP(E8498,'Cadastro Produtos (kiwkiw)'!C:E,3,0)</f>
        <v>#N/A</v>
      </c>
    </row>
    <row r="8499" spans="7:8" ht="15" customHeight="1" x14ac:dyDescent="0.4">
      <c r="G8499" s="27">
        <f t="shared" si="144"/>
        <v>0</v>
      </c>
      <c r="H8499" s="28" t="e">
        <f>VLOOKUP(E8499,'Cadastro Produtos (kiwkiw)'!C:E,3,0)</f>
        <v>#N/A</v>
      </c>
    </row>
    <row r="8500" spans="7:8" ht="15" customHeight="1" x14ac:dyDescent="0.4">
      <c r="G8500" s="27">
        <f t="shared" si="144"/>
        <v>0</v>
      </c>
      <c r="H8500" s="28" t="e">
        <f>VLOOKUP(E8500,'Cadastro Produtos (kiwkiw)'!C:E,3,0)</f>
        <v>#N/A</v>
      </c>
    </row>
    <row r="8501" spans="7:8" ht="15" customHeight="1" x14ac:dyDescent="0.4">
      <c r="G8501" s="27">
        <f t="shared" si="144"/>
        <v>0</v>
      </c>
      <c r="H8501" s="28" t="e">
        <f>VLOOKUP(E8501,'Cadastro Produtos (kiwkiw)'!C:E,3,0)</f>
        <v>#N/A</v>
      </c>
    </row>
    <row r="8502" spans="7:8" ht="15" customHeight="1" x14ac:dyDescent="0.4">
      <c r="G8502" s="27">
        <f t="shared" si="144"/>
        <v>0</v>
      </c>
      <c r="H8502" s="28" t="e">
        <f>VLOOKUP(E8502,'Cadastro Produtos (kiwkiw)'!C:E,3,0)</f>
        <v>#N/A</v>
      </c>
    </row>
    <row r="8503" spans="7:8" ht="15" customHeight="1" x14ac:dyDescent="0.4">
      <c r="G8503" s="27">
        <f t="shared" si="144"/>
        <v>0</v>
      </c>
      <c r="H8503" s="28" t="e">
        <f>VLOOKUP(E8503,'Cadastro Produtos (kiwkiw)'!C:E,3,0)</f>
        <v>#N/A</v>
      </c>
    </row>
    <row r="8504" spans="7:8" ht="15" customHeight="1" x14ac:dyDescent="0.4">
      <c r="G8504" s="27">
        <f t="shared" si="144"/>
        <v>0</v>
      </c>
      <c r="H8504" s="28" t="e">
        <f>VLOOKUP(E8504,'Cadastro Produtos (kiwkiw)'!C:E,3,0)</f>
        <v>#N/A</v>
      </c>
    </row>
    <row r="8505" spans="7:8" ht="15" customHeight="1" x14ac:dyDescent="0.4">
      <c r="G8505" s="27">
        <f t="shared" si="144"/>
        <v>0</v>
      </c>
      <c r="H8505" s="28" t="e">
        <f>VLOOKUP(E8505,'Cadastro Produtos (kiwkiw)'!C:E,3,0)</f>
        <v>#N/A</v>
      </c>
    </row>
    <row r="8506" spans="7:8" ht="15" customHeight="1" x14ac:dyDescent="0.4">
      <c r="G8506" s="27">
        <f t="shared" si="144"/>
        <v>0</v>
      </c>
      <c r="H8506" s="28" t="e">
        <f>VLOOKUP(E8506,'Cadastro Produtos (kiwkiw)'!C:E,3,0)</f>
        <v>#N/A</v>
      </c>
    </row>
    <row r="8507" spans="7:8" ht="15" customHeight="1" x14ac:dyDescent="0.4">
      <c r="G8507" s="27">
        <f t="shared" si="144"/>
        <v>0</v>
      </c>
      <c r="H8507" s="28" t="e">
        <f>VLOOKUP(E8507,'Cadastro Produtos (kiwkiw)'!C:E,3,0)</f>
        <v>#N/A</v>
      </c>
    </row>
    <row r="8508" spans="7:8" ht="15" customHeight="1" x14ac:dyDescent="0.4">
      <c r="G8508" s="27">
        <f t="shared" si="144"/>
        <v>0</v>
      </c>
      <c r="H8508" s="28" t="e">
        <f>VLOOKUP(E8508,'Cadastro Produtos (kiwkiw)'!C:E,3,0)</f>
        <v>#N/A</v>
      </c>
    </row>
    <row r="8509" spans="7:8" ht="15" customHeight="1" x14ac:dyDescent="0.4">
      <c r="G8509" s="27">
        <f t="shared" si="144"/>
        <v>0</v>
      </c>
      <c r="H8509" s="28" t="e">
        <f>VLOOKUP(E8509,'Cadastro Produtos (kiwkiw)'!C:E,3,0)</f>
        <v>#N/A</v>
      </c>
    </row>
    <row r="8510" spans="7:8" ht="15" customHeight="1" x14ac:dyDescent="0.4">
      <c r="G8510" s="27">
        <f t="shared" si="144"/>
        <v>0</v>
      </c>
      <c r="H8510" s="28" t="e">
        <f>VLOOKUP(E8510,'Cadastro Produtos (kiwkiw)'!C:E,3,0)</f>
        <v>#N/A</v>
      </c>
    </row>
    <row r="8511" spans="7:8" ht="15" customHeight="1" x14ac:dyDescent="0.4">
      <c r="G8511" s="27">
        <f t="shared" si="144"/>
        <v>0</v>
      </c>
      <c r="H8511" s="28" t="e">
        <f>VLOOKUP(E8511,'Cadastro Produtos (kiwkiw)'!C:E,3,0)</f>
        <v>#N/A</v>
      </c>
    </row>
    <row r="8512" spans="7:8" ht="15" customHeight="1" x14ac:dyDescent="0.4">
      <c r="G8512" s="27">
        <f t="shared" si="144"/>
        <v>0</v>
      </c>
      <c r="H8512" s="28" t="e">
        <f>VLOOKUP(E8512,'Cadastro Produtos (kiwkiw)'!C:E,3,0)</f>
        <v>#N/A</v>
      </c>
    </row>
    <row r="8513" spans="7:8" ht="15" customHeight="1" x14ac:dyDescent="0.4">
      <c r="G8513" s="27">
        <f t="shared" si="144"/>
        <v>0</v>
      </c>
      <c r="H8513" s="28" t="e">
        <f>VLOOKUP(E8513,'Cadastro Produtos (kiwkiw)'!C:E,3,0)</f>
        <v>#N/A</v>
      </c>
    </row>
    <row r="8514" spans="7:8" ht="15" customHeight="1" x14ac:dyDescent="0.4">
      <c r="G8514" s="27">
        <f t="shared" si="144"/>
        <v>0</v>
      </c>
      <c r="H8514" s="28" t="e">
        <f>VLOOKUP(E8514,'Cadastro Produtos (kiwkiw)'!C:E,3,0)</f>
        <v>#N/A</v>
      </c>
    </row>
    <row r="8515" spans="7:8" ht="15" customHeight="1" x14ac:dyDescent="0.4">
      <c r="G8515" s="27">
        <f t="shared" si="144"/>
        <v>0</v>
      </c>
      <c r="H8515" s="28" t="e">
        <f>VLOOKUP(E8515,'Cadastro Produtos (kiwkiw)'!C:E,3,0)</f>
        <v>#N/A</v>
      </c>
    </row>
    <row r="8516" spans="7:8" ht="15" customHeight="1" x14ac:dyDescent="0.4">
      <c r="G8516" s="27">
        <f t="shared" si="144"/>
        <v>0</v>
      </c>
      <c r="H8516" s="28" t="e">
        <f>VLOOKUP(E8516,'Cadastro Produtos (kiwkiw)'!C:E,3,0)</f>
        <v>#N/A</v>
      </c>
    </row>
    <row r="8517" spans="7:8" ht="15" customHeight="1" x14ac:dyDescent="0.4">
      <c r="G8517" s="27">
        <f t="shared" si="144"/>
        <v>0</v>
      </c>
      <c r="H8517" s="28" t="e">
        <f>VLOOKUP(E8517,'Cadastro Produtos (kiwkiw)'!C:E,3,0)</f>
        <v>#N/A</v>
      </c>
    </row>
    <row r="8518" spans="7:8" ht="15" customHeight="1" x14ac:dyDescent="0.4">
      <c r="G8518" s="27">
        <f t="shared" si="144"/>
        <v>0</v>
      </c>
      <c r="H8518" s="28" t="e">
        <f>VLOOKUP(E8518,'Cadastro Produtos (kiwkiw)'!C:E,3,0)</f>
        <v>#N/A</v>
      </c>
    </row>
    <row r="8519" spans="7:8" ht="15" customHeight="1" x14ac:dyDescent="0.4">
      <c r="G8519" s="27">
        <f t="shared" si="144"/>
        <v>0</v>
      </c>
      <c r="H8519" s="28" t="e">
        <f>VLOOKUP(E8519,'Cadastro Produtos (kiwkiw)'!C:E,3,0)</f>
        <v>#N/A</v>
      </c>
    </row>
    <row r="8520" spans="7:8" ht="15" customHeight="1" x14ac:dyDescent="0.4">
      <c r="G8520" s="27">
        <f t="shared" si="144"/>
        <v>0</v>
      </c>
      <c r="H8520" s="28" t="e">
        <f>VLOOKUP(E8520,'Cadastro Produtos (kiwkiw)'!C:E,3,0)</f>
        <v>#N/A</v>
      </c>
    </row>
    <row r="8521" spans="7:8" ht="15" customHeight="1" x14ac:dyDescent="0.4">
      <c r="G8521" s="27">
        <f t="shared" si="144"/>
        <v>0</v>
      </c>
      <c r="H8521" s="28" t="e">
        <f>VLOOKUP(E8521,'Cadastro Produtos (kiwkiw)'!C:E,3,0)</f>
        <v>#N/A</v>
      </c>
    </row>
    <row r="8522" spans="7:8" ht="15" customHeight="1" x14ac:dyDescent="0.4">
      <c r="G8522" s="27">
        <f t="shared" si="144"/>
        <v>0</v>
      </c>
      <c r="H8522" s="28" t="e">
        <f>VLOOKUP(E8522,'Cadastro Produtos (kiwkiw)'!C:E,3,0)</f>
        <v>#N/A</v>
      </c>
    </row>
    <row r="8523" spans="7:8" ht="15" customHeight="1" x14ac:dyDescent="0.4">
      <c r="G8523" s="27">
        <f t="shared" si="144"/>
        <v>0</v>
      </c>
      <c r="H8523" s="28" t="e">
        <f>VLOOKUP(E8523,'Cadastro Produtos (kiwkiw)'!C:E,3,0)</f>
        <v>#N/A</v>
      </c>
    </row>
    <row r="8524" spans="7:8" ht="15" customHeight="1" x14ac:dyDescent="0.4">
      <c r="G8524" s="27">
        <f t="shared" si="144"/>
        <v>0</v>
      </c>
      <c r="H8524" s="28" t="e">
        <f>VLOOKUP(E8524,'Cadastro Produtos (kiwkiw)'!C:E,3,0)</f>
        <v>#N/A</v>
      </c>
    </row>
    <row r="8525" spans="7:8" ht="15" customHeight="1" x14ac:dyDescent="0.4">
      <c r="G8525" s="27">
        <f t="shared" si="144"/>
        <v>0</v>
      </c>
      <c r="H8525" s="28" t="e">
        <f>VLOOKUP(E8525,'Cadastro Produtos (kiwkiw)'!C:E,3,0)</f>
        <v>#N/A</v>
      </c>
    </row>
    <row r="8526" spans="7:8" ht="15" customHeight="1" x14ac:dyDescent="0.4">
      <c r="G8526" s="27">
        <f t="shared" si="144"/>
        <v>0</v>
      </c>
      <c r="H8526" s="28" t="e">
        <f>VLOOKUP(E8526,'Cadastro Produtos (kiwkiw)'!C:E,3,0)</f>
        <v>#N/A</v>
      </c>
    </row>
    <row r="8527" spans="7:8" ht="15" customHeight="1" x14ac:dyDescent="0.4">
      <c r="G8527" s="27">
        <f t="shared" si="144"/>
        <v>0</v>
      </c>
      <c r="H8527" s="28" t="e">
        <f>VLOOKUP(E8527,'Cadastro Produtos (kiwkiw)'!C:E,3,0)</f>
        <v>#N/A</v>
      </c>
    </row>
    <row r="8528" spans="7:8" ht="15" customHeight="1" x14ac:dyDescent="0.4">
      <c r="G8528" s="27">
        <f t="shared" si="144"/>
        <v>0</v>
      </c>
      <c r="H8528" s="28" t="e">
        <f>VLOOKUP(E8528,'Cadastro Produtos (kiwkiw)'!C:E,3,0)</f>
        <v>#N/A</v>
      </c>
    </row>
    <row r="8529" spans="7:8" ht="15" customHeight="1" x14ac:dyDescent="0.4">
      <c r="G8529" s="27">
        <f t="shared" si="144"/>
        <v>0</v>
      </c>
      <c r="H8529" s="28" t="e">
        <f>VLOOKUP(E8529,'Cadastro Produtos (kiwkiw)'!C:E,3,0)</f>
        <v>#N/A</v>
      </c>
    </row>
    <row r="8530" spans="7:8" ht="15" customHeight="1" x14ac:dyDescent="0.4">
      <c r="G8530" s="27">
        <f t="shared" ref="G8530:G8593" si="145">IF(C8530="Entrada",F8530,-F8530)</f>
        <v>0</v>
      </c>
      <c r="H8530" s="28" t="e">
        <f>VLOOKUP(E8530,'Cadastro Produtos (kiwkiw)'!C:E,3,0)</f>
        <v>#N/A</v>
      </c>
    </row>
    <row r="8531" spans="7:8" ht="15" customHeight="1" x14ac:dyDescent="0.4">
      <c r="G8531" s="27">
        <f t="shared" si="145"/>
        <v>0</v>
      </c>
      <c r="H8531" s="28" t="e">
        <f>VLOOKUP(E8531,'Cadastro Produtos (kiwkiw)'!C:E,3,0)</f>
        <v>#N/A</v>
      </c>
    </row>
    <row r="8532" spans="7:8" ht="15" customHeight="1" x14ac:dyDescent="0.4">
      <c r="G8532" s="27">
        <f t="shared" si="145"/>
        <v>0</v>
      </c>
      <c r="H8532" s="28" t="e">
        <f>VLOOKUP(E8532,'Cadastro Produtos (kiwkiw)'!C:E,3,0)</f>
        <v>#N/A</v>
      </c>
    </row>
    <row r="8533" spans="7:8" ht="15" customHeight="1" x14ac:dyDescent="0.4">
      <c r="G8533" s="27">
        <f t="shared" si="145"/>
        <v>0</v>
      </c>
      <c r="H8533" s="28" t="e">
        <f>VLOOKUP(E8533,'Cadastro Produtos (kiwkiw)'!C:E,3,0)</f>
        <v>#N/A</v>
      </c>
    </row>
    <row r="8534" spans="7:8" ht="15" customHeight="1" x14ac:dyDescent="0.4">
      <c r="G8534" s="27">
        <f t="shared" si="145"/>
        <v>0</v>
      </c>
      <c r="H8534" s="28" t="e">
        <f>VLOOKUP(E8534,'Cadastro Produtos (kiwkiw)'!C:E,3,0)</f>
        <v>#N/A</v>
      </c>
    </row>
    <row r="8535" spans="7:8" ht="15" customHeight="1" x14ac:dyDescent="0.4">
      <c r="G8535" s="27">
        <f t="shared" si="145"/>
        <v>0</v>
      </c>
      <c r="H8535" s="28" t="e">
        <f>VLOOKUP(E8535,'Cadastro Produtos (kiwkiw)'!C:E,3,0)</f>
        <v>#N/A</v>
      </c>
    </row>
    <row r="8536" spans="7:8" ht="15" customHeight="1" x14ac:dyDescent="0.4">
      <c r="G8536" s="27">
        <f t="shared" si="145"/>
        <v>0</v>
      </c>
      <c r="H8536" s="28" t="e">
        <f>VLOOKUP(E8536,'Cadastro Produtos (kiwkiw)'!C:E,3,0)</f>
        <v>#N/A</v>
      </c>
    </row>
    <row r="8537" spans="7:8" ht="15" customHeight="1" x14ac:dyDescent="0.4">
      <c r="G8537" s="27">
        <f t="shared" si="145"/>
        <v>0</v>
      </c>
      <c r="H8537" s="28" t="e">
        <f>VLOOKUP(E8537,'Cadastro Produtos (kiwkiw)'!C:E,3,0)</f>
        <v>#N/A</v>
      </c>
    </row>
    <row r="8538" spans="7:8" ht="15" customHeight="1" x14ac:dyDescent="0.4">
      <c r="G8538" s="27">
        <f t="shared" si="145"/>
        <v>0</v>
      </c>
      <c r="H8538" s="28" t="e">
        <f>VLOOKUP(E8538,'Cadastro Produtos (kiwkiw)'!C:E,3,0)</f>
        <v>#N/A</v>
      </c>
    </row>
    <row r="8539" spans="7:8" ht="15" customHeight="1" x14ac:dyDescent="0.4">
      <c r="G8539" s="27">
        <f t="shared" si="145"/>
        <v>0</v>
      </c>
      <c r="H8539" s="28" t="e">
        <f>VLOOKUP(E8539,'Cadastro Produtos (kiwkiw)'!C:E,3,0)</f>
        <v>#N/A</v>
      </c>
    </row>
    <row r="8540" spans="7:8" ht="15" customHeight="1" x14ac:dyDescent="0.4">
      <c r="G8540" s="27">
        <f t="shared" si="145"/>
        <v>0</v>
      </c>
      <c r="H8540" s="28" t="e">
        <f>VLOOKUP(E8540,'Cadastro Produtos (kiwkiw)'!C:E,3,0)</f>
        <v>#N/A</v>
      </c>
    </row>
    <row r="8541" spans="7:8" ht="15" customHeight="1" x14ac:dyDescent="0.4">
      <c r="G8541" s="27">
        <f t="shared" si="145"/>
        <v>0</v>
      </c>
      <c r="H8541" s="28" t="e">
        <f>VLOOKUP(E8541,'Cadastro Produtos (kiwkiw)'!C:E,3,0)</f>
        <v>#N/A</v>
      </c>
    </row>
    <row r="8542" spans="7:8" ht="15" customHeight="1" x14ac:dyDescent="0.4">
      <c r="G8542" s="27">
        <f t="shared" si="145"/>
        <v>0</v>
      </c>
      <c r="H8542" s="28" t="e">
        <f>VLOOKUP(E8542,'Cadastro Produtos (kiwkiw)'!C:E,3,0)</f>
        <v>#N/A</v>
      </c>
    </row>
    <row r="8543" spans="7:8" ht="15" customHeight="1" x14ac:dyDescent="0.4">
      <c r="G8543" s="27">
        <f t="shared" si="145"/>
        <v>0</v>
      </c>
      <c r="H8543" s="28" t="e">
        <f>VLOOKUP(E8543,'Cadastro Produtos (kiwkiw)'!C:E,3,0)</f>
        <v>#N/A</v>
      </c>
    </row>
    <row r="8544" spans="7:8" ht="15" customHeight="1" x14ac:dyDescent="0.4">
      <c r="G8544" s="27">
        <f t="shared" si="145"/>
        <v>0</v>
      </c>
      <c r="H8544" s="28" t="e">
        <f>VLOOKUP(E8544,'Cadastro Produtos (kiwkiw)'!C:E,3,0)</f>
        <v>#N/A</v>
      </c>
    </row>
    <row r="8545" spans="2:8" ht="15" customHeight="1" x14ac:dyDescent="0.4">
      <c r="G8545" s="27">
        <f t="shared" si="145"/>
        <v>0</v>
      </c>
      <c r="H8545" s="28" t="e">
        <f>VLOOKUP(E8545,'Cadastro Produtos (kiwkiw)'!C:E,3,0)</f>
        <v>#N/A</v>
      </c>
    </row>
    <row r="8546" spans="2:8" ht="15" customHeight="1" x14ac:dyDescent="0.4">
      <c r="G8546" s="27">
        <f t="shared" si="145"/>
        <v>0</v>
      </c>
      <c r="H8546" s="28" t="e">
        <f>VLOOKUP(E8546,'Cadastro Produtos (kiwkiw)'!C:E,3,0)</f>
        <v>#N/A</v>
      </c>
    </row>
    <row r="8547" spans="2:8" ht="15" customHeight="1" x14ac:dyDescent="0.4">
      <c r="G8547" s="27">
        <f t="shared" si="145"/>
        <v>0</v>
      </c>
      <c r="H8547" s="28" t="e">
        <f>VLOOKUP(E8547,'Cadastro Produtos (kiwkiw)'!C:E,3,0)</f>
        <v>#N/A</v>
      </c>
    </row>
    <row r="8548" spans="2:8" ht="15" customHeight="1" x14ac:dyDescent="0.4">
      <c r="G8548" s="27">
        <f t="shared" si="145"/>
        <v>0</v>
      </c>
      <c r="H8548" s="28" t="e">
        <f>VLOOKUP(E8548,'Cadastro Produtos (kiwkiw)'!C:E,3,0)</f>
        <v>#N/A</v>
      </c>
    </row>
    <row r="8549" spans="2:8" ht="15" customHeight="1" x14ac:dyDescent="0.4">
      <c r="G8549" s="27">
        <f t="shared" si="145"/>
        <v>0</v>
      </c>
      <c r="H8549" s="28" t="e">
        <f>VLOOKUP(E8549,'Cadastro Produtos (kiwkiw)'!C:E,3,0)</f>
        <v>#N/A</v>
      </c>
    </row>
    <row r="8550" spans="2:8" ht="15" customHeight="1" x14ac:dyDescent="0.4">
      <c r="G8550" s="27">
        <f t="shared" si="145"/>
        <v>0</v>
      </c>
      <c r="H8550" s="28" t="e">
        <f>VLOOKUP(E8550,'Cadastro Produtos (kiwkiw)'!C:E,3,0)</f>
        <v>#N/A</v>
      </c>
    </row>
    <row r="8551" spans="2:8" ht="15" customHeight="1" x14ac:dyDescent="0.4">
      <c r="B8551" s="43"/>
      <c r="G8551" s="27">
        <f t="shared" si="145"/>
        <v>0</v>
      </c>
      <c r="H8551" s="28" t="e">
        <f>VLOOKUP(E8551,'Cadastro Produtos (kiwkiw)'!C:E,3,0)</f>
        <v>#N/A</v>
      </c>
    </row>
    <row r="8552" spans="2:8" ht="15" customHeight="1" x14ac:dyDescent="0.4">
      <c r="G8552" s="27">
        <f t="shared" si="145"/>
        <v>0</v>
      </c>
      <c r="H8552" s="28" t="e">
        <f>VLOOKUP(E8552,'Cadastro Produtos (kiwkiw)'!C:E,3,0)</f>
        <v>#N/A</v>
      </c>
    </row>
    <row r="8553" spans="2:8" ht="15" customHeight="1" x14ac:dyDescent="0.4">
      <c r="G8553" s="27">
        <f t="shared" si="145"/>
        <v>0</v>
      </c>
      <c r="H8553" s="28" t="e">
        <f>VLOOKUP(E8553,'Cadastro Produtos (kiwkiw)'!C:E,3,0)</f>
        <v>#N/A</v>
      </c>
    </row>
    <row r="8554" spans="2:8" ht="15" customHeight="1" x14ac:dyDescent="0.4">
      <c r="G8554" s="27">
        <f t="shared" si="145"/>
        <v>0</v>
      </c>
      <c r="H8554" s="28" t="e">
        <f>VLOOKUP(E8554,'Cadastro Produtos (kiwkiw)'!C:E,3,0)</f>
        <v>#N/A</v>
      </c>
    </row>
    <row r="8555" spans="2:8" ht="15" customHeight="1" x14ac:dyDescent="0.4">
      <c r="G8555" s="27">
        <f t="shared" si="145"/>
        <v>0</v>
      </c>
      <c r="H8555" s="28" t="e">
        <f>VLOOKUP(E8555,'Cadastro Produtos (kiwkiw)'!C:E,3,0)</f>
        <v>#N/A</v>
      </c>
    </row>
    <row r="8556" spans="2:8" ht="15" customHeight="1" x14ac:dyDescent="0.4">
      <c r="G8556" s="27">
        <f t="shared" si="145"/>
        <v>0</v>
      </c>
      <c r="H8556" s="28" t="e">
        <f>VLOOKUP(E8556,'Cadastro Produtos (kiwkiw)'!C:E,3,0)</f>
        <v>#N/A</v>
      </c>
    </row>
    <row r="8557" spans="2:8" ht="15" customHeight="1" x14ac:dyDescent="0.4">
      <c r="G8557" s="27">
        <f t="shared" si="145"/>
        <v>0</v>
      </c>
      <c r="H8557" s="28" t="e">
        <f>VLOOKUP(E8557,'Cadastro Produtos (kiwkiw)'!C:E,3,0)</f>
        <v>#N/A</v>
      </c>
    </row>
    <row r="8558" spans="2:8" ht="15" customHeight="1" x14ac:dyDescent="0.4">
      <c r="G8558" s="27">
        <f t="shared" si="145"/>
        <v>0</v>
      </c>
      <c r="H8558" s="28" t="e">
        <f>VLOOKUP(E8558,'Cadastro Produtos (kiwkiw)'!C:E,3,0)</f>
        <v>#N/A</v>
      </c>
    </row>
    <row r="8559" spans="2:8" ht="15" customHeight="1" x14ac:dyDescent="0.4">
      <c r="G8559" s="27">
        <f t="shared" si="145"/>
        <v>0</v>
      </c>
      <c r="H8559" s="28" t="e">
        <f>VLOOKUP(E8559,'Cadastro Produtos (kiwkiw)'!C:E,3,0)</f>
        <v>#N/A</v>
      </c>
    </row>
    <row r="8560" spans="2:8" ht="15" customHeight="1" x14ac:dyDescent="0.4">
      <c r="G8560" s="27">
        <f t="shared" si="145"/>
        <v>0</v>
      </c>
      <c r="H8560" s="28" t="e">
        <f>VLOOKUP(E8560,'Cadastro Produtos (kiwkiw)'!C:E,3,0)</f>
        <v>#N/A</v>
      </c>
    </row>
    <row r="8561" spans="7:8" ht="15" customHeight="1" x14ac:dyDescent="0.4">
      <c r="G8561" s="27">
        <f t="shared" si="145"/>
        <v>0</v>
      </c>
      <c r="H8561" s="28" t="e">
        <f>VLOOKUP(E8561,'Cadastro Produtos (kiwkiw)'!C:E,3,0)</f>
        <v>#N/A</v>
      </c>
    </row>
    <row r="8562" spans="7:8" ht="15" customHeight="1" x14ac:dyDescent="0.4">
      <c r="G8562" s="27">
        <f t="shared" si="145"/>
        <v>0</v>
      </c>
      <c r="H8562" s="28" t="e">
        <f>VLOOKUP(E8562,'Cadastro Produtos (kiwkiw)'!C:E,3,0)</f>
        <v>#N/A</v>
      </c>
    </row>
    <row r="8563" spans="7:8" ht="15" customHeight="1" x14ac:dyDescent="0.4">
      <c r="G8563" s="27">
        <f t="shared" si="145"/>
        <v>0</v>
      </c>
      <c r="H8563" s="28" t="e">
        <f>VLOOKUP(E8563,'Cadastro Produtos (kiwkiw)'!C:E,3,0)</f>
        <v>#N/A</v>
      </c>
    </row>
    <row r="8564" spans="7:8" ht="15" customHeight="1" x14ac:dyDescent="0.4">
      <c r="G8564" s="27">
        <f t="shared" si="145"/>
        <v>0</v>
      </c>
      <c r="H8564" s="28" t="e">
        <f>VLOOKUP(E8564,'Cadastro Produtos (kiwkiw)'!C:E,3,0)</f>
        <v>#N/A</v>
      </c>
    </row>
    <row r="8565" spans="7:8" ht="15" customHeight="1" x14ac:dyDescent="0.4">
      <c r="G8565" s="27">
        <f t="shared" si="145"/>
        <v>0</v>
      </c>
      <c r="H8565" s="28" t="e">
        <f>VLOOKUP(E8565,'Cadastro Produtos (kiwkiw)'!C:E,3,0)</f>
        <v>#N/A</v>
      </c>
    </row>
    <row r="8566" spans="7:8" ht="15" customHeight="1" x14ac:dyDescent="0.4">
      <c r="G8566" s="27">
        <f t="shared" si="145"/>
        <v>0</v>
      </c>
      <c r="H8566" s="28" t="e">
        <f>VLOOKUP(E8566,'Cadastro Produtos (kiwkiw)'!C:E,3,0)</f>
        <v>#N/A</v>
      </c>
    </row>
    <row r="8567" spans="7:8" ht="15" customHeight="1" x14ac:dyDescent="0.4">
      <c r="G8567" s="27">
        <f t="shared" si="145"/>
        <v>0</v>
      </c>
      <c r="H8567" s="28" t="e">
        <f>VLOOKUP(E8567,'Cadastro Produtos (kiwkiw)'!C:E,3,0)</f>
        <v>#N/A</v>
      </c>
    </row>
    <row r="8568" spans="7:8" ht="15" customHeight="1" x14ac:dyDescent="0.4">
      <c r="G8568" s="27">
        <f t="shared" si="145"/>
        <v>0</v>
      </c>
      <c r="H8568" s="28" t="e">
        <f>VLOOKUP(E8568,'Cadastro Produtos (kiwkiw)'!C:E,3,0)</f>
        <v>#N/A</v>
      </c>
    </row>
    <row r="8569" spans="7:8" ht="15" customHeight="1" x14ac:dyDescent="0.4">
      <c r="G8569" s="27">
        <f t="shared" si="145"/>
        <v>0</v>
      </c>
      <c r="H8569" s="28" t="e">
        <f>VLOOKUP(E8569,'Cadastro Produtos (kiwkiw)'!C:E,3,0)</f>
        <v>#N/A</v>
      </c>
    </row>
    <row r="8570" spans="7:8" ht="15" customHeight="1" x14ac:dyDescent="0.4">
      <c r="G8570" s="27">
        <f t="shared" si="145"/>
        <v>0</v>
      </c>
      <c r="H8570" s="28" t="e">
        <f>VLOOKUP(E8570,'Cadastro Produtos (kiwkiw)'!C:E,3,0)</f>
        <v>#N/A</v>
      </c>
    </row>
    <row r="8571" spans="7:8" ht="15" customHeight="1" x14ac:dyDescent="0.4">
      <c r="G8571" s="27">
        <f t="shared" si="145"/>
        <v>0</v>
      </c>
      <c r="H8571" s="28" t="e">
        <f>VLOOKUP(E8571,'Cadastro Produtos (kiwkiw)'!C:E,3,0)</f>
        <v>#N/A</v>
      </c>
    </row>
    <row r="8572" spans="7:8" ht="15" customHeight="1" x14ac:dyDescent="0.4">
      <c r="G8572" s="27">
        <f t="shared" si="145"/>
        <v>0</v>
      </c>
      <c r="H8572" s="28" t="e">
        <f>VLOOKUP(E8572,'Cadastro Produtos (kiwkiw)'!C:E,3,0)</f>
        <v>#N/A</v>
      </c>
    </row>
    <row r="8573" spans="7:8" ht="15" customHeight="1" x14ac:dyDescent="0.4">
      <c r="G8573" s="27">
        <f t="shared" si="145"/>
        <v>0</v>
      </c>
      <c r="H8573" s="28" t="e">
        <f>VLOOKUP(E8573,'Cadastro Produtos (kiwkiw)'!C:E,3,0)</f>
        <v>#N/A</v>
      </c>
    </row>
    <row r="8574" spans="7:8" ht="15" customHeight="1" x14ac:dyDescent="0.4">
      <c r="G8574" s="27">
        <f t="shared" si="145"/>
        <v>0</v>
      </c>
      <c r="H8574" s="28" t="e">
        <f>VLOOKUP(E8574,'Cadastro Produtos (kiwkiw)'!C:E,3,0)</f>
        <v>#N/A</v>
      </c>
    </row>
    <row r="8575" spans="7:8" ht="15" customHeight="1" x14ac:dyDescent="0.4">
      <c r="G8575" s="27">
        <f t="shared" si="145"/>
        <v>0</v>
      </c>
      <c r="H8575" s="28" t="e">
        <f>VLOOKUP(E8575,'Cadastro Produtos (kiwkiw)'!C:E,3,0)</f>
        <v>#N/A</v>
      </c>
    </row>
    <row r="8576" spans="7:8" ht="15" customHeight="1" x14ac:dyDescent="0.4">
      <c r="G8576" s="27">
        <f t="shared" si="145"/>
        <v>0</v>
      </c>
      <c r="H8576" s="28" t="e">
        <f>VLOOKUP(E8576,'Cadastro Produtos (kiwkiw)'!C:E,3,0)</f>
        <v>#N/A</v>
      </c>
    </row>
    <row r="8577" spans="7:8" ht="15" customHeight="1" x14ac:dyDescent="0.4">
      <c r="G8577" s="27">
        <f t="shared" si="145"/>
        <v>0</v>
      </c>
      <c r="H8577" s="28" t="e">
        <f>VLOOKUP(E8577,'Cadastro Produtos (kiwkiw)'!C:E,3,0)</f>
        <v>#N/A</v>
      </c>
    </row>
    <row r="8578" spans="7:8" ht="15" customHeight="1" x14ac:dyDescent="0.4">
      <c r="G8578" s="27">
        <f t="shared" si="145"/>
        <v>0</v>
      </c>
      <c r="H8578" s="28" t="e">
        <f>VLOOKUP(E8578,'Cadastro Produtos (kiwkiw)'!C:E,3,0)</f>
        <v>#N/A</v>
      </c>
    </row>
    <row r="8579" spans="7:8" ht="15" customHeight="1" x14ac:dyDescent="0.4">
      <c r="G8579" s="27">
        <f t="shared" si="145"/>
        <v>0</v>
      </c>
      <c r="H8579" s="28" t="e">
        <f>VLOOKUP(E8579,'Cadastro Produtos (kiwkiw)'!C:E,3,0)</f>
        <v>#N/A</v>
      </c>
    </row>
    <row r="8580" spans="7:8" ht="15" customHeight="1" x14ac:dyDescent="0.4">
      <c r="G8580" s="27">
        <f t="shared" si="145"/>
        <v>0</v>
      </c>
      <c r="H8580" s="28" t="e">
        <f>VLOOKUP(E8580,'Cadastro Produtos (kiwkiw)'!C:E,3,0)</f>
        <v>#N/A</v>
      </c>
    </row>
    <row r="8581" spans="7:8" ht="15" customHeight="1" x14ac:dyDescent="0.4">
      <c r="G8581" s="27">
        <f t="shared" si="145"/>
        <v>0</v>
      </c>
      <c r="H8581" s="28" t="e">
        <f>VLOOKUP(E8581,'Cadastro Produtos (kiwkiw)'!C:E,3,0)</f>
        <v>#N/A</v>
      </c>
    </row>
    <row r="8582" spans="7:8" ht="15" customHeight="1" x14ac:dyDescent="0.4">
      <c r="G8582" s="27">
        <f t="shared" si="145"/>
        <v>0</v>
      </c>
      <c r="H8582" s="28" t="e">
        <f>VLOOKUP(E8582,'Cadastro Produtos (kiwkiw)'!C:E,3,0)</f>
        <v>#N/A</v>
      </c>
    </row>
    <row r="8583" spans="7:8" ht="15" customHeight="1" x14ac:dyDescent="0.4">
      <c r="G8583" s="27">
        <f t="shared" si="145"/>
        <v>0</v>
      </c>
      <c r="H8583" s="28" t="e">
        <f>VLOOKUP(E8583,'Cadastro Produtos (kiwkiw)'!C:E,3,0)</f>
        <v>#N/A</v>
      </c>
    </row>
    <row r="8584" spans="7:8" ht="15" customHeight="1" x14ac:dyDescent="0.4">
      <c r="G8584" s="27">
        <f t="shared" si="145"/>
        <v>0</v>
      </c>
      <c r="H8584" s="28" t="e">
        <f>VLOOKUP(E8584,'Cadastro Produtos (kiwkiw)'!C:E,3,0)</f>
        <v>#N/A</v>
      </c>
    </row>
    <row r="8585" spans="7:8" ht="15" customHeight="1" x14ac:dyDescent="0.4">
      <c r="G8585" s="27">
        <f t="shared" si="145"/>
        <v>0</v>
      </c>
      <c r="H8585" s="28" t="e">
        <f>VLOOKUP(E8585,'Cadastro Produtos (kiwkiw)'!C:E,3,0)</f>
        <v>#N/A</v>
      </c>
    </row>
    <row r="8586" spans="7:8" ht="15" customHeight="1" x14ac:dyDescent="0.4">
      <c r="G8586" s="27">
        <f t="shared" si="145"/>
        <v>0</v>
      </c>
      <c r="H8586" s="28" t="e">
        <f>VLOOKUP(E8586,'Cadastro Produtos (kiwkiw)'!C:E,3,0)</f>
        <v>#N/A</v>
      </c>
    </row>
    <row r="8587" spans="7:8" ht="15" customHeight="1" x14ac:dyDescent="0.4">
      <c r="G8587" s="27">
        <f t="shared" si="145"/>
        <v>0</v>
      </c>
      <c r="H8587" s="28" t="e">
        <f>VLOOKUP(E8587,'Cadastro Produtos (kiwkiw)'!C:E,3,0)</f>
        <v>#N/A</v>
      </c>
    </row>
    <row r="8588" spans="7:8" ht="15" customHeight="1" x14ac:dyDescent="0.4">
      <c r="G8588" s="27">
        <f t="shared" si="145"/>
        <v>0</v>
      </c>
      <c r="H8588" s="28" t="e">
        <f>VLOOKUP(E8588,'Cadastro Produtos (kiwkiw)'!C:E,3,0)</f>
        <v>#N/A</v>
      </c>
    </row>
    <row r="8589" spans="7:8" ht="15" customHeight="1" x14ac:dyDescent="0.4">
      <c r="G8589" s="27">
        <f t="shared" si="145"/>
        <v>0</v>
      </c>
      <c r="H8589" s="28" t="e">
        <f>VLOOKUP(E8589,'Cadastro Produtos (kiwkiw)'!C:E,3,0)</f>
        <v>#N/A</v>
      </c>
    </row>
    <row r="8590" spans="7:8" ht="15" customHeight="1" x14ac:dyDescent="0.4">
      <c r="G8590" s="27">
        <f t="shared" si="145"/>
        <v>0</v>
      </c>
      <c r="H8590" s="28" t="e">
        <f>VLOOKUP(E8590,'Cadastro Produtos (kiwkiw)'!C:E,3,0)</f>
        <v>#N/A</v>
      </c>
    </row>
    <row r="8591" spans="7:8" ht="15" customHeight="1" x14ac:dyDescent="0.4">
      <c r="G8591" s="27">
        <f t="shared" si="145"/>
        <v>0</v>
      </c>
      <c r="H8591" s="28" t="e">
        <f>VLOOKUP(E8591,'Cadastro Produtos (kiwkiw)'!C:E,3,0)</f>
        <v>#N/A</v>
      </c>
    </row>
    <row r="8592" spans="7:8" ht="15" customHeight="1" x14ac:dyDescent="0.4">
      <c r="G8592" s="27">
        <f t="shared" si="145"/>
        <v>0</v>
      </c>
      <c r="H8592" s="28" t="e">
        <f>VLOOKUP(E8592,'Cadastro Produtos (kiwkiw)'!C:E,3,0)</f>
        <v>#N/A</v>
      </c>
    </row>
    <row r="8593" spans="7:8" ht="15" customHeight="1" x14ac:dyDescent="0.4">
      <c r="G8593" s="27">
        <f t="shared" si="145"/>
        <v>0</v>
      </c>
      <c r="H8593" s="28" t="e">
        <f>VLOOKUP(E8593,'Cadastro Produtos (kiwkiw)'!C:E,3,0)</f>
        <v>#N/A</v>
      </c>
    </row>
    <row r="8594" spans="7:8" ht="15" customHeight="1" x14ac:dyDescent="0.4">
      <c r="G8594" s="27">
        <f t="shared" ref="G8594:G8657" si="146">IF(C8594="Entrada",F8594,-F8594)</f>
        <v>0</v>
      </c>
      <c r="H8594" s="28" t="e">
        <f>VLOOKUP(E8594,'Cadastro Produtos (kiwkiw)'!C:E,3,0)</f>
        <v>#N/A</v>
      </c>
    </row>
    <row r="8595" spans="7:8" ht="15" customHeight="1" x14ac:dyDescent="0.4">
      <c r="G8595" s="27">
        <f t="shared" si="146"/>
        <v>0</v>
      </c>
      <c r="H8595" s="28" t="e">
        <f>VLOOKUP(E8595,'Cadastro Produtos (kiwkiw)'!C:E,3,0)</f>
        <v>#N/A</v>
      </c>
    </row>
    <row r="8596" spans="7:8" ht="15" customHeight="1" x14ac:dyDescent="0.4">
      <c r="G8596" s="27">
        <f t="shared" si="146"/>
        <v>0</v>
      </c>
      <c r="H8596" s="28" t="e">
        <f>VLOOKUP(E8596,'Cadastro Produtos (kiwkiw)'!C:E,3,0)</f>
        <v>#N/A</v>
      </c>
    </row>
    <row r="8597" spans="7:8" ht="15" customHeight="1" x14ac:dyDescent="0.4">
      <c r="G8597" s="27">
        <f t="shared" si="146"/>
        <v>0</v>
      </c>
      <c r="H8597" s="28" t="e">
        <f>VLOOKUP(E8597,'Cadastro Produtos (kiwkiw)'!C:E,3,0)</f>
        <v>#N/A</v>
      </c>
    </row>
    <row r="8598" spans="7:8" ht="15" customHeight="1" x14ac:dyDescent="0.4">
      <c r="G8598" s="27">
        <f t="shared" si="146"/>
        <v>0</v>
      </c>
      <c r="H8598" s="28" t="e">
        <f>VLOOKUP(E8598,'Cadastro Produtos (kiwkiw)'!C:E,3,0)</f>
        <v>#N/A</v>
      </c>
    </row>
    <row r="8599" spans="7:8" ht="15" customHeight="1" x14ac:dyDescent="0.4">
      <c r="G8599" s="27">
        <f t="shared" si="146"/>
        <v>0</v>
      </c>
      <c r="H8599" s="28" t="e">
        <f>VLOOKUP(E8599,'Cadastro Produtos (kiwkiw)'!C:E,3,0)</f>
        <v>#N/A</v>
      </c>
    </row>
    <row r="8600" spans="7:8" ht="15" customHeight="1" x14ac:dyDescent="0.4">
      <c r="G8600" s="27">
        <f t="shared" si="146"/>
        <v>0</v>
      </c>
      <c r="H8600" s="28" t="e">
        <f>VLOOKUP(E8600,'Cadastro Produtos (kiwkiw)'!C:E,3,0)</f>
        <v>#N/A</v>
      </c>
    </row>
    <row r="8601" spans="7:8" ht="15" customHeight="1" x14ac:dyDescent="0.4">
      <c r="G8601" s="27">
        <f t="shared" si="146"/>
        <v>0</v>
      </c>
      <c r="H8601" s="28" t="e">
        <f>VLOOKUP(E8601,'Cadastro Produtos (kiwkiw)'!C:E,3,0)</f>
        <v>#N/A</v>
      </c>
    </row>
    <row r="8602" spans="7:8" ht="15" customHeight="1" x14ac:dyDescent="0.4">
      <c r="G8602" s="27">
        <f t="shared" si="146"/>
        <v>0</v>
      </c>
      <c r="H8602" s="28" t="e">
        <f>VLOOKUP(E8602,'Cadastro Produtos (kiwkiw)'!C:E,3,0)</f>
        <v>#N/A</v>
      </c>
    </row>
    <row r="8603" spans="7:8" ht="15" customHeight="1" x14ac:dyDescent="0.4">
      <c r="G8603" s="27">
        <f t="shared" si="146"/>
        <v>0</v>
      </c>
      <c r="H8603" s="28" t="e">
        <f>VLOOKUP(E8603,'Cadastro Produtos (kiwkiw)'!C:E,3,0)</f>
        <v>#N/A</v>
      </c>
    </row>
    <row r="8604" spans="7:8" ht="15" customHeight="1" x14ac:dyDescent="0.4">
      <c r="G8604" s="27">
        <f t="shared" si="146"/>
        <v>0</v>
      </c>
      <c r="H8604" s="28" t="e">
        <f>VLOOKUP(E8604,'Cadastro Produtos (kiwkiw)'!C:E,3,0)</f>
        <v>#N/A</v>
      </c>
    </row>
    <row r="8605" spans="7:8" ht="15" customHeight="1" x14ac:dyDescent="0.4">
      <c r="G8605" s="27">
        <f t="shared" si="146"/>
        <v>0</v>
      </c>
      <c r="H8605" s="28" t="e">
        <f>VLOOKUP(E8605,'Cadastro Produtos (kiwkiw)'!C:E,3,0)</f>
        <v>#N/A</v>
      </c>
    </row>
    <row r="8606" spans="7:8" ht="15" customHeight="1" x14ac:dyDescent="0.4">
      <c r="G8606" s="27">
        <f t="shared" si="146"/>
        <v>0</v>
      </c>
      <c r="H8606" s="28" t="e">
        <f>VLOOKUP(E8606,'Cadastro Produtos (kiwkiw)'!C:E,3,0)</f>
        <v>#N/A</v>
      </c>
    </row>
    <row r="8607" spans="7:8" ht="15" customHeight="1" x14ac:dyDescent="0.4">
      <c r="G8607" s="27">
        <f t="shared" si="146"/>
        <v>0</v>
      </c>
      <c r="H8607" s="28" t="e">
        <f>VLOOKUP(E8607,'Cadastro Produtos (kiwkiw)'!C:E,3,0)</f>
        <v>#N/A</v>
      </c>
    </row>
    <row r="8608" spans="7:8" ht="15" customHeight="1" x14ac:dyDescent="0.4">
      <c r="G8608" s="27">
        <f t="shared" si="146"/>
        <v>0</v>
      </c>
      <c r="H8608" s="28" t="e">
        <f>VLOOKUP(E8608,'Cadastro Produtos (kiwkiw)'!C:E,3,0)</f>
        <v>#N/A</v>
      </c>
    </row>
    <row r="8609" spans="2:8" ht="15" customHeight="1" x14ac:dyDescent="0.4">
      <c r="G8609" s="27">
        <f t="shared" si="146"/>
        <v>0</v>
      </c>
      <c r="H8609" s="28" t="e">
        <f>VLOOKUP(E8609,'Cadastro Produtos (kiwkiw)'!C:E,3,0)</f>
        <v>#N/A</v>
      </c>
    </row>
    <row r="8610" spans="2:8" ht="15" customHeight="1" x14ac:dyDescent="0.4">
      <c r="G8610" s="27">
        <f t="shared" si="146"/>
        <v>0</v>
      </c>
      <c r="H8610" s="28" t="e">
        <f>VLOOKUP(E8610,'Cadastro Produtos (kiwkiw)'!C:E,3,0)</f>
        <v>#N/A</v>
      </c>
    </row>
    <row r="8611" spans="2:8" ht="15" customHeight="1" x14ac:dyDescent="0.4">
      <c r="G8611" s="27">
        <f t="shared" si="146"/>
        <v>0</v>
      </c>
      <c r="H8611" s="28" t="e">
        <f>VLOOKUP(E8611,'Cadastro Produtos (kiwkiw)'!C:E,3,0)</f>
        <v>#N/A</v>
      </c>
    </row>
    <row r="8612" spans="2:8" ht="15" customHeight="1" x14ac:dyDescent="0.4">
      <c r="B8612" s="43"/>
      <c r="G8612" s="27">
        <f t="shared" si="146"/>
        <v>0</v>
      </c>
      <c r="H8612" s="28" t="e">
        <f>VLOOKUP(E8612,'Cadastro Produtos (kiwkiw)'!C:E,3,0)</f>
        <v>#N/A</v>
      </c>
    </row>
    <row r="8613" spans="2:8" ht="15" customHeight="1" x14ac:dyDescent="0.4">
      <c r="G8613" s="27">
        <f t="shared" si="146"/>
        <v>0</v>
      </c>
      <c r="H8613" s="28" t="e">
        <f>VLOOKUP(E8613,'Cadastro Produtos (kiwkiw)'!C:E,3,0)</f>
        <v>#N/A</v>
      </c>
    </row>
    <row r="8614" spans="2:8" ht="15" customHeight="1" x14ac:dyDescent="0.4">
      <c r="G8614" s="27">
        <f t="shared" si="146"/>
        <v>0</v>
      </c>
      <c r="H8614" s="28" t="e">
        <f>VLOOKUP(E8614,'Cadastro Produtos (kiwkiw)'!C:E,3,0)</f>
        <v>#N/A</v>
      </c>
    </row>
    <row r="8615" spans="2:8" ht="15" customHeight="1" x14ac:dyDescent="0.4">
      <c r="G8615" s="27">
        <f t="shared" si="146"/>
        <v>0</v>
      </c>
      <c r="H8615" s="28" t="e">
        <f>VLOOKUP(E8615,'Cadastro Produtos (kiwkiw)'!C:E,3,0)</f>
        <v>#N/A</v>
      </c>
    </row>
    <row r="8616" spans="2:8" ht="15" customHeight="1" x14ac:dyDescent="0.4">
      <c r="G8616" s="27">
        <f t="shared" si="146"/>
        <v>0</v>
      </c>
      <c r="H8616" s="28" t="e">
        <f>VLOOKUP(E8616,'Cadastro Produtos (kiwkiw)'!C:E,3,0)</f>
        <v>#N/A</v>
      </c>
    </row>
    <row r="8617" spans="2:8" ht="15" customHeight="1" x14ac:dyDescent="0.4">
      <c r="G8617" s="27">
        <f t="shared" si="146"/>
        <v>0</v>
      </c>
      <c r="H8617" s="28" t="e">
        <f>VLOOKUP(E8617,'Cadastro Produtos (kiwkiw)'!C:E,3,0)</f>
        <v>#N/A</v>
      </c>
    </row>
    <row r="8618" spans="2:8" ht="15" customHeight="1" x14ac:dyDescent="0.4">
      <c r="G8618" s="27">
        <f t="shared" si="146"/>
        <v>0</v>
      </c>
      <c r="H8618" s="28" t="e">
        <f>VLOOKUP(E8618,'Cadastro Produtos (kiwkiw)'!C:E,3,0)</f>
        <v>#N/A</v>
      </c>
    </row>
    <row r="8619" spans="2:8" ht="15" customHeight="1" x14ac:dyDescent="0.4">
      <c r="G8619" s="27">
        <f t="shared" si="146"/>
        <v>0</v>
      </c>
      <c r="H8619" s="28" t="e">
        <f>VLOOKUP(E8619,'Cadastro Produtos (kiwkiw)'!C:E,3,0)</f>
        <v>#N/A</v>
      </c>
    </row>
    <row r="8620" spans="2:8" ht="15" customHeight="1" x14ac:dyDescent="0.4">
      <c r="G8620" s="27">
        <f t="shared" si="146"/>
        <v>0</v>
      </c>
      <c r="H8620" s="28" t="e">
        <f>VLOOKUP(E8620,'Cadastro Produtos (kiwkiw)'!C:E,3,0)</f>
        <v>#N/A</v>
      </c>
    </row>
    <row r="8621" spans="2:8" ht="15" customHeight="1" x14ac:dyDescent="0.4">
      <c r="G8621" s="27">
        <f t="shared" si="146"/>
        <v>0</v>
      </c>
      <c r="H8621" s="28" t="e">
        <f>VLOOKUP(E8621,'Cadastro Produtos (kiwkiw)'!C:E,3,0)</f>
        <v>#N/A</v>
      </c>
    </row>
    <row r="8622" spans="2:8" ht="15" customHeight="1" x14ac:dyDescent="0.4">
      <c r="G8622" s="27">
        <f t="shared" si="146"/>
        <v>0</v>
      </c>
      <c r="H8622" s="28" t="e">
        <f>VLOOKUP(E8622,'Cadastro Produtos (kiwkiw)'!C:E,3,0)</f>
        <v>#N/A</v>
      </c>
    </row>
    <row r="8623" spans="2:8" ht="15" customHeight="1" x14ac:dyDescent="0.4">
      <c r="G8623" s="27">
        <f t="shared" si="146"/>
        <v>0</v>
      </c>
      <c r="H8623" s="28" t="e">
        <f>VLOOKUP(E8623,'Cadastro Produtos (kiwkiw)'!C:E,3,0)</f>
        <v>#N/A</v>
      </c>
    </row>
    <row r="8624" spans="2:8" ht="15" customHeight="1" x14ac:dyDescent="0.4">
      <c r="G8624" s="27">
        <f t="shared" si="146"/>
        <v>0</v>
      </c>
      <c r="H8624" s="28" t="e">
        <f>VLOOKUP(E8624,'Cadastro Produtos (kiwkiw)'!C:E,3,0)</f>
        <v>#N/A</v>
      </c>
    </row>
    <row r="8625" spans="7:8" ht="15" customHeight="1" x14ac:dyDescent="0.4">
      <c r="G8625" s="27">
        <f t="shared" si="146"/>
        <v>0</v>
      </c>
      <c r="H8625" s="28" t="e">
        <f>VLOOKUP(E8625,'Cadastro Produtos (kiwkiw)'!C:E,3,0)</f>
        <v>#N/A</v>
      </c>
    </row>
    <row r="8626" spans="7:8" ht="15" customHeight="1" x14ac:dyDescent="0.4">
      <c r="G8626" s="27">
        <f t="shared" si="146"/>
        <v>0</v>
      </c>
      <c r="H8626" s="28" t="e">
        <f>VLOOKUP(E8626,'Cadastro Produtos (kiwkiw)'!C:E,3,0)</f>
        <v>#N/A</v>
      </c>
    </row>
    <row r="8627" spans="7:8" ht="15" customHeight="1" x14ac:dyDescent="0.4">
      <c r="G8627" s="27">
        <f t="shared" si="146"/>
        <v>0</v>
      </c>
      <c r="H8627" s="28" t="e">
        <f>VLOOKUP(E8627,'Cadastro Produtos (kiwkiw)'!C:E,3,0)</f>
        <v>#N/A</v>
      </c>
    </row>
    <row r="8628" spans="7:8" ht="15" customHeight="1" x14ac:dyDescent="0.4">
      <c r="G8628" s="27">
        <f t="shared" si="146"/>
        <v>0</v>
      </c>
      <c r="H8628" s="28" t="e">
        <f>VLOOKUP(E8628,'Cadastro Produtos (kiwkiw)'!C:E,3,0)</f>
        <v>#N/A</v>
      </c>
    </row>
    <row r="8629" spans="7:8" ht="15" customHeight="1" x14ac:dyDescent="0.4">
      <c r="G8629" s="27">
        <f t="shared" si="146"/>
        <v>0</v>
      </c>
      <c r="H8629" s="28" t="e">
        <f>VLOOKUP(E8629,'Cadastro Produtos (kiwkiw)'!C:E,3,0)</f>
        <v>#N/A</v>
      </c>
    </row>
    <row r="8630" spans="7:8" ht="15" customHeight="1" x14ac:dyDescent="0.4">
      <c r="G8630" s="27">
        <f t="shared" si="146"/>
        <v>0</v>
      </c>
      <c r="H8630" s="28" t="e">
        <f>VLOOKUP(E8630,'Cadastro Produtos (kiwkiw)'!C:E,3,0)</f>
        <v>#N/A</v>
      </c>
    </row>
    <row r="8631" spans="7:8" ht="15" customHeight="1" x14ac:dyDescent="0.4">
      <c r="G8631" s="27">
        <f t="shared" si="146"/>
        <v>0</v>
      </c>
      <c r="H8631" s="28" t="e">
        <f>VLOOKUP(E8631,'Cadastro Produtos (kiwkiw)'!C:E,3,0)</f>
        <v>#N/A</v>
      </c>
    </row>
    <row r="8632" spans="7:8" ht="15" customHeight="1" x14ac:dyDescent="0.4">
      <c r="G8632" s="27">
        <f t="shared" si="146"/>
        <v>0</v>
      </c>
      <c r="H8632" s="28" t="e">
        <f>VLOOKUP(E8632,'Cadastro Produtos (kiwkiw)'!C:E,3,0)</f>
        <v>#N/A</v>
      </c>
    </row>
    <row r="8633" spans="7:8" ht="15" customHeight="1" x14ac:dyDescent="0.4">
      <c r="G8633" s="27">
        <f t="shared" si="146"/>
        <v>0</v>
      </c>
      <c r="H8633" s="28" t="e">
        <f>VLOOKUP(E8633,'Cadastro Produtos (kiwkiw)'!C:E,3,0)</f>
        <v>#N/A</v>
      </c>
    </row>
    <row r="8634" spans="7:8" ht="15" customHeight="1" x14ac:dyDescent="0.4">
      <c r="G8634" s="27">
        <f t="shared" si="146"/>
        <v>0</v>
      </c>
      <c r="H8634" s="28" t="e">
        <f>VLOOKUP(E8634,'Cadastro Produtos (kiwkiw)'!C:E,3,0)</f>
        <v>#N/A</v>
      </c>
    </row>
    <row r="8635" spans="7:8" ht="15" customHeight="1" x14ac:dyDescent="0.4">
      <c r="G8635" s="27">
        <f t="shared" si="146"/>
        <v>0</v>
      </c>
      <c r="H8635" s="28" t="e">
        <f>VLOOKUP(E8635,'Cadastro Produtos (kiwkiw)'!C:E,3,0)</f>
        <v>#N/A</v>
      </c>
    </row>
    <row r="8636" spans="7:8" ht="15" customHeight="1" x14ac:dyDescent="0.4">
      <c r="G8636" s="27">
        <f t="shared" si="146"/>
        <v>0</v>
      </c>
      <c r="H8636" s="28" t="e">
        <f>VLOOKUP(E8636,'Cadastro Produtos (kiwkiw)'!C:E,3,0)</f>
        <v>#N/A</v>
      </c>
    </row>
    <row r="8637" spans="7:8" ht="15" customHeight="1" x14ac:dyDescent="0.4">
      <c r="G8637" s="27">
        <f t="shared" si="146"/>
        <v>0</v>
      </c>
      <c r="H8637" s="28" t="e">
        <f>VLOOKUP(E8637,'Cadastro Produtos (kiwkiw)'!C:E,3,0)</f>
        <v>#N/A</v>
      </c>
    </row>
    <row r="8638" spans="7:8" ht="15" customHeight="1" x14ac:dyDescent="0.4">
      <c r="G8638" s="27">
        <f t="shared" si="146"/>
        <v>0</v>
      </c>
      <c r="H8638" s="28" t="e">
        <f>VLOOKUP(E8638,'Cadastro Produtos (kiwkiw)'!C:E,3,0)</f>
        <v>#N/A</v>
      </c>
    </row>
    <row r="8639" spans="7:8" ht="15" customHeight="1" x14ac:dyDescent="0.4">
      <c r="G8639" s="27">
        <f t="shared" si="146"/>
        <v>0</v>
      </c>
      <c r="H8639" s="28" t="e">
        <f>VLOOKUP(E8639,'Cadastro Produtos (kiwkiw)'!C:E,3,0)</f>
        <v>#N/A</v>
      </c>
    </row>
    <row r="8640" spans="7:8" ht="15" customHeight="1" x14ac:dyDescent="0.4">
      <c r="G8640" s="27">
        <f t="shared" si="146"/>
        <v>0</v>
      </c>
      <c r="H8640" s="28" t="e">
        <f>VLOOKUP(E8640,'Cadastro Produtos (kiwkiw)'!C:E,3,0)</f>
        <v>#N/A</v>
      </c>
    </row>
    <row r="8641" spans="7:8" ht="15" customHeight="1" x14ac:dyDescent="0.4">
      <c r="G8641" s="27">
        <f t="shared" si="146"/>
        <v>0</v>
      </c>
      <c r="H8641" s="28" t="e">
        <f>VLOOKUP(E8641,'Cadastro Produtos (kiwkiw)'!C:E,3,0)</f>
        <v>#N/A</v>
      </c>
    </row>
    <row r="8642" spans="7:8" ht="15" customHeight="1" x14ac:dyDescent="0.4">
      <c r="G8642" s="27">
        <f t="shared" si="146"/>
        <v>0</v>
      </c>
      <c r="H8642" s="28" t="e">
        <f>VLOOKUP(E8642,'Cadastro Produtos (kiwkiw)'!C:E,3,0)</f>
        <v>#N/A</v>
      </c>
    </row>
    <row r="8643" spans="7:8" ht="15" customHeight="1" x14ac:dyDescent="0.4">
      <c r="G8643" s="27">
        <f t="shared" si="146"/>
        <v>0</v>
      </c>
      <c r="H8643" s="28" t="e">
        <f>VLOOKUP(E8643,'Cadastro Produtos (kiwkiw)'!C:E,3,0)</f>
        <v>#N/A</v>
      </c>
    </row>
    <row r="8644" spans="7:8" ht="15" customHeight="1" x14ac:dyDescent="0.4">
      <c r="G8644" s="27">
        <f t="shared" si="146"/>
        <v>0</v>
      </c>
      <c r="H8644" s="28" t="e">
        <f>VLOOKUP(E8644,'Cadastro Produtos (kiwkiw)'!C:E,3,0)</f>
        <v>#N/A</v>
      </c>
    </row>
    <row r="8645" spans="7:8" ht="15" customHeight="1" x14ac:dyDescent="0.4">
      <c r="G8645" s="27">
        <f t="shared" si="146"/>
        <v>0</v>
      </c>
      <c r="H8645" s="28" t="e">
        <f>VLOOKUP(E8645,'Cadastro Produtos (kiwkiw)'!C:E,3,0)</f>
        <v>#N/A</v>
      </c>
    </row>
    <row r="8646" spans="7:8" ht="15" customHeight="1" x14ac:dyDescent="0.4">
      <c r="G8646" s="27">
        <f t="shared" si="146"/>
        <v>0</v>
      </c>
      <c r="H8646" s="28" t="e">
        <f>VLOOKUP(E8646,'Cadastro Produtos (kiwkiw)'!C:E,3,0)</f>
        <v>#N/A</v>
      </c>
    </row>
    <row r="8647" spans="7:8" ht="15" customHeight="1" x14ac:dyDescent="0.4">
      <c r="G8647" s="27">
        <f t="shared" si="146"/>
        <v>0</v>
      </c>
      <c r="H8647" s="28" t="e">
        <f>VLOOKUP(E8647,'Cadastro Produtos (kiwkiw)'!C:E,3,0)</f>
        <v>#N/A</v>
      </c>
    </row>
    <row r="8648" spans="7:8" ht="15" customHeight="1" x14ac:dyDescent="0.4">
      <c r="G8648" s="27">
        <f t="shared" si="146"/>
        <v>0</v>
      </c>
      <c r="H8648" s="28" t="e">
        <f>VLOOKUP(E8648,'Cadastro Produtos (kiwkiw)'!C:E,3,0)</f>
        <v>#N/A</v>
      </c>
    </row>
    <row r="8649" spans="7:8" ht="15" customHeight="1" x14ac:dyDescent="0.4">
      <c r="G8649" s="27">
        <f t="shared" si="146"/>
        <v>0</v>
      </c>
      <c r="H8649" s="28" t="e">
        <f>VLOOKUP(E8649,'Cadastro Produtos (kiwkiw)'!C:E,3,0)</f>
        <v>#N/A</v>
      </c>
    </row>
    <row r="8650" spans="7:8" ht="15" customHeight="1" x14ac:dyDescent="0.4">
      <c r="G8650" s="27">
        <f t="shared" si="146"/>
        <v>0</v>
      </c>
      <c r="H8650" s="28" t="e">
        <f>VLOOKUP(E8650,'Cadastro Produtos (kiwkiw)'!C:E,3,0)</f>
        <v>#N/A</v>
      </c>
    </row>
    <row r="8651" spans="7:8" ht="15" customHeight="1" x14ac:dyDescent="0.4">
      <c r="G8651" s="27">
        <f t="shared" si="146"/>
        <v>0</v>
      </c>
      <c r="H8651" s="28" t="e">
        <f>VLOOKUP(E8651,'Cadastro Produtos (kiwkiw)'!C:E,3,0)</f>
        <v>#N/A</v>
      </c>
    </row>
    <row r="8652" spans="7:8" ht="15" customHeight="1" x14ac:dyDescent="0.4">
      <c r="G8652" s="27">
        <f t="shared" si="146"/>
        <v>0</v>
      </c>
      <c r="H8652" s="28" t="e">
        <f>VLOOKUP(E8652,'Cadastro Produtos (kiwkiw)'!C:E,3,0)</f>
        <v>#N/A</v>
      </c>
    </row>
    <row r="8653" spans="7:8" ht="15" customHeight="1" x14ac:dyDescent="0.4">
      <c r="G8653" s="27">
        <f t="shared" si="146"/>
        <v>0</v>
      </c>
      <c r="H8653" s="28" t="e">
        <f>VLOOKUP(E8653,'Cadastro Produtos (kiwkiw)'!C:E,3,0)</f>
        <v>#N/A</v>
      </c>
    </row>
    <row r="8654" spans="7:8" ht="15" customHeight="1" x14ac:dyDescent="0.4">
      <c r="G8654" s="27">
        <f t="shared" si="146"/>
        <v>0</v>
      </c>
      <c r="H8654" s="28" t="e">
        <f>VLOOKUP(E8654,'Cadastro Produtos (kiwkiw)'!C:E,3,0)</f>
        <v>#N/A</v>
      </c>
    </row>
    <row r="8655" spans="7:8" ht="15" customHeight="1" x14ac:dyDescent="0.4">
      <c r="G8655" s="27">
        <f t="shared" si="146"/>
        <v>0</v>
      </c>
      <c r="H8655" s="28" t="e">
        <f>VLOOKUP(E8655,'Cadastro Produtos (kiwkiw)'!C:E,3,0)</f>
        <v>#N/A</v>
      </c>
    </row>
    <row r="8656" spans="7:8" ht="15" customHeight="1" x14ac:dyDescent="0.4">
      <c r="G8656" s="27">
        <f t="shared" si="146"/>
        <v>0</v>
      </c>
      <c r="H8656" s="28" t="e">
        <f>VLOOKUP(E8656,'Cadastro Produtos (kiwkiw)'!C:E,3,0)</f>
        <v>#N/A</v>
      </c>
    </row>
    <row r="8657" spans="7:8" ht="15" customHeight="1" x14ac:dyDescent="0.4">
      <c r="G8657" s="27">
        <f t="shared" si="146"/>
        <v>0</v>
      </c>
      <c r="H8657" s="28" t="e">
        <f>VLOOKUP(E8657,'Cadastro Produtos (kiwkiw)'!C:E,3,0)</f>
        <v>#N/A</v>
      </c>
    </row>
    <row r="8658" spans="7:8" ht="15" customHeight="1" x14ac:dyDescent="0.4">
      <c r="G8658" s="27">
        <f t="shared" ref="G8658:G8721" si="147">IF(C8658="Entrada",F8658,-F8658)</f>
        <v>0</v>
      </c>
      <c r="H8658" s="28" t="e">
        <f>VLOOKUP(E8658,'Cadastro Produtos (kiwkiw)'!C:E,3,0)</f>
        <v>#N/A</v>
      </c>
    </row>
    <row r="8659" spans="7:8" ht="15" customHeight="1" x14ac:dyDescent="0.4">
      <c r="G8659" s="27">
        <f t="shared" si="147"/>
        <v>0</v>
      </c>
      <c r="H8659" s="28" t="e">
        <f>VLOOKUP(E8659,'Cadastro Produtos (kiwkiw)'!C:E,3,0)</f>
        <v>#N/A</v>
      </c>
    </row>
    <row r="8660" spans="7:8" ht="15" customHeight="1" x14ac:dyDescent="0.4">
      <c r="G8660" s="27">
        <f t="shared" si="147"/>
        <v>0</v>
      </c>
      <c r="H8660" s="28" t="e">
        <f>VLOOKUP(E8660,'Cadastro Produtos (kiwkiw)'!C:E,3,0)</f>
        <v>#N/A</v>
      </c>
    </row>
    <row r="8661" spans="7:8" ht="15" customHeight="1" x14ac:dyDescent="0.4">
      <c r="G8661" s="27">
        <f t="shared" si="147"/>
        <v>0</v>
      </c>
      <c r="H8661" s="28" t="e">
        <f>VLOOKUP(E8661,'Cadastro Produtos (kiwkiw)'!C:E,3,0)</f>
        <v>#N/A</v>
      </c>
    </row>
    <row r="8662" spans="7:8" ht="15" customHeight="1" x14ac:dyDescent="0.4">
      <c r="G8662" s="27">
        <f t="shared" si="147"/>
        <v>0</v>
      </c>
      <c r="H8662" s="28" t="e">
        <f>VLOOKUP(E8662,'Cadastro Produtos (kiwkiw)'!C:E,3,0)</f>
        <v>#N/A</v>
      </c>
    </row>
    <row r="8663" spans="7:8" ht="15" customHeight="1" x14ac:dyDescent="0.4">
      <c r="G8663" s="27">
        <f t="shared" si="147"/>
        <v>0</v>
      </c>
      <c r="H8663" s="28" t="e">
        <f>VLOOKUP(E8663,'Cadastro Produtos (kiwkiw)'!C:E,3,0)</f>
        <v>#N/A</v>
      </c>
    </row>
    <row r="8664" spans="7:8" ht="15" customHeight="1" x14ac:dyDescent="0.4">
      <c r="G8664" s="27">
        <f t="shared" si="147"/>
        <v>0</v>
      </c>
      <c r="H8664" s="28" t="e">
        <f>VLOOKUP(E8664,'Cadastro Produtos (kiwkiw)'!C:E,3,0)</f>
        <v>#N/A</v>
      </c>
    </row>
    <row r="8665" spans="7:8" ht="15" customHeight="1" x14ac:dyDescent="0.4">
      <c r="G8665" s="27">
        <f t="shared" si="147"/>
        <v>0</v>
      </c>
      <c r="H8665" s="28" t="e">
        <f>VLOOKUP(E8665,'Cadastro Produtos (kiwkiw)'!C:E,3,0)</f>
        <v>#N/A</v>
      </c>
    </row>
    <row r="8666" spans="7:8" ht="15" customHeight="1" x14ac:dyDescent="0.4">
      <c r="G8666" s="27">
        <f t="shared" si="147"/>
        <v>0</v>
      </c>
      <c r="H8666" s="28" t="e">
        <f>VLOOKUP(E8666,'Cadastro Produtos (kiwkiw)'!C:E,3,0)</f>
        <v>#N/A</v>
      </c>
    </row>
    <row r="8667" spans="7:8" ht="15" customHeight="1" x14ac:dyDescent="0.4">
      <c r="G8667" s="27">
        <f t="shared" si="147"/>
        <v>0</v>
      </c>
      <c r="H8667" s="28" t="e">
        <f>VLOOKUP(E8667,'Cadastro Produtos (kiwkiw)'!C:E,3,0)</f>
        <v>#N/A</v>
      </c>
    </row>
    <row r="8668" spans="7:8" ht="15" customHeight="1" x14ac:dyDescent="0.4">
      <c r="G8668" s="27">
        <f t="shared" si="147"/>
        <v>0</v>
      </c>
      <c r="H8668" s="28" t="e">
        <f>VLOOKUP(E8668,'Cadastro Produtos (kiwkiw)'!C:E,3,0)</f>
        <v>#N/A</v>
      </c>
    </row>
    <row r="8669" spans="7:8" ht="15" customHeight="1" x14ac:dyDescent="0.4">
      <c r="G8669" s="27">
        <f t="shared" si="147"/>
        <v>0</v>
      </c>
      <c r="H8669" s="28" t="e">
        <f>VLOOKUP(E8669,'Cadastro Produtos (kiwkiw)'!C:E,3,0)</f>
        <v>#N/A</v>
      </c>
    </row>
    <row r="8670" spans="7:8" ht="15" customHeight="1" x14ac:dyDescent="0.4">
      <c r="G8670" s="27">
        <f t="shared" si="147"/>
        <v>0</v>
      </c>
      <c r="H8670" s="28" t="e">
        <f>VLOOKUP(E8670,'Cadastro Produtos (kiwkiw)'!C:E,3,0)</f>
        <v>#N/A</v>
      </c>
    </row>
    <row r="8671" spans="7:8" ht="15" customHeight="1" x14ac:dyDescent="0.4">
      <c r="G8671" s="27">
        <f t="shared" si="147"/>
        <v>0</v>
      </c>
      <c r="H8671" s="28" t="e">
        <f>VLOOKUP(E8671,'Cadastro Produtos (kiwkiw)'!C:E,3,0)</f>
        <v>#N/A</v>
      </c>
    </row>
    <row r="8672" spans="7:8" ht="15" customHeight="1" x14ac:dyDescent="0.4">
      <c r="G8672" s="27">
        <f t="shared" si="147"/>
        <v>0</v>
      </c>
      <c r="H8672" s="28" t="e">
        <f>VLOOKUP(E8672,'Cadastro Produtos (kiwkiw)'!C:E,3,0)</f>
        <v>#N/A</v>
      </c>
    </row>
    <row r="8673" spans="7:8" ht="15" customHeight="1" x14ac:dyDescent="0.4">
      <c r="G8673" s="27">
        <f t="shared" si="147"/>
        <v>0</v>
      </c>
      <c r="H8673" s="28" t="e">
        <f>VLOOKUP(E8673,'Cadastro Produtos (kiwkiw)'!C:E,3,0)</f>
        <v>#N/A</v>
      </c>
    </row>
    <row r="8674" spans="7:8" ht="15" customHeight="1" x14ac:dyDescent="0.4">
      <c r="G8674" s="27">
        <f t="shared" si="147"/>
        <v>0</v>
      </c>
      <c r="H8674" s="28" t="e">
        <f>VLOOKUP(E8674,'Cadastro Produtos (kiwkiw)'!C:E,3,0)</f>
        <v>#N/A</v>
      </c>
    </row>
    <row r="8675" spans="7:8" ht="15" customHeight="1" x14ac:dyDescent="0.4">
      <c r="G8675" s="27">
        <f t="shared" si="147"/>
        <v>0</v>
      </c>
      <c r="H8675" s="28" t="e">
        <f>VLOOKUP(E8675,'Cadastro Produtos (kiwkiw)'!C:E,3,0)</f>
        <v>#N/A</v>
      </c>
    </row>
    <row r="8676" spans="7:8" ht="15" customHeight="1" x14ac:dyDescent="0.4">
      <c r="G8676" s="27">
        <f t="shared" si="147"/>
        <v>0</v>
      </c>
      <c r="H8676" s="28" t="e">
        <f>VLOOKUP(E8676,'Cadastro Produtos (kiwkiw)'!C:E,3,0)</f>
        <v>#N/A</v>
      </c>
    </row>
    <row r="8677" spans="7:8" ht="15" customHeight="1" x14ac:dyDescent="0.4">
      <c r="G8677" s="27">
        <f t="shared" si="147"/>
        <v>0</v>
      </c>
      <c r="H8677" s="28" t="e">
        <f>VLOOKUP(E8677,'Cadastro Produtos (kiwkiw)'!C:E,3,0)</f>
        <v>#N/A</v>
      </c>
    </row>
    <row r="8678" spans="7:8" ht="15" customHeight="1" x14ac:dyDescent="0.4">
      <c r="G8678" s="27">
        <f t="shared" si="147"/>
        <v>0</v>
      </c>
      <c r="H8678" s="28" t="e">
        <f>VLOOKUP(E8678,'Cadastro Produtos (kiwkiw)'!C:E,3,0)</f>
        <v>#N/A</v>
      </c>
    </row>
    <row r="8679" spans="7:8" ht="15" customHeight="1" x14ac:dyDescent="0.4">
      <c r="G8679" s="27">
        <f t="shared" si="147"/>
        <v>0</v>
      </c>
      <c r="H8679" s="28" t="e">
        <f>VLOOKUP(E8679,'Cadastro Produtos (kiwkiw)'!C:E,3,0)</f>
        <v>#N/A</v>
      </c>
    </row>
    <row r="8680" spans="7:8" ht="15" customHeight="1" x14ac:dyDescent="0.4">
      <c r="G8680" s="27">
        <f t="shared" si="147"/>
        <v>0</v>
      </c>
      <c r="H8680" s="28" t="e">
        <f>VLOOKUP(E8680,'Cadastro Produtos (kiwkiw)'!C:E,3,0)</f>
        <v>#N/A</v>
      </c>
    </row>
    <row r="8681" spans="7:8" ht="15" customHeight="1" x14ac:dyDescent="0.4">
      <c r="G8681" s="27">
        <f t="shared" si="147"/>
        <v>0</v>
      </c>
      <c r="H8681" s="28" t="e">
        <f>VLOOKUP(E8681,'Cadastro Produtos (kiwkiw)'!C:E,3,0)</f>
        <v>#N/A</v>
      </c>
    </row>
    <row r="8682" spans="7:8" ht="15" customHeight="1" x14ac:dyDescent="0.4">
      <c r="G8682" s="27">
        <f t="shared" si="147"/>
        <v>0</v>
      </c>
      <c r="H8682" s="28" t="e">
        <f>VLOOKUP(E8682,'Cadastro Produtos (kiwkiw)'!C:E,3,0)</f>
        <v>#N/A</v>
      </c>
    </row>
    <row r="8683" spans="7:8" ht="15" customHeight="1" x14ac:dyDescent="0.4">
      <c r="G8683" s="27">
        <f t="shared" si="147"/>
        <v>0</v>
      </c>
      <c r="H8683" s="28" t="e">
        <f>VLOOKUP(E8683,'Cadastro Produtos (kiwkiw)'!C:E,3,0)</f>
        <v>#N/A</v>
      </c>
    </row>
    <row r="8684" spans="7:8" ht="15" customHeight="1" x14ac:dyDescent="0.4">
      <c r="G8684" s="27">
        <f t="shared" si="147"/>
        <v>0</v>
      </c>
      <c r="H8684" s="28" t="e">
        <f>VLOOKUP(E8684,'Cadastro Produtos (kiwkiw)'!C:E,3,0)</f>
        <v>#N/A</v>
      </c>
    </row>
    <row r="8685" spans="7:8" ht="15" customHeight="1" x14ac:dyDescent="0.4">
      <c r="G8685" s="27">
        <f t="shared" si="147"/>
        <v>0</v>
      </c>
      <c r="H8685" s="28" t="e">
        <f>VLOOKUP(E8685,'Cadastro Produtos (kiwkiw)'!C:E,3,0)</f>
        <v>#N/A</v>
      </c>
    </row>
    <row r="8686" spans="7:8" ht="15" customHeight="1" x14ac:dyDescent="0.4">
      <c r="G8686" s="27">
        <f t="shared" si="147"/>
        <v>0</v>
      </c>
      <c r="H8686" s="28" t="e">
        <f>VLOOKUP(E8686,'Cadastro Produtos (kiwkiw)'!C:E,3,0)</f>
        <v>#N/A</v>
      </c>
    </row>
    <row r="8687" spans="7:8" ht="15" customHeight="1" x14ac:dyDescent="0.4">
      <c r="G8687" s="27">
        <f t="shared" si="147"/>
        <v>0</v>
      </c>
      <c r="H8687" s="28" t="e">
        <f>VLOOKUP(E8687,'Cadastro Produtos (kiwkiw)'!C:E,3,0)</f>
        <v>#N/A</v>
      </c>
    </row>
    <row r="8688" spans="7:8" ht="15" customHeight="1" x14ac:dyDescent="0.4">
      <c r="G8688" s="27">
        <f t="shared" si="147"/>
        <v>0</v>
      </c>
      <c r="H8688" s="28" t="e">
        <f>VLOOKUP(E8688,'Cadastro Produtos (kiwkiw)'!C:E,3,0)</f>
        <v>#N/A</v>
      </c>
    </row>
    <row r="8689" spans="7:8" ht="15" customHeight="1" x14ac:dyDescent="0.4">
      <c r="G8689" s="27">
        <f t="shared" si="147"/>
        <v>0</v>
      </c>
      <c r="H8689" s="28" t="e">
        <f>VLOOKUP(E8689,'Cadastro Produtos (kiwkiw)'!C:E,3,0)</f>
        <v>#N/A</v>
      </c>
    </row>
    <row r="8690" spans="7:8" ht="15" customHeight="1" x14ac:dyDescent="0.4">
      <c r="G8690" s="27">
        <f t="shared" si="147"/>
        <v>0</v>
      </c>
      <c r="H8690" s="28" t="e">
        <f>VLOOKUP(E8690,'Cadastro Produtos (kiwkiw)'!C:E,3,0)</f>
        <v>#N/A</v>
      </c>
    </row>
    <row r="8691" spans="7:8" ht="15" customHeight="1" x14ac:dyDescent="0.4">
      <c r="G8691" s="27">
        <f t="shared" si="147"/>
        <v>0</v>
      </c>
      <c r="H8691" s="28" t="e">
        <f>VLOOKUP(E8691,'Cadastro Produtos (kiwkiw)'!C:E,3,0)</f>
        <v>#N/A</v>
      </c>
    </row>
    <row r="8692" spans="7:8" ht="15" customHeight="1" x14ac:dyDescent="0.4">
      <c r="G8692" s="27">
        <f t="shared" si="147"/>
        <v>0</v>
      </c>
      <c r="H8692" s="28" t="e">
        <f>VLOOKUP(E8692,'Cadastro Produtos (kiwkiw)'!C:E,3,0)</f>
        <v>#N/A</v>
      </c>
    </row>
    <row r="8693" spans="7:8" ht="15" customHeight="1" x14ac:dyDescent="0.4">
      <c r="G8693" s="27">
        <f t="shared" si="147"/>
        <v>0</v>
      </c>
      <c r="H8693" s="28" t="e">
        <f>VLOOKUP(E8693,'Cadastro Produtos (kiwkiw)'!C:E,3,0)</f>
        <v>#N/A</v>
      </c>
    </row>
    <row r="8694" spans="7:8" ht="15" customHeight="1" x14ac:dyDescent="0.4">
      <c r="G8694" s="27">
        <f t="shared" si="147"/>
        <v>0</v>
      </c>
      <c r="H8694" s="28" t="e">
        <f>VLOOKUP(E8694,'Cadastro Produtos (kiwkiw)'!C:E,3,0)</f>
        <v>#N/A</v>
      </c>
    </row>
    <row r="8695" spans="7:8" ht="15" customHeight="1" x14ac:dyDescent="0.4">
      <c r="G8695" s="27">
        <f t="shared" si="147"/>
        <v>0</v>
      </c>
      <c r="H8695" s="28" t="e">
        <f>VLOOKUP(E8695,'Cadastro Produtos (kiwkiw)'!C:E,3,0)</f>
        <v>#N/A</v>
      </c>
    </row>
    <row r="8696" spans="7:8" ht="15" customHeight="1" x14ac:dyDescent="0.4">
      <c r="G8696" s="27">
        <f t="shared" si="147"/>
        <v>0</v>
      </c>
      <c r="H8696" s="28" t="e">
        <f>VLOOKUP(E8696,'Cadastro Produtos (kiwkiw)'!C:E,3,0)</f>
        <v>#N/A</v>
      </c>
    </row>
    <row r="8697" spans="7:8" ht="15" customHeight="1" x14ac:dyDescent="0.4">
      <c r="G8697" s="27">
        <f t="shared" si="147"/>
        <v>0</v>
      </c>
      <c r="H8697" s="28" t="e">
        <f>VLOOKUP(E8697,'Cadastro Produtos (kiwkiw)'!C:E,3,0)</f>
        <v>#N/A</v>
      </c>
    </row>
    <row r="8698" spans="7:8" ht="15" customHeight="1" x14ac:dyDescent="0.4">
      <c r="G8698" s="27">
        <f t="shared" si="147"/>
        <v>0</v>
      </c>
      <c r="H8698" s="28" t="e">
        <f>VLOOKUP(E8698,'Cadastro Produtos (kiwkiw)'!C:E,3,0)</f>
        <v>#N/A</v>
      </c>
    </row>
    <row r="8699" spans="7:8" ht="15" customHeight="1" x14ac:dyDescent="0.4">
      <c r="G8699" s="27">
        <f t="shared" si="147"/>
        <v>0</v>
      </c>
      <c r="H8699" s="28" t="e">
        <f>VLOOKUP(E8699,'Cadastro Produtos (kiwkiw)'!C:E,3,0)</f>
        <v>#N/A</v>
      </c>
    </row>
    <row r="8700" spans="7:8" ht="15" customHeight="1" x14ac:dyDescent="0.4">
      <c r="G8700" s="27">
        <f t="shared" si="147"/>
        <v>0</v>
      </c>
      <c r="H8700" s="28" t="e">
        <f>VLOOKUP(E8700,'Cadastro Produtos (kiwkiw)'!C:E,3,0)</f>
        <v>#N/A</v>
      </c>
    </row>
    <row r="8701" spans="7:8" ht="15" customHeight="1" x14ac:dyDescent="0.4">
      <c r="G8701" s="27">
        <f t="shared" si="147"/>
        <v>0</v>
      </c>
      <c r="H8701" s="28" t="e">
        <f>VLOOKUP(E8701,'Cadastro Produtos (kiwkiw)'!C:E,3,0)</f>
        <v>#N/A</v>
      </c>
    </row>
    <row r="8702" spans="7:8" ht="15" customHeight="1" x14ac:dyDescent="0.4">
      <c r="G8702" s="27">
        <f t="shared" si="147"/>
        <v>0</v>
      </c>
      <c r="H8702" s="28" t="e">
        <f>VLOOKUP(E8702,'Cadastro Produtos (kiwkiw)'!C:E,3,0)</f>
        <v>#N/A</v>
      </c>
    </row>
    <row r="8703" spans="7:8" ht="15" customHeight="1" x14ac:dyDescent="0.4">
      <c r="G8703" s="27">
        <f t="shared" si="147"/>
        <v>0</v>
      </c>
      <c r="H8703" s="28" t="e">
        <f>VLOOKUP(E8703,'Cadastro Produtos (kiwkiw)'!C:E,3,0)</f>
        <v>#N/A</v>
      </c>
    </row>
    <row r="8704" spans="7:8" ht="15" customHeight="1" x14ac:dyDescent="0.4">
      <c r="G8704" s="27">
        <f t="shared" si="147"/>
        <v>0</v>
      </c>
      <c r="H8704" s="28" t="e">
        <f>VLOOKUP(E8704,'Cadastro Produtos (kiwkiw)'!C:E,3,0)</f>
        <v>#N/A</v>
      </c>
    </row>
    <row r="8705" spans="7:8" ht="15" customHeight="1" x14ac:dyDescent="0.4">
      <c r="G8705" s="27">
        <f t="shared" si="147"/>
        <v>0</v>
      </c>
      <c r="H8705" s="28" t="e">
        <f>VLOOKUP(E8705,'Cadastro Produtos (kiwkiw)'!C:E,3,0)</f>
        <v>#N/A</v>
      </c>
    </row>
    <row r="8706" spans="7:8" ht="15" customHeight="1" x14ac:dyDescent="0.4">
      <c r="G8706" s="27">
        <f t="shared" si="147"/>
        <v>0</v>
      </c>
      <c r="H8706" s="28" t="e">
        <f>VLOOKUP(E8706,'Cadastro Produtos (kiwkiw)'!C:E,3,0)</f>
        <v>#N/A</v>
      </c>
    </row>
    <row r="8707" spans="7:8" ht="15" customHeight="1" x14ac:dyDescent="0.4">
      <c r="G8707" s="27">
        <f t="shared" si="147"/>
        <v>0</v>
      </c>
      <c r="H8707" s="28" t="e">
        <f>VLOOKUP(E8707,'Cadastro Produtos (kiwkiw)'!C:E,3,0)</f>
        <v>#N/A</v>
      </c>
    </row>
    <row r="8708" spans="7:8" ht="15" customHeight="1" x14ac:dyDescent="0.4">
      <c r="G8708" s="27">
        <f t="shared" si="147"/>
        <v>0</v>
      </c>
      <c r="H8708" s="28" t="e">
        <f>VLOOKUP(E8708,'Cadastro Produtos (kiwkiw)'!C:E,3,0)</f>
        <v>#N/A</v>
      </c>
    </row>
    <row r="8709" spans="7:8" ht="15" customHeight="1" x14ac:dyDescent="0.4">
      <c r="G8709" s="27">
        <f t="shared" si="147"/>
        <v>0</v>
      </c>
      <c r="H8709" s="28" t="e">
        <f>VLOOKUP(E8709,'Cadastro Produtos (kiwkiw)'!C:E,3,0)</f>
        <v>#N/A</v>
      </c>
    </row>
    <row r="8710" spans="7:8" ht="15" customHeight="1" x14ac:dyDescent="0.4">
      <c r="G8710" s="27">
        <f t="shared" si="147"/>
        <v>0</v>
      </c>
      <c r="H8710" s="28" t="e">
        <f>VLOOKUP(E8710,'Cadastro Produtos (kiwkiw)'!C:E,3,0)</f>
        <v>#N/A</v>
      </c>
    </row>
    <row r="8711" spans="7:8" ht="15" customHeight="1" x14ac:dyDescent="0.4">
      <c r="G8711" s="27">
        <f t="shared" si="147"/>
        <v>0</v>
      </c>
      <c r="H8711" s="28" t="e">
        <f>VLOOKUP(E8711,'Cadastro Produtos (kiwkiw)'!C:E,3,0)</f>
        <v>#N/A</v>
      </c>
    </row>
    <row r="8712" spans="7:8" ht="15" customHeight="1" x14ac:dyDescent="0.4">
      <c r="G8712" s="27">
        <f t="shared" si="147"/>
        <v>0</v>
      </c>
      <c r="H8712" s="28" t="e">
        <f>VLOOKUP(E8712,'Cadastro Produtos (kiwkiw)'!C:E,3,0)</f>
        <v>#N/A</v>
      </c>
    </row>
    <row r="8713" spans="7:8" ht="15" customHeight="1" x14ac:dyDescent="0.4">
      <c r="G8713" s="27">
        <f t="shared" si="147"/>
        <v>0</v>
      </c>
      <c r="H8713" s="28" t="e">
        <f>VLOOKUP(E8713,'Cadastro Produtos (kiwkiw)'!C:E,3,0)</f>
        <v>#N/A</v>
      </c>
    </row>
    <row r="8714" spans="7:8" ht="15" customHeight="1" x14ac:dyDescent="0.4">
      <c r="G8714" s="27">
        <f t="shared" si="147"/>
        <v>0</v>
      </c>
      <c r="H8714" s="28" t="e">
        <f>VLOOKUP(E8714,'Cadastro Produtos (kiwkiw)'!C:E,3,0)</f>
        <v>#N/A</v>
      </c>
    </row>
    <row r="8715" spans="7:8" ht="15" customHeight="1" x14ac:dyDescent="0.4">
      <c r="G8715" s="27">
        <f t="shared" si="147"/>
        <v>0</v>
      </c>
      <c r="H8715" s="28" t="e">
        <f>VLOOKUP(E8715,'Cadastro Produtos (kiwkiw)'!C:E,3,0)</f>
        <v>#N/A</v>
      </c>
    </row>
    <row r="8716" spans="7:8" ht="15" customHeight="1" x14ac:dyDescent="0.4">
      <c r="G8716" s="27">
        <f t="shared" si="147"/>
        <v>0</v>
      </c>
      <c r="H8716" s="28" t="e">
        <f>VLOOKUP(E8716,'Cadastro Produtos (kiwkiw)'!C:E,3,0)</f>
        <v>#N/A</v>
      </c>
    </row>
    <row r="8717" spans="7:8" ht="15" customHeight="1" x14ac:dyDescent="0.4">
      <c r="G8717" s="27">
        <f t="shared" si="147"/>
        <v>0</v>
      </c>
      <c r="H8717" s="28" t="e">
        <f>VLOOKUP(E8717,'Cadastro Produtos (kiwkiw)'!C:E,3,0)</f>
        <v>#N/A</v>
      </c>
    </row>
    <row r="8718" spans="7:8" ht="15" customHeight="1" x14ac:dyDescent="0.4">
      <c r="G8718" s="27">
        <f t="shared" si="147"/>
        <v>0</v>
      </c>
      <c r="H8718" s="28" t="e">
        <f>VLOOKUP(E8718,'Cadastro Produtos (kiwkiw)'!C:E,3,0)</f>
        <v>#N/A</v>
      </c>
    </row>
    <row r="8719" spans="7:8" ht="15" customHeight="1" x14ac:dyDescent="0.4">
      <c r="G8719" s="27">
        <f t="shared" si="147"/>
        <v>0</v>
      </c>
      <c r="H8719" s="28" t="e">
        <f>VLOOKUP(E8719,'Cadastro Produtos (kiwkiw)'!C:E,3,0)</f>
        <v>#N/A</v>
      </c>
    </row>
    <row r="8720" spans="7:8" ht="15" customHeight="1" x14ac:dyDescent="0.4">
      <c r="G8720" s="27">
        <f t="shared" si="147"/>
        <v>0</v>
      </c>
      <c r="H8720" s="28" t="e">
        <f>VLOOKUP(E8720,'Cadastro Produtos (kiwkiw)'!C:E,3,0)</f>
        <v>#N/A</v>
      </c>
    </row>
    <row r="8721" spans="7:8" ht="15" customHeight="1" x14ac:dyDescent="0.4">
      <c r="G8721" s="27">
        <f t="shared" si="147"/>
        <v>0</v>
      </c>
      <c r="H8721" s="28" t="e">
        <f>VLOOKUP(E8721,'Cadastro Produtos (kiwkiw)'!C:E,3,0)</f>
        <v>#N/A</v>
      </c>
    </row>
    <row r="8722" spans="7:8" ht="15" customHeight="1" x14ac:dyDescent="0.4">
      <c r="G8722" s="27">
        <f t="shared" ref="G8722:G8785" si="148">IF(C8722="Entrada",F8722,-F8722)</f>
        <v>0</v>
      </c>
      <c r="H8722" s="28" t="e">
        <f>VLOOKUP(E8722,'Cadastro Produtos (kiwkiw)'!C:E,3,0)</f>
        <v>#N/A</v>
      </c>
    </row>
    <row r="8723" spans="7:8" ht="15" customHeight="1" x14ac:dyDescent="0.4">
      <c r="G8723" s="27">
        <f t="shared" si="148"/>
        <v>0</v>
      </c>
      <c r="H8723" s="28" t="e">
        <f>VLOOKUP(E8723,'Cadastro Produtos (kiwkiw)'!C:E,3,0)</f>
        <v>#N/A</v>
      </c>
    </row>
    <row r="8724" spans="7:8" ht="15" customHeight="1" x14ac:dyDescent="0.4">
      <c r="G8724" s="27">
        <f t="shared" si="148"/>
        <v>0</v>
      </c>
      <c r="H8724" s="28" t="e">
        <f>VLOOKUP(E8724,'Cadastro Produtos (kiwkiw)'!C:E,3,0)</f>
        <v>#N/A</v>
      </c>
    </row>
    <row r="8725" spans="7:8" ht="15" customHeight="1" x14ac:dyDescent="0.4">
      <c r="G8725" s="27">
        <f t="shared" si="148"/>
        <v>0</v>
      </c>
      <c r="H8725" s="28" t="e">
        <f>VLOOKUP(E8725,'Cadastro Produtos (kiwkiw)'!C:E,3,0)</f>
        <v>#N/A</v>
      </c>
    </row>
    <row r="8726" spans="7:8" ht="15" customHeight="1" x14ac:dyDescent="0.4">
      <c r="G8726" s="27">
        <f t="shared" si="148"/>
        <v>0</v>
      </c>
      <c r="H8726" s="28" t="e">
        <f>VLOOKUP(E8726,'Cadastro Produtos (kiwkiw)'!C:E,3,0)</f>
        <v>#N/A</v>
      </c>
    </row>
    <row r="8727" spans="7:8" ht="15" customHeight="1" x14ac:dyDescent="0.4">
      <c r="G8727" s="27">
        <f t="shared" si="148"/>
        <v>0</v>
      </c>
      <c r="H8727" s="28" t="e">
        <f>VLOOKUP(E8727,'Cadastro Produtos (kiwkiw)'!C:E,3,0)</f>
        <v>#N/A</v>
      </c>
    </row>
    <row r="8728" spans="7:8" ht="15" customHeight="1" x14ac:dyDescent="0.4">
      <c r="G8728" s="27">
        <f t="shared" si="148"/>
        <v>0</v>
      </c>
      <c r="H8728" s="28" t="e">
        <f>VLOOKUP(E8728,'Cadastro Produtos (kiwkiw)'!C:E,3,0)</f>
        <v>#N/A</v>
      </c>
    </row>
    <row r="8729" spans="7:8" ht="15" customHeight="1" x14ac:dyDescent="0.4">
      <c r="G8729" s="27">
        <f t="shared" si="148"/>
        <v>0</v>
      </c>
      <c r="H8729" s="28" t="e">
        <f>VLOOKUP(E8729,'Cadastro Produtos (kiwkiw)'!C:E,3,0)</f>
        <v>#N/A</v>
      </c>
    </row>
    <row r="8730" spans="7:8" ht="15" customHeight="1" x14ac:dyDescent="0.4">
      <c r="G8730" s="27">
        <f t="shared" si="148"/>
        <v>0</v>
      </c>
      <c r="H8730" s="28" t="e">
        <f>VLOOKUP(E8730,'Cadastro Produtos (kiwkiw)'!C:E,3,0)</f>
        <v>#N/A</v>
      </c>
    </row>
    <row r="8731" spans="7:8" ht="15" customHeight="1" x14ac:dyDescent="0.4">
      <c r="G8731" s="27">
        <f t="shared" si="148"/>
        <v>0</v>
      </c>
      <c r="H8731" s="28" t="e">
        <f>VLOOKUP(E8731,'Cadastro Produtos (kiwkiw)'!C:E,3,0)</f>
        <v>#N/A</v>
      </c>
    </row>
    <row r="8732" spans="7:8" ht="15" customHeight="1" x14ac:dyDescent="0.4">
      <c r="G8732" s="27">
        <f t="shared" si="148"/>
        <v>0</v>
      </c>
      <c r="H8732" s="28" t="e">
        <f>VLOOKUP(E8732,'Cadastro Produtos (kiwkiw)'!C:E,3,0)</f>
        <v>#N/A</v>
      </c>
    </row>
    <row r="8733" spans="7:8" ht="15" customHeight="1" x14ac:dyDescent="0.4">
      <c r="G8733" s="27">
        <f t="shared" si="148"/>
        <v>0</v>
      </c>
      <c r="H8733" s="28" t="e">
        <f>VLOOKUP(E8733,'Cadastro Produtos (kiwkiw)'!C:E,3,0)</f>
        <v>#N/A</v>
      </c>
    </row>
    <row r="8734" spans="7:8" ht="15" customHeight="1" x14ac:dyDescent="0.4">
      <c r="G8734" s="27">
        <f t="shared" si="148"/>
        <v>0</v>
      </c>
      <c r="H8734" s="28" t="e">
        <f>VLOOKUP(E8734,'Cadastro Produtos (kiwkiw)'!C:E,3,0)</f>
        <v>#N/A</v>
      </c>
    </row>
    <row r="8735" spans="7:8" ht="15" customHeight="1" x14ac:dyDescent="0.4">
      <c r="G8735" s="27">
        <f t="shared" si="148"/>
        <v>0</v>
      </c>
      <c r="H8735" s="28" t="e">
        <f>VLOOKUP(E8735,'Cadastro Produtos (kiwkiw)'!C:E,3,0)</f>
        <v>#N/A</v>
      </c>
    </row>
    <row r="8736" spans="7:8" ht="15" customHeight="1" x14ac:dyDescent="0.4">
      <c r="G8736" s="27">
        <f t="shared" si="148"/>
        <v>0</v>
      </c>
      <c r="H8736" s="28" t="e">
        <f>VLOOKUP(E8736,'Cadastro Produtos (kiwkiw)'!C:E,3,0)</f>
        <v>#N/A</v>
      </c>
    </row>
    <row r="8737" spans="7:8" ht="15" customHeight="1" x14ac:dyDescent="0.4">
      <c r="G8737" s="27">
        <f t="shared" si="148"/>
        <v>0</v>
      </c>
      <c r="H8737" s="28" t="e">
        <f>VLOOKUP(E8737,'Cadastro Produtos (kiwkiw)'!C:E,3,0)</f>
        <v>#N/A</v>
      </c>
    </row>
    <row r="8738" spans="7:8" ht="15" customHeight="1" x14ac:dyDescent="0.4">
      <c r="G8738" s="27">
        <f t="shared" si="148"/>
        <v>0</v>
      </c>
      <c r="H8738" s="28" t="e">
        <f>VLOOKUP(E8738,'Cadastro Produtos (kiwkiw)'!C:E,3,0)</f>
        <v>#N/A</v>
      </c>
    </row>
    <row r="8739" spans="7:8" ht="15" customHeight="1" x14ac:dyDescent="0.4">
      <c r="G8739" s="27">
        <f t="shared" si="148"/>
        <v>0</v>
      </c>
      <c r="H8739" s="28" t="e">
        <f>VLOOKUP(E8739,'Cadastro Produtos (kiwkiw)'!C:E,3,0)</f>
        <v>#N/A</v>
      </c>
    </row>
    <row r="8740" spans="7:8" ht="15" customHeight="1" x14ac:dyDescent="0.4">
      <c r="G8740" s="27">
        <f t="shared" si="148"/>
        <v>0</v>
      </c>
      <c r="H8740" s="28" t="e">
        <f>VLOOKUP(E8740,'Cadastro Produtos (kiwkiw)'!C:E,3,0)</f>
        <v>#N/A</v>
      </c>
    </row>
    <row r="8741" spans="7:8" ht="15" customHeight="1" x14ac:dyDescent="0.4">
      <c r="G8741" s="27">
        <f t="shared" si="148"/>
        <v>0</v>
      </c>
      <c r="H8741" s="28" t="e">
        <f>VLOOKUP(E8741,'Cadastro Produtos (kiwkiw)'!C:E,3,0)</f>
        <v>#N/A</v>
      </c>
    </row>
    <row r="8742" spans="7:8" ht="15" customHeight="1" x14ac:dyDescent="0.4">
      <c r="G8742" s="27">
        <f t="shared" si="148"/>
        <v>0</v>
      </c>
      <c r="H8742" s="28" t="e">
        <f>VLOOKUP(E8742,'Cadastro Produtos (kiwkiw)'!C:E,3,0)</f>
        <v>#N/A</v>
      </c>
    </row>
    <row r="8743" spans="7:8" ht="15" customHeight="1" x14ac:dyDescent="0.4">
      <c r="G8743" s="27">
        <f t="shared" si="148"/>
        <v>0</v>
      </c>
      <c r="H8743" s="28" t="e">
        <f>VLOOKUP(E8743,'Cadastro Produtos (kiwkiw)'!C:E,3,0)</f>
        <v>#N/A</v>
      </c>
    </row>
    <row r="8744" spans="7:8" ht="15" customHeight="1" x14ac:dyDescent="0.4">
      <c r="G8744" s="27">
        <f t="shared" si="148"/>
        <v>0</v>
      </c>
      <c r="H8744" s="28" t="e">
        <f>VLOOKUP(E8744,'Cadastro Produtos (kiwkiw)'!C:E,3,0)</f>
        <v>#N/A</v>
      </c>
    </row>
    <row r="8745" spans="7:8" ht="15" customHeight="1" x14ac:dyDescent="0.4">
      <c r="G8745" s="27">
        <f t="shared" si="148"/>
        <v>0</v>
      </c>
      <c r="H8745" s="28" t="e">
        <f>VLOOKUP(E8745,'Cadastro Produtos (kiwkiw)'!C:E,3,0)</f>
        <v>#N/A</v>
      </c>
    </row>
    <row r="8746" spans="7:8" ht="15" customHeight="1" x14ac:dyDescent="0.4">
      <c r="G8746" s="27">
        <f t="shared" si="148"/>
        <v>0</v>
      </c>
      <c r="H8746" s="28" t="e">
        <f>VLOOKUP(E8746,'Cadastro Produtos (kiwkiw)'!C:E,3,0)</f>
        <v>#N/A</v>
      </c>
    </row>
    <row r="8747" spans="7:8" ht="15" customHeight="1" x14ac:dyDescent="0.4">
      <c r="G8747" s="27">
        <f t="shared" si="148"/>
        <v>0</v>
      </c>
      <c r="H8747" s="28" t="e">
        <f>VLOOKUP(E8747,'Cadastro Produtos (kiwkiw)'!C:E,3,0)</f>
        <v>#N/A</v>
      </c>
    </row>
    <row r="8748" spans="7:8" ht="15" customHeight="1" x14ac:dyDescent="0.4">
      <c r="G8748" s="27">
        <f t="shared" si="148"/>
        <v>0</v>
      </c>
      <c r="H8748" s="28" t="e">
        <f>VLOOKUP(E8748,'Cadastro Produtos (kiwkiw)'!C:E,3,0)</f>
        <v>#N/A</v>
      </c>
    </row>
    <row r="8749" spans="7:8" ht="15" customHeight="1" x14ac:dyDescent="0.4">
      <c r="G8749" s="27">
        <f t="shared" si="148"/>
        <v>0</v>
      </c>
      <c r="H8749" s="28" t="e">
        <f>VLOOKUP(E8749,'Cadastro Produtos (kiwkiw)'!C:E,3,0)</f>
        <v>#N/A</v>
      </c>
    </row>
    <row r="8750" spans="7:8" ht="15" customHeight="1" x14ac:dyDescent="0.4">
      <c r="G8750" s="27">
        <f t="shared" si="148"/>
        <v>0</v>
      </c>
      <c r="H8750" s="28" t="e">
        <f>VLOOKUP(E8750,'Cadastro Produtos (kiwkiw)'!C:E,3,0)</f>
        <v>#N/A</v>
      </c>
    </row>
    <row r="8751" spans="7:8" ht="15" customHeight="1" x14ac:dyDescent="0.4">
      <c r="G8751" s="27">
        <f t="shared" si="148"/>
        <v>0</v>
      </c>
      <c r="H8751" s="28" t="e">
        <f>VLOOKUP(E8751,'Cadastro Produtos (kiwkiw)'!C:E,3,0)</f>
        <v>#N/A</v>
      </c>
    </row>
    <row r="8752" spans="7:8" ht="15" customHeight="1" x14ac:dyDescent="0.4">
      <c r="G8752" s="27">
        <f t="shared" si="148"/>
        <v>0</v>
      </c>
      <c r="H8752" s="28" t="e">
        <f>VLOOKUP(E8752,'Cadastro Produtos (kiwkiw)'!C:E,3,0)</f>
        <v>#N/A</v>
      </c>
    </row>
    <row r="8753" spans="7:8" ht="15" customHeight="1" x14ac:dyDescent="0.4">
      <c r="G8753" s="27">
        <f t="shared" si="148"/>
        <v>0</v>
      </c>
      <c r="H8753" s="28" t="e">
        <f>VLOOKUP(E8753,'Cadastro Produtos (kiwkiw)'!C:E,3,0)</f>
        <v>#N/A</v>
      </c>
    </row>
    <row r="8754" spans="7:8" ht="15" customHeight="1" x14ac:dyDescent="0.4">
      <c r="G8754" s="27">
        <f t="shared" si="148"/>
        <v>0</v>
      </c>
      <c r="H8754" s="28" t="e">
        <f>VLOOKUP(E8754,'Cadastro Produtos (kiwkiw)'!C:E,3,0)</f>
        <v>#N/A</v>
      </c>
    </row>
    <row r="8755" spans="7:8" ht="15" customHeight="1" x14ac:dyDescent="0.4">
      <c r="G8755" s="27">
        <f t="shared" si="148"/>
        <v>0</v>
      </c>
      <c r="H8755" s="28" t="e">
        <f>VLOOKUP(E8755,'Cadastro Produtos (kiwkiw)'!C:E,3,0)</f>
        <v>#N/A</v>
      </c>
    </row>
    <row r="8756" spans="7:8" ht="15" customHeight="1" x14ac:dyDescent="0.4">
      <c r="G8756" s="27">
        <f t="shared" si="148"/>
        <v>0</v>
      </c>
      <c r="H8756" s="28" t="e">
        <f>VLOOKUP(E8756,'Cadastro Produtos (kiwkiw)'!C:E,3,0)</f>
        <v>#N/A</v>
      </c>
    </row>
    <row r="8757" spans="7:8" ht="15" customHeight="1" x14ac:dyDescent="0.4">
      <c r="G8757" s="27">
        <f t="shared" si="148"/>
        <v>0</v>
      </c>
      <c r="H8757" s="28" t="e">
        <f>VLOOKUP(E8757,'Cadastro Produtos (kiwkiw)'!C:E,3,0)</f>
        <v>#N/A</v>
      </c>
    </row>
    <row r="8758" spans="7:8" ht="15" customHeight="1" x14ac:dyDescent="0.4">
      <c r="G8758" s="27">
        <f t="shared" si="148"/>
        <v>0</v>
      </c>
      <c r="H8758" s="28" t="e">
        <f>VLOOKUP(E8758,'Cadastro Produtos (kiwkiw)'!C:E,3,0)</f>
        <v>#N/A</v>
      </c>
    </row>
    <row r="8759" spans="7:8" ht="15" customHeight="1" x14ac:dyDescent="0.4">
      <c r="G8759" s="27">
        <f t="shared" si="148"/>
        <v>0</v>
      </c>
      <c r="H8759" s="28" t="e">
        <f>VLOOKUP(E8759,'Cadastro Produtos (kiwkiw)'!C:E,3,0)</f>
        <v>#N/A</v>
      </c>
    </row>
    <row r="8760" spans="7:8" ht="15" customHeight="1" x14ac:dyDescent="0.4">
      <c r="G8760" s="27">
        <f t="shared" si="148"/>
        <v>0</v>
      </c>
      <c r="H8760" s="28" t="e">
        <f>VLOOKUP(E8760,'Cadastro Produtos (kiwkiw)'!C:E,3,0)</f>
        <v>#N/A</v>
      </c>
    </row>
    <row r="8761" spans="7:8" ht="15" customHeight="1" x14ac:dyDescent="0.4">
      <c r="G8761" s="27">
        <f t="shared" si="148"/>
        <v>0</v>
      </c>
      <c r="H8761" s="28" t="e">
        <f>VLOOKUP(E8761,'Cadastro Produtos (kiwkiw)'!C:E,3,0)</f>
        <v>#N/A</v>
      </c>
    </row>
    <row r="8762" spans="7:8" ht="15" customHeight="1" x14ac:dyDescent="0.4">
      <c r="G8762" s="27">
        <f t="shared" si="148"/>
        <v>0</v>
      </c>
      <c r="H8762" s="28" t="e">
        <f>VLOOKUP(E8762,'Cadastro Produtos (kiwkiw)'!C:E,3,0)</f>
        <v>#N/A</v>
      </c>
    </row>
    <row r="8763" spans="7:8" ht="15" customHeight="1" x14ac:dyDescent="0.4">
      <c r="G8763" s="27">
        <f t="shared" si="148"/>
        <v>0</v>
      </c>
      <c r="H8763" s="28" t="e">
        <f>VLOOKUP(E8763,'Cadastro Produtos (kiwkiw)'!C:E,3,0)</f>
        <v>#N/A</v>
      </c>
    </row>
    <row r="8764" spans="7:8" ht="15" customHeight="1" x14ac:dyDescent="0.4">
      <c r="G8764" s="27">
        <f t="shared" si="148"/>
        <v>0</v>
      </c>
      <c r="H8764" s="28" t="e">
        <f>VLOOKUP(E8764,'Cadastro Produtos (kiwkiw)'!C:E,3,0)</f>
        <v>#N/A</v>
      </c>
    </row>
    <row r="8765" spans="7:8" ht="15" customHeight="1" x14ac:dyDescent="0.4">
      <c r="G8765" s="27">
        <f t="shared" si="148"/>
        <v>0</v>
      </c>
      <c r="H8765" s="28" t="e">
        <f>VLOOKUP(E8765,'Cadastro Produtos (kiwkiw)'!C:E,3,0)</f>
        <v>#N/A</v>
      </c>
    </row>
    <row r="8766" spans="7:8" ht="15" customHeight="1" x14ac:dyDescent="0.4">
      <c r="G8766" s="27">
        <f t="shared" si="148"/>
        <v>0</v>
      </c>
      <c r="H8766" s="28" t="e">
        <f>VLOOKUP(E8766,'Cadastro Produtos (kiwkiw)'!C:E,3,0)</f>
        <v>#N/A</v>
      </c>
    </row>
    <row r="8767" spans="7:8" ht="15" customHeight="1" x14ac:dyDescent="0.4">
      <c r="G8767" s="27">
        <f t="shared" si="148"/>
        <v>0</v>
      </c>
      <c r="H8767" s="28" t="e">
        <f>VLOOKUP(E8767,'Cadastro Produtos (kiwkiw)'!C:E,3,0)</f>
        <v>#N/A</v>
      </c>
    </row>
    <row r="8768" spans="7:8" ht="15" customHeight="1" x14ac:dyDescent="0.4">
      <c r="G8768" s="27">
        <f t="shared" si="148"/>
        <v>0</v>
      </c>
      <c r="H8768" s="28" t="e">
        <f>VLOOKUP(E8768,'Cadastro Produtos (kiwkiw)'!C:E,3,0)</f>
        <v>#N/A</v>
      </c>
    </row>
    <row r="8769" spans="2:8" ht="15" customHeight="1" x14ac:dyDescent="0.4">
      <c r="G8769" s="27">
        <f t="shared" si="148"/>
        <v>0</v>
      </c>
      <c r="H8769" s="28" t="e">
        <f>VLOOKUP(E8769,'Cadastro Produtos (kiwkiw)'!C:E,3,0)</f>
        <v>#N/A</v>
      </c>
    </row>
    <row r="8770" spans="2:8" ht="15" customHeight="1" x14ac:dyDescent="0.4">
      <c r="G8770" s="27">
        <f t="shared" si="148"/>
        <v>0</v>
      </c>
      <c r="H8770" s="28" t="e">
        <f>VLOOKUP(E8770,'Cadastro Produtos (kiwkiw)'!C:E,3,0)</f>
        <v>#N/A</v>
      </c>
    </row>
    <row r="8771" spans="2:8" ht="15" customHeight="1" x14ac:dyDescent="0.4">
      <c r="G8771" s="27">
        <f t="shared" si="148"/>
        <v>0</v>
      </c>
      <c r="H8771" s="28" t="e">
        <f>VLOOKUP(E8771,'Cadastro Produtos (kiwkiw)'!C:E,3,0)</f>
        <v>#N/A</v>
      </c>
    </row>
    <row r="8772" spans="2:8" ht="15" customHeight="1" x14ac:dyDescent="0.4">
      <c r="G8772" s="27">
        <f t="shared" si="148"/>
        <v>0</v>
      </c>
      <c r="H8772" s="28" t="e">
        <f>VLOOKUP(E8772,'Cadastro Produtos (kiwkiw)'!C:E,3,0)</f>
        <v>#N/A</v>
      </c>
    </row>
    <row r="8773" spans="2:8" ht="15" customHeight="1" x14ac:dyDescent="0.4">
      <c r="G8773" s="27">
        <f t="shared" si="148"/>
        <v>0</v>
      </c>
      <c r="H8773" s="28" t="e">
        <f>VLOOKUP(E8773,'Cadastro Produtos (kiwkiw)'!C:E,3,0)</f>
        <v>#N/A</v>
      </c>
    </row>
    <row r="8774" spans="2:8" ht="15" customHeight="1" x14ac:dyDescent="0.4">
      <c r="G8774" s="27">
        <f t="shared" si="148"/>
        <v>0</v>
      </c>
      <c r="H8774" s="28" t="e">
        <f>VLOOKUP(E8774,'Cadastro Produtos (kiwkiw)'!C:E,3,0)</f>
        <v>#N/A</v>
      </c>
    </row>
    <row r="8775" spans="2:8" ht="15" customHeight="1" x14ac:dyDescent="0.4">
      <c r="B8775" s="43"/>
      <c r="G8775" s="27">
        <f t="shared" si="148"/>
        <v>0</v>
      </c>
      <c r="H8775" s="28" t="e">
        <f>VLOOKUP(E8775,'Cadastro Produtos (kiwkiw)'!C:E,3,0)</f>
        <v>#N/A</v>
      </c>
    </row>
    <row r="8776" spans="2:8" ht="15" customHeight="1" x14ac:dyDescent="0.4">
      <c r="G8776" s="27">
        <f t="shared" si="148"/>
        <v>0</v>
      </c>
      <c r="H8776" s="28" t="e">
        <f>VLOOKUP(E8776,'Cadastro Produtos (kiwkiw)'!C:E,3,0)</f>
        <v>#N/A</v>
      </c>
    </row>
    <row r="8777" spans="2:8" ht="15" customHeight="1" x14ac:dyDescent="0.4">
      <c r="G8777" s="27">
        <f t="shared" si="148"/>
        <v>0</v>
      </c>
      <c r="H8777" s="28" t="e">
        <f>VLOOKUP(E8777,'Cadastro Produtos (kiwkiw)'!C:E,3,0)</f>
        <v>#N/A</v>
      </c>
    </row>
    <row r="8778" spans="2:8" ht="15" customHeight="1" x14ac:dyDescent="0.4">
      <c r="G8778" s="27">
        <f t="shared" si="148"/>
        <v>0</v>
      </c>
      <c r="H8778" s="28" t="e">
        <f>VLOOKUP(E8778,'Cadastro Produtos (kiwkiw)'!C:E,3,0)</f>
        <v>#N/A</v>
      </c>
    </row>
    <row r="8779" spans="2:8" ht="15" customHeight="1" x14ac:dyDescent="0.4">
      <c r="G8779" s="27">
        <f t="shared" si="148"/>
        <v>0</v>
      </c>
      <c r="H8779" s="28" t="e">
        <f>VLOOKUP(E8779,'Cadastro Produtos (kiwkiw)'!C:E,3,0)</f>
        <v>#N/A</v>
      </c>
    </row>
    <row r="8780" spans="2:8" ht="15" customHeight="1" x14ac:dyDescent="0.4">
      <c r="G8780" s="27">
        <f t="shared" si="148"/>
        <v>0</v>
      </c>
      <c r="H8780" s="28" t="e">
        <f>VLOOKUP(E8780,'Cadastro Produtos (kiwkiw)'!C:E,3,0)</f>
        <v>#N/A</v>
      </c>
    </row>
    <row r="8781" spans="2:8" ht="15" customHeight="1" x14ac:dyDescent="0.4">
      <c r="G8781" s="27">
        <f t="shared" si="148"/>
        <v>0</v>
      </c>
      <c r="H8781" s="28" t="e">
        <f>VLOOKUP(E8781,'Cadastro Produtos (kiwkiw)'!C:E,3,0)</f>
        <v>#N/A</v>
      </c>
    </row>
    <row r="8782" spans="2:8" ht="15" customHeight="1" x14ac:dyDescent="0.4">
      <c r="G8782" s="27">
        <f t="shared" si="148"/>
        <v>0</v>
      </c>
      <c r="H8782" s="28" t="e">
        <f>VLOOKUP(E8782,'Cadastro Produtos (kiwkiw)'!C:E,3,0)</f>
        <v>#N/A</v>
      </c>
    </row>
    <row r="8783" spans="2:8" ht="15" customHeight="1" x14ac:dyDescent="0.4">
      <c r="G8783" s="27">
        <f t="shared" si="148"/>
        <v>0</v>
      </c>
      <c r="H8783" s="28" t="e">
        <f>VLOOKUP(E8783,'Cadastro Produtos (kiwkiw)'!C:E,3,0)</f>
        <v>#N/A</v>
      </c>
    </row>
    <row r="8784" spans="2:8" ht="15" customHeight="1" x14ac:dyDescent="0.4">
      <c r="G8784" s="27">
        <f t="shared" si="148"/>
        <v>0</v>
      </c>
      <c r="H8784" s="28" t="e">
        <f>VLOOKUP(E8784,'Cadastro Produtos (kiwkiw)'!C:E,3,0)</f>
        <v>#N/A</v>
      </c>
    </row>
    <row r="8785" spans="7:8" ht="15" customHeight="1" x14ac:dyDescent="0.4">
      <c r="G8785" s="27">
        <f t="shared" si="148"/>
        <v>0</v>
      </c>
      <c r="H8785" s="28" t="e">
        <f>VLOOKUP(E8785,'Cadastro Produtos (kiwkiw)'!C:E,3,0)</f>
        <v>#N/A</v>
      </c>
    </row>
    <row r="8786" spans="7:8" ht="15" customHeight="1" x14ac:dyDescent="0.4">
      <c r="G8786" s="27">
        <f t="shared" ref="G8786:G8849" si="149">IF(C8786="Entrada",F8786,-F8786)</f>
        <v>0</v>
      </c>
      <c r="H8786" s="28" t="e">
        <f>VLOOKUP(E8786,'Cadastro Produtos (kiwkiw)'!C:E,3,0)</f>
        <v>#N/A</v>
      </c>
    </row>
    <row r="8787" spans="7:8" ht="15" customHeight="1" x14ac:dyDescent="0.4">
      <c r="G8787" s="27">
        <f t="shared" si="149"/>
        <v>0</v>
      </c>
      <c r="H8787" s="28" t="e">
        <f>VLOOKUP(E8787,'Cadastro Produtos (kiwkiw)'!C:E,3,0)</f>
        <v>#N/A</v>
      </c>
    </row>
    <row r="8788" spans="7:8" ht="15" customHeight="1" x14ac:dyDescent="0.4">
      <c r="G8788" s="27">
        <f t="shared" si="149"/>
        <v>0</v>
      </c>
      <c r="H8788" s="28" t="e">
        <f>VLOOKUP(E8788,'Cadastro Produtos (kiwkiw)'!C:E,3,0)</f>
        <v>#N/A</v>
      </c>
    </row>
    <row r="8789" spans="7:8" ht="15" customHeight="1" x14ac:dyDescent="0.4">
      <c r="G8789" s="27">
        <f t="shared" si="149"/>
        <v>0</v>
      </c>
      <c r="H8789" s="28" t="e">
        <f>VLOOKUP(E8789,'Cadastro Produtos (kiwkiw)'!C:E,3,0)</f>
        <v>#N/A</v>
      </c>
    </row>
    <row r="8790" spans="7:8" ht="15" customHeight="1" x14ac:dyDescent="0.4">
      <c r="G8790" s="27">
        <f t="shared" si="149"/>
        <v>0</v>
      </c>
      <c r="H8790" s="28" t="e">
        <f>VLOOKUP(E8790,'Cadastro Produtos (kiwkiw)'!C:E,3,0)</f>
        <v>#N/A</v>
      </c>
    </row>
    <row r="8791" spans="7:8" ht="15" customHeight="1" x14ac:dyDescent="0.4">
      <c r="G8791" s="27">
        <f t="shared" si="149"/>
        <v>0</v>
      </c>
      <c r="H8791" s="28" t="e">
        <f>VLOOKUP(E8791,'Cadastro Produtos (kiwkiw)'!C:E,3,0)</f>
        <v>#N/A</v>
      </c>
    </row>
    <row r="8792" spans="7:8" ht="15" customHeight="1" x14ac:dyDescent="0.4">
      <c r="G8792" s="27">
        <f t="shared" si="149"/>
        <v>0</v>
      </c>
      <c r="H8792" s="28" t="e">
        <f>VLOOKUP(E8792,'Cadastro Produtos (kiwkiw)'!C:E,3,0)</f>
        <v>#N/A</v>
      </c>
    </row>
    <row r="8793" spans="7:8" ht="15" customHeight="1" x14ac:dyDescent="0.4">
      <c r="G8793" s="27">
        <f t="shared" si="149"/>
        <v>0</v>
      </c>
      <c r="H8793" s="28" t="e">
        <f>VLOOKUP(E8793,'Cadastro Produtos (kiwkiw)'!C:E,3,0)</f>
        <v>#N/A</v>
      </c>
    </row>
    <row r="8794" spans="7:8" ht="15" customHeight="1" x14ac:dyDescent="0.4">
      <c r="G8794" s="27">
        <f t="shared" si="149"/>
        <v>0</v>
      </c>
      <c r="H8794" s="28" t="e">
        <f>VLOOKUP(E8794,'Cadastro Produtos (kiwkiw)'!C:E,3,0)</f>
        <v>#N/A</v>
      </c>
    </row>
    <row r="8795" spans="7:8" ht="15" customHeight="1" x14ac:dyDescent="0.4">
      <c r="G8795" s="27">
        <f t="shared" si="149"/>
        <v>0</v>
      </c>
      <c r="H8795" s="28" t="e">
        <f>VLOOKUP(E8795,'Cadastro Produtos (kiwkiw)'!C:E,3,0)</f>
        <v>#N/A</v>
      </c>
    </row>
    <row r="8796" spans="7:8" ht="15" customHeight="1" x14ac:dyDescent="0.4">
      <c r="G8796" s="27">
        <f t="shared" si="149"/>
        <v>0</v>
      </c>
      <c r="H8796" s="28" t="e">
        <f>VLOOKUP(E8796,'Cadastro Produtos (kiwkiw)'!C:E,3,0)</f>
        <v>#N/A</v>
      </c>
    </row>
    <row r="8797" spans="7:8" ht="15" customHeight="1" x14ac:dyDescent="0.4">
      <c r="G8797" s="27">
        <f t="shared" si="149"/>
        <v>0</v>
      </c>
      <c r="H8797" s="28" t="e">
        <f>VLOOKUP(E8797,'Cadastro Produtos (kiwkiw)'!C:E,3,0)</f>
        <v>#N/A</v>
      </c>
    </row>
    <row r="8798" spans="7:8" ht="15" customHeight="1" x14ac:dyDescent="0.4">
      <c r="G8798" s="27">
        <f t="shared" si="149"/>
        <v>0</v>
      </c>
      <c r="H8798" s="28" t="e">
        <f>VLOOKUP(E8798,'Cadastro Produtos (kiwkiw)'!C:E,3,0)</f>
        <v>#N/A</v>
      </c>
    </row>
    <row r="8799" spans="7:8" ht="15" customHeight="1" x14ac:dyDescent="0.4">
      <c r="G8799" s="27">
        <f t="shared" si="149"/>
        <v>0</v>
      </c>
      <c r="H8799" s="28" t="e">
        <f>VLOOKUP(E8799,'Cadastro Produtos (kiwkiw)'!C:E,3,0)</f>
        <v>#N/A</v>
      </c>
    </row>
    <row r="8800" spans="7:8" ht="15" customHeight="1" x14ac:dyDescent="0.4">
      <c r="G8800" s="27">
        <f t="shared" si="149"/>
        <v>0</v>
      </c>
      <c r="H8800" s="28" t="e">
        <f>VLOOKUP(E8800,'Cadastro Produtos (kiwkiw)'!C:E,3,0)</f>
        <v>#N/A</v>
      </c>
    </row>
    <row r="8801" spans="7:8" ht="15" customHeight="1" x14ac:dyDescent="0.4">
      <c r="G8801" s="27">
        <f t="shared" si="149"/>
        <v>0</v>
      </c>
      <c r="H8801" s="28" t="e">
        <f>VLOOKUP(E8801,'Cadastro Produtos (kiwkiw)'!C:E,3,0)</f>
        <v>#N/A</v>
      </c>
    </row>
    <row r="8802" spans="7:8" ht="15" customHeight="1" x14ac:dyDescent="0.4">
      <c r="G8802" s="27">
        <f t="shared" si="149"/>
        <v>0</v>
      </c>
      <c r="H8802" s="28" t="e">
        <f>VLOOKUP(E8802,'Cadastro Produtos (kiwkiw)'!C:E,3,0)</f>
        <v>#N/A</v>
      </c>
    </row>
    <row r="8803" spans="7:8" ht="15" customHeight="1" x14ac:dyDescent="0.4">
      <c r="G8803" s="27">
        <f t="shared" si="149"/>
        <v>0</v>
      </c>
      <c r="H8803" s="28" t="e">
        <f>VLOOKUP(E8803,'Cadastro Produtos (kiwkiw)'!C:E,3,0)</f>
        <v>#N/A</v>
      </c>
    </row>
    <row r="8804" spans="7:8" ht="15" customHeight="1" x14ac:dyDescent="0.4">
      <c r="G8804" s="27">
        <f t="shared" si="149"/>
        <v>0</v>
      </c>
      <c r="H8804" s="28" t="e">
        <f>VLOOKUP(E8804,'Cadastro Produtos (kiwkiw)'!C:E,3,0)</f>
        <v>#N/A</v>
      </c>
    </row>
    <row r="8805" spans="7:8" ht="15" customHeight="1" x14ac:dyDescent="0.4">
      <c r="G8805" s="27">
        <f t="shared" si="149"/>
        <v>0</v>
      </c>
      <c r="H8805" s="28" t="e">
        <f>VLOOKUP(E8805,'Cadastro Produtos (kiwkiw)'!C:E,3,0)</f>
        <v>#N/A</v>
      </c>
    </row>
    <row r="8806" spans="7:8" ht="15" customHeight="1" x14ac:dyDescent="0.4">
      <c r="G8806" s="27">
        <f t="shared" si="149"/>
        <v>0</v>
      </c>
      <c r="H8806" s="28" t="e">
        <f>VLOOKUP(E8806,'Cadastro Produtos (kiwkiw)'!C:E,3,0)</f>
        <v>#N/A</v>
      </c>
    </row>
    <row r="8807" spans="7:8" ht="15" customHeight="1" x14ac:dyDescent="0.4">
      <c r="G8807" s="27">
        <f t="shared" si="149"/>
        <v>0</v>
      </c>
      <c r="H8807" s="28" t="e">
        <f>VLOOKUP(E8807,'Cadastro Produtos (kiwkiw)'!C:E,3,0)</f>
        <v>#N/A</v>
      </c>
    </row>
    <row r="8808" spans="7:8" ht="15" customHeight="1" x14ac:dyDescent="0.4">
      <c r="G8808" s="27">
        <f t="shared" si="149"/>
        <v>0</v>
      </c>
      <c r="H8808" s="28" t="e">
        <f>VLOOKUP(E8808,'Cadastro Produtos (kiwkiw)'!C:E,3,0)</f>
        <v>#N/A</v>
      </c>
    </row>
    <row r="8809" spans="7:8" ht="15" customHeight="1" x14ac:dyDescent="0.4">
      <c r="G8809" s="27">
        <f t="shared" si="149"/>
        <v>0</v>
      </c>
      <c r="H8809" s="28" t="e">
        <f>VLOOKUP(E8809,'Cadastro Produtos (kiwkiw)'!C:E,3,0)</f>
        <v>#N/A</v>
      </c>
    </row>
    <row r="8810" spans="7:8" ht="15" customHeight="1" x14ac:dyDescent="0.4">
      <c r="G8810" s="27">
        <f t="shared" si="149"/>
        <v>0</v>
      </c>
      <c r="H8810" s="28" t="e">
        <f>VLOOKUP(E8810,'Cadastro Produtos (kiwkiw)'!C:E,3,0)</f>
        <v>#N/A</v>
      </c>
    </row>
    <row r="8811" spans="7:8" ht="15" customHeight="1" x14ac:dyDescent="0.4">
      <c r="G8811" s="27">
        <f t="shared" si="149"/>
        <v>0</v>
      </c>
      <c r="H8811" s="28" t="e">
        <f>VLOOKUP(E8811,'Cadastro Produtos (kiwkiw)'!C:E,3,0)</f>
        <v>#N/A</v>
      </c>
    </row>
    <row r="8812" spans="7:8" ht="15" customHeight="1" x14ac:dyDescent="0.4">
      <c r="G8812" s="27">
        <f t="shared" si="149"/>
        <v>0</v>
      </c>
      <c r="H8812" s="28" t="e">
        <f>VLOOKUP(E8812,'Cadastro Produtos (kiwkiw)'!C:E,3,0)</f>
        <v>#N/A</v>
      </c>
    </row>
    <row r="8813" spans="7:8" ht="15" customHeight="1" x14ac:dyDescent="0.4">
      <c r="G8813" s="27">
        <f t="shared" si="149"/>
        <v>0</v>
      </c>
      <c r="H8813" s="28" t="e">
        <f>VLOOKUP(E8813,'Cadastro Produtos (kiwkiw)'!C:E,3,0)</f>
        <v>#N/A</v>
      </c>
    </row>
    <row r="8814" spans="7:8" ht="15" customHeight="1" x14ac:dyDescent="0.4">
      <c r="G8814" s="27">
        <f t="shared" si="149"/>
        <v>0</v>
      </c>
      <c r="H8814" s="28" t="e">
        <f>VLOOKUP(E8814,'Cadastro Produtos (kiwkiw)'!C:E,3,0)</f>
        <v>#N/A</v>
      </c>
    </row>
    <row r="8815" spans="7:8" ht="15" customHeight="1" x14ac:dyDescent="0.4">
      <c r="G8815" s="27">
        <f t="shared" si="149"/>
        <v>0</v>
      </c>
      <c r="H8815" s="28" t="e">
        <f>VLOOKUP(E8815,'Cadastro Produtos (kiwkiw)'!C:E,3,0)</f>
        <v>#N/A</v>
      </c>
    </row>
    <row r="8816" spans="7:8" ht="15" customHeight="1" x14ac:dyDescent="0.4">
      <c r="G8816" s="27">
        <f t="shared" si="149"/>
        <v>0</v>
      </c>
      <c r="H8816" s="28" t="e">
        <f>VLOOKUP(E8816,'Cadastro Produtos (kiwkiw)'!C:E,3,0)</f>
        <v>#N/A</v>
      </c>
    </row>
    <row r="8817" spans="7:8" ht="15" customHeight="1" x14ac:dyDescent="0.4">
      <c r="G8817" s="27">
        <f t="shared" si="149"/>
        <v>0</v>
      </c>
      <c r="H8817" s="28" t="e">
        <f>VLOOKUP(E8817,'Cadastro Produtos (kiwkiw)'!C:E,3,0)</f>
        <v>#N/A</v>
      </c>
    </row>
    <row r="8818" spans="7:8" ht="15" customHeight="1" x14ac:dyDescent="0.4">
      <c r="G8818" s="27">
        <f t="shared" si="149"/>
        <v>0</v>
      </c>
      <c r="H8818" s="28" t="e">
        <f>VLOOKUP(E8818,'Cadastro Produtos (kiwkiw)'!C:E,3,0)</f>
        <v>#N/A</v>
      </c>
    </row>
    <row r="8819" spans="7:8" ht="15" customHeight="1" x14ac:dyDescent="0.4">
      <c r="G8819" s="27">
        <f t="shared" si="149"/>
        <v>0</v>
      </c>
      <c r="H8819" s="28" t="e">
        <f>VLOOKUP(E8819,'Cadastro Produtos (kiwkiw)'!C:E,3,0)</f>
        <v>#N/A</v>
      </c>
    </row>
    <row r="8820" spans="7:8" ht="15" customHeight="1" x14ac:dyDescent="0.4">
      <c r="G8820" s="27">
        <f t="shared" si="149"/>
        <v>0</v>
      </c>
      <c r="H8820" s="28" t="e">
        <f>VLOOKUP(E8820,'Cadastro Produtos (kiwkiw)'!C:E,3,0)</f>
        <v>#N/A</v>
      </c>
    </row>
    <row r="8821" spans="7:8" ht="15" customHeight="1" x14ac:dyDescent="0.4">
      <c r="G8821" s="27">
        <f t="shared" si="149"/>
        <v>0</v>
      </c>
      <c r="H8821" s="28" t="e">
        <f>VLOOKUP(E8821,'Cadastro Produtos (kiwkiw)'!C:E,3,0)</f>
        <v>#N/A</v>
      </c>
    </row>
    <row r="8822" spans="7:8" ht="15" customHeight="1" x14ac:dyDescent="0.4">
      <c r="G8822" s="27">
        <f t="shared" si="149"/>
        <v>0</v>
      </c>
      <c r="H8822" s="28" t="e">
        <f>VLOOKUP(E8822,'Cadastro Produtos (kiwkiw)'!C:E,3,0)</f>
        <v>#N/A</v>
      </c>
    </row>
    <row r="8823" spans="7:8" ht="15" customHeight="1" x14ac:dyDescent="0.4">
      <c r="G8823" s="27">
        <f t="shared" si="149"/>
        <v>0</v>
      </c>
      <c r="H8823" s="28" t="e">
        <f>VLOOKUP(E8823,'Cadastro Produtos (kiwkiw)'!C:E,3,0)</f>
        <v>#N/A</v>
      </c>
    </row>
    <row r="8824" spans="7:8" ht="15" customHeight="1" x14ac:dyDescent="0.4">
      <c r="G8824" s="27">
        <f t="shared" si="149"/>
        <v>0</v>
      </c>
      <c r="H8824" s="28" t="e">
        <f>VLOOKUP(E8824,'Cadastro Produtos (kiwkiw)'!C:E,3,0)</f>
        <v>#N/A</v>
      </c>
    </row>
    <row r="8825" spans="7:8" ht="15" customHeight="1" x14ac:dyDescent="0.4">
      <c r="G8825" s="27">
        <f t="shared" si="149"/>
        <v>0</v>
      </c>
      <c r="H8825" s="28" t="e">
        <f>VLOOKUP(E8825,'Cadastro Produtos (kiwkiw)'!C:E,3,0)</f>
        <v>#N/A</v>
      </c>
    </row>
    <row r="8826" spans="7:8" ht="15" customHeight="1" x14ac:dyDescent="0.4">
      <c r="G8826" s="27">
        <f t="shared" si="149"/>
        <v>0</v>
      </c>
      <c r="H8826" s="28" t="e">
        <f>VLOOKUP(E8826,'Cadastro Produtos (kiwkiw)'!C:E,3,0)</f>
        <v>#N/A</v>
      </c>
    </row>
    <row r="8827" spans="7:8" ht="15" customHeight="1" x14ac:dyDescent="0.4">
      <c r="G8827" s="27">
        <f t="shared" si="149"/>
        <v>0</v>
      </c>
      <c r="H8827" s="28" t="e">
        <f>VLOOKUP(E8827,'Cadastro Produtos (kiwkiw)'!C:E,3,0)</f>
        <v>#N/A</v>
      </c>
    </row>
    <row r="8828" spans="7:8" ht="15" customHeight="1" x14ac:dyDescent="0.4">
      <c r="G8828" s="27">
        <f t="shared" si="149"/>
        <v>0</v>
      </c>
      <c r="H8828" s="28" t="e">
        <f>VLOOKUP(E8828,'Cadastro Produtos (kiwkiw)'!C:E,3,0)</f>
        <v>#N/A</v>
      </c>
    </row>
    <row r="8829" spans="7:8" ht="15" customHeight="1" x14ac:dyDescent="0.4">
      <c r="G8829" s="27">
        <f t="shared" si="149"/>
        <v>0</v>
      </c>
      <c r="H8829" s="28" t="e">
        <f>VLOOKUP(E8829,'Cadastro Produtos (kiwkiw)'!C:E,3,0)</f>
        <v>#N/A</v>
      </c>
    </row>
    <row r="8830" spans="7:8" ht="15" customHeight="1" x14ac:dyDescent="0.4">
      <c r="G8830" s="27">
        <f t="shared" si="149"/>
        <v>0</v>
      </c>
      <c r="H8830" s="28" t="e">
        <f>VLOOKUP(E8830,'Cadastro Produtos (kiwkiw)'!C:E,3,0)</f>
        <v>#N/A</v>
      </c>
    </row>
    <row r="8831" spans="7:8" ht="15" customHeight="1" x14ac:dyDescent="0.4">
      <c r="G8831" s="27">
        <f t="shared" si="149"/>
        <v>0</v>
      </c>
      <c r="H8831" s="28" t="e">
        <f>VLOOKUP(E8831,'Cadastro Produtos (kiwkiw)'!C:E,3,0)</f>
        <v>#N/A</v>
      </c>
    </row>
    <row r="8832" spans="7:8" ht="15" customHeight="1" x14ac:dyDescent="0.4">
      <c r="G8832" s="27">
        <f t="shared" si="149"/>
        <v>0</v>
      </c>
      <c r="H8832" s="28" t="e">
        <f>VLOOKUP(E8832,'Cadastro Produtos (kiwkiw)'!C:E,3,0)</f>
        <v>#N/A</v>
      </c>
    </row>
    <row r="8833" spans="7:8" ht="15" customHeight="1" x14ac:dyDescent="0.4">
      <c r="G8833" s="27">
        <f t="shared" si="149"/>
        <v>0</v>
      </c>
      <c r="H8833" s="28" t="e">
        <f>VLOOKUP(E8833,'Cadastro Produtos (kiwkiw)'!C:E,3,0)</f>
        <v>#N/A</v>
      </c>
    </row>
    <row r="8834" spans="7:8" ht="15" customHeight="1" x14ac:dyDescent="0.4">
      <c r="G8834" s="27">
        <f t="shared" si="149"/>
        <v>0</v>
      </c>
      <c r="H8834" s="28" t="e">
        <f>VLOOKUP(E8834,'Cadastro Produtos (kiwkiw)'!C:E,3,0)</f>
        <v>#N/A</v>
      </c>
    </row>
    <row r="8835" spans="7:8" ht="15" customHeight="1" x14ac:dyDescent="0.4">
      <c r="G8835" s="27">
        <f t="shared" si="149"/>
        <v>0</v>
      </c>
      <c r="H8835" s="28" t="e">
        <f>VLOOKUP(E8835,'Cadastro Produtos (kiwkiw)'!C:E,3,0)</f>
        <v>#N/A</v>
      </c>
    </row>
    <row r="8836" spans="7:8" ht="15" customHeight="1" x14ac:dyDescent="0.4">
      <c r="G8836" s="27">
        <f t="shared" si="149"/>
        <v>0</v>
      </c>
      <c r="H8836" s="28" t="e">
        <f>VLOOKUP(E8836,'Cadastro Produtos (kiwkiw)'!C:E,3,0)</f>
        <v>#N/A</v>
      </c>
    </row>
    <row r="8837" spans="7:8" ht="15" customHeight="1" x14ac:dyDescent="0.4">
      <c r="G8837" s="27">
        <f t="shared" si="149"/>
        <v>0</v>
      </c>
      <c r="H8837" s="28" t="e">
        <f>VLOOKUP(E8837,'Cadastro Produtos (kiwkiw)'!C:E,3,0)</f>
        <v>#N/A</v>
      </c>
    </row>
    <row r="8838" spans="7:8" ht="15" customHeight="1" x14ac:dyDescent="0.4">
      <c r="G8838" s="27">
        <f t="shared" si="149"/>
        <v>0</v>
      </c>
      <c r="H8838" s="28" t="e">
        <f>VLOOKUP(E8838,'Cadastro Produtos (kiwkiw)'!C:E,3,0)</f>
        <v>#N/A</v>
      </c>
    </row>
    <row r="8839" spans="7:8" ht="15" customHeight="1" x14ac:dyDescent="0.4">
      <c r="G8839" s="27">
        <f t="shared" si="149"/>
        <v>0</v>
      </c>
      <c r="H8839" s="28" t="e">
        <f>VLOOKUP(E8839,'Cadastro Produtos (kiwkiw)'!C:E,3,0)</f>
        <v>#N/A</v>
      </c>
    </row>
    <row r="8840" spans="7:8" ht="15" customHeight="1" x14ac:dyDescent="0.4">
      <c r="G8840" s="27">
        <f t="shared" si="149"/>
        <v>0</v>
      </c>
      <c r="H8840" s="28" t="e">
        <f>VLOOKUP(E8840,'Cadastro Produtos (kiwkiw)'!C:E,3,0)</f>
        <v>#N/A</v>
      </c>
    </row>
    <row r="8841" spans="7:8" ht="15" customHeight="1" x14ac:dyDescent="0.4">
      <c r="G8841" s="27">
        <f t="shared" si="149"/>
        <v>0</v>
      </c>
      <c r="H8841" s="28" t="e">
        <f>VLOOKUP(E8841,'Cadastro Produtos (kiwkiw)'!C:E,3,0)</f>
        <v>#N/A</v>
      </c>
    </row>
    <row r="8842" spans="7:8" ht="15" customHeight="1" x14ac:dyDescent="0.4">
      <c r="G8842" s="27">
        <f t="shared" si="149"/>
        <v>0</v>
      </c>
      <c r="H8842" s="28" t="e">
        <f>VLOOKUP(E8842,'Cadastro Produtos (kiwkiw)'!C:E,3,0)</f>
        <v>#N/A</v>
      </c>
    </row>
    <row r="8843" spans="7:8" ht="15" customHeight="1" x14ac:dyDescent="0.4">
      <c r="G8843" s="27">
        <f t="shared" si="149"/>
        <v>0</v>
      </c>
      <c r="H8843" s="28" t="e">
        <f>VLOOKUP(E8843,'Cadastro Produtos (kiwkiw)'!C:E,3,0)</f>
        <v>#N/A</v>
      </c>
    </row>
    <row r="8844" spans="7:8" ht="15" customHeight="1" x14ac:dyDescent="0.4">
      <c r="G8844" s="27">
        <f t="shared" si="149"/>
        <v>0</v>
      </c>
      <c r="H8844" s="28" t="e">
        <f>VLOOKUP(E8844,'Cadastro Produtos (kiwkiw)'!C:E,3,0)</f>
        <v>#N/A</v>
      </c>
    </row>
    <row r="8845" spans="7:8" ht="15" customHeight="1" x14ac:dyDescent="0.4">
      <c r="G8845" s="27">
        <f t="shared" si="149"/>
        <v>0</v>
      </c>
      <c r="H8845" s="28" t="e">
        <f>VLOOKUP(E8845,'Cadastro Produtos (kiwkiw)'!C:E,3,0)</f>
        <v>#N/A</v>
      </c>
    </row>
    <row r="8846" spans="7:8" ht="15" customHeight="1" x14ac:dyDescent="0.4">
      <c r="G8846" s="27">
        <f t="shared" si="149"/>
        <v>0</v>
      </c>
      <c r="H8846" s="28" t="e">
        <f>VLOOKUP(E8846,'Cadastro Produtos (kiwkiw)'!C:E,3,0)</f>
        <v>#N/A</v>
      </c>
    </row>
    <row r="8847" spans="7:8" ht="15" customHeight="1" x14ac:dyDescent="0.4">
      <c r="G8847" s="27">
        <f t="shared" si="149"/>
        <v>0</v>
      </c>
      <c r="H8847" s="28" t="e">
        <f>VLOOKUP(E8847,'Cadastro Produtos (kiwkiw)'!C:E,3,0)</f>
        <v>#N/A</v>
      </c>
    </row>
    <row r="8848" spans="7:8" ht="15" customHeight="1" x14ac:dyDescent="0.4">
      <c r="G8848" s="27">
        <f t="shared" si="149"/>
        <v>0</v>
      </c>
      <c r="H8848" s="28" t="e">
        <f>VLOOKUP(E8848,'Cadastro Produtos (kiwkiw)'!C:E,3,0)</f>
        <v>#N/A</v>
      </c>
    </row>
    <row r="8849" spans="7:8" ht="15" customHeight="1" x14ac:dyDescent="0.4">
      <c r="G8849" s="27">
        <f t="shared" si="149"/>
        <v>0</v>
      </c>
      <c r="H8849" s="28" t="e">
        <f>VLOOKUP(E8849,'Cadastro Produtos (kiwkiw)'!C:E,3,0)</f>
        <v>#N/A</v>
      </c>
    </row>
    <row r="8850" spans="7:8" ht="15" customHeight="1" x14ac:dyDescent="0.4">
      <c r="G8850" s="27">
        <f t="shared" ref="G8850:G8913" si="150">IF(C8850="Entrada",F8850,-F8850)</f>
        <v>0</v>
      </c>
      <c r="H8850" s="28" t="e">
        <f>VLOOKUP(E8850,'Cadastro Produtos (kiwkiw)'!C:E,3,0)</f>
        <v>#N/A</v>
      </c>
    </row>
    <row r="8851" spans="7:8" ht="15" customHeight="1" x14ac:dyDescent="0.4">
      <c r="G8851" s="27">
        <f t="shared" si="150"/>
        <v>0</v>
      </c>
      <c r="H8851" s="28" t="e">
        <f>VLOOKUP(E8851,'Cadastro Produtos (kiwkiw)'!C:E,3,0)</f>
        <v>#N/A</v>
      </c>
    </row>
    <row r="8852" spans="7:8" ht="15" customHeight="1" x14ac:dyDescent="0.4">
      <c r="G8852" s="27">
        <f t="shared" si="150"/>
        <v>0</v>
      </c>
      <c r="H8852" s="28" t="e">
        <f>VLOOKUP(E8852,'Cadastro Produtos (kiwkiw)'!C:E,3,0)</f>
        <v>#N/A</v>
      </c>
    </row>
    <row r="8853" spans="7:8" ht="15" customHeight="1" x14ac:dyDescent="0.4">
      <c r="G8853" s="27">
        <f t="shared" si="150"/>
        <v>0</v>
      </c>
      <c r="H8853" s="28" t="e">
        <f>VLOOKUP(E8853,'Cadastro Produtos (kiwkiw)'!C:E,3,0)</f>
        <v>#N/A</v>
      </c>
    </row>
    <row r="8854" spans="7:8" ht="15" customHeight="1" x14ac:dyDescent="0.4">
      <c r="G8854" s="27">
        <f t="shared" si="150"/>
        <v>0</v>
      </c>
      <c r="H8854" s="28" t="e">
        <f>VLOOKUP(E8854,'Cadastro Produtos (kiwkiw)'!C:E,3,0)</f>
        <v>#N/A</v>
      </c>
    </row>
    <row r="8855" spans="7:8" ht="15" customHeight="1" x14ac:dyDescent="0.4">
      <c r="G8855" s="27">
        <f t="shared" si="150"/>
        <v>0</v>
      </c>
      <c r="H8855" s="28" t="e">
        <f>VLOOKUP(E8855,'Cadastro Produtos (kiwkiw)'!C:E,3,0)</f>
        <v>#N/A</v>
      </c>
    </row>
    <row r="8856" spans="7:8" ht="15" customHeight="1" x14ac:dyDescent="0.4">
      <c r="G8856" s="27">
        <f t="shared" si="150"/>
        <v>0</v>
      </c>
      <c r="H8856" s="28" t="e">
        <f>VLOOKUP(E8856,'Cadastro Produtos (kiwkiw)'!C:E,3,0)</f>
        <v>#N/A</v>
      </c>
    </row>
    <row r="8857" spans="7:8" ht="15" customHeight="1" x14ac:dyDescent="0.4">
      <c r="G8857" s="27">
        <f t="shared" si="150"/>
        <v>0</v>
      </c>
      <c r="H8857" s="28" t="e">
        <f>VLOOKUP(E8857,'Cadastro Produtos (kiwkiw)'!C:E,3,0)</f>
        <v>#N/A</v>
      </c>
    </row>
    <row r="8858" spans="7:8" ht="15" customHeight="1" x14ac:dyDescent="0.4">
      <c r="G8858" s="27">
        <f t="shared" si="150"/>
        <v>0</v>
      </c>
      <c r="H8858" s="28" t="e">
        <f>VLOOKUP(E8858,'Cadastro Produtos (kiwkiw)'!C:E,3,0)</f>
        <v>#N/A</v>
      </c>
    </row>
    <row r="8859" spans="7:8" ht="15" customHeight="1" x14ac:dyDescent="0.4">
      <c r="G8859" s="27">
        <f t="shared" si="150"/>
        <v>0</v>
      </c>
      <c r="H8859" s="28" t="e">
        <f>VLOOKUP(E8859,'Cadastro Produtos (kiwkiw)'!C:E,3,0)</f>
        <v>#N/A</v>
      </c>
    </row>
    <row r="8860" spans="7:8" ht="15" customHeight="1" x14ac:dyDescent="0.4">
      <c r="G8860" s="27">
        <f t="shared" si="150"/>
        <v>0</v>
      </c>
      <c r="H8860" s="28" t="e">
        <f>VLOOKUP(E8860,'Cadastro Produtos (kiwkiw)'!C:E,3,0)</f>
        <v>#N/A</v>
      </c>
    </row>
    <row r="8861" spans="7:8" ht="15" customHeight="1" x14ac:dyDescent="0.4">
      <c r="G8861" s="27">
        <f t="shared" si="150"/>
        <v>0</v>
      </c>
      <c r="H8861" s="28" t="e">
        <f>VLOOKUP(E8861,'Cadastro Produtos (kiwkiw)'!C:E,3,0)</f>
        <v>#N/A</v>
      </c>
    </row>
    <row r="8862" spans="7:8" ht="15" customHeight="1" x14ac:dyDescent="0.4">
      <c r="G8862" s="27">
        <f t="shared" si="150"/>
        <v>0</v>
      </c>
      <c r="H8862" s="28" t="e">
        <f>VLOOKUP(E8862,'Cadastro Produtos (kiwkiw)'!C:E,3,0)</f>
        <v>#N/A</v>
      </c>
    </row>
    <row r="8863" spans="7:8" ht="15" customHeight="1" x14ac:dyDescent="0.4">
      <c r="G8863" s="27">
        <f t="shared" si="150"/>
        <v>0</v>
      </c>
      <c r="H8863" s="28" t="e">
        <f>VLOOKUP(E8863,'Cadastro Produtos (kiwkiw)'!C:E,3,0)</f>
        <v>#N/A</v>
      </c>
    </row>
    <row r="8864" spans="7:8" ht="15" customHeight="1" x14ac:dyDescent="0.4">
      <c r="G8864" s="27">
        <f t="shared" si="150"/>
        <v>0</v>
      </c>
      <c r="H8864" s="28" t="e">
        <f>VLOOKUP(E8864,'Cadastro Produtos (kiwkiw)'!C:E,3,0)</f>
        <v>#N/A</v>
      </c>
    </row>
    <row r="8865" spans="7:8" ht="15" customHeight="1" x14ac:dyDescent="0.4">
      <c r="G8865" s="27">
        <f t="shared" si="150"/>
        <v>0</v>
      </c>
      <c r="H8865" s="28" t="e">
        <f>VLOOKUP(E8865,'Cadastro Produtos (kiwkiw)'!C:E,3,0)</f>
        <v>#N/A</v>
      </c>
    </row>
    <row r="8866" spans="7:8" ht="15" customHeight="1" x14ac:dyDescent="0.4">
      <c r="G8866" s="27">
        <f t="shared" si="150"/>
        <v>0</v>
      </c>
      <c r="H8866" s="28" t="e">
        <f>VLOOKUP(E8866,'Cadastro Produtos (kiwkiw)'!C:E,3,0)</f>
        <v>#N/A</v>
      </c>
    </row>
    <row r="8867" spans="7:8" ht="15" customHeight="1" x14ac:dyDescent="0.4">
      <c r="G8867" s="27">
        <f t="shared" si="150"/>
        <v>0</v>
      </c>
      <c r="H8867" s="28" t="e">
        <f>VLOOKUP(E8867,'Cadastro Produtos (kiwkiw)'!C:E,3,0)</f>
        <v>#N/A</v>
      </c>
    </row>
    <row r="8868" spans="7:8" ht="15" customHeight="1" x14ac:dyDescent="0.4">
      <c r="G8868" s="27">
        <f t="shared" si="150"/>
        <v>0</v>
      </c>
      <c r="H8868" s="28" t="e">
        <f>VLOOKUP(E8868,'Cadastro Produtos (kiwkiw)'!C:E,3,0)</f>
        <v>#N/A</v>
      </c>
    </row>
    <row r="8869" spans="7:8" ht="15" customHeight="1" x14ac:dyDescent="0.4">
      <c r="G8869" s="27">
        <f t="shared" si="150"/>
        <v>0</v>
      </c>
      <c r="H8869" s="28" t="e">
        <f>VLOOKUP(E8869,'Cadastro Produtos (kiwkiw)'!C:E,3,0)</f>
        <v>#N/A</v>
      </c>
    </row>
    <row r="8870" spans="7:8" ht="15" customHeight="1" x14ac:dyDescent="0.4">
      <c r="G8870" s="27">
        <f t="shared" si="150"/>
        <v>0</v>
      </c>
      <c r="H8870" s="28" t="e">
        <f>VLOOKUP(E8870,'Cadastro Produtos (kiwkiw)'!C:E,3,0)</f>
        <v>#N/A</v>
      </c>
    </row>
    <row r="8871" spans="7:8" ht="15" customHeight="1" x14ac:dyDescent="0.4">
      <c r="G8871" s="27">
        <f t="shared" si="150"/>
        <v>0</v>
      </c>
      <c r="H8871" s="28" t="e">
        <f>VLOOKUP(E8871,'Cadastro Produtos (kiwkiw)'!C:E,3,0)</f>
        <v>#N/A</v>
      </c>
    </row>
    <row r="8872" spans="7:8" ht="15" customHeight="1" x14ac:dyDescent="0.4">
      <c r="G8872" s="27">
        <f t="shared" si="150"/>
        <v>0</v>
      </c>
      <c r="H8872" s="28" t="e">
        <f>VLOOKUP(E8872,'Cadastro Produtos (kiwkiw)'!C:E,3,0)</f>
        <v>#N/A</v>
      </c>
    </row>
    <row r="8873" spans="7:8" ht="15" customHeight="1" x14ac:dyDescent="0.4">
      <c r="G8873" s="27">
        <f t="shared" si="150"/>
        <v>0</v>
      </c>
      <c r="H8873" s="28" t="e">
        <f>VLOOKUP(E8873,'Cadastro Produtos (kiwkiw)'!C:E,3,0)</f>
        <v>#N/A</v>
      </c>
    </row>
    <row r="8874" spans="7:8" ht="15" customHeight="1" x14ac:dyDescent="0.4">
      <c r="G8874" s="27">
        <f t="shared" si="150"/>
        <v>0</v>
      </c>
      <c r="H8874" s="28" t="e">
        <f>VLOOKUP(E8874,'Cadastro Produtos (kiwkiw)'!C:E,3,0)</f>
        <v>#N/A</v>
      </c>
    </row>
    <row r="8875" spans="7:8" ht="15" customHeight="1" x14ac:dyDescent="0.4">
      <c r="G8875" s="27">
        <f t="shared" si="150"/>
        <v>0</v>
      </c>
      <c r="H8875" s="28" t="e">
        <f>VLOOKUP(E8875,'Cadastro Produtos (kiwkiw)'!C:E,3,0)</f>
        <v>#N/A</v>
      </c>
    </row>
    <row r="8876" spans="7:8" ht="15" customHeight="1" x14ac:dyDescent="0.4">
      <c r="G8876" s="27">
        <f t="shared" si="150"/>
        <v>0</v>
      </c>
      <c r="H8876" s="28" t="e">
        <f>VLOOKUP(E8876,'Cadastro Produtos (kiwkiw)'!C:E,3,0)</f>
        <v>#N/A</v>
      </c>
    </row>
    <row r="8877" spans="7:8" ht="15" customHeight="1" x14ac:dyDescent="0.4">
      <c r="G8877" s="27">
        <f t="shared" si="150"/>
        <v>0</v>
      </c>
      <c r="H8877" s="28" t="e">
        <f>VLOOKUP(E8877,'Cadastro Produtos (kiwkiw)'!C:E,3,0)</f>
        <v>#N/A</v>
      </c>
    </row>
    <row r="8878" spans="7:8" ht="15" customHeight="1" x14ac:dyDescent="0.4">
      <c r="G8878" s="27">
        <f t="shared" si="150"/>
        <v>0</v>
      </c>
      <c r="H8878" s="28" t="e">
        <f>VLOOKUP(E8878,'Cadastro Produtos (kiwkiw)'!C:E,3,0)</f>
        <v>#N/A</v>
      </c>
    </row>
    <row r="8879" spans="7:8" ht="15" customHeight="1" x14ac:dyDescent="0.4">
      <c r="G8879" s="27">
        <f t="shared" si="150"/>
        <v>0</v>
      </c>
      <c r="H8879" s="28" t="e">
        <f>VLOOKUP(E8879,'Cadastro Produtos (kiwkiw)'!C:E,3,0)</f>
        <v>#N/A</v>
      </c>
    </row>
    <row r="8880" spans="7:8" ht="15" customHeight="1" x14ac:dyDescent="0.4">
      <c r="G8880" s="27">
        <f t="shared" si="150"/>
        <v>0</v>
      </c>
      <c r="H8880" s="28" t="e">
        <f>VLOOKUP(E8880,'Cadastro Produtos (kiwkiw)'!C:E,3,0)</f>
        <v>#N/A</v>
      </c>
    </row>
    <row r="8881" spans="7:8" ht="15" customHeight="1" x14ac:dyDescent="0.4">
      <c r="G8881" s="27">
        <f t="shared" si="150"/>
        <v>0</v>
      </c>
      <c r="H8881" s="28" t="e">
        <f>VLOOKUP(E8881,'Cadastro Produtos (kiwkiw)'!C:E,3,0)</f>
        <v>#N/A</v>
      </c>
    </row>
    <row r="8882" spans="7:8" ht="15" customHeight="1" x14ac:dyDescent="0.4">
      <c r="G8882" s="27">
        <f t="shared" si="150"/>
        <v>0</v>
      </c>
      <c r="H8882" s="28" t="e">
        <f>VLOOKUP(E8882,'Cadastro Produtos (kiwkiw)'!C:E,3,0)</f>
        <v>#N/A</v>
      </c>
    </row>
    <row r="8883" spans="7:8" ht="15" customHeight="1" x14ac:dyDescent="0.4">
      <c r="G8883" s="27">
        <f t="shared" si="150"/>
        <v>0</v>
      </c>
      <c r="H8883" s="28" t="e">
        <f>VLOOKUP(E8883,'Cadastro Produtos (kiwkiw)'!C:E,3,0)</f>
        <v>#N/A</v>
      </c>
    </row>
    <row r="8884" spans="7:8" ht="15" customHeight="1" x14ac:dyDescent="0.4">
      <c r="G8884" s="27">
        <f t="shared" si="150"/>
        <v>0</v>
      </c>
      <c r="H8884" s="28" t="e">
        <f>VLOOKUP(E8884,'Cadastro Produtos (kiwkiw)'!C:E,3,0)</f>
        <v>#N/A</v>
      </c>
    </row>
    <row r="8885" spans="7:8" ht="15" customHeight="1" x14ac:dyDescent="0.4">
      <c r="G8885" s="27">
        <f t="shared" si="150"/>
        <v>0</v>
      </c>
      <c r="H8885" s="28" t="e">
        <f>VLOOKUP(E8885,'Cadastro Produtos (kiwkiw)'!C:E,3,0)</f>
        <v>#N/A</v>
      </c>
    </row>
    <row r="8886" spans="7:8" ht="15" customHeight="1" x14ac:dyDescent="0.4">
      <c r="G8886" s="27">
        <f t="shared" si="150"/>
        <v>0</v>
      </c>
      <c r="H8886" s="28" t="e">
        <f>VLOOKUP(E8886,'Cadastro Produtos (kiwkiw)'!C:E,3,0)</f>
        <v>#N/A</v>
      </c>
    </row>
    <row r="8887" spans="7:8" ht="15" customHeight="1" x14ac:dyDescent="0.4">
      <c r="G8887" s="27">
        <f t="shared" si="150"/>
        <v>0</v>
      </c>
      <c r="H8887" s="28" t="e">
        <f>VLOOKUP(E8887,'Cadastro Produtos (kiwkiw)'!C:E,3,0)</f>
        <v>#N/A</v>
      </c>
    </row>
    <row r="8888" spans="7:8" ht="15" customHeight="1" x14ac:dyDescent="0.4">
      <c r="G8888" s="27">
        <f t="shared" si="150"/>
        <v>0</v>
      </c>
      <c r="H8888" s="28" t="e">
        <f>VLOOKUP(E8888,'Cadastro Produtos (kiwkiw)'!C:E,3,0)</f>
        <v>#N/A</v>
      </c>
    </row>
    <row r="8889" spans="7:8" ht="15" customHeight="1" x14ac:dyDescent="0.4">
      <c r="G8889" s="27">
        <f t="shared" si="150"/>
        <v>0</v>
      </c>
      <c r="H8889" s="28" t="e">
        <f>VLOOKUP(E8889,'Cadastro Produtos (kiwkiw)'!C:E,3,0)</f>
        <v>#N/A</v>
      </c>
    </row>
    <row r="8890" spans="7:8" ht="15" customHeight="1" x14ac:dyDescent="0.4">
      <c r="G8890" s="27">
        <f t="shared" si="150"/>
        <v>0</v>
      </c>
      <c r="H8890" s="28" t="e">
        <f>VLOOKUP(E8890,'Cadastro Produtos (kiwkiw)'!C:E,3,0)</f>
        <v>#N/A</v>
      </c>
    </row>
    <row r="8891" spans="7:8" ht="15" customHeight="1" x14ac:dyDescent="0.4">
      <c r="G8891" s="27">
        <f t="shared" si="150"/>
        <v>0</v>
      </c>
      <c r="H8891" s="28" t="e">
        <f>VLOOKUP(E8891,'Cadastro Produtos (kiwkiw)'!C:E,3,0)</f>
        <v>#N/A</v>
      </c>
    </row>
    <row r="8892" spans="7:8" ht="15" customHeight="1" x14ac:dyDescent="0.4">
      <c r="G8892" s="27">
        <f t="shared" si="150"/>
        <v>0</v>
      </c>
      <c r="H8892" s="28" t="e">
        <f>VLOOKUP(E8892,'Cadastro Produtos (kiwkiw)'!C:E,3,0)</f>
        <v>#N/A</v>
      </c>
    </row>
    <row r="8893" spans="7:8" ht="15" customHeight="1" x14ac:dyDescent="0.4">
      <c r="G8893" s="27">
        <f t="shared" si="150"/>
        <v>0</v>
      </c>
      <c r="H8893" s="28" t="e">
        <f>VLOOKUP(E8893,'Cadastro Produtos (kiwkiw)'!C:E,3,0)</f>
        <v>#N/A</v>
      </c>
    </row>
    <row r="8894" spans="7:8" ht="15" customHeight="1" x14ac:dyDescent="0.4">
      <c r="G8894" s="27">
        <f t="shared" si="150"/>
        <v>0</v>
      </c>
      <c r="H8894" s="28" t="e">
        <f>VLOOKUP(E8894,'Cadastro Produtos (kiwkiw)'!C:E,3,0)</f>
        <v>#N/A</v>
      </c>
    </row>
    <row r="8895" spans="7:8" ht="15" customHeight="1" x14ac:dyDescent="0.4">
      <c r="G8895" s="27">
        <f t="shared" si="150"/>
        <v>0</v>
      </c>
      <c r="H8895" s="28" t="e">
        <f>VLOOKUP(E8895,'Cadastro Produtos (kiwkiw)'!C:E,3,0)</f>
        <v>#N/A</v>
      </c>
    </row>
    <row r="8896" spans="7:8" ht="15" customHeight="1" x14ac:dyDescent="0.4">
      <c r="G8896" s="27">
        <f t="shared" si="150"/>
        <v>0</v>
      </c>
      <c r="H8896" s="28" t="e">
        <f>VLOOKUP(E8896,'Cadastro Produtos (kiwkiw)'!C:E,3,0)</f>
        <v>#N/A</v>
      </c>
    </row>
    <row r="8897" spans="7:8" ht="15" customHeight="1" x14ac:dyDescent="0.4">
      <c r="G8897" s="27">
        <f t="shared" si="150"/>
        <v>0</v>
      </c>
      <c r="H8897" s="28" t="e">
        <f>VLOOKUP(E8897,'Cadastro Produtos (kiwkiw)'!C:E,3,0)</f>
        <v>#N/A</v>
      </c>
    </row>
    <row r="8898" spans="7:8" ht="15" customHeight="1" x14ac:dyDescent="0.4">
      <c r="G8898" s="27">
        <f t="shared" si="150"/>
        <v>0</v>
      </c>
      <c r="H8898" s="28" t="e">
        <f>VLOOKUP(E8898,'Cadastro Produtos (kiwkiw)'!C:E,3,0)</f>
        <v>#N/A</v>
      </c>
    </row>
    <row r="8899" spans="7:8" ht="15" customHeight="1" x14ac:dyDescent="0.4">
      <c r="G8899" s="27">
        <f t="shared" si="150"/>
        <v>0</v>
      </c>
      <c r="H8899" s="28" t="e">
        <f>VLOOKUP(E8899,'Cadastro Produtos (kiwkiw)'!C:E,3,0)</f>
        <v>#N/A</v>
      </c>
    </row>
    <row r="8900" spans="7:8" ht="15" customHeight="1" x14ac:dyDescent="0.4">
      <c r="G8900" s="27">
        <f t="shared" si="150"/>
        <v>0</v>
      </c>
      <c r="H8900" s="28" t="e">
        <f>VLOOKUP(E8900,'Cadastro Produtos (kiwkiw)'!C:E,3,0)</f>
        <v>#N/A</v>
      </c>
    </row>
    <row r="8901" spans="7:8" ht="15" customHeight="1" x14ac:dyDescent="0.4">
      <c r="G8901" s="27">
        <f t="shared" si="150"/>
        <v>0</v>
      </c>
      <c r="H8901" s="28" t="e">
        <f>VLOOKUP(E8901,'Cadastro Produtos (kiwkiw)'!C:E,3,0)</f>
        <v>#N/A</v>
      </c>
    </row>
    <row r="8902" spans="7:8" ht="15" customHeight="1" x14ac:dyDescent="0.4">
      <c r="G8902" s="27">
        <f t="shared" si="150"/>
        <v>0</v>
      </c>
      <c r="H8902" s="28" t="e">
        <f>VLOOKUP(E8902,'Cadastro Produtos (kiwkiw)'!C:E,3,0)</f>
        <v>#N/A</v>
      </c>
    </row>
    <row r="8903" spans="7:8" ht="15" customHeight="1" x14ac:dyDescent="0.4">
      <c r="G8903" s="27">
        <f t="shared" si="150"/>
        <v>0</v>
      </c>
      <c r="H8903" s="28" t="e">
        <f>VLOOKUP(E8903,'Cadastro Produtos (kiwkiw)'!C:E,3,0)</f>
        <v>#N/A</v>
      </c>
    </row>
    <row r="8904" spans="7:8" ht="15" customHeight="1" x14ac:dyDescent="0.4">
      <c r="G8904" s="27">
        <f t="shared" si="150"/>
        <v>0</v>
      </c>
      <c r="H8904" s="28" t="e">
        <f>VLOOKUP(E8904,'Cadastro Produtos (kiwkiw)'!C:E,3,0)</f>
        <v>#N/A</v>
      </c>
    </row>
    <row r="8905" spans="7:8" ht="15" customHeight="1" x14ac:dyDescent="0.4">
      <c r="G8905" s="27">
        <f t="shared" si="150"/>
        <v>0</v>
      </c>
      <c r="H8905" s="28" t="e">
        <f>VLOOKUP(E8905,'Cadastro Produtos (kiwkiw)'!C:E,3,0)</f>
        <v>#N/A</v>
      </c>
    </row>
    <row r="8906" spans="7:8" ht="15" customHeight="1" x14ac:dyDescent="0.4">
      <c r="G8906" s="27">
        <f t="shared" si="150"/>
        <v>0</v>
      </c>
      <c r="H8906" s="28" t="e">
        <f>VLOOKUP(E8906,'Cadastro Produtos (kiwkiw)'!C:E,3,0)</f>
        <v>#N/A</v>
      </c>
    </row>
    <row r="8907" spans="7:8" ht="15" customHeight="1" x14ac:dyDescent="0.4">
      <c r="G8907" s="27">
        <f t="shared" si="150"/>
        <v>0</v>
      </c>
      <c r="H8907" s="28" t="e">
        <f>VLOOKUP(E8907,'Cadastro Produtos (kiwkiw)'!C:E,3,0)</f>
        <v>#N/A</v>
      </c>
    </row>
    <row r="8908" spans="7:8" ht="15" customHeight="1" x14ac:dyDescent="0.4">
      <c r="G8908" s="27">
        <f t="shared" si="150"/>
        <v>0</v>
      </c>
      <c r="H8908" s="28" t="e">
        <f>VLOOKUP(E8908,'Cadastro Produtos (kiwkiw)'!C:E,3,0)</f>
        <v>#N/A</v>
      </c>
    </row>
    <row r="8909" spans="7:8" ht="15" customHeight="1" x14ac:dyDescent="0.4">
      <c r="G8909" s="27">
        <f t="shared" si="150"/>
        <v>0</v>
      </c>
      <c r="H8909" s="28" t="e">
        <f>VLOOKUP(E8909,'Cadastro Produtos (kiwkiw)'!C:E,3,0)</f>
        <v>#N/A</v>
      </c>
    </row>
    <row r="8910" spans="7:8" ht="15" customHeight="1" x14ac:dyDescent="0.4">
      <c r="G8910" s="27">
        <f t="shared" si="150"/>
        <v>0</v>
      </c>
      <c r="H8910" s="28" t="e">
        <f>VLOOKUP(E8910,'Cadastro Produtos (kiwkiw)'!C:E,3,0)</f>
        <v>#N/A</v>
      </c>
    </row>
    <row r="8911" spans="7:8" ht="15" customHeight="1" x14ac:dyDescent="0.4">
      <c r="G8911" s="27">
        <f t="shared" si="150"/>
        <v>0</v>
      </c>
      <c r="H8911" s="28" t="e">
        <f>VLOOKUP(E8911,'Cadastro Produtos (kiwkiw)'!C:E,3,0)</f>
        <v>#N/A</v>
      </c>
    </row>
    <row r="8912" spans="7:8" ht="15" customHeight="1" x14ac:dyDescent="0.4">
      <c r="G8912" s="27">
        <f t="shared" si="150"/>
        <v>0</v>
      </c>
      <c r="H8912" s="28" t="e">
        <f>VLOOKUP(E8912,'Cadastro Produtos (kiwkiw)'!C:E,3,0)</f>
        <v>#N/A</v>
      </c>
    </row>
    <row r="8913" spans="7:8" ht="15" customHeight="1" x14ac:dyDescent="0.4">
      <c r="G8913" s="27">
        <f t="shared" si="150"/>
        <v>0</v>
      </c>
      <c r="H8913" s="28" t="e">
        <f>VLOOKUP(E8913,'Cadastro Produtos (kiwkiw)'!C:E,3,0)</f>
        <v>#N/A</v>
      </c>
    </row>
    <row r="8914" spans="7:8" ht="15" customHeight="1" x14ac:dyDescent="0.4">
      <c r="G8914" s="27">
        <f t="shared" ref="G8914:G8977" si="151">IF(C8914="Entrada",F8914,-F8914)</f>
        <v>0</v>
      </c>
      <c r="H8914" s="28" t="e">
        <f>VLOOKUP(E8914,'Cadastro Produtos (kiwkiw)'!C:E,3,0)</f>
        <v>#N/A</v>
      </c>
    </row>
    <row r="8915" spans="7:8" ht="15" customHeight="1" x14ac:dyDescent="0.4">
      <c r="G8915" s="27">
        <f t="shared" si="151"/>
        <v>0</v>
      </c>
      <c r="H8915" s="28" t="e">
        <f>VLOOKUP(E8915,'Cadastro Produtos (kiwkiw)'!C:E,3,0)</f>
        <v>#N/A</v>
      </c>
    </row>
    <row r="8916" spans="7:8" ht="15" customHeight="1" x14ac:dyDescent="0.4">
      <c r="G8916" s="27">
        <f t="shared" si="151"/>
        <v>0</v>
      </c>
      <c r="H8916" s="28" t="e">
        <f>VLOOKUP(E8916,'Cadastro Produtos (kiwkiw)'!C:E,3,0)</f>
        <v>#N/A</v>
      </c>
    </row>
    <row r="8917" spans="7:8" ht="15" customHeight="1" x14ac:dyDescent="0.4">
      <c r="G8917" s="27">
        <f t="shared" si="151"/>
        <v>0</v>
      </c>
      <c r="H8917" s="28" t="e">
        <f>VLOOKUP(E8917,'Cadastro Produtos (kiwkiw)'!C:E,3,0)</f>
        <v>#N/A</v>
      </c>
    </row>
    <row r="8918" spans="7:8" ht="15" customHeight="1" x14ac:dyDescent="0.4">
      <c r="G8918" s="27">
        <f t="shared" si="151"/>
        <v>0</v>
      </c>
      <c r="H8918" s="28" t="e">
        <f>VLOOKUP(E8918,'Cadastro Produtos (kiwkiw)'!C:E,3,0)</f>
        <v>#N/A</v>
      </c>
    </row>
    <row r="8919" spans="7:8" ht="15" customHeight="1" x14ac:dyDescent="0.4">
      <c r="G8919" s="27">
        <f t="shared" si="151"/>
        <v>0</v>
      </c>
      <c r="H8919" s="28" t="e">
        <f>VLOOKUP(E8919,'Cadastro Produtos (kiwkiw)'!C:E,3,0)</f>
        <v>#N/A</v>
      </c>
    </row>
    <row r="8920" spans="7:8" ht="15" customHeight="1" x14ac:dyDescent="0.4">
      <c r="G8920" s="27">
        <f t="shared" si="151"/>
        <v>0</v>
      </c>
      <c r="H8920" s="28" t="e">
        <f>VLOOKUP(E8920,'Cadastro Produtos (kiwkiw)'!C:E,3,0)</f>
        <v>#N/A</v>
      </c>
    </row>
    <row r="8921" spans="7:8" ht="15" customHeight="1" x14ac:dyDescent="0.4">
      <c r="G8921" s="27">
        <f t="shared" si="151"/>
        <v>0</v>
      </c>
      <c r="H8921" s="28" t="e">
        <f>VLOOKUP(E8921,'Cadastro Produtos (kiwkiw)'!C:E,3,0)</f>
        <v>#N/A</v>
      </c>
    </row>
    <row r="8922" spans="7:8" ht="15" customHeight="1" x14ac:dyDescent="0.4">
      <c r="G8922" s="27">
        <f t="shared" si="151"/>
        <v>0</v>
      </c>
      <c r="H8922" s="28" t="e">
        <f>VLOOKUP(E8922,'Cadastro Produtos (kiwkiw)'!C:E,3,0)</f>
        <v>#N/A</v>
      </c>
    </row>
    <row r="8923" spans="7:8" ht="15" customHeight="1" x14ac:dyDescent="0.4">
      <c r="G8923" s="27">
        <f t="shared" si="151"/>
        <v>0</v>
      </c>
      <c r="H8923" s="28" t="e">
        <f>VLOOKUP(E8923,'Cadastro Produtos (kiwkiw)'!C:E,3,0)</f>
        <v>#N/A</v>
      </c>
    </row>
    <row r="8924" spans="7:8" ht="15" customHeight="1" x14ac:dyDescent="0.4">
      <c r="G8924" s="27">
        <f t="shared" si="151"/>
        <v>0</v>
      </c>
      <c r="H8924" s="28" t="e">
        <f>VLOOKUP(E8924,'Cadastro Produtos (kiwkiw)'!C:E,3,0)</f>
        <v>#N/A</v>
      </c>
    </row>
    <row r="8925" spans="7:8" ht="15" customHeight="1" x14ac:dyDescent="0.4">
      <c r="G8925" s="27">
        <f t="shared" si="151"/>
        <v>0</v>
      </c>
      <c r="H8925" s="28" t="e">
        <f>VLOOKUP(E8925,'Cadastro Produtos (kiwkiw)'!C:E,3,0)</f>
        <v>#N/A</v>
      </c>
    </row>
    <row r="8926" spans="7:8" ht="15" customHeight="1" x14ac:dyDescent="0.4">
      <c r="G8926" s="27">
        <f t="shared" si="151"/>
        <v>0</v>
      </c>
      <c r="H8926" s="28" t="e">
        <f>VLOOKUP(E8926,'Cadastro Produtos (kiwkiw)'!C:E,3,0)</f>
        <v>#N/A</v>
      </c>
    </row>
    <row r="8927" spans="7:8" ht="15" customHeight="1" x14ac:dyDescent="0.4">
      <c r="G8927" s="27">
        <f t="shared" si="151"/>
        <v>0</v>
      </c>
      <c r="H8927" s="28" t="e">
        <f>VLOOKUP(E8927,'Cadastro Produtos (kiwkiw)'!C:E,3,0)</f>
        <v>#N/A</v>
      </c>
    </row>
    <row r="8928" spans="7:8" ht="15" customHeight="1" x14ac:dyDescent="0.4">
      <c r="G8928" s="27">
        <f t="shared" si="151"/>
        <v>0</v>
      </c>
      <c r="H8928" s="28" t="e">
        <f>VLOOKUP(E8928,'Cadastro Produtos (kiwkiw)'!C:E,3,0)</f>
        <v>#N/A</v>
      </c>
    </row>
    <row r="8929" spans="7:8" ht="15" customHeight="1" x14ac:dyDescent="0.4">
      <c r="G8929" s="27">
        <f t="shared" si="151"/>
        <v>0</v>
      </c>
      <c r="H8929" s="28" t="e">
        <f>VLOOKUP(E8929,'Cadastro Produtos (kiwkiw)'!C:E,3,0)</f>
        <v>#N/A</v>
      </c>
    </row>
    <row r="8930" spans="7:8" ht="15" customHeight="1" x14ac:dyDescent="0.4">
      <c r="G8930" s="27">
        <f t="shared" si="151"/>
        <v>0</v>
      </c>
      <c r="H8930" s="28" t="e">
        <f>VLOOKUP(E8930,'Cadastro Produtos (kiwkiw)'!C:E,3,0)</f>
        <v>#N/A</v>
      </c>
    </row>
    <row r="8931" spans="7:8" ht="15" customHeight="1" x14ac:dyDescent="0.4">
      <c r="G8931" s="27">
        <f t="shared" si="151"/>
        <v>0</v>
      </c>
      <c r="H8931" s="28" t="e">
        <f>VLOOKUP(E8931,'Cadastro Produtos (kiwkiw)'!C:E,3,0)</f>
        <v>#N/A</v>
      </c>
    </row>
    <row r="8932" spans="7:8" ht="15" customHeight="1" x14ac:dyDescent="0.4">
      <c r="G8932" s="27">
        <f t="shared" si="151"/>
        <v>0</v>
      </c>
      <c r="H8932" s="28" t="e">
        <f>VLOOKUP(E8932,'Cadastro Produtos (kiwkiw)'!C:E,3,0)</f>
        <v>#N/A</v>
      </c>
    </row>
    <row r="8933" spans="7:8" ht="15" customHeight="1" x14ac:dyDescent="0.4">
      <c r="G8933" s="27">
        <f t="shared" si="151"/>
        <v>0</v>
      </c>
      <c r="H8933" s="28" t="e">
        <f>VLOOKUP(E8933,'Cadastro Produtos (kiwkiw)'!C:E,3,0)</f>
        <v>#N/A</v>
      </c>
    </row>
    <row r="8934" spans="7:8" ht="15" customHeight="1" x14ac:dyDescent="0.4">
      <c r="G8934" s="27">
        <f t="shared" si="151"/>
        <v>0</v>
      </c>
      <c r="H8934" s="28" t="e">
        <f>VLOOKUP(E8934,'Cadastro Produtos (kiwkiw)'!C:E,3,0)</f>
        <v>#N/A</v>
      </c>
    </row>
    <row r="8935" spans="7:8" ht="15" customHeight="1" x14ac:dyDescent="0.4">
      <c r="G8935" s="27">
        <f t="shared" si="151"/>
        <v>0</v>
      </c>
      <c r="H8935" s="28" t="e">
        <f>VLOOKUP(E8935,'Cadastro Produtos (kiwkiw)'!C:E,3,0)</f>
        <v>#N/A</v>
      </c>
    </row>
    <row r="8936" spans="7:8" ht="15" customHeight="1" x14ac:dyDescent="0.4">
      <c r="G8936" s="27">
        <f t="shared" si="151"/>
        <v>0</v>
      </c>
      <c r="H8936" s="28" t="e">
        <f>VLOOKUP(E8936,'Cadastro Produtos (kiwkiw)'!C:E,3,0)</f>
        <v>#N/A</v>
      </c>
    </row>
    <row r="8937" spans="7:8" ht="15" customHeight="1" x14ac:dyDescent="0.4">
      <c r="G8937" s="27">
        <f t="shared" si="151"/>
        <v>0</v>
      </c>
      <c r="H8937" s="28" t="e">
        <f>VLOOKUP(E8937,'Cadastro Produtos (kiwkiw)'!C:E,3,0)</f>
        <v>#N/A</v>
      </c>
    </row>
    <row r="8938" spans="7:8" ht="15" customHeight="1" x14ac:dyDescent="0.4">
      <c r="G8938" s="27">
        <f t="shared" si="151"/>
        <v>0</v>
      </c>
      <c r="H8938" s="28" t="e">
        <f>VLOOKUP(E8938,'Cadastro Produtos (kiwkiw)'!C:E,3,0)</f>
        <v>#N/A</v>
      </c>
    </row>
    <row r="8939" spans="7:8" ht="15" customHeight="1" x14ac:dyDescent="0.4">
      <c r="G8939" s="27">
        <f t="shared" si="151"/>
        <v>0</v>
      </c>
      <c r="H8939" s="28" t="e">
        <f>VLOOKUP(E8939,'Cadastro Produtos (kiwkiw)'!C:E,3,0)</f>
        <v>#N/A</v>
      </c>
    </row>
    <row r="8940" spans="7:8" ht="15" customHeight="1" x14ac:dyDescent="0.4">
      <c r="G8940" s="27">
        <f t="shared" si="151"/>
        <v>0</v>
      </c>
      <c r="H8940" s="28" t="e">
        <f>VLOOKUP(E8940,'Cadastro Produtos (kiwkiw)'!C:E,3,0)</f>
        <v>#N/A</v>
      </c>
    </row>
    <row r="8941" spans="7:8" ht="15" customHeight="1" x14ac:dyDescent="0.4">
      <c r="G8941" s="27">
        <f t="shared" si="151"/>
        <v>0</v>
      </c>
      <c r="H8941" s="28" t="e">
        <f>VLOOKUP(E8941,'Cadastro Produtos (kiwkiw)'!C:E,3,0)</f>
        <v>#N/A</v>
      </c>
    </row>
    <row r="8942" spans="7:8" ht="15" customHeight="1" x14ac:dyDescent="0.4">
      <c r="G8942" s="27">
        <f t="shared" si="151"/>
        <v>0</v>
      </c>
      <c r="H8942" s="28" t="e">
        <f>VLOOKUP(E8942,'Cadastro Produtos (kiwkiw)'!C:E,3,0)</f>
        <v>#N/A</v>
      </c>
    </row>
    <row r="8943" spans="7:8" ht="15" customHeight="1" x14ac:dyDescent="0.4">
      <c r="G8943" s="27">
        <f t="shared" si="151"/>
        <v>0</v>
      </c>
      <c r="H8943" s="28" t="e">
        <f>VLOOKUP(E8943,'Cadastro Produtos (kiwkiw)'!C:E,3,0)</f>
        <v>#N/A</v>
      </c>
    </row>
    <row r="8944" spans="7:8" ht="15" customHeight="1" x14ac:dyDescent="0.4">
      <c r="G8944" s="27">
        <f t="shared" si="151"/>
        <v>0</v>
      </c>
      <c r="H8944" s="28" t="e">
        <f>VLOOKUP(E8944,'Cadastro Produtos (kiwkiw)'!C:E,3,0)</f>
        <v>#N/A</v>
      </c>
    </row>
    <row r="8945" spans="7:8" ht="15" customHeight="1" x14ac:dyDescent="0.4">
      <c r="G8945" s="27">
        <f t="shared" si="151"/>
        <v>0</v>
      </c>
      <c r="H8945" s="28" t="e">
        <f>VLOOKUP(E8945,'Cadastro Produtos (kiwkiw)'!C:E,3,0)</f>
        <v>#N/A</v>
      </c>
    </row>
    <row r="8946" spans="7:8" ht="15" customHeight="1" x14ac:dyDescent="0.4">
      <c r="G8946" s="27">
        <f t="shared" si="151"/>
        <v>0</v>
      </c>
      <c r="H8946" s="28" t="e">
        <f>VLOOKUP(E8946,'Cadastro Produtos (kiwkiw)'!C:E,3,0)</f>
        <v>#N/A</v>
      </c>
    </row>
    <row r="8947" spans="7:8" ht="15" customHeight="1" x14ac:dyDescent="0.4">
      <c r="G8947" s="27">
        <f t="shared" si="151"/>
        <v>0</v>
      </c>
      <c r="H8947" s="28" t="e">
        <f>VLOOKUP(E8947,'Cadastro Produtos (kiwkiw)'!C:E,3,0)</f>
        <v>#N/A</v>
      </c>
    </row>
    <row r="8948" spans="7:8" ht="15" customHeight="1" x14ac:dyDescent="0.4">
      <c r="G8948" s="27">
        <f t="shared" si="151"/>
        <v>0</v>
      </c>
      <c r="H8948" s="28" t="e">
        <f>VLOOKUP(E8948,'Cadastro Produtos (kiwkiw)'!C:E,3,0)</f>
        <v>#N/A</v>
      </c>
    </row>
    <row r="8949" spans="7:8" ht="15" customHeight="1" x14ac:dyDescent="0.4">
      <c r="G8949" s="27">
        <f t="shared" si="151"/>
        <v>0</v>
      </c>
      <c r="H8949" s="28" t="e">
        <f>VLOOKUP(E8949,'Cadastro Produtos (kiwkiw)'!C:E,3,0)</f>
        <v>#N/A</v>
      </c>
    </row>
    <row r="8950" spans="7:8" ht="15" customHeight="1" x14ac:dyDescent="0.4">
      <c r="G8950" s="27">
        <f t="shared" si="151"/>
        <v>0</v>
      </c>
      <c r="H8950" s="28" t="e">
        <f>VLOOKUP(E8950,'Cadastro Produtos (kiwkiw)'!C:E,3,0)</f>
        <v>#N/A</v>
      </c>
    </row>
    <row r="8951" spans="7:8" ht="15" customHeight="1" x14ac:dyDescent="0.4">
      <c r="G8951" s="27">
        <f t="shared" si="151"/>
        <v>0</v>
      </c>
      <c r="H8951" s="28" t="e">
        <f>VLOOKUP(E8951,'Cadastro Produtos (kiwkiw)'!C:E,3,0)</f>
        <v>#N/A</v>
      </c>
    </row>
    <row r="8952" spans="7:8" ht="15" customHeight="1" x14ac:dyDescent="0.4">
      <c r="G8952" s="27">
        <f t="shared" si="151"/>
        <v>0</v>
      </c>
      <c r="H8952" s="28" t="e">
        <f>VLOOKUP(E8952,'Cadastro Produtos (kiwkiw)'!C:E,3,0)</f>
        <v>#N/A</v>
      </c>
    </row>
    <row r="8953" spans="7:8" ht="15" customHeight="1" x14ac:dyDescent="0.4">
      <c r="G8953" s="27">
        <f t="shared" si="151"/>
        <v>0</v>
      </c>
      <c r="H8953" s="28" t="e">
        <f>VLOOKUP(E8953,'Cadastro Produtos (kiwkiw)'!C:E,3,0)</f>
        <v>#N/A</v>
      </c>
    </row>
    <row r="8954" spans="7:8" ht="15" customHeight="1" x14ac:dyDescent="0.4">
      <c r="G8954" s="27">
        <f t="shared" si="151"/>
        <v>0</v>
      </c>
      <c r="H8954" s="28" t="e">
        <f>VLOOKUP(E8954,'Cadastro Produtos (kiwkiw)'!C:E,3,0)</f>
        <v>#N/A</v>
      </c>
    </row>
    <row r="8955" spans="7:8" ht="15" customHeight="1" x14ac:dyDescent="0.4">
      <c r="G8955" s="27">
        <f t="shared" si="151"/>
        <v>0</v>
      </c>
      <c r="H8955" s="28" t="e">
        <f>VLOOKUP(E8955,'Cadastro Produtos (kiwkiw)'!C:E,3,0)</f>
        <v>#N/A</v>
      </c>
    </row>
    <row r="8956" spans="7:8" ht="15" customHeight="1" x14ac:dyDescent="0.4">
      <c r="G8956" s="27">
        <f t="shared" si="151"/>
        <v>0</v>
      </c>
      <c r="H8956" s="28" t="e">
        <f>VLOOKUP(E8956,'Cadastro Produtos (kiwkiw)'!C:E,3,0)</f>
        <v>#N/A</v>
      </c>
    </row>
    <row r="8957" spans="7:8" ht="15" customHeight="1" x14ac:dyDescent="0.4">
      <c r="G8957" s="27">
        <f t="shared" si="151"/>
        <v>0</v>
      </c>
      <c r="H8957" s="28" t="e">
        <f>VLOOKUP(E8957,'Cadastro Produtos (kiwkiw)'!C:E,3,0)</f>
        <v>#N/A</v>
      </c>
    </row>
    <row r="8958" spans="7:8" ht="15" customHeight="1" x14ac:dyDescent="0.4">
      <c r="G8958" s="27">
        <f t="shared" si="151"/>
        <v>0</v>
      </c>
      <c r="H8958" s="28" t="e">
        <f>VLOOKUP(E8958,'Cadastro Produtos (kiwkiw)'!C:E,3,0)</f>
        <v>#N/A</v>
      </c>
    </row>
    <row r="8959" spans="7:8" ht="15" customHeight="1" x14ac:dyDescent="0.4">
      <c r="G8959" s="27">
        <f t="shared" si="151"/>
        <v>0</v>
      </c>
      <c r="H8959" s="28" t="e">
        <f>VLOOKUP(E8959,'Cadastro Produtos (kiwkiw)'!C:E,3,0)</f>
        <v>#N/A</v>
      </c>
    </row>
    <row r="8960" spans="7:8" ht="15" customHeight="1" x14ac:dyDescent="0.4">
      <c r="G8960" s="27">
        <f t="shared" si="151"/>
        <v>0</v>
      </c>
      <c r="H8960" s="28" t="e">
        <f>VLOOKUP(E8960,'Cadastro Produtos (kiwkiw)'!C:E,3,0)</f>
        <v>#N/A</v>
      </c>
    </row>
    <row r="8961" spans="7:8" ht="15" customHeight="1" x14ac:dyDescent="0.4">
      <c r="G8961" s="27">
        <f t="shared" si="151"/>
        <v>0</v>
      </c>
      <c r="H8961" s="28" t="e">
        <f>VLOOKUP(E8961,'Cadastro Produtos (kiwkiw)'!C:E,3,0)</f>
        <v>#N/A</v>
      </c>
    </row>
    <row r="8962" spans="7:8" ht="15" customHeight="1" x14ac:dyDescent="0.4">
      <c r="G8962" s="27">
        <f t="shared" si="151"/>
        <v>0</v>
      </c>
      <c r="H8962" s="28" t="e">
        <f>VLOOKUP(E8962,'Cadastro Produtos (kiwkiw)'!C:E,3,0)</f>
        <v>#N/A</v>
      </c>
    </row>
    <row r="8963" spans="7:8" ht="15" customHeight="1" x14ac:dyDescent="0.4">
      <c r="G8963" s="27">
        <f t="shared" si="151"/>
        <v>0</v>
      </c>
      <c r="H8963" s="28" t="e">
        <f>VLOOKUP(E8963,'Cadastro Produtos (kiwkiw)'!C:E,3,0)</f>
        <v>#N/A</v>
      </c>
    </row>
    <row r="8964" spans="7:8" ht="15" customHeight="1" x14ac:dyDescent="0.4">
      <c r="G8964" s="27">
        <f t="shared" si="151"/>
        <v>0</v>
      </c>
      <c r="H8964" s="28" t="e">
        <f>VLOOKUP(E8964,'Cadastro Produtos (kiwkiw)'!C:E,3,0)</f>
        <v>#N/A</v>
      </c>
    </row>
    <row r="8965" spans="7:8" ht="15" customHeight="1" x14ac:dyDescent="0.4">
      <c r="G8965" s="27">
        <f t="shared" si="151"/>
        <v>0</v>
      </c>
      <c r="H8965" s="28" t="e">
        <f>VLOOKUP(E8965,'Cadastro Produtos (kiwkiw)'!C:E,3,0)</f>
        <v>#N/A</v>
      </c>
    </row>
    <row r="8966" spans="7:8" ht="15" customHeight="1" x14ac:dyDescent="0.4">
      <c r="G8966" s="27">
        <f t="shared" si="151"/>
        <v>0</v>
      </c>
      <c r="H8966" s="28" t="e">
        <f>VLOOKUP(E8966,'Cadastro Produtos (kiwkiw)'!C:E,3,0)</f>
        <v>#N/A</v>
      </c>
    </row>
    <row r="8967" spans="7:8" ht="15" customHeight="1" x14ac:dyDescent="0.4">
      <c r="G8967" s="27">
        <f t="shared" si="151"/>
        <v>0</v>
      </c>
      <c r="H8967" s="28" t="e">
        <f>VLOOKUP(E8967,'Cadastro Produtos (kiwkiw)'!C:E,3,0)</f>
        <v>#N/A</v>
      </c>
    </row>
    <row r="8968" spans="7:8" ht="15" customHeight="1" x14ac:dyDescent="0.4">
      <c r="G8968" s="27">
        <f t="shared" si="151"/>
        <v>0</v>
      </c>
      <c r="H8968" s="28" t="e">
        <f>VLOOKUP(E8968,'Cadastro Produtos (kiwkiw)'!C:E,3,0)</f>
        <v>#N/A</v>
      </c>
    </row>
    <row r="8969" spans="7:8" ht="15" customHeight="1" x14ac:dyDescent="0.4">
      <c r="G8969" s="27">
        <f t="shared" si="151"/>
        <v>0</v>
      </c>
      <c r="H8969" s="28" t="e">
        <f>VLOOKUP(E8969,'Cadastro Produtos (kiwkiw)'!C:E,3,0)</f>
        <v>#N/A</v>
      </c>
    </row>
    <row r="8970" spans="7:8" ht="15" customHeight="1" x14ac:dyDescent="0.4">
      <c r="G8970" s="27">
        <f t="shared" si="151"/>
        <v>0</v>
      </c>
      <c r="H8970" s="28" t="e">
        <f>VLOOKUP(E8970,'Cadastro Produtos (kiwkiw)'!C:E,3,0)</f>
        <v>#N/A</v>
      </c>
    </row>
    <row r="8971" spans="7:8" ht="15" customHeight="1" x14ac:dyDescent="0.4">
      <c r="G8971" s="27">
        <f t="shared" si="151"/>
        <v>0</v>
      </c>
      <c r="H8971" s="28" t="e">
        <f>VLOOKUP(E8971,'Cadastro Produtos (kiwkiw)'!C:E,3,0)</f>
        <v>#N/A</v>
      </c>
    </row>
    <row r="8972" spans="7:8" ht="15" customHeight="1" x14ac:dyDescent="0.4">
      <c r="G8972" s="27">
        <f t="shared" si="151"/>
        <v>0</v>
      </c>
      <c r="H8972" s="28" t="e">
        <f>VLOOKUP(E8972,'Cadastro Produtos (kiwkiw)'!C:E,3,0)</f>
        <v>#N/A</v>
      </c>
    </row>
    <row r="8973" spans="7:8" ht="15" customHeight="1" x14ac:dyDescent="0.4">
      <c r="G8973" s="27">
        <f t="shared" si="151"/>
        <v>0</v>
      </c>
      <c r="H8973" s="28" t="e">
        <f>VLOOKUP(E8973,'Cadastro Produtos (kiwkiw)'!C:E,3,0)</f>
        <v>#N/A</v>
      </c>
    </row>
    <row r="8974" spans="7:8" ht="15" customHeight="1" x14ac:dyDescent="0.4">
      <c r="G8974" s="27">
        <f t="shared" si="151"/>
        <v>0</v>
      </c>
      <c r="H8974" s="28" t="e">
        <f>VLOOKUP(E8974,'Cadastro Produtos (kiwkiw)'!C:E,3,0)</f>
        <v>#N/A</v>
      </c>
    </row>
    <row r="8975" spans="7:8" ht="15" customHeight="1" x14ac:dyDescent="0.4">
      <c r="G8975" s="27">
        <f t="shared" si="151"/>
        <v>0</v>
      </c>
      <c r="H8975" s="28" t="e">
        <f>VLOOKUP(E8975,'Cadastro Produtos (kiwkiw)'!C:E,3,0)</f>
        <v>#N/A</v>
      </c>
    </row>
    <row r="8976" spans="7:8" ht="15" customHeight="1" x14ac:dyDescent="0.4">
      <c r="G8976" s="27">
        <f t="shared" si="151"/>
        <v>0</v>
      </c>
      <c r="H8976" s="28" t="e">
        <f>VLOOKUP(E8976,'Cadastro Produtos (kiwkiw)'!C:E,3,0)</f>
        <v>#N/A</v>
      </c>
    </row>
    <row r="8977" spans="7:8" ht="15" customHeight="1" x14ac:dyDescent="0.4">
      <c r="G8977" s="27">
        <f t="shared" si="151"/>
        <v>0</v>
      </c>
      <c r="H8977" s="28" t="e">
        <f>VLOOKUP(E8977,'Cadastro Produtos (kiwkiw)'!C:E,3,0)</f>
        <v>#N/A</v>
      </c>
    </row>
    <row r="8978" spans="7:8" ht="15" customHeight="1" x14ac:dyDescent="0.4">
      <c r="G8978" s="27">
        <f t="shared" ref="G8978:G9041" si="152">IF(C8978="Entrada",F8978,-F8978)</f>
        <v>0</v>
      </c>
      <c r="H8978" s="28" t="e">
        <f>VLOOKUP(E8978,'Cadastro Produtos (kiwkiw)'!C:E,3,0)</f>
        <v>#N/A</v>
      </c>
    </row>
    <row r="8979" spans="7:8" ht="15" customHeight="1" x14ac:dyDescent="0.4">
      <c r="G8979" s="27">
        <f t="shared" si="152"/>
        <v>0</v>
      </c>
      <c r="H8979" s="28" t="e">
        <f>VLOOKUP(E8979,'Cadastro Produtos (kiwkiw)'!C:E,3,0)</f>
        <v>#N/A</v>
      </c>
    </row>
    <row r="8980" spans="7:8" ht="15" customHeight="1" x14ac:dyDescent="0.4">
      <c r="G8980" s="27">
        <f t="shared" si="152"/>
        <v>0</v>
      </c>
      <c r="H8980" s="28" t="e">
        <f>VLOOKUP(E8980,'Cadastro Produtos (kiwkiw)'!C:E,3,0)</f>
        <v>#N/A</v>
      </c>
    </row>
    <row r="8981" spans="7:8" ht="15" customHeight="1" x14ac:dyDescent="0.4">
      <c r="G8981" s="27">
        <f t="shared" si="152"/>
        <v>0</v>
      </c>
      <c r="H8981" s="28" t="e">
        <f>VLOOKUP(E8981,'Cadastro Produtos (kiwkiw)'!C:E,3,0)</f>
        <v>#N/A</v>
      </c>
    </row>
    <row r="8982" spans="7:8" ht="15" customHeight="1" x14ac:dyDescent="0.4">
      <c r="G8982" s="27">
        <f t="shared" si="152"/>
        <v>0</v>
      </c>
      <c r="H8982" s="28" t="e">
        <f>VLOOKUP(E8982,'Cadastro Produtos (kiwkiw)'!C:E,3,0)</f>
        <v>#N/A</v>
      </c>
    </row>
    <row r="8983" spans="7:8" ht="15" customHeight="1" x14ac:dyDescent="0.4">
      <c r="G8983" s="27">
        <f t="shared" si="152"/>
        <v>0</v>
      </c>
      <c r="H8983" s="28" t="e">
        <f>VLOOKUP(E8983,'Cadastro Produtos (kiwkiw)'!C:E,3,0)</f>
        <v>#N/A</v>
      </c>
    </row>
    <row r="8984" spans="7:8" ht="15" customHeight="1" x14ac:dyDescent="0.4">
      <c r="G8984" s="27">
        <f t="shared" si="152"/>
        <v>0</v>
      </c>
      <c r="H8984" s="28" t="e">
        <f>VLOOKUP(E8984,'Cadastro Produtos (kiwkiw)'!C:E,3,0)</f>
        <v>#N/A</v>
      </c>
    </row>
    <row r="8985" spans="7:8" ht="15" customHeight="1" x14ac:dyDescent="0.4">
      <c r="G8985" s="27">
        <f t="shared" si="152"/>
        <v>0</v>
      </c>
      <c r="H8985" s="28" t="e">
        <f>VLOOKUP(E8985,'Cadastro Produtos (kiwkiw)'!C:E,3,0)</f>
        <v>#N/A</v>
      </c>
    </row>
    <row r="8986" spans="7:8" ht="15" customHeight="1" x14ac:dyDescent="0.4">
      <c r="G8986" s="27">
        <f t="shared" si="152"/>
        <v>0</v>
      </c>
      <c r="H8986" s="28" t="e">
        <f>VLOOKUP(E8986,'Cadastro Produtos (kiwkiw)'!C:E,3,0)</f>
        <v>#N/A</v>
      </c>
    </row>
    <row r="8987" spans="7:8" ht="15" customHeight="1" x14ac:dyDescent="0.4">
      <c r="G8987" s="27">
        <f t="shared" si="152"/>
        <v>0</v>
      </c>
      <c r="H8987" s="28" t="e">
        <f>VLOOKUP(E8987,'Cadastro Produtos (kiwkiw)'!C:E,3,0)</f>
        <v>#N/A</v>
      </c>
    </row>
    <row r="8988" spans="7:8" ht="15" customHeight="1" x14ac:dyDescent="0.4">
      <c r="G8988" s="27">
        <f t="shared" si="152"/>
        <v>0</v>
      </c>
      <c r="H8988" s="28" t="e">
        <f>VLOOKUP(E8988,'Cadastro Produtos (kiwkiw)'!C:E,3,0)</f>
        <v>#N/A</v>
      </c>
    </row>
    <row r="8989" spans="7:8" ht="15" customHeight="1" x14ac:dyDescent="0.4">
      <c r="G8989" s="27">
        <f t="shared" si="152"/>
        <v>0</v>
      </c>
      <c r="H8989" s="28" t="e">
        <f>VLOOKUP(E8989,'Cadastro Produtos (kiwkiw)'!C:E,3,0)</f>
        <v>#N/A</v>
      </c>
    </row>
    <row r="8990" spans="7:8" ht="15" customHeight="1" x14ac:dyDescent="0.4">
      <c r="G8990" s="27">
        <f t="shared" si="152"/>
        <v>0</v>
      </c>
      <c r="H8990" s="28" t="e">
        <f>VLOOKUP(E8990,'Cadastro Produtos (kiwkiw)'!C:E,3,0)</f>
        <v>#N/A</v>
      </c>
    </row>
    <row r="8991" spans="7:8" ht="15" customHeight="1" x14ac:dyDescent="0.4">
      <c r="G8991" s="27">
        <f t="shared" si="152"/>
        <v>0</v>
      </c>
      <c r="H8991" s="28" t="e">
        <f>VLOOKUP(E8991,'Cadastro Produtos (kiwkiw)'!C:E,3,0)</f>
        <v>#N/A</v>
      </c>
    </row>
    <row r="8992" spans="7:8" ht="15" customHeight="1" x14ac:dyDescent="0.4">
      <c r="G8992" s="27">
        <f t="shared" si="152"/>
        <v>0</v>
      </c>
      <c r="H8992" s="28" t="e">
        <f>VLOOKUP(E8992,'Cadastro Produtos (kiwkiw)'!C:E,3,0)</f>
        <v>#N/A</v>
      </c>
    </row>
    <row r="8993" spans="7:8" ht="15" customHeight="1" x14ac:dyDescent="0.4">
      <c r="G8993" s="27">
        <f t="shared" si="152"/>
        <v>0</v>
      </c>
      <c r="H8993" s="28" t="e">
        <f>VLOOKUP(E8993,'Cadastro Produtos (kiwkiw)'!C:E,3,0)</f>
        <v>#N/A</v>
      </c>
    </row>
    <row r="8994" spans="7:8" ht="15" customHeight="1" x14ac:dyDescent="0.4">
      <c r="G8994" s="27">
        <f t="shared" si="152"/>
        <v>0</v>
      </c>
      <c r="H8994" s="28" t="e">
        <f>VLOOKUP(E8994,'Cadastro Produtos (kiwkiw)'!C:E,3,0)</f>
        <v>#N/A</v>
      </c>
    </row>
    <row r="8995" spans="7:8" ht="15" customHeight="1" x14ac:dyDescent="0.4">
      <c r="G8995" s="27">
        <f t="shared" si="152"/>
        <v>0</v>
      </c>
      <c r="H8995" s="28" t="e">
        <f>VLOOKUP(E8995,'Cadastro Produtos (kiwkiw)'!C:E,3,0)</f>
        <v>#N/A</v>
      </c>
    </row>
    <row r="8996" spans="7:8" ht="15" customHeight="1" x14ac:dyDescent="0.4">
      <c r="G8996" s="27">
        <f t="shared" si="152"/>
        <v>0</v>
      </c>
      <c r="H8996" s="28" t="e">
        <f>VLOOKUP(E8996,'Cadastro Produtos (kiwkiw)'!C:E,3,0)</f>
        <v>#N/A</v>
      </c>
    </row>
    <row r="8997" spans="7:8" ht="15" customHeight="1" x14ac:dyDescent="0.4">
      <c r="G8997" s="27">
        <f t="shared" si="152"/>
        <v>0</v>
      </c>
      <c r="H8997" s="28" t="e">
        <f>VLOOKUP(E8997,'Cadastro Produtos (kiwkiw)'!C:E,3,0)</f>
        <v>#N/A</v>
      </c>
    </row>
    <row r="8998" spans="7:8" ht="15" customHeight="1" x14ac:dyDescent="0.4">
      <c r="G8998" s="27">
        <f t="shared" si="152"/>
        <v>0</v>
      </c>
      <c r="H8998" s="28" t="e">
        <f>VLOOKUP(E8998,'Cadastro Produtos (kiwkiw)'!C:E,3,0)</f>
        <v>#N/A</v>
      </c>
    </row>
    <row r="8999" spans="7:8" ht="15" customHeight="1" x14ac:dyDescent="0.4">
      <c r="G8999" s="27">
        <f t="shared" si="152"/>
        <v>0</v>
      </c>
      <c r="H8999" s="28" t="e">
        <f>VLOOKUP(E8999,'Cadastro Produtos (kiwkiw)'!C:E,3,0)</f>
        <v>#N/A</v>
      </c>
    </row>
    <row r="9000" spans="7:8" ht="15" customHeight="1" x14ac:dyDescent="0.4">
      <c r="G9000" s="27">
        <f t="shared" si="152"/>
        <v>0</v>
      </c>
      <c r="H9000" s="28" t="e">
        <f>VLOOKUP(E9000,'Cadastro Produtos (kiwkiw)'!C:E,3,0)</f>
        <v>#N/A</v>
      </c>
    </row>
    <row r="9001" spans="7:8" ht="15" customHeight="1" x14ac:dyDescent="0.4">
      <c r="G9001" s="27">
        <f t="shared" si="152"/>
        <v>0</v>
      </c>
      <c r="H9001" s="28" t="e">
        <f>VLOOKUP(E9001,'Cadastro Produtos (kiwkiw)'!C:E,3,0)</f>
        <v>#N/A</v>
      </c>
    </row>
    <row r="9002" spans="7:8" ht="15" customHeight="1" x14ac:dyDescent="0.4">
      <c r="G9002" s="27">
        <f t="shared" si="152"/>
        <v>0</v>
      </c>
      <c r="H9002" s="28" t="e">
        <f>VLOOKUP(E9002,'Cadastro Produtos (kiwkiw)'!C:E,3,0)</f>
        <v>#N/A</v>
      </c>
    </row>
    <row r="9003" spans="7:8" ht="15" customHeight="1" x14ac:dyDescent="0.4">
      <c r="G9003" s="27">
        <f t="shared" si="152"/>
        <v>0</v>
      </c>
      <c r="H9003" s="28" t="e">
        <f>VLOOKUP(E9003,'Cadastro Produtos (kiwkiw)'!C:E,3,0)</f>
        <v>#N/A</v>
      </c>
    </row>
    <row r="9004" spans="7:8" ht="15" customHeight="1" x14ac:dyDescent="0.4">
      <c r="G9004" s="27">
        <f t="shared" si="152"/>
        <v>0</v>
      </c>
      <c r="H9004" s="28" t="e">
        <f>VLOOKUP(E9004,'Cadastro Produtos (kiwkiw)'!C:E,3,0)</f>
        <v>#N/A</v>
      </c>
    </row>
    <row r="9005" spans="7:8" ht="15" customHeight="1" x14ac:dyDescent="0.4">
      <c r="G9005" s="27">
        <f t="shared" si="152"/>
        <v>0</v>
      </c>
      <c r="H9005" s="28" t="e">
        <f>VLOOKUP(E9005,'Cadastro Produtos (kiwkiw)'!C:E,3,0)</f>
        <v>#N/A</v>
      </c>
    </row>
    <row r="9006" spans="7:8" ht="15" customHeight="1" x14ac:dyDescent="0.4">
      <c r="G9006" s="27">
        <f t="shared" si="152"/>
        <v>0</v>
      </c>
      <c r="H9006" s="28" t="e">
        <f>VLOOKUP(E9006,'Cadastro Produtos (kiwkiw)'!C:E,3,0)</f>
        <v>#N/A</v>
      </c>
    </row>
    <row r="9007" spans="7:8" ht="15" customHeight="1" x14ac:dyDescent="0.4">
      <c r="G9007" s="27">
        <f t="shared" si="152"/>
        <v>0</v>
      </c>
      <c r="H9007" s="28" t="e">
        <f>VLOOKUP(E9007,'Cadastro Produtos (kiwkiw)'!C:E,3,0)</f>
        <v>#N/A</v>
      </c>
    </row>
    <row r="9008" spans="7:8" ht="15" customHeight="1" x14ac:dyDescent="0.4">
      <c r="G9008" s="27">
        <f t="shared" si="152"/>
        <v>0</v>
      </c>
      <c r="H9008" s="28" t="e">
        <f>VLOOKUP(E9008,'Cadastro Produtos (kiwkiw)'!C:E,3,0)</f>
        <v>#N/A</v>
      </c>
    </row>
    <row r="9009" spans="7:8" ht="15" customHeight="1" x14ac:dyDescent="0.4">
      <c r="G9009" s="27">
        <f t="shared" si="152"/>
        <v>0</v>
      </c>
      <c r="H9009" s="28" t="e">
        <f>VLOOKUP(E9009,'Cadastro Produtos (kiwkiw)'!C:E,3,0)</f>
        <v>#N/A</v>
      </c>
    </row>
    <row r="9010" spans="7:8" ht="15" customHeight="1" x14ac:dyDescent="0.4">
      <c r="G9010" s="27">
        <f t="shared" si="152"/>
        <v>0</v>
      </c>
      <c r="H9010" s="28" t="e">
        <f>VLOOKUP(E9010,'Cadastro Produtos (kiwkiw)'!C:E,3,0)</f>
        <v>#N/A</v>
      </c>
    </row>
    <row r="9011" spans="7:8" ht="15" customHeight="1" x14ac:dyDescent="0.4">
      <c r="G9011" s="27">
        <f t="shared" si="152"/>
        <v>0</v>
      </c>
      <c r="H9011" s="28" t="e">
        <f>VLOOKUP(E9011,'Cadastro Produtos (kiwkiw)'!C:E,3,0)</f>
        <v>#N/A</v>
      </c>
    </row>
    <row r="9012" spans="7:8" ht="15" customHeight="1" x14ac:dyDescent="0.4">
      <c r="G9012" s="27">
        <f t="shared" si="152"/>
        <v>0</v>
      </c>
      <c r="H9012" s="28" t="e">
        <f>VLOOKUP(E9012,'Cadastro Produtos (kiwkiw)'!C:E,3,0)</f>
        <v>#N/A</v>
      </c>
    </row>
    <row r="9013" spans="7:8" ht="15" customHeight="1" x14ac:dyDescent="0.4">
      <c r="G9013" s="27">
        <f t="shared" si="152"/>
        <v>0</v>
      </c>
      <c r="H9013" s="28" t="e">
        <f>VLOOKUP(E9013,'Cadastro Produtos (kiwkiw)'!C:E,3,0)</f>
        <v>#N/A</v>
      </c>
    </row>
    <row r="9014" spans="7:8" ht="15" customHeight="1" x14ac:dyDescent="0.4">
      <c r="G9014" s="27">
        <f t="shared" si="152"/>
        <v>0</v>
      </c>
      <c r="H9014" s="28" t="e">
        <f>VLOOKUP(E9014,'Cadastro Produtos (kiwkiw)'!C:E,3,0)</f>
        <v>#N/A</v>
      </c>
    </row>
    <row r="9015" spans="7:8" ht="15" customHeight="1" x14ac:dyDescent="0.4">
      <c r="G9015" s="27">
        <f t="shared" si="152"/>
        <v>0</v>
      </c>
      <c r="H9015" s="28" t="e">
        <f>VLOOKUP(E9015,'Cadastro Produtos (kiwkiw)'!C:E,3,0)</f>
        <v>#N/A</v>
      </c>
    </row>
    <row r="9016" spans="7:8" ht="15" customHeight="1" x14ac:dyDescent="0.4">
      <c r="G9016" s="27">
        <f t="shared" si="152"/>
        <v>0</v>
      </c>
      <c r="H9016" s="28" t="e">
        <f>VLOOKUP(E9016,'Cadastro Produtos (kiwkiw)'!C:E,3,0)</f>
        <v>#N/A</v>
      </c>
    </row>
    <row r="9017" spans="7:8" ht="15" customHeight="1" x14ac:dyDescent="0.4">
      <c r="G9017" s="27">
        <f t="shared" si="152"/>
        <v>0</v>
      </c>
      <c r="H9017" s="28" t="e">
        <f>VLOOKUP(E9017,'Cadastro Produtos (kiwkiw)'!C:E,3,0)</f>
        <v>#N/A</v>
      </c>
    </row>
    <row r="9018" spans="7:8" ht="15" customHeight="1" x14ac:dyDescent="0.4">
      <c r="G9018" s="27">
        <f t="shared" si="152"/>
        <v>0</v>
      </c>
      <c r="H9018" s="28" t="e">
        <f>VLOOKUP(E9018,'Cadastro Produtos (kiwkiw)'!C:E,3,0)</f>
        <v>#N/A</v>
      </c>
    </row>
    <row r="9019" spans="7:8" ht="15" customHeight="1" x14ac:dyDescent="0.4">
      <c r="G9019" s="27">
        <f t="shared" si="152"/>
        <v>0</v>
      </c>
      <c r="H9019" s="28" t="e">
        <f>VLOOKUP(E9019,'Cadastro Produtos (kiwkiw)'!C:E,3,0)</f>
        <v>#N/A</v>
      </c>
    </row>
    <row r="9020" spans="7:8" ht="15" customHeight="1" x14ac:dyDescent="0.4">
      <c r="G9020" s="27">
        <f t="shared" si="152"/>
        <v>0</v>
      </c>
      <c r="H9020" s="28" t="e">
        <f>VLOOKUP(E9020,'Cadastro Produtos (kiwkiw)'!C:E,3,0)</f>
        <v>#N/A</v>
      </c>
    </row>
    <row r="9021" spans="7:8" ht="15" customHeight="1" x14ac:dyDescent="0.4">
      <c r="G9021" s="27">
        <f t="shared" si="152"/>
        <v>0</v>
      </c>
      <c r="H9021" s="28" t="e">
        <f>VLOOKUP(E9021,'Cadastro Produtos (kiwkiw)'!C:E,3,0)</f>
        <v>#N/A</v>
      </c>
    </row>
    <row r="9022" spans="7:8" ht="15" customHeight="1" x14ac:dyDescent="0.4">
      <c r="G9022" s="27">
        <f t="shared" si="152"/>
        <v>0</v>
      </c>
      <c r="H9022" s="28" t="e">
        <f>VLOOKUP(E9022,'Cadastro Produtos (kiwkiw)'!C:E,3,0)</f>
        <v>#N/A</v>
      </c>
    </row>
    <row r="9023" spans="7:8" ht="15" customHeight="1" x14ac:dyDescent="0.4">
      <c r="G9023" s="27">
        <f t="shared" si="152"/>
        <v>0</v>
      </c>
      <c r="H9023" s="28" t="e">
        <f>VLOOKUP(E9023,'Cadastro Produtos (kiwkiw)'!C:E,3,0)</f>
        <v>#N/A</v>
      </c>
    </row>
    <row r="9024" spans="7:8" ht="15" customHeight="1" x14ac:dyDescent="0.4">
      <c r="G9024" s="27">
        <f t="shared" si="152"/>
        <v>0</v>
      </c>
      <c r="H9024" s="28" t="e">
        <f>VLOOKUP(E9024,'Cadastro Produtos (kiwkiw)'!C:E,3,0)</f>
        <v>#N/A</v>
      </c>
    </row>
    <row r="9025" spans="7:8" ht="15" customHeight="1" x14ac:dyDescent="0.4">
      <c r="G9025" s="27">
        <f t="shared" si="152"/>
        <v>0</v>
      </c>
      <c r="H9025" s="28" t="e">
        <f>VLOOKUP(E9025,'Cadastro Produtos (kiwkiw)'!C:E,3,0)</f>
        <v>#N/A</v>
      </c>
    </row>
    <row r="9026" spans="7:8" ht="15" customHeight="1" x14ac:dyDescent="0.4">
      <c r="G9026" s="27">
        <f t="shared" si="152"/>
        <v>0</v>
      </c>
      <c r="H9026" s="28" t="e">
        <f>VLOOKUP(E9026,'Cadastro Produtos (kiwkiw)'!C:E,3,0)</f>
        <v>#N/A</v>
      </c>
    </row>
    <row r="9027" spans="7:8" ht="15" customHeight="1" x14ac:dyDescent="0.4">
      <c r="G9027" s="27">
        <f t="shared" si="152"/>
        <v>0</v>
      </c>
      <c r="H9027" s="28" t="e">
        <f>VLOOKUP(E9027,'Cadastro Produtos (kiwkiw)'!C:E,3,0)</f>
        <v>#N/A</v>
      </c>
    </row>
    <row r="9028" spans="7:8" ht="15" customHeight="1" x14ac:dyDescent="0.4">
      <c r="G9028" s="27">
        <f t="shared" si="152"/>
        <v>0</v>
      </c>
      <c r="H9028" s="28" t="e">
        <f>VLOOKUP(E9028,'Cadastro Produtos (kiwkiw)'!C:E,3,0)</f>
        <v>#N/A</v>
      </c>
    </row>
    <row r="9029" spans="7:8" ht="15" customHeight="1" x14ac:dyDescent="0.4">
      <c r="G9029" s="27">
        <f t="shared" si="152"/>
        <v>0</v>
      </c>
      <c r="H9029" s="28" t="e">
        <f>VLOOKUP(E9029,'Cadastro Produtos (kiwkiw)'!C:E,3,0)</f>
        <v>#N/A</v>
      </c>
    </row>
    <row r="9030" spans="7:8" ht="15" customHeight="1" x14ac:dyDescent="0.4">
      <c r="G9030" s="27">
        <f t="shared" si="152"/>
        <v>0</v>
      </c>
      <c r="H9030" s="28" t="e">
        <f>VLOOKUP(E9030,'Cadastro Produtos (kiwkiw)'!C:E,3,0)</f>
        <v>#N/A</v>
      </c>
    </row>
    <row r="9031" spans="7:8" ht="15" customHeight="1" x14ac:dyDescent="0.4">
      <c r="G9031" s="27">
        <f t="shared" si="152"/>
        <v>0</v>
      </c>
      <c r="H9031" s="28" t="e">
        <f>VLOOKUP(E9031,'Cadastro Produtos (kiwkiw)'!C:E,3,0)</f>
        <v>#N/A</v>
      </c>
    </row>
    <row r="9032" spans="7:8" ht="15" customHeight="1" x14ac:dyDescent="0.4">
      <c r="G9032" s="27">
        <f t="shared" si="152"/>
        <v>0</v>
      </c>
      <c r="H9032" s="28" t="e">
        <f>VLOOKUP(E9032,'Cadastro Produtos (kiwkiw)'!C:E,3,0)</f>
        <v>#N/A</v>
      </c>
    </row>
    <row r="9033" spans="7:8" ht="15" customHeight="1" x14ac:dyDescent="0.4">
      <c r="G9033" s="27">
        <f t="shared" si="152"/>
        <v>0</v>
      </c>
      <c r="H9033" s="28" t="e">
        <f>VLOOKUP(E9033,'Cadastro Produtos (kiwkiw)'!C:E,3,0)</f>
        <v>#N/A</v>
      </c>
    </row>
    <row r="9034" spans="7:8" ht="15" customHeight="1" x14ac:dyDescent="0.4">
      <c r="G9034" s="27">
        <f t="shared" si="152"/>
        <v>0</v>
      </c>
      <c r="H9034" s="28" t="e">
        <f>VLOOKUP(E9034,'Cadastro Produtos (kiwkiw)'!C:E,3,0)</f>
        <v>#N/A</v>
      </c>
    </row>
    <row r="9035" spans="7:8" ht="15" customHeight="1" x14ac:dyDescent="0.4">
      <c r="G9035" s="27">
        <f t="shared" si="152"/>
        <v>0</v>
      </c>
      <c r="H9035" s="28" t="e">
        <f>VLOOKUP(E9035,'Cadastro Produtos (kiwkiw)'!C:E,3,0)</f>
        <v>#N/A</v>
      </c>
    </row>
    <row r="9036" spans="7:8" ht="15" customHeight="1" x14ac:dyDescent="0.4">
      <c r="G9036" s="27">
        <f t="shared" si="152"/>
        <v>0</v>
      </c>
      <c r="H9036" s="28" t="e">
        <f>VLOOKUP(E9036,'Cadastro Produtos (kiwkiw)'!C:E,3,0)</f>
        <v>#N/A</v>
      </c>
    </row>
    <row r="9037" spans="7:8" ht="15" customHeight="1" x14ac:dyDescent="0.4">
      <c r="G9037" s="27">
        <f t="shared" si="152"/>
        <v>0</v>
      </c>
      <c r="H9037" s="28" t="e">
        <f>VLOOKUP(E9037,'Cadastro Produtos (kiwkiw)'!C:E,3,0)</f>
        <v>#N/A</v>
      </c>
    </row>
    <row r="9038" spans="7:8" ht="15" customHeight="1" x14ac:dyDescent="0.4">
      <c r="G9038" s="27">
        <f t="shared" si="152"/>
        <v>0</v>
      </c>
      <c r="H9038" s="28" t="e">
        <f>VLOOKUP(E9038,'Cadastro Produtos (kiwkiw)'!C:E,3,0)</f>
        <v>#N/A</v>
      </c>
    </row>
    <row r="9039" spans="7:8" ht="15" customHeight="1" x14ac:dyDescent="0.4">
      <c r="G9039" s="27">
        <f t="shared" si="152"/>
        <v>0</v>
      </c>
      <c r="H9039" s="28" t="e">
        <f>VLOOKUP(E9039,'Cadastro Produtos (kiwkiw)'!C:E,3,0)</f>
        <v>#N/A</v>
      </c>
    </row>
    <row r="9040" spans="7:8" ht="15" customHeight="1" x14ac:dyDescent="0.4">
      <c r="G9040" s="27">
        <f t="shared" si="152"/>
        <v>0</v>
      </c>
      <c r="H9040" s="28" t="e">
        <f>VLOOKUP(E9040,'Cadastro Produtos (kiwkiw)'!C:E,3,0)</f>
        <v>#N/A</v>
      </c>
    </row>
    <row r="9041" spans="7:8" ht="15" customHeight="1" x14ac:dyDescent="0.4">
      <c r="G9041" s="27">
        <f t="shared" si="152"/>
        <v>0</v>
      </c>
      <c r="H9041" s="28" t="e">
        <f>VLOOKUP(E9041,'Cadastro Produtos (kiwkiw)'!C:E,3,0)</f>
        <v>#N/A</v>
      </c>
    </row>
    <row r="9042" spans="7:8" ht="15" customHeight="1" x14ac:dyDescent="0.4">
      <c r="G9042" s="27">
        <f t="shared" ref="G9042:G9105" si="153">IF(C9042="Entrada",F9042,-F9042)</f>
        <v>0</v>
      </c>
      <c r="H9042" s="28" t="e">
        <f>VLOOKUP(E9042,'Cadastro Produtos (kiwkiw)'!C:E,3,0)</f>
        <v>#N/A</v>
      </c>
    </row>
    <row r="9043" spans="7:8" ht="15" customHeight="1" x14ac:dyDescent="0.4">
      <c r="G9043" s="27">
        <f t="shared" si="153"/>
        <v>0</v>
      </c>
      <c r="H9043" s="28" t="e">
        <f>VLOOKUP(E9043,'Cadastro Produtos (kiwkiw)'!C:E,3,0)</f>
        <v>#N/A</v>
      </c>
    </row>
    <row r="9044" spans="7:8" ht="15" customHeight="1" x14ac:dyDescent="0.4">
      <c r="G9044" s="27">
        <f t="shared" si="153"/>
        <v>0</v>
      </c>
      <c r="H9044" s="28" t="e">
        <f>VLOOKUP(E9044,'Cadastro Produtos (kiwkiw)'!C:E,3,0)</f>
        <v>#N/A</v>
      </c>
    </row>
    <row r="9045" spans="7:8" ht="15" customHeight="1" x14ac:dyDescent="0.4">
      <c r="G9045" s="27">
        <f t="shared" si="153"/>
        <v>0</v>
      </c>
      <c r="H9045" s="28" t="e">
        <f>VLOOKUP(E9045,'Cadastro Produtos (kiwkiw)'!C:E,3,0)</f>
        <v>#N/A</v>
      </c>
    </row>
    <row r="9046" spans="7:8" ht="15" customHeight="1" x14ac:dyDescent="0.4">
      <c r="G9046" s="27">
        <f t="shared" si="153"/>
        <v>0</v>
      </c>
      <c r="H9046" s="28" t="e">
        <f>VLOOKUP(E9046,'Cadastro Produtos (kiwkiw)'!C:E,3,0)</f>
        <v>#N/A</v>
      </c>
    </row>
    <row r="9047" spans="7:8" ht="15" customHeight="1" x14ac:dyDescent="0.4">
      <c r="G9047" s="27">
        <f t="shared" si="153"/>
        <v>0</v>
      </c>
      <c r="H9047" s="28" t="e">
        <f>VLOOKUP(E9047,'Cadastro Produtos (kiwkiw)'!C:E,3,0)</f>
        <v>#N/A</v>
      </c>
    </row>
    <row r="9048" spans="7:8" ht="15" customHeight="1" x14ac:dyDescent="0.4">
      <c r="G9048" s="27">
        <f t="shared" si="153"/>
        <v>0</v>
      </c>
      <c r="H9048" s="28" t="e">
        <f>VLOOKUP(E9048,'Cadastro Produtos (kiwkiw)'!C:E,3,0)</f>
        <v>#N/A</v>
      </c>
    </row>
    <row r="9049" spans="7:8" ht="15" customHeight="1" x14ac:dyDescent="0.4">
      <c r="G9049" s="27">
        <f t="shared" si="153"/>
        <v>0</v>
      </c>
      <c r="H9049" s="28" t="e">
        <f>VLOOKUP(E9049,'Cadastro Produtos (kiwkiw)'!C:E,3,0)</f>
        <v>#N/A</v>
      </c>
    </row>
    <row r="9050" spans="7:8" ht="15" customHeight="1" x14ac:dyDescent="0.4">
      <c r="G9050" s="27">
        <f t="shared" si="153"/>
        <v>0</v>
      </c>
      <c r="H9050" s="28" t="e">
        <f>VLOOKUP(E9050,'Cadastro Produtos (kiwkiw)'!C:E,3,0)</f>
        <v>#N/A</v>
      </c>
    </row>
    <row r="9051" spans="7:8" ht="15" customHeight="1" x14ac:dyDescent="0.4">
      <c r="G9051" s="27">
        <f t="shared" si="153"/>
        <v>0</v>
      </c>
      <c r="H9051" s="28" t="e">
        <f>VLOOKUP(E9051,'Cadastro Produtos (kiwkiw)'!C:E,3,0)</f>
        <v>#N/A</v>
      </c>
    </row>
    <row r="9052" spans="7:8" ht="15" customHeight="1" x14ac:dyDescent="0.4">
      <c r="G9052" s="27">
        <f t="shared" si="153"/>
        <v>0</v>
      </c>
      <c r="H9052" s="28" t="e">
        <f>VLOOKUP(E9052,'Cadastro Produtos (kiwkiw)'!C:E,3,0)</f>
        <v>#N/A</v>
      </c>
    </row>
    <row r="9053" spans="7:8" ht="15" customHeight="1" x14ac:dyDescent="0.4">
      <c r="G9053" s="27">
        <f t="shared" si="153"/>
        <v>0</v>
      </c>
      <c r="H9053" s="28" t="e">
        <f>VLOOKUP(E9053,'Cadastro Produtos (kiwkiw)'!C:E,3,0)</f>
        <v>#N/A</v>
      </c>
    </row>
    <row r="9054" spans="7:8" ht="15" customHeight="1" x14ac:dyDescent="0.4">
      <c r="G9054" s="27">
        <f t="shared" si="153"/>
        <v>0</v>
      </c>
      <c r="H9054" s="28" t="e">
        <f>VLOOKUP(E9054,'Cadastro Produtos (kiwkiw)'!C:E,3,0)</f>
        <v>#N/A</v>
      </c>
    </row>
    <row r="9055" spans="7:8" ht="15" customHeight="1" x14ac:dyDescent="0.4">
      <c r="G9055" s="27">
        <f t="shared" si="153"/>
        <v>0</v>
      </c>
      <c r="H9055" s="28" t="e">
        <f>VLOOKUP(E9055,'Cadastro Produtos (kiwkiw)'!C:E,3,0)</f>
        <v>#N/A</v>
      </c>
    </row>
    <row r="9056" spans="7:8" ht="15" customHeight="1" x14ac:dyDescent="0.4">
      <c r="G9056" s="27">
        <f t="shared" si="153"/>
        <v>0</v>
      </c>
      <c r="H9056" s="28" t="e">
        <f>VLOOKUP(E9056,'Cadastro Produtos (kiwkiw)'!C:E,3,0)</f>
        <v>#N/A</v>
      </c>
    </row>
    <row r="9057" spans="7:8" ht="15" customHeight="1" x14ac:dyDescent="0.4">
      <c r="G9057" s="27">
        <f t="shared" si="153"/>
        <v>0</v>
      </c>
      <c r="H9057" s="28" t="e">
        <f>VLOOKUP(E9057,'Cadastro Produtos (kiwkiw)'!C:E,3,0)</f>
        <v>#N/A</v>
      </c>
    </row>
    <row r="9058" spans="7:8" ht="15" customHeight="1" x14ac:dyDescent="0.4">
      <c r="G9058" s="27">
        <f t="shared" si="153"/>
        <v>0</v>
      </c>
      <c r="H9058" s="28" t="e">
        <f>VLOOKUP(E9058,'Cadastro Produtos (kiwkiw)'!C:E,3,0)</f>
        <v>#N/A</v>
      </c>
    </row>
    <row r="9059" spans="7:8" ht="15" customHeight="1" x14ac:dyDescent="0.4">
      <c r="G9059" s="27">
        <f t="shared" si="153"/>
        <v>0</v>
      </c>
      <c r="H9059" s="28" t="e">
        <f>VLOOKUP(E9059,'Cadastro Produtos (kiwkiw)'!C:E,3,0)</f>
        <v>#N/A</v>
      </c>
    </row>
    <row r="9060" spans="7:8" ht="15" customHeight="1" x14ac:dyDescent="0.4">
      <c r="G9060" s="27">
        <f t="shared" si="153"/>
        <v>0</v>
      </c>
      <c r="H9060" s="28" t="e">
        <f>VLOOKUP(E9060,'Cadastro Produtos (kiwkiw)'!C:E,3,0)</f>
        <v>#N/A</v>
      </c>
    </row>
    <row r="9061" spans="7:8" ht="15" customHeight="1" x14ac:dyDescent="0.4">
      <c r="G9061" s="27">
        <f t="shared" si="153"/>
        <v>0</v>
      </c>
      <c r="H9061" s="28" t="e">
        <f>VLOOKUP(E9061,'Cadastro Produtos (kiwkiw)'!C:E,3,0)</f>
        <v>#N/A</v>
      </c>
    </row>
    <row r="9062" spans="7:8" ht="15" customHeight="1" x14ac:dyDescent="0.4">
      <c r="G9062" s="27">
        <f t="shared" si="153"/>
        <v>0</v>
      </c>
      <c r="H9062" s="28" t="e">
        <f>VLOOKUP(E9062,'Cadastro Produtos (kiwkiw)'!C:E,3,0)</f>
        <v>#N/A</v>
      </c>
    </row>
    <row r="9063" spans="7:8" ht="15" customHeight="1" x14ac:dyDescent="0.4">
      <c r="G9063" s="27">
        <f t="shared" si="153"/>
        <v>0</v>
      </c>
      <c r="H9063" s="28" t="e">
        <f>VLOOKUP(E9063,'Cadastro Produtos (kiwkiw)'!C:E,3,0)</f>
        <v>#N/A</v>
      </c>
    </row>
    <row r="9064" spans="7:8" ht="15" customHeight="1" x14ac:dyDescent="0.4">
      <c r="G9064" s="27">
        <f t="shared" si="153"/>
        <v>0</v>
      </c>
      <c r="H9064" s="28" t="e">
        <f>VLOOKUP(E9064,'Cadastro Produtos (kiwkiw)'!C:E,3,0)</f>
        <v>#N/A</v>
      </c>
    </row>
    <row r="9065" spans="7:8" ht="15" customHeight="1" x14ac:dyDescent="0.4">
      <c r="G9065" s="27">
        <f t="shared" si="153"/>
        <v>0</v>
      </c>
      <c r="H9065" s="28" t="e">
        <f>VLOOKUP(E9065,'Cadastro Produtos (kiwkiw)'!C:E,3,0)</f>
        <v>#N/A</v>
      </c>
    </row>
    <row r="9066" spans="7:8" ht="15" customHeight="1" x14ac:dyDescent="0.4">
      <c r="G9066" s="27">
        <f t="shared" si="153"/>
        <v>0</v>
      </c>
      <c r="H9066" s="28" t="e">
        <f>VLOOKUP(E9066,'Cadastro Produtos (kiwkiw)'!C:E,3,0)</f>
        <v>#N/A</v>
      </c>
    </row>
    <row r="9067" spans="7:8" ht="15" customHeight="1" x14ac:dyDescent="0.4">
      <c r="G9067" s="27">
        <f t="shared" si="153"/>
        <v>0</v>
      </c>
      <c r="H9067" s="28" t="e">
        <f>VLOOKUP(E9067,'Cadastro Produtos (kiwkiw)'!C:E,3,0)</f>
        <v>#N/A</v>
      </c>
    </row>
    <row r="9068" spans="7:8" ht="15" customHeight="1" x14ac:dyDescent="0.4">
      <c r="G9068" s="27">
        <f t="shared" si="153"/>
        <v>0</v>
      </c>
      <c r="H9068" s="28" t="e">
        <f>VLOOKUP(E9068,'Cadastro Produtos (kiwkiw)'!C:E,3,0)</f>
        <v>#N/A</v>
      </c>
    </row>
    <row r="9069" spans="7:8" ht="15" customHeight="1" x14ac:dyDescent="0.4">
      <c r="G9069" s="27">
        <f t="shared" si="153"/>
        <v>0</v>
      </c>
      <c r="H9069" s="28" t="e">
        <f>VLOOKUP(E9069,'Cadastro Produtos (kiwkiw)'!C:E,3,0)</f>
        <v>#N/A</v>
      </c>
    </row>
    <row r="9070" spans="7:8" ht="15" customHeight="1" x14ac:dyDescent="0.4">
      <c r="G9070" s="27">
        <f t="shared" si="153"/>
        <v>0</v>
      </c>
      <c r="H9070" s="28" t="e">
        <f>VLOOKUP(E9070,'Cadastro Produtos (kiwkiw)'!C:E,3,0)</f>
        <v>#N/A</v>
      </c>
    </row>
    <row r="9071" spans="7:8" ht="15" customHeight="1" x14ac:dyDescent="0.4">
      <c r="G9071" s="27">
        <f t="shared" si="153"/>
        <v>0</v>
      </c>
      <c r="H9071" s="28" t="e">
        <f>VLOOKUP(E9071,'Cadastro Produtos (kiwkiw)'!C:E,3,0)</f>
        <v>#N/A</v>
      </c>
    </row>
    <row r="9072" spans="7:8" ht="15" customHeight="1" x14ac:dyDescent="0.4">
      <c r="G9072" s="27">
        <f t="shared" si="153"/>
        <v>0</v>
      </c>
      <c r="H9072" s="28" t="e">
        <f>VLOOKUP(E9072,'Cadastro Produtos (kiwkiw)'!C:E,3,0)</f>
        <v>#N/A</v>
      </c>
    </row>
    <row r="9073" spans="7:8" ht="15" customHeight="1" x14ac:dyDescent="0.4">
      <c r="G9073" s="27">
        <f t="shared" si="153"/>
        <v>0</v>
      </c>
      <c r="H9073" s="28" t="e">
        <f>VLOOKUP(E9073,'Cadastro Produtos (kiwkiw)'!C:E,3,0)</f>
        <v>#N/A</v>
      </c>
    </row>
    <row r="9074" spans="7:8" ht="15" customHeight="1" x14ac:dyDescent="0.4">
      <c r="G9074" s="27">
        <f t="shared" si="153"/>
        <v>0</v>
      </c>
      <c r="H9074" s="28" t="e">
        <f>VLOOKUP(E9074,'Cadastro Produtos (kiwkiw)'!C:E,3,0)</f>
        <v>#N/A</v>
      </c>
    </row>
    <row r="9075" spans="7:8" ht="15" customHeight="1" x14ac:dyDescent="0.4">
      <c r="G9075" s="27">
        <f t="shared" si="153"/>
        <v>0</v>
      </c>
      <c r="H9075" s="28" t="e">
        <f>VLOOKUP(E9075,'Cadastro Produtos (kiwkiw)'!C:E,3,0)</f>
        <v>#N/A</v>
      </c>
    </row>
    <row r="9076" spans="7:8" ht="15" customHeight="1" x14ac:dyDescent="0.4">
      <c r="G9076" s="27">
        <f t="shared" si="153"/>
        <v>0</v>
      </c>
      <c r="H9076" s="28" t="e">
        <f>VLOOKUP(E9076,'Cadastro Produtos (kiwkiw)'!C:E,3,0)</f>
        <v>#N/A</v>
      </c>
    </row>
    <row r="9077" spans="7:8" ht="15" customHeight="1" x14ac:dyDescent="0.4">
      <c r="G9077" s="27">
        <f t="shared" si="153"/>
        <v>0</v>
      </c>
      <c r="H9077" s="28" t="e">
        <f>VLOOKUP(E9077,'Cadastro Produtos (kiwkiw)'!C:E,3,0)</f>
        <v>#N/A</v>
      </c>
    </row>
    <row r="9078" spans="7:8" ht="15" customHeight="1" x14ac:dyDescent="0.4">
      <c r="G9078" s="27">
        <f t="shared" si="153"/>
        <v>0</v>
      </c>
      <c r="H9078" s="28" t="e">
        <f>VLOOKUP(E9078,'Cadastro Produtos (kiwkiw)'!C:E,3,0)</f>
        <v>#N/A</v>
      </c>
    </row>
    <row r="9079" spans="7:8" ht="15" customHeight="1" x14ac:dyDescent="0.4">
      <c r="G9079" s="27">
        <f t="shared" si="153"/>
        <v>0</v>
      </c>
      <c r="H9079" s="28" t="e">
        <f>VLOOKUP(E9079,'Cadastro Produtos (kiwkiw)'!C:E,3,0)</f>
        <v>#N/A</v>
      </c>
    </row>
    <row r="9080" spans="7:8" ht="15" customHeight="1" x14ac:dyDescent="0.4">
      <c r="G9080" s="27">
        <f t="shared" si="153"/>
        <v>0</v>
      </c>
      <c r="H9080" s="28" t="e">
        <f>VLOOKUP(E9080,'Cadastro Produtos (kiwkiw)'!C:E,3,0)</f>
        <v>#N/A</v>
      </c>
    </row>
    <row r="9081" spans="7:8" ht="15" customHeight="1" x14ac:dyDescent="0.4">
      <c r="G9081" s="27">
        <f t="shared" si="153"/>
        <v>0</v>
      </c>
      <c r="H9081" s="28" t="e">
        <f>VLOOKUP(E9081,'Cadastro Produtos (kiwkiw)'!C:E,3,0)</f>
        <v>#N/A</v>
      </c>
    </row>
    <row r="9082" spans="7:8" ht="15" customHeight="1" x14ac:dyDescent="0.4">
      <c r="G9082" s="27">
        <f t="shared" si="153"/>
        <v>0</v>
      </c>
      <c r="H9082" s="28" t="e">
        <f>VLOOKUP(E9082,'Cadastro Produtos (kiwkiw)'!C:E,3,0)</f>
        <v>#N/A</v>
      </c>
    </row>
    <row r="9083" spans="7:8" ht="15" customHeight="1" x14ac:dyDescent="0.4">
      <c r="G9083" s="27">
        <f t="shared" si="153"/>
        <v>0</v>
      </c>
      <c r="H9083" s="28" t="e">
        <f>VLOOKUP(E9083,'Cadastro Produtos (kiwkiw)'!C:E,3,0)</f>
        <v>#N/A</v>
      </c>
    </row>
    <row r="9084" spans="7:8" ht="15" customHeight="1" x14ac:dyDescent="0.4">
      <c r="G9084" s="27">
        <f t="shared" si="153"/>
        <v>0</v>
      </c>
      <c r="H9084" s="28" t="e">
        <f>VLOOKUP(E9084,'Cadastro Produtos (kiwkiw)'!C:E,3,0)</f>
        <v>#N/A</v>
      </c>
    </row>
    <row r="9085" spans="7:8" ht="15" customHeight="1" x14ac:dyDescent="0.4">
      <c r="G9085" s="27">
        <f t="shared" si="153"/>
        <v>0</v>
      </c>
      <c r="H9085" s="28" t="e">
        <f>VLOOKUP(E9085,'Cadastro Produtos (kiwkiw)'!C:E,3,0)</f>
        <v>#N/A</v>
      </c>
    </row>
    <row r="9086" spans="7:8" ht="15" customHeight="1" x14ac:dyDescent="0.4">
      <c r="G9086" s="27">
        <f t="shared" si="153"/>
        <v>0</v>
      </c>
      <c r="H9086" s="28" t="e">
        <f>VLOOKUP(E9086,'Cadastro Produtos (kiwkiw)'!C:E,3,0)</f>
        <v>#N/A</v>
      </c>
    </row>
    <row r="9087" spans="7:8" ht="15" customHeight="1" x14ac:dyDescent="0.4">
      <c r="G9087" s="27">
        <f t="shared" si="153"/>
        <v>0</v>
      </c>
      <c r="H9087" s="28" t="e">
        <f>VLOOKUP(E9087,'Cadastro Produtos (kiwkiw)'!C:E,3,0)</f>
        <v>#N/A</v>
      </c>
    </row>
    <row r="9088" spans="7:8" ht="15" customHeight="1" x14ac:dyDescent="0.4">
      <c r="G9088" s="27">
        <f t="shared" si="153"/>
        <v>0</v>
      </c>
      <c r="H9088" s="28" t="e">
        <f>VLOOKUP(E9088,'Cadastro Produtos (kiwkiw)'!C:E,3,0)</f>
        <v>#N/A</v>
      </c>
    </row>
    <row r="9089" spans="7:8" ht="15" customHeight="1" x14ac:dyDescent="0.4">
      <c r="G9089" s="27">
        <f t="shared" si="153"/>
        <v>0</v>
      </c>
      <c r="H9089" s="28" t="e">
        <f>VLOOKUP(E9089,'Cadastro Produtos (kiwkiw)'!C:E,3,0)</f>
        <v>#N/A</v>
      </c>
    </row>
    <row r="9090" spans="7:8" ht="15" customHeight="1" x14ac:dyDescent="0.4">
      <c r="G9090" s="27">
        <f t="shared" si="153"/>
        <v>0</v>
      </c>
      <c r="H9090" s="28" t="e">
        <f>VLOOKUP(E9090,'Cadastro Produtos (kiwkiw)'!C:E,3,0)</f>
        <v>#N/A</v>
      </c>
    </row>
    <row r="9091" spans="7:8" ht="15" customHeight="1" x14ac:dyDescent="0.4">
      <c r="G9091" s="27">
        <f t="shared" si="153"/>
        <v>0</v>
      </c>
      <c r="H9091" s="28" t="e">
        <f>VLOOKUP(E9091,'Cadastro Produtos (kiwkiw)'!C:E,3,0)</f>
        <v>#N/A</v>
      </c>
    </row>
    <row r="9092" spans="7:8" ht="15" customHeight="1" x14ac:dyDescent="0.4">
      <c r="G9092" s="27">
        <f t="shared" si="153"/>
        <v>0</v>
      </c>
      <c r="H9092" s="28" t="e">
        <f>VLOOKUP(E9092,'Cadastro Produtos (kiwkiw)'!C:E,3,0)</f>
        <v>#N/A</v>
      </c>
    </row>
    <row r="9093" spans="7:8" ht="15" customHeight="1" x14ac:dyDescent="0.4">
      <c r="G9093" s="27">
        <f t="shared" si="153"/>
        <v>0</v>
      </c>
      <c r="H9093" s="28" t="e">
        <f>VLOOKUP(E9093,'Cadastro Produtos (kiwkiw)'!C:E,3,0)</f>
        <v>#N/A</v>
      </c>
    </row>
    <row r="9094" spans="7:8" ht="15" customHeight="1" x14ac:dyDescent="0.4">
      <c r="G9094" s="27">
        <f t="shared" si="153"/>
        <v>0</v>
      </c>
      <c r="H9094" s="28" t="e">
        <f>VLOOKUP(E9094,'Cadastro Produtos (kiwkiw)'!C:E,3,0)</f>
        <v>#N/A</v>
      </c>
    </row>
    <row r="9095" spans="7:8" ht="15" customHeight="1" x14ac:dyDescent="0.4">
      <c r="G9095" s="27">
        <f t="shared" si="153"/>
        <v>0</v>
      </c>
      <c r="H9095" s="28" t="e">
        <f>VLOOKUP(E9095,'Cadastro Produtos (kiwkiw)'!C:E,3,0)</f>
        <v>#N/A</v>
      </c>
    </row>
    <row r="9096" spans="7:8" ht="15" customHeight="1" x14ac:dyDescent="0.4">
      <c r="G9096" s="27">
        <f t="shared" si="153"/>
        <v>0</v>
      </c>
      <c r="H9096" s="28" t="e">
        <f>VLOOKUP(E9096,'Cadastro Produtos (kiwkiw)'!C:E,3,0)</f>
        <v>#N/A</v>
      </c>
    </row>
    <row r="9097" spans="7:8" ht="15" customHeight="1" x14ac:dyDescent="0.4">
      <c r="G9097" s="27">
        <f t="shared" si="153"/>
        <v>0</v>
      </c>
      <c r="H9097" s="28" t="e">
        <f>VLOOKUP(E9097,'Cadastro Produtos (kiwkiw)'!C:E,3,0)</f>
        <v>#N/A</v>
      </c>
    </row>
    <row r="9098" spans="7:8" ht="15" customHeight="1" x14ac:dyDescent="0.4">
      <c r="G9098" s="27">
        <f t="shared" si="153"/>
        <v>0</v>
      </c>
      <c r="H9098" s="28" t="e">
        <f>VLOOKUP(E9098,'Cadastro Produtos (kiwkiw)'!C:E,3,0)</f>
        <v>#N/A</v>
      </c>
    </row>
    <row r="9099" spans="7:8" ht="15" customHeight="1" x14ac:dyDescent="0.4">
      <c r="G9099" s="27">
        <f t="shared" si="153"/>
        <v>0</v>
      </c>
      <c r="H9099" s="28" t="e">
        <f>VLOOKUP(E9099,'Cadastro Produtos (kiwkiw)'!C:E,3,0)</f>
        <v>#N/A</v>
      </c>
    </row>
    <row r="9100" spans="7:8" ht="15" customHeight="1" x14ac:dyDescent="0.4">
      <c r="G9100" s="27">
        <f t="shared" si="153"/>
        <v>0</v>
      </c>
      <c r="H9100" s="28" t="e">
        <f>VLOOKUP(E9100,'Cadastro Produtos (kiwkiw)'!C:E,3,0)</f>
        <v>#N/A</v>
      </c>
    </row>
    <row r="9101" spans="7:8" ht="15" customHeight="1" x14ac:dyDescent="0.4">
      <c r="G9101" s="27">
        <f t="shared" si="153"/>
        <v>0</v>
      </c>
      <c r="H9101" s="28" t="e">
        <f>VLOOKUP(E9101,'Cadastro Produtos (kiwkiw)'!C:E,3,0)</f>
        <v>#N/A</v>
      </c>
    </row>
    <row r="9102" spans="7:8" ht="15" customHeight="1" x14ac:dyDescent="0.4">
      <c r="G9102" s="27">
        <f t="shared" si="153"/>
        <v>0</v>
      </c>
      <c r="H9102" s="28" t="e">
        <f>VLOOKUP(E9102,'Cadastro Produtos (kiwkiw)'!C:E,3,0)</f>
        <v>#N/A</v>
      </c>
    </row>
    <row r="9103" spans="7:8" ht="15" customHeight="1" x14ac:dyDescent="0.4">
      <c r="G9103" s="27">
        <f t="shared" si="153"/>
        <v>0</v>
      </c>
      <c r="H9103" s="28" t="e">
        <f>VLOOKUP(E9103,'Cadastro Produtos (kiwkiw)'!C:E,3,0)</f>
        <v>#N/A</v>
      </c>
    </row>
    <row r="9104" spans="7:8" ht="15" customHeight="1" x14ac:dyDescent="0.4">
      <c r="G9104" s="27">
        <f t="shared" si="153"/>
        <v>0</v>
      </c>
      <c r="H9104" s="28" t="e">
        <f>VLOOKUP(E9104,'Cadastro Produtos (kiwkiw)'!C:E,3,0)</f>
        <v>#N/A</v>
      </c>
    </row>
    <row r="9105" spans="7:8" ht="15" customHeight="1" x14ac:dyDescent="0.4">
      <c r="G9105" s="27">
        <f t="shared" si="153"/>
        <v>0</v>
      </c>
      <c r="H9105" s="28" t="e">
        <f>VLOOKUP(E9105,'Cadastro Produtos (kiwkiw)'!C:E,3,0)</f>
        <v>#N/A</v>
      </c>
    </row>
    <row r="9106" spans="7:8" ht="15" customHeight="1" x14ac:dyDescent="0.4">
      <c r="G9106" s="27">
        <f t="shared" ref="G9106:G9169" si="154">IF(C9106="Entrada",F9106,-F9106)</f>
        <v>0</v>
      </c>
      <c r="H9106" s="28" t="e">
        <f>VLOOKUP(E9106,'Cadastro Produtos (kiwkiw)'!C:E,3,0)</f>
        <v>#N/A</v>
      </c>
    </row>
    <row r="9107" spans="7:8" ht="15" customHeight="1" x14ac:dyDescent="0.4">
      <c r="G9107" s="27">
        <f t="shared" si="154"/>
        <v>0</v>
      </c>
      <c r="H9107" s="28" t="e">
        <f>VLOOKUP(E9107,'Cadastro Produtos (kiwkiw)'!C:E,3,0)</f>
        <v>#N/A</v>
      </c>
    </row>
    <row r="9108" spans="7:8" ht="15" customHeight="1" x14ac:dyDescent="0.4">
      <c r="G9108" s="27">
        <f t="shared" si="154"/>
        <v>0</v>
      </c>
      <c r="H9108" s="28" t="e">
        <f>VLOOKUP(E9108,'Cadastro Produtos (kiwkiw)'!C:E,3,0)</f>
        <v>#N/A</v>
      </c>
    </row>
    <row r="9109" spans="7:8" ht="15" customHeight="1" x14ac:dyDescent="0.4">
      <c r="G9109" s="27">
        <f t="shared" si="154"/>
        <v>0</v>
      </c>
      <c r="H9109" s="28" t="e">
        <f>VLOOKUP(E9109,'Cadastro Produtos (kiwkiw)'!C:E,3,0)</f>
        <v>#N/A</v>
      </c>
    </row>
    <row r="9110" spans="7:8" ht="15" customHeight="1" x14ac:dyDescent="0.4">
      <c r="G9110" s="27">
        <f t="shared" si="154"/>
        <v>0</v>
      </c>
      <c r="H9110" s="28" t="e">
        <f>VLOOKUP(E9110,'Cadastro Produtos (kiwkiw)'!C:E,3,0)</f>
        <v>#N/A</v>
      </c>
    </row>
    <row r="9111" spans="7:8" ht="15" customHeight="1" x14ac:dyDescent="0.4">
      <c r="G9111" s="27">
        <f t="shared" si="154"/>
        <v>0</v>
      </c>
      <c r="H9111" s="28" t="e">
        <f>VLOOKUP(E9111,'Cadastro Produtos (kiwkiw)'!C:E,3,0)</f>
        <v>#N/A</v>
      </c>
    </row>
    <row r="9112" spans="7:8" ht="15" customHeight="1" x14ac:dyDescent="0.4">
      <c r="G9112" s="27">
        <f t="shared" si="154"/>
        <v>0</v>
      </c>
      <c r="H9112" s="28" t="e">
        <f>VLOOKUP(E9112,'Cadastro Produtos (kiwkiw)'!C:E,3,0)</f>
        <v>#N/A</v>
      </c>
    </row>
    <row r="9113" spans="7:8" ht="15" customHeight="1" x14ac:dyDescent="0.4">
      <c r="G9113" s="27">
        <f t="shared" si="154"/>
        <v>0</v>
      </c>
      <c r="H9113" s="28" t="e">
        <f>VLOOKUP(E9113,'Cadastro Produtos (kiwkiw)'!C:E,3,0)</f>
        <v>#N/A</v>
      </c>
    </row>
    <row r="9114" spans="7:8" ht="15" customHeight="1" x14ac:dyDescent="0.4">
      <c r="G9114" s="27">
        <f t="shared" si="154"/>
        <v>0</v>
      </c>
      <c r="H9114" s="28" t="e">
        <f>VLOOKUP(E9114,'Cadastro Produtos (kiwkiw)'!C:E,3,0)</f>
        <v>#N/A</v>
      </c>
    </row>
    <row r="9115" spans="7:8" ht="15" customHeight="1" x14ac:dyDescent="0.4">
      <c r="G9115" s="27">
        <f t="shared" si="154"/>
        <v>0</v>
      </c>
      <c r="H9115" s="28" t="e">
        <f>VLOOKUP(E9115,'Cadastro Produtos (kiwkiw)'!C:E,3,0)</f>
        <v>#N/A</v>
      </c>
    </row>
    <row r="9116" spans="7:8" ht="15" customHeight="1" x14ac:dyDescent="0.4">
      <c r="G9116" s="27">
        <f t="shared" si="154"/>
        <v>0</v>
      </c>
      <c r="H9116" s="28" t="e">
        <f>VLOOKUP(E9116,'Cadastro Produtos (kiwkiw)'!C:E,3,0)</f>
        <v>#N/A</v>
      </c>
    </row>
    <row r="9117" spans="7:8" ht="15" customHeight="1" x14ac:dyDescent="0.4">
      <c r="G9117" s="27">
        <f t="shared" si="154"/>
        <v>0</v>
      </c>
      <c r="H9117" s="28" t="e">
        <f>VLOOKUP(E9117,'Cadastro Produtos (kiwkiw)'!C:E,3,0)</f>
        <v>#N/A</v>
      </c>
    </row>
    <row r="9118" spans="7:8" ht="15" customHeight="1" x14ac:dyDescent="0.4">
      <c r="G9118" s="27">
        <f t="shared" si="154"/>
        <v>0</v>
      </c>
      <c r="H9118" s="28" t="e">
        <f>VLOOKUP(E9118,'Cadastro Produtos (kiwkiw)'!C:E,3,0)</f>
        <v>#N/A</v>
      </c>
    </row>
    <row r="9119" spans="7:8" ht="15" customHeight="1" x14ac:dyDescent="0.4">
      <c r="G9119" s="27">
        <f t="shared" si="154"/>
        <v>0</v>
      </c>
      <c r="H9119" s="28" t="e">
        <f>VLOOKUP(E9119,'Cadastro Produtos (kiwkiw)'!C:E,3,0)</f>
        <v>#N/A</v>
      </c>
    </row>
    <row r="9120" spans="7:8" ht="15" customHeight="1" x14ac:dyDescent="0.4">
      <c r="G9120" s="27">
        <f t="shared" si="154"/>
        <v>0</v>
      </c>
      <c r="H9120" s="28" t="e">
        <f>VLOOKUP(E9120,'Cadastro Produtos (kiwkiw)'!C:E,3,0)</f>
        <v>#N/A</v>
      </c>
    </row>
    <row r="9121" spans="7:8" ht="15" customHeight="1" x14ac:dyDescent="0.4">
      <c r="G9121" s="27">
        <f t="shared" si="154"/>
        <v>0</v>
      </c>
      <c r="H9121" s="28" t="e">
        <f>VLOOKUP(E9121,'Cadastro Produtos (kiwkiw)'!C:E,3,0)</f>
        <v>#N/A</v>
      </c>
    </row>
    <row r="9122" spans="7:8" ht="15" customHeight="1" x14ac:dyDescent="0.4">
      <c r="G9122" s="27">
        <f t="shared" si="154"/>
        <v>0</v>
      </c>
      <c r="H9122" s="28" t="e">
        <f>VLOOKUP(E9122,'Cadastro Produtos (kiwkiw)'!C:E,3,0)</f>
        <v>#N/A</v>
      </c>
    </row>
    <row r="9123" spans="7:8" ht="15" customHeight="1" x14ac:dyDescent="0.4">
      <c r="G9123" s="27">
        <f t="shared" si="154"/>
        <v>0</v>
      </c>
      <c r="H9123" s="28" t="e">
        <f>VLOOKUP(E9123,'Cadastro Produtos (kiwkiw)'!C:E,3,0)</f>
        <v>#N/A</v>
      </c>
    </row>
    <row r="9124" spans="7:8" ht="15" customHeight="1" x14ac:dyDescent="0.4">
      <c r="G9124" s="27">
        <f t="shared" si="154"/>
        <v>0</v>
      </c>
      <c r="H9124" s="28" t="e">
        <f>VLOOKUP(E9124,'Cadastro Produtos (kiwkiw)'!C:E,3,0)</f>
        <v>#N/A</v>
      </c>
    </row>
    <row r="9125" spans="7:8" ht="15" customHeight="1" x14ac:dyDescent="0.4">
      <c r="G9125" s="27">
        <f t="shared" si="154"/>
        <v>0</v>
      </c>
      <c r="H9125" s="28" t="e">
        <f>VLOOKUP(E9125,'Cadastro Produtos (kiwkiw)'!C:E,3,0)</f>
        <v>#N/A</v>
      </c>
    </row>
    <row r="9126" spans="7:8" ht="15" customHeight="1" x14ac:dyDescent="0.4">
      <c r="G9126" s="27">
        <f t="shared" si="154"/>
        <v>0</v>
      </c>
      <c r="H9126" s="28" t="e">
        <f>VLOOKUP(E9126,'Cadastro Produtos (kiwkiw)'!C:E,3,0)</f>
        <v>#N/A</v>
      </c>
    </row>
    <row r="9127" spans="7:8" ht="15" customHeight="1" x14ac:dyDescent="0.4">
      <c r="G9127" s="27">
        <f t="shared" si="154"/>
        <v>0</v>
      </c>
      <c r="H9127" s="28" t="e">
        <f>VLOOKUP(E9127,'Cadastro Produtos (kiwkiw)'!C:E,3,0)</f>
        <v>#N/A</v>
      </c>
    </row>
    <row r="9128" spans="7:8" ht="15" customHeight="1" x14ac:dyDescent="0.4">
      <c r="G9128" s="27">
        <f t="shared" si="154"/>
        <v>0</v>
      </c>
      <c r="H9128" s="28" t="e">
        <f>VLOOKUP(E9128,'Cadastro Produtos (kiwkiw)'!C:E,3,0)</f>
        <v>#N/A</v>
      </c>
    </row>
    <row r="9129" spans="7:8" ht="15" customHeight="1" x14ac:dyDescent="0.4">
      <c r="G9129" s="27">
        <f t="shared" si="154"/>
        <v>0</v>
      </c>
      <c r="H9129" s="28" t="e">
        <f>VLOOKUP(E9129,'Cadastro Produtos (kiwkiw)'!C:E,3,0)</f>
        <v>#N/A</v>
      </c>
    </row>
    <row r="9130" spans="7:8" ht="15" customHeight="1" x14ac:dyDescent="0.4">
      <c r="G9130" s="27">
        <f t="shared" si="154"/>
        <v>0</v>
      </c>
      <c r="H9130" s="28" t="e">
        <f>VLOOKUP(E9130,'Cadastro Produtos (kiwkiw)'!C:E,3,0)</f>
        <v>#N/A</v>
      </c>
    </row>
    <row r="9131" spans="7:8" ht="15" customHeight="1" x14ac:dyDescent="0.4">
      <c r="G9131" s="27">
        <f t="shared" si="154"/>
        <v>0</v>
      </c>
      <c r="H9131" s="28" t="e">
        <f>VLOOKUP(E9131,'Cadastro Produtos (kiwkiw)'!C:E,3,0)</f>
        <v>#N/A</v>
      </c>
    </row>
    <row r="9132" spans="7:8" ht="15" customHeight="1" x14ac:dyDescent="0.4">
      <c r="G9132" s="27">
        <f t="shared" si="154"/>
        <v>0</v>
      </c>
      <c r="H9132" s="28" t="e">
        <f>VLOOKUP(E9132,'Cadastro Produtos (kiwkiw)'!C:E,3,0)</f>
        <v>#N/A</v>
      </c>
    </row>
    <row r="9133" spans="7:8" ht="15" customHeight="1" x14ac:dyDescent="0.4">
      <c r="G9133" s="27">
        <f t="shared" si="154"/>
        <v>0</v>
      </c>
      <c r="H9133" s="28" t="e">
        <f>VLOOKUP(E9133,'Cadastro Produtos (kiwkiw)'!C:E,3,0)</f>
        <v>#N/A</v>
      </c>
    </row>
    <row r="9134" spans="7:8" ht="15" customHeight="1" x14ac:dyDescent="0.4">
      <c r="G9134" s="27">
        <f t="shared" si="154"/>
        <v>0</v>
      </c>
      <c r="H9134" s="28" t="e">
        <f>VLOOKUP(E9134,'Cadastro Produtos (kiwkiw)'!C:E,3,0)</f>
        <v>#N/A</v>
      </c>
    </row>
    <row r="9135" spans="7:8" ht="15" customHeight="1" x14ac:dyDescent="0.4">
      <c r="G9135" s="27">
        <f t="shared" si="154"/>
        <v>0</v>
      </c>
      <c r="H9135" s="28" t="e">
        <f>VLOOKUP(E9135,'Cadastro Produtos (kiwkiw)'!C:E,3,0)</f>
        <v>#N/A</v>
      </c>
    </row>
    <row r="9136" spans="7:8" ht="15" customHeight="1" x14ac:dyDescent="0.4">
      <c r="G9136" s="27">
        <f t="shared" si="154"/>
        <v>0</v>
      </c>
      <c r="H9136" s="28" t="e">
        <f>VLOOKUP(E9136,'Cadastro Produtos (kiwkiw)'!C:E,3,0)</f>
        <v>#N/A</v>
      </c>
    </row>
    <row r="9137" spans="7:8" ht="15" customHeight="1" x14ac:dyDescent="0.4">
      <c r="G9137" s="27">
        <f t="shared" si="154"/>
        <v>0</v>
      </c>
      <c r="H9137" s="28" t="e">
        <f>VLOOKUP(E9137,'Cadastro Produtos (kiwkiw)'!C:E,3,0)</f>
        <v>#N/A</v>
      </c>
    </row>
    <row r="9138" spans="7:8" ht="15" customHeight="1" x14ac:dyDescent="0.4">
      <c r="G9138" s="27">
        <f t="shared" si="154"/>
        <v>0</v>
      </c>
      <c r="H9138" s="28" t="e">
        <f>VLOOKUP(E9138,'Cadastro Produtos (kiwkiw)'!C:E,3,0)</f>
        <v>#N/A</v>
      </c>
    </row>
    <row r="9139" spans="7:8" ht="15" customHeight="1" x14ac:dyDescent="0.4">
      <c r="G9139" s="27">
        <f t="shared" si="154"/>
        <v>0</v>
      </c>
      <c r="H9139" s="28" t="e">
        <f>VLOOKUP(E9139,'Cadastro Produtos (kiwkiw)'!C:E,3,0)</f>
        <v>#N/A</v>
      </c>
    </row>
    <row r="9140" spans="7:8" ht="15" customHeight="1" x14ac:dyDescent="0.4">
      <c r="G9140" s="27">
        <f t="shared" si="154"/>
        <v>0</v>
      </c>
      <c r="H9140" s="28" t="e">
        <f>VLOOKUP(E9140,'Cadastro Produtos (kiwkiw)'!C:E,3,0)</f>
        <v>#N/A</v>
      </c>
    </row>
    <row r="9141" spans="7:8" ht="15" customHeight="1" x14ac:dyDescent="0.4">
      <c r="G9141" s="27">
        <f t="shared" si="154"/>
        <v>0</v>
      </c>
      <c r="H9141" s="28" t="e">
        <f>VLOOKUP(E9141,'Cadastro Produtos (kiwkiw)'!C:E,3,0)</f>
        <v>#N/A</v>
      </c>
    </row>
    <row r="9142" spans="7:8" ht="15" customHeight="1" x14ac:dyDescent="0.4">
      <c r="G9142" s="27">
        <f t="shared" si="154"/>
        <v>0</v>
      </c>
      <c r="H9142" s="28" t="e">
        <f>VLOOKUP(E9142,'Cadastro Produtos (kiwkiw)'!C:E,3,0)</f>
        <v>#N/A</v>
      </c>
    </row>
    <row r="9143" spans="7:8" ht="15" customHeight="1" x14ac:dyDescent="0.4">
      <c r="G9143" s="27">
        <f t="shared" si="154"/>
        <v>0</v>
      </c>
      <c r="H9143" s="28" t="e">
        <f>VLOOKUP(E9143,'Cadastro Produtos (kiwkiw)'!C:E,3,0)</f>
        <v>#N/A</v>
      </c>
    </row>
    <row r="9144" spans="7:8" ht="15" customHeight="1" x14ac:dyDescent="0.4">
      <c r="G9144" s="27">
        <f t="shared" si="154"/>
        <v>0</v>
      </c>
      <c r="H9144" s="28" t="e">
        <f>VLOOKUP(E9144,'Cadastro Produtos (kiwkiw)'!C:E,3,0)</f>
        <v>#N/A</v>
      </c>
    </row>
    <row r="9145" spans="7:8" ht="15" customHeight="1" x14ac:dyDescent="0.4">
      <c r="G9145" s="27">
        <f t="shared" si="154"/>
        <v>0</v>
      </c>
      <c r="H9145" s="28" t="e">
        <f>VLOOKUP(E9145,'Cadastro Produtos (kiwkiw)'!C:E,3,0)</f>
        <v>#N/A</v>
      </c>
    </row>
    <row r="9146" spans="7:8" ht="15" customHeight="1" x14ac:dyDescent="0.4">
      <c r="G9146" s="27">
        <f t="shared" si="154"/>
        <v>0</v>
      </c>
      <c r="H9146" s="28" t="e">
        <f>VLOOKUP(E9146,'Cadastro Produtos (kiwkiw)'!C:E,3,0)</f>
        <v>#N/A</v>
      </c>
    </row>
    <row r="9147" spans="7:8" ht="15" customHeight="1" x14ac:dyDescent="0.4">
      <c r="G9147" s="27">
        <f t="shared" si="154"/>
        <v>0</v>
      </c>
      <c r="H9147" s="28" t="e">
        <f>VLOOKUP(E9147,'Cadastro Produtos (kiwkiw)'!C:E,3,0)</f>
        <v>#N/A</v>
      </c>
    </row>
    <row r="9148" spans="7:8" ht="15" customHeight="1" x14ac:dyDescent="0.4">
      <c r="G9148" s="27">
        <f t="shared" si="154"/>
        <v>0</v>
      </c>
      <c r="H9148" s="28" t="e">
        <f>VLOOKUP(E9148,'Cadastro Produtos (kiwkiw)'!C:E,3,0)</f>
        <v>#N/A</v>
      </c>
    </row>
    <row r="9149" spans="7:8" ht="15" customHeight="1" x14ac:dyDescent="0.4">
      <c r="G9149" s="27">
        <f t="shared" si="154"/>
        <v>0</v>
      </c>
      <c r="H9149" s="28" t="e">
        <f>VLOOKUP(E9149,'Cadastro Produtos (kiwkiw)'!C:E,3,0)</f>
        <v>#N/A</v>
      </c>
    </row>
    <row r="9150" spans="7:8" ht="15" customHeight="1" x14ac:dyDescent="0.4">
      <c r="G9150" s="27">
        <f t="shared" si="154"/>
        <v>0</v>
      </c>
      <c r="H9150" s="28" t="e">
        <f>VLOOKUP(E9150,'Cadastro Produtos (kiwkiw)'!C:E,3,0)</f>
        <v>#N/A</v>
      </c>
    </row>
    <row r="9151" spans="7:8" ht="15" customHeight="1" x14ac:dyDescent="0.4">
      <c r="G9151" s="27">
        <f t="shared" si="154"/>
        <v>0</v>
      </c>
      <c r="H9151" s="28" t="e">
        <f>VLOOKUP(E9151,'Cadastro Produtos (kiwkiw)'!C:E,3,0)</f>
        <v>#N/A</v>
      </c>
    </row>
    <row r="9152" spans="7:8" ht="15" customHeight="1" x14ac:dyDescent="0.4">
      <c r="G9152" s="27">
        <f t="shared" si="154"/>
        <v>0</v>
      </c>
      <c r="H9152" s="28" t="e">
        <f>VLOOKUP(E9152,'Cadastro Produtos (kiwkiw)'!C:E,3,0)</f>
        <v>#N/A</v>
      </c>
    </row>
    <row r="9153" spans="7:8" ht="15" customHeight="1" x14ac:dyDescent="0.4">
      <c r="G9153" s="27">
        <f t="shared" si="154"/>
        <v>0</v>
      </c>
      <c r="H9153" s="28" t="e">
        <f>VLOOKUP(E9153,'Cadastro Produtos (kiwkiw)'!C:E,3,0)</f>
        <v>#N/A</v>
      </c>
    </row>
    <row r="9154" spans="7:8" ht="15" customHeight="1" x14ac:dyDescent="0.4">
      <c r="G9154" s="27">
        <f t="shared" si="154"/>
        <v>0</v>
      </c>
      <c r="H9154" s="28" t="e">
        <f>VLOOKUP(E9154,'Cadastro Produtos (kiwkiw)'!C:E,3,0)</f>
        <v>#N/A</v>
      </c>
    </row>
    <row r="9155" spans="7:8" ht="15" customHeight="1" x14ac:dyDescent="0.4">
      <c r="G9155" s="27">
        <f t="shared" si="154"/>
        <v>0</v>
      </c>
      <c r="H9155" s="28" t="e">
        <f>VLOOKUP(E9155,'Cadastro Produtos (kiwkiw)'!C:E,3,0)</f>
        <v>#N/A</v>
      </c>
    </row>
    <row r="9156" spans="7:8" ht="15" customHeight="1" x14ac:dyDescent="0.4">
      <c r="G9156" s="27">
        <f t="shared" si="154"/>
        <v>0</v>
      </c>
      <c r="H9156" s="28" t="e">
        <f>VLOOKUP(E9156,'Cadastro Produtos (kiwkiw)'!C:E,3,0)</f>
        <v>#N/A</v>
      </c>
    </row>
    <row r="9157" spans="7:8" ht="15" customHeight="1" x14ac:dyDescent="0.4">
      <c r="G9157" s="27">
        <f t="shared" si="154"/>
        <v>0</v>
      </c>
      <c r="H9157" s="28" t="e">
        <f>VLOOKUP(E9157,'Cadastro Produtos (kiwkiw)'!C:E,3,0)</f>
        <v>#N/A</v>
      </c>
    </row>
    <row r="9158" spans="7:8" ht="15" customHeight="1" x14ac:dyDescent="0.4">
      <c r="G9158" s="27">
        <f t="shared" si="154"/>
        <v>0</v>
      </c>
      <c r="H9158" s="28" t="e">
        <f>VLOOKUP(E9158,'Cadastro Produtos (kiwkiw)'!C:E,3,0)</f>
        <v>#N/A</v>
      </c>
    </row>
    <row r="9159" spans="7:8" ht="15" customHeight="1" x14ac:dyDescent="0.4">
      <c r="G9159" s="27">
        <f t="shared" si="154"/>
        <v>0</v>
      </c>
      <c r="H9159" s="28" t="e">
        <f>VLOOKUP(E9159,'Cadastro Produtos (kiwkiw)'!C:E,3,0)</f>
        <v>#N/A</v>
      </c>
    </row>
    <row r="9160" spans="7:8" ht="15" customHeight="1" x14ac:dyDescent="0.4">
      <c r="G9160" s="27">
        <f t="shared" si="154"/>
        <v>0</v>
      </c>
      <c r="H9160" s="28" t="e">
        <f>VLOOKUP(E9160,'Cadastro Produtos (kiwkiw)'!C:E,3,0)</f>
        <v>#N/A</v>
      </c>
    </row>
    <row r="9161" spans="7:8" ht="15" customHeight="1" x14ac:dyDescent="0.4">
      <c r="G9161" s="27">
        <f t="shared" si="154"/>
        <v>0</v>
      </c>
      <c r="H9161" s="28" t="e">
        <f>VLOOKUP(E9161,'Cadastro Produtos (kiwkiw)'!C:E,3,0)</f>
        <v>#N/A</v>
      </c>
    </row>
    <row r="9162" spans="7:8" ht="15" customHeight="1" x14ac:dyDescent="0.4">
      <c r="G9162" s="27">
        <f t="shared" si="154"/>
        <v>0</v>
      </c>
      <c r="H9162" s="28" t="e">
        <f>VLOOKUP(E9162,'Cadastro Produtos (kiwkiw)'!C:E,3,0)</f>
        <v>#N/A</v>
      </c>
    </row>
    <row r="9163" spans="7:8" ht="15" customHeight="1" x14ac:dyDescent="0.4">
      <c r="G9163" s="27">
        <f t="shared" si="154"/>
        <v>0</v>
      </c>
      <c r="H9163" s="28" t="e">
        <f>VLOOKUP(E9163,'Cadastro Produtos (kiwkiw)'!C:E,3,0)</f>
        <v>#N/A</v>
      </c>
    </row>
    <row r="9164" spans="7:8" ht="15" customHeight="1" x14ac:dyDescent="0.4">
      <c r="G9164" s="27">
        <f t="shared" si="154"/>
        <v>0</v>
      </c>
      <c r="H9164" s="28" t="e">
        <f>VLOOKUP(E9164,'Cadastro Produtos (kiwkiw)'!C:E,3,0)</f>
        <v>#N/A</v>
      </c>
    </row>
    <row r="9165" spans="7:8" ht="15" customHeight="1" x14ac:dyDescent="0.4">
      <c r="G9165" s="27">
        <f t="shared" si="154"/>
        <v>0</v>
      </c>
      <c r="H9165" s="28" t="e">
        <f>VLOOKUP(E9165,'Cadastro Produtos (kiwkiw)'!C:E,3,0)</f>
        <v>#N/A</v>
      </c>
    </row>
    <row r="9166" spans="7:8" ht="15" customHeight="1" x14ac:dyDescent="0.4">
      <c r="G9166" s="27">
        <f t="shared" si="154"/>
        <v>0</v>
      </c>
      <c r="H9166" s="28" t="e">
        <f>VLOOKUP(E9166,'Cadastro Produtos (kiwkiw)'!C:E,3,0)</f>
        <v>#N/A</v>
      </c>
    </row>
    <row r="9167" spans="7:8" ht="15" customHeight="1" x14ac:dyDescent="0.4">
      <c r="G9167" s="27">
        <f t="shared" si="154"/>
        <v>0</v>
      </c>
      <c r="H9167" s="28" t="e">
        <f>VLOOKUP(E9167,'Cadastro Produtos (kiwkiw)'!C:E,3,0)</f>
        <v>#N/A</v>
      </c>
    </row>
    <row r="9168" spans="7:8" ht="15" customHeight="1" x14ac:dyDescent="0.4">
      <c r="G9168" s="27">
        <f t="shared" si="154"/>
        <v>0</v>
      </c>
      <c r="H9168" s="28" t="e">
        <f>VLOOKUP(E9168,'Cadastro Produtos (kiwkiw)'!C:E,3,0)</f>
        <v>#N/A</v>
      </c>
    </row>
    <row r="9169" spans="7:8" ht="15" customHeight="1" x14ac:dyDescent="0.4">
      <c r="G9169" s="27">
        <f t="shared" si="154"/>
        <v>0</v>
      </c>
      <c r="H9169" s="28" t="e">
        <f>VLOOKUP(E9169,'Cadastro Produtos (kiwkiw)'!C:E,3,0)</f>
        <v>#N/A</v>
      </c>
    </row>
    <row r="9170" spans="7:8" ht="15" customHeight="1" x14ac:dyDescent="0.4">
      <c r="G9170" s="27">
        <f t="shared" ref="G9170:G9233" si="155">IF(C9170="Entrada",F9170,-F9170)</f>
        <v>0</v>
      </c>
      <c r="H9170" s="28" t="e">
        <f>VLOOKUP(E9170,'Cadastro Produtos (kiwkiw)'!C:E,3,0)</f>
        <v>#N/A</v>
      </c>
    </row>
    <row r="9171" spans="7:8" ht="15" customHeight="1" x14ac:dyDescent="0.4">
      <c r="G9171" s="27">
        <f t="shared" si="155"/>
        <v>0</v>
      </c>
      <c r="H9171" s="28" t="e">
        <f>VLOOKUP(E9171,'Cadastro Produtos (kiwkiw)'!C:E,3,0)</f>
        <v>#N/A</v>
      </c>
    </row>
    <row r="9172" spans="7:8" ht="15" customHeight="1" x14ac:dyDescent="0.4">
      <c r="G9172" s="27">
        <f t="shared" si="155"/>
        <v>0</v>
      </c>
      <c r="H9172" s="28" t="e">
        <f>VLOOKUP(E9172,'Cadastro Produtos (kiwkiw)'!C:E,3,0)</f>
        <v>#N/A</v>
      </c>
    </row>
    <row r="9173" spans="7:8" ht="15" customHeight="1" x14ac:dyDescent="0.4">
      <c r="G9173" s="27">
        <f t="shared" si="155"/>
        <v>0</v>
      </c>
      <c r="H9173" s="28" t="e">
        <f>VLOOKUP(E9173,'Cadastro Produtos (kiwkiw)'!C:E,3,0)</f>
        <v>#N/A</v>
      </c>
    </row>
    <row r="9174" spans="7:8" ht="15" customHeight="1" x14ac:dyDescent="0.4">
      <c r="G9174" s="27">
        <f t="shared" si="155"/>
        <v>0</v>
      </c>
      <c r="H9174" s="28" t="e">
        <f>VLOOKUP(E9174,'Cadastro Produtos (kiwkiw)'!C:E,3,0)</f>
        <v>#N/A</v>
      </c>
    </row>
    <row r="9175" spans="7:8" ht="15" customHeight="1" x14ac:dyDescent="0.4">
      <c r="G9175" s="27">
        <f t="shared" si="155"/>
        <v>0</v>
      </c>
      <c r="H9175" s="28" t="e">
        <f>VLOOKUP(E9175,'Cadastro Produtos (kiwkiw)'!C:E,3,0)</f>
        <v>#N/A</v>
      </c>
    </row>
    <row r="9176" spans="7:8" ht="15" customHeight="1" x14ac:dyDescent="0.4">
      <c r="G9176" s="27">
        <f t="shared" si="155"/>
        <v>0</v>
      </c>
      <c r="H9176" s="28" t="e">
        <f>VLOOKUP(E9176,'Cadastro Produtos (kiwkiw)'!C:E,3,0)</f>
        <v>#N/A</v>
      </c>
    </row>
    <row r="9177" spans="7:8" ht="15" customHeight="1" x14ac:dyDescent="0.4">
      <c r="G9177" s="27">
        <f t="shared" si="155"/>
        <v>0</v>
      </c>
      <c r="H9177" s="28" t="e">
        <f>VLOOKUP(E9177,'Cadastro Produtos (kiwkiw)'!C:E,3,0)</f>
        <v>#N/A</v>
      </c>
    </row>
    <row r="9178" spans="7:8" ht="15" customHeight="1" x14ac:dyDescent="0.4">
      <c r="G9178" s="27">
        <f t="shared" si="155"/>
        <v>0</v>
      </c>
      <c r="H9178" s="28" t="e">
        <f>VLOOKUP(E9178,'Cadastro Produtos (kiwkiw)'!C:E,3,0)</f>
        <v>#N/A</v>
      </c>
    </row>
    <row r="9179" spans="7:8" ht="15" customHeight="1" x14ac:dyDescent="0.4">
      <c r="G9179" s="27">
        <f t="shared" si="155"/>
        <v>0</v>
      </c>
      <c r="H9179" s="28" t="e">
        <f>VLOOKUP(E9179,'Cadastro Produtos (kiwkiw)'!C:E,3,0)</f>
        <v>#N/A</v>
      </c>
    </row>
    <row r="9180" spans="7:8" ht="15" customHeight="1" x14ac:dyDescent="0.4">
      <c r="G9180" s="27">
        <f t="shared" si="155"/>
        <v>0</v>
      </c>
      <c r="H9180" s="28" t="e">
        <f>VLOOKUP(E9180,'Cadastro Produtos (kiwkiw)'!C:E,3,0)</f>
        <v>#N/A</v>
      </c>
    </row>
    <row r="9181" spans="7:8" ht="15" customHeight="1" x14ac:dyDescent="0.4">
      <c r="G9181" s="27">
        <f t="shared" si="155"/>
        <v>0</v>
      </c>
      <c r="H9181" s="28" t="e">
        <f>VLOOKUP(E9181,'Cadastro Produtos (kiwkiw)'!C:E,3,0)</f>
        <v>#N/A</v>
      </c>
    </row>
    <row r="9182" spans="7:8" ht="15" customHeight="1" x14ac:dyDescent="0.4">
      <c r="G9182" s="27">
        <f t="shared" si="155"/>
        <v>0</v>
      </c>
      <c r="H9182" s="28" t="e">
        <f>VLOOKUP(E9182,'Cadastro Produtos (kiwkiw)'!C:E,3,0)</f>
        <v>#N/A</v>
      </c>
    </row>
    <row r="9183" spans="7:8" ht="15" customHeight="1" x14ac:dyDescent="0.4">
      <c r="G9183" s="27">
        <f t="shared" si="155"/>
        <v>0</v>
      </c>
      <c r="H9183" s="28" t="e">
        <f>VLOOKUP(E9183,'Cadastro Produtos (kiwkiw)'!C:E,3,0)</f>
        <v>#N/A</v>
      </c>
    </row>
    <row r="9184" spans="7:8" ht="15" customHeight="1" x14ac:dyDescent="0.4">
      <c r="G9184" s="27">
        <f t="shared" si="155"/>
        <v>0</v>
      </c>
      <c r="H9184" s="28" t="e">
        <f>VLOOKUP(E9184,'Cadastro Produtos (kiwkiw)'!C:E,3,0)</f>
        <v>#N/A</v>
      </c>
    </row>
    <row r="9185" spans="7:8" ht="15" customHeight="1" x14ac:dyDescent="0.4">
      <c r="G9185" s="27">
        <f t="shared" si="155"/>
        <v>0</v>
      </c>
      <c r="H9185" s="28" t="e">
        <f>VLOOKUP(E9185,'Cadastro Produtos (kiwkiw)'!C:E,3,0)</f>
        <v>#N/A</v>
      </c>
    </row>
    <row r="9186" spans="7:8" ht="15" customHeight="1" x14ac:dyDescent="0.4">
      <c r="G9186" s="27">
        <f t="shared" si="155"/>
        <v>0</v>
      </c>
      <c r="H9186" s="28" t="e">
        <f>VLOOKUP(E9186,'Cadastro Produtos (kiwkiw)'!C:E,3,0)</f>
        <v>#N/A</v>
      </c>
    </row>
    <row r="9187" spans="7:8" ht="15" customHeight="1" x14ac:dyDescent="0.4">
      <c r="G9187" s="27">
        <f t="shared" si="155"/>
        <v>0</v>
      </c>
      <c r="H9187" s="28" t="e">
        <f>VLOOKUP(E9187,'Cadastro Produtos (kiwkiw)'!C:E,3,0)</f>
        <v>#N/A</v>
      </c>
    </row>
    <row r="9188" spans="7:8" ht="15" customHeight="1" x14ac:dyDescent="0.4">
      <c r="G9188" s="27">
        <f t="shared" si="155"/>
        <v>0</v>
      </c>
      <c r="H9188" s="28" t="e">
        <f>VLOOKUP(E9188,'Cadastro Produtos (kiwkiw)'!C:E,3,0)</f>
        <v>#N/A</v>
      </c>
    </row>
    <row r="9189" spans="7:8" ht="15" customHeight="1" x14ac:dyDescent="0.4">
      <c r="G9189" s="27">
        <f t="shared" si="155"/>
        <v>0</v>
      </c>
      <c r="H9189" s="28" t="e">
        <f>VLOOKUP(E9189,'Cadastro Produtos (kiwkiw)'!C:E,3,0)</f>
        <v>#N/A</v>
      </c>
    </row>
    <row r="9190" spans="7:8" ht="15" customHeight="1" x14ac:dyDescent="0.4">
      <c r="G9190" s="27">
        <f t="shared" si="155"/>
        <v>0</v>
      </c>
      <c r="H9190" s="28" t="e">
        <f>VLOOKUP(E9190,'Cadastro Produtos (kiwkiw)'!C:E,3,0)</f>
        <v>#N/A</v>
      </c>
    </row>
    <row r="9191" spans="7:8" ht="15" customHeight="1" x14ac:dyDescent="0.4">
      <c r="G9191" s="27">
        <f t="shared" si="155"/>
        <v>0</v>
      </c>
      <c r="H9191" s="28" t="e">
        <f>VLOOKUP(E9191,'Cadastro Produtos (kiwkiw)'!C:E,3,0)</f>
        <v>#N/A</v>
      </c>
    </row>
    <row r="9192" spans="7:8" ht="15" customHeight="1" x14ac:dyDescent="0.4">
      <c r="G9192" s="27">
        <f t="shared" si="155"/>
        <v>0</v>
      </c>
      <c r="H9192" s="28" t="e">
        <f>VLOOKUP(E9192,'Cadastro Produtos (kiwkiw)'!C:E,3,0)</f>
        <v>#N/A</v>
      </c>
    </row>
    <row r="9193" spans="7:8" ht="15" customHeight="1" x14ac:dyDescent="0.4">
      <c r="G9193" s="27">
        <f t="shared" si="155"/>
        <v>0</v>
      </c>
      <c r="H9193" s="28" t="e">
        <f>VLOOKUP(E9193,'Cadastro Produtos (kiwkiw)'!C:E,3,0)</f>
        <v>#N/A</v>
      </c>
    </row>
    <row r="9194" spans="7:8" ht="15" customHeight="1" x14ac:dyDescent="0.4">
      <c r="G9194" s="27">
        <f t="shared" si="155"/>
        <v>0</v>
      </c>
      <c r="H9194" s="28" t="e">
        <f>VLOOKUP(E9194,'Cadastro Produtos (kiwkiw)'!C:E,3,0)</f>
        <v>#N/A</v>
      </c>
    </row>
    <row r="9195" spans="7:8" ht="15" customHeight="1" x14ac:dyDescent="0.4">
      <c r="G9195" s="27">
        <f t="shared" si="155"/>
        <v>0</v>
      </c>
      <c r="H9195" s="28" t="e">
        <f>VLOOKUP(E9195,'Cadastro Produtos (kiwkiw)'!C:E,3,0)</f>
        <v>#N/A</v>
      </c>
    </row>
    <row r="9196" spans="7:8" ht="15" customHeight="1" x14ac:dyDescent="0.4">
      <c r="G9196" s="27">
        <f t="shared" si="155"/>
        <v>0</v>
      </c>
      <c r="H9196" s="28" t="e">
        <f>VLOOKUP(E9196,'Cadastro Produtos (kiwkiw)'!C:E,3,0)</f>
        <v>#N/A</v>
      </c>
    </row>
    <row r="9197" spans="7:8" ht="15" customHeight="1" x14ac:dyDescent="0.4">
      <c r="G9197" s="27">
        <f t="shared" si="155"/>
        <v>0</v>
      </c>
      <c r="H9197" s="28" t="e">
        <f>VLOOKUP(E9197,'Cadastro Produtos (kiwkiw)'!C:E,3,0)</f>
        <v>#N/A</v>
      </c>
    </row>
    <row r="9198" spans="7:8" ht="15" customHeight="1" x14ac:dyDescent="0.4">
      <c r="G9198" s="27">
        <f t="shared" si="155"/>
        <v>0</v>
      </c>
      <c r="H9198" s="28" t="e">
        <f>VLOOKUP(E9198,'Cadastro Produtos (kiwkiw)'!C:E,3,0)</f>
        <v>#N/A</v>
      </c>
    </row>
    <row r="9199" spans="7:8" ht="15" customHeight="1" x14ac:dyDescent="0.4">
      <c r="G9199" s="27">
        <f t="shared" si="155"/>
        <v>0</v>
      </c>
      <c r="H9199" s="28" t="e">
        <f>VLOOKUP(E9199,'Cadastro Produtos (kiwkiw)'!C:E,3,0)</f>
        <v>#N/A</v>
      </c>
    </row>
    <row r="9200" spans="7:8" ht="15" customHeight="1" x14ac:dyDescent="0.4">
      <c r="G9200" s="27">
        <f t="shared" si="155"/>
        <v>0</v>
      </c>
      <c r="H9200" s="28" t="e">
        <f>VLOOKUP(E9200,'Cadastro Produtos (kiwkiw)'!C:E,3,0)</f>
        <v>#N/A</v>
      </c>
    </row>
    <row r="9201" spans="7:8" ht="15" customHeight="1" x14ac:dyDescent="0.4">
      <c r="G9201" s="27">
        <f t="shared" si="155"/>
        <v>0</v>
      </c>
      <c r="H9201" s="28" t="e">
        <f>VLOOKUP(E9201,'Cadastro Produtos (kiwkiw)'!C:E,3,0)</f>
        <v>#N/A</v>
      </c>
    </row>
    <row r="9202" spans="7:8" ht="15" customHeight="1" x14ac:dyDescent="0.4">
      <c r="G9202" s="27">
        <f t="shared" si="155"/>
        <v>0</v>
      </c>
      <c r="H9202" s="28" t="e">
        <f>VLOOKUP(E9202,'Cadastro Produtos (kiwkiw)'!C:E,3,0)</f>
        <v>#N/A</v>
      </c>
    </row>
    <row r="9203" spans="7:8" ht="15" customHeight="1" x14ac:dyDescent="0.4">
      <c r="G9203" s="27">
        <f t="shared" si="155"/>
        <v>0</v>
      </c>
      <c r="H9203" s="28" t="e">
        <f>VLOOKUP(E9203,'Cadastro Produtos (kiwkiw)'!C:E,3,0)</f>
        <v>#N/A</v>
      </c>
    </row>
    <row r="9204" spans="7:8" ht="15" customHeight="1" x14ac:dyDescent="0.4">
      <c r="G9204" s="27">
        <f t="shared" si="155"/>
        <v>0</v>
      </c>
      <c r="H9204" s="28" t="e">
        <f>VLOOKUP(E9204,'Cadastro Produtos (kiwkiw)'!C:E,3,0)</f>
        <v>#N/A</v>
      </c>
    </row>
    <row r="9205" spans="7:8" ht="15" customHeight="1" x14ac:dyDescent="0.4">
      <c r="G9205" s="27">
        <f t="shared" si="155"/>
        <v>0</v>
      </c>
      <c r="H9205" s="28" t="e">
        <f>VLOOKUP(E9205,'Cadastro Produtos (kiwkiw)'!C:E,3,0)</f>
        <v>#N/A</v>
      </c>
    </row>
    <row r="9206" spans="7:8" ht="15" customHeight="1" x14ac:dyDescent="0.4">
      <c r="G9206" s="27">
        <f t="shared" si="155"/>
        <v>0</v>
      </c>
      <c r="H9206" s="28" t="e">
        <f>VLOOKUP(E9206,'Cadastro Produtos (kiwkiw)'!C:E,3,0)</f>
        <v>#N/A</v>
      </c>
    </row>
    <row r="9207" spans="7:8" ht="15" customHeight="1" x14ac:dyDescent="0.4">
      <c r="G9207" s="27">
        <f t="shared" si="155"/>
        <v>0</v>
      </c>
      <c r="H9207" s="28" t="e">
        <f>VLOOKUP(E9207,'Cadastro Produtos (kiwkiw)'!C:E,3,0)</f>
        <v>#N/A</v>
      </c>
    </row>
    <row r="9208" spans="7:8" ht="15" customHeight="1" x14ac:dyDescent="0.4">
      <c r="G9208" s="27">
        <f t="shared" si="155"/>
        <v>0</v>
      </c>
      <c r="H9208" s="28" t="e">
        <f>VLOOKUP(E9208,'Cadastro Produtos (kiwkiw)'!C:E,3,0)</f>
        <v>#N/A</v>
      </c>
    </row>
    <row r="9209" spans="7:8" ht="15" customHeight="1" x14ac:dyDescent="0.4">
      <c r="G9209" s="27">
        <f t="shared" si="155"/>
        <v>0</v>
      </c>
      <c r="H9209" s="28" t="e">
        <f>VLOOKUP(E9209,'Cadastro Produtos (kiwkiw)'!C:E,3,0)</f>
        <v>#N/A</v>
      </c>
    </row>
    <row r="9210" spans="7:8" ht="15" customHeight="1" x14ac:dyDescent="0.4">
      <c r="G9210" s="27">
        <f t="shared" si="155"/>
        <v>0</v>
      </c>
      <c r="H9210" s="28" t="e">
        <f>VLOOKUP(E9210,'Cadastro Produtos (kiwkiw)'!C:E,3,0)</f>
        <v>#N/A</v>
      </c>
    </row>
    <row r="9211" spans="7:8" ht="15" customHeight="1" x14ac:dyDescent="0.4">
      <c r="G9211" s="27">
        <f t="shared" si="155"/>
        <v>0</v>
      </c>
      <c r="H9211" s="28" t="e">
        <f>VLOOKUP(E9211,'Cadastro Produtos (kiwkiw)'!C:E,3,0)</f>
        <v>#N/A</v>
      </c>
    </row>
    <row r="9212" spans="7:8" ht="15" customHeight="1" x14ac:dyDescent="0.4">
      <c r="G9212" s="27">
        <f t="shared" si="155"/>
        <v>0</v>
      </c>
      <c r="H9212" s="28" t="e">
        <f>VLOOKUP(E9212,'Cadastro Produtos (kiwkiw)'!C:E,3,0)</f>
        <v>#N/A</v>
      </c>
    </row>
    <row r="9213" spans="7:8" ht="15" customHeight="1" x14ac:dyDescent="0.4">
      <c r="G9213" s="27">
        <f t="shared" si="155"/>
        <v>0</v>
      </c>
      <c r="H9213" s="28" t="e">
        <f>VLOOKUP(E9213,'Cadastro Produtos (kiwkiw)'!C:E,3,0)</f>
        <v>#N/A</v>
      </c>
    </row>
    <row r="9214" spans="7:8" ht="15" customHeight="1" x14ac:dyDescent="0.4">
      <c r="G9214" s="27">
        <f t="shared" si="155"/>
        <v>0</v>
      </c>
      <c r="H9214" s="28" t="e">
        <f>VLOOKUP(E9214,'Cadastro Produtos (kiwkiw)'!C:E,3,0)</f>
        <v>#N/A</v>
      </c>
    </row>
    <row r="9215" spans="7:8" ht="15" customHeight="1" x14ac:dyDescent="0.4">
      <c r="G9215" s="27">
        <f t="shared" si="155"/>
        <v>0</v>
      </c>
      <c r="H9215" s="28" t="e">
        <f>VLOOKUP(E9215,'Cadastro Produtos (kiwkiw)'!C:E,3,0)</f>
        <v>#N/A</v>
      </c>
    </row>
    <row r="9216" spans="7:8" ht="15" customHeight="1" x14ac:dyDescent="0.4">
      <c r="G9216" s="27">
        <f t="shared" si="155"/>
        <v>0</v>
      </c>
      <c r="H9216" s="28" t="e">
        <f>VLOOKUP(E9216,'Cadastro Produtos (kiwkiw)'!C:E,3,0)</f>
        <v>#N/A</v>
      </c>
    </row>
    <row r="9217" spans="7:8" ht="15" customHeight="1" x14ac:dyDescent="0.4">
      <c r="G9217" s="27">
        <f t="shared" si="155"/>
        <v>0</v>
      </c>
      <c r="H9217" s="28" t="e">
        <f>VLOOKUP(E9217,'Cadastro Produtos (kiwkiw)'!C:E,3,0)</f>
        <v>#N/A</v>
      </c>
    </row>
    <row r="9218" spans="7:8" ht="15" customHeight="1" x14ac:dyDescent="0.4">
      <c r="G9218" s="27">
        <f t="shared" si="155"/>
        <v>0</v>
      </c>
      <c r="H9218" s="28" t="e">
        <f>VLOOKUP(E9218,'Cadastro Produtos (kiwkiw)'!C:E,3,0)</f>
        <v>#N/A</v>
      </c>
    </row>
    <row r="9219" spans="7:8" ht="15" customHeight="1" x14ac:dyDescent="0.4">
      <c r="G9219" s="27">
        <f t="shared" si="155"/>
        <v>0</v>
      </c>
      <c r="H9219" s="28" t="e">
        <f>VLOOKUP(E9219,'Cadastro Produtos (kiwkiw)'!C:E,3,0)</f>
        <v>#N/A</v>
      </c>
    </row>
    <row r="9220" spans="7:8" ht="15" customHeight="1" x14ac:dyDescent="0.4">
      <c r="G9220" s="27">
        <f t="shared" si="155"/>
        <v>0</v>
      </c>
      <c r="H9220" s="28" t="e">
        <f>VLOOKUP(E9220,'Cadastro Produtos (kiwkiw)'!C:E,3,0)</f>
        <v>#N/A</v>
      </c>
    </row>
    <row r="9221" spans="7:8" ht="15" customHeight="1" x14ac:dyDescent="0.4">
      <c r="G9221" s="27">
        <f t="shared" si="155"/>
        <v>0</v>
      </c>
      <c r="H9221" s="28" t="e">
        <f>VLOOKUP(E9221,'Cadastro Produtos (kiwkiw)'!C:E,3,0)</f>
        <v>#N/A</v>
      </c>
    </row>
    <row r="9222" spans="7:8" ht="15" customHeight="1" x14ac:dyDescent="0.4">
      <c r="G9222" s="27">
        <f t="shared" si="155"/>
        <v>0</v>
      </c>
      <c r="H9222" s="28" t="e">
        <f>VLOOKUP(E9222,'Cadastro Produtos (kiwkiw)'!C:E,3,0)</f>
        <v>#N/A</v>
      </c>
    </row>
    <row r="9223" spans="7:8" ht="15" customHeight="1" x14ac:dyDescent="0.4">
      <c r="G9223" s="27">
        <f t="shared" si="155"/>
        <v>0</v>
      </c>
      <c r="H9223" s="28" t="e">
        <f>VLOOKUP(E9223,'Cadastro Produtos (kiwkiw)'!C:E,3,0)</f>
        <v>#N/A</v>
      </c>
    </row>
    <row r="9224" spans="7:8" ht="15" customHeight="1" x14ac:dyDescent="0.4">
      <c r="G9224" s="27">
        <f t="shared" si="155"/>
        <v>0</v>
      </c>
      <c r="H9224" s="28" t="e">
        <f>VLOOKUP(E9224,'Cadastro Produtos (kiwkiw)'!C:E,3,0)</f>
        <v>#N/A</v>
      </c>
    </row>
    <row r="9225" spans="7:8" ht="15" customHeight="1" x14ac:dyDescent="0.4">
      <c r="G9225" s="27">
        <f t="shared" si="155"/>
        <v>0</v>
      </c>
      <c r="H9225" s="28" t="e">
        <f>VLOOKUP(E9225,'Cadastro Produtos (kiwkiw)'!C:E,3,0)</f>
        <v>#N/A</v>
      </c>
    </row>
    <row r="9226" spans="7:8" ht="15" customHeight="1" x14ac:dyDescent="0.4">
      <c r="G9226" s="27">
        <f t="shared" si="155"/>
        <v>0</v>
      </c>
      <c r="H9226" s="28" t="e">
        <f>VLOOKUP(E9226,'Cadastro Produtos (kiwkiw)'!C:E,3,0)</f>
        <v>#N/A</v>
      </c>
    </row>
    <row r="9227" spans="7:8" ht="15" customHeight="1" x14ac:dyDescent="0.4">
      <c r="G9227" s="27">
        <f t="shared" si="155"/>
        <v>0</v>
      </c>
      <c r="H9227" s="28" t="e">
        <f>VLOOKUP(E9227,'Cadastro Produtos (kiwkiw)'!C:E,3,0)</f>
        <v>#N/A</v>
      </c>
    </row>
    <row r="9228" spans="7:8" ht="15" customHeight="1" x14ac:dyDescent="0.4">
      <c r="G9228" s="27">
        <f t="shared" si="155"/>
        <v>0</v>
      </c>
      <c r="H9228" s="28" t="e">
        <f>VLOOKUP(E9228,'Cadastro Produtos (kiwkiw)'!C:E,3,0)</f>
        <v>#N/A</v>
      </c>
    </row>
    <row r="9229" spans="7:8" ht="15" customHeight="1" x14ac:dyDescent="0.4">
      <c r="G9229" s="27">
        <f t="shared" si="155"/>
        <v>0</v>
      </c>
      <c r="H9229" s="28" t="e">
        <f>VLOOKUP(E9229,'Cadastro Produtos (kiwkiw)'!C:E,3,0)</f>
        <v>#N/A</v>
      </c>
    </row>
    <row r="9230" spans="7:8" ht="15" customHeight="1" x14ac:dyDescent="0.4">
      <c r="G9230" s="27">
        <f t="shared" si="155"/>
        <v>0</v>
      </c>
      <c r="H9230" s="28" t="e">
        <f>VLOOKUP(E9230,'Cadastro Produtos (kiwkiw)'!C:E,3,0)</f>
        <v>#N/A</v>
      </c>
    </row>
    <row r="9231" spans="7:8" ht="15" customHeight="1" x14ac:dyDescent="0.4">
      <c r="G9231" s="27">
        <f t="shared" si="155"/>
        <v>0</v>
      </c>
      <c r="H9231" s="28" t="e">
        <f>VLOOKUP(E9231,'Cadastro Produtos (kiwkiw)'!C:E,3,0)</f>
        <v>#N/A</v>
      </c>
    </row>
    <row r="9232" spans="7:8" ht="15" customHeight="1" x14ac:dyDescent="0.4">
      <c r="G9232" s="27">
        <f t="shared" si="155"/>
        <v>0</v>
      </c>
      <c r="H9232" s="28" t="e">
        <f>VLOOKUP(E9232,'Cadastro Produtos (kiwkiw)'!C:E,3,0)</f>
        <v>#N/A</v>
      </c>
    </row>
    <row r="9233" spans="7:8" ht="15" customHeight="1" x14ac:dyDescent="0.4">
      <c r="G9233" s="27">
        <f t="shared" si="155"/>
        <v>0</v>
      </c>
      <c r="H9233" s="28" t="e">
        <f>VLOOKUP(E9233,'Cadastro Produtos (kiwkiw)'!C:E,3,0)</f>
        <v>#N/A</v>
      </c>
    </row>
    <row r="9234" spans="7:8" ht="15" customHeight="1" x14ac:dyDescent="0.4">
      <c r="G9234" s="27">
        <f t="shared" ref="G9234:G9297" si="156">IF(C9234="Entrada",F9234,-F9234)</f>
        <v>0</v>
      </c>
      <c r="H9234" s="28" t="e">
        <f>VLOOKUP(E9234,'Cadastro Produtos (kiwkiw)'!C:E,3,0)</f>
        <v>#N/A</v>
      </c>
    </row>
    <row r="9235" spans="7:8" ht="15" customHeight="1" x14ac:dyDescent="0.4">
      <c r="G9235" s="27">
        <f t="shared" si="156"/>
        <v>0</v>
      </c>
      <c r="H9235" s="28" t="e">
        <f>VLOOKUP(E9235,'Cadastro Produtos (kiwkiw)'!C:E,3,0)</f>
        <v>#N/A</v>
      </c>
    </row>
    <row r="9236" spans="7:8" ht="15" customHeight="1" x14ac:dyDescent="0.4">
      <c r="G9236" s="27">
        <f t="shared" si="156"/>
        <v>0</v>
      </c>
      <c r="H9236" s="28" t="e">
        <f>VLOOKUP(E9236,'Cadastro Produtos (kiwkiw)'!C:E,3,0)</f>
        <v>#N/A</v>
      </c>
    </row>
    <row r="9237" spans="7:8" ht="15" customHeight="1" x14ac:dyDescent="0.4">
      <c r="G9237" s="27">
        <f t="shared" si="156"/>
        <v>0</v>
      </c>
      <c r="H9237" s="28" t="e">
        <f>VLOOKUP(E9237,'Cadastro Produtos (kiwkiw)'!C:E,3,0)</f>
        <v>#N/A</v>
      </c>
    </row>
    <row r="9238" spans="7:8" ht="15" customHeight="1" x14ac:dyDescent="0.4">
      <c r="G9238" s="27">
        <f t="shared" si="156"/>
        <v>0</v>
      </c>
      <c r="H9238" s="28" t="e">
        <f>VLOOKUP(E9238,'Cadastro Produtos (kiwkiw)'!C:E,3,0)</f>
        <v>#N/A</v>
      </c>
    </row>
    <row r="9239" spans="7:8" ht="15" customHeight="1" x14ac:dyDescent="0.4">
      <c r="G9239" s="27">
        <f t="shared" si="156"/>
        <v>0</v>
      </c>
      <c r="H9239" s="28" t="e">
        <f>VLOOKUP(E9239,'Cadastro Produtos (kiwkiw)'!C:E,3,0)</f>
        <v>#N/A</v>
      </c>
    </row>
    <row r="9240" spans="7:8" ht="15" customHeight="1" x14ac:dyDescent="0.4">
      <c r="G9240" s="27">
        <f t="shared" si="156"/>
        <v>0</v>
      </c>
      <c r="H9240" s="28" t="e">
        <f>VLOOKUP(E9240,'Cadastro Produtos (kiwkiw)'!C:E,3,0)</f>
        <v>#N/A</v>
      </c>
    </row>
    <row r="9241" spans="7:8" ht="15" customHeight="1" x14ac:dyDescent="0.4">
      <c r="G9241" s="27">
        <f t="shared" si="156"/>
        <v>0</v>
      </c>
      <c r="H9241" s="28" t="e">
        <f>VLOOKUP(E9241,'Cadastro Produtos (kiwkiw)'!C:E,3,0)</f>
        <v>#N/A</v>
      </c>
    </row>
    <row r="9242" spans="7:8" ht="15" customHeight="1" x14ac:dyDescent="0.4">
      <c r="G9242" s="27">
        <f t="shared" si="156"/>
        <v>0</v>
      </c>
      <c r="H9242" s="28" t="e">
        <f>VLOOKUP(E9242,'Cadastro Produtos (kiwkiw)'!C:E,3,0)</f>
        <v>#N/A</v>
      </c>
    </row>
    <row r="9243" spans="7:8" ht="15" customHeight="1" x14ac:dyDescent="0.4">
      <c r="G9243" s="27">
        <f t="shared" si="156"/>
        <v>0</v>
      </c>
      <c r="H9243" s="28" t="e">
        <f>VLOOKUP(E9243,'Cadastro Produtos (kiwkiw)'!C:E,3,0)</f>
        <v>#N/A</v>
      </c>
    </row>
    <row r="9244" spans="7:8" ht="15" customHeight="1" x14ac:dyDescent="0.4">
      <c r="G9244" s="27">
        <f t="shared" si="156"/>
        <v>0</v>
      </c>
      <c r="H9244" s="28" t="e">
        <f>VLOOKUP(E9244,'Cadastro Produtos (kiwkiw)'!C:E,3,0)</f>
        <v>#N/A</v>
      </c>
    </row>
    <row r="9245" spans="7:8" ht="15" customHeight="1" x14ac:dyDescent="0.4">
      <c r="G9245" s="27">
        <f t="shared" si="156"/>
        <v>0</v>
      </c>
      <c r="H9245" s="28" t="e">
        <f>VLOOKUP(E9245,'Cadastro Produtos (kiwkiw)'!C:E,3,0)</f>
        <v>#N/A</v>
      </c>
    </row>
    <row r="9246" spans="7:8" ht="15" customHeight="1" x14ac:dyDescent="0.4">
      <c r="G9246" s="27">
        <f t="shared" si="156"/>
        <v>0</v>
      </c>
      <c r="H9246" s="28" t="e">
        <f>VLOOKUP(E9246,'Cadastro Produtos (kiwkiw)'!C:E,3,0)</f>
        <v>#N/A</v>
      </c>
    </row>
    <row r="9247" spans="7:8" ht="15" customHeight="1" x14ac:dyDescent="0.4">
      <c r="G9247" s="27">
        <f t="shared" si="156"/>
        <v>0</v>
      </c>
      <c r="H9247" s="28" t="e">
        <f>VLOOKUP(E9247,'Cadastro Produtos (kiwkiw)'!C:E,3,0)</f>
        <v>#N/A</v>
      </c>
    </row>
    <row r="9248" spans="7:8" ht="15" customHeight="1" x14ac:dyDescent="0.4">
      <c r="G9248" s="27">
        <f t="shared" si="156"/>
        <v>0</v>
      </c>
      <c r="H9248" s="28" t="e">
        <f>VLOOKUP(E9248,'Cadastro Produtos (kiwkiw)'!C:E,3,0)</f>
        <v>#N/A</v>
      </c>
    </row>
    <row r="9249" spans="7:8" ht="15" customHeight="1" x14ac:dyDescent="0.4">
      <c r="G9249" s="27">
        <f t="shared" si="156"/>
        <v>0</v>
      </c>
      <c r="H9249" s="28" t="e">
        <f>VLOOKUP(E9249,'Cadastro Produtos (kiwkiw)'!C:E,3,0)</f>
        <v>#N/A</v>
      </c>
    </row>
    <row r="9250" spans="7:8" ht="15" customHeight="1" x14ac:dyDescent="0.4">
      <c r="G9250" s="27">
        <f t="shared" si="156"/>
        <v>0</v>
      </c>
      <c r="H9250" s="28" t="e">
        <f>VLOOKUP(E9250,'Cadastro Produtos (kiwkiw)'!C:E,3,0)</f>
        <v>#N/A</v>
      </c>
    </row>
    <row r="9251" spans="7:8" ht="15" customHeight="1" x14ac:dyDescent="0.4">
      <c r="G9251" s="27">
        <f t="shared" si="156"/>
        <v>0</v>
      </c>
      <c r="H9251" s="28" t="e">
        <f>VLOOKUP(E9251,'Cadastro Produtos (kiwkiw)'!C:E,3,0)</f>
        <v>#N/A</v>
      </c>
    </row>
    <row r="9252" spans="7:8" ht="15" customHeight="1" x14ac:dyDescent="0.4">
      <c r="G9252" s="27">
        <f t="shared" si="156"/>
        <v>0</v>
      </c>
      <c r="H9252" s="28" t="e">
        <f>VLOOKUP(E9252,'Cadastro Produtos (kiwkiw)'!C:E,3,0)</f>
        <v>#N/A</v>
      </c>
    </row>
    <row r="9253" spans="7:8" ht="15" customHeight="1" x14ac:dyDescent="0.4">
      <c r="G9253" s="27">
        <f t="shared" si="156"/>
        <v>0</v>
      </c>
      <c r="H9253" s="28" t="e">
        <f>VLOOKUP(E9253,'Cadastro Produtos (kiwkiw)'!C:E,3,0)</f>
        <v>#N/A</v>
      </c>
    </row>
    <row r="9254" spans="7:8" ht="15" customHeight="1" x14ac:dyDescent="0.4">
      <c r="G9254" s="27">
        <f t="shared" si="156"/>
        <v>0</v>
      </c>
      <c r="H9254" s="28" t="e">
        <f>VLOOKUP(E9254,'Cadastro Produtos (kiwkiw)'!C:E,3,0)</f>
        <v>#N/A</v>
      </c>
    </row>
    <row r="9255" spans="7:8" ht="15" customHeight="1" x14ac:dyDescent="0.4">
      <c r="G9255" s="27">
        <f t="shared" si="156"/>
        <v>0</v>
      </c>
      <c r="H9255" s="28" t="e">
        <f>VLOOKUP(E9255,'Cadastro Produtos (kiwkiw)'!C:E,3,0)</f>
        <v>#N/A</v>
      </c>
    </row>
    <row r="9256" spans="7:8" ht="15" customHeight="1" x14ac:dyDescent="0.4">
      <c r="G9256" s="27">
        <f t="shared" si="156"/>
        <v>0</v>
      </c>
      <c r="H9256" s="28" t="e">
        <f>VLOOKUP(E9256,'Cadastro Produtos (kiwkiw)'!C:E,3,0)</f>
        <v>#N/A</v>
      </c>
    </row>
    <row r="9257" spans="7:8" ht="15" customHeight="1" x14ac:dyDescent="0.4">
      <c r="G9257" s="27">
        <f t="shared" si="156"/>
        <v>0</v>
      </c>
      <c r="H9257" s="28" t="e">
        <f>VLOOKUP(E9257,'Cadastro Produtos (kiwkiw)'!C:E,3,0)</f>
        <v>#N/A</v>
      </c>
    </row>
    <row r="9258" spans="7:8" ht="15" customHeight="1" x14ac:dyDescent="0.4">
      <c r="G9258" s="27">
        <f t="shared" si="156"/>
        <v>0</v>
      </c>
      <c r="H9258" s="28" t="e">
        <f>VLOOKUP(E9258,'Cadastro Produtos (kiwkiw)'!C:E,3,0)</f>
        <v>#N/A</v>
      </c>
    </row>
    <row r="9259" spans="7:8" ht="15" customHeight="1" x14ac:dyDescent="0.4">
      <c r="G9259" s="27">
        <f t="shared" si="156"/>
        <v>0</v>
      </c>
      <c r="H9259" s="28" t="e">
        <f>VLOOKUP(E9259,'Cadastro Produtos (kiwkiw)'!C:E,3,0)</f>
        <v>#N/A</v>
      </c>
    </row>
    <row r="9260" spans="7:8" ht="15" customHeight="1" x14ac:dyDescent="0.4">
      <c r="G9260" s="27">
        <f t="shared" si="156"/>
        <v>0</v>
      </c>
      <c r="H9260" s="28" t="e">
        <f>VLOOKUP(E9260,'Cadastro Produtos (kiwkiw)'!C:E,3,0)</f>
        <v>#N/A</v>
      </c>
    </row>
    <row r="9261" spans="7:8" ht="15" customHeight="1" x14ac:dyDescent="0.4">
      <c r="G9261" s="27">
        <f t="shared" si="156"/>
        <v>0</v>
      </c>
      <c r="H9261" s="28" t="e">
        <f>VLOOKUP(E9261,'Cadastro Produtos (kiwkiw)'!C:E,3,0)</f>
        <v>#N/A</v>
      </c>
    </row>
    <row r="9262" spans="7:8" ht="15" customHeight="1" x14ac:dyDescent="0.4">
      <c r="G9262" s="27">
        <f t="shared" si="156"/>
        <v>0</v>
      </c>
      <c r="H9262" s="28" t="e">
        <f>VLOOKUP(E9262,'Cadastro Produtos (kiwkiw)'!C:E,3,0)</f>
        <v>#N/A</v>
      </c>
    </row>
    <row r="9263" spans="7:8" ht="15" customHeight="1" x14ac:dyDescent="0.4">
      <c r="G9263" s="27">
        <f t="shared" si="156"/>
        <v>0</v>
      </c>
      <c r="H9263" s="28" t="e">
        <f>VLOOKUP(E9263,'Cadastro Produtos (kiwkiw)'!C:E,3,0)</f>
        <v>#N/A</v>
      </c>
    </row>
    <row r="9264" spans="7:8" ht="15" customHeight="1" x14ac:dyDescent="0.4">
      <c r="G9264" s="27">
        <f t="shared" si="156"/>
        <v>0</v>
      </c>
      <c r="H9264" s="28" t="e">
        <f>VLOOKUP(E9264,'Cadastro Produtos (kiwkiw)'!C:E,3,0)</f>
        <v>#N/A</v>
      </c>
    </row>
    <row r="9265" spans="7:8" ht="15" customHeight="1" x14ac:dyDescent="0.4">
      <c r="G9265" s="27">
        <f t="shared" si="156"/>
        <v>0</v>
      </c>
      <c r="H9265" s="28" t="e">
        <f>VLOOKUP(E9265,'Cadastro Produtos (kiwkiw)'!C:E,3,0)</f>
        <v>#N/A</v>
      </c>
    </row>
    <row r="9266" spans="7:8" ht="15" customHeight="1" x14ac:dyDescent="0.4">
      <c r="G9266" s="27">
        <f t="shared" si="156"/>
        <v>0</v>
      </c>
      <c r="H9266" s="28" t="e">
        <f>VLOOKUP(E9266,'Cadastro Produtos (kiwkiw)'!C:E,3,0)</f>
        <v>#N/A</v>
      </c>
    </row>
    <row r="9267" spans="7:8" ht="15" customHeight="1" x14ac:dyDescent="0.4">
      <c r="G9267" s="27">
        <f t="shared" si="156"/>
        <v>0</v>
      </c>
      <c r="H9267" s="28" t="e">
        <f>VLOOKUP(E9267,'Cadastro Produtos (kiwkiw)'!C:E,3,0)</f>
        <v>#N/A</v>
      </c>
    </row>
    <row r="9268" spans="7:8" ht="15" customHeight="1" x14ac:dyDescent="0.4">
      <c r="G9268" s="27">
        <f t="shared" si="156"/>
        <v>0</v>
      </c>
      <c r="H9268" s="28" t="e">
        <f>VLOOKUP(E9268,'Cadastro Produtos (kiwkiw)'!C:E,3,0)</f>
        <v>#N/A</v>
      </c>
    </row>
    <row r="9269" spans="7:8" ht="15" customHeight="1" x14ac:dyDescent="0.4">
      <c r="G9269" s="27">
        <f t="shared" si="156"/>
        <v>0</v>
      </c>
      <c r="H9269" s="28" t="e">
        <f>VLOOKUP(E9269,'Cadastro Produtos (kiwkiw)'!C:E,3,0)</f>
        <v>#N/A</v>
      </c>
    </row>
    <row r="9270" spans="7:8" ht="15" customHeight="1" x14ac:dyDescent="0.4">
      <c r="G9270" s="27">
        <f t="shared" si="156"/>
        <v>0</v>
      </c>
      <c r="H9270" s="28" t="e">
        <f>VLOOKUP(E9270,'Cadastro Produtos (kiwkiw)'!C:E,3,0)</f>
        <v>#N/A</v>
      </c>
    </row>
    <row r="9271" spans="7:8" ht="15" customHeight="1" x14ac:dyDescent="0.4">
      <c r="G9271" s="27">
        <f t="shared" si="156"/>
        <v>0</v>
      </c>
      <c r="H9271" s="28" t="e">
        <f>VLOOKUP(E9271,'Cadastro Produtos (kiwkiw)'!C:E,3,0)</f>
        <v>#N/A</v>
      </c>
    </row>
    <row r="9272" spans="7:8" ht="15" customHeight="1" x14ac:dyDescent="0.4">
      <c r="G9272" s="27">
        <f t="shared" si="156"/>
        <v>0</v>
      </c>
      <c r="H9272" s="28" t="e">
        <f>VLOOKUP(E9272,'Cadastro Produtos (kiwkiw)'!C:E,3,0)</f>
        <v>#N/A</v>
      </c>
    </row>
    <row r="9273" spans="7:8" ht="15" customHeight="1" x14ac:dyDescent="0.4">
      <c r="G9273" s="27">
        <f t="shared" si="156"/>
        <v>0</v>
      </c>
      <c r="H9273" s="28" t="e">
        <f>VLOOKUP(E9273,'Cadastro Produtos (kiwkiw)'!C:E,3,0)</f>
        <v>#N/A</v>
      </c>
    </row>
    <row r="9274" spans="7:8" ht="15" customHeight="1" x14ac:dyDescent="0.4">
      <c r="G9274" s="27">
        <f t="shared" si="156"/>
        <v>0</v>
      </c>
      <c r="H9274" s="28" t="e">
        <f>VLOOKUP(E9274,'Cadastro Produtos (kiwkiw)'!C:E,3,0)</f>
        <v>#N/A</v>
      </c>
    </row>
    <row r="9275" spans="7:8" ht="15" customHeight="1" x14ac:dyDescent="0.4">
      <c r="G9275" s="27">
        <f t="shared" si="156"/>
        <v>0</v>
      </c>
      <c r="H9275" s="28" t="e">
        <f>VLOOKUP(E9275,'Cadastro Produtos (kiwkiw)'!C:E,3,0)</f>
        <v>#N/A</v>
      </c>
    </row>
    <row r="9276" spans="7:8" ht="15" customHeight="1" x14ac:dyDescent="0.4">
      <c r="G9276" s="27">
        <f t="shared" si="156"/>
        <v>0</v>
      </c>
      <c r="H9276" s="28" t="e">
        <f>VLOOKUP(E9276,'Cadastro Produtos (kiwkiw)'!C:E,3,0)</f>
        <v>#N/A</v>
      </c>
    </row>
    <row r="9277" spans="7:8" ht="15" customHeight="1" x14ac:dyDescent="0.4">
      <c r="G9277" s="27">
        <f t="shared" si="156"/>
        <v>0</v>
      </c>
      <c r="H9277" s="28" t="e">
        <f>VLOOKUP(E9277,'Cadastro Produtos (kiwkiw)'!C:E,3,0)</f>
        <v>#N/A</v>
      </c>
    </row>
    <row r="9278" spans="7:8" ht="15" customHeight="1" x14ac:dyDescent="0.4">
      <c r="G9278" s="27">
        <f t="shared" si="156"/>
        <v>0</v>
      </c>
      <c r="H9278" s="28" t="e">
        <f>VLOOKUP(E9278,'Cadastro Produtos (kiwkiw)'!C:E,3,0)</f>
        <v>#N/A</v>
      </c>
    </row>
    <row r="9279" spans="7:8" ht="15" customHeight="1" x14ac:dyDescent="0.4">
      <c r="G9279" s="27">
        <f t="shared" si="156"/>
        <v>0</v>
      </c>
      <c r="H9279" s="28" t="e">
        <f>VLOOKUP(E9279,'Cadastro Produtos (kiwkiw)'!C:E,3,0)</f>
        <v>#N/A</v>
      </c>
    </row>
    <row r="9280" spans="7:8" ht="15" customHeight="1" x14ac:dyDescent="0.4">
      <c r="G9280" s="27">
        <f t="shared" si="156"/>
        <v>0</v>
      </c>
      <c r="H9280" s="28" t="e">
        <f>VLOOKUP(E9280,'Cadastro Produtos (kiwkiw)'!C:E,3,0)</f>
        <v>#N/A</v>
      </c>
    </row>
    <row r="9281" spans="7:8" ht="15" customHeight="1" x14ac:dyDescent="0.4">
      <c r="G9281" s="27">
        <f t="shared" si="156"/>
        <v>0</v>
      </c>
      <c r="H9281" s="28" t="e">
        <f>VLOOKUP(E9281,'Cadastro Produtos (kiwkiw)'!C:E,3,0)</f>
        <v>#N/A</v>
      </c>
    </row>
    <row r="9282" spans="7:8" ht="15" customHeight="1" x14ac:dyDescent="0.4">
      <c r="G9282" s="27">
        <f t="shared" si="156"/>
        <v>0</v>
      </c>
      <c r="H9282" s="28" t="e">
        <f>VLOOKUP(E9282,'Cadastro Produtos (kiwkiw)'!C:E,3,0)</f>
        <v>#N/A</v>
      </c>
    </row>
    <row r="9283" spans="7:8" ht="15" customHeight="1" x14ac:dyDescent="0.4">
      <c r="G9283" s="27">
        <f t="shared" si="156"/>
        <v>0</v>
      </c>
      <c r="H9283" s="28" t="e">
        <f>VLOOKUP(E9283,'Cadastro Produtos (kiwkiw)'!C:E,3,0)</f>
        <v>#N/A</v>
      </c>
    </row>
    <row r="9284" spans="7:8" ht="15" customHeight="1" x14ac:dyDescent="0.4">
      <c r="G9284" s="27">
        <f t="shared" si="156"/>
        <v>0</v>
      </c>
      <c r="H9284" s="28" t="e">
        <f>VLOOKUP(E9284,'Cadastro Produtos (kiwkiw)'!C:E,3,0)</f>
        <v>#N/A</v>
      </c>
    </row>
    <row r="9285" spans="7:8" ht="15" customHeight="1" x14ac:dyDescent="0.4">
      <c r="G9285" s="27">
        <f t="shared" si="156"/>
        <v>0</v>
      </c>
      <c r="H9285" s="28" t="e">
        <f>VLOOKUP(E9285,'Cadastro Produtos (kiwkiw)'!C:E,3,0)</f>
        <v>#N/A</v>
      </c>
    </row>
    <row r="9286" spans="7:8" ht="15" customHeight="1" x14ac:dyDescent="0.4">
      <c r="G9286" s="27">
        <f t="shared" si="156"/>
        <v>0</v>
      </c>
      <c r="H9286" s="28" t="e">
        <f>VLOOKUP(E9286,'Cadastro Produtos (kiwkiw)'!C:E,3,0)</f>
        <v>#N/A</v>
      </c>
    </row>
    <row r="9287" spans="7:8" ht="15" customHeight="1" x14ac:dyDescent="0.4">
      <c r="G9287" s="27">
        <f t="shared" si="156"/>
        <v>0</v>
      </c>
      <c r="H9287" s="28" t="e">
        <f>VLOOKUP(E9287,'Cadastro Produtos (kiwkiw)'!C:E,3,0)</f>
        <v>#N/A</v>
      </c>
    </row>
    <row r="9288" spans="7:8" ht="15" customHeight="1" x14ac:dyDescent="0.4">
      <c r="G9288" s="27">
        <f t="shared" si="156"/>
        <v>0</v>
      </c>
      <c r="H9288" s="28" t="e">
        <f>VLOOKUP(E9288,'Cadastro Produtos (kiwkiw)'!C:E,3,0)</f>
        <v>#N/A</v>
      </c>
    </row>
    <row r="9289" spans="7:8" ht="15" customHeight="1" x14ac:dyDescent="0.4">
      <c r="G9289" s="27">
        <f t="shared" si="156"/>
        <v>0</v>
      </c>
      <c r="H9289" s="28" t="e">
        <f>VLOOKUP(E9289,'Cadastro Produtos (kiwkiw)'!C:E,3,0)</f>
        <v>#N/A</v>
      </c>
    </row>
    <row r="9290" spans="7:8" ht="15" customHeight="1" x14ac:dyDescent="0.4">
      <c r="G9290" s="27">
        <f t="shared" si="156"/>
        <v>0</v>
      </c>
      <c r="H9290" s="28" t="e">
        <f>VLOOKUP(E9290,'Cadastro Produtos (kiwkiw)'!C:E,3,0)</f>
        <v>#N/A</v>
      </c>
    </row>
    <row r="9291" spans="7:8" ht="15" customHeight="1" x14ac:dyDescent="0.4">
      <c r="G9291" s="27">
        <f t="shared" si="156"/>
        <v>0</v>
      </c>
      <c r="H9291" s="28" t="e">
        <f>VLOOKUP(E9291,'Cadastro Produtos (kiwkiw)'!C:E,3,0)</f>
        <v>#N/A</v>
      </c>
    </row>
    <row r="9292" spans="7:8" ht="15" customHeight="1" x14ac:dyDescent="0.4">
      <c r="G9292" s="27">
        <f t="shared" si="156"/>
        <v>0</v>
      </c>
      <c r="H9292" s="28" t="e">
        <f>VLOOKUP(E9292,'Cadastro Produtos (kiwkiw)'!C:E,3,0)</f>
        <v>#N/A</v>
      </c>
    </row>
    <row r="9293" spans="7:8" ht="15" customHeight="1" x14ac:dyDescent="0.4">
      <c r="G9293" s="27">
        <f t="shared" si="156"/>
        <v>0</v>
      </c>
      <c r="H9293" s="28" t="e">
        <f>VLOOKUP(E9293,'Cadastro Produtos (kiwkiw)'!C:E,3,0)</f>
        <v>#N/A</v>
      </c>
    </row>
    <row r="9294" spans="7:8" ht="15" customHeight="1" x14ac:dyDescent="0.4">
      <c r="G9294" s="27">
        <f t="shared" si="156"/>
        <v>0</v>
      </c>
      <c r="H9294" s="28" t="e">
        <f>VLOOKUP(E9294,'Cadastro Produtos (kiwkiw)'!C:E,3,0)</f>
        <v>#N/A</v>
      </c>
    </row>
    <row r="9295" spans="7:8" ht="15" customHeight="1" x14ac:dyDescent="0.4">
      <c r="G9295" s="27">
        <f t="shared" si="156"/>
        <v>0</v>
      </c>
      <c r="H9295" s="28" t="e">
        <f>VLOOKUP(E9295,'Cadastro Produtos (kiwkiw)'!C:E,3,0)</f>
        <v>#N/A</v>
      </c>
    </row>
    <row r="9296" spans="7:8" ht="15" customHeight="1" x14ac:dyDescent="0.4">
      <c r="G9296" s="27">
        <f t="shared" si="156"/>
        <v>0</v>
      </c>
      <c r="H9296" s="28" t="e">
        <f>VLOOKUP(E9296,'Cadastro Produtos (kiwkiw)'!C:E,3,0)</f>
        <v>#N/A</v>
      </c>
    </row>
    <row r="9297" spans="7:8" ht="15" customHeight="1" x14ac:dyDescent="0.4">
      <c r="G9297" s="27">
        <f t="shared" si="156"/>
        <v>0</v>
      </c>
      <c r="H9297" s="28" t="e">
        <f>VLOOKUP(E9297,'Cadastro Produtos (kiwkiw)'!C:E,3,0)</f>
        <v>#N/A</v>
      </c>
    </row>
    <row r="9298" spans="7:8" ht="15" customHeight="1" x14ac:dyDescent="0.4">
      <c r="G9298" s="27">
        <f t="shared" ref="G9298:G9361" si="157">IF(C9298="Entrada",F9298,-F9298)</f>
        <v>0</v>
      </c>
      <c r="H9298" s="28" t="e">
        <f>VLOOKUP(E9298,'Cadastro Produtos (kiwkiw)'!C:E,3,0)</f>
        <v>#N/A</v>
      </c>
    </row>
    <row r="9299" spans="7:8" ht="15" customHeight="1" x14ac:dyDescent="0.4">
      <c r="G9299" s="27">
        <f t="shared" si="157"/>
        <v>0</v>
      </c>
      <c r="H9299" s="28" t="e">
        <f>VLOOKUP(E9299,'Cadastro Produtos (kiwkiw)'!C:E,3,0)</f>
        <v>#N/A</v>
      </c>
    </row>
    <row r="9300" spans="7:8" ht="15" customHeight="1" x14ac:dyDescent="0.4">
      <c r="G9300" s="27">
        <f t="shared" si="157"/>
        <v>0</v>
      </c>
      <c r="H9300" s="28" t="e">
        <f>VLOOKUP(E9300,'Cadastro Produtos (kiwkiw)'!C:E,3,0)</f>
        <v>#N/A</v>
      </c>
    </row>
    <row r="9301" spans="7:8" ht="15" customHeight="1" x14ac:dyDescent="0.4">
      <c r="G9301" s="27">
        <f t="shared" si="157"/>
        <v>0</v>
      </c>
      <c r="H9301" s="28" t="e">
        <f>VLOOKUP(E9301,'Cadastro Produtos (kiwkiw)'!C:E,3,0)</f>
        <v>#N/A</v>
      </c>
    </row>
    <row r="9302" spans="7:8" ht="15" customHeight="1" x14ac:dyDescent="0.4">
      <c r="G9302" s="27">
        <f t="shared" si="157"/>
        <v>0</v>
      </c>
      <c r="H9302" s="28" t="e">
        <f>VLOOKUP(E9302,'Cadastro Produtos (kiwkiw)'!C:E,3,0)</f>
        <v>#N/A</v>
      </c>
    </row>
    <row r="9303" spans="7:8" ht="15" customHeight="1" x14ac:dyDescent="0.4">
      <c r="G9303" s="27">
        <f t="shared" si="157"/>
        <v>0</v>
      </c>
      <c r="H9303" s="28" t="e">
        <f>VLOOKUP(E9303,'Cadastro Produtos (kiwkiw)'!C:E,3,0)</f>
        <v>#N/A</v>
      </c>
    </row>
    <row r="9304" spans="7:8" ht="15" customHeight="1" x14ac:dyDescent="0.4">
      <c r="G9304" s="27">
        <f t="shared" si="157"/>
        <v>0</v>
      </c>
      <c r="H9304" s="28" t="e">
        <f>VLOOKUP(E9304,'Cadastro Produtos (kiwkiw)'!C:E,3,0)</f>
        <v>#N/A</v>
      </c>
    </row>
    <row r="9305" spans="7:8" ht="15" customHeight="1" x14ac:dyDescent="0.4">
      <c r="G9305" s="27">
        <f t="shared" si="157"/>
        <v>0</v>
      </c>
      <c r="H9305" s="28" t="e">
        <f>VLOOKUP(E9305,'Cadastro Produtos (kiwkiw)'!C:E,3,0)</f>
        <v>#N/A</v>
      </c>
    </row>
    <row r="9306" spans="7:8" ht="15" customHeight="1" x14ac:dyDescent="0.4">
      <c r="G9306" s="27">
        <f t="shared" si="157"/>
        <v>0</v>
      </c>
      <c r="H9306" s="28" t="e">
        <f>VLOOKUP(E9306,'Cadastro Produtos (kiwkiw)'!C:E,3,0)</f>
        <v>#N/A</v>
      </c>
    </row>
    <row r="9307" spans="7:8" ht="15" customHeight="1" x14ac:dyDescent="0.4">
      <c r="G9307" s="27">
        <f t="shared" si="157"/>
        <v>0</v>
      </c>
      <c r="H9307" s="28" t="e">
        <f>VLOOKUP(E9307,'Cadastro Produtos (kiwkiw)'!C:E,3,0)</f>
        <v>#N/A</v>
      </c>
    </row>
    <row r="9308" spans="7:8" ht="15" customHeight="1" x14ac:dyDescent="0.4">
      <c r="G9308" s="27">
        <f t="shared" si="157"/>
        <v>0</v>
      </c>
      <c r="H9308" s="28" t="e">
        <f>VLOOKUP(E9308,'Cadastro Produtos (kiwkiw)'!C:E,3,0)</f>
        <v>#N/A</v>
      </c>
    </row>
    <row r="9309" spans="7:8" ht="15" customHeight="1" x14ac:dyDescent="0.4">
      <c r="G9309" s="27">
        <f t="shared" si="157"/>
        <v>0</v>
      </c>
      <c r="H9309" s="28" t="e">
        <f>VLOOKUP(E9309,'Cadastro Produtos (kiwkiw)'!C:E,3,0)</f>
        <v>#N/A</v>
      </c>
    </row>
    <row r="9310" spans="7:8" ht="15" customHeight="1" x14ac:dyDescent="0.4">
      <c r="G9310" s="27">
        <f t="shared" si="157"/>
        <v>0</v>
      </c>
      <c r="H9310" s="28" t="e">
        <f>VLOOKUP(E9310,'Cadastro Produtos (kiwkiw)'!C:E,3,0)</f>
        <v>#N/A</v>
      </c>
    </row>
    <row r="9311" spans="7:8" ht="15" customHeight="1" x14ac:dyDescent="0.4">
      <c r="G9311" s="27">
        <f t="shared" si="157"/>
        <v>0</v>
      </c>
      <c r="H9311" s="28" t="e">
        <f>VLOOKUP(E9311,'Cadastro Produtos (kiwkiw)'!C:E,3,0)</f>
        <v>#N/A</v>
      </c>
    </row>
    <row r="9312" spans="7:8" ht="15" customHeight="1" x14ac:dyDescent="0.4">
      <c r="G9312" s="27">
        <f t="shared" si="157"/>
        <v>0</v>
      </c>
      <c r="H9312" s="28" t="e">
        <f>VLOOKUP(E9312,'Cadastro Produtos (kiwkiw)'!C:E,3,0)</f>
        <v>#N/A</v>
      </c>
    </row>
    <row r="9313" spans="7:8" ht="15" customHeight="1" x14ac:dyDescent="0.4">
      <c r="G9313" s="27">
        <f t="shared" si="157"/>
        <v>0</v>
      </c>
      <c r="H9313" s="28" t="e">
        <f>VLOOKUP(E9313,'Cadastro Produtos (kiwkiw)'!C:E,3,0)</f>
        <v>#N/A</v>
      </c>
    </row>
    <row r="9314" spans="7:8" ht="15" customHeight="1" x14ac:dyDescent="0.4">
      <c r="G9314" s="27">
        <f t="shared" si="157"/>
        <v>0</v>
      </c>
      <c r="H9314" s="28" t="e">
        <f>VLOOKUP(E9314,'Cadastro Produtos (kiwkiw)'!C:E,3,0)</f>
        <v>#N/A</v>
      </c>
    </row>
    <row r="9315" spans="7:8" ht="15" customHeight="1" x14ac:dyDescent="0.4">
      <c r="G9315" s="27">
        <f t="shared" si="157"/>
        <v>0</v>
      </c>
      <c r="H9315" s="28" t="e">
        <f>VLOOKUP(E9315,'Cadastro Produtos (kiwkiw)'!C:E,3,0)</f>
        <v>#N/A</v>
      </c>
    </row>
    <row r="9316" spans="7:8" ht="15" customHeight="1" x14ac:dyDescent="0.4">
      <c r="G9316" s="27">
        <f t="shared" si="157"/>
        <v>0</v>
      </c>
      <c r="H9316" s="28" t="e">
        <f>VLOOKUP(E9316,'Cadastro Produtos (kiwkiw)'!C:E,3,0)</f>
        <v>#N/A</v>
      </c>
    </row>
    <row r="9317" spans="7:8" ht="15" customHeight="1" x14ac:dyDescent="0.4">
      <c r="G9317" s="27">
        <f t="shared" si="157"/>
        <v>0</v>
      </c>
      <c r="H9317" s="28" t="e">
        <f>VLOOKUP(E9317,'Cadastro Produtos (kiwkiw)'!C:E,3,0)</f>
        <v>#N/A</v>
      </c>
    </row>
    <row r="9318" spans="7:8" ht="15" customHeight="1" x14ac:dyDescent="0.4">
      <c r="G9318" s="27">
        <f t="shared" si="157"/>
        <v>0</v>
      </c>
      <c r="H9318" s="28" t="e">
        <f>VLOOKUP(E9318,'Cadastro Produtos (kiwkiw)'!C:E,3,0)</f>
        <v>#N/A</v>
      </c>
    </row>
    <row r="9319" spans="7:8" ht="15" customHeight="1" x14ac:dyDescent="0.4">
      <c r="G9319" s="27">
        <f t="shared" si="157"/>
        <v>0</v>
      </c>
      <c r="H9319" s="28" t="e">
        <f>VLOOKUP(E9319,'Cadastro Produtos (kiwkiw)'!C:E,3,0)</f>
        <v>#N/A</v>
      </c>
    </row>
    <row r="9320" spans="7:8" ht="15" customHeight="1" x14ac:dyDescent="0.4">
      <c r="G9320" s="27">
        <f t="shared" si="157"/>
        <v>0</v>
      </c>
      <c r="H9320" s="28" t="e">
        <f>VLOOKUP(E9320,'Cadastro Produtos (kiwkiw)'!C:E,3,0)</f>
        <v>#N/A</v>
      </c>
    </row>
    <row r="9321" spans="7:8" ht="15" customHeight="1" x14ac:dyDescent="0.4">
      <c r="G9321" s="27">
        <f t="shared" si="157"/>
        <v>0</v>
      </c>
      <c r="H9321" s="28" t="e">
        <f>VLOOKUP(E9321,'Cadastro Produtos (kiwkiw)'!C:E,3,0)</f>
        <v>#N/A</v>
      </c>
    </row>
    <row r="9322" spans="7:8" ht="15" customHeight="1" x14ac:dyDescent="0.4">
      <c r="G9322" s="27">
        <f t="shared" si="157"/>
        <v>0</v>
      </c>
      <c r="H9322" s="28" t="e">
        <f>VLOOKUP(E9322,'Cadastro Produtos (kiwkiw)'!C:E,3,0)</f>
        <v>#N/A</v>
      </c>
    </row>
    <row r="9323" spans="7:8" ht="15" customHeight="1" x14ac:dyDescent="0.4">
      <c r="G9323" s="27">
        <f t="shared" si="157"/>
        <v>0</v>
      </c>
      <c r="H9323" s="28" t="e">
        <f>VLOOKUP(E9323,'Cadastro Produtos (kiwkiw)'!C:E,3,0)</f>
        <v>#N/A</v>
      </c>
    </row>
    <row r="9324" spans="7:8" ht="15" customHeight="1" x14ac:dyDescent="0.4">
      <c r="G9324" s="27">
        <f t="shared" si="157"/>
        <v>0</v>
      </c>
      <c r="H9324" s="28" t="e">
        <f>VLOOKUP(E9324,'Cadastro Produtos (kiwkiw)'!C:E,3,0)</f>
        <v>#N/A</v>
      </c>
    </row>
    <row r="9325" spans="7:8" ht="15" customHeight="1" x14ac:dyDescent="0.4">
      <c r="G9325" s="27">
        <f t="shared" si="157"/>
        <v>0</v>
      </c>
      <c r="H9325" s="28" t="e">
        <f>VLOOKUP(E9325,'Cadastro Produtos (kiwkiw)'!C:E,3,0)</f>
        <v>#N/A</v>
      </c>
    </row>
    <row r="9326" spans="7:8" ht="15" customHeight="1" x14ac:dyDescent="0.4">
      <c r="G9326" s="27">
        <f t="shared" si="157"/>
        <v>0</v>
      </c>
      <c r="H9326" s="28" t="e">
        <f>VLOOKUP(E9326,'Cadastro Produtos (kiwkiw)'!C:E,3,0)</f>
        <v>#N/A</v>
      </c>
    </row>
    <row r="9327" spans="7:8" ht="15" customHeight="1" x14ac:dyDescent="0.4">
      <c r="G9327" s="27">
        <f t="shared" si="157"/>
        <v>0</v>
      </c>
      <c r="H9327" s="28" t="e">
        <f>VLOOKUP(E9327,'Cadastro Produtos (kiwkiw)'!C:E,3,0)</f>
        <v>#N/A</v>
      </c>
    </row>
    <row r="9328" spans="7:8" ht="15" customHeight="1" x14ac:dyDescent="0.4">
      <c r="G9328" s="27">
        <f t="shared" si="157"/>
        <v>0</v>
      </c>
      <c r="H9328" s="28" t="e">
        <f>VLOOKUP(E9328,'Cadastro Produtos (kiwkiw)'!C:E,3,0)</f>
        <v>#N/A</v>
      </c>
    </row>
    <row r="9329" spans="7:8" ht="15" customHeight="1" x14ac:dyDescent="0.4">
      <c r="G9329" s="27">
        <f t="shared" si="157"/>
        <v>0</v>
      </c>
      <c r="H9329" s="28" t="e">
        <f>VLOOKUP(E9329,'Cadastro Produtos (kiwkiw)'!C:E,3,0)</f>
        <v>#N/A</v>
      </c>
    </row>
    <row r="9330" spans="7:8" ht="15" customHeight="1" x14ac:dyDescent="0.4">
      <c r="G9330" s="27">
        <f t="shared" si="157"/>
        <v>0</v>
      </c>
      <c r="H9330" s="28" t="e">
        <f>VLOOKUP(E9330,'Cadastro Produtos (kiwkiw)'!C:E,3,0)</f>
        <v>#N/A</v>
      </c>
    </row>
    <row r="9331" spans="7:8" ht="15" customHeight="1" x14ac:dyDescent="0.4">
      <c r="G9331" s="27">
        <f t="shared" si="157"/>
        <v>0</v>
      </c>
      <c r="H9331" s="28" t="e">
        <f>VLOOKUP(E9331,'Cadastro Produtos (kiwkiw)'!C:E,3,0)</f>
        <v>#N/A</v>
      </c>
    </row>
    <row r="9332" spans="7:8" ht="15" customHeight="1" x14ac:dyDescent="0.4">
      <c r="G9332" s="27">
        <f t="shared" si="157"/>
        <v>0</v>
      </c>
      <c r="H9332" s="28" t="e">
        <f>VLOOKUP(E9332,'Cadastro Produtos (kiwkiw)'!C:E,3,0)</f>
        <v>#N/A</v>
      </c>
    </row>
    <row r="9333" spans="7:8" ht="15" customHeight="1" x14ac:dyDescent="0.4">
      <c r="G9333" s="27">
        <f t="shared" si="157"/>
        <v>0</v>
      </c>
      <c r="H9333" s="28" t="e">
        <f>VLOOKUP(E9333,'Cadastro Produtos (kiwkiw)'!C:E,3,0)</f>
        <v>#N/A</v>
      </c>
    </row>
    <row r="9334" spans="7:8" ht="15" customHeight="1" x14ac:dyDescent="0.4">
      <c r="G9334" s="27">
        <f t="shared" si="157"/>
        <v>0</v>
      </c>
      <c r="H9334" s="28" t="e">
        <f>VLOOKUP(E9334,'Cadastro Produtos (kiwkiw)'!C:E,3,0)</f>
        <v>#N/A</v>
      </c>
    </row>
    <row r="9335" spans="7:8" ht="15" customHeight="1" x14ac:dyDescent="0.4">
      <c r="G9335" s="27">
        <f t="shared" si="157"/>
        <v>0</v>
      </c>
      <c r="H9335" s="28" t="e">
        <f>VLOOKUP(E9335,'Cadastro Produtos (kiwkiw)'!C:E,3,0)</f>
        <v>#N/A</v>
      </c>
    </row>
    <row r="9336" spans="7:8" ht="15" customHeight="1" x14ac:dyDescent="0.4">
      <c r="G9336" s="27">
        <f t="shared" si="157"/>
        <v>0</v>
      </c>
      <c r="H9336" s="28" t="e">
        <f>VLOOKUP(E9336,'Cadastro Produtos (kiwkiw)'!C:E,3,0)</f>
        <v>#N/A</v>
      </c>
    </row>
    <row r="9337" spans="7:8" ht="15" customHeight="1" x14ac:dyDescent="0.4">
      <c r="G9337" s="27">
        <f t="shared" si="157"/>
        <v>0</v>
      </c>
      <c r="H9337" s="28" t="e">
        <f>VLOOKUP(E9337,'Cadastro Produtos (kiwkiw)'!C:E,3,0)</f>
        <v>#N/A</v>
      </c>
    </row>
    <row r="9338" spans="7:8" ht="15" customHeight="1" x14ac:dyDescent="0.4">
      <c r="G9338" s="27">
        <f t="shared" si="157"/>
        <v>0</v>
      </c>
      <c r="H9338" s="28" t="e">
        <f>VLOOKUP(E9338,'Cadastro Produtos (kiwkiw)'!C:E,3,0)</f>
        <v>#N/A</v>
      </c>
    </row>
    <row r="9339" spans="7:8" ht="15" customHeight="1" x14ac:dyDescent="0.4">
      <c r="G9339" s="27">
        <f t="shared" si="157"/>
        <v>0</v>
      </c>
      <c r="H9339" s="28" t="e">
        <f>VLOOKUP(E9339,'Cadastro Produtos (kiwkiw)'!C:E,3,0)</f>
        <v>#N/A</v>
      </c>
    </row>
    <row r="9340" spans="7:8" ht="15" customHeight="1" x14ac:dyDescent="0.4">
      <c r="G9340" s="27">
        <f t="shared" si="157"/>
        <v>0</v>
      </c>
      <c r="H9340" s="28" t="e">
        <f>VLOOKUP(E9340,'Cadastro Produtos (kiwkiw)'!C:E,3,0)</f>
        <v>#N/A</v>
      </c>
    </row>
    <row r="9341" spans="7:8" ht="15" customHeight="1" x14ac:dyDescent="0.4">
      <c r="G9341" s="27">
        <f t="shared" si="157"/>
        <v>0</v>
      </c>
      <c r="H9341" s="28" t="e">
        <f>VLOOKUP(E9341,'Cadastro Produtos (kiwkiw)'!C:E,3,0)</f>
        <v>#N/A</v>
      </c>
    </row>
    <row r="9342" spans="7:8" ht="15" customHeight="1" x14ac:dyDescent="0.4">
      <c r="G9342" s="27">
        <f t="shared" si="157"/>
        <v>0</v>
      </c>
      <c r="H9342" s="28" t="e">
        <f>VLOOKUP(E9342,'Cadastro Produtos (kiwkiw)'!C:E,3,0)</f>
        <v>#N/A</v>
      </c>
    </row>
    <row r="9343" spans="7:8" ht="15" customHeight="1" x14ac:dyDescent="0.4">
      <c r="G9343" s="27">
        <f t="shared" si="157"/>
        <v>0</v>
      </c>
      <c r="H9343" s="28" t="e">
        <f>VLOOKUP(E9343,'Cadastro Produtos (kiwkiw)'!C:E,3,0)</f>
        <v>#N/A</v>
      </c>
    </row>
    <row r="9344" spans="7:8" ht="15" customHeight="1" x14ac:dyDescent="0.4">
      <c r="G9344" s="27">
        <f t="shared" si="157"/>
        <v>0</v>
      </c>
      <c r="H9344" s="28" t="e">
        <f>VLOOKUP(E9344,'Cadastro Produtos (kiwkiw)'!C:E,3,0)</f>
        <v>#N/A</v>
      </c>
    </row>
    <row r="9345" spans="7:8" ht="15" customHeight="1" x14ac:dyDescent="0.4">
      <c r="G9345" s="27">
        <f t="shared" si="157"/>
        <v>0</v>
      </c>
      <c r="H9345" s="28" t="e">
        <f>VLOOKUP(E9345,'Cadastro Produtos (kiwkiw)'!C:E,3,0)</f>
        <v>#N/A</v>
      </c>
    </row>
    <row r="9346" spans="7:8" ht="15" customHeight="1" x14ac:dyDescent="0.4">
      <c r="G9346" s="27">
        <f t="shared" si="157"/>
        <v>0</v>
      </c>
      <c r="H9346" s="28" t="e">
        <f>VLOOKUP(E9346,'Cadastro Produtos (kiwkiw)'!C:E,3,0)</f>
        <v>#N/A</v>
      </c>
    </row>
    <row r="9347" spans="7:8" ht="15" customHeight="1" x14ac:dyDescent="0.4">
      <c r="G9347" s="27">
        <f t="shared" si="157"/>
        <v>0</v>
      </c>
      <c r="H9347" s="28" t="e">
        <f>VLOOKUP(E9347,'Cadastro Produtos (kiwkiw)'!C:E,3,0)</f>
        <v>#N/A</v>
      </c>
    </row>
    <row r="9348" spans="7:8" ht="15" customHeight="1" x14ac:dyDescent="0.4">
      <c r="G9348" s="27">
        <f t="shared" si="157"/>
        <v>0</v>
      </c>
      <c r="H9348" s="28" t="e">
        <f>VLOOKUP(E9348,'Cadastro Produtos (kiwkiw)'!C:E,3,0)</f>
        <v>#N/A</v>
      </c>
    </row>
    <row r="9349" spans="7:8" ht="15" customHeight="1" x14ac:dyDescent="0.4">
      <c r="G9349" s="27">
        <f t="shared" si="157"/>
        <v>0</v>
      </c>
      <c r="H9349" s="28" t="e">
        <f>VLOOKUP(E9349,'Cadastro Produtos (kiwkiw)'!C:E,3,0)</f>
        <v>#N/A</v>
      </c>
    </row>
    <row r="9350" spans="7:8" ht="15" customHeight="1" x14ac:dyDescent="0.4">
      <c r="G9350" s="27">
        <f t="shared" si="157"/>
        <v>0</v>
      </c>
      <c r="H9350" s="28" t="e">
        <f>VLOOKUP(E9350,'Cadastro Produtos (kiwkiw)'!C:E,3,0)</f>
        <v>#N/A</v>
      </c>
    </row>
    <row r="9351" spans="7:8" ht="15" customHeight="1" x14ac:dyDescent="0.4">
      <c r="G9351" s="27">
        <f t="shared" si="157"/>
        <v>0</v>
      </c>
      <c r="H9351" s="28" t="e">
        <f>VLOOKUP(E9351,'Cadastro Produtos (kiwkiw)'!C:E,3,0)</f>
        <v>#N/A</v>
      </c>
    </row>
    <row r="9352" spans="7:8" ht="15" customHeight="1" x14ac:dyDescent="0.4">
      <c r="G9352" s="27">
        <f t="shared" si="157"/>
        <v>0</v>
      </c>
      <c r="H9352" s="28" t="e">
        <f>VLOOKUP(E9352,'Cadastro Produtos (kiwkiw)'!C:E,3,0)</f>
        <v>#N/A</v>
      </c>
    </row>
    <row r="9353" spans="7:8" ht="15" customHeight="1" x14ac:dyDescent="0.4">
      <c r="G9353" s="27">
        <f t="shared" si="157"/>
        <v>0</v>
      </c>
      <c r="H9353" s="28" t="e">
        <f>VLOOKUP(E9353,'Cadastro Produtos (kiwkiw)'!C:E,3,0)</f>
        <v>#N/A</v>
      </c>
    </row>
    <row r="9354" spans="7:8" ht="15" customHeight="1" x14ac:dyDescent="0.4">
      <c r="G9354" s="27">
        <f t="shared" si="157"/>
        <v>0</v>
      </c>
      <c r="H9354" s="28" t="e">
        <f>VLOOKUP(E9354,'Cadastro Produtos (kiwkiw)'!C:E,3,0)</f>
        <v>#N/A</v>
      </c>
    </row>
    <row r="9355" spans="7:8" ht="15" customHeight="1" x14ac:dyDescent="0.4">
      <c r="G9355" s="27">
        <f t="shared" si="157"/>
        <v>0</v>
      </c>
      <c r="H9355" s="28" t="e">
        <f>VLOOKUP(E9355,'Cadastro Produtos (kiwkiw)'!C:E,3,0)</f>
        <v>#N/A</v>
      </c>
    </row>
    <row r="9356" spans="7:8" ht="15" customHeight="1" x14ac:dyDescent="0.4">
      <c r="G9356" s="27">
        <f t="shared" si="157"/>
        <v>0</v>
      </c>
      <c r="H9356" s="28" t="e">
        <f>VLOOKUP(E9356,'Cadastro Produtos (kiwkiw)'!C:E,3,0)</f>
        <v>#N/A</v>
      </c>
    </row>
    <row r="9357" spans="7:8" ht="15" customHeight="1" x14ac:dyDescent="0.4">
      <c r="G9357" s="27">
        <f t="shared" si="157"/>
        <v>0</v>
      </c>
      <c r="H9357" s="28" t="e">
        <f>VLOOKUP(E9357,'Cadastro Produtos (kiwkiw)'!C:E,3,0)</f>
        <v>#N/A</v>
      </c>
    </row>
    <row r="9358" spans="7:8" ht="15" customHeight="1" x14ac:dyDescent="0.4">
      <c r="G9358" s="27">
        <f t="shared" si="157"/>
        <v>0</v>
      </c>
      <c r="H9358" s="28" t="e">
        <f>VLOOKUP(E9358,'Cadastro Produtos (kiwkiw)'!C:E,3,0)</f>
        <v>#N/A</v>
      </c>
    </row>
    <row r="9359" spans="7:8" ht="15" customHeight="1" x14ac:dyDescent="0.4">
      <c r="G9359" s="27">
        <f t="shared" si="157"/>
        <v>0</v>
      </c>
      <c r="H9359" s="28" t="e">
        <f>VLOOKUP(E9359,'Cadastro Produtos (kiwkiw)'!C:E,3,0)</f>
        <v>#N/A</v>
      </c>
    </row>
    <row r="9360" spans="7:8" ht="15" customHeight="1" x14ac:dyDescent="0.4">
      <c r="G9360" s="27">
        <f t="shared" si="157"/>
        <v>0</v>
      </c>
      <c r="H9360" s="28" t="e">
        <f>VLOOKUP(E9360,'Cadastro Produtos (kiwkiw)'!C:E,3,0)</f>
        <v>#N/A</v>
      </c>
    </row>
    <row r="9361" spans="7:8" ht="15" customHeight="1" x14ac:dyDescent="0.4">
      <c r="G9361" s="27">
        <f t="shared" si="157"/>
        <v>0</v>
      </c>
      <c r="H9361" s="28" t="e">
        <f>VLOOKUP(E9361,'Cadastro Produtos (kiwkiw)'!C:E,3,0)</f>
        <v>#N/A</v>
      </c>
    </row>
    <row r="9362" spans="7:8" ht="15" customHeight="1" x14ac:dyDescent="0.4">
      <c r="G9362" s="27">
        <f t="shared" ref="G9362:G9425" si="158">IF(C9362="Entrada",F9362,-F9362)</f>
        <v>0</v>
      </c>
      <c r="H9362" s="28" t="e">
        <f>VLOOKUP(E9362,'Cadastro Produtos (kiwkiw)'!C:E,3,0)</f>
        <v>#N/A</v>
      </c>
    </row>
    <row r="9363" spans="7:8" ht="15" customHeight="1" x14ac:dyDescent="0.4">
      <c r="G9363" s="27">
        <f t="shared" si="158"/>
        <v>0</v>
      </c>
      <c r="H9363" s="28" t="e">
        <f>VLOOKUP(E9363,'Cadastro Produtos (kiwkiw)'!C:E,3,0)</f>
        <v>#N/A</v>
      </c>
    </row>
    <row r="9364" spans="7:8" ht="15" customHeight="1" x14ac:dyDescent="0.4">
      <c r="G9364" s="27">
        <f t="shared" si="158"/>
        <v>0</v>
      </c>
      <c r="H9364" s="28" t="e">
        <f>VLOOKUP(E9364,'Cadastro Produtos (kiwkiw)'!C:E,3,0)</f>
        <v>#N/A</v>
      </c>
    </row>
    <row r="9365" spans="7:8" ht="15" customHeight="1" x14ac:dyDescent="0.4">
      <c r="G9365" s="27">
        <f t="shared" si="158"/>
        <v>0</v>
      </c>
      <c r="H9365" s="28" t="e">
        <f>VLOOKUP(E9365,'Cadastro Produtos (kiwkiw)'!C:E,3,0)</f>
        <v>#N/A</v>
      </c>
    </row>
    <row r="9366" spans="7:8" ht="15" customHeight="1" x14ac:dyDescent="0.4">
      <c r="G9366" s="27">
        <f t="shared" si="158"/>
        <v>0</v>
      </c>
      <c r="H9366" s="28" t="e">
        <f>VLOOKUP(E9366,'Cadastro Produtos (kiwkiw)'!C:E,3,0)</f>
        <v>#N/A</v>
      </c>
    </row>
    <row r="9367" spans="7:8" ht="15" customHeight="1" x14ac:dyDescent="0.4">
      <c r="G9367" s="27">
        <f t="shared" si="158"/>
        <v>0</v>
      </c>
      <c r="H9367" s="28" t="e">
        <f>VLOOKUP(E9367,'Cadastro Produtos (kiwkiw)'!C:E,3,0)</f>
        <v>#N/A</v>
      </c>
    </row>
    <row r="9368" spans="7:8" ht="15" customHeight="1" x14ac:dyDescent="0.4">
      <c r="G9368" s="27">
        <f t="shared" si="158"/>
        <v>0</v>
      </c>
      <c r="H9368" s="28" t="e">
        <f>VLOOKUP(E9368,'Cadastro Produtos (kiwkiw)'!C:E,3,0)</f>
        <v>#N/A</v>
      </c>
    </row>
    <row r="9369" spans="7:8" ht="15" customHeight="1" x14ac:dyDescent="0.4">
      <c r="G9369" s="27">
        <f t="shared" si="158"/>
        <v>0</v>
      </c>
      <c r="H9369" s="28" t="e">
        <f>VLOOKUP(E9369,'Cadastro Produtos (kiwkiw)'!C:E,3,0)</f>
        <v>#N/A</v>
      </c>
    </row>
    <row r="9370" spans="7:8" ht="15" customHeight="1" x14ac:dyDescent="0.4">
      <c r="G9370" s="27">
        <f t="shared" si="158"/>
        <v>0</v>
      </c>
      <c r="H9370" s="28" t="e">
        <f>VLOOKUP(E9370,'Cadastro Produtos (kiwkiw)'!C:E,3,0)</f>
        <v>#N/A</v>
      </c>
    </row>
    <row r="9371" spans="7:8" ht="15" customHeight="1" x14ac:dyDescent="0.4">
      <c r="G9371" s="27">
        <f t="shared" si="158"/>
        <v>0</v>
      </c>
      <c r="H9371" s="28" t="e">
        <f>VLOOKUP(E9371,'Cadastro Produtos (kiwkiw)'!C:E,3,0)</f>
        <v>#N/A</v>
      </c>
    </row>
    <row r="9372" spans="7:8" ht="15" customHeight="1" x14ac:dyDescent="0.4">
      <c r="G9372" s="27">
        <f t="shared" si="158"/>
        <v>0</v>
      </c>
      <c r="H9372" s="28" t="e">
        <f>VLOOKUP(E9372,'Cadastro Produtos (kiwkiw)'!C:E,3,0)</f>
        <v>#N/A</v>
      </c>
    </row>
    <row r="9373" spans="7:8" ht="15" customHeight="1" x14ac:dyDescent="0.4">
      <c r="G9373" s="27">
        <f t="shared" si="158"/>
        <v>0</v>
      </c>
      <c r="H9373" s="28" t="e">
        <f>VLOOKUP(E9373,'Cadastro Produtos (kiwkiw)'!C:E,3,0)</f>
        <v>#N/A</v>
      </c>
    </row>
    <row r="9374" spans="7:8" ht="15" customHeight="1" x14ac:dyDescent="0.4">
      <c r="G9374" s="27">
        <f t="shared" si="158"/>
        <v>0</v>
      </c>
      <c r="H9374" s="28" t="e">
        <f>VLOOKUP(E9374,'Cadastro Produtos (kiwkiw)'!C:E,3,0)</f>
        <v>#N/A</v>
      </c>
    </row>
    <row r="9375" spans="7:8" ht="15" customHeight="1" x14ac:dyDescent="0.4">
      <c r="G9375" s="27">
        <f t="shared" si="158"/>
        <v>0</v>
      </c>
      <c r="H9375" s="28" t="e">
        <f>VLOOKUP(E9375,'Cadastro Produtos (kiwkiw)'!C:E,3,0)</f>
        <v>#N/A</v>
      </c>
    </row>
    <row r="9376" spans="7:8" ht="15" customHeight="1" x14ac:dyDescent="0.4">
      <c r="G9376" s="27">
        <f t="shared" si="158"/>
        <v>0</v>
      </c>
      <c r="H9376" s="28" t="e">
        <f>VLOOKUP(E9376,'Cadastro Produtos (kiwkiw)'!C:E,3,0)</f>
        <v>#N/A</v>
      </c>
    </row>
    <row r="9377" spans="7:8" ht="15" customHeight="1" x14ac:dyDescent="0.4">
      <c r="G9377" s="27">
        <f t="shared" si="158"/>
        <v>0</v>
      </c>
      <c r="H9377" s="28" t="e">
        <f>VLOOKUP(E9377,'Cadastro Produtos (kiwkiw)'!C:E,3,0)</f>
        <v>#N/A</v>
      </c>
    </row>
    <row r="9378" spans="7:8" ht="15" customHeight="1" x14ac:dyDescent="0.4">
      <c r="G9378" s="27">
        <f t="shared" si="158"/>
        <v>0</v>
      </c>
      <c r="H9378" s="28" t="e">
        <f>VLOOKUP(E9378,'Cadastro Produtos (kiwkiw)'!C:E,3,0)</f>
        <v>#N/A</v>
      </c>
    </row>
    <row r="9379" spans="7:8" ht="15" customHeight="1" x14ac:dyDescent="0.4">
      <c r="G9379" s="27">
        <f t="shared" si="158"/>
        <v>0</v>
      </c>
      <c r="H9379" s="28" t="e">
        <f>VLOOKUP(E9379,'Cadastro Produtos (kiwkiw)'!C:E,3,0)</f>
        <v>#N/A</v>
      </c>
    </row>
    <row r="9380" spans="7:8" ht="15" customHeight="1" x14ac:dyDescent="0.4">
      <c r="G9380" s="27">
        <f t="shared" si="158"/>
        <v>0</v>
      </c>
      <c r="H9380" s="28" t="e">
        <f>VLOOKUP(E9380,'Cadastro Produtos (kiwkiw)'!C:E,3,0)</f>
        <v>#N/A</v>
      </c>
    </row>
    <row r="9381" spans="7:8" ht="15" customHeight="1" x14ac:dyDescent="0.4">
      <c r="G9381" s="27">
        <f t="shared" si="158"/>
        <v>0</v>
      </c>
      <c r="H9381" s="28" t="e">
        <f>VLOOKUP(E9381,'Cadastro Produtos (kiwkiw)'!C:E,3,0)</f>
        <v>#N/A</v>
      </c>
    </row>
    <row r="9382" spans="7:8" ht="15" customHeight="1" x14ac:dyDescent="0.4">
      <c r="G9382" s="27">
        <f t="shared" si="158"/>
        <v>0</v>
      </c>
      <c r="H9382" s="28" t="e">
        <f>VLOOKUP(E9382,'Cadastro Produtos (kiwkiw)'!C:E,3,0)</f>
        <v>#N/A</v>
      </c>
    </row>
    <row r="9383" spans="7:8" ht="15" customHeight="1" x14ac:dyDescent="0.4">
      <c r="G9383" s="27">
        <f t="shared" si="158"/>
        <v>0</v>
      </c>
      <c r="H9383" s="28" t="e">
        <f>VLOOKUP(E9383,'Cadastro Produtos (kiwkiw)'!C:E,3,0)</f>
        <v>#N/A</v>
      </c>
    </row>
    <row r="9384" spans="7:8" ht="15" customHeight="1" x14ac:dyDescent="0.4">
      <c r="G9384" s="27">
        <f t="shared" si="158"/>
        <v>0</v>
      </c>
      <c r="H9384" s="28" t="e">
        <f>VLOOKUP(E9384,'Cadastro Produtos (kiwkiw)'!C:E,3,0)</f>
        <v>#N/A</v>
      </c>
    </row>
    <row r="9385" spans="7:8" ht="15" customHeight="1" x14ac:dyDescent="0.4">
      <c r="G9385" s="27">
        <f t="shared" si="158"/>
        <v>0</v>
      </c>
      <c r="H9385" s="28" t="e">
        <f>VLOOKUP(E9385,'Cadastro Produtos (kiwkiw)'!C:E,3,0)</f>
        <v>#N/A</v>
      </c>
    </row>
    <row r="9386" spans="7:8" ht="15" customHeight="1" x14ac:dyDescent="0.4">
      <c r="G9386" s="27">
        <f t="shared" si="158"/>
        <v>0</v>
      </c>
      <c r="H9386" s="28" t="e">
        <f>VLOOKUP(E9386,'Cadastro Produtos (kiwkiw)'!C:E,3,0)</f>
        <v>#N/A</v>
      </c>
    </row>
    <row r="9387" spans="7:8" ht="15" customHeight="1" x14ac:dyDescent="0.4">
      <c r="G9387" s="27">
        <f t="shared" si="158"/>
        <v>0</v>
      </c>
      <c r="H9387" s="28" t="e">
        <f>VLOOKUP(E9387,'Cadastro Produtos (kiwkiw)'!C:E,3,0)</f>
        <v>#N/A</v>
      </c>
    </row>
    <row r="9388" spans="7:8" ht="15" customHeight="1" x14ac:dyDescent="0.4">
      <c r="G9388" s="27">
        <f t="shared" si="158"/>
        <v>0</v>
      </c>
      <c r="H9388" s="28" t="e">
        <f>VLOOKUP(E9388,'Cadastro Produtos (kiwkiw)'!C:E,3,0)</f>
        <v>#N/A</v>
      </c>
    </row>
    <row r="9389" spans="7:8" ht="15" customHeight="1" x14ac:dyDescent="0.4">
      <c r="G9389" s="27">
        <f t="shared" si="158"/>
        <v>0</v>
      </c>
      <c r="H9389" s="28" t="e">
        <f>VLOOKUP(E9389,'Cadastro Produtos (kiwkiw)'!C:E,3,0)</f>
        <v>#N/A</v>
      </c>
    </row>
    <row r="9390" spans="7:8" ht="15" customHeight="1" x14ac:dyDescent="0.4">
      <c r="G9390" s="27">
        <f t="shared" si="158"/>
        <v>0</v>
      </c>
      <c r="H9390" s="28" t="e">
        <f>VLOOKUP(E9390,'Cadastro Produtos (kiwkiw)'!C:E,3,0)</f>
        <v>#N/A</v>
      </c>
    </row>
    <row r="9391" spans="7:8" ht="15" customHeight="1" x14ac:dyDescent="0.4">
      <c r="G9391" s="27">
        <f t="shared" si="158"/>
        <v>0</v>
      </c>
      <c r="H9391" s="28" t="e">
        <f>VLOOKUP(E9391,'Cadastro Produtos (kiwkiw)'!C:E,3,0)</f>
        <v>#N/A</v>
      </c>
    </row>
    <row r="9392" spans="7:8" ht="15" customHeight="1" x14ac:dyDescent="0.4">
      <c r="G9392" s="27">
        <f t="shared" si="158"/>
        <v>0</v>
      </c>
      <c r="H9392" s="28" t="e">
        <f>VLOOKUP(E9392,'Cadastro Produtos (kiwkiw)'!C:E,3,0)</f>
        <v>#N/A</v>
      </c>
    </row>
    <row r="9393" spans="7:8" ht="15" customHeight="1" x14ac:dyDescent="0.4">
      <c r="G9393" s="27">
        <f t="shared" si="158"/>
        <v>0</v>
      </c>
      <c r="H9393" s="28" t="e">
        <f>VLOOKUP(E9393,'Cadastro Produtos (kiwkiw)'!C:E,3,0)</f>
        <v>#N/A</v>
      </c>
    </row>
    <row r="9394" spans="7:8" ht="15" customHeight="1" x14ac:dyDescent="0.4">
      <c r="G9394" s="27">
        <f t="shared" si="158"/>
        <v>0</v>
      </c>
      <c r="H9394" s="28" t="e">
        <f>VLOOKUP(E9394,'Cadastro Produtos (kiwkiw)'!C:E,3,0)</f>
        <v>#N/A</v>
      </c>
    </row>
    <row r="9395" spans="7:8" ht="15" customHeight="1" x14ac:dyDescent="0.4">
      <c r="G9395" s="27">
        <f t="shared" si="158"/>
        <v>0</v>
      </c>
      <c r="H9395" s="28" t="e">
        <f>VLOOKUP(E9395,'Cadastro Produtos (kiwkiw)'!C:E,3,0)</f>
        <v>#N/A</v>
      </c>
    </row>
    <row r="9396" spans="7:8" ht="15" customHeight="1" x14ac:dyDescent="0.4">
      <c r="G9396" s="27">
        <f t="shared" si="158"/>
        <v>0</v>
      </c>
      <c r="H9396" s="28" t="e">
        <f>VLOOKUP(E9396,'Cadastro Produtos (kiwkiw)'!C:E,3,0)</f>
        <v>#N/A</v>
      </c>
    </row>
    <row r="9397" spans="7:8" ht="15" customHeight="1" x14ac:dyDescent="0.4">
      <c r="G9397" s="27">
        <f t="shared" si="158"/>
        <v>0</v>
      </c>
      <c r="H9397" s="28" t="e">
        <f>VLOOKUP(E9397,'Cadastro Produtos (kiwkiw)'!C:E,3,0)</f>
        <v>#N/A</v>
      </c>
    </row>
    <row r="9398" spans="7:8" ht="15" customHeight="1" x14ac:dyDescent="0.4">
      <c r="G9398" s="27">
        <f t="shared" si="158"/>
        <v>0</v>
      </c>
      <c r="H9398" s="28" t="e">
        <f>VLOOKUP(E9398,'Cadastro Produtos (kiwkiw)'!C:E,3,0)</f>
        <v>#N/A</v>
      </c>
    </row>
    <row r="9399" spans="7:8" ht="15" customHeight="1" x14ac:dyDescent="0.4">
      <c r="G9399" s="27">
        <f t="shared" si="158"/>
        <v>0</v>
      </c>
      <c r="H9399" s="28" t="e">
        <f>VLOOKUP(E9399,'Cadastro Produtos (kiwkiw)'!C:E,3,0)</f>
        <v>#N/A</v>
      </c>
    </row>
    <row r="9400" spans="7:8" ht="15" customHeight="1" x14ac:dyDescent="0.4">
      <c r="G9400" s="27">
        <f t="shared" si="158"/>
        <v>0</v>
      </c>
      <c r="H9400" s="28" t="e">
        <f>VLOOKUP(E9400,'Cadastro Produtos (kiwkiw)'!C:E,3,0)</f>
        <v>#N/A</v>
      </c>
    </row>
    <row r="9401" spans="7:8" ht="15" customHeight="1" x14ac:dyDescent="0.4">
      <c r="G9401" s="27">
        <f t="shared" si="158"/>
        <v>0</v>
      </c>
      <c r="H9401" s="28" t="e">
        <f>VLOOKUP(E9401,'Cadastro Produtos (kiwkiw)'!C:E,3,0)</f>
        <v>#N/A</v>
      </c>
    </row>
    <row r="9402" spans="7:8" ht="15" customHeight="1" x14ac:dyDescent="0.4">
      <c r="G9402" s="27">
        <f t="shared" si="158"/>
        <v>0</v>
      </c>
      <c r="H9402" s="28" t="e">
        <f>VLOOKUP(E9402,'Cadastro Produtos (kiwkiw)'!C:E,3,0)</f>
        <v>#N/A</v>
      </c>
    </row>
    <row r="9403" spans="7:8" ht="15" customHeight="1" x14ac:dyDescent="0.4">
      <c r="G9403" s="27">
        <f t="shared" si="158"/>
        <v>0</v>
      </c>
      <c r="H9403" s="28" t="e">
        <f>VLOOKUP(E9403,'Cadastro Produtos (kiwkiw)'!C:E,3,0)</f>
        <v>#N/A</v>
      </c>
    </row>
    <row r="9404" spans="7:8" ht="15" customHeight="1" x14ac:dyDescent="0.4">
      <c r="G9404" s="27">
        <f t="shared" si="158"/>
        <v>0</v>
      </c>
      <c r="H9404" s="28" t="e">
        <f>VLOOKUP(E9404,'Cadastro Produtos (kiwkiw)'!C:E,3,0)</f>
        <v>#N/A</v>
      </c>
    </row>
    <row r="9405" spans="7:8" ht="15" customHeight="1" x14ac:dyDescent="0.4">
      <c r="G9405" s="27">
        <f t="shared" si="158"/>
        <v>0</v>
      </c>
      <c r="H9405" s="28" t="e">
        <f>VLOOKUP(E9405,'Cadastro Produtos (kiwkiw)'!C:E,3,0)</f>
        <v>#N/A</v>
      </c>
    </row>
    <row r="9406" spans="7:8" ht="15" customHeight="1" x14ac:dyDescent="0.4">
      <c r="G9406" s="27">
        <f t="shared" si="158"/>
        <v>0</v>
      </c>
      <c r="H9406" s="28" t="e">
        <f>VLOOKUP(E9406,'Cadastro Produtos (kiwkiw)'!C:E,3,0)</f>
        <v>#N/A</v>
      </c>
    </row>
    <row r="9407" spans="7:8" ht="15" customHeight="1" x14ac:dyDescent="0.4">
      <c r="G9407" s="27">
        <f t="shared" si="158"/>
        <v>0</v>
      </c>
      <c r="H9407" s="28" t="e">
        <f>VLOOKUP(E9407,'Cadastro Produtos (kiwkiw)'!C:E,3,0)</f>
        <v>#N/A</v>
      </c>
    </row>
    <row r="9408" spans="7:8" ht="15" customHeight="1" x14ac:dyDescent="0.4">
      <c r="G9408" s="27">
        <f t="shared" si="158"/>
        <v>0</v>
      </c>
      <c r="H9408" s="28" t="e">
        <f>VLOOKUP(E9408,'Cadastro Produtos (kiwkiw)'!C:E,3,0)</f>
        <v>#N/A</v>
      </c>
    </row>
    <row r="9409" spans="7:8" ht="15" customHeight="1" x14ac:dyDescent="0.4">
      <c r="G9409" s="27">
        <f t="shared" si="158"/>
        <v>0</v>
      </c>
      <c r="H9409" s="28" t="e">
        <f>VLOOKUP(E9409,'Cadastro Produtos (kiwkiw)'!C:E,3,0)</f>
        <v>#N/A</v>
      </c>
    </row>
    <row r="9410" spans="7:8" ht="15" customHeight="1" x14ac:dyDescent="0.4">
      <c r="G9410" s="27">
        <f t="shared" si="158"/>
        <v>0</v>
      </c>
      <c r="H9410" s="28" t="e">
        <f>VLOOKUP(E9410,'Cadastro Produtos (kiwkiw)'!C:E,3,0)</f>
        <v>#N/A</v>
      </c>
    </row>
    <row r="9411" spans="7:8" ht="15" customHeight="1" x14ac:dyDescent="0.4">
      <c r="G9411" s="27">
        <f t="shared" si="158"/>
        <v>0</v>
      </c>
      <c r="H9411" s="28" t="e">
        <f>VLOOKUP(E9411,'Cadastro Produtos (kiwkiw)'!C:E,3,0)</f>
        <v>#N/A</v>
      </c>
    </row>
    <row r="9412" spans="7:8" ht="15" customHeight="1" x14ac:dyDescent="0.4">
      <c r="G9412" s="27">
        <f t="shared" si="158"/>
        <v>0</v>
      </c>
      <c r="H9412" s="28" t="e">
        <f>VLOOKUP(E9412,'Cadastro Produtos (kiwkiw)'!C:E,3,0)</f>
        <v>#N/A</v>
      </c>
    </row>
    <row r="9413" spans="7:8" ht="15" customHeight="1" x14ac:dyDescent="0.4">
      <c r="G9413" s="27">
        <f t="shared" si="158"/>
        <v>0</v>
      </c>
      <c r="H9413" s="28" t="e">
        <f>VLOOKUP(E9413,'Cadastro Produtos (kiwkiw)'!C:E,3,0)</f>
        <v>#N/A</v>
      </c>
    </row>
    <row r="9414" spans="7:8" ht="15" customHeight="1" x14ac:dyDescent="0.4">
      <c r="G9414" s="27">
        <f t="shared" si="158"/>
        <v>0</v>
      </c>
      <c r="H9414" s="28" t="e">
        <f>VLOOKUP(E9414,'Cadastro Produtos (kiwkiw)'!C:E,3,0)</f>
        <v>#N/A</v>
      </c>
    </row>
    <row r="9415" spans="7:8" ht="15" customHeight="1" x14ac:dyDescent="0.4">
      <c r="G9415" s="27">
        <f t="shared" si="158"/>
        <v>0</v>
      </c>
      <c r="H9415" s="28" t="e">
        <f>VLOOKUP(E9415,'Cadastro Produtos (kiwkiw)'!C:E,3,0)</f>
        <v>#N/A</v>
      </c>
    </row>
    <row r="9416" spans="7:8" ht="15" customHeight="1" x14ac:dyDescent="0.4">
      <c r="G9416" s="27">
        <f t="shared" si="158"/>
        <v>0</v>
      </c>
      <c r="H9416" s="28" t="e">
        <f>VLOOKUP(E9416,'Cadastro Produtos (kiwkiw)'!C:E,3,0)</f>
        <v>#N/A</v>
      </c>
    </row>
    <row r="9417" spans="7:8" ht="15" customHeight="1" x14ac:dyDescent="0.4">
      <c r="G9417" s="27">
        <f t="shared" si="158"/>
        <v>0</v>
      </c>
      <c r="H9417" s="28" t="e">
        <f>VLOOKUP(E9417,'Cadastro Produtos (kiwkiw)'!C:E,3,0)</f>
        <v>#N/A</v>
      </c>
    </row>
    <row r="9418" spans="7:8" ht="15" customHeight="1" x14ac:dyDescent="0.4">
      <c r="G9418" s="27">
        <f t="shared" si="158"/>
        <v>0</v>
      </c>
      <c r="H9418" s="28" t="e">
        <f>VLOOKUP(E9418,'Cadastro Produtos (kiwkiw)'!C:E,3,0)</f>
        <v>#N/A</v>
      </c>
    </row>
    <row r="9419" spans="7:8" ht="15" customHeight="1" x14ac:dyDescent="0.4">
      <c r="G9419" s="27">
        <f t="shared" si="158"/>
        <v>0</v>
      </c>
      <c r="H9419" s="28" t="e">
        <f>VLOOKUP(E9419,'Cadastro Produtos (kiwkiw)'!C:E,3,0)</f>
        <v>#N/A</v>
      </c>
    </row>
    <row r="9420" spans="7:8" ht="15" customHeight="1" x14ac:dyDescent="0.4">
      <c r="G9420" s="27">
        <f t="shared" si="158"/>
        <v>0</v>
      </c>
      <c r="H9420" s="28" t="e">
        <f>VLOOKUP(E9420,'Cadastro Produtos (kiwkiw)'!C:E,3,0)</f>
        <v>#N/A</v>
      </c>
    </row>
    <row r="9421" spans="7:8" ht="15" customHeight="1" x14ac:dyDescent="0.4">
      <c r="G9421" s="27">
        <f t="shared" si="158"/>
        <v>0</v>
      </c>
      <c r="H9421" s="28" t="e">
        <f>VLOOKUP(E9421,'Cadastro Produtos (kiwkiw)'!C:E,3,0)</f>
        <v>#N/A</v>
      </c>
    </row>
    <row r="9422" spans="7:8" ht="15" customHeight="1" x14ac:dyDescent="0.4">
      <c r="G9422" s="27">
        <f t="shared" si="158"/>
        <v>0</v>
      </c>
      <c r="H9422" s="28" t="e">
        <f>VLOOKUP(E9422,'Cadastro Produtos (kiwkiw)'!C:E,3,0)</f>
        <v>#N/A</v>
      </c>
    </row>
    <row r="9423" spans="7:8" ht="15" customHeight="1" x14ac:dyDescent="0.4">
      <c r="G9423" s="27">
        <f t="shared" si="158"/>
        <v>0</v>
      </c>
      <c r="H9423" s="28" t="e">
        <f>VLOOKUP(E9423,'Cadastro Produtos (kiwkiw)'!C:E,3,0)</f>
        <v>#N/A</v>
      </c>
    </row>
    <row r="9424" spans="7:8" ht="15" customHeight="1" x14ac:dyDescent="0.4">
      <c r="G9424" s="27">
        <f t="shared" si="158"/>
        <v>0</v>
      </c>
      <c r="H9424" s="28" t="e">
        <f>VLOOKUP(E9424,'Cadastro Produtos (kiwkiw)'!C:E,3,0)</f>
        <v>#N/A</v>
      </c>
    </row>
    <row r="9425" spans="7:8" ht="15" customHeight="1" x14ac:dyDescent="0.4">
      <c r="G9425" s="27">
        <f t="shared" si="158"/>
        <v>0</v>
      </c>
      <c r="H9425" s="28" t="e">
        <f>VLOOKUP(E9425,'Cadastro Produtos (kiwkiw)'!C:E,3,0)</f>
        <v>#N/A</v>
      </c>
    </row>
    <row r="9426" spans="7:8" ht="15" customHeight="1" x14ac:dyDescent="0.4">
      <c r="G9426" s="27">
        <f t="shared" ref="G9426:G9489" si="159">IF(C9426="Entrada",F9426,-F9426)</f>
        <v>0</v>
      </c>
      <c r="H9426" s="28" t="e">
        <f>VLOOKUP(E9426,'Cadastro Produtos (kiwkiw)'!C:E,3,0)</f>
        <v>#N/A</v>
      </c>
    </row>
    <row r="9427" spans="7:8" ht="15" customHeight="1" x14ac:dyDescent="0.4">
      <c r="G9427" s="27">
        <f t="shared" si="159"/>
        <v>0</v>
      </c>
      <c r="H9427" s="28" t="e">
        <f>VLOOKUP(E9427,'Cadastro Produtos (kiwkiw)'!C:E,3,0)</f>
        <v>#N/A</v>
      </c>
    </row>
    <row r="9428" spans="7:8" ht="15" customHeight="1" x14ac:dyDescent="0.4">
      <c r="G9428" s="27">
        <f t="shared" si="159"/>
        <v>0</v>
      </c>
      <c r="H9428" s="28" t="e">
        <f>VLOOKUP(E9428,'Cadastro Produtos (kiwkiw)'!C:E,3,0)</f>
        <v>#N/A</v>
      </c>
    </row>
    <row r="9429" spans="7:8" ht="15" customHeight="1" x14ac:dyDescent="0.4">
      <c r="G9429" s="27">
        <f t="shared" si="159"/>
        <v>0</v>
      </c>
      <c r="H9429" s="28" t="e">
        <f>VLOOKUP(E9429,'Cadastro Produtos (kiwkiw)'!C:E,3,0)</f>
        <v>#N/A</v>
      </c>
    </row>
    <row r="9430" spans="7:8" ht="15" customHeight="1" x14ac:dyDescent="0.4">
      <c r="G9430" s="27">
        <f t="shared" si="159"/>
        <v>0</v>
      </c>
      <c r="H9430" s="28" t="e">
        <f>VLOOKUP(E9430,'Cadastro Produtos (kiwkiw)'!C:E,3,0)</f>
        <v>#N/A</v>
      </c>
    </row>
    <row r="9431" spans="7:8" ht="15" customHeight="1" x14ac:dyDescent="0.4">
      <c r="G9431" s="27">
        <f t="shared" si="159"/>
        <v>0</v>
      </c>
      <c r="H9431" s="28" t="e">
        <f>VLOOKUP(E9431,'Cadastro Produtos (kiwkiw)'!C:E,3,0)</f>
        <v>#N/A</v>
      </c>
    </row>
    <row r="9432" spans="7:8" ht="15" customHeight="1" x14ac:dyDescent="0.4">
      <c r="G9432" s="27">
        <f t="shared" si="159"/>
        <v>0</v>
      </c>
      <c r="H9432" s="28" t="e">
        <f>VLOOKUP(E9432,'Cadastro Produtos (kiwkiw)'!C:E,3,0)</f>
        <v>#N/A</v>
      </c>
    </row>
    <row r="9433" spans="7:8" ht="15" customHeight="1" x14ac:dyDescent="0.4">
      <c r="G9433" s="27">
        <f t="shared" si="159"/>
        <v>0</v>
      </c>
      <c r="H9433" s="28" t="e">
        <f>VLOOKUP(E9433,'Cadastro Produtos (kiwkiw)'!C:E,3,0)</f>
        <v>#N/A</v>
      </c>
    </row>
    <row r="9434" spans="7:8" ht="15" customHeight="1" x14ac:dyDescent="0.4">
      <c r="G9434" s="27">
        <f t="shared" si="159"/>
        <v>0</v>
      </c>
      <c r="H9434" s="28" t="e">
        <f>VLOOKUP(E9434,'Cadastro Produtos (kiwkiw)'!C:E,3,0)</f>
        <v>#N/A</v>
      </c>
    </row>
    <row r="9435" spans="7:8" ht="15" customHeight="1" x14ac:dyDescent="0.4">
      <c r="G9435" s="27">
        <f t="shared" si="159"/>
        <v>0</v>
      </c>
      <c r="H9435" s="28" t="e">
        <f>VLOOKUP(E9435,'Cadastro Produtos (kiwkiw)'!C:E,3,0)</f>
        <v>#N/A</v>
      </c>
    </row>
    <row r="9436" spans="7:8" ht="15" customHeight="1" x14ac:dyDescent="0.4">
      <c r="G9436" s="27">
        <f t="shared" si="159"/>
        <v>0</v>
      </c>
      <c r="H9436" s="28" t="e">
        <f>VLOOKUP(E9436,'Cadastro Produtos (kiwkiw)'!C:E,3,0)</f>
        <v>#N/A</v>
      </c>
    </row>
    <row r="9437" spans="7:8" ht="15" customHeight="1" x14ac:dyDescent="0.4">
      <c r="G9437" s="27">
        <f t="shared" si="159"/>
        <v>0</v>
      </c>
      <c r="H9437" s="28" t="e">
        <f>VLOOKUP(E9437,'Cadastro Produtos (kiwkiw)'!C:E,3,0)</f>
        <v>#N/A</v>
      </c>
    </row>
    <row r="9438" spans="7:8" ht="15" customHeight="1" x14ac:dyDescent="0.4">
      <c r="G9438" s="27">
        <f t="shared" si="159"/>
        <v>0</v>
      </c>
      <c r="H9438" s="28" t="e">
        <f>VLOOKUP(E9438,'Cadastro Produtos (kiwkiw)'!C:E,3,0)</f>
        <v>#N/A</v>
      </c>
    </row>
    <row r="9439" spans="7:8" ht="15" customHeight="1" x14ac:dyDescent="0.4">
      <c r="G9439" s="27">
        <f t="shared" si="159"/>
        <v>0</v>
      </c>
      <c r="H9439" s="28" t="e">
        <f>VLOOKUP(E9439,'Cadastro Produtos (kiwkiw)'!C:E,3,0)</f>
        <v>#N/A</v>
      </c>
    </row>
    <row r="9440" spans="7:8" ht="15" customHeight="1" x14ac:dyDescent="0.4">
      <c r="G9440" s="27">
        <f t="shared" si="159"/>
        <v>0</v>
      </c>
      <c r="H9440" s="28" t="e">
        <f>VLOOKUP(E9440,'Cadastro Produtos (kiwkiw)'!C:E,3,0)</f>
        <v>#N/A</v>
      </c>
    </row>
    <row r="9441" spans="7:8" ht="15" customHeight="1" x14ac:dyDescent="0.4">
      <c r="G9441" s="27">
        <f t="shared" si="159"/>
        <v>0</v>
      </c>
      <c r="H9441" s="28" t="e">
        <f>VLOOKUP(E9441,'Cadastro Produtos (kiwkiw)'!C:E,3,0)</f>
        <v>#N/A</v>
      </c>
    </row>
    <row r="9442" spans="7:8" ht="15" customHeight="1" x14ac:dyDescent="0.4">
      <c r="G9442" s="27">
        <f t="shared" si="159"/>
        <v>0</v>
      </c>
      <c r="H9442" s="28" t="e">
        <f>VLOOKUP(E9442,'Cadastro Produtos (kiwkiw)'!C:E,3,0)</f>
        <v>#N/A</v>
      </c>
    </row>
    <row r="9443" spans="7:8" ht="15" customHeight="1" x14ac:dyDescent="0.4">
      <c r="G9443" s="27">
        <f t="shared" si="159"/>
        <v>0</v>
      </c>
      <c r="H9443" s="28" t="e">
        <f>VLOOKUP(E9443,'Cadastro Produtos (kiwkiw)'!C:E,3,0)</f>
        <v>#N/A</v>
      </c>
    </row>
    <row r="9444" spans="7:8" ht="15" customHeight="1" x14ac:dyDescent="0.4">
      <c r="G9444" s="27">
        <f t="shared" si="159"/>
        <v>0</v>
      </c>
      <c r="H9444" s="28" t="e">
        <f>VLOOKUP(E9444,'Cadastro Produtos (kiwkiw)'!C:E,3,0)</f>
        <v>#N/A</v>
      </c>
    </row>
    <row r="9445" spans="7:8" ht="15" customHeight="1" x14ac:dyDescent="0.4">
      <c r="G9445" s="27">
        <f t="shared" si="159"/>
        <v>0</v>
      </c>
      <c r="H9445" s="28" t="e">
        <f>VLOOKUP(E9445,'Cadastro Produtos (kiwkiw)'!C:E,3,0)</f>
        <v>#N/A</v>
      </c>
    </row>
    <row r="9446" spans="7:8" ht="15" customHeight="1" x14ac:dyDescent="0.4">
      <c r="G9446" s="27">
        <f t="shared" si="159"/>
        <v>0</v>
      </c>
      <c r="H9446" s="28" t="e">
        <f>VLOOKUP(E9446,'Cadastro Produtos (kiwkiw)'!C:E,3,0)</f>
        <v>#N/A</v>
      </c>
    </row>
    <row r="9447" spans="7:8" ht="15" customHeight="1" x14ac:dyDescent="0.4">
      <c r="G9447" s="27">
        <f t="shared" si="159"/>
        <v>0</v>
      </c>
      <c r="H9447" s="28" t="e">
        <f>VLOOKUP(E9447,'Cadastro Produtos (kiwkiw)'!C:E,3,0)</f>
        <v>#N/A</v>
      </c>
    </row>
    <row r="9448" spans="7:8" ht="15" customHeight="1" x14ac:dyDescent="0.4">
      <c r="G9448" s="27">
        <f t="shared" si="159"/>
        <v>0</v>
      </c>
      <c r="H9448" s="28" t="e">
        <f>VLOOKUP(E9448,'Cadastro Produtos (kiwkiw)'!C:E,3,0)</f>
        <v>#N/A</v>
      </c>
    </row>
    <row r="9449" spans="7:8" ht="15" customHeight="1" x14ac:dyDescent="0.4">
      <c r="G9449" s="27">
        <f t="shared" si="159"/>
        <v>0</v>
      </c>
      <c r="H9449" s="28" t="e">
        <f>VLOOKUP(E9449,'Cadastro Produtos (kiwkiw)'!C:E,3,0)</f>
        <v>#N/A</v>
      </c>
    </row>
    <row r="9450" spans="7:8" ht="15" customHeight="1" x14ac:dyDescent="0.4">
      <c r="G9450" s="27">
        <f t="shared" si="159"/>
        <v>0</v>
      </c>
      <c r="H9450" s="28" t="e">
        <f>VLOOKUP(E9450,'Cadastro Produtos (kiwkiw)'!C:E,3,0)</f>
        <v>#N/A</v>
      </c>
    </row>
    <row r="9451" spans="7:8" ht="15" customHeight="1" x14ac:dyDescent="0.4">
      <c r="G9451" s="27">
        <f t="shared" si="159"/>
        <v>0</v>
      </c>
      <c r="H9451" s="28" t="e">
        <f>VLOOKUP(E9451,'Cadastro Produtos (kiwkiw)'!C:E,3,0)</f>
        <v>#N/A</v>
      </c>
    </row>
    <row r="9452" spans="7:8" ht="15" customHeight="1" x14ac:dyDescent="0.4">
      <c r="G9452" s="27">
        <f t="shared" si="159"/>
        <v>0</v>
      </c>
      <c r="H9452" s="28" t="e">
        <f>VLOOKUP(E9452,'Cadastro Produtos (kiwkiw)'!C:E,3,0)</f>
        <v>#N/A</v>
      </c>
    </row>
    <row r="9453" spans="7:8" ht="15" customHeight="1" x14ac:dyDescent="0.4">
      <c r="G9453" s="27">
        <f t="shared" si="159"/>
        <v>0</v>
      </c>
      <c r="H9453" s="28" t="e">
        <f>VLOOKUP(E9453,'Cadastro Produtos (kiwkiw)'!C:E,3,0)</f>
        <v>#N/A</v>
      </c>
    </row>
    <row r="9454" spans="7:8" ht="15" customHeight="1" x14ac:dyDescent="0.4">
      <c r="G9454" s="27">
        <f t="shared" si="159"/>
        <v>0</v>
      </c>
      <c r="H9454" s="28" t="e">
        <f>VLOOKUP(E9454,'Cadastro Produtos (kiwkiw)'!C:E,3,0)</f>
        <v>#N/A</v>
      </c>
    </row>
    <row r="9455" spans="7:8" ht="15" customHeight="1" x14ac:dyDescent="0.4">
      <c r="G9455" s="27">
        <f t="shared" si="159"/>
        <v>0</v>
      </c>
      <c r="H9455" s="28" t="e">
        <f>VLOOKUP(E9455,'Cadastro Produtos (kiwkiw)'!C:E,3,0)</f>
        <v>#N/A</v>
      </c>
    </row>
    <row r="9456" spans="7:8" ht="15" customHeight="1" x14ac:dyDescent="0.4">
      <c r="G9456" s="27">
        <f t="shared" si="159"/>
        <v>0</v>
      </c>
      <c r="H9456" s="28" t="e">
        <f>VLOOKUP(E9456,'Cadastro Produtos (kiwkiw)'!C:E,3,0)</f>
        <v>#N/A</v>
      </c>
    </row>
    <row r="9457" spans="7:8" ht="15" customHeight="1" x14ac:dyDescent="0.4">
      <c r="G9457" s="27">
        <f t="shared" si="159"/>
        <v>0</v>
      </c>
      <c r="H9457" s="28" t="e">
        <f>VLOOKUP(E9457,'Cadastro Produtos (kiwkiw)'!C:E,3,0)</f>
        <v>#N/A</v>
      </c>
    </row>
    <row r="9458" spans="7:8" ht="15" customHeight="1" x14ac:dyDescent="0.4">
      <c r="G9458" s="27">
        <f t="shared" si="159"/>
        <v>0</v>
      </c>
      <c r="H9458" s="28" t="e">
        <f>VLOOKUP(E9458,'Cadastro Produtos (kiwkiw)'!C:E,3,0)</f>
        <v>#N/A</v>
      </c>
    </row>
    <row r="9459" spans="7:8" ht="15" customHeight="1" x14ac:dyDescent="0.4">
      <c r="G9459" s="27">
        <f t="shared" si="159"/>
        <v>0</v>
      </c>
      <c r="H9459" s="28" t="e">
        <f>VLOOKUP(E9459,'Cadastro Produtos (kiwkiw)'!C:E,3,0)</f>
        <v>#N/A</v>
      </c>
    </row>
    <row r="9460" spans="7:8" ht="15" customHeight="1" x14ac:dyDescent="0.4">
      <c r="G9460" s="27">
        <f t="shared" si="159"/>
        <v>0</v>
      </c>
      <c r="H9460" s="28" t="e">
        <f>VLOOKUP(E9460,'Cadastro Produtos (kiwkiw)'!C:E,3,0)</f>
        <v>#N/A</v>
      </c>
    </row>
    <row r="9461" spans="7:8" ht="15" customHeight="1" x14ac:dyDescent="0.4">
      <c r="G9461" s="27">
        <f t="shared" si="159"/>
        <v>0</v>
      </c>
      <c r="H9461" s="28" t="e">
        <f>VLOOKUP(E9461,'Cadastro Produtos (kiwkiw)'!C:E,3,0)</f>
        <v>#N/A</v>
      </c>
    </row>
    <row r="9462" spans="7:8" ht="15" customHeight="1" x14ac:dyDescent="0.4">
      <c r="G9462" s="27">
        <f t="shared" si="159"/>
        <v>0</v>
      </c>
      <c r="H9462" s="28" t="e">
        <f>VLOOKUP(E9462,'Cadastro Produtos (kiwkiw)'!C:E,3,0)</f>
        <v>#N/A</v>
      </c>
    </row>
    <row r="9463" spans="7:8" ht="15" customHeight="1" x14ac:dyDescent="0.4">
      <c r="G9463" s="27">
        <f t="shared" si="159"/>
        <v>0</v>
      </c>
      <c r="H9463" s="28" t="e">
        <f>VLOOKUP(E9463,'Cadastro Produtos (kiwkiw)'!C:E,3,0)</f>
        <v>#N/A</v>
      </c>
    </row>
    <row r="9464" spans="7:8" ht="15" customHeight="1" x14ac:dyDescent="0.4">
      <c r="G9464" s="27">
        <f t="shared" si="159"/>
        <v>0</v>
      </c>
      <c r="H9464" s="28" t="e">
        <f>VLOOKUP(E9464,'Cadastro Produtos (kiwkiw)'!C:E,3,0)</f>
        <v>#N/A</v>
      </c>
    </row>
    <row r="9465" spans="7:8" ht="15" customHeight="1" x14ac:dyDescent="0.4">
      <c r="G9465" s="27">
        <f t="shared" si="159"/>
        <v>0</v>
      </c>
      <c r="H9465" s="28" t="e">
        <f>VLOOKUP(E9465,'Cadastro Produtos (kiwkiw)'!C:E,3,0)</f>
        <v>#N/A</v>
      </c>
    </row>
    <row r="9466" spans="7:8" ht="15" customHeight="1" x14ac:dyDescent="0.4">
      <c r="G9466" s="27">
        <f t="shared" si="159"/>
        <v>0</v>
      </c>
      <c r="H9466" s="28" t="e">
        <f>VLOOKUP(E9466,'Cadastro Produtos (kiwkiw)'!C:E,3,0)</f>
        <v>#N/A</v>
      </c>
    </row>
    <row r="9467" spans="7:8" ht="15" customHeight="1" x14ac:dyDescent="0.4">
      <c r="G9467" s="27">
        <f t="shared" si="159"/>
        <v>0</v>
      </c>
      <c r="H9467" s="28" t="e">
        <f>VLOOKUP(E9467,'Cadastro Produtos (kiwkiw)'!C:E,3,0)</f>
        <v>#N/A</v>
      </c>
    </row>
    <row r="9468" spans="7:8" ht="15" customHeight="1" x14ac:dyDescent="0.4">
      <c r="G9468" s="27">
        <f t="shared" si="159"/>
        <v>0</v>
      </c>
      <c r="H9468" s="28" t="e">
        <f>VLOOKUP(E9468,'Cadastro Produtos (kiwkiw)'!C:E,3,0)</f>
        <v>#N/A</v>
      </c>
    </row>
    <row r="9469" spans="7:8" ht="15" customHeight="1" x14ac:dyDescent="0.4">
      <c r="G9469" s="27">
        <f t="shared" si="159"/>
        <v>0</v>
      </c>
      <c r="H9469" s="28" t="e">
        <f>VLOOKUP(E9469,'Cadastro Produtos (kiwkiw)'!C:E,3,0)</f>
        <v>#N/A</v>
      </c>
    </row>
    <row r="9470" spans="7:8" ht="15" customHeight="1" x14ac:dyDescent="0.4">
      <c r="G9470" s="27">
        <f t="shared" si="159"/>
        <v>0</v>
      </c>
      <c r="H9470" s="28" t="e">
        <f>VLOOKUP(E9470,'Cadastro Produtos (kiwkiw)'!C:E,3,0)</f>
        <v>#N/A</v>
      </c>
    </row>
    <row r="9471" spans="7:8" ht="15" customHeight="1" x14ac:dyDescent="0.4">
      <c r="G9471" s="27">
        <f t="shared" si="159"/>
        <v>0</v>
      </c>
      <c r="H9471" s="28" t="e">
        <f>VLOOKUP(E9471,'Cadastro Produtos (kiwkiw)'!C:E,3,0)</f>
        <v>#N/A</v>
      </c>
    </row>
    <row r="9472" spans="7:8" ht="15" customHeight="1" x14ac:dyDescent="0.4">
      <c r="G9472" s="27">
        <f t="shared" si="159"/>
        <v>0</v>
      </c>
      <c r="H9472" s="28" t="e">
        <f>VLOOKUP(E9472,'Cadastro Produtos (kiwkiw)'!C:E,3,0)</f>
        <v>#N/A</v>
      </c>
    </row>
    <row r="9473" spans="7:8" ht="15" customHeight="1" x14ac:dyDescent="0.4">
      <c r="G9473" s="27">
        <f t="shared" si="159"/>
        <v>0</v>
      </c>
      <c r="H9473" s="28" t="e">
        <f>VLOOKUP(E9473,'Cadastro Produtos (kiwkiw)'!C:E,3,0)</f>
        <v>#N/A</v>
      </c>
    </row>
    <row r="9474" spans="7:8" ht="15" customHeight="1" x14ac:dyDescent="0.4">
      <c r="G9474" s="27">
        <f t="shared" si="159"/>
        <v>0</v>
      </c>
      <c r="H9474" s="28" t="e">
        <f>VLOOKUP(E9474,'Cadastro Produtos (kiwkiw)'!C:E,3,0)</f>
        <v>#N/A</v>
      </c>
    </row>
    <row r="9475" spans="7:8" ht="15" customHeight="1" x14ac:dyDescent="0.4">
      <c r="G9475" s="27">
        <f t="shared" si="159"/>
        <v>0</v>
      </c>
      <c r="H9475" s="28" t="e">
        <f>VLOOKUP(E9475,'Cadastro Produtos (kiwkiw)'!C:E,3,0)</f>
        <v>#N/A</v>
      </c>
    </row>
    <row r="9476" spans="7:8" ht="15" customHeight="1" x14ac:dyDescent="0.4">
      <c r="G9476" s="27">
        <f t="shared" si="159"/>
        <v>0</v>
      </c>
      <c r="H9476" s="28" t="e">
        <f>VLOOKUP(E9476,'Cadastro Produtos (kiwkiw)'!C:E,3,0)</f>
        <v>#N/A</v>
      </c>
    </row>
    <row r="9477" spans="7:8" ht="15" customHeight="1" x14ac:dyDescent="0.4">
      <c r="G9477" s="27">
        <f t="shared" si="159"/>
        <v>0</v>
      </c>
      <c r="H9477" s="28" t="e">
        <f>VLOOKUP(E9477,'Cadastro Produtos (kiwkiw)'!C:E,3,0)</f>
        <v>#N/A</v>
      </c>
    </row>
    <row r="9478" spans="7:8" ht="15" customHeight="1" x14ac:dyDescent="0.4">
      <c r="G9478" s="27">
        <f t="shared" si="159"/>
        <v>0</v>
      </c>
      <c r="H9478" s="28" t="e">
        <f>VLOOKUP(E9478,'Cadastro Produtos (kiwkiw)'!C:E,3,0)</f>
        <v>#N/A</v>
      </c>
    </row>
    <row r="9479" spans="7:8" ht="15" customHeight="1" x14ac:dyDescent="0.4">
      <c r="G9479" s="27">
        <f t="shared" si="159"/>
        <v>0</v>
      </c>
      <c r="H9479" s="28" t="e">
        <f>VLOOKUP(E9479,'Cadastro Produtos (kiwkiw)'!C:E,3,0)</f>
        <v>#N/A</v>
      </c>
    </row>
    <row r="9480" spans="7:8" ht="15" customHeight="1" x14ac:dyDescent="0.4">
      <c r="G9480" s="27">
        <f t="shared" si="159"/>
        <v>0</v>
      </c>
      <c r="H9480" s="28" t="e">
        <f>VLOOKUP(E9480,'Cadastro Produtos (kiwkiw)'!C:E,3,0)</f>
        <v>#N/A</v>
      </c>
    </row>
    <row r="9481" spans="7:8" ht="15" customHeight="1" x14ac:dyDescent="0.4">
      <c r="G9481" s="27">
        <f t="shared" si="159"/>
        <v>0</v>
      </c>
      <c r="H9481" s="28" t="e">
        <f>VLOOKUP(E9481,'Cadastro Produtos (kiwkiw)'!C:E,3,0)</f>
        <v>#N/A</v>
      </c>
    </row>
    <row r="9482" spans="7:8" ht="15" customHeight="1" x14ac:dyDescent="0.4">
      <c r="G9482" s="27">
        <f t="shared" si="159"/>
        <v>0</v>
      </c>
      <c r="H9482" s="28" t="e">
        <f>VLOOKUP(E9482,'Cadastro Produtos (kiwkiw)'!C:E,3,0)</f>
        <v>#N/A</v>
      </c>
    </row>
    <row r="9483" spans="7:8" ht="15" customHeight="1" x14ac:dyDescent="0.4">
      <c r="G9483" s="27">
        <f t="shared" si="159"/>
        <v>0</v>
      </c>
      <c r="H9483" s="28" t="e">
        <f>VLOOKUP(E9483,'Cadastro Produtos (kiwkiw)'!C:E,3,0)</f>
        <v>#N/A</v>
      </c>
    </row>
    <row r="9484" spans="7:8" ht="15" customHeight="1" x14ac:dyDescent="0.4">
      <c r="G9484" s="27">
        <f t="shared" si="159"/>
        <v>0</v>
      </c>
      <c r="H9484" s="28" t="e">
        <f>VLOOKUP(E9484,'Cadastro Produtos (kiwkiw)'!C:E,3,0)</f>
        <v>#N/A</v>
      </c>
    </row>
    <row r="9485" spans="7:8" ht="15" customHeight="1" x14ac:dyDescent="0.4">
      <c r="G9485" s="27">
        <f t="shared" si="159"/>
        <v>0</v>
      </c>
      <c r="H9485" s="28" t="e">
        <f>VLOOKUP(E9485,'Cadastro Produtos (kiwkiw)'!C:E,3,0)</f>
        <v>#N/A</v>
      </c>
    </row>
    <row r="9486" spans="7:8" ht="15" customHeight="1" x14ac:dyDescent="0.4">
      <c r="G9486" s="27">
        <f t="shared" si="159"/>
        <v>0</v>
      </c>
      <c r="H9486" s="28" t="e">
        <f>VLOOKUP(E9486,'Cadastro Produtos (kiwkiw)'!C:E,3,0)</f>
        <v>#N/A</v>
      </c>
    </row>
    <row r="9487" spans="7:8" ht="15" customHeight="1" x14ac:dyDescent="0.4">
      <c r="G9487" s="27">
        <f t="shared" si="159"/>
        <v>0</v>
      </c>
      <c r="H9487" s="28" t="e">
        <f>VLOOKUP(E9487,'Cadastro Produtos (kiwkiw)'!C:E,3,0)</f>
        <v>#N/A</v>
      </c>
    </row>
    <row r="9488" spans="7:8" ht="15" customHeight="1" x14ac:dyDescent="0.4">
      <c r="G9488" s="27">
        <f t="shared" si="159"/>
        <v>0</v>
      </c>
      <c r="H9488" s="28" t="e">
        <f>VLOOKUP(E9488,'Cadastro Produtos (kiwkiw)'!C:E,3,0)</f>
        <v>#N/A</v>
      </c>
    </row>
    <row r="9489" spans="7:8" ht="15" customHeight="1" x14ac:dyDescent="0.4">
      <c r="G9489" s="27">
        <f t="shared" si="159"/>
        <v>0</v>
      </c>
      <c r="H9489" s="28" t="e">
        <f>VLOOKUP(E9489,'Cadastro Produtos (kiwkiw)'!C:E,3,0)</f>
        <v>#N/A</v>
      </c>
    </row>
    <row r="9490" spans="7:8" ht="15" customHeight="1" x14ac:dyDescent="0.4">
      <c r="G9490" s="27">
        <f t="shared" ref="G9490:G9553" si="160">IF(C9490="Entrada",F9490,-F9490)</f>
        <v>0</v>
      </c>
      <c r="H9490" s="28" t="e">
        <f>VLOOKUP(E9490,'Cadastro Produtos (kiwkiw)'!C:E,3,0)</f>
        <v>#N/A</v>
      </c>
    </row>
    <row r="9491" spans="7:8" ht="15" customHeight="1" x14ac:dyDescent="0.4">
      <c r="G9491" s="27">
        <f t="shared" si="160"/>
        <v>0</v>
      </c>
      <c r="H9491" s="28" t="e">
        <f>VLOOKUP(E9491,'Cadastro Produtos (kiwkiw)'!C:E,3,0)</f>
        <v>#N/A</v>
      </c>
    </row>
    <row r="9492" spans="7:8" ht="15" customHeight="1" x14ac:dyDescent="0.4">
      <c r="G9492" s="27">
        <f t="shared" si="160"/>
        <v>0</v>
      </c>
      <c r="H9492" s="28" t="e">
        <f>VLOOKUP(E9492,'Cadastro Produtos (kiwkiw)'!C:E,3,0)</f>
        <v>#N/A</v>
      </c>
    </row>
    <row r="9493" spans="7:8" ht="15" customHeight="1" x14ac:dyDescent="0.4">
      <c r="G9493" s="27">
        <f t="shared" si="160"/>
        <v>0</v>
      </c>
      <c r="H9493" s="28" t="e">
        <f>VLOOKUP(E9493,'Cadastro Produtos (kiwkiw)'!C:E,3,0)</f>
        <v>#N/A</v>
      </c>
    </row>
    <row r="9494" spans="7:8" ht="15" customHeight="1" x14ac:dyDescent="0.4">
      <c r="G9494" s="27">
        <f t="shared" si="160"/>
        <v>0</v>
      </c>
      <c r="H9494" s="28" t="e">
        <f>VLOOKUP(E9494,'Cadastro Produtos (kiwkiw)'!C:E,3,0)</f>
        <v>#N/A</v>
      </c>
    </row>
    <row r="9495" spans="7:8" ht="15" customHeight="1" x14ac:dyDescent="0.4">
      <c r="G9495" s="27">
        <f t="shared" si="160"/>
        <v>0</v>
      </c>
      <c r="H9495" s="28" t="e">
        <f>VLOOKUP(E9495,'Cadastro Produtos (kiwkiw)'!C:E,3,0)</f>
        <v>#N/A</v>
      </c>
    </row>
    <row r="9496" spans="7:8" ht="15" customHeight="1" x14ac:dyDescent="0.4">
      <c r="G9496" s="27">
        <f t="shared" si="160"/>
        <v>0</v>
      </c>
      <c r="H9496" s="28" t="e">
        <f>VLOOKUP(E9496,'Cadastro Produtos (kiwkiw)'!C:E,3,0)</f>
        <v>#N/A</v>
      </c>
    </row>
    <row r="9497" spans="7:8" ht="15" customHeight="1" x14ac:dyDescent="0.4">
      <c r="G9497" s="27">
        <f t="shared" si="160"/>
        <v>0</v>
      </c>
      <c r="H9497" s="28" t="e">
        <f>VLOOKUP(E9497,'Cadastro Produtos (kiwkiw)'!C:E,3,0)</f>
        <v>#N/A</v>
      </c>
    </row>
    <row r="9498" spans="7:8" ht="15" customHeight="1" x14ac:dyDescent="0.4">
      <c r="G9498" s="27">
        <f t="shared" si="160"/>
        <v>0</v>
      </c>
      <c r="H9498" s="28" t="e">
        <f>VLOOKUP(E9498,'Cadastro Produtos (kiwkiw)'!C:E,3,0)</f>
        <v>#N/A</v>
      </c>
    </row>
    <row r="9499" spans="7:8" ht="15" customHeight="1" x14ac:dyDescent="0.4">
      <c r="G9499" s="27">
        <f t="shared" si="160"/>
        <v>0</v>
      </c>
      <c r="H9499" s="28" t="e">
        <f>VLOOKUP(E9499,'Cadastro Produtos (kiwkiw)'!C:E,3,0)</f>
        <v>#N/A</v>
      </c>
    </row>
    <row r="9500" spans="7:8" ht="15" customHeight="1" x14ac:dyDescent="0.4">
      <c r="G9500" s="27">
        <f t="shared" si="160"/>
        <v>0</v>
      </c>
      <c r="H9500" s="28" t="e">
        <f>VLOOKUP(E9500,'Cadastro Produtos (kiwkiw)'!C:E,3,0)</f>
        <v>#N/A</v>
      </c>
    </row>
    <row r="9501" spans="7:8" ht="15" customHeight="1" x14ac:dyDescent="0.4">
      <c r="G9501" s="27">
        <f t="shared" si="160"/>
        <v>0</v>
      </c>
      <c r="H9501" s="28" t="e">
        <f>VLOOKUP(E9501,'Cadastro Produtos (kiwkiw)'!C:E,3,0)</f>
        <v>#N/A</v>
      </c>
    </row>
    <row r="9502" spans="7:8" ht="15" customHeight="1" x14ac:dyDescent="0.4">
      <c r="G9502" s="27">
        <f t="shared" si="160"/>
        <v>0</v>
      </c>
      <c r="H9502" s="28" t="e">
        <f>VLOOKUP(E9502,'Cadastro Produtos (kiwkiw)'!C:E,3,0)</f>
        <v>#N/A</v>
      </c>
    </row>
    <row r="9503" spans="7:8" ht="15" customHeight="1" x14ac:dyDescent="0.4">
      <c r="G9503" s="27">
        <f t="shared" si="160"/>
        <v>0</v>
      </c>
      <c r="H9503" s="28" t="e">
        <f>VLOOKUP(E9503,'Cadastro Produtos (kiwkiw)'!C:E,3,0)</f>
        <v>#N/A</v>
      </c>
    </row>
    <row r="9504" spans="7:8" ht="15" customHeight="1" x14ac:dyDescent="0.4">
      <c r="G9504" s="27">
        <f t="shared" si="160"/>
        <v>0</v>
      </c>
      <c r="H9504" s="28" t="e">
        <f>VLOOKUP(E9504,'Cadastro Produtos (kiwkiw)'!C:E,3,0)</f>
        <v>#N/A</v>
      </c>
    </row>
    <row r="9505" spans="7:8" ht="15" customHeight="1" x14ac:dyDescent="0.4">
      <c r="G9505" s="27">
        <f t="shared" si="160"/>
        <v>0</v>
      </c>
      <c r="H9505" s="28" t="e">
        <f>VLOOKUP(E9505,'Cadastro Produtos (kiwkiw)'!C:E,3,0)</f>
        <v>#N/A</v>
      </c>
    </row>
    <row r="9506" spans="7:8" ht="15" customHeight="1" x14ac:dyDescent="0.4">
      <c r="G9506" s="27">
        <f t="shared" si="160"/>
        <v>0</v>
      </c>
      <c r="H9506" s="28" t="e">
        <f>VLOOKUP(E9506,'Cadastro Produtos (kiwkiw)'!C:E,3,0)</f>
        <v>#N/A</v>
      </c>
    </row>
    <row r="9507" spans="7:8" ht="15" customHeight="1" x14ac:dyDescent="0.4">
      <c r="G9507" s="27">
        <f t="shared" si="160"/>
        <v>0</v>
      </c>
      <c r="H9507" s="28" t="e">
        <f>VLOOKUP(E9507,'Cadastro Produtos (kiwkiw)'!C:E,3,0)</f>
        <v>#N/A</v>
      </c>
    </row>
    <row r="9508" spans="7:8" ht="15" customHeight="1" x14ac:dyDescent="0.4">
      <c r="G9508" s="27">
        <f t="shared" si="160"/>
        <v>0</v>
      </c>
      <c r="H9508" s="28" t="e">
        <f>VLOOKUP(E9508,'Cadastro Produtos (kiwkiw)'!C:E,3,0)</f>
        <v>#N/A</v>
      </c>
    </row>
    <row r="9509" spans="7:8" ht="15" customHeight="1" x14ac:dyDescent="0.4">
      <c r="G9509" s="27">
        <f t="shared" si="160"/>
        <v>0</v>
      </c>
      <c r="H9509" s="28" t="e">
        <f>VLOOKUP(E9509,'Cadastro Produtos (kiwkiw)'!C:E,3,0)</f>
        <v>#N/A</v>
      </c>
    </row>
    <row r="9510" spans="7:8" ht="15" customHeight="1" x14ac:dyDescent="0.4">
      <c r="G9510" s="27">
        <f t="shared" si="160"/>
        <v>0</v>
      </c>
      <c r="H9510" s="28" t="e">
        <f>VLOOKUP(E9510,'Cadastro Produtos (kiwkiw)'!C:E,3,0)</f>
        <v>#N/A</v>
      </c>
    </row>
    <row r="9511" spans="7:8" ht="15" customHeight="1" x14ac:dyDescent="0.4">
      <c r="G9511" s="27">
        <f t="shared" si="160"/>
        <v>0</v>
      </c>
      <c r="H9511" s="28" t="e">
        <f>VLOOKUP(E9511,'Cadastro Produtos (kiwkiw)'!C:E,3,0)</f>
        <v>#N/A</v>
      </c>
    </row>
    <row r="9512" spans="7:8" ht="15" customHeight="1" x14ac:dyDescent="0.4">
      <c r="G9512" s="27">
        <f t="shared" si="160"/>
        <v>0</v>
      </c>
      <c r="H9512" s="28" t="e">
        <f>VLOOKUP(E9512,'Cadastro Produtos (kiwkiw)'!C:E,3,0)</f>
        <v>#N/A</v>
      </c>
    </row>
    <row r="9513" spans="7:8" ht="15" customHeight="1" x14ac:dyDescent="0.4">
      <c r="G9513" s="27">
        <f t="shared" si="160"/>
        <v>0</v>
      </c>
      <c r="H9513" s="28" t="e">
        <f>VLOOKUP(E9513,'Cadastro Produtos (kiwkiw)'!C:E,3,0)</f>
        <v>#N/A</v>
      </c>
    </row>
    <row r="9514" spans="7:8" ht="15" customHeight="1" x14ac:dyDescent="0.4">
      <c r="G9514" s="27">
        <f t="shared" si="160"/>
        <v>0</v>
      </c>
      <c r="H9514" s="28" t="e">
        <f>VLOOKUP(E9514,'Cadastro Produtos (kiwkiw)'!C:E,3,0)</f>
        <v>#N/A</v>
      </c>
    </row>
    <row r="9515" spans="7:8" ht="15" customHeight="1" x14ac:dyDescent="0.4">
      <c r="G9515" s="27">
        <f t="shared" si="160"/>
        <v>0</v>
      </c>
      <c r="H9515" s="28" t="e">
        <f>VLOOKUP(E9515,'Cadastro Produtos (kiwkiw)'!C:E,3,0)</f>
        <v>#N/A</v>
      </c>
    </row>
    <row r="9516" spans="7:8" ht="15" customHeight="1" x14ac:dyDescent="0.4">
      <c r="G9516" s="27">
        <f t="shared" si="160"/>
        <v>0</v>
      </c>
      <c r="H9516" s="28" t="e">
        <f>VLOOKUP(E9516,'Cadastro Produtos (kiwkiw)'!C:E,3,0)</f>
        <v>#N/A</v>
      </c>
    </row>
    <row r="9517" spans="7:8" ht="15" customHeight="1" x14ac:dyDescent="0.4">
      <c r="G9517" s="27">
        <f t="shared" si="160"/>
        <v>0</v>
      </c>
      <c r="H9517" s="28" t="e">
        <f>VLOOKUP(E9517,'Cadastro Produtos (kiwkiw)'!C:E,3,0)</f>
        <v>#N/A</v>
      </c>
    </row>
    <row r="9518" spans="7:8" ht="15" customHeight="1" x14ac:dyDescent="0.4">
      <c r="G9518" s="27">
        <f t="shared" si="160"/>
        <v>0</v>
      </c>
      <c r="H9518" s="28" t="e">
        <f>VLOOKUP(E9518,'Cadastro Produtos (kiwkiw)'!C:E,3,0)</f>
        <v>#N/A</v>
      </c>
    </row>
    <row r="9519" spans="7:8" ht="15" customHeight="1" x14ac:dyDescent="0.4">
      <c r="G9519" s="27">
        <f t="shared" si="160"/>
        <v>0</v>
      </c>
      <c r="H9519" s="28" t="e">
        <f>VLOOKUP(E9519,'Cadastro Produtos (kiwkiw)'!C:E,3,0)</f>
        <v>#N/A</v>
      </c>
    </row>
    <row r="9520" spans="7:8" ht="15" customHeight="1" x14ac:dyDescent="0.4">
      <c r="G9520" s="27">
        <f t="shared" si="160"/>
        <v>0</v>
      </c>
      <c r="H9520" s="28" t="e">
        <f>VLOOKUP(E9520,'Cadastro Produtos (kiwkiw)'!C:E,3,0)</f>
        <v>#N/A</v>
      </c>
    </row>
    <row r="9521" spans="7:8" ht="15" customHeight="1" x14ac:dyDescent="0.4">
      <c r="G9521" s="27">
        <f t="shared" si="160"/>
        <v>0</v>
      </c>
      <c r="H9521" s="28" t="e">
        <f>VLOOKUP(E9521,'Cadastro Produtos (kiwkiw)'!C:E,3,0)</f>
        <v>#N/A</v>
      </c>
    </row>
    <row r="9522" spans="7:8" ht="15" customHeight="1" x14ac:dyDescent="0.4">
      <c r="G9522" s="27">
        <f t="shared" si="160"/>
        <v>0</v>
      </c>
      <c r="H9522" s="28" t="e">
        <f>VLOOKUP(E9522,'Cadastro Produtos (kiwkiw)'!C:E,3,0)</f>
        <v>#N/A</v>
      </c>
    </row>
    <row r="9523" spans="7:8" ht="15" customHeight="1" x14ac:dyDescent="0.4">
      <c r="G9523" s="27">
        <f t="shared" si="160"/>
        <v>0</v>
      </c>
      <c r="H9523" s="28" t="e">
        <f>VLOOKUP(E9523,'Cadastro Produtos (kiwkiw)'!C:E,3,0)</f>
        <v>#N/A</v>
      </c>
    </row>
    <row r="9524" spans="7:8" ht="15" customHeight="1" x14ac:dyDescent="0.4">
      <c r="G9524" s="27">
        <f t="shared" si="160"/>
        <v>0</v>
      </c>
      <c r="H9524" s="28" t="e">
        <f>VLOOKUP(E9524,'Cadastro Produtos (kiwkiw)'!C:E,3,0)</f>
        <v>#N/A</v>
      </c>
    </row>
    <row r="9525" spans="7:8" ht="15" customHeight="1" x14ac:dyDescent="0.4">
      <c r="G9525" s="27">
        <f t="shared" si="160"/>
        <v>0</v>
      </c>
      <c r="H9525" s="28" t="e">
        <f>VLOOKUP(E9525,'Cadastro Produtos (kiwkiw)'!C:E,3,0)</f>
        <v>#N/A</v>
      </c>
    </row>
    <row r="9526" spans="7:8" ht="15" customHeight="1" x14ac:dyDescent="0.4">
      <c r="G9526" s="27">
        <f t="shared" si="160"/>
        <v>0</v>
      </c>
      <c r="H9526" s="28" t="e">
        <f>VLOOKUP(E9526,'Cadastro Produtos (kiwkiw)'!C:E,3,0)</f>
        <v>#N/A</v>
      </c>
    </row>
    <row r="9527" spans="7:8" ht="15" customHeight="1" x14ac:dyDescent="0.4">
      <c r="G9527" s="27">
        <f t="shared" si="160"/>
        <v>0</v>
      </c>
      <c r="H9527" s="28" t="e">
        <f>VLOOKUP(E9527,'Cadastro Produtos (kiwkiw)'!C:E,3,0)</f>
        <v>#N/A</v>
      </c>
    </row>
    <row r="9528" spans="7:8" ht="15" customHeight="1" x14ac:dyDescent="0.4">
      <c r="G9528" s="27">
        <f t="shared" si="160"/>
        <v>0</v>
      </c>
      <c r="H9528" s="28" t="e">
        <f>VLOOKUP(E9528,'Cadastro Produtos (kiwkiw)'!C:E,3,0)</f>
        <v>#N/A</v>
      </c>
    </row>
    <row r="9529" spans="7:8" ht="15" customHeight="1" x14ac:dyDescent="0.4">
      <c r="G9529" s="27">
        <f t="shared" si="160"/>
        <v>0</v>
      </c>
      <c r="H9529" s="28" t="e">
        <f>VLOOKUP(E9529,'Cadastro Produtos (kiwkiw)'!C:E,3,0)</f>
        <v>#N/A</v>
      </c>
    </row>
    <row r="9530" spans="7:8" ht="15" customHeight="1" x14ac:dyDescent="0.4">
      <c r="G9530" s="27">
        <f t="shared" si="160"/>
        <v>0</v>
      </c>
      <c r="H9530" s="28" t="e">
        <f>VLOOKUP(E9530,'Cadastro Produtos (kiwkiw)'!C:E,3,0)</f>
        <v>#N/A</v>
      </c>
    </row>
    <row r="9531" spans="7:8" ht="15" customHeight="1" x14ac:dyDescent="0.4">
      <c r="G9531" s="27">
        <f t="shared" si="160"/>
        <v>0</v>
      </c>
      <c r="H9531" s="28" t="e">
        <f>VLOOKUP(E9531,'Cadastro Produtos (kiwkiw)'!C:E,3,0)</f>
        <v>#N/A</v>
      </c>
    </row>
    <row r="9532" spans="7:8" ht="15" customHeight="1" x14ac:dyDescent="0.4">
      <c r="G9532" s="27">
        <f t="shared" si="160"/>
        <v>0</v>
      </c>
      <c r="H9532" s="28" t="e">
        <f>VLOOKUP(E9532,'Cadastro Produtos (kiwkiw)'!C:E,3,0)</f>
        <v>#N/A</v>
      </c>
    </row>
    <row r="9533" spans="7:8" ht="15" customHeight="1" x14ac:dyDescent="0.4">
      <c r="G9533" s="27">
        <f t="shared" si="160"/>
        <v>0</v>
      </c>
      <c r="H9533" s="28" t="e">
        <f>VLOOKUP(E9533,'Cadastro Produtos (kiwkiw)'!C:E,3,0)</f>
        <v>#N/A</v>
      </c>
    </row>
    <row r="9534" spans="7:8" ht="15" customHeight="1" x14ac:dyDescent="0.4">
      <c r="G9534" s="27">
        <f t="shared" si="160"/>
        <v>0</v>
      </c>
      <c r="H9534" s="28" t="e">
        <f>VLOOKUP(E9534,'Cadastro Produtos (kiwkiw)'!C:E,3,0)</f>
        <v>#N/A</v>
      </c>
    </row>
    <row r="9535" spans="7:8" ht="15" customHeight="1" x14ac:dyDescent="0.4">
      <c r="G9535" s="27">
        <f t="shared" si="160"/>
        <v>0</v>
      </c>
      <c r="H9535" s="28" t="e">
        <f>VLOOKUP(E9535,'Cadastro Produtos (kiwkiw)'!C:E,3,0)</f>
        <v>#N/A</v>
      </c>
    </row>
    <row r="9536" spans="7:8" ht="15" customHeight="1" x14ac:dyDescent="0.4">
      <c r="G9536" s="27">
        <f t="shared" si="160"/>
        <v>0</v>
      </c>
      <c r="H9536" s="28" t="e">
        <f>VLOOKUP(E9536,'Cadastro Produtos (kiwkiw)'!C:E,3,0)</f>
        <v>#N/A</v>
      </c>
    </row>
    <row r="9537" spans="7:8" ht="15" customHeight="1" x14ac:dyDescent="0.4">
      <c r="G9537" s="27">
        <f t="shared" si="160"/>
        <v>0</v>
      </c>
      <c r="H9537" s="28" t="e">
        <f>VLOOKUP(E9537,'Cadastro Produtos (kiwkiw)'!C:E,3,0)</f>
        <v>#N/A</v>
      </c>
    </row>
    <row r="9538" spans="7:8" ht="15" customHeight="1" x14ac:dyDescent="0.4">
      <c r="G9538" s="27">
        <f t="shared" si="160"/>
        <v>0</v>
      </c>
      <c r="H9538" s="28" t="e">
        <f>VLOOKUP(E9538,'Cadastro Produtos (kiwkiw)'!C:E,3,0)</f>
        <v>#N/A</v>
      </c>
    </row>
    <row r="9539" spans="7:8" ht="15" customHeight="1" x14ac:dyDescent="0.4">
      <c r="G9539" s="27">
        <f t="shared" si="160"/>
        <v>0</v>
      </c>
      <c r="H9539" s="28" t="e">
        <f>VLOOKUP(E9539,'Cadastro Produtos (kiwkiw)'!C:E,3,0)</f>
        <v>#N/A</v>
      </c>
    </row>
    <row r="9540" spans="7:8" ht="15" customHeight="1" x14ac:dyDescent="0.4">
      <c r="G9540" s="27">
        <f t="shared" si="160"/>
        <v>0</v>
      </c>
      <c r="H9540" s="28" t="e">
        <f>VLOOKUP(E9540,'Cadastro Produtos (kiwkiw)'!C:E,3,0)</f>
        <v>#N/A</v>
      </c>
    </row>
    <row r="9541" spans="7:8" ht="15" customHeight="1" x14ac:dyDescent="0.4">
      <c r="G9541" s="27">
        <f t="shared" si="160"/>
        <v>0</v>
      </c>
      <c r="H9541" s="28" t="e">
        <f>VLOOKUP(E9541,'Cadastro Produtos (kiwkiw)'!C:E,3,0)</f>
        <v>#N/A</v>
      </c>
    </row>
    <row r="9542" spans="7:8" ht="15" customHeight="1" x14ac:dyDescent="0.4">
      <c r="G9542" s="27">
        <f t="shared" si="160"/>
        <v>0</v>
      </c>
      <c r="H9542" s="28" t="e">
        <f>VLOOKUP(E9542,'Cadastro Produtos (kiwkiw)'!C:E,3,0)</f>
        <v>#N/A</v>
      </c>
    </row>
    <row r="9543" spans="7:8" ht="15" customHeight="1" x14ac:dyDescent="0.4">
      <c r="G9543" s="27">
        <f t="shared" si="160"/>
        <v>0</v>
      </c>
      <c r="H9543" s="28" t="e">
        <f>VLOOKUP(E9543,'Cadastro Produtos (kiwkiw)'!C:E,3,0)</f>
        <v>#N/A</v>
      </c>
    </row>
    <row r="9544" spans="7:8" ht="15" customHeight="1" x14ac:dyDescent="0.4">
      <c r="G9544" s="27">
        <f t="shared" si="160"/>
        <v>0</v>
      </c>
      <c r="H9544" s="28" t="e">
        <f>VLOOKUP(E9544,'Cadastro Produtos (kiwkiw)'!C:E,3,0)</f>
        <v>#N/A</v>
      </c>
    </row>
    <row r="9545" spans="7:8" ht="15" customHeight="1" x14ac:dyDescent="0.4">
      <c r="G9545" s="27">
        <f t="shared" si="160"/>
        <v>0</v>
      </c>
      <c r="H9545" s="28" t="e">
        <f>VLOOKUP(E9545,'Cadastro Produtos (kiwkiw)'!C:E,3,0)</f>
        <v>#N/A</v>
      </c>
    </row>
    <row r="9546" spans="7:8" ht="15" customHeight="1" x14ac:dyDescent="0.4">
      <c r="G9546" s="27">
        <f t="shared" si="160"/>
        <v>0</v>
      </c>
      <c r="H9546" s="28" t="e">
        <f>VLOOKUP(E9546,'Cadastro Produtos (kiwkiw)'!C:E,3,0)</f>
        <v>#N/A</v>
      </c>
    </row>
    <row r="9547" spans="7:8" ht="15" customHeight="1" x14ac:dyDescent="0.4">
      <c r="G9547" s="27">
        <f t="shared" si="160"/>
        <v>0</v>
      </c>
      <c r="H9547" s="28" t="e">
        <f>VLOOKUP(E9547,'Cadastro Produtos (kiwkiw)'!C:E,3,0)</f>
        <v>#N/A</v>
      </c>
    </row>
    <row r="9548" spans="7:8" ht="15" customHeight="1" x14ac:dyDescent="0.4">
      <c r="G9548" s="27">
        <f t="shared" si="160"/>
        <v>0</v>
      </c>
      <c r="H9548" s="28" t="e">
        <f>VLOOKUP(E9548,'Cadastro Produtos (kiwkiw)'!C:E,3,0)</f>
        <v>#N/A</v>
      </c>
    </row>
    <row r="9549" spans="7:8" ht="15" customHeight="1" x14ac:dyDescent="0.4">
      <c r="G9549" s="27">
        <f t="shared" si="160"/>
        <v>0</v>
      </c>
      <c r="H9549" s="28" t="e">
        <f>VLOOKUP(E9549,'Cadastro Produtos (kiwkiw)'!C:E,3,0)</f>
        <v>#N/A</v>
      </c>
    </row>
    <row r="9550" spans="7:8" ht="15" customHeight="1" x14ac:dyDescent="0.4">
      <c r="G9550" s="27">
        <f t="shared" si="160"/>
        <v>0</v>
      </c>
      <c r="H9550" s="28" t="e">
        <f>VLOOKUP(E9550,'Cadastro Produtos (kiwkiw)'!C:E,3,0)</f>
        <v>#N/A</v>
      </c>
    </row>
    <row r="9551" spans="7:8" ht="15" customHeight="1" x14ac:dyDescent="0.4">
      <c r="G9551" s="27">
        <f t="shared" si="160"/>
        <v>0</v>
      </c>
      <c r="H9551" s="28" t="e">
        <f>VLOOKUP(E9551,'Cadastro Produtos (kiwkiw)'!C:E,3,0)</f>
        <v>#N/A</v>
      </c>
    </row>
    <row r="9552" spans="7:8" ht="15" customHeight="1" x14ac:dyDescent="0.4">
      <c r="G9552" s="27">
        <f t="shared" si="160"/>
        <v>0</v>
      </c>
      <c r="H9552" s="28" t="e">
        <f>VLOOKUP(E9552,'Cadastro Produtos (kiwkiw)'!C:E,3,0)</f>
        <v>#N/A</v>
      </c>
    </row>
    <row r="9553" spans="7:8" ht="15" customHeight="1" x14ac:dyDescent="0.4">
      <c r="G9553" s="27">
        <f t="shared" si="160"/>
        <v>0</v>
      </c>
      <c r="H9553" s="28" t="e">
        <f>VLOOKUP(E9553,'Cadastro Produtos (kiwkiw)'!C:E,3,0)</f>
        <v>#N/A</v>
      </c>
    </row>
    <row r="9554" spans="7:8" ht="15" customHeight="1" x14ac:dyDescent="0.4">
      <c r="G9554" s="27">
        <f t="shared" ref="G9554:G9617" si="161">IF(C9554="Entrada",F9554,-F9554)</f>
        <v>0</v>
      </c>
      <c r="H9554" s="28" t="e">
        <f>VLOOKUP(E9554,'Cadastro Produtos (kiwkiw)'!C:E,3,0)</f>
        <v>#N/A</v>
      </c>
    </row>
    <row r="9555" spans="7:8" ht="15" customHeight="1" x14ac:dyDescent="0.4">
      <c r="G9555" s="27">
        <f t="shared" si="161"/>
        <v>0</v>
      </c>
      <c r="H9555" s="28" t="e">
        <f>VLOOKUP(E9555,'Cadastro Produtos (kiwkiw)'!C:E,3,0)</f>
        <v>#N/A</v>
      </c>
    </row>
    <row r="9556" spans="7:8" ht="15" customHeight="1" x14ac:dyDescent="0.4">
      <c r="G9556" s="27">
        <f t="shared" si="161"/>
        <v>0</v>
      </c>
      <c r="H9556" s="28" t="e">
        <f>VLOOKUP(E9556,'Cadastro Produtos (kiwkiw)'!C:E,3,0)</f>
        <v>#N/A</v>
      </c>
    </row>
    <row r="9557" spans="7:8" ht="15" customHeight="1" x14ac:dyDescent="0.4">
      <c r="G9557" s="27">
        <f t="shared" si="161"/>
        <v>0</v>
      </c>
      <c r="H9557" s="28" t="e">
        <f>VLOOKUP(E9557,'Cadastro Produtos (kiwkiw)'!C:E,3,0)</f>
        <v>#N/A</v>
      </c>
    </row>
    <row r="9558" spans="7:8" ht="15" customHeight="1" x14ac:dyDescent="0.4">
      <c r="G9558" s="27">
        <f t="shared" si="161"/>
        <v>0</v>
      </c>
      <c r="H9558" s="28" t="e">
        <f>VLOOKUP(E9558,'Cadastro Produtos (kiwkiw)'!C:E,3,0)</f>
        <v>#N/A</v>
      </c>
    </row>
    <row r="9559" spans="7:8" ht="15" customHeight="1" x14ac:dyDescent="0.4">
      <c r="G9559" s="27">
        <f t="shared" si="161"/>
        <v>0</v>
      </c>
      <c r="H9559" s="28" t="e">
        <f>VLOOKUP(E9559,'Cadastro Produtos (kiwkiw)'!C:E,3,0)</f>
        <v>#N/A</v>
      </c>
    </row>
    <row r="9560" spans="7:8" ht="15" customHeight="1" x14ac:dyDescent="0.4">
      <c r="G9560" s="27">
        <f t="shared" si="161"/>
        <v>0</v>
      </c>
      <c r="H9560" s="28" t="e">
        <f>VLOOKUP(E9560,'Cadastro Produtos (kiwkiw)'!C:E,3,0)</f>
        <v>#N/A</v>
      </c>
    </row>
    <row r="9561" spans="7:8" ht="15" customHeight="1" x14ac:dyDescent="0.4">
      <c r="G9561" s="27">
        <f t="shared" si="161"/>
        <v>0</v>
      </c>
      <c r="H9561" s="28" t="e">
        <f>VLOOKUP(E9561,'Cadastro Produtos (kiwkiw)'!C:E,3,0)</f>
        <v>#N/A</v>
      </c>
    </row>
    <row r="9562" spans="7:8" ht="15" customHeight="1" x14ac:dyDescent="0.4">
      <c r="G9562" s="27">
        <f t="shared" si="161"/>
        <v>0</v>
      </c>
      <c r="H9562" s="28" t="e">
        <f>VLOOKUP(E9562,'Cadastro Produtos (kiwkiw)'!C:E,3,0)</f>
        <v>#N/A</v>
      </c>
    </row>
    <row r="9563" spans="7:8" ht="15" customHeight="1" x14ac:dyDescent="0.4">
      <c r="G9563" s="27">
        <f t="shared" si="161"/>
        <v>0</v>
      </c>
      <c r="H9563" s="28" t="e">
        <f>VLOOKUP(E9563,'Cadastro Produtos (kiwkiw)'!C:E,3,0)</f>
        <v>#N/A</v>
      </c>
    </row>
    <row r="9564" spans="7:8" ht="15" customHeight="1" x14ac:dyDescent="0.4">
      <c r="G9564" s="27">
        <f t="shared" si="161"/>
        <v>0</v>
      </c>
      <c r="H9564" s="28" t="e">
        <f>VLOOKUP(E9564,'Cadastro Produtos (kiwkiw)'!C:E,3,0)</f>
        <v>#N/A</v>
      </c>
    </row>
    <row r="9565" spans="7:8" ht="15" customHeight="1" x14ac:dyDescent="0.4">
      <c r="G9565" s="27">
        <f t="shared" si="161"/>
        <v>0</v>
      </c>
      <c r="H9565" s="28" t="e">
        <f>VLOOKUP(E9565,'Cadastro Produtos (kiwkiw)'!C:E,3,0)</f>
        <v>#N/A</v>
      </c>
    </row>
    <row r="9566" spans="7:8" ht="15" customHeight="1" x14ac:dyDescent="0.4">
      <c r="G9566" s="27">
        <f t="shared" si="161"/>
        <v>0</v>
      </c>
      <c r="H9566" s="28" t="e">
        <f>VLOOKUP(E9566,'Cadastro Produtos (kiwkiw)'!C:E,3,0)</f>
        <v>#N/A</v>
      </c>
    </row>
    <row r="9567" spans="7:8" ht="15" customHeight="1" x14ac:dyDescent="0.4">
      <c r="G9567" s="27">
        <f t="shared" si="161"/>
        <v>0</v>
      </c>
      <c r="H9567" s="28" t="e">
        <f>VLOOKUP(E9567,'Cadastro Produtos (kiwkiw)'!C:E,3,0)</f>
        <v>#N/A</v>
      </c>
    </row>
    <row r="9568" spans="7:8" ht="15" customHeight="1" x14ac:dyDescent="0.4">
      <c r="G9568" s="27">
        <f t="shared" si="161"/>
        <v>0</v>
      </c>
      <c r="H9568" s="28" t="e">
        <f>VLOOKUP(E9568,'Cadastro Produtos (kiwkiw)'!C:E,3,0)</f>
        <v>#N/A</v>
      </c>
    </row>
    <row r="9569" spans="7:8" ht="15" customHeight="1" x14ac:dyDescent="0.4">
      <c r="G9569" s="27">
        <f t="shared" si="161"/>
        <v>0</v>
      </c>
      <c r="H9569" s="28" t="e">
        <f>VLOOKUP(E9569,'Cadastro Produtos (kiwkiw)'!C:E,3,0)</f>
        <v>#N/A</v>
      </c>
    </row>
    <row r="9570" spans="7:8" ht="15" customHeight="1" x14ac:dyDescent="0.4">
      <c r="G9570" s="27">
        <f t="shared" si="161"/>
        <v>0</v>
      </c>
      <c r="H9570" s="28" t="e">
        <f>VLOOKUP(E9570,'Cadastro Produtos (kiwkiw)'!C:E,3,0)</f>
        <v>#N/A</v>
      </c>
    </row>
    <row r="9571" spans="7:8" ht="15" customHeight="1" x14ac:dyDescent="0.4">
      <c r="G9571" s="27">
        <f t="shared" si="161"/>
        <v>0</v>
      </c>
      <c r="H9571" s="28" t="e">
        <f>VLOOKUP(E9571,'Cadastro Produtos (kiwkiw)'!C:E,3,0)</f>
        <v>#N/A</v>
      </c>
    </row>
    <row r="9572" spans="7:8" ht="15" customHeight="1" x14ac:dyDescent="0.4">
      <c r="G9572" s="27">
        <f t="shared" si="161"/>
        <v>0</v>
      </c>
      <c r="H9572" s="28" t="e">
        <f>VLOOKUP(E9572,'Cadastro Produtos (kiwkiw)'!C:E,3,0)</f>
        <v>#N/A</v>
      </c>
    </row>
    <row r="9573" spans="7:8" ht="15" customHeight="1" x14ac:dyDescent="0.4">
      <c r="G9573" s="27">
        <f t="shared" si="161"/>
        <v>0</v>
      </c>
      <c r="H9573" s="28" t="e">
        <f>VLOOKUP(E9573,'Cadastro Produtos (kiwkiw)'!C:E,3,0)</f>
        <v>#N/A</v>
      </c>
    </row>
    <row r="9574" spans="7:8" ht="15" customHeight="1" x14ac:dyDescent="0.4">
      <c r="G9574" s="27">
        <f t="shared" si="161"/>
        <v>0</v>
      </c>
      <c r="H9574" s="28" t="e">
        <f>VLOOKUP(E9574,'Cadastro Produtos (kiwkiw)'!C:E,3,0)</f>
        <v>#N/A</v>
      </c>
    </row>
    <row r="9575" spans="7:8" ht="15" customHeight="1" x14ac:dyDescent="0.4">
      <c r="G9575" s="27">
        <f t="shared" si="161"/>
        <v>0</v>
      </c>
      <c r="H9575" s="28" t="e">
        <f>VLOOKUP(E9575,'Cadastro Produtos (kiwkiw)'!C:E,3,0)</f>
        <v>#N/A</v>
      </c>
    </row>
    <row r="9576" spans="7:8" ht="15" customHeight="1" x14ac:dyDescent="0.4">
      <c r="G9576" s="27">
        <f t="shared" si="161"/>
        <v>0</v>
      </c>
      <c r="H9576" s="28" t="e">
        <f>VLOOKUP(E9576,'Cadastro Produtos (kiwkiw)'!C:E,3,0)</f>
        <v>#N/A</v>
      </c>
    </row>
    <row r="9577" spans="7:8" ht="15" customHeight="1" x14ac:dyDescent="0.4">
      <c r="G9577" s="27">
        <f t="shared" si="161"/>
        <v>0</v>
      </c>
      <c r="H9577" s="28" t="e">
        <f>VLOOKUP(E9577,'Cadastro Produtos (kiwkiw)'!C:E,3,0)</f>
        <v>#N/A</v>
      </c>
    </row>
    <row r="9578" spans="7:8" ht="15" customHeight="1" x14ac:dyDescent="0.4">
      <c r="G9578" s="27">
        <f t="shared" si="161"/>
        <v>0</v>
      </c>
      <c r="H9578" s="28" t="e">
        <f>VLOOKUP(E9578,'Cadastro Produtos (kiwkiw)'!C:E,3,0)</f>
        <v>#N/A</v>
      </c>
    </row>
    <row r="9579" spans="7:8" ht="15" customHeight="1" x14ac:dyDescent="0.4">
      <c r="G9579" s="27">
        <f t="shared" si="161"/>
        <v>0</v>
      </c>
      <c r="H9579" s="28" t="e">
        <f>VLOOKUP(E9579,'Cadastro Produtos (kiwkiw)'!C:E,3,0)</f>
        <v>#N/A</v>
      </c>
    </row>
    <row r="9580" spans="7:8" ht="15" customHeight="1" x14ac:dyDescent="0.4">
      <c r="G9580" s="27">
        <f t="shared" si="161"/>
        <v>0</v>
      </c>
      <c r="H9580" s="28" t="e">
        <f>VLOOKUP(E9580,'Cadastro Produtos (kiwkiw)'!C:E,3,0)</f>
        <v>#N/A</v>
      </c>
    </row>
    <row r="9581" spans="7:8" ht="15" customHeight="1" x14ac:dyDescent="0.4">
      <c r="G9581" s="27">
        <f t="shared" si="161"/>
        <v>0</v>
      </c>
      <c r="H9581" s="28" t="e">
        <f>VLOOKUP(E9581,'Cadastro Produtos (kiwkiw)'!C:E,3,0)</f>
        <v>#N/A</v>
      </c>
    </row>
    <row r="9582" spans="7:8" ht="15" customHeight="1" x14ac:dyDescent="0.4">
      <c r="G9582" s="27">
        <f t="shared" si="161"/>
        <v>0</v>
      </c>
      <c r="H9582" s="28" t="e">
        <f>VLOOKUP(E9582,'Cadastro Produtos (kiwkiw)'!C:E,3,0)</f>
        <v>#N/A</v>
      </c>
    </row>
    <row r="9583" spans="7:8" ht="15" customHeight="1" x14ac:dyDescent="0.4">
      <c r="G9583" s="27">
        <f t="shared" si="161"/>
        <v>0</v>
      </c>
      <c r="H9583" s="28" t="e">
        <f>VLOOKUP(E9583,'Cadastro Produtos (kiwkiw)'!C:E,3,0)</f>
        <v>#N/A</v>
      </c>
    </row>
    <row r="9584" spans="7:8" ht="15" customHeight="1" x14ac:dyDescent="0.4">
      <c r="G9584" s="27">
        <f t="shared" si="161"/>
        <v>0</v>
      </c>
      <c r="H9584" s="28" t="e">
        <f>VLOOKUP(E9584,'Cadastro Produtos (kiwkiw)'!C:E,3,0)</f>
        <v>#N/A</v>
      </c>
    </row>
    <row r="9585" spans="7:8" ht="15" customHeight="1" x14ac:dyDescent="0.4">
      <c r="G9585" s="27">
        <f t="shared" si="161"/>
        <v>0</v>
      </c>
      <c r="H9585" s="28" t="e">
        <f>VLOOKUP(E9585,'Cadastro Produtos (kiwkiw)'!C:E,3,0)</f>
        <v>#N/A</v>
      </c>
    </row>
    <row r="9586" spans="7:8" ht="15" customHeight="1" x14ac:dyDescent="0.4">
      <c r="G9586" s="27">
        <f t="shared" si="161"/>
        <v>0</v>
      </c>
      <c r="H9586" s="28" t="e">
        <f>VLOOKUP(E9586,'Cadastro Produtos (kiwkiw)'!C:E,3,0)</f>
        <v>#N/A</v>
      </c>
    </row>
    <row r="9587" spans="7:8" ht="15" customHeight="1" x14ac:dyDescent="0.4">
      <c r="G9587" s="27">
        <f t="shared" si="161"/>
        <v>0</v>
      </c>
      <c r="H9587" s="28" t="e">
        <f>VLOOKUP(E9587,'Cadastro Produtos (kiwkiw)'!C:E,3,0)</f>
        <v>#N/A</v>
      </c>
    </row>
    <row r="9588" spans="7:8" ht="15" customHeight="1" x14ac:dyDescent="0.4">
      <c r="G9588" s="27">
        <f t="shared" si="161"/>
        <v>0</v>
      </c>
      <c r="H9588" s="28" t="e">
        <f>VLOOKUP(E9588,'Cadastro Produtos (kiwkiw)'!C:E,3,0)</f>
        <v>#N/A</v>
      </c>
    </row>
    <row r="9589" spans="7:8" ht="15" customHeight="1" x14ac:dyDescent="0.4">
      <c r="G9589" s="27">
        <f t="shared" si="161"/>
        <v>0</v>
      </c>
      <c r="H9589" s="28" t="e">
        <f>VLOOKUP(E9589,'Cadastro Produtos (kiwkiw)'!C:E,3,0)</f>
        <v>#N/A</v>
      </c>
    </row>
    <row r="9590" spans="7:8" ht="15" customHeight="1" x14ac:dyDescent="0.4">
      <c r="G9590" s="27">
        <f t="shared" si="161"/>
        <v>0</v>
      </c>
      <c r="H9590" s="28" t="e">
        <f>VLOOKUP(E9590,'Cadastro Produtos (kiwkiw)'!C:E,3,0)</f>
        <v>#N/A</v>
      </c>
    </row>
    <row r="9591" spans="7:8" ht="15" customHeight="1" x14ac:dyDescent="0.4">
      <c r="G9591" s="27">
        <f t="shared" si="161"/>
        <v>0</v>
      </c>
      <c r="H9591" s="28" t="e">
        <f>VLOOKUP(E9591,'Cadastro Produtos (kiwkiw)'!C:E,3,0)</f>
        <v>#N/A</v>
      </c>
    </row>
    <row r="9592" spans="7:8" ht="15" customHeight="1" x14ac:dyDescent="0.4">
      <c r="G9592" s="27">
        <f t="shared" si="161"/>
        <v>0</v>
      </c>
      <c r="H9592" s="28" t="e">
        <f>VLOOKUP(E9592,'Cadastro Produtos (kiwkiw)'!C:E,3,0)</f>
        <v>#N/A</v>
      </c>
    </row>
    <row r="9593" spans="7:8" ht="15" customHeight="1" x14ac:dyDescent="0.4">
      <c r="G9593" s="27">
        <f t="shared" si="161"/>
        <v>0</v>
      </c>
      <c r="H9593" s="28" t="e">
        <f>VLOOKUP(E9593,'Cadastro Produtos (kiwkiw)'!C:E,3,0)</f>
        <v>#N/A</v>
      </c>
    </row>
    <row r="9594" spans="7:8" ht="15" customHeight="1" x14ac:dyDescent="0.4">
      <c r="G9594" s="27">
        <f t="shared" si="161"/>
        <v>0</v>
      </c>
      <c r="H9594" s="28" t="e">
        <f>VLOOKUP(E9594,'Cadastro Produtos (kiwkiw)'!C:E,3,0)</f>
        <v>#N/A</v>
      </c>
    </row>
    <row r="9595" spans="7:8" ht="15" customHeight="1" x14ac:dyDescent="0.4">
      <c r="G9595" s="27">
        <f t="shared" si="161"/>
        <v>0</v>
      </c>
      <c r="H9595" s="28" t="e">
        <f>VLOOKUP(E9595,'Cadastro Produtos (kiwkiw)'!C:E,3,0)</f>
        <v>#N/A</v>
      </c>
    </row>
    <row r="9596" spans="7:8" ht="15" customHeight="1" x14ac:dyDescent="0.4">
      <c r="G9596" s="27">
        <f t="shared" si="161"/>
        <v>0</v>
      </c>
      <c r="H9596" s="28" t="e">
        <f>VLOOKUP(E9596,'Cadastro Produtos (kiwkiw)'!C:E,3,0)</f>
        <v>#N/A</v>
      </c>
    </row>
    <row r="9597" spans="7:8" ht="15" customHeight="1" x14ac:dyDescent="0.4">
      <c r="G9597" s="27">
        <f t="shared" si="161"/>
        <v>0</v>
      </c>
      <c r="H9597" s="28" t="e">
        <f>VLOOKUP(E9597,'Cadastro Produtos (kiwkiw)'!C:E,3,0)</f>
        <v>#N/A</v>
      </c>
    </row>
    <row r="9598" spans="7:8" ht="15" customHeight="1" x14ac:dyDescent="0.4">
      <c r="G9598" s="27">
        <f t="shared" si="161"/>
        <v>0</v>
      </c>
      <c r="H9598" s="28" t="e">
        <f>VLOOKUP(E9598,'Cadastro Produtos (kiwkiw)'!C:E,3,0)</f>
        <v>#N/A</v>
      </c>
    </row>
    <row r="9599" spans="7:8" ht="15" customHeight="1" x14ac:dyDescent="0.4">
      <c r="G9599" s="27">
        <f t="shared" si="161"/>
        <v>0</v>
      </c>
      <c r="H9599" s="28" t="e">
        <f>VLOOKUP(E9599,'Cadastro Produtos (kiwkiw)'!C:E,3,0)</f>
        <v>#N/A</v>
      </c>
    </row>
    <row r="9600" spans="7:8" ht="15" customHeight="1" x14ac:dyDescent="0.4">
      <c r="G9600" s="27">
        <f t="shared" si="161"/>
        <v>0</v>
      </c>
      <c r="H9600" s="28" t="e">
        <f>VLOOKUP(E9600,'Cadastro Produtos (kiwkiw)'!C:E,3,0)</f>
        <v>#N/A</v>
      </c>
    </row>
    <row r="9601" spans="7:8" ht="15" customHeight="1" x14ac:dyDescent="0.4">
      <c r="G9601" s="27">
        <f t="shared" si="161"/>
        <v>0</v>
      </c>
      <c r="H9601" s="28" t="e">
        <f>VLOOKUP(E9601,'Cadastro Produtos (kiwkiw)'!C:E,3,0)</f>
        <v>#N/A</v>
      </c>
    </row>
    <row r="9602" spans="7:8" ht="15" customHeight="1" x14ac:dyDescent="0.4">
      <c r="G9602" s="27">
        <f t="shared" si="161"/>
        <v>0</v>
      </c>
      <c r="H9602" s="28" t="e">
        <f>VLOOKUP(E9602,'Cadastro Produtos (kiwkiw)'!C:E,3,0)</f>
        <v>#N/A</v>
      </c>
    </row>
    <row r="9603" spans="7:8" ht="15" customHeight="1" x14ac:dyDescent="0.4">
      <c r="G9603" s="27">
        <f t="shared" si="161"/>
        <v>0</v>
      </c>
      <c r="H9603" s="28" t="e">
        <f>VLOOKUP(E9603,'Cadastro Produtos (kiwkiw)'!C:E,3,0)</f>
        <v>#N/A</v>
      </c>
    </row>
    <row r="9604" spans="7:8" ht="15" customHeight="1" x14ac:dyDescent="0.4">
      <c r="G9604" s="27">
        <f t="shared" si="161"/>
        <v>0</v>
      </c>
      <c r="H9604" s="28" t="e">
        <f>VLOOKUP(E9604,'Cadastro Produtos (kiwkiw)'!C:E,3,0)</f>
        <v>#N/A</v>
      </c>
    </row>
    <row r="9605" spans="7:8" ht="15" customHeight="1" x14ac:dyDescent="0.4">
      <c r="G9605" s="27">
        <f t="shared" si="161"/>
        <v>0</v>
      </c>
      <c r="H9605" s="28" t="e">
        <f>VLOOKUP(E9605,'Cadastro Produtos (kiwkiw)'!C:E,3,0)</f>
        <v>#N/A</v>
      </c>
    </row>
    <row r="9606" spans="7:8" ht="15" customHeight="1" x14ac:dyDescent="0.4">
      <c r="G9606" s="27">
        <f t="shared" si="161"/>
        <v>0</v>
      </c>
      <c r="H9606" s="28" t="e">
        <f>VLOOKUP(E9606,'Cadastro Produtos (kiwkiw)'!C:E,3,0)</f>
        <v>#N/A</v>
      </c>
    </row>
    <row r="9607" spans="7:8" ht="15" customHeight="1" x14ac:dyDescent="0.4">
      <c r="G9607" s="27">
        <f t="shared" si="161"/>
        <v>0</v>
      </c>
      <c r="H9607" s="28" t="e">
        <f>VLOOKUP(E9607,'Cadastro Produtos (kiwkiw)'!C:E,3,0)</f>
        <v>#N/A</v>
      </c>
    </row>
    <row r="9608" spans="7:8" ht="15" customHeight="1" x14ac:dyDescent="0.4">
      <c r="G9608" s="27">
        <f t="shared" si="161"/>
        <v>0</v>
      </c>
      <c r="H9608" s="28" t="e">
        <f>VLOOKUP(E9608,'Cadastro Produtos (kiwkiw)'!C:E,3,0)</f>
        <v>#N/A</v>
      </c>
    </row>
    <row r="9609" spans="7:8" ht="15" customHeight="1" x14ac:dyDescent="0.4">
      <c r="G9609" s="27">
        <f t="shared" si="161"/>
        <v>0</v>
      </c>
      <c r="H9609" s="28" t="e">
        <f>VLOOKUP(E9609,'Cadastro Produtos (kiwkiw)'!C:E,3,0)</f>
        <v>#N/A</v>
      </c>
    </row>
    <row r="9610" spans="7:8" ht="15" customHeight="1" x14ac:dyDescent="0.4">
      <c r="G9610" s="27">
        <f t="shared" si="161"/>
        <v>0</v>
      </c>
      <c r="H9610" s="28" t="e">
        <f>VLOOKUP(E9610,'Cadastro Produtos (kiwkiw)'!C:E,3,0)</f>
        <v>#N/A</v>
      </c>
    </row>
    <row r="9611" spans="7:8" ht="15" customHeight="1" x14ac:dyDescent="0.4">
      <c r="G9611" s="27">
        <f t="shared" si="161"/>
        <v>0</v>
      </c>
      <c r="H9611" s="28" t="e">
        <f>VLOOKUP(E9611,'Cadastro Produtos (kiwkiw)'!C:E,3,0)</f>
        <v>#N/A</v>
      </c>
    </row>
    <row r="9612" spans="7:8" ht="15" customHeight="1" x14ac:dyDescent="0.4">
      <c r="G9612" s="27">
        <f t="shared" si="161"/>
        <v>0</v>
      </c>
      <c r="H9612" s="28" t="e">
        <f>VLOOKUP(E9612,'Cadastro Produtos (kiwkiw)'!C:E,3,0)</f>
        <v>#N/A</v>
      </c>
    </row>
    <row r="9613" spans="7:8" ht="15" customHeight="1" x14ac:dyDescent="0.4">
      <c r="G9613" s="27">
        <f t="shared" si="161"/>
        <v>0</v>
      </c>
      <c r="H9613" s="28" t="e">
        <f>VLOOKUP(E9613,'Cadastro Produtos (kiwkiw)'!C:E,3,0)</f>
        <v>#N/A</v>
      </c>
    </row>
    <row r="9614" spans="7:8" ht="15" customHeight="1" x14ac:dyDescent="0.4">
      <c r="G9614" s="27">
        <f t="shared" si="161"/>
        <v>0</v>
      </c>
      <c r="H9614" s="28" t="e">
        <f>VLOOKUP(E9614,'Cadastro Produtos (kiwkiw)'!C:E,3,0)</f>
        <v>#N/A</v>
      </c>
    </row>
    <row r="9615" spans="7:8" ht="15" customHeight="1" x14ac:dyDescent="0.4">
      <c r="G9615" s="27">
        <f t="shared" si="161"/>
        <v>0</v>
      </c>
      <c r="H9615" s="28" t="e">
        <f>VLOOKUP(E9615,'Cadastro Produtos (kiwkiw)'!C:E,3,0)</f>
        <v>#N/A</v>
      </c>
    </row>
    <row r="9616" spans="7:8" ht="15" customHeight="1" x14ac:dyDescent="0.4">
      <c r="G9616" s="27">
        <f t="shared" si="161"/>
        <v>0</v>
      </c>
      <c r="H9616" s="28" t="e">
        <f>VLOOKUP(E9616,'Cadastro Produtos (kiwkiw)'!C:E,3,0)</f>
        <v>#N/A</v>
      </c>
    </row>
    <row r="9617" spans="7:8" ht="15" customHeight="1" x14ac:dyDescent="0.4">
      <c r="G9617" s="27">
        <f t="shared" si="161"/>
        <v>0</v>
      </c>
      <c r="H9617" s="28" t="e">
        <f>VLOOKUP(E9617,'Cadastro Produtos (kiwkiw)'!C:E,3,0)</f>
        <v>#N/A</v>
      </c>
    </row>
    <row r="9618" spans="7:8" ht="15" customHeight="1" x14ac:dyDescent="0.4">
      <c r="G9618" s="27">
        <f t="shared" ref="G9618:G9681" si="162">IF(C9618="Entrada",F9618,-F9618)</f>
        <v>0</v>
      </c>
      <c r="H9618" s="28" t="e">
        <f>VLOOKUP(E9618,'Cadastro Produtos (kiwkiw)'!C:E,3,0)</f>
        <v>#N/A</v>
      </c>
    </row>
    <row r="9619" spans="7:8" ht="15" customHeight="1" x14ac:dyDescent="0.4">
      <c r="G9619" s="27">
        <f t="shared" si="162"/>
        <v>0</v>
      </c>
      <c r="H9619" s="28" t="e">
        <f>VLOOKUP(E9619,'Cadastro Produtos (kiwkiw)'!C:E,3,0)</f>
        <v>#N/A</v>
      </c>
    </row>
    <row r="9620" spans="7:8" ht="15" customHeight="1" x14ac:dyDescent="0.4">
      <c r="G9620" s="27">
        <f t="shared" si="162"/>
        <v>0</v>
      </c>
      <c r="H9620" s="28" t="e">
        <f>VLOOKUP(E9620,'Cadastro Produtos (kiwkiw)'!C:E,3,0)</f>
        <v>#N/A</v>
      </c>
    </row>
    <row r="9621" spans="7:8" ht="15" customHeight="1" x14ac:dyDescent="0.4">
      <c r="G9621" s="27">
        <f t="shared" si="162"/>
        <v>0</v>
      </c>
      <c r="H9621" s="28" t="e">
        <f>VLOOKUP(E9621,'Cadastro Produtos (kiwkiw)'!C:E,3,0)</f>
        <v>#N/A</v>
      </c>
    </row>
    <row r="9622" spans="7:8" ht="15" customHeight="1" x14ac:dyDescent="0.4">
      <c r="G9622" s="27">
        <f t="shared" si="162"/>
        <v>0</v>
      </c>
      <c r="H9622" s="28" t="e">
        <f>VLOOKUP(E9622,'Cadastro Produtos (kiwkiw)'!C:E,3,0)</f>
        <v>#N/A</v>
      </c>
    </row>
    <row r="9623" spans="7:8" ht="15" customHeight="1" x14ac:dyDescent="0.4">
      <c r="G9623" s="27">
        <f t="shared" si="162"/>
        <v>0</v>
      </c>
      <c r="H9623" s="28" t="e">
        <f>VLOOKUP(E9623,'Cadastro Produtos (kiwkiw)'!C:E,3,0)</f>
        <v>#N/A</v>
      </c>
    </row>
    <row r="9624" spans="7:8" ht="15" customHeight="1" x14ac:dyDescent="0.4">
      <c r="G9624" s="27">
        <f t="shared" si="162"/>
        <v>0</v>
      </c>
      <c r="H9624" s="28" t="e">
        <f>VLOOKUP(E9624,'Cadastro Produtos (kiwkiw)'!C:E,3,0)</f>
        <v>#N/A</v>
      </c>
    </row>
    <row r="9625" spans="7:8" ht="15" customHeight="1" x14ac:dyDescent="0.4">
      <c r="G9625" s="27">
        <f t="shared" si="162"/>
        <v>0</v>
      </c>
      <c r="H9625" s="28" t="e">
        <f>VLOOKUP(E9625,'Cadastro Produtos (kiwkiw)'!C:E,3,0)</f>
        <v>#N/A</v>
      </c>
    </row>
    <row r="9626" spans="7:8" ht="15" customHeight="1" x14ac:dyDescent="0.4">
      <c r="G9626" s="27">
        <f t="shared" si="162"/>
        <v>0</v>
      </c>
      <c r="H9626" s="28" t="e">
        <f>VLOOKUP(E9626,'Cadastro Produtos (kiwkiw)'!C:E,3,0)</f>
        <v>#N/A</v>
      </c>
    </row>
    <row r="9627" spans="7:8" ht="15" customHeight="1" x14ac:dyDescent="0.4">
      <c r="G9627" s="27">
        <f t="shared" si="162"/>
        <v>0</v>
      </c>
      <c r="H9627" s="28" t="e">
        <f>VLOOKUP(E9627,'Cadastro Produtos (kiwkiw)'!C:E,3,0)</f>
        <v>#N/A</v>
      </c>
    </row>
    <row r="9628" spans="7:8" ht="15" customHeight="1" x14ac:dyDescent="0.4">
      <c r="G9628" s="27">
        <f t="shared" si="162"/>
        <v>0</v>
      </c>
      <c r="H9628" s="28" t="e">
        <f>VLOOKUP(E9628,'Cadastro Produtos (kiwkiw)'!C:E,3,0)</f>
        <v>#N/A</v>
      </c>
    </row>
    <row r="9629" spans="7:8" ht="15" customHeight="1" x14ac:dyDescent="0.4">
      <c r="G9629" s="27">
        <f t="shared" si="162"/>
        <v>0</v>
      </c>
      <c r="H9629" s="28" t="e">
        <f>VLOOKUP(E9629,'Cadastro Produtos (kiwkiw)'!C:E,3,0)</f>
        <v>#N/A</v>
      </c>
    </row>
    <row r="9630" spans="7:8" ht="15" customHeight="1" x14ac:dyDescent="0.4">
      <c r="G9630" s="27">
        <f t="shared" si="162"/>
        <v>0</v>
      </c>
      <c r="H9630" s="28" t="e">
        <f>VLOOKUP(E9630,'Cadastro Produtos (kiwkiw)'!C:E,3,0)</f>
        <v>#N/A</v>
      </c>
    </row>
    <row r="9631" spans="7:8" ht="15" customHeight="1" x14ac:dyDescent="0.4">
      <c r="G9631" s="27">
        <f t="shared" si="162"/>
        <v>0</v>
      </c>
      <c r="H9631" s="28" t="e">
        <f>VLOOKUP(E9631,'Cadastro Produtos (kiwkiw)'!C:E,3,0)</f>
        <v>#N/A</v>
      </c>
    </row>
    <row r="9632" spans="7:8" ht="15" customHeight="1" x14ac:dyDescent="0.4">
      <c r="G9632" s="27">
        <f t="shared" si="162"/>
        <v>0</v>
      </c>
      <c r="H9632" s="28" t="e">
        <f>VLOOKUP(E9632,'Cadastro Produtos (kiwkiw)'!C:E,3,0)</f>
        <v>#N/A</v>
      </c>
    </row>
    <row r="9633" spans="7:8" ht="15" customHeight="1" x14ac:dyDescent="0.4">
      <c r="G9633" s="27">
        <f t="shared" si="162"/>
        <v>0</v>
      </c>
      <c r="H9633" s="28" t="e">
        <f>VLOOKUP(E9633,'Cadastro Produtos (kiwkiw)'!C:E,3,0)</f>
        <v>#N/A</v>
      </c>
    </row>
    <row r="9634" spans="7:8" ht="15" customHeight="1" x14ac:dyDescent="0.4">
      <c r="G9634" s="27">
        <f t="shared" si="162"/>
        <v>0</v>
      </c>
      <c r="H9634" s="28" t="e">
        <f>VLOOKUP(E9634,'Cadastro Produtos (kiwkiw)'!C:E,3,0)</f>
        <v>#N/A</v>
      </c>
    </row>
    <row r="9635" spans="7:8" ht="15" customHeight="1" x14ac:dyDescent="0.4">
      <c r="G9635" s="27">
        <f t="shared" si="162"/>
        <v>0</v>
      </c>
      <c r="H9635" s="28" t="e">
        <f>VLOOKUP(E9635,'Cadastro Produtos (kiwkiw)'!C:E,3,0)</f>
        <v>#N/A</v>
      </c>
    </row>
    <row r="9636" spans="7:8" ht="15" customHeight="1" x14ac:dyDescent="0.4">
      <c r="G9636" s="27">
        <f t="shared" si="162"/>
        <v>0</v>
      </c>
      <c r="H9636" s="28" t="e">
        <f>VLOOKUP(E9636,'Cadastro Produtos (kiwkiw)'!C:E,3,0)</f>
        <v>#N/A</v>
      </c>
    </row>
    <row r="9637" spans="7:8" ht="15" customHeight="1" x14ac:dyDescent="0.4">
      <c r="G9637" s="27">
        <f t="shared" si="162"/>
        <v>0</v>
      </c>
      <c r="H9637" s="28" t="e">
        <f>VLOOKUP(E9637,'Cadastro Produtos (kiwkiw)'!C:E,3,0)</f>
        <v>#N/A</v>
      </c>
    </row>
    <row r="9638" spans="7:8" ht="15" customHeight="1" x14ac:dyDescent="0.4">
      <c r="G9638" s="27">
        <f t="shared" si="162"/>
        <v>0</v>
      </c>
      <c r="H9638" s="28" t="e">
        <f>VLOOKUP(E9638,'Cadastro Produtos (kiwkiw)'!C:E,3,0)</f>
        <v>#N/A</v>
      </c>
    </row>
    <row r="9639" spans="7:8" ht="15" customHeight="1" x14ac:dyDescent="0.4">
      <c r="G9639" s="27">
        <f t="shared" si="162"/>
        <v>0</v>
      </c>
      <c r="H9639" s="28" t="e">
        <f>VLOOKUP(E9639,'Cadastro Produtos (kiwkiw)'!C:E,3,0)</f>
        <v>#N/A</v>
      </c>
    </row>
    <row r="9640" spans="7:8" ht="15" customHeight="1" x14ac:dyDescent="0.4">
      <c r="G9640" s="27">
        <f t="shared" si="162"/>
        <v>0</v>
      </c>
      <c r="H9640" s="28" t="e">
        <f>VLOOKUP(E9640,'Cadastro Produtos (kiwkiw)'!C:E,3,0)</f>
        <v>#N/A</v>
      </c>
    </row>
    <row r="9641" spans="7:8" ht="15" customHeight="1" x14ac:dyDescent="0.4">
      <c r="G9641" s="27">
        <f t="shared" si="162"/>
        <v>0</v>
      </c>
      <c r="H9641" s="28" t="e">
        <f>VLOOKUP(E9641,'Cadastro Produtos (kiwkiw)'!C:E,3,0)</f>
        <v>#N/A</v>
      </c>
    </row>
    <row r="9642" spans="7:8" ht="15" customHeight="1" x14ac:dyDescent="0.4">
      <c r="G9642" s="27">
        <f t="shared" si="162"/>
        <v>0</v>
      </c>
      <c r="H9642" s="28" t="e">
        <f>VLOOKUP(E9642,'Cadastro Produtos (kiwkiw)'!C:E,3,0)</f>
        <v>#N/A</v>
      </c>
    </row>
    <row r="9643" spans="7:8" ht="15" customHeight="1" x14ac:dyDescent="0.4">
      <c r="G9643" s="27">
        <f t="shared" si="162"/>
        <v>0</v>
      </c>
      <c r="H9643" s="28" t="e">
        <f>VLOOKUP(E9643,'Cadastro Produtos (kiwkiw)'!C:E,3,0)</f>
        <v>#N/A</v>
      </c>
    </row>
    <row r="9644" spans="7:8" ht="15" customHeight="1" x14ac:dyDescent="0.4">
      <c r="G9644" s="27">
        <f t="shared" si="162"/>
        <v>0</v>
      </c>
      <c r="H9644" s="28" t="e">
        <f>VLOOKUP(E9644,'Cadastro Produtos (kiwkiw)'!C:E,3,0)</f>
        <v>#N/A</v>
      </c>
    </row>
    <row r="9645" spans="7:8" ht="15" customHeight="1" x14ac:dyDescent="0.4">
      <c r="G9645" s="27">
        <f t="shared" si="162"/>
        <v>0</v>
      </c>
      <c r="H9645" s="28" t="e">
        <f>VLOOKUP(E9645,'Cadastro Produtos (kiwkiw)'!C:E,3,0)</f>
        <v>#N/A</v>
      </c>
    </row>
    <row r="9646" spans="7:8" ht="15" customHeight="1" x14ac:dyDescent="0.4">
      <c r="G9646" s="27">
        <f t="shared" si="162"/>
        <v>0</v>
      </c>
      <c r="H9646" s="28" t="e">
        <f>VLOOKUP(E9646,'Cadastro Produtos (kiwkiw)'!C:E,3,0)</f>
        <v>#N/A</v>
      </c>
    </row>
    <row r="9647" spans="7:8" ht="15" customHeight="1" x14ac:dyDescent="0.4">
      <c r="G9647" s="27">
        <f t="shared" si="162"/>
        <v>0</v>
      </c>
      <c r="H9647" s="28" t="e">
        <f>VLOOKUP(E9647,'Cadastro Produtos (kiwkiw)'!C:E,3,0)</f>
        <v>#N/A</v>
      </c>
    </row>
    <row r="9648" spans="7:8" ht="15" customHeight="1" x14ac:dyDescent="0.4">
      <c r="G9648" s="27">
        <f t="shared" si="162"/>
        <v>0</v>
      </c>
      <c r="H9648" s="28" t="e">
        <f>VLOOKUP(E9648,'Cadastro Produtos (kiwkiw)'!C:E,3,0)</f>
        <v>#N/A</v>
      </c>
    </row>
    <row r="9649" spans="7:8" ht="15" customHeight="1" x14ac:dyDescent="0.4">
      <c r="G9649" s="27">
        <f t="shared" si="162"/>
        <v>0</v>
      </c>
      <c r="H9649" s="28" t="e">
        <f>VLOOKUP(E9649,'Cadastro Produtos (kiwkiw)'!C:E,3,0)</f>
        <v>#N/A</v>
      </c>
    </row>
    <row r="9650" spans="7:8" ht="15" customHeight="1" x14ac:dyDescent="0.4">
      <c r="G9650" s="27">
        <f t="shared" si="162"/>
        <v>0</v>
      </c>
      <c r="H9650" s="28" t="e">
        <f>VLOOKUP(E9650,'Cadastro Produtos (kiwkiw)'!C:E,3,0)</f>
        <v>#N/A</v>
      </c>
    </row>
    <row r="9651" spans="7:8" ht="15" customHeight="1" x14ac:dyDescent="0.4">
      <c r="G9651" s="27">
        <f t="shared" si="162"/>
        <v>0</v>
      </c>
      <c r="H9651" s="28" t="e">
        <f>VLOOKUP(E9651,'Cadastro Produtos (kiwkiw)'!C:E,3,0)</f>
        <v>#N/A</v>
      </c>
    </row>
    <row r="9652" spans="7:8" ht="15" customHeight="1" x14ac:dyDescent="0.4">
      <c r="G9652" s="27">
        <f t="shared" si="162"/>
        <v>0</v>
      </c>
      <c r="H9652" s="28" t="e">
        <f>VLOOKUP(E9652,'Cadastro Produtos (kiwkiw)'!C:E,3,0)</f>
        <v>#N/A</v>
      </c>
    </row>
    <row r="9653" spans="7:8" ht="15" customHeight="1" x14ac:dyDescent="0.4">
      <c r="G9653" s="27">
        <f t="shared" si="162"/>
        <v>0</v>
      </c>
      <c r="H9653" s="28" t="e">
        <f>VLOOKUP(E9653,'Cadastro Produtos (kiwkiw)'!C:E,3,0)</f>
        <v>#N/A</v>
      </c>
    </row>
    <row r="9654" spans="7:8" ht="15" customHeight="1" x14ac:dyDescent="0.4">
      <c r="G9654" s="27">
        <f t="shared" si="162"/>
        <v>0</v>
      </c>
      <c r="H9654" s="28" t="e">
        <f>VLOOKUP(E9654,'Cadastro Produtos (kiwkiw)'!C:E,3,0)</f>
        <v>#N/A</v>
      </c>
    </row>
    <row r="9655" spans="7:8" ht="15" customHeight="1" x14ac:dyDescent="0.4">
      <c r="G9655" s="27">
        <f t="shared" si="162"/>
        <v>0</v>
      </c>
      <c r="H9655" s="28" t="e">
        <f>VLOOKUP(E9655,'Cadastro Produtos (kiwkiw)'!C:E,3,0)</f>
        <v>#N/A</v>
      </c>
    </row>
    <row r="9656" spans="7:8" ht="15" customHeight="1" x14ac:dyDescent="0.4">
      <c r="G9656" s="27">
        <f t="shared" si="162"/>
        <v>0</v>
      </c>
      <c r="H9656" s="28" t="e">
        <f>VLOOKUP(E9656,'Cadastro Produtos (kiwkiw)'!C:E,3,0)</f>
        <v>#N/A</v>
      </c>
    </row>
    <row r="9657" spans="7:8" ht="15" customHeight="1" x14ac:dyDescent="0.4">
      <c r="G9657" s="27">
        <f t="shared" si="162"/>
        <v>0</v>
      </c>
      <c r="H9657" s="28" t="e">
        <f>VLOOKUP(E9657,'Cadastro Produtos (kiwkiw)'!C:E,3,0)</f>
        <v>#N/A</v>
      </c>
    </row>
    <row r="9658" spans="7:8" ht="15" customHeight="1" x14ac:dyDescent="0.4">
      <c r="G9658" s="27">
        <f t="shared" si="162"/>
        <v>0</v>
      </c>
      <c r="H9658" s="28" t="e">
        <f>VLOOKUP(E9658,'Cadastro Produtos (kiwkiw)'!C:E,3,0)</f>
        <v>#N/A</v>
      </c>
    </row>
    <row r="9659" spans="7:8" ht="15" customHeight="1" x14ac:dyDescent="0.4">
      <c r="G9659" s="27">
        <f t="shared" si="162"/>
        <v>0</v>
      </c>
      <c r="H9659" s="28" t="e">
        <f>VLOOKUP(E9659,'Cadastro Produtos (kiwkiw)'!C:E,3,0)</f>
        <v>#N/A</v>
      </c>
    </row>
    <row r="9660" spans="7:8" ht="15" customHeight="1" x14ac:dyDescent="0.4">
      <c r="G9660" s="27">
        <f t="shared" si="162"/>
        <v>0</v>
      </c>
      <c r="H9660" s="28" t="e">
        <f>VLOOKUP(E9660,'Cadastro Produtos (kiwkiw)'!C:E,3,0)</f>
        <v>#N/A</v>
      </c>
    </row>
    <row r="9661" spans="7:8" ht="15" customHeight="1" x14ac:dyDescent="0.4">
      <c r="G9661" s="27">
        <f t="shared" si="162"/>
        <v>0</v>
      </c>
      <c r="H9661" s="28" t="e">
        <f>VLOOKUP(E9661,'Cadastro Produtos (kiwkiw)'!C:E,3,0)</f>
        <v>#N/A</v>
      </c>
    </row>
    <row r="9662" spans="7:8" ht="15" customHeight="1" x14ac:dyDescent="0.4">
      <c r="G9662" s="27">
        <f t="shared" si="162"/>
        <v>0</v>
      </c>
      <c r="H9662" s="28" t="e">
        <f>VLOOKUP(E9662,'Cadastro Produtos (kiwkiw)'!C:E,3,0)</f>
        <v>#N/A</v>
      </c>
    </row>
    <row r="9663" spans="7:8" ht="15" customHeight="1" x14ac:dyDescent="0.4">
      <c r="G9663" s="27">
        <f t="shared" si="162"/>
        <v>0</v>
      </c>
      <c r="H9663" s="28" t="e">
        <f>VLOOKUP(E9663,'Cadastro Produtos (kiwkiw)'!C:E,3,0)</f>
        <v>#N/A</v>
      </c>
    </row>
    <row r="9664" spans="7:8" ht="15" customHeight="1" x14ac:dyDescent="0.4">
      <c r="G9664" s="27">
        <f t="shared" si="162"/>
        <v>0</v>
      </c>
      <c r="H9664" s="28" t="e">
        <f>VLOOKUP(E9664,'Cadastro Produtos (kiwkiw)'!C:E,3,0)</f>
        <v>#N/A</v>
      </c>
    </row>
    <row r="9665" spans="7:8" ht="15" customHeight="1" x14ac:dyDescent="0.4">
      <c r="G9665" s="27">
        <f t="shared" si="162"/>
        <v>0</v>
      </c>
      <c r="H9665" s="28" t="e">
        <f>VLOOKUP(E9665,'Cadastro Produtos (kiwkiw)'!C:E,3,0)</f>
        <v>#N/A</v>
      </c>
    </row>
    <row r="9666" spans="7:8" ht="15" customHeight="1" x14ac:dyDescent="0.4">
      <c r="G9666" s="27">
        <f t="shared" si="162"/>
        <v>0</v>
      </c>
      <c r="H9666" s="28" t="e">
        <f>VLOOKUP(E9666,'Cadastro Produtos (kiwkiw)'!C:E,3,0)</f>
        <v>#N/A</v>
      </c>
    </row>
    <row r="9667" spans="7:8" ht="15" customHeight="1" x14ac:dyDescent="0.4">
      <c r="G9667" s="27">
        <f t="shared" si="162"/>
        <v>0</v>
      </c>
      <c r="H9667" s="28" t="e">
        <f>VLOOKUP(E9667,'Cadastro Produtos (kiwkiw)'!C:E,3,0)</f>
        <v>#N/A</v>
      </c>
    </row>
    <row r="9668" spans="7:8" ht="15" customHeight="1" x14ac:dyDescent="0.4">
      <c r="G9668" s="27">
        <f t="shared" si="162"/>
        <v>0</v>
      </c>
      <c r="H9668" s="28" t="e">
        <f>VLOOKUP(E9668,'Cadastro Produtos (kiwkiw)'!C:E,3,0)</f>
        <v>#N/A</v>
      </c>
    </row>
    <row r="9669" spans="7:8" ht="15" customHeight="1" x14ac:dyDescent="0.4">
      <c r="G9669" s="27">
        <f t="shared" si="162"/>
        <v>0</v>
      </c>
      <c r="H9669" s="28" t="e">
        <f>VLOOKUP(E9669,'Cadastro Produtos (kiwkiw)'!C:E,3,0)</f>
        <v>#N/A</v>
      </c>
    </row>
    <row r="9670" spans="7:8" ht="15" customHeight="1" x14ac:dyDescent="0.4">
      <c r="G9670" s="27">
        <f t="shared" si="162"/>
        <v>0</v>
      </c>
      <c r="H9670" s="28" t="e">
        <f>VLOOKUP(E9670,'Cadastro Produtos (kiwkiw)'!C:E,3,0)</f>
        <v>#N/A</v>
      </c>
    </row>
    <row r="9671" spans="7:8" ht="15" customHeight="1" x14ac:dyDescent="0.4">
      <c r="G9671" s="27">
        <f t="shared" si="162"/>
        <v>0</v>
      </c>
      <c r="H9671" s="28" t="e">
        <f>VLOOKUP(E9671,'Cadastro Produtos (kiwkiw)'!C:E,3,0)</f>
        <v>#N/A</v>
      </c>
    </row>
    <row r="9672" spans="7:8" ht="15" customHeight="1" x14ac:dyDescent="0.4">
      <c r="G9672" s="27">
        <f t="shared" si="162"/>
        <v>0</v>
      </c>
      <c r="H9672" s="28" t="e">
        <f>VLOOKUP(E9672,'Cadastro Produtos (kiwkiw)'!C:E,3,0)</f>
        <v>#N/A</v>
      </c>
    </row>
    <row r="9673" spans="7:8" ht="15" customHeight="1" x14ac:dyDescent="0.4">
      <c r="G9673" s="27">
        <f t="shared" si="162"/>
        <v>0</v>
      </c>
      <c r="H9673" s="28" t="e">
        <f>VLOOKUP(E9673,'Cadastro Produtos (kiwkiw)'!C:E,3,0)</f>
        <v>#N/A</v>
      </c>
    </row>
    <row r="9674" spans="7:8" ht="15" customHeight="1" x14ac:dyDescent="0.4">
      <c r="G9674" s="27">
        <f t="shared" si="162"/>
        <v>0</v>
      </c>
      <c r="H9674" s="28" t="e">
        <f>VLOOKUP(E9674,'Cadastro Produtos (kiwkiw)'!C:E,3,0)</f>
        <v>#N/A</v>
      </c>
    </row>
    <row r="9675" spans="7:8" ht="15" customHeight="1" x14ac:dyDescent="0.4">
      <c r="G9675" s="27">
        <f t="shared" si="162"/>
        <v>0</v>
      </c>
      <c r="H9675" s="28" t="e">
        <f>VLOOKUP(E9675,'Cadastro Produtos (kiwkiw)'!C:E,3,0)</f>
        <v>#N/A</v>
      </c>
    </row>
    <row r="9676" spans="7:8" ht="15" customHeight="1" x14ac:dyDescent="0.4">
      <c r="G9676" s="27">
        <f t="shared" si="162"/>
        <v>0</v>
      </c>
      <c r="H9676" s="28" t="e">
        <f>VLOOKUP(E9676,'Cadastro Produtos (kiwkiw)'!C:E,3,0)</f>
        <v>#N/A</v>
      </c>
    </row>
    <row r="9677" spans="7:8" ht="15" customHeight="1" x14ac:dyDescent="0.4">
      <c r="G9677" s="27">
        <f t="shared" si="162"/>
        <v>0</v>
      </c>
      <c r="H9677" s="28" t="e">
        <f>VLOOKUP(E9677,'Cadastro Produtos (kiwkiw)'!C:E,3,0)</f>
        <v>#N/A</v>
      </c>
    </row>
    <row r="9678" spans="7:8" ht="15" customHeight="1" x14ac:dyDescent="0.4">
      <c r="G9678" s="27">
        <f t="shared" si="162"/>
        <v>0</v>
      </c>
      <c r="H9678" s="28" t="e">
        <f>VLOOKUP(E9678,'Cadastro Produtos (kiwkiw)'!C:E,3,0)</f>
        <v>#N/A</v>
      </c>
    </row>
    <row r="9679" spans="7:8" ht="15" customHeight="1" x14ac:dyDescent="0.4">
      <c r="G9679" s="27">
        <f t="shared" si="162"/>
        <v>0</v>
      </c>
      <c r="H9679" s="28" t="e">
        <f>VLOOKUP(E9679,'Cadastro Produtos (kiwkiw)'!C:E,3,0)</f>
        <v>#N/A</v>
      </c>
    </row>
    <row r="9680" spans="7:8" ht="15" customHeight="1" x14ac:dyDescent="0.4">
      <c r="G9680" s="27">
        <f t="shared" si="162"/>
        <v>0</v>
      </c>
      <c r="H9680" s="28" t="e">
        <f>VLOOKUP(E9680,'Cadastro Produtos (kiwkiw)'!C:E,3,0)</f>
        <v>#N/A</v>
      </c>
    </row>
    <row r="9681" spans="7:8" ht="15" customHeight="1" x14ac:dyDescent="0.4">
      <c r="G9681" s="27">
        <f t="shared" si="162"/>
        <v>0</v>
      </c>
      <c r="H9681" s="28" t="e">
        <f>VLOOKUP(E9681,'Cadastro Produtos (kiwkiw)'!C:E,3,0)</f>
        <v>#N/A</v>
      </c>
    </row>
    <row r="9682" spans="7:8" ht="15" customHeight="1" x14ac:dyDescent="0.4">
      <c r="G9682" s="27">
        <f t="shared" ref="G9682:G9745" si="163">IF(C9682="Entrada",F9682,-F9682)</f>
        <v>0</v>
      </c>
      <c r="H9682" s="28" t="e">
        <f>VLOOKUP(E9682,'Cadastro Produtos (kiwkiw)'!C:E,3,0)</f>
        <v>#N/A</v>
      </c>
    </row>
    <row r="9683" spans="7:8" ht="15" customHeight="1" x14ac:dyDescent="0.4">
      <c r="G9683" s="27">
        <f t="shared" si="163"/>
        <v>0</v>
      </c>
      <c r="H9683" s="28" t="e">
        <f>VLOOKUP(E9683,'Cadastro Produtos (kiwkiw)'!C:E,3,0)</f>
        <v>#N/A</v>
      </c>
    </row>
    <row r="9684" spans="7:8" ht="15" customHeight="1" x14ac:dyDescent="0.4">
      <c r="G9684" s="27">
        <f t="shared" si="163"/>
        <v>0</v>
      </c>
      <c r="H9684" s="28" t="e">
        <f>VLOOKUP(E9684,'Cadastro Produtos (kiwkiw)'!C:E,3,0)</f>
        <v>#N/A</v>
      </c>
    </row>
    <row r="9685" spans="7:8" ht="15" customHeight="1" x14ac:dyDescent="0.4">
      <c r="G9685" s="27">
        <f t="shared" si="163"/>
        <v>0</v>
      </c>
      <c r="H9685" s="28" t="e">
        <f>VLOOKUP(E9685,'Cadastro Produtos (kiwkiw)'!C:E,3,0)</f>
        <v>#N/A</v>
      </c>
    </row>
    <row r="9686" spans="7:8" ht="15" customHeight="1" x14ac:dyDescent="0.4">
      <c r="G9686" s="27">
        <f t="shared" si="163"/>
        <v>0</v>
      </c>
      <c r="H9686" s="28" t="e">
        <f>VLOOKUP(E9686,'Cadastro Produtos (kiwkiw)'!C:E,3,0)</f>
        <v>#N/A</v>
      </c>
    </row>
    <row r="9687" spans="7:8" ht="15" customHeight="1" x14ac:dyDescent="0.4">
      <c r="G9687" s="27">
        <f t="shared" si="163"/>
        <v>0</v>
      </c>
      <c r="H9687" s="28" t="e">
        <f>VLOOKUP(E9687,'Cadastro Produtos (kiwkiw)'!C:E,3,0)</f>
        <v>#N/A</v>
      </c>
    </row>
    <row r="9688" spans="7:8" ht="15" customHeight="1" x14ac:dyDescent="0.4">
      <c r="G9688" s="27">
        <f t="shared" si="163"/>
        <v>0</v>
      </c>
      <c r="H9688" s="28" t="e">
        <f>VLOOKUP(E9688,'Cadastro Produtos (kiwkiw)'!C:E,3,0)</f>
        <v>#N/A</v>
      </c>
    </row>
    <row r="9689" spans="7:8" ht="15" customHeight="1" x14ac:dyDescent="0.4">
      <c r="G9689" s="27">
        <f t="shared" si="163"/>
        <v>0</v>
      </c>
      <c r="H9689" s="28" t="e">
        <f>VLOOKUP(E9689,'Cadastro Produtos (kiwkiw)'!C:E,3,0)</f>
        <v>#N/A</v>
      </c>
    </row>
    <row r="9690" spans="7:8" ht="15" customHeight="1" x14ac:dyDescent="0.4">
      <c r="G9690" s="27">
        <f t="shared" si="163"/>
        <v>0</v>
      </c>
      <c r="H9690" s="28" t="e">
        <f>VLOOKUP(E9690,'Cadastro Produtos (kiwkiw)'!C:E,3,0)</f>
        <v>#N/A</v>
      </c>
    </row>
    <row r="9691" spans="7:8" ht="15" customHeight="1" x14ac:dyDescent="0.4">
      <c r="G9691" s="27">
        <f t="shared" si="163"/>
        <v>0</v>
      </c>
      <c r="H9691" s="28" t="e">
        <f>VLOOKUP(E9691,'Cadastro Produtos (kiwkiw)'!C:E,3,0)</f>
        <v>#N/A</v>
      </c>
    </row>
    <row r="9692" spans="7:8" ht="15" customHeight="1" x14ac:dyDescent="0.4">
      <c r="G9692" s="27">
        <f t="shared" si="163"/>
        <v>0</v>
      </c>
      <c r="H9692" s="28" t="e">
        <f>VLOOKUP(E9692,'Cadastro Produtos (kiwkiw)'!C:E,3,0)</f>
        <v>#N/A</v>
      </c>
    </row>
    <row r="9693" spans="7:8" ht="15" customHeight="1" x14ac:dyDescent="0.4">
      <c r="G9693" s="27">
        <f t="shared" si="163"/>
        <v>0</v>
      </c>
      <c r="H9693" s="28" t="e">
        <f>VLOOKUP(E9693,'Cadastro Produtos (kiwkiw)'!C:E,3,0)</f>
        <v>#N/A</v>
      </c>
    </row>
    <row r="9694" spans="7:8" ht="15" customHeight="1" x14ac:dyDescent="0.4">
      <c r="G9694" s="27">
        <f t="shared" si="163"/>
        <v>0</v>
      </c>
      <c r="H9694" s="28" t="e">
        <f>VLOOKUP(E9694,'Cadastro Produtos (kiwkiw)'!C:E,3,0)</f>
        <v>#N/A</v>
      </c>
    </row>
    <row r="9695" spans="7:8" ht="15" customHeight="1" x14ac:dyDescent="0.4">
      <c r="G9695" s="27">
        <f t="shared" si="163"/>
        <v>0</v>
      </c>
      <c r="H9695" s="28" t="e">
        <f>VLOOKUP(E9695,'Cadastro Produtos (kiwkiw)'!C:E,3,0)</f>
        <v>#N/A</v>
      </c>
    </row>
    <row r="9696" spans="7:8" ht="15" customHeight="1" x14ac:dyDescent="0.4">
      <c r="G9696" s="27">
        <f t="shared" si="163"/>
        <v>0</v>
      </c>
      <c r="H9696" s="28" t="e">
        <f>VLOOKUP(E9696,'Cadastro Produtos (kiwkiw)'!C:E,3,0)</f>
        <v>#N/A</v>
      </c>
    </row>
    <row r="9697" spans="7:8" ht="15" customHeight="1" x14ac:dyDescent="0.4">
      <c r="G9697" s="27">
        <f t="shared" si="163"/>
        <v>0</v>
      </c>
      <c r="H9697" s="28" t="e">
        <f>VLOOKUP(E9697,'Cadastro Produtos (kiwkiw)'!C:E,3,0)</f>
        <v>#N/A</v>
      </c>
    </row>
    <row r="9698" spans="7:8" ht="15" customHeight="1" x14ac:dyDescent="0.4">
      <c r="G9698" s="27">
        <f t="shared" si="163"/>
        <v>0</v>
      </c>
      <c r="H9698" s="28" t="e">
        <f>VLOOKUP(E9698,'Cadastro Produtos (kiwkiw)'!C:E,3,0)</f>
        <v>#N/A</v>
      </c>
    </row>
    <row r="9699" spans="7:8" ht="15" customHeight="1" x14ac:dyDescent="0.4">
      <c r="G9699" s="27">
        <f t="shared" si="163"/>
        <v>0</v>
      </c>
      <c r="H9699" s="28" t="e">
        <f>VLOOKUP(E9699,'Cadastro Produtos (kiwkiw)'!C:E,3,0)</f>
        <v>#N/A</v>
      </c>
    </row>
    <row r="9700" spans="7:8" ht="15" customHeight="1" x14ac:dyDescent="0.4">
      <c r="G9700" s="27">
        <f t="shared" si="163"/>
        <v>0</v>
      </c>
      <c r="H9700" s="28" t="e">
        <f>VLOOKUP(E9700,'Cadastro Produtos (kiwkiw)'!C:E,3,0)</f>
        <v>#N/A</v>
      </c>
    </row>
    <row r="9701" spans="7:8" ht="15" customHeight="1" x14ac:dyDescent="0.4">
      <c r="G9701" s="27">
        <f t="shared" si="163"/>
        <v>0</v>
      </c>
      <c r="H9701" s="28" t="e">
        <f>VLOOKUP(E9701,'Cadastro Produtos (kiwkiw)'!C:E,3,0)</f>
        <v>#N/A</v>
      </c>
    </row>
    <row r="9702" spans="7:8" ht="15" customHeight="1" x14ac:dyDescent="0.4">
      <c r="G9702" s="27">
        <f t="shared" si="163"/>
        <v>0</v>
      </c>
      <c r="H9702" s="28" t="e">
        <f>VLOOKUP(E9702,'Cadastro Produtos (kiwkiw)'!C:E,3,0)</f>
        <v>#N/A</v>
      </c>
    </row>
    <row r="9703" spans="7:8" ht="15" customHeight="1" x14ac:dyDescent="0.4">
      <c r="G9703" s="27">
        <f t="shared" si="163"/>
        <v>0</v>
      </c>
      <c r="H9703" s="28" t="e">
        <f>VLOOKUP(E9703,'Cadastro Produtos (kiwkiw)'!C:E,3,0)</f>
        <v>#N/A</v>
      </c>
    </row>
    <row r="9704" spans="7:8" ht="15" customHeight="1" x14ac:dyDescent="0.4">
      <c r="G9704" s="27">
        <f t="shared" si="163"/>
        <v>0</v>
      </c>
      <c r="H9704" s="28" t="e">
        <f>VLOOKUP(E9704,'Cadastro Produtos (kiwkiw)'!C:E,3,0)</f>
        <v>#N/A</v>
      </c>
    </row>
    <row r="9705" spans="7:8" ht="15" customHeight="1" x14ac:dyDescent="0.4">
      <c r="G9705" s="27">
        <f t="shared" si="163"/>
        <v>0</v>
      </c>
      <c r="H9705" s="28" t="e">
        <f>VLOOKUP(E9705,'Cadastro Produtos (kiwkiw)'!C:E,3,0)</f>
        <v>#N/A</v>
      </c>
    </row>
    <row r="9706" spans="7:8" ht="15" customHeight="1" x14ac:dyDescent="0.4">
      <c r="G9706" s="27">
        <f t="shared" si="163"/>
        <v>0</v>
      </c>
      <c r="H9706" s="28" t="e">
        <f>VLOOKUP(E9706,'Cadastro Produtos (kiwkiw)'!C:E,3,0)</f>
        <v>#N/A</v>
      </c>
    </row>
    <row r="9707" spans="7:8" ht="15" customHeight="1" x14ac:dyDescent="0.4">
      <c r="G9707" s="27">
        <f t="shared" si="163"/>
        <v>0</v>
      </c>
      <c r="H9707" s="28" t="e">
        <f>VLOOKUP(E9707,'Cadastro Produtos (kiwkiw)'!C:E,3,0)</f>
        <v>#N/A</v>
      </c>
    </row>
    <row r="9708" spans="7:8" ht="15" customHeight="1" x14ac:dyDescent="0.4">
      <c r="G9708" s="27">
        <f t="shared" si="163"/>
        <v>0</v>
      </c>
      <c r="H9708" s="28" t="e">
        <f>VLOOKUP(E9708,'Cadastro Produtos (kiwkiw)'!C:E,3,0)</f>
        <v>#N/A</v>
      </c>
    </row>
    <row r="9709" spans="7:8" ht="15" customHeight="1" x14ac:dyDescent="0.4">
      <c r="G9709" s="27">
        <f t="shared" si="163"/>
        <v>0</v>
      </c>
      <c r="H9709" s="28" t="e">
        <f>VLOOKUP(E9709,'Cadastro Produtos (kiwkiw)'!C:E,3,0)</f>
        <v>#N/A</v>
      </c>
    </row>
    <row r="9710" spans="7:8" ht="15" customHeight="1" x14ac:dyDescent="0.4">
      <c r="G9710" s="27">
        <f t="shared" si="163"/>
        <v>0</v>
      </c>
      <c r="H9710" s="28" t="e">
        <f>VLOOKUP(E9710,'Cadastro Produtos (kiwkiw)'!C:E,3,0)</f>
        <v>#N/A</v>
      </c>
    </row>
    <row r="9711" spans="7:8" ht="15" customHeight="1" x14ac:dyDescent="0.4">
      <c r="G9711" s="27">
        <f t="shared" si="163"/>
        <v>0</v>
      </c>
      <c r="H9711" s="28" t="e">
        <f>VLOOKUP(E9711,'Cadastro Produtos (kiwkiw)'!C:E,3,0)</f>
        <v>#N/A</v>
      </c>
    </row>
    <row r="9712" spans="7:8" ht="15" customHeight="1" x14ac:dyDescent="0.4">
      <c r="G9712" s="27">
        <f t="shared" si="163"/>
        <v>0</v>
      </c>
      <c r="H9712" s="28" t="e">
        <f>VLOOKUP(E9712,'Cadastro Produtos (kiwkiw)'!C:E,3,0)</f>
        <v>#N/A</v>
      </c>
    </row>
    <row r="9713" spans="7:8" ht="15" customHeight="1" x14ac:dyDescent="0.4">
      <c r="G9713" s="27">
        <f t="shared" si="163"/>
        <v>0</v>
      </c>
      <c r="H9713" s="28" t="e">
        <f>VLOOKUP(E9713,'Cadastro Produtos (kiwkiw)'!C:E,3,0)</f>
        <v>#N/A</v>
      </c>
    </row>
    <row r="9714" spans="7:8" ht="15" customHeight="1" x14ac:dyDescent="0.4">
      <c r="G9714" s="27">
        <f t="shared" si="163"/>
        <v>0</v>
      </c>
      <c r="H9714" s="28" t="e">
        <f>VLOOKUP(E9714,'Cadastro Produtos (kiwkiw)'!C:E,3,0)</f>
        <v>#N/A</v>
      </c>
    </row>
    <row r="9715" spans="7:8" ht="15" customHeight="1" x14ac:dyDescent="0.4">
      <c r="G9715" s="27">
        <f t="shared" si="163"/>
        <v>0</v>
      </c>
      <c r="H9715" s="28" t="e">
        <f>VLOOKUP(E9715,'Cadastro Produtos (kiwkiw)'!C:E,3,0)</f>
        <v>#N/A</v>
      </c>
    </row>
    <row r="9716" spans="7:8" ht="15" customHeight="1" x14ac:dyDescent="0.4">
      <c r="G9716" s="27">
        <f t="shared" si="163"/>
        <v>0</v>
      </c>
      <c r="H9716" s="28" t="e">
        <f>VLOOKUP(E9716,'Cadastro Produtos (kiwkiw)'!C:E,3,0)</f>
        <v>#N/A</v>
      </c>
    </row>
    <row r="9717" spans="7:8" ht="15" customHeight="1" x14ac:dyDescent="0.4">
      <c r="G9717" s="27">
        <f t="shared" si="163"/>
        <v>0</v>
      </c>
      <c r="H9717" s="28" t="e">
        <f>VLOOKUP(E9717,'Cadastro Produtos (kiwkiw)'!C:E,3,0)</f>
        <v>#N/A</v>
      </c>
    </row>
    <row r="9718" spans="7:8" ht="15" customHeight="1" x14ac:dyDescent="0.4">
      <c r="G9718" s="27">
        <f t="shared" si="163"/>
        <v>0</v>
      </c>
      <c r="H9718" s="28" t="e">
        <f>VLOOKUP(E9718,'Cadastro Produtos (kiwkiw)'!C:E,3,0)</f>
        <v>#N/A</v>
      </c>
    </row>
    <row r="9719" spans="7:8" ht="15" customHeight="1" x14ac:dyDescent="0.4">
      <c r="G9719" s="27">
        <f t="shared" si="163"/>
        <v>0</v>
      </c>
      <c r="H9719" s="28" t="e">
        <f>VLOOKUP(E9719,'Cadastro Produtos (kiwkiw)'!C:E,3,0)</f>
        <v>#N/A</v>
      </c>
    </row>
    <row r="9720" spans="7:8" ht="15" customHeight="1" x14ac:dyDescent="0.4">
      <c r="G9720" s="27">
        <f t="shared" si="163"/>
        <v>0</v>
      </c>
      <c r="H9720" s="28" t="e">
        <f>VLOOKUP(E9720,'Cadastro Produtos (kiwkiw)'!C:E,3,0)</f>
        <v>#N/A</v>
      </c>
    </row>
    <row r="9721" spans="7:8" ht="15" customHeight="1" x14ac:dyDescent="0.4">
      <c r="G9721" s="27">
        <f t="shared" si="163"/>
        <v>0</v>
      </c>
      <c r="H9721" s="28" t="e">
        <f>VLOOKUP(E9721,'Cadastro Produtos (kiwkiw)'!C:E,3,0)</f>
        <v>#N/A</v>
      </c>
    </row>
    <row r="9722" spans="7:8" ht="15" customHeight="1" x14ac:dyDescent="0.4">
      <c r="G9722" s="27">
        <f t="shared" si="163"/>
        <v>0</v>
      </c>
      <c r="H9722" s="28" t="e">
        <f>VLOOKUP(E9722,'Cadastro Produtos (kiwkiw)'!C:E,3,0)</f>
        <v>#N/A</v>
      </c>
    </row>
    <row r="9723" spans="7:8" ht="15" customHeight="1" x14ac:dyDescent="0.4">
      <c r="G9723" s="27">
        <f t="shared" si="163"/>
        <v>0</v>
      </c>
      <c r="H9723" s="28" t="e">
        <f>VLOOKUP(E9723,'Cadastro Produtos (kiwkiw)'!C:E,3,0)</f>
        <v>#N/A</v>
      </c>
    </row>
    <row r="9724" spans="7:8" ht="15" customHeight="1" x14ac:dyDescent="0.4">
      <c r="G9724" s="27">
        <f t="shared" si="163"/>
        <v>0</v>
      </c>
      <c r="H9724" s="28" t="e">
        <f>VLOOKUP(E9724,'Cadastro Produtos (kiwkiw)'!C:E,3,0)</f>
        <v>#N/A</v>
      </c>
    </row>
    <row r="9725" spans="7:8" ht="15" customHeight="1" x14ac:dyDescent="0.4">
      <c r="G9725" s="27">
        <f t="shared" si="163"/>
        <v>0</v>
      </c>
      <c r="H9725" s="28" t="e">
        <f>VLOOKUP(E9725,'Cadastro Produtos (kiwkiw)'!C:E,3,0)</f>
        <v>#N/A</v>
      </c>
    </row>
    <row r="9726" spans="7:8" ht="15" customHeight="1" x14ac:dyDescent="0.4">
      <c r="G9726" s="27">
        <f t="shared" si="163"/>
        <v>0</v>
      </c>
      <c r="H9726" s="28" t="e">
        <f>VLOOKUP(E9726,'Cadastro Produtos (kiwkiw)'!C:E,3,0)</f>
        <v>#N/A</v>
      </c>
    </row>
    <row r="9727" spans="7:8" ht="15" customHeight="1" x14ac:dyDescent="0.4">
      <c r="G9727" s="27">
        <f t="shared" si="163"/>
        <v>0</v>
      </c>
      <c r="H9727" s="28" t="e">
        <f>VLOOKUP(E9727,'Cadastro Produtos (kiwkiw)'!C:E,3,0)</f>
        <v>#N/A</v>
      </c>
    </row>
    <row r="9728" spans="7:8" ht="15" customHeight="1" x14ac:dyDescent="0.4">
      <c r="G9728" s="27">
        <f t="shared" si="163"/>
        <v>0</v>
      </c>
      <c r="H9728" s="28" t="e">
        <f>VLOOKUP(E9728,'Cadastro Produtos (kiwkiw)'!C:E,3,0)</f>
        <v>#N/A</v>
      </c>
    </row>
    <row r="9729" spans="7:8" ht="15" customHeight="1" x14ac:dyDescent="0.4">
      <c r="G9729" s="27">
        <f t="shared" si="163"/>
        <v>0</v>
      </c>
      <c r="H9729" s="28" t="e">
        <f>VLOOKUP(E9729,'Cadastro Produtos (kiwkiw)'!C:E,3,0)</f>
        <v>#N/A</v>
      </c>
    </row>
    <row r="9730" spans="7:8" ht="15" customHeight="1" x14ac:dyDescent="0.4">
      <c r="G9730" s="27">
        <f t="shared" si="163"/>
        <v>0</v>
      </c>
      <c r="H9730" s="28" t="e">
        <f>VLOOKUP(E9730,'Cadastro Produtos (kiwkiw)'!C:E,3,0)</f>
        <v>#N/A</v>
      </c>
    </row>
    <row r="9731" spans="7:8" ht="15" customHeight="1" x14ac:dyDescent="0.4">
      <c r="G9731" s="27">
        <f t="shared" si="163"/>
        <v>0</v>
      </c>
      <c r="H9731" s="28" t="e">
        <f>VLOOKUP(E9731,'Cadastro Produtos (kiwkiw)'!C:E,3,0)</f>
        <v>#N/A</v>
      </c>
    </row>
    <row r="9732" spans="7:8" ht="15" customHeight="1" x14ac:dyDescent="0.4">
      <c r="G9732" s="27">
        <f t="shared" si="163"/>
        <v>0</v>
      </c>
      <c r="H9732" s="28" t="e">
        <f>VLOOKUP(E9732,'Cadastro Produtos (kiwkiw)'!C:E,3,0)</f>
        <v>#N/A</v>
      </c>
    </row>
    <row r="9733" spans="7:8" ht="15" customHeight="1" x14ac:dyDescent="0.4">
      <c r="G9733" s="27">
        <f t="shared" si="163"/>
        <v>0</v>
      </c>
      <c r="H9733" s="28" t="e">
        <f>VLOOKUP(E9733,'Cadastro Produtos (kiwkiw)'!C:E,3,0)</f>
        <v>#N/A</v>
      </c>
    </row>
    <row r="9734" spans="7:8" ht="15" customHeight="1" x14ac:dyDescent="0.4">
      <c r="G9734" s="27">
        <f t="shared" si="163"/>
        <v>0</v>
      </c>
      <c r="H9734" s="28" t="e">
        <f>VLOOKUP(E9734,'Cadastro Produtos (kiwkiw)'!C:E,3,0)</f>
        <v>#N/A</v>
      </c>
    </row>
    <row r="9735" spans="7:8" ht="15" customHeight="1" x14ac:dyDescent="0.4">
      <c r="G9735" s="27">
        <f t="shared" si="163"/>
        <v>0</v>
      </c>
      <c r="H9735" s="28" t="e">
        <f>VLOOKUP(E9735,'Cadastro Produtos (kiwkiw)'!C:E,3,0)</f>
        <v>#N/A</v>
      </c>
    </row>
    <row r="9736" spans="7:8" ht="15" customHeight="1" x14ac:dyDescent="0.4">
      <c r="G9736" s="27">
        <f t="shared" si="163"/>
        <v>0</v>
      </c>
      <c r="H9736" s="28" t="e">
        <f>VLOOKUP(E9736,'Cadastro Produtos (kiwkiw)'!C:E,3,0)</f>
        <v>#N/A</v>
      </c>
    </row>
    <row r="9737" spans="7:8" ht="15" customHeight="1" x14ac:dyDescent="0.4">
      <c r="G9737" s="27">
        <f t="shared" si="163"/>
        <v>0</v>
      </c>
      <c r="H9737" s="28" t="e">
        <f>VLOOKUP(E9737,'Cadastro Produtos (kiwkiw)'!C:E,3,0)</f>
        <v>#N/A</v>
      </c>
    </row>
    <row r="9738" spans="7:8" ht="15" customHeight="1" x14ac:dyDescent="0.4">
      <c r="G9738" s="27">
        <f t="shared" si="163"/>
        <v>0</v>
      </c>
      <c r="H9738" s="28" t="e">
        <f>VLOOKUP(E9738,'Cadastro Produtos (kiwkiw)'!C:E,3,0)</f>
        <v>#N/A</v>
      </c>
    </row>
    <row r="9739" spans="7:8" ht="15" customHeight="1" x14ac:dyDescent="0.4">
      <c r="G9739" s="27">
        <f t="shared" si="163"/>
        <v>0</v>
      </c>
      <c r="H9739" s="28" t="e">
        <f>VLOOKUP(E9739,'Cadastro Produtos (kiwkiw)'!C:E,3,0)</f>
        <v>#N/A</v>
      </c>
    </row>
    <row r="9740" spans="7:8" ht="15" customHeight="1" x14ac:dyDescent="0.4">
      <c r="G9740" s="27">
        <f t="shared" si="163"/>
        <v>0</v>
      </c>
      <c r="H9740" s="28" t="e">
        <f>VLOOKUP(E9740,'Cadastro Produtos (kiwkiw)'!C:E,3,0)</f>
        <v>#N/A</v>
      </c>
    </row>
    <row r="9741" spans="7:8" ht="15" customHeight="1" x14ac:dyDescent="0.4">
      <c r="G9741" s="27">
        <f t="shared" si="163"/>
        <v>0</v>
      </c>
      <c r="H9741" s="28" t="e">
        <f>VLOOKUP(E9741,'Cadastro Produtos (kiwkiw)'!C:E,3,0)</f>
        <v>#N/A</v>
      </c>
    </row>
    <row r="9742" spans="7:8" ht="15" customHeight="1" x14ac:dyDescent="0.4">
      <c r="G9742" s="27">
        <f t="shared" si="163"/>
        <v>0</v>
      </c>
      <c r="H9742" s="28" t="e">
        <f>VLOOKUP(E9742,'Cadastro Produtos (kiwkiw)'!C:E,3,0)</f>
        <v>#N/A</v>
      </c>
    </row>
    <row r="9743" spans="7:8" ht="15" customHeight="1" x14ac:dyDescent="0.4">
      <c r="G9743" s="27">
        <f t="shared" si="163"/>
        <v>0</v>
      </c>
      <c r="H9743" s="28" t="e">
        <f>VLOOKUP(E9743,'Cadastro Produtos (kiwkiw)'!C:E,3,0)</f>
        <v>#N/A</v>
      </c>
    </row>
    <row r="9744" spans="7:8" ht="15" customHeight="1" x14ac:dyDescent="0.4">
      <c r="G9744" s="27">
        <f t="shared" si="163"/>
        <v>0</v>
      </c>
      <c r="H9744" s="28" t="e">
        <f>VLOOKUP(E9744,'Cadastro Produtos (kiwkiw)'!C:E,3,0)</f>
        <v>#N/A</v>
      </c>
    </row>
    <row r="9745" spans="7:8" ht="15" customHeight="1" x14ac:dyDescent="0.4">
      <c r="G9745" s="27">
        <f t="shared" si="163"/>
        <v>0</v>
      </c>
      <c r="H9745" s="28" t="e">
        <f>VLOOKUP(E9745,'Cadastro Produtos (kiwkiw)'!C:E,3,0)</f>
        <v>#N/A</v>
      </c>
    </row>
    <row r="9746" spans="7:8" ht="15" customHeight="1" x14ac:dyDescent="0.4">
      <c r="G9746" s="27">
        <f t="shared" ref="G9746:G9809" si="164">IF(C9746="Entrada",F9746,-F9746)</f>
        <v>0</v>
      </c>
      <c r="H9746" s="28" t="e">
        <f>VLOOKUP(E9746,'Cadastro Produtos (kiwkiw)'!C:E,3,0)</f>
        <v>#N/A</v>
      </c>
    </row>
    <row r="9747" spans="7:8" ht="15" customHeight="1" x14ac:dyDescent="0.4">
      <c r="G9747" s="27">
        <f t="shared" si="164"/>
        <v>0</v>
      </c>
      <c r="H9747" s="28" t="e">
        <f>VLOOKUP(E9747,'Cadastro Produtos (kiwkiw)'!C:E,3,0)</f>
        <v>#N/A</v>
      </c>
    </row>
    <row r="9748" spans="7:8" ht="15" customHeight="1" x14ac:dyDescent="0.4">
      <c r="G9748" s="27">
        <f t="shared" si="164"/>
        <v>0</v>
      </c>
      <c r="H9748" s="28" t="e">
        <f>VLOOKUP(E9748,'Cadastro Produtos (kiwkiw)'!C:E,3,0)</f>
        <v>#N/A</v>
      </c>
    </row>
    <row r="9749" spans="7:8" ht="15" customHeight="1" x14ac:dyDescent="0.4">
      <c r="G9749" s="27">
        <f t="shared" si="164"/>
        <v>0</v>
      </c>
      <c r="H9749" s="28" t="e">
        <f>VLOOKUP(E9749,'Cadastro Produtos (kiwkiw)'!C:E,3,0)</f>
        <v>#N/A</v>
      </c>
    </row>
    <row r="9750" spans="7:8" ht="15" customHeight="1" x14ac:dyDescent="0.4">
      <c r="G9750" s="27">
        <f t="shared" si="164"/>
        <v>0</v>
      </c>
      <c r="H9750" s="28" t="e">
        <f>VLOOKUP(E9750,'Cadastro Produtos (kiwkiw)'!C:E,3,0)</f>
        <v>#N/A</v>
      </c>
    </row>
    <row r="9751" spans="7:8" ht="15" customHeight="1" x14ac:dyDescent="0.4">
      <c r="G9751" s="27">
        <f t="shared" si="164"/>
        <v>0</v>
      </c>
      <c r="H9751" s="28" t="e">
        <f>VLOOKUP(E9751,'Cadastro Produtos (kiwkiw)'!C:E,3,0)</f>
        <v>#N/A</v>
      </c>
    </row>
    <row r="9752" spans="7:8" ht="15" customHeight="1" x14ac:dyDescent="0.4">
      <c r="G9752" s="27">
        <f t="shared" si="164"/>
        <v>0</v>
      </c>
      <c r="H9752" s="28" t="e">
        <f>VLOOKUP(E9752,'Cadastro Produtos (kiwkiw)'!C:E,3,0)</f>
        <v>#N/A</v>
      </c>
    </row>
    <row r="9753" spans="7:8" ht="15" customHeight="1" x14ac:dyDescent="0.4">
      <c r="G9753" s="27">
        <f t="shared" si="164"/>
        <v>0</v>
      </c>
      <c r="H9753" s="28" t="e">
        <f>VLOOKUP(E9753,'Cadastro Produtos (kiwkiw)'!C:E,3,0)</f>
        <v>#N/A</v>
      </c>
    </row>
    <row r="9754" spans="7:8" ht="15" customHeight="1" x14ac:dyDescent="0.4">
      <c r="G9754" s="27">
        <f t="shared" si="164"/>
        <v>0</v>
      </c>
      <c r="H9754" s="28" t="e">
        <f>VLOOKUP(E9754,'Cadastro Produtos (kiwkiw)'!C:E,3,0)</f>
        <v>#N/A</v>
      </c>
    </row>
    <row r="9755" spans="7:8" ht="15" customHeight="1" x14ac:dyDescent="0.4">
      <c r="G9755" s="27">
        <f t="shared" si="164"/>
        <v>0</v>
      </c>
      <c r="H9755" s="28" t="e">
        <f>VLOOKUP(E9755,'Cadastro Produtos (kiwkiw)'!C:E,3,0)</f>
        <v>#N/A</v>
      </c>
    </row>
    <row r="9756" spans="7:8" ht="15" customHeight="1" x14ac:dyDescent="0.4">
      <c r="G9756" s="27">
        <f t="shared" si="164"/>
        <v>0</v>
      </c>
      <c r="H9756" s="28" t="e">
        <f>VLOOKUP(E9756,'Cadastro Produtos (kiwkiw)'!C:E,3,0)</f>
        <v>#N/A</v>
      </c>
    </row>
    <row r="9757" spans="7:8" ht="15" customHeight="1" x14ac:dyDescent="0.4">
      <c r="G9757" s="27">
        <f t="shared" si="164"/>
        <v>0</v>
      </c>
      <c r="H9757" s="28" t="e">
        <f>VLOOKUP(E9757,'Cadastro Produtos (kiwkiw)'!C:E,3,0)</f>
        <v>#N/A</v>
      </c>
    </row>
    <row r="9758" spans="7:8" ht="15" customHeight="1" x14ac:dyDescent="0.4">
      <c r="G9758" s="27">
        <f t="shared" si="164"/>
        <v>0</v>
      </c>
      <c r="H9758" s="28" t="e">
        <f>VLOOKUP(E9758,'Cadastro Produtos (kiwkiw)'!C:E,3,0)</f>
        <v>#N/A</v>
      </c>
    </row>
    <row r="9759" spans="7:8" ht="15" customHeight="1" x14ac:dyDescent="0.4">
      <c r="G9759" s="27">
        <f t="shared" si="164"/>
        <v>0</v>
      </c>
      <c r="H9759" s="28" t="e">
        <f>VLOOKUP(E9759,'Cadastro Produtos (kiwkiw)'!C:E,3,0)</f>
        <v>#N/A</v>
      </c>
    </row>
    <row r="9760" spans="7:8" ht="15" customHeight="1" x14ac:dyDescent="0.4">
      <c r="G9760" s="27">
        <f t="shared" si="164"/>
        <v>0</v>
      </c>
      <c r="H9760" s="28" t="e">
        <f>VLOOKUP(E9760,'Cadastro Produtos (kiwkiw)'!C:E,3,0)</f>
        <v>#N/A</v>
      </c>
    </row>
    <row r="9761" spans="7:8" ht="15" customHeight="1" x14ac:dyDescent="0.4">
      <c r="G9761" s="27">
        <f t="shared" si="164"/>
        <v>0</v>
      </c>
      <c r="H9761" s="28" t="e">
        <f>VLOOKUP(E9761,'Cadastro Produtos (kiwkiw)'!C:E,3,0)</f>
        <v>#N/A</v>
      </c>
    </row>
    <row r="9762" spans="7:8" ht="15" customHeight="1" x14ac:dyDescent="0.4">
      <c r="G9762" s="27">
        <f t="shared" si="164"/>
        <v>0</v>
      </c>
      <c r="H9762" s="28" t="e">
        <f>VLOOKUP(E9762,'Cadastro Produtos (kiwkiw)'!C:E,3,0)</f>
        <v>#N/A</v>
      </c>
    </row>
    <row r="9763" spans="7:8" ht="15" customHeight="1" x14ac:dyDescent="0.4">
      <c r="G9763" s="27">
        <f t="shared" si="164"/>
        <v>0</v>
      </c>
      <c r="H9763" s="28" t="e">
        <f>VLOOKUP(E9763,'Cadastro Produtos (kiwkiw)'!C:E,3,0)</f>
        <v>#N/A</v>
      </c>
    </row>
    <row r="9764" spans="7:8" ht="15" customHeight="1" x14ac:dyDescent="0.4">
      <c r="G9764" s="27">
        <f t="shared" si="164"/>
        <v>0</v>
      </c>
      <c r="H9764" s="28" t="e">
        <f>VLOOKUP(E9764,'Cadastro Produtos (kiwkiw)'!C:E,3,0)</f>
        <v>#N/A</v>
      </c>
    </row>
    <row r="9765" spans="7:8" ht="15" customHeight="1" x14ac:dyDescent="0.4">
      <c r="G9765" s="27">
        <f t="shared" si="164"/>
        <v>0</v>
      </c>
      <c r="H9765" s="28" t="e">
        <f>VLOOKUP(E9765,'Cadastro Produtos (kiwkiw)'!C:E,3,0)</f>
        <v>#N/A</v>
      </c>
    </row>
    <row r="9766" spans="7:8" ht="15" customHeight="1" x14ac:dyDescent="0.4">
      <c r="G9766" s="27">
        <f t="shared" si="164"/>
        <v>0</v>
      </c>
      <c r="H9766" s="28" t="e">
        <f>VLOOKUP(E9766,'Cadastro Produtos (kiwkiw)'!C:E,3,0)</f>
        <v>#N/A</v>
      </c>
    </row>
    <row r="9767" spans="7:8" ht="15" customHeight="1" x14ac:dyDescent="0.4">
      <c r="G9767" s="27">
        <f t="shared" si="164"/>
        <v>0</v>
      </c>
      <c r="H9767" s="28" t="e">
        <f>VLOOKUP(E9767,'Cadastro Produtos (kiwkiw)'!C:E,3,0)</f>
        <v>#N/A</v>
      </c>
    </row>
    <row r="9768" spans="7:8" ht="15" customHeight="1" x14ac:dyDescent="0.4">
      <c r="G9768" s="27">
        <f t="shared" si="164"/>
        <v>0</v>
      </c>
      <c r="H9768" s="28" t="e">
        <f>VLOOKUP(E9768,'Cadastro Produtos (kiwkiw)'!C:E,3,0)</f>
        <v>#N/A</v>
      </c>
    </row>
    <row r="9769" spans="7:8" ht="15" customHeight="1" x14ac:dyDescent="0.4">
      <c r="G9769" s="27">
        <f t="shared" si="164"/>
        <v>0</v>
      </c>
      <c r="H9769" s="28" t="e">
        <f>VLOOKUP(E9769,'Cadastro Produtos (kiwkiw)'!C:E,3,0)</f>
        <v>#N/A</v>
      </c>
    </row>
    <row r="9770" spans="7:8" ht="15" customHeight="1" x14ac:dyDescent="0.4">
      <c r="G9770" s="27">
        <f t="shared" si="164"/>
        <v>0</v>
      </c>
      <c r="H9770" s="28" t="e">
        <f>VLOOKUP(E9770,'Cadastro Produtos (kiwkiw)'!C:E,3,0)</f>
        <v>#N/A</v>
      </c>
    </row>
    <row r="9771" spans="7:8" ht="15" customHeight="1" x14ac:dyDescent="0.4">
      <c r="G9771" s="27">
        <f t="shared" si="164"/>
        <v>0</v>
      </c>
      <c r="H9771" s="28" t="e">
        <f>VLOOKUP(E9771,'Cadastro Produtos (kiwkiw)'!C:E,3,0)</f>
        <v>#N/A</v>
      </c>
    </row>
    <row r="9772" spans="7:8" ht="15" customHeight="1" x14ac:dyDescent="0.4">
      <c r="G9772" s="27">
        <f t="shared" si="164"/>
        <v>0</v>
      </c>
      <c r="H9772" s="28" t="e">
        <f>VLOOKUP(E9772,'Cadastro Produtos (kiwkiw)'!C:E,3,0)</f>
        <v>#N/A</v>
      </c>
    </row>
    <row r="9773" spans="7:8" ht="15" customHeight="1" x14ac:dyDescent="0.4">
      <c r="G9773" s="27">
        <f t="shared" si="164"/>
        <v>0</v>
      </c>
      <c r="H9773" s="28" t="e">
        <f>VLOOKUP(E9773,'Cadastro Produtos (kiwkiw)'!C:E,3,0)</f>
        <v>#N/A</v>
      </c>
    </row>
    <row r="9774" spans="7:8" ht="15" customHeight="1" x14ac:dyDescent="0.4">
      <c r="G9774" s="27">
        <f t="shared" si="164"/>
        <v>0</v>
      </c>
      <c r="H9774" s="28" t="e">
        <f>VLOOKUP(E9774,'Cadastro Produtos (kiwkiw)'!C:E,3,0)</f>
        <v>#N/A</v>
      </c>
    </row>
    <row r="9775" spans="7:8" ht="15" customHeight="1" x14ac:dyDescent="0.4">
      <c r="G9775" s="27">
        <f t="shared" si="164"/>
        <v>0</v>
      </c>
      <c r="H9775" s="28" t="e">
        <f>VLOOKUP(E9775,'Cadastro Produtos (kiwkiw)'!C:E,3,0)</f>
        <v>#N/A</v>
      </c>
    </row>
    <row r="9776" spans="7:8" ht="15" customHeight="1" x14ac:dyDescent="0.4">
      <c r="G9776" s="27">
        <f t="shared" si="164"/>
        <v>0</v>
      </c>
      <c r="H9776" s="28" t="e">
        <f>VLOOKUP(E9776,'Cadastro Produtos (kiwkiw)'!C:E,3,0)</f>
        <v>#N/A</v>
      </c>
    </row>
    <row r="9777" spans="7:8" ht="15" customHeight="1" x14ac:dyDescent="0.4">
      <c r="G9777" s="27">
        <f t="shared" si="164"/>
        <v>0</v>
      </c>
      <c r="H9777" s="28" t="e">
        <f>VLOOKUP(E9777,'Cadastro Produtos (kiwkiw)'!C:E,3,0)</f>
        <v>#N/A</v>
      </c>
    </row>
    <row r="9778" spans="7:8" ht="15" customHeight="1" x14ac:dyDescent="0.4">
      <c r="G9778" s="27">
        <f t="shared" si="164"/>
        <v>0</v>
      </c>
      <c r="H9778" s="28" t="e">
        <f>VLOOKUP(E9778,'Cadastro Produtos (kiwkiw)'!C:E,3,0)</f>
        <v>#N/A</v>
      </c>
    </row>
    <row r="9779" spans="7:8" ht="15" customHeight="1" x14ac:dyDescent="0.4">
      <c r="G9779" s="27">
        <f t="shared" si="164"/>
        <v>0</v>
      </c>
      <c r="H9779" s="28" t="e">
        <f>VLOOKUP(E9779,'Cadastro Produtos (kiwkiw)'!C:E,3,0)</f>
        <v>#N/A</v>
      </c>
    </row>
    <row r="9780" spans="7:8" ht="15" customHeight="1" x14ac:dyDescent="0.4">
      <c r="G9780" s="27">
        <f t="shared" si="164"/>
        <v>0</v>
      </c>
      <c r="H9780" s="28" t="e">
        <f>VLOOKUP(E9780,'Cadastro Produtos (kiwkiw)'!C:E,3,0)</f>
        <v>#N/A</v>
      </c>
    </row>
    <row r="9781" spans="7:8" ht="15" customHeight="1" x14ac:dyDescent="0.4">
      <c r="G9781" s="27">
        <f t="shared" si="164"/>
        <v>0</v>
      </c>
      <c r="H9781" s="28" t="e">
        <f>VLOOKUP(E9781,'Cadastro Produtos (kiwkiw)'!C:E,3,0)</f>
        <v>#N/A</v>
      </c>
    </row>
    <row r="9782" spans="7:8" ht="15" customHeight="1" x14ac:dyDescent="0.4">
      <c r="G9782" s="27">
        <f t="shared" si="164"/>
        <v>0</v>
      </c>
      <c r="H9782" s="28" t="e">
        <f>VLOOKUP(E9782,'Cadastro Produtos (kiwkiw)'!C:E,3,0)</f>
        <v>#N/A</v>
      </c>
    </row>
    <row r="9783" spans="7:8" ht="15" customHeight="1" x14ac:dyDescent="0.4">
      <c r="G9783" s="27">
        <f t="shared" si="164"/>
        <v>0</v>
      </c>
      <c r="H9783" s="28" t="e">
        <f>VLOOKUP(E9783,'Cadastro Produtos (kiwkiw)'!C:E,3,0)</f>
        <v>#N/A</v>
      </c>
    </row>
    <row r="9784" spans="7:8" ht="15" customHeight="1" x14ac:dyDescent="0.4">
      <c r="G9784" s="27">
        <f t="shared" si="164"/>
        <v>0</v>
      </c>
      <c r="H9784" s="28" t="e">
        <f>VLOOKUP(E9784,'Cadastro Produtos (kiwkiw)'!C:E,3,0)</f>
        <v>#N/A</v>
      </c>
    </row>
    <row r="9785" spans="7:8" ht="15" customHeight="1" x14ac:dyDescent="0.4">
      <c r="G9785" s="27">
        <f t="shared" si="164"/>
        <v>0</v>
      </c>
      <c r="H9785" s="28" t="e">
        <f>VLOOKUP(E9785,'Cadastro Produtos (kiwkiw)'!C:E,3,0)</f>
        <v>#N/A</v>
      </c>
    </row>
    <row r="9786" spans="7:8" ht="15" customHeight="1" x14ac:dyDescent="0.4">
      <c r="G9786" s="27">
        <f t="shared" si="164"/>
        <v>0</v>
      </c>
      <c r="H9786" s="28" t="e">
        <f>VLOOKUP(E9786,'Cadastro Produtos (kiwkiw)'!C:E,3,0)</f>
        <v>#N/A</v>
      </c>
    </row>
    <row r="9787" spans="7:8" ht="15" customHeight="1" x14ac:dyDescent="0.4">
      <c r="G9787" s="27">
        <f t="shared" si="164"/>
        <v>0</v>
      </c>
      <c r="H9787" s="28" t="e">
        <f>VLOOKUP(E9787,'Cadastro Produtos (kiwkiw)'!C:E,3,0)</f>
        <v>#N/A</v>
      </c>
    </row>
    <row r="9788" spans="7:8" ht="15" customHeight="1" x14ac:dyDescent="0.4">
      <c r="G9788" s="27">
        <f t="shared" si="164"/>
        <v>0</v>
      </c>
      <c r="H9788" s="28" t="e">
        <f>VLOOKUP(E9788,'Cadastro Produtos (kiwkiw)'!C:E,3,0)</f>
        <v>#N/A</v>
      </c>
    </row>
    <row r="9789" spans="7:8" ht="15" customHeight="1" x14ac:dyDescent="0.4">
      <c r="G9789" s="27">
        <f t="shared" si="164"/>
        <v>0</v>
      </c>
      <c r="H9789" s="28" t="e">
        <f>VLOOKUP(E9789,'Cadastro Produtos (kiwkiw)'!C:E,3,0)</f>
        <v>#N/A</v>
      </c>
    </row>
    <row r="9790" spans="7:8" ht="15" customHeight="1" x14ac:dyDescent="0.4">
      <c r="G9790" s="27">
        <f t="shared" si="164"/>
        <v>0</v>
      </c>
      <c r="H9790" s="28" t="e">
        <f>VLOOKUP(E9790,'Cadastro Produtos (kiwkiw)'!C:E,3,0)</f>
        <v>#N/A</v>
      </c>
    </row>
    <row r="9791" spans="7:8" ht="15" customHeight="1" x14ac:dyDescent="0.4">
      <c r="G9791" s="27">
        <f t="shared" si="164"/>
        <v>0</v>
      </c>
      <c r="H9791" s="28" t="e">
        <f>VLOOKUP(E9791,'Cadastro Produtos (kiwkiw)'!C:E,3,0)</f>
        <v>#N/A</v>
      </c>
    </row>
    <row r="9792" spans="7:8" ht="15" customHeight="1" x14ac:dyDescent="0.4">
      <c r="G9792" s="27">
        <f t="shared" si="164"/>
        <v>0</v>
      </c>
      <c r="H9792" s="28" t="e">
        <f>VLOOKUP(E9792,'Cadastro Produtos (kiwkiw)'!C:E,3,0)</f>
        <v>#N/A</v>
      </c>
    </row>
    <row r="9793" spans="7:8" ht="15" customHeight="1" x14ac:dyDescent="0.4">
      <c r="G9793" s="27">
        <f t="shared" si="164"/>
        <v>0</v>
      </c>
      <c r="H9793" s="28" t="e">
        <f>VLOOKUP(E9793,'Cadastro Produtos (kiwkiw)'!C:E,3,0)</f>
        <v>#N/A</v>
      </c>
    </row>
    <row r="9794" spans="7:8" ht="15" customHeight="1" x14ac:dyDescent="0.4">
      <c r="G9794" s="27">
        <f t="shared" si="164"/>
        <v>0</v>
      </c>
      <c r="H9794" s="28" t="e">
        <f>VLOOKUP(E9794,'Cadastro Produtos (kiwkiw)'!C:E,3,0)</f>
        <v>#N/A</v>
      </c>
    </row>
    <row r="9795" spans="7:8" ht="15" customHeight="1" x14ac:dyDescent="0.4">
      <c r="G9795" s="27">
        <f t="shared" si="164"/>
        <v>0</v>
      </c>
      <c r="H9795" s="28" t="e">
        <f>VLOOKUP(E9795,'Cadastro Produtos (kiwkiw)'!C:E,3,0)</f>
        <v>#N/A</v>
      </c>
    </row>
    <row r="9796" spans="7:8" ht="15" customHeight="1" x14ac:dyDescent="0.4">
      <c r="G9796" s="27">
        <f t="shared" si="164"/>
        <v>0</v>
      </c>
      <c r="H9796" s="28" t="e">
        <f>VLOOKUP(E9796,'Cadastro Produtos (kiwkiw)'!C:E,3,0)</f>
        <v>#N/A</v>
      </c>
    </row>
    <row r="9797" spans="7:8" ht="15" customHeight="1" x14ac:dyDescent="0.4">
      <c r="G9797" s="27">
        <f t="shared" si="164"/>
        <v>0</v>
      </c>
      <c r="H9797" s="28" t="e">
        <f>VLOOKUP(E9797,'Cadastro Produtos (kiwkiw)'!C:E,3,0)</f>
        <v>#N/A</v>
      </c>
    </row>
    <row r="9798" spans="7:8" ht="15" customHeight="1" x14ac:dyDescent="0.4">
      <c r="G9798" s="27">
        <f t="shared" si="164"/>
        <v>0</v>
      </c>
      <c r="H9798" s="28" t="e">
        <f>VLOOKUP(E9798,'Cadastro Produtos (kiwkiw)'!C:E,3,0)</f>
        <v>#N/A</v>
      </c>
    </row>
    <row r="9799" spans="7:8" ht="15" customHeight="1" x14ac:dyDescent="0.4">
      <c r="G9799" s="27">
        <f t="shared" si="164"/>
        <v>0</v>
      </c>
      <c r="H9799" s="28" t="e">
        <f>VLOOKUP(E9799,'Cadastro Produtos (kiwkiw)'!C:E,3,0)</f>
        <v>#N/A</v>
      </c>
    </row>
    <row r="9800" spans="7:8" ht="15" customHeight="1" x14ac:dyDescent="0.4">
      <c r="G9800" s="27">
        <f t="shared" si="164"/>
        <v>0</v>
      </c>
      <c r="H9800" s="28" t="e">
        <f>VLOOKUP(E9800,'Cadastro Produtos (kiwkiw)'!C:E,3,0)</f>
        <v>#N/A</v>
      </c>
    </row>
    <row r="9801" spans="7:8" ht="15" customHeight="1" x14ac:dyDescent="0.4">
      <c r="G9801" s="27">
        <f t="shared" si="164"/>
        <v>0</v>
      </c>
      <c r="H9801" s="28" t="e">
        <f>VLOOKUP(E9801,'Cadastro Produtos (kiwkiw)'!C:E,3,0)</f>
        <v>#N/A</v>
      </c>
    </row>
    <row r="9802" spans="7:8" ht="15" customHeight="1" x14ac:dyDescent="0.4">
      <c r="G9802" s="27">
        <f t="shared" si="164"/>
        <v>0</v>
      </c>
      <c r="H9802" s="28" t="e">
        <f>VLOOKUP(E9802,'Cadastro Produtos (kiwkiw)'!C:E,3,0)</f>
        <v>#N/A</v>
      </c>
    </row>
    <row r="9803" spans="7:8" ht="15" customHeight="1" x14ac:dyDescent="0.4">
      <c r="G9803" s="27">
        <f t="shared" si="164"/>
        <v>0</v>
      </c>
      <c r="H9803" s="28" t="e">
        <f>VLOOKUP(E9803,'Cadastro Produtos (kiwkiw)'!C:E,3,0)</f>
        <v>#N/A</v>
      </c>
    </row>
    <row r="9804" spans="7:8" ht="15" customHeight="1" x14ac:dyDescent="0.4">
      <c r="G9804" s="27">
        <f t="shared" si="164"/>
        <v>0</v>
      </c>
      <c r="H9804" s="28" t="e">
        <f>VLOOKUP(E9804,'Cadastro Produtos (kiwkiw)'!C:E,3,0)</f>
        <v>#N/A</v>
      </c>
    </row>
    <row r="9805" spans="7:8" ht="15" customHeight="1" x14ac:dyDescent="0.4">
      <c r="G9805" s="27">
        <f t="shared" si="164"/>
        <v>0</v>
      </c>
      <c r="H9805" s="28" t="e">
        <f>VLOOKUP(E9805,'Cadastro Produtos (kiwkiw)'!C:E,3,0)</f>
        <v>#N/A</v>
      </c>
    </row>
    <row r="9806" spans="7:8" ht="15" customHeight="1" x14ac:dyDescent="0.4">
      <c r="G9806" s="27">
        <f t="shared" si="164"/>
        <v>0</v>
      </c>
      <c r="H9806" s="28" t="e">
        <f>VLOOKUP(E9806,'Cadastro Produtos (kiwkiw)'!C:E,3,0)</f>
        <v>#N/A</v>
      </c>
    </row>
    <row r="9807" spans="7:8" ht="15" customHeight="1" x14ac:dyDescent="0.4">
      <c r="G9807" s="27">
        <f t="shared" si="164"/>
        <v>0</v>
      </c>
      <c r="H9807" s="28" t="e">
        <f>VLOOKUP(E9807,'Cadastro Produtos (kiwkiw)'!C:E,3,0)</f>
        <v>#N/A</v>
      </c>
    </row>
    <row r="9808" spans="7:8" ht="15" customHeight="1" x14ac:dyDescent="0.4">
      <c r="G9808" s="27">
        <f t="shared" si="164"/>
        <v>0</v>
      </c>
      <c r="H9808" s="28" t="e">
        <f>VLOOKUP(E9808,'Cadastro Produtos (kiwkiw)'!C:E,3,0)</f>
        <v>#N/A</v>
      </c>
    </row>
    <row r="9809" spans="7:8" ht="15" customHeight="1" x14ac:dyDescent="0.4">
      <c r="G9809" s="27">
        <f t="shared" si="164"/>
        <v>0</v>
      </c>
      <c r="H9809" s="28" t="e">
        <f>VLOOKUP(E9809,'Cadastro Produtos (kiwkiw)'!C:E,3,0)</f>
        <v>#N/A</v>
      </c>
    </row>
    <row r="9810" spans="7:8" ht="15" customHeight="1" x14ac:dyDescent="0.4">
      <c r="G9810" s="27">
        <f t="shared" ref="G9810:G9873" si="165">IF(C9810="Entrada",F9810,-F9810)</f>
        <v>0</v>
      </c>
      <c r="H9810" s="28" t="e">
        <f>VLOOKUP(E9810,'Cadastro Produtos (kiwkiw)'!C:E,3,0)</f>
        <v>#N/A</v>
      </c>
    </row>
    <row r="9811" spans="7:8" ht="15" customHeight="1" x14ac:dyDescent="0.4">
      <c r="G9811" s="27">
        <f t="shared" si="165"/>
        <v>0</v>
      </c>
      <c r="H9811" s="28" t="e">
        <f>VLOOKUP(E9811,'Cadastro Produtos (kiwkiw)'!C:E,3,0)</f>
        <v>#N/A</v>
      </c>
    </row>
    <row r="9812" spans="7:8" ht="15" customHeight="1" x14ac:dyDescent="0.4">
      <c r="G9812" s="27">
        <f t="shared" si="165"/>
        <v>0</v>
      </c>
      <c r="H9812" s="28" t="e">
        <f>VLOOKUP(E9812,'Cadastro Produtos (kiwkiw)'!C:E,3,0)</f>
        <v>#N/A</v>
      </c>
    </row>
    <row r="9813" spans="7:8" ht="15" customHeight="1" x14ac:dyDescent="0.4">
      <c r="G9813" s="27">
        <f t="shared" si="165"/>
        <v>0</v>
      </c>
      <c r="H9813" s="28" t="e">
        <f>VLOOKUP(E9813,'Cadastro Produtos (kiwkiw)'!C:E,3,0)</f>
        <v>#N/A</v>
      </c>
    </row>
    <row r="9814" spans="7:8" ht="15" customHeight="1" x14ac:dyDescent="0.4">
      <c r="G9814" s="27">
        <f t="shared" si="165"/>
        <v>0</v>
      </c>
      <c r="H9814" s="28" t="e">
        <f>VLOOKUP(E9814,'Cadastro Produtos (kiwkiw)'!C:E,3,0)</f>
        <v>#N/A</v>
      </c>
    </row>
    <row r="9815" spans="7:8" ht="15" customHeight="1" x14ac:dyDescent="0.4">
      <c r="G9815" s="27">
        <f t="shared" si="165"/>
        <v>0</v>
      </c>
      <c r="H9815" s="28" t="e">
        <f>VLOOKUP(E9815,'Cadastro Produtos (kiwkiw)'!C:E,3,0)</f>
        <v>#N/A</v>
      </c>
    </row>
    <row r="9816" spans="7:8" ht="15" customHeight="1" x14ac:dyDescent="0.4">
      <c r="G9816" s="27">
        <f t="shared" si="165"/>
        <v>0</v>
      </c>
      <c r="H9816" s="28" t="e">
        <f>VLOOKUP(E9816,'Cadastro Produtos (kiwkiw)'!C:E,3,0)</f>
        <v>#N/A</v>
      </c>
    </row>
    <row r="9817" spans="7:8" ht="15" customHeight="1" x14ac:dyDescent="0.4">
      <c r="G9817" s="27">
        <f t="shared" si="165"/>
        <v>0</v>
      </c>
      <c r="H9817" s="28" t="e">
        <f>VLOOKUP(E9817,'Cadastro Produtos (kiwkiw)'!C:E,3,0)</f>
        <v>#N/A</v>
      </c>
    </row>
    <row r="9818" spans="7:8" ht="15" customHeight="1" x14ac:dyDescent="0.4">
      <c r="G9818" s="27">
        <f t="shared" si="165"/>
        <v>0</v>
      </c>
      <c r="H9818" s="28" t="e">
        <f>VLOOKUP(E9818,'Cadastro Produtos (kiwkiw)'!C:E,3,0)</f>
        <v>#N/A</v>
      </c>
    </row>
    <row r="9819" spans="7:8" ht="15" customHeight="1" x14ac:dyDescent="0.4">
      <c r="G9819" s="27">
        <f t="shared" si="165"/>
        <v>0</v>
      </c>
      <c r="H9819" s="28" t="e">
        <f>VLOOKUP(E9819,'Cadastro Produtos (kiwkiw)'!C:E,3,0)</f>
        <v>#N/A</v>
      </c>
    </row>
    <row r="9820" spans="7:8" ht="15" customHeight="1" x14ac:dyDescent="0.4">
      <c r="G9820" s="27">
        <f t="shared" si="165"/>
        <v>0</v>
      </c>
      <c r="H9820" s="28" t="e">
        <f>VLOOKUP(E9820,'Cadastro Produtos (kiwkiw)'!C:E,3,0)</f>
        <v>#N/A</v>
      </c>
    </row>
    <row r="9821" spans="7:8" ht="15" customHeight="1" x14ac:dyDescent="0.4">
      <c r="G9821" s="27">
        <f t="shared" si="165"/>
        <v>0</v>
      </c>
      <c r="H9821" s="28" t="e">
        <f>VLOOKUP(E9821,'Cadastro Produtos (kiwkiw)'!C:E,3,0)</f>
        <v>#N/A</v>
      </c>
    </row>
    <row r="9822" spans="7:8" ht="15" customHeight="1" x14ac:dyDescent="0.4">
      <c r="G9822" s="27">
        <f t="shared" si="165"/>
        <v>0</v>
      </c>
      <c r="H9822" s="28" t="e">
        <f>VLOOKUP(E9822,'Cadastro Produtos (kiwkiw)'!C:E,3,0)</f>
        <v>#N/A</v>
      </c>
    </row>
    <row r="9823" spans="7:8" ht="15" customHeight="1" x14ac:dyDescent="0.4">
      <c r="G9823" s="27">
        <f t="shared" si="165"/>
        <v>0</v>
      </c>
      <c r="H9823" s="28" t="e">
        <f>VLOOKUP(E9823,'Cadastro Produtos (kiwkiw)'!C:E,3,0)</f>
        <v>#N/A</v>
      </c>
    </row>
    <row r="9824" spans="7:8" ht="15" customHeight="1" x14ac:dyDescent="0.4">
      <c r="G9824" s="27">
        <f t="shared" si="165"/>
        <v>0</v>
      </c>
      <c r="H9824" s="28" t="e">
        <f>VLOOKUP(E9824,'Cadastro Produtos (kiwkiw)'!C:E,3,0)</f>
        <v>#N/A</v>
      </c>
    </row>
    <row r="9825" spans="7:8" ht="15" customHeight="1" x14ac:dyDescent="0.4">
      <c r="G9825" s="27">
        <f t="shared" si="165"/>
        <v>0</v>
      </c>
      <c r="H9825" s="28" t="e">
        <f>VLOOKUP(E9825,'Cadastro Produtos (kiwkiw)'!C:E,3,0)</f>
        <v>#N/A</v>
      </c>
    </row>
    <row r="9826" spans="7:8" ht="15" customHeight="1" x14ac:dyDescent="0.4">
      <c r="G9826" s="27">
        <f t="shared" si="165"/>
        <v>0</v>
      </c>
      <c r="H9826" s="28" t="e">
        <f>VLOOKUP(E9826,'Cadastro Produtos (kiwkiw)'!C:E,3,0)</f>
        <v>#N/A</v>
      </c>
    </row>
    <row r="9827" spans="7:8" ht="15" customHeight="1" x14ac:dyDescent="0.4">
      <c r="G9827" s="27">
        <f t="shared" si="165"/>
        <v>0</v>
      </c>
      <c r="H9827" s="28" t="e">
        <f>VLOOKUP(E9827,'Cadastro Produtos (kiwkiw)'!C:E,3,0)</f>
        <v>#N/A</v>
      </c>
    </row>
    <row r="9828" spans="7:8" ht="15" customHeight="1" x14ac:dyDescent="0.4">
      <c r="G9828" s="27">
        <f t="shared" si="165"/>
        <v>0</v>
      </c>
      <c r="H9828" s="28" t="e">
        <f>VLOOKUP(E9828,'Cadastro Produtos (kiwkiw)'!C:E,3,0)</f>
        <v>#N/A</v>
      </c>
    </row>
    <row r="9829" spans="7:8" ht="15" customHeight="1" x14ac:dyDescent="0.4">
      <c r="G9829" s="27">
        <f t="shared" si="165"/>
        <v>0</v>
      </c>
      <c r="H9829" s="28" t="e">
        <f>VLOOKUP(E9829,'Cadastro Produtos (kiwkiw)'!C:E,3,0)</f>
        <v>#N/A</v>
      </c>
    </row>
    <row r="9830" spans="7:8" ht="15" customHeight="1" x14ac:dyDescent="0.4">
      <c r="G9830" s="27">
        <f t="shared" si="165"/>
        <v>0</v>
      </c>
      <c r="H9830" s="28" t="e">
        <f>VLOOKUP(E9830,'Cadastro Produtos (kiwkiw)'!C:E,3,0)</f>
        <v>#N/A</v>
      </c>
    </row>
    <row r="9831" spans="7:8" ht="15" customHeight="1" x14ac:dyDescent="0.4">
      <c r="G9831" s="27">
        <f t="shared" si="165"/>
        <v>0</v>
      </c>
      <c r="H9831" s="28" t="e">
        <f>VLOOKUP(E9831,'Cadastro Produtos (kiwkiw)'!C:E,3,0)</f>
        <v>#N/A</v>
      </c>
    </row>
    <row r="9832" spans="7:8" ht="15" customHeight="1" x14ac:dyDescent="0.4">
      <c r="G9832" s="27">
        <f t="shared" si="165"/>
        <v>0</v>
      </c>
      <c r="H9832" s="28" t="e">
        <f>VLOOKUP(E9832,'Cadastro Produtos (kiwkiw)'!C:E,3,0)</f>
        <v>#N/A</v>
      </c>
    </row>
    <row r="9833" spans="7:8" ht="15" customHeight="1" x14ac:dyDescent="0.4">
      <c r="G9833" s="27">
        <f t="shared" si="165"/>
        <v>0</v>
      </c>
      <c r="H9833" s="28" t="e">
        <f>VLOOKUP(E9833,'Cadastro Produtos (kiwkiw)'!C:E,3,0)</f>
        <v>#N/A</v>
      </c>
    </row>
    <row r="9834" spans="7:8" ht="15" customHeight="1" x14ac:dyDescent="0.4">
      <c r="G9834" s="27">
        <f t="shared" si="165"/>
        <v>0</v>
      </c>
      <c r="H9834" s="28" t="e">
        <f>VLOOKUP(E9834,'Cadastro Produtos (kiwkiw)'!C:E,3,0)</f>
        <v>#N/A</v>
      </c>
    </row>
    <row r="9835" spans="7:8" ht="15" customHeight="1" x14ac:dyDescent="0.4">
      <c r="G9835" s="27">
        <f t="shared" si="165"/>
        <v>0</v>
      </c>
      <c r="H9835" s="28" t="e">
        <f>VLOOKUP(E9835,'Cadastro Produtos (kiwkiw)'!C:E,3,0)</f>
        <v>#N/A</v>
      </c>
    </row>
    <row r="9836" spans="7:8" ht="15" customHeight="1" x14ac:dyDescent="0.4">
      <c r="G9836" s="27">
        <f t="shared" si="165"/>
        <v>0</v>
      </c>
      <c r="H9836" s="28" t="e">
        <f>VLOOKUP(E9836,'Cadastro Produtos (kiwkiw)'!C:E,3,0)</f>
        <v>#N/A</v>
      </c>
    </row>
    <row r="9837" spans="7:8" ht="15" customHeight="1" x14ac:dyDescent="0.4">
      <c r="G9837" s="27">
        <f t="shared" si="165"/>
        <v>0</v>
      </c>
      <c r="H9837" s="28" t="e">
        <f>VLOOKUP(E9837,'Cadastro Produtos (kiwkiw)'!C:E,3,0)</f>
        <v>#N/A</v>
      </c>
    </row>
    <row r="9838" spans="7:8" ht="15" customHeight="1" x14ac:dyDescent="0.4">
      <c r="G9838" s="27">
        <f t="shared" si="165"/>
        <v>0</v>
      </c>
      <c r="H9838" s="28" t="e">
        <f>VLOOKUP(E9838,'Cadastro Produtos (kiwkiw)'!C:E,3,0)</f>
        <v>#N/A</v>
      </c>
    </row>
    <row r="9839" spans="7:8" ht="15" customHeight="1" x14ac:dyDescent="0.4">
      <c r="G9839" s="27">
        <f t="shared" si="165"/>
        <v>0</v>
      </c>
      <c r="H9839" s="28" t="e">
        <f>VLOOKUP(E9839,'Cadastro Produtos (kiwkiw)'!C:E,3,0)</f>
        <v>#N/A</v>
      </c>
    </row>
    <row r="9840" spans="7:8" ht="15" customHeight="1" x14ac:dyDescent="0.4">
      <c r="G9840" s="27">
        <f t="shared" si="165"/>
        <v>0</v>
      </c>
      <c r="H9840" s="28" t="e">
        <f>VLOOKUP(E9840,'Cadastro Produtos (kiwkiw)'!C:E,3,0)</f>
        <v>#N/A</v>
      </c>
    </row>
    <row r="9841" spans="7:8" ht="15" customHeight="1" x14ac:dyDescent="0.4">
      <c r="G9841" s="27">
        <f t="shared" si="165"/>
        <v>0</v>
      </c>
      <c r="H9841" s="28" t="e">
        <f>VLOOKUP(E9841,'Cadastro Produtos (kiwkiw)'!C:E,3,0)</f>
        <v>#N/A</v>
      </c>
    </row>
    <row r="9842" spans="7:8" ht="15" customHeight="1" x14ac:dyDescent="0.4">
      <c r="G9842" s="27">
        <f t="shared" si="165"/>
        <v>0</v>
      </c>
      <c r="H9842" s="28" t="e">
        <f>VLOOKUP(E9842,'Cadastro Produtos (kiwkiw)'!C:E,3,0)</f>
        <v>#N/A</v>
      </c>
    </row>
    <row r="9843" spans="7:8" ht="15" customHeight="1" x14ac:dyDescent="0.4">
      <c r="G9843" s="27">
        <f t="shared" si="165"/>
        <v>0</v>
      </c>
      <c r="H9843" s="28" t="e">
        <f>VLOOKUP(E9843,'Cadastro Produtos (kiwkiw)'!C:E,3,0)</f>
        <v>#N/A</v>
      </c>
    </row>
    <row r="9844" spans="7:8" ht="15" customHeight="1" x14ac:dyDescent="0.4">
      <c r="G9844" s="27">
        <f t="shared" si="165"/>
        <v>0</v>
      </c>
      <c r="H9844" s="28" t="e">
        <f>VLOOKUP(E9844,'Cadastro Produtos (kiwkiw)'!C:E,3,0)</f>
        <v>#N/A</v>
      </c>
    </row>
    <row r="9845" spans="7:8" ht="15" customHeight="1" x14ac:dyDescent="0.4">
      <c r="G9845" s="27">
        <f t="shared" si="165"/>
        <v>0</v>
      </c>
      <c r="H9845" s="28" t="e">
        <f>VLOOKUP(E9845,'Cadastro Produtos (kiwkiw)'!C:E,3,0)</f>
        <v>#N/A</v>
      </c>
    </row>
    <row r="9846" spans="7:8" ht="15" customHeight="1" x14ac:dyDescent="0.4">
      <c r="G9846" s="27">
        <f t="shared" si="165"/>
        <v>0</v>
      </c>
      <c r="H9846" s="28" t="e">
        <f>VLOOKUP(E9846,'Cadastro Produtos (kiwkiw)'!C:E,3,0)</f>
        <v>#N/A</v>
      </c>
    </row>
    <row r="9847" spans="7:8" ht="15" customHeight="1" x14ac:dyDescent="0.4">
      <c r="G9847" s="27">
        <f t="shared" si="165"/>
        <v>0</v>
      </c>
      <c r="H9847" s="28" t="e">
        <f>VLOOKUP(E9847,'Cadastro Produtos (kiwkiw)'!C:E,3,0)</f>
        <v>#N/A</v>
      </c>
    </row>
    <row r="9848" spans="7:8" ht="15" customHeight="1" x14ac:dyDescent="0.4">
      <c r="G9848" s="27">
        <f t="shared" si="165"/>
        <v>0</v>
      </c>
      <c r="H9848" s="28" t="e">
        <f>VLOOKUP(E9848,'Cadastro Produtos (kiwkiw)'!C:E,3,0)</f>
        <v>#N/A</v>
      </c>
    </row>
    <row r="9849" spans="7:8" ht="15" customHeight="1" x14ac:dyDescent="0.4">
      <c r="G9849" s="27">
        <f t="shared" si="165"/>
        <v>0</v>
      </c>
      <c r="H9849" s="28" t="e">
        <f>VLOOKUP(E9849,'Cadastro Produtos (kiwkiw)'!C:E,3,0)</f>
        <v>#N/A</v>
      </c>
    </row>
    <row r="9850" spans="7:8" ht="15" customHeight="1" x14ac:dyDescent="0.4">
      <c r="G9850" s="27">
        <f t="shared" si="165"/>
        <v>0</v>
      </c>
      <c r="H9850" s="28" t="e">
        <f>VLOOKUP(E9850,'Cadastro Produtos (kiwkiw)'!C:E,3,0)</f>
        <v>#N/A</v>
      </c>
    </row>
    <row r="9851" spans="7:8" ht="15" customHeight="1" x14ac:dyDescent="0.4">
      <c r="G9851" s="27">
        <f t="shared" si="165"/>
        <v>0</v>
      </c>
      <c r="H9851" s="28" t="e">
        <f>VLOOKUP(E9851,'Cadastro Produtos (kiwkiw)'!C:E,3,0)</f>
        <v>#N/A</v>
      </c>
    </row>
    <row r="9852" spans="7:8" ht="15" customHeight="1" x14ac:dyDescent="0.4">
      <c r="G9852" s="27">
        <f t="shared" si="165"/>
        <v>0</v>
      </c>
      <c r="H9852" s="28" t="e">
        <f>VLOOKUP(E9852,'Cadastro Produtos (kiwkiw)'!C:E,3,0)</f>
        <v>#N/A</v>
      </c>
    </row>
    <row r="9853" spans="7:8" ht="15" customHeight="1" x14ac:dyDescent="0.4">
      <c r="G9853" s="27">
        <f t="shared" si="165"/>
        <v>0</v>
      </c>
      <c r="H9853" s="28" t="e">
        <f>VLOOKUP(E9853,'Cadastro Produtos (kiwkiw)'!C:E,3,0)</f>
        <v>#N/A</v>
      </c>
    </row>
    <row r="9854" spans="7:8" ht="15" customHeight="1" x14ac:dyDescent="0.4">
      <c r="G9854" s="27">
        <f t="shared" si="165"/>
        <v>0</v>
      </c>
      <c r="H9854" s="28" t="e">
        <f>VLOOKUP(E9854,'Cadastro Produtos (kiwkiw)'!C:E,3,0)</f>
        <v>#N/A</v>
      </c>
    </row>
    <row r="9855" spans="7:8" ht="15" customHeight="1" x14ac:dyDescent="0.4">
      <c r="G9855" s="27">
        <f t="shared" si="165"/>
        <v>0</v>
      </c>
      <c r="H9855" s="28" t="e">
        <f>VLOOKUP(E9855,'Cadastro Produtos (kiwkiw)'!C:E,3,0)</f>
        <v>#N/A</v>
      </c>
    </row>
    <row r="9856" spans="7:8" ht="15" customHeight="1" x14ac:dyDescent="0.4">
      <c r="G9856" s="27">
        <f t="shared" si="165"/>
        <v>0</v>
      </c>
      <c r="H9856" s="28" t="e">
        <f>VLOOKUP(E9856,'Cadastro Produtos (kiwkiw)'!C:E,3,0)</f>
        <v>#N/A</v>
      </c>
    </row>
    <row r="9857" spans="7:8" ht="15" customHeight="1" x14ac:dyDescent="0.4">
      <c r="G9857" s="27">
        <f t="shared" si="165"/>
        <v>0</v>
      </c>
      <c r="H9857" s="28" t="e">
        <f>VLOOKUP(E9857,'Cadastro Produtos (kiwkiw)'!C:E,3,0)</f>
        <v>#N/A</v>
      </c>
    </row>
    <row r="9858" spans="7:8" ht="15" customHeight="1" x14ac:dyDescent="0.4">
      <c r="G9858" s="27">
        <f t="shared" si="165"/>
        <v>0</v>
      </c>
      <c r="H9858" s="28" t="e">
        <f>VLOOKUP(E9858,'Cadastro Produtos (kiwkiw)'!C:E,3,0)</f>
        <v>#N/A</v>
      </c>
    </row>
    <row r="9859" spans="7:8" ht="15" customHeight="1" x14ac:dyDescent="0.4">
      <c r="G9859" s="27">
        <f t="shared" si="165"/>
        <v>0</v>
      </c>
      <c r="H9859" s="28" t="e">
        <f>VLOOKUP(E9859,'Cadastro Produtos (kiwkiw)'!C:E,3,0)</f>
        <v>#N/A</v>
      </c>
    </row>
    <row r="9860" spans="7:8" ht="15" customHeight="1" x14ac:dyDescent="0.4">
      <c r="G9860" s="27">
        <f t="shared" si="165"/>
        <v>0</v>
      </c>
      <c r="H9860" s="28" t="e">
        <f>VLOOKUP(E9860,'Cadastro Produtos (kiwkiw)'!C:E,3,0)</f>
        <v>#N/A</v>
      </c>
    </row>
    <row r="9861" spans="7:8" ht="15" customHeight="1" x14ac:dyDescent="0.4">
      <c r="G9861" s="27">
        <f t="shared" si="165"/>
        <v>0</v>
      </c>
      <c r="H9861" s="28" t="e">
        <f>VLOOKUP(E9861,'Cadastro Produtos (kiwkiw)'!C:E,3,0)</f>
        <v>#N/A</v>
      </c>
    </row>
    <row r="9862" spans="7:8" ht="15" customHeight="1" x14ac:dyDescent="0.4">
      <c r="G9862" s="27">
        <f t="shared" si="165"/>
        <v>0</v>
      </c>
      <c r="H9862" s="28" t="e">
        <f>VLOOKUP(E9862,'Cadastro Produtos (kiwkiw)'!C:E,3,0)</f>
        <v>#N/A</v>
      </c>
    </row>
    <row r="9863" spans="7:8" ht="15" customHeight="1" x14ac:dyDescent="0.4">
      <c r="G9863" s="27">
        <f t="shared" si="165"/>
        <v>0</v>
      </c>
      <c r="H9863" s="28" t="e">
        <f>VLOOKUP(E9863,'Cadastro Produtos (kiwkiw)'!C:E,3,0)</f>
        <v>#N/A</v>
      </c>
    </row>
    <row r="9864" spans="7:8" ht="15" customHeight="1" x14ac:dyDescent="0.4">
      <c r="G9864" s="27">
        <f t="shared" si="165"/>
        <v>0</v>
      </c>
      <c r="H9864" s="28" t="e">
        <f>VLOOKUP(E9864,'Cadastro Produtos (kiwkiw)'!C:E,3,0)</f>
        <v>#N/A</v>
      </c>
    </row>
    <row r="9865" spans="7:8" ht="15" customHeight="1" x14ac:dyDescent="0.4">
      <c r="G9865" s="27">
        <f t="shared" si="165"/>
        <v>0</v>
      </c>
      <c r="H9865" s="28" t="e">
        <f>VLOOKUP(E9865,'Cadastro Produtos (kiwkiw)'!C:E,3,0)</f>
        <v>#N/A</v>
      </c>
    </row>
    <row r="9866" spans="7:8" ht="15" customHeight="1" x14ac:dyDescent="0.4">
      <c r="G9866" s="27">
        <f t="shared" si="165"/>
        <v>0</v>
      </c>
      <c r="H9866" s="28" t="e">
        <f>VLOOKUP(E9866,'Cadastro Produtos (kiwkiw)'!C:E,3,0)</f>
        <v>#N/A</v>
      </c>
    </row>
    <row r="9867" spans="7:8" ht="15" customHeight="1" x14ac:dyDescent="0.4">
      <c r="G9867" s="27">
        <f t="shared" si="165"/>
        <v>0</v>
      </c>
      <c r="H9867" s="28" t="e">
        <f>VLOOKUP(E9867,'Cadastro Produtos (kiwkiw)'!C:E,3,0)</f>
        <v>#N/A</v>
      </c>
    </row>
    <row r="9868" spans="7:8" ht="15" customHeight="1" x14ac:dyDescent="0.4">
      <c r="G9868" s="27">
        <f t="shared" si="165"/>
        <v>0</v>
      </c>
      <c r="H9868" s="28" t="e">
        <f>VLOOKUP(E9868,'Cadastro Produtos (kiwkiw)'!C:E,3,0)</f>
        <v>#N/A</v>
      </c>
    </row>
    <row r="9869" spans="7:8" ht="15" customHeight="1" x14ac:dyDescent="0.4">
      <c r="G9869" s="27">
        <f t="shared" si="165"/>
        <v>0</v>
      </c>
      <c r="H9869" s="28" t="e">
        <f>VLOOKUP(E9869,'Cadastro Produtos (kiwkiw)'!C:E,3,0)</f>
        <v>#N/A</v>
      </c>
    </row>
    <row r="9870" spans="7:8" ht="15" customHeight="1" x14ac:dyDescent="0.4">
      <c r="G9870" s="27">
        <f t="shared" si="165"/>
        <v>0</v>
      </c>
      <c r="H9870" s="28" t="e">
        <f>VLOOKUP(E9870,'Cadastro Produtos (kiwkiw)'!C:E,3,0)</f>
        <v>#N/A</v>
      </c>
    </row>
    <row r="9871" spans="7:8" ht="15" customHeight="1" x14ac:dyDescent="0.4">
      <c r="G9871" s="27">
        <f t="shared" si="165"/>
        <v>0</v>
      </c>
      <c r="H9871" s="28" t="e">
        <f>VLOOKUP(E9871,'Cadastro Produtos (kiwkiw)'!C:E,3,0)</f>
        <v>#N/A</v>
      </c>
    </row>
    <row r="9872" spans="7:8" ht="15" customHeight="1" x14ac:dyDescent="0.4">
      <c r="G9872" s="27">
        <f t="shared" si="165"/>
        <v>0</v>
      </c>
      <c r="H9872" s="28" t="e">
        <f>VLOOKUP(E9872,'Cadastro Produtos (kiwkiw)'!C:E,3,0)</f>
        <v>#N/A</v>
      </c>
    </row>
    <row r="9873" spans="7:8" ht="15" customHeight="1" x14ac:dyDescent="0.4">
      <c r="G9873" s="27">
        <f t="shared" si="165"/>
        <v>0</v>
      </c>
      <c r="H9873" s="28" t="e">
        <f>VLOOKUP(E9873,'Cadastro Produtos (kiwkiw)'!C:E,3,0)</f>
        <v>#N/A</v>
      </c>
    </row>
    <row r="9874" spans="7:8" ht="15" customHeight="1" x14ac:dyDescent="0.4">
      <c r="G9874" s="27">
        <f t="shared" ref="G9874:G9937" si="166">IF(C9874="Entrada",F9874,-F9874)</f>
        <v>0</v>
      </c>
      <c r="H9874" s="28" t="e">
        <f>VLOOKUP(E9874,'Cadastro Produtos (kiwkiw)'!C:E,3,0)</f>
        <v>#N/A</v>
      </c>
    </row>
    <row r="9875" spans="7:8" ht="15" customHeight="1" x14ac:dyDescent="0.4">
      <c r="G9875" s="27">
        <f t="shared" si="166"/>
        <v>0</v>
      </c>
      <c r="H9875" s="28" t="e">
        <f>VLOOKUP(E9875,'Cadastro Produtos (kiwkiw)'!C:E,3,0)</f>
        <v>#N/A</v>
      </c>
    </row>
    <row r="9876" spans="7:8" ht="15" customHeight="1" x14ac:dyDescent="0.4">
      <c r="G9876" s="27">
        <f t="shared" si="166"/>
        <v>0</v>
      </c>
      <c r="H9876" s="28" t="e">
        <f>VLOOKUP(E9876,'Cadastro Produtos (kiwkiw)'!C:E,3,0)</f>
        <v>#N/A</v>
      </c>
    </row>
    <row r="9877" spans="7:8" ht="15" customHeight="1" x14ac:dyDescent="0.4">
      <c r="G9877" s="27">
        <f t="shared" si="166"/>
        <v>0</v>
      </c>
      <c r="H9877" s="28" t="e">
        <f>VLOOKUP(E9877,'Cadastro Produtos (kiwkiw)'!C:E,3,0)</f>
        <v>#N/A</v>
      </c>
    </row>
    <row r="9878" spans="7:8" ht="15" customHeight="1" x14ac:dyDescent="0.4">
      <c r="G9878" s="27">
        <f t="shared" si="166"/>
        <v>0</v>
      </c>
      <c r="H9878" s="28" t="e">
        <f>VLOOKUP(E9878,'Cadastro Produtos (kiwkiw)'!C:E,3,0)</f>
        <v>#N/A</v>
      </c>
    </row>
    <row r="9879" spans="7:8" ht="15" customHeight="1" x14ac:dyDescent="0.4">
      <c r="G9879" s="27">
        <f t="shared" si="166"/>
        <v>0</v>
      </c>
      <c r="H9879" s="28" t="e">
        <f>VLOOKUP(E9879,'Cadastro Produtos (kiwkiw)'!C:E,3,0)</f>
        <v>#N/A</v>
      </c>
    </row>
    <row r="9880" spans="7:8" ht="15" customHeight="1" x14ac:dyDescent="0.4">
      <c r="G9880" s="27">
        <f t="shared" si="166"/>
        <v>0</v>
      </c>
      <c r="H9880" s="28" t="e">
        <f>VLOOKUP(E9880,'Cadastro Produtos (kiwkiw)'!C:E,3,0)</f>
        <v>#N/A</v>
      </c>
    </row>
    <row r="9881" spans="7:8" ht="15" customHeight="1" x14ac:dyDescent="0.4">
      <c r="G9881" s="27">
        <f t="shared" si="166"/>
        <v>0</v>
      </c>
      <c r="H9881" s="28" t="e">
        <f>VLOOKUP(E9881,'Cadastro Produtos (kiwkiw)'!C:E,3,0)</f>
        <v>#N/A</v>
      </c>
    </row>
    <row r="9882" spans="7:8" ht="15" customHeight="1" x14ac:dyDescent="0.4">
      <c r="G9882" s="27">
        <f t="shared" si="166"/>
        <v>0</v>
      </c>
      <c r="H9882" s="28" t="e">
        <f>VLOOKUP(E9882,'Cadastro Produtos (kiwkiw)'!C:E,3,0)</f>
        <v>#N/A</v>
      </c>
    </row>
    <row r="9883" spans="7:8" ht="15" customHeight="1" x14ac:dyDescent="0.4">
      <c r="G9883" s="27">
        <f t="shared" si="166"/>
        <v>0</v>
      </c>
      <c r="H9883" s="28" t="e">
        <f>VLOOKUP(E9883,'Cadastro Produtos (kiwkiw)'!C:E,3,0)</f>
        <v>#N/A</v>
      </c>
    </row>
    <row r="9884" spans="7:8" ht="15" customHeight="1" x14ac:dyDescent="0.4">
      <c r="G9884" s="27">
        <f t="shared" si="166"/>
        <v>0</v>
      </c>
      <c r="H9884" s="28" t="e">
        <f>VLOOKUP(E9884,'Cadastro Produtos (kiwkiw)'!C:E,3,0)</f>
        <v>#N/A</v>
      </c>
    </row>
    <row r="9885" spans="7:8" ht="15" customHeight="1" x14ac:dyDescent="0.4">
      <c r="G9885" s="27">
        <f t="shared" si="166"/>
        <v>0</v>
      </c>
      <c r="H9885" s="28" t="e">
        <f>VLOOKUP(E9885,'Cadastro Produtos (kiwkiw)'!C:E,3,0)</f>
        <v>#N/A</v>
      </c>
    </row>
    <row r="9886" spans="7:8" ht="15" customHeight="1" x14ac:dyDescent="0.4">
      <c r="G9886" s="27">
        <f t="shared" si="166"/>
        <v>0</v>
      </c>
      <c r="H9886" s="28" t="e">
        <f>VLOOKUP(E9886,'Cadastro Produtos (kiwkiw)'!C:E,3,0)</f>
        <v>#N/A</v>
      </c>
    </row>
    <row r="9887" spans="7:8" ht="15" customHeight="1" x14ac:dyDescent="0.4">
      <c r="G9887" s="27">
        <f t="shared" si="166"/>
        <v>0</v>
      </c>
      <c r="H9887" s="28" t="e">
        <f>VLOOKUP(E9887,'Cadastro Produtos (kiwkiw)'!C:E,3,0)</f>
        <v>#N/A</v>
      </c>
    </row>
    <row r="9888" spans="7:8" ht="15" customHeight="1" x14ac:dyDescent="0.4">
      <c r="G9888" s="27">
        <f t="shared" si="166"/>
        <v>0</v>
      </c>
      <c r="H9888" s="28" t="e">
        <f>VLOOKUP(E9888,'Cadastro Produtos (kiwkiw)'!C:E,3,0)</f>
        <v>#N/A</v>
      </c>
    </row>
    <row r="9889" spans="7:8" ht="15" customHeight="1" x14ac:dyDescent="0.4">
      <c r="G9889" s="27">
        <f t="shared" si="166"/>
        <v>0</v>
      </c>
      <c r="H9889" s="28" t="e">
        <f>VLOOKUP(E9889,'Cadastro Produtos (kiwkiw)'!C:E,3,0)</f>
        <v>#N/A</v>
      </c>
    </row>
    <row r="9890" spans="7:8" ht="15" customHeight="1" x14ac:dyDescent="0.4">
      <c r="G9890" s="27">
        <f t="shared" si="166"/>
        <v>0</v>
      </c>
      <c r="H9890" s="28" t="e">
        <f>VLOOKUP(E9890,'Cadastro Produtos (kiwkiw)'!C:E,3,0)</f>
        <v>#N/A</v>
      </c>
    </row>
    <row r="9891" spans="7:8" ht="15" customHeight="1" x14ac:dyDescent="0.4">
      <c r="G9891" s="27">
        <f t="shared" si="166"/>
        <v>0</v>
      </c>
      <c r="H9891" s="28" t="e">
        <f>VLOOKUP(E9891,'Cadastro Produtos (kiwkiw)'!C:E,3,0)</f>
        <v>#N/A</v>
      </c>
    </row>
    <row r="9892" spans="7:8" ht="15" customHeight="1" x14ac:dyDescent="0.4">
      <c r="G9892" s="27">
        <f t="shared" si="166"/>
        <v>0</v>
      </c>
      <c r="H9892" s="28" t="e">
        <f>VLOOKUP(E9892,'Cadastro Produtos (kiwkiw)'!C:E,3,0)</f>
        <v>#N/A</v>
      </c>
    </row>
    <row r="9893" spans="7:8" ht="15" customHeight="1" x14ac:dyDescent="0.4">
      <c r="G9893" s="27">
        <f t="shared" si="166"/>
        <v>0</v>
      </c>
      <c r="H9893" s="28" t="e">
        <f>VLOOKUP(E9893,'Cadastro Produtos (kiwkiw)'!C:E,3,0)</f>
        <v>#N/A</v>
      </c>
    </row>
    <row r="9894" spans="7:8" ht="15" customHeight="1" x14ac:dyDescent="0.4">
      <c r="G9894" s="27">
        <f t="shared" si="166"/>
        <v>0</v>
      </c>
      <c r="H9894" s="28" t="e">
        <f>VLOOKUP(E9894,'Cadastro Produtos (kiwkiw)'!C:E,3,0)</f>
        <v>#N/A</v>
      </c>
    </row>
    <row r="9895" spans="7:8" ht="15" customHeight="1" x14ac:dyDescent="0.4">
      <c r="G9895" s="27">
        <f t="shared" si="166"/>
        <v>0</v>
      </c>
      <c r="H9895" s="28" t="e">
        <f>VLOOKUP(E9895,'Cadastro Produtos (kiwkiw)'!C:E,3,0)</f>
        <v>#N/A</v>
      </c>
    </row>
    <row r="9896" spans="7:8" ht="15" customHeight="1" x14ac:dyDescent="0.4">
      <c r="G9896" s="27">
        <f t="shared" si="166"/>
        <v>0</v>
      </c>
      <c r="H9896" s="28" t="e">
        <f>VLOOKUP(E9896,'Cadastro Produtos (kiwkiw)'!C:E,3,0)</f>
        <v>#N/A</v>
      </c>
    </row>
    <row r="9897" spans="7:8" ht="15" customHeight="1" x14ac:dyDescent="0.4">
      <c r="G9897" s="27">
        <f t="shared" si="166"/>
        <v>0</v>
      </c>
      <c r="H9897" s="28" t="e">
        <f>VLOOKUP(E9897,'Cadastro Produtos (kiwkiw)'!C:E,3,0)</f>
        <v>#N/A</v>
      </c>
    </row>
    <row r="9898" spans="7:8" ht="15" customHeight="1" x14ac:dyDescent="0.4">
      <c r="G9898" s="27">
        <f t="shared" si="166"/>
        <v>0</v>
      </c>
      <c r="H9898" s="28" t="e">
        <f>VLOOKUP(E9898,'Cadastro Produtos (kiwkiw)'!C:E,3,0)</f>
        <v>#N/A</v>
      </c>
    </row>
    <row r="9899" spans="7:8" ht="15" customHeight="1" x14ac:dyDescent="0.4">
      <c r="G9899" s="27">
        <f t="shared" si="166"/>
        <v>0</v>
      </c>
      <c r="H9899" s="28" t="e">
        <f>VLOOKUP(E9899,'Cadastro Produtos (kiwkiw)'!C:E,3,0)</f>
        <v>#N/A</v>
      </c>
    </row>
    <row r="9900" spans="7:8" ht="15" customHeight="1" x14ac:dyDescent="0.4">
      <c r="G9900" s="27">
        <f t="shared" si="166"/>
        <v>0</v>
      </c>
      <c r="H9900" s="28" t="e">
        <f>VLOOKUP(E9900,'Cadastro Produtos (kiwkiw)'!C:E,3,0)</f>
        <v>#N/A</v>
      </c>
    </row>
    <row r="9901" spans="7:8" ht="15" customHeight="1" x14ac:dyDescent="0.4">
      <c r="G9901" s="27">
        <f t="shared" si="166"/>
        <v>0</v>
      </c>
      <c r="H9901" s="28" t="e">
        <f>VLOOKUP(E9901,'Cadastro Produtos (kiwkiw)'!C:E,3,0)</f>
        <v>#N/A</v>
      </c>
    </row>
    <row r="9902" spans="7:8" ht="15" customHeight="1" x14ac:dyDescent="0.4">
      <c r="G9902" s="27">
        <f t="shared" si="166"/>
        <v>0</v>
      </c>
      <c r="H9902" s="28" t="e">
        <f>VLOOKUP(E9902,'Cadastro Produtos (kiwkiw)'!C:E,3,0)</f>
        <v>#N/A</v>
      </c>
    </row>
    <row r="9903" spans="7:8" ht="15" customHeight="1" x14ac:dyDescent="0.4">
      <c r="G9903" s="27">
        <f t="shared" si="166"/>
        <v>0</v>
      </c>
      <c r="H9903" s="28" t="e">
        <f>VLOOKUP(E9903,'Cadastro Produtos (kiwkiw)'!C:E,3,0)</f>
        <v>#N/A</v>
      </c>
    </row>
    <row r="9904" spans="7:8" ht="15" customHeight="1" x14ac:dyDescent="0.4">
      <c r="G9904" s="27">
        <f t="shared" si="166"/>
        <v>0</v>
      </c>
      <c r="H9904" s="28" t="e">
        <f>VLOOKUP(E9904,'Cadastro Produtos (kiwkiw)'!C:E,3,0)</f>
        <v>#N/A</v>
      </c>
    </row>
    <row r="9905" spans="7:8" ht="15" customHeight="1" x14ac:dyDescent="0.4">
      <c r="G9905" s="27">
        <f t="shared" si="166"/>
        <v>0</v>
      </c>
      <c r="H9905" s="28" t="e">
        <f>VLOOKUP(E9905,'Cadastro Produtos (kiwkiw)'!C:E,3,0)</f>
        <v>#N/A</v>
      </c>
    </row>
    <row r="9906" spans="7:8" ht="15" customHeight="1" x14ac:dyDescent="0.4">
      <c r="G9906" s="27">
        <f t="shared" si="166"/>
        <v>0</v>
      </c>
      <c r="H9906" s="28" t="e">
        <f>VLOOKUP(E9906,'Cadastro Produtos (kiwkiw)'!C:E,3,0)</f>
        <v>#N/A</v>
      </c>
    </row>
    <row r="9907" spans="7:8" ht="15" customHeight="1" x14ac:dyDescent="0.4">
      <c r="G9907" s="27">
        <f t="shared" si="166"/>
        <v>0</v>
      </c>
      <c r="H9907" s="28" t="e">
        <f>VLOOKUP(E9907,'Cadastro Produtos (kiwkiw)'!C:E,3,0)</f>
        <v>#N/A</v>
      </c>
    </row>
    <row r="9908" spans="7:8" ht="15" customHeight="1" x14ac:dyDescent="0.4">
      <c r="G9908" s="27">
        <f t="shared" si="166"/>
        <v>0</v>
      </c>
      <c r="H9908" s="28" t="e">
        <f>VLOOKUP(E9908,'Cadastro Produtos (kiwkiw)'!C:E,3,0)</f>
        <v>#N/A</v>
      </c>
    </row>
    <row r="9909" spans="7:8" ht="15" customHeight="1" x14ac:dyDescent="0.4">
      <c r="G9909" s="27">
        <f t="shared" si="166"/>
        <v>0</v>
      </c>
      <c r="H9909" s="28" t="e">
        <f>VLOOKUP(E9909,'Cadastro Produtos (kiwkiw)'!C:E,3,0)</f>
        <v>#N/A</v>
      </c>
    </row>
    <row r="9910" spans="7:8" ht="15" customHeight="1" x14ac:dyDescent="0.4">
      <c r="G9910" s="27">
        <f t="shared" si="166"/>
        <v>0</v>
      </c>
      <c r="H9910" s="28" t="e">
        <f>VLOOKUP(E9910,'Cadastro Produtos (kiwkiw)'!C:E,3,0)</f>
        <v>#N/A</v>
      </c>
    </row>
    <row r="9911" spans="7:8" ht="15" customHeight="1" x14ac:dyDescent="0.4">
      <c r="G9911" s="27">
        <f t="shared" si="166"/>
        <v>0</v>
      </c>
      <c r="H9911" s="28" t="e">
        <f>VLOOKUP(E9911,'Cadastro Produtos (kiwkiw)'!C:E,3,0)</f>
        <v>#N/A</v>
      </c>
    </row>
    <row r="9912" spans="7:8" ht="15" customHeight="1" x14ac:dyDescent="0.4">
      <c r="G9912" s="27">
        <f t="shared" si="166"/>
        <v>0</v>
      </c>
      <c r="H9912" s="28" t="e">
        <f>VLOOKUP(E9912,'Cadastro Produtos (kiwkiw)'!C:E,3,0)</f>
        <v>#N/A</v>
      </c>
    </row>
    <row r="9913" spans="7:8" ht="15" customHeight="1" x14ac:dyDescent="0.4">
      <c r="G9913" s="27">
        <f t="shared" si="166"/>
        <v>0</v>
      </c>
      <c r="H9913" s="28" t="e">
        <f>VLOOKUP(E9913,'Cadastro Produtos (kiwkiw)'!C:E,3,0)</f>
        <v>#N/A</v>
      </c>
    </row>
    <row r="9914" spans="7:8" ht="15" customHeight="1" x14ac:dyDescent="0.4">
      <c r="G9914" s="27">
        <f t="shared" si="166"/>
        <v>0</v>
      </c>
      <c r="H9914" s="28" t="e">
        <f>VLOOKUP(E9914,'Cadastro Produtos (kiwkiw)'!C:E,3,0)</f>
        <v>#N/A</v>
      </c>
    </row>
    <row r="9915" spans="7:8" ht="15" customHeight="1" x14ac:dyDescent="0.4">
      <c r="G9915" s="27">
        <f t="shared" si="166"/>
        <v>0</v>
      </c>
      <c r="H9915" s="28" t="e">
        <f>VLOOKUP(E9915,'Cadastro Produtos (kiwkiw)'!C:E,3,0)</f>
        <v>#N/A</v>
      </c>
    </row>
    <row r="9916" spans="7:8" ht="15" customHeight="1" x14ac:dyDescent="0.4">
      <c r="G9916" s="27">
        <f t="shared" si="166"/>
        <v>0</v>
      </c>
      <c r="H9916" s="28" t="e">
        <f>VLOOKUP(E9916,'Cadastro Produtos (kiwkiw)'!C:E,3,0)</f>
        <v>#N/A</v>
      </c>
    </row>
    <row r="9917" spans="7:8" ht="15" customHeight="1" x14ac:dyDescent="0.4">
      <c r="G9917" s="27">
        <f t="shared" si="166"/>
        <v>0</v>
      </c>
      <c r="H9917" s="28" t="e">
        <f>VLOOKUP(E9917,'Cadastro Produtos (kiwkiw)'!C:E,3,0)</f>
        <v>#N/A</v>
      </c>
    </row>
    <row r="9918" spans="7:8" ht="15" customHeight="1" x14ac:dyDescent="0.4">
      <c r="G9918" s="27">
        <f t="shared" si="166"/>
        <v>0</v>
      </c>
      <c r="H9918" s="28" t="e">
        <f>VLOOKUP(E9918,'Cadastro Produtos (kiwkiw)'!C:E,3,0)</f>
        <v>#N/A</v>
      </c>
    </row>
    <row r="9919" spans="7:8" ht="15" customHeight="1" x14ac:dyDescent="0.4">
      <c r="G9919" s="27">
        <f t="shared" si="166"/>
        <v>0</v>
      </c>
      <c r="H9919" s="28" t="e">
        <f>VLOOKUP(E9919,'Cadastro Produtos (kiwkiw)'!C:E,3,0)</f>
        <v>#N/A</v>
      </c>
    </row>
    <row r="9920" spans="7:8" ht="15" customHeight="1" x14ac:dyDescent="0.4">
      <c r="G9920" s="27">
        <f t="shared" si="166"/>
        <v>0</v>
      </c>
      <c r="H9920" s="28" t="e">
        <f>VLOOKUP(E9920,'Cadastro Produtos (kiwkiw)'!C:E,3,0)</f>
        <v>#N/A</v>
      </c>
    </row>
    <row r="9921" spans="7:8" ht="15" customHeight="1" x14ac:dyDescent="0.4">
      <c r="G9921" s="27">
        <f t="shared" si="166"/>
        <v>0</v>
      </c>
      <c r="H9921" s="28" t="e">
        <f>VLOOKUP(E9921,'Cadastro Produtos (kiwkiw)'!C:E,3,0)</f>
        <v>#N/A</v>
      </c>
    </row>
    <row r="9922" spans="7:8" ht="15" customHeight="1" x14ac:dyDescent="0.4">
      <c r="G9922" s="27">
        <f t="shared" si="166"/>
        <v>0</v>
      </c>
      <c r="H9922" s="28" t="e">
        <f>VLOOKUP(E9922,'Cadastro Produtos (kiwkiw)'!C:E,3,0)</f>
        <v>#N/A</v>
      </c>
    </row>
    <row r="9923" spans="7:8" ht="15" customHeight="1" x14ac:dyDescent="0.4">
      <c r="G9923" s="27">
        <f t="shared" si="166"/>
        <v>0</v>
      </c>
      <c r="H9923" s="28" t="e">
        <f>VLOOKUP(E9923,'Cadastro Produtos (kiwkiw)'!C:E,3,0)</f>
        <v>#N/A</v>
      </c>
    </row>
    <row r="9924" spans="7:8" ht="15" customHeight="1" x14ac:dyDescent="0.4">
      <c r="G9924" s="27">
        <f t="shared" si="166"/>
        <v>0</v>
      </c>
      <c r="H9924" s="28" t="e">
        <f>VLOOKUP(E9924,'Cadastro Produtos (kiwkiw)'!C:E,3,0)</f>
        <v>#N/A</v>
      </c>
    </row>
    <row r="9925" spans="7:8" ht="15" customHeight="1" x14ac:dyDescent="0.4">
      <c r="G9925" s="27">
        <f t="shared" si="166"/>
        <v>0</v>
      </c>
      <c r="H9925" s="28" t="e">
        <f>VLOOKUP(E9925,'Cadastro Produtos (kiwkiw)'!C:E,3,0)</f>
        <v>#N/A</v>
      </c>
    </row>
    <row r="9926" spans="7:8" ht="15" customHeight="1" x14ac:dyDescent="0.4">
      <c r="G9926" s="27">
        <f t="shared" si="166"/>
        <v>0</v>
      </c>
      <c r="H9926" s="28" t="e">
        <f>VLOOKUP(E9926,'Cadastro Produtos (kiwkiw)'!C:E,3,0)</f>
        <v>#N/A</v>
      </c>
    </row>
    <row r="9927" spans="7:8" ht="15" customHeight="1" x14ac:dyDescent="0.4">
      <c r="G9927" s="27">
        <f t="shared" si="166"/>
        <v>0</v>
      </c>
      <c r="H9927" s="28" t="e">
        <f>VLOOKUP(E9927,'Cadastro Produtos (kiwkiw)'!C:E,3,0)</f>
        <v>#N/A</v>
      </c>
    </row>
    <row r="9928" spans="7:8" ht="15" customHeight="1" x14ac:dyDescent="0.4">
      <c r="G9928" s="27">
        <f t="shared" si="166"/>
        <v>0</v>
      </c>
      <c r="H9928" s="28" t="e">
        <f>VLOOKUP(E9928,'Cadastro Produtos (kiwkiw)'!C:E,3,0)</f>
        <v>#N/A</v>
      </c>
    </row>
    <row r="9929" spans="7:8" ht="15" customHeight="1" x14ac:dyDescent="0.4">
      <c r="G9929" s="27">
        <f t="shared" si="166"/>
        <v>0</v>
      </c>
      <c r="H9929" s="28" t="e">
        <f>VLOOKUP(E9929,'Cadastro Produtos (kiwkiw)'!C:E,3,0)</f>
        <v>#N/A</v>
      </c>
    </row>
    <row r="9930" spans="7:8" ht="15" customHeight="1" x14ac:dyDescent="0.4">
      <c r="G9930" s="27">
        <f t="shared" si="166"/>
        <v>0</v>
      </c>
      <c r="H9930" s="28" t="e">
        <f>VLOOKUP(E9930,'Cadastro Produtos (kiwkiw)'!C:E,3,0)</f>
        <v>#N/A</v>
      </c>
    </row>
    <row r="9931" spans="7:8" ht="15" customHeight="1" x14ac:dyDescent="0.4">
      <c r="G9931" s="27">
        <f t="shared" si="166"/>
        <v>0</v>
      </c>
      <c r="H9931" s="28" t="e">
        <f>VLOOKUP(E9931,'Cadastro Produtos (kiwkiw)'!C:E,3,0)</f>
        <v>#N/A</v>
      </c>
    </row>
    <row r="9932" spans="7:8" ht="15" customHeight="1" x14ac:dyDescent="0.4">
      <c r="G9932" s="27">
        <f t="shared" si="166"/>
        <v>0</v>
      </c>
      <c r="H9932" s="28" t="e">
        <f>VLOOKUP(E9932,'Cadastro Produtos (kiwkiw)'!C:E,3,0)</f>
        <v>#N/A</v>
      </c>
    </row>
    <row r="9933" spans="7:8" ht="15" customHeight="1" x14ac:dyDescent="0.4">
      <c r="G9933" s="27">
        <f t="shared" si="166"/>
        <v>0</v>
      </c>
      <c r="H9933" s="28" t="e">
        <f>VLOOKUP(E9933,'Cadastro Produtos (kiwkiw)'!C:E,3,0)</f>
        <v>#N/A</v>
      </c>
    </row>
    <row r="9934" spans="7:8" ht="15" customHeight="1" x14ac:dyDescent="0.4">
      <c r="G9934" s="27">
        <f t="shared" si="166"/>
        <v>0</v>
      </c>
      <c r="H9934" s="28" t="e">
        <f>VLOOKUP(E9934,'Cadastro Produtos (kiwkiw)'!C:E,3,0)</f>
        <v>#N/A</v>
      </c>
    </row>
    <row r="9935" spans="7:8" ht="15" customHeight="1" x14ac:dyDescent="0.4">
      <c r="G9935" s="27">
        <f t="shared" si="166"/>
        <v>0</v>
      </c>
      <c r="H9935" s="28" t="e">
        <f>VLOOKUP(E9935,'Cadastro Produtos (kiwkiw)'!C:E,3,0)</f>
        <v>#N/A</v>
      </c>
    </row>
    <row r="9936" spans="7:8" ht="15" customHeight="1" x14ac:dyDescent="0.4">
      <c r="G9936" s="27">
        <f t="shared" si="166"/>
        <v>0</v>
      </c>
      <c r="H9936" s="28" t="e">
        <f>VLOOKUP(E9936,'Cadastro Produtos (kiwkiw)'!C:E,3,0)</f>
        <v>#N/A</v>
      </c>
    </row>
    <row r="9937" spans="7:8" ht="15" customHeight="1" x14ac:dyDescent="0.4">
      <c r="G9937" s="27">
        <f t="shared" si="166"/>
        <v>0</v>
      </c>
      <c r="H9937" s="28" t="e">
        <f>VLOOKUP(E9937,'Cadastro Produtos (kiwkiw)'!C:E,3,0)</f>
        <v>#N/A</v>
      </c>
    </row>
    <row r="9938" spans="7:8" ht="15" customHeight="1" x14ac:dyDescent="0.4">
      <c r="G9938" s="27">
        <f t="shared" ref="G9938:G9985" si="167">IF(C9938="Entrada",F9938,-F9938)</f>
        <v>0</v>
      </c>
      <c r="H9938" s="28" t="e">
        <f>VLOOKUP(E9938,'Cadastro Produtos (kiwkiw)'!C:E,3,0)</f>
        <v>#N/A</v>
      </c>
    </row>
    <row r="9939" spans="7:8" ht="15" customHeight="1" x14ac:dyDescent="0.4">
      <c r="G9939" s="27">
        <f t="shared" si="167"/>
        <v>0</v>
      </c>
      <c r="H9939" s="28" t="e">
        <f>VLOOKUP(E9939,'Cadastro Produtos (kiwkiw)'!C:E,3,0)</f>
        <v>#N/A</v>
      </c>
    </row>
    <row r="9940" spans="7:8" ht="15" customHeight="1" x14ac:dyDescent="0.4">
      <c r="G9940" s="27">
        <f t="shared" si="167"/>
        <v>0</v>
      </c>
      <c r="H9940" s="28" t="e">
        <f>VLOOKUP(E9940,'Cadastro Produtos (kiwkiw)'!C:E,3,0)</f>
        <v>#N/A</v>
      </c>
    </row>
    <row r="9941" spans="7:8" ht="15" customHeight="1" x14ac:dyDescent="0.4">
      <c r="G9941" s="27">
        <f t="shared" si="167"/>
        <v>0</v>
      </c>
      <c r="H9941" s="28" t="e">
        <f>VLOOKUP(E9941,'Cadastro Produtos (kiwkiw)'!C:E,3,0)</f>
        <v>#N/A</v>
      </c>
    </row>
    <row r="9942" spans="7:8" ht="15" customHeight="1" x14ac:dyDescent="0.4">
      <c r="G9942" s="27">
        <f t="shared" si="167"/>
        <v>0</v>
      </c>
      <c r="H9942" s="28" t="e">
        <f>VLOOKUP(E9942,'Cadastro Produtos (kiwkiw)'!C:E,3,0)</f>
        <v>#N/A</v>
      </c>
    </row>
    <row r="9943" spans="7:8" ht="15" customHeight="1" x14ac:dyDescent="0.4">
      <c r="G9943" s="27">
        <f t="shared" si="167"/>
        <v>0</v>
      </c>
      <c r="H9943" s="28" t="e">
        <f>VLOOKUP(E9943,'Cadastro Produtos (kiwkiw)'!C:E,3,0)</f>
        <v>#N/A</v>
      </c>
    </row>
    <row r="9944" spans="7:8" ht="15" customHeight="1" x14ac:dyDescent="0.4">
      <c r="G9944" s="27">
        <f t="shared" si="167"/>
        <v>0</v>
      </c>
      <c r="H9944" s="28" t="e">
        <f>VLOOKUP(E9944,'Cadastro Produtos (kiwkiw)'!C:E,3,0)</f>
        <v>#N/A</v>
      </c>
    </row>
    <row r="9945" spans="7:8" ht="15" customHeight="1" x14ac:dyDescent="0.4">
      <c r="G9945" s="27">
        <f t="shared" si="167"/>
        <v>0</v>
      </c>
      <c r="H9945" s="28" t="e">
        <f>VLOOKUP(E9945,'Cadastro Produtos (kiwkiw)'!C:E,3,0)</f>
        <v>#N/A</v>
      </c>
    </row>
    <row r="9946" spans="7:8" ht="15" customHeight="1" x14ac:dyDescent="0.4">
      <c r="G9946" s="27">
        <f t="shared" si="167"/>
        <v>0</v>
      </c>
      <c r="H9946" s="28" t="e">
        <f>VLOOKUP(E9946,'Cadastro Produtos (kiwkiw)'!C:E,3,0)</f>
        <v>#N/A</v>
      </c>
    </row>
    <row r="9947" spans="7:8" ht="15" customHeight="1" x14ac:dyDescent="0.4">
      <c r="G9947" s="27">
        <f t="shared" si="167"/>
        <v>0</v>
      </c>
      <c r="H9947" s="28" t="e">
        <f>VLOOKUP(E9947,'Cadastro Produtos (kiwkiw)'!C:E,3,0)</f>
        <v>#N/A</v>
      </c>
    </row>
    <row r="9948" spans="7:8" ht="15" customHeight="1" x14ac:dyDescent="0.4">
      <c r="G9948" s="27">
        <f t="shared" si="167"/>
        <v>0</v>
      </c>
      <c r="H9948" s="28" t="e">
        <f>VLOOKUP(E9948,'Cadastro Produtos (kiwkiw)'!C:E,3,0)</f>
        <v>#N/A</v>
      </c>
    </row>
    <row r="9949" spans="7:8" ht="15" customHeight="1" x14ac:dyDescent="0.4">
      <c r="G9949" s="27">
        <f t="shared" si="167"/>
        <v>0</v>
      </c>
      <c r="H9949" s="28" t="e">
        <f>VLOOKUP(E9949,'Cadastro Produtos (kiwkiw)'!C:E,3,0)</f>
        <v>#N/A</v>
      </c>
    </row>
    <row r="9950" spans="7:8" ht="15" customHeight="1" x14ac:dyDescent="0.4">
      <c r="G9950" s="27">
        <f t="shared" si="167"/>
        <v>0</v>
      </c>
      <c r="H9950" s="28" t="e">
        <f>VLOOKUP(E9950,'Cadastro Produtos (kiwkiw)'!C:E,3,0)</f>
        <v>#N/A</v>
      </c>
    </row>
    <row r="9951" spans="7:8" ht="15" customHeight="1" x14ac:dyDescent="0.4">
      <c r="G9951" s="27">
        <f t="shared" si="167"/>
        <v>0</v>
      </c>
      <c r="H9951" s="28" t="e">
        <f>VLOOKUP(E9951,'Cadastro Produtos (kiwkiw)'!C:E,3,0)</f>
        <v>#N/A</v>
      </c>
    </row>
    <row r="9952" spans="7:8" ht="15" customHeight="1" x14ac:dyDescent="0.4">
      <c r="G9952" s="27">
        <f t="shared" si="167"/>
        <v>0</v>
      </c>
      <c r="H9952" s="28" t="e">
        <f>VLOOKUP(E9952,'Cadastro Produtos (kiwkiw)'!C:E,3,0)</f>
        <v>#N/A</v>
      </c>
    </row>
    <row r="9953" spans="7:8" ht="15" customHeight="1" x14ac:dyDescent="0.4">
      <c r="G9953" s="27">
        <f t="shared" si="167"/>
        <v>0</v>
      </c>
      <c r="H9953" s="28" t="e">
        <f>VLOOKUP(E9953,'Cadastro Produtos (kiwkiw)'!C:E,3,0)</f>
        <v>#N/A</v>
      </c>
    </row>
    <row r="9954" spans="7:8" ht="15" customHeight="1" x14ac:dyDescent="0.4">
      <c r="G9954" s="27">
        <f t="shared" si="167"/>
        <v>0</v>
      </c>
      <c r="H9954" s="28" t="e">
        <f>VLOOKUP(E9954,'Cadastro Produtos (kiwkiw)'!C:E,3,0)</f>
        <v>#N/A</v>
      </c>
    </row>
    <row r="9955" spans="7:8" ht="15" customHeight="1" x14ac:dyDescent="0.4">
      <c r="G9955" s="27">
        <f t="shared" si="167"/>
        <v>0</v>
      </c>
      <c r="H9955" s="28" t="e">
        <f>VLOOKUP(E9955,'Cadastro Produtos (kiwkiw)'!C:E,3,0)</f>
        <v>#N/A</v>
      </c>
    </row>
    <row r="9956" spans="7:8" ht="15" customHeight="1" x14ac:dyDescent="0.4">
      <c r="G9956" s="27">
        <f t="shared" si="167"/>
        <v>0</v>
      </c>
      <c r="H9956" s="28" t="e">
        <f>VLOOKUP(E9956,'Cadastro Produtos (kiwkiw)'!C:E,3,0)</f>
        <v>#N/A</v>
      </c>
    </row>
    <row r="9957" spans="7:8" ht="15" customHeight="1" x14ac:dyDescent="0.4">
      <c r="G9957" s="27">
        <f t="shared" si="167"/>
        <v>0</v>
      </c>
      <c r="H9957" s="28" t="e">
        <f>VLOOKUP(E9957,'Cadastro Produtos (kiwkiw)'!C:E,3,0)</f>
        <v>#N/A</v>
      </c>
    </row>
    <row r="9958" spans="7:8" ht="15" customHeight="1" x14ac:dyDescent="0.4">
      <c r="G9958" s="27">
        <f t="shared" si="167"/>
        <v>0</v>
      </c>
      <c r="H9958" s="28" t="e">
        <f>VLOOKUP(E9958,'Cadastro Produtos (kiwkiw)'!C:E,3,0)</f>
        <v>#N/A</v>
      </c>
    </row>
    <row r="9959" spans="7:8" ht="15" customHeight="1" x14ac:dyDescent="0.4">
      <c r="G9959" s="27">
        <f t="shared" si="167"/>
        <v>0</v>
      </c>
      <c r="H9959" s="28" t="e">
        <f>VLOOKUP(E9959,'Cadastro Produtos (kiwkiw)'!C:E,3,0)</f>
        <v>#N/A</v>
      </c>
    </row>
    <row r="9960" spans="7:8" ht="15" customHeight="1" x14ac:dyDescent="0.4">
      <c r="G9960" s="27">
        <f t="shared" si="167"/>
        <v>0</v>
      </c>
      <c r="H9960" s="28" t="e">
        <f>VLOOKUP(E9960,'Cadastro Produtos (kiwkiw)'!C:E,3,0)</f>
        <v>#N/A</v>
      </c>
    </row>
    <row r="9961" spans="7:8" ht="15" customHeight="1" x14ac:dyDescent="0.4">
      <c r="G9961" s="27">
        <f t="shared" si="167"/>
        <v>0</v>
      </c>
      <c r="H9961" s="28" t="e">
        <f>VLOOKUP(E9961,'Cadastro Produtos (kiwkiw)'!C:E,3,0)</f>
        <v>#N/A</v>
      </c>
    </row>
    <row r="9962" spans="7:8" ht="15" customHeight="1" x14ac:dyDescent="0.4">
      <c r="G9962" s="27">
        <f t="shared" si="167"/>
        <v>0</v>
      </c>
      <c r="H9962" s="28" t="e">
        <f>VLOOKUP(E9962,'Cadastro Produtos (kiwkiw)'!C:E,3,0)</f>
        <v>#N/A</v>
      </c>
    </row>
    <row r="9963" spans="7:8" ht="15" customHeight="1" x14ac:dyDescent="0.4">
      <c r="G9963" s="27">
        <f t="shared" si="167"/>
        <v>0</v>
      </c>
      <c r="H9963" s="28" t="e">
        <f>VLOOKUP(E9963,'Cadastro Produtos (kiwkiw)'!C:E,3,0)</f>
        <v>#N/A</v>
      </c>
    </row>
    <row r="9964" spans="7:8" ht="15" customHeight="1" x14ac:dyDescent="0.4">
      <c r="G9964" s="27">
        <f t="shared" si="167"/>
        <v>0</v>
      </c>
      <c r="H9964" s="28" t="e">
        <f>VLOOKUP(E9964,'Cadastro Produtos (kiwkiw)'!C:E,3,0)</f>
        <v>#N/A</v>
      </c>
    </row>
    <row r="9965" spans="7:8" ht="15" customHeight="1" x14ac:dyDescent="0.4">
      <c r="G9965" s="27">
        <f t="shared" si="167"/>
        <v>0</v>
      </c>
      <c r="H9965" s="28" t="e">
        <f>VLOOKUP(E9965,'Cadastro Produtos (kiwkiw)'!C:E,3,0)</f>
        <v>#N/A</v>
      </c>
    </row>
    <row r="9966" spans="7:8" ht="15" customHeight="1" x14ac:dyDescent="0.4">
      <c r="G9966" s="27">
        <f t="shared" si="167"/>
        <v>0</v>
      </c>
      <c r="H9966" s="28" t="e">
        <f>VLOOKUP(E9966,'Cadastro Produtos (kiwkiw)'!C:E,3,0)</f>
        <v>#N/A</v>
      </c>
    </row>
    <row r="9967" spans="7:8" ht="15" customHeight="1" x14ac:dyDescent="0.4">
      <c r="G9967" s="27">
        <f t="shared" si="167"/>
        <v>0</v>
      </c>
      <c r="H9967" s="28" t="e">
        <f>VLOOKUP(E9967,'Cadastro Produtos (kiwkiw)'!C:E,3,0)</f>
        <v>#N/A</v>
      </c>
    </row>
    <row r="9968" spans="7:8" ht="15" customHeight="1" x14ac:dyDescent="0.4">
      <c r="G9968" s="27">
        <f t="shared" si="167"/>
        <v>0</v>
      </c>
      <c r="H9968" s="28" t="e">
        <f>VLOOKUP(E9968,'Cadastro Produtos (kiwkiw)'!C:E,3,0)</f>
        <v>#N/A</v>
      </c>
    </row>
    <row r="9969" spans="7:8" ht="15" customHeight="1" x14ac:dyDescent="0.4">
      <c r="G9969" s="27">
        <f t="shared" si="167"/>
        <v>0</v>
      </c>
      <c r="H9969" s="28" t="e">
        <f>VLOOKUP(E9969,'Cadastro Produtos (kiwkiw)'!C:E,3,0)</f>
        <v>#N/A</v>
      </c>
    </row>
    <row r="9970" spans="7:8" ht="15" customHeight="1" x14ac:dyDescent="0.4">
      <c r="G9970" s="27">
        <f t="shared" si="167"/>
        <v>0</v>
      </c>
      <c r="H9970" s="28" t="e">
        <f>VLOOKUP(E9970,'Cadastro Produtos (kiwkiw)'!C:E,3,0)</f>
        <v>#N/A</v>
      </c>
    </row>
    <row r="9971" spans="7:8" ht="15" customHeight="1" x14ac:dyDescent="0.4">
      <c r="G9971" s="27">
        <f t="shared" si="167"/>
        <v>0</v>
      </c>
      <c r="H9971" s="28" t="e">
        <f>VLOOKUP(E9971,'Cadastro Produtos (kiwkiw)'!C:E,3,0)</f>
        <v>#N/A</v>
      </c>
    </row>
    <row r="9972" spans="7:8" ht="15" customHeight="1" x14ac:dyDescent="0.4">
      <c r="G9972" s="27">
        <f t="shared" si="167"/>
        <v>0</v>
      </c>
      <c r="H9972" s="28" t="e">
        <f>VLOOKUP(E9972,'Cadastro Produtos (kiwkiw)'!C:E,3,0)</f>
        <v>#N/A</v>
      </c>
    </row>
    <row r="9973" spans="7:8" ht="15" customHeight="1" x14ac:dyDescent="0.4">
      <c r="G9973" s="27">
        <f t="shared" si="167"/>
        <v>0</v>
      </c>
      <c r="H9973" s="28" t="e">
        <f>VLOOKUP(E9973,'Cadastro Produtos (kiwkiw)'!C:E,3,0)</f>
        <v>#N/A</v>
      </c>
    </row>
    <row r="9974" spans="7:8" ht="15" customHeight="1" x14ac:dyDescent="0.4">
      <c r="G9974" s="27">
        <f t="shared" si="167"/>
        <v>0</v>
      </c>
      <c r="H9974" s="28" t="e">
        <f>VLOOKUP(E9974,'Cadastro Produtos (kiwkiw)'!C:E,3,0)</f>
        <v>#N/A</v>
      </c>
    </row>
    <row r="9975" spans="7:8" ht="15" customHeight="1" x14ac:dyDescent="0.4">
      <c r="G9975" s="27">
        <f t="shared" si="167"/>
        <v>0</v>
      </c>
      <c r="H9975" s="28" t="e">
        <f>VLOOKUP(E9975,'Cadastro Produtos (kiwkiw)'!C:E,3,0)</f>
        <v>#N/A</v>
      </c>
    </row>
    <row r="9976" spans="7:8" ht="15" customHeight="1" x14ac:dyDescent="0.4">
      <c r="G9976" s="27">
        <f t="shared" si="167"/>
        <v>0</v>
      </c>
      <c r="H9976" s="28" t="e">
        <f>VLOOKUP(E9976,'Cadastro Produtos (kiwkiw)'!C:E,3,0)</f>
        <v>#N/A</v>
      </c>
    </row>
    <row r="9977" spans="7:8" ht="15" customHeight="1" x14ac:dyDescent="0.4">
      <c r="G9977" s="27">
        <f t="shared" si="167"/>
        <v>0</v>
      </c>
      <c r="H9977" s="28" t="e">
        <f>VLOOKUP(E9977,'Cadastro Produtos (kiwkiw)'!C:E,3,0)</f>
        <v>#N/A</v>
      </c>
    </row>
    <row r="9978" spans="7:8" ht="15" customHeight="1" x14ac:dyDescent="0.4">
      <c r="G9978" s="27">
        <f t="shared" si="167"/>
        <v>0</v>
      </c>
      <c r="H9978" s="28" t="e">
        <f>VLOOKUP(E9978,'Cadastro Produtos (kiwkiw)'!C:E,3,0)</f>
        <v>#N/A</v>
      </c>
    </row>
    <row r="9979" spans="7:8" ht="15" customHeight="1" x14ac:dyDescent="0.4">
      <c r="G9979" s="27">
        <f t="shared" si="167"/>
        <v>0</v>
      </c>
      <c r="H9979" s="28" t="e">
        <f>VLOOKUP(E9979,'Cadastro Produtos (kiwkiw)'!C:E,3,0)</f>
        <v>#N/A</v>
      </c>
    </row>
    <row r="9980" spans="7:8" ht="15" customHeight="1" x14ac:dyDescent="0.4">
      <c r="G9980" s="27">
        <f t="shared" si="167"/>
        <v>0</v>
      </c>
      <c r="H9980" s="28" t="e">
        <f>VLOOKUP(E9980,'Cadastro Produtos (kiwkiw)'!C:E,3,0)</f>
        <v>#N/A</v>
      </c>
    </row>
    <row r="9981" spans="7:8" ht="15" customHeight="1" x14ac:dyDescent="0.4">
      <c r="G9981" s="27">
        <f t="shared" si="167"/>
        <v>0</v>
      </c>
      <c r="H9981" s="28" t="e">
        <f>VLOOKUP(E9981,'Cadastro Produtos (kiwkiw)'!C:E,3,0)</f>
        <v>#N/A</v>
      </c>
    </row>
    <row r="9982" spans="7:8" ht="15" customHeight="1" x14ac:dyDescent="0.4">
      <c r="G9982" s="27">
        <f t="shared" si="167"/>
        <v>0</v>
      </c>
      <c r="H9982" s="28" t="e">
        <f>VLOOKUP(E9982,'Cadastro Produtos (kiwkiw)'!C:E,3,0)</f>
        <v>#N/A</v>
      </c>
    </row>
    <row r="9983" spans="7:8" ht="15" customHeight="1" x14ac:dyDescent="0.4">
      <c r="G9983" s="27">
        <f t="shared" si="167"/>
        <v>0</v>
      </c>
      <c r="H9983" s="28" t="e">
        <f>VLOOKUP(E9983,'Cadastro Produtos (kiwkiw)'!C:E,3,0)</f>
        <v>#N/A</v>
      </c>
    </row>
    <row r="9984" spans="7:8" ht="15" customHeight="1" x14ac:dyDescent="0.4">
      <c r="G9984" s="27">
        <f t="shared" si="167"/>
        <v>0</v>
      </c>
      <c r="H9984" s="28" t="e">
        <f>VLOOKUP(E9984,'Cadastro Produtos (kiwkiw)'!C:E,3,0)</f>
        <v>#N/A</v>
      </c>
    </row>
    <row r="9985" spans="7:8" ht="15" customHeight="1" x14ac:dyDescent="0.4">
      <c r="G9985" s="27">
        <f t="shared" si="167"/>
        <v>0</v>
      </c>
      <c r="H9985" s="28" t="e">
        <f>VLOOKUP(E9985,'Cadastro Produtos (kiwkiw)'!C:E,3,0)</f>
        <v>#N/A</v>
      </c>
    </row>
  </sheetData>
  <sheetProtection algorithmName="SHA-512" hashValue="Y/Aa62B3WFSN6SconOLo7GkcpK9FAm6ZVzX8NzRToNTLa27tIIh/uuQ/0ilj9rZo3NTHjU0ZoUhSWiooCTNuqg==" saltValue="GBOfqQIpp6Acygv/V0nikQ==" spinCount="100000" sheet="1" objects="1" scenarios="1"/>
  <customSheetViews>
    <customSheetView guid="{44154B6F-B3CD-48F7-9F3B-46DA1E5548AD}" filter="1" showAutoFilter="1">
      <pageMargins left="0" right="0" top="0" bottom="0" header="0" footer="0"/>
      <autoFilter ref="A2:AC401" xr:uid="{122326E5-91C6-42D0-82D1-A37FCC48673A}">
        <filterColumn colId="8">
          <filters>
            <filter val="Chups Recarregavel Roxo"/>
          </filters>
        </filterColumn>
      </autoFilter>
      <extLst>
        <ext uri="GoogleSheetsCustomDataVersion1">
          <go:sheetsCustomData xmlns:go="http://customooxmlschemas.google.com/" filterViewId="1672080925"/>
        </ext>
      </extLst>
    </customSheetView>
  </customSheetViews>
  <phoneticPr fontId="22" type="noConversion"/>
  <pageMargins left="0.511811024" right="0.511811024" top="0.78740157499999996" bottom="0.78740157499999996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C00000"/>
  </sheetPr>
  <dimension ref="A1:Z996"/>
  <sheetViews>
    <sheetView topLeftCell="A172" workbookViewId="0">
      <selection activeCell="C3" sqref="C3:C194"/>
    </sheetView>
  </sheetViews>
  <sheetFormatPr defaultColWidth="11.2109375" defaultRowHeight="15" customHeight="1" x14ac:dyDescent="0.45"/>
  <cols>
    <col min="1" max="1" width="10.5703125" customWidth="1"/>
    <col min="2" max="3" width="14.2109375" style="21" customWidth="1"/>
    <col min="4" max="4" width="33.0703125" style="9" customWidth="1"/>
    <col min="5" max="5" width="45.42578125" bestFit="1" customWidth="1"/>
    <col min="6" max="6" width="12.42578125" customWidth="1"/>
    <col min="7" max="7" width="44" customWidth="1"/>
    <col min="8" max="26" width="10.5703125" customWidth="1"/>
  </cols>
  <sheetData>
    <row r="1" spans="1:26" ht="15.75" customHeight="1" x14ac:dyDescent="0.45">
      <c r="A1" s="1"/>
      <c r="B1" s="17"/>
      <c r="C1" s="17"/>
      <c r="D1" s="2"/>
      <c r="E1" s="1"/>
      <c r="F1" s="2"/>
      <c r="G1" s="1"/>
      <c r="H1" s="1" t="s">
        <v>522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45">
      <c r="A2" s="3"/>
      <c r="B2" s="18" t="s">
        <v>523</v>
      </c>
      <c r="C2" s="18" t="s">
        <v>2</v>
      </c>
      <c r="D2" s="4" t="s">
        <v>134</v>
      </c>
      <c r="E2" s="3" t="s">
        <v>3</v>
      </c>
      <c r="F2" s="4" t="s">
        <v>524</v>
      </c>
      <c r="G2" s="4" t="s">
        <v>525</v>
      </c>
      <c r="H2" s="3" t="s">
        <v>526</v>
      </c>
      <c r="I2" s="3" t="s">
        <v>138</v>
      </c>
      <c r="J2" s="3" t="s">
        <v>527</v>
      </c>
      <c r="K2" s="3" t="s">
        <v>138</v>
      </c>
      <c r="L2" s="3" t="s">
        <v>528</v>
      </c>
      <c r="M2" s="3" t="s">
        <v>529</v>
      </c>
      <c r="N2" s="3" t="s">
        <v>530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s="8" customFormat="1" ht="15.75" customHeight="1" x14ac:dyDescent="0.35">
      <c r="A3" s="5"/>
      <c r="B3" s="88"/>
      <c r="C3" s="88" t="s">
        <v>804</v>
      </c>
      <c r="D3" s="101" t="s">
        <v>531</v>
      </c>
      <c r="E3" s="104" t="s">
        <v>875</v>
      </c>
      <c r="F3" s="101"/>
      <c r="G3" s="104"/>
      <c r="H3" s="104"/>
      <c r="I3" s="104"/>
      <c r="J3" s="104"/>
      <c r="K3" s="104"/>
      <c r="L3" s="104"/>
      <c r="M3" s="104"/>
      <c r="N3" s="10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8" customFormat="1" ht="15.75" customHeight="1" x14ac:dyDescent="0.45">
      <c r="A4" s="5"/>
      <c r="B4" s="19"/>
      <c r="C4" s="84" t="s">
        <v>12</v>
      </c>
      <c r="D4" s="7" t="s">
        <v>531</v>
      </c>
      <c r="E4" s="6" t="s">
        <v>532</v>
      </c>
      <c r="F4" s="7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8" customFormat="1" ht="15.75" customHeight="1" x14ac:dyDescent="0.45">
      <c r="A5" s="5"/>
      <c r="B5" s="19"/>
      <c r="C5" s="84" t="s">
        <v>16</v>
      </c>
      <c r="D5" s="7" t="s">
        <v>531</v>
      </c>
      <c r="E5" s="6" t="s">
        <v>533</v>
      </c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8" customFormat="1" ht="15.75" customHeight="1" x14ac:dyDescent="0.35">
      <c r="A6" s="5"/>
      <c r="B6" s="88"/>
      <c r="C6" s="88" t="s">
        <v>805</v>
      </c>
      <c r="D6" s="101" t="s">
        <v>531</v>
      </c>
      <c r="E6" s="104" t="s">
        <v>876</v>
      </c>
      <c r="F6" s="101"/>
      <c r="G6" s="104"/>
      <c r="H6" s="104"/>
      <c r="I6" s="104"/>
      <c r="J6" s="104"/>
      <c r="K6" s="104"/>
      <c r="L6" s="104"/>
      <c r="M6" s="104"/>
      <c r="N6" s="10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s="8" customFormat="1" ht="15.75" customHeight="1" x14ac:dyDescent="0.35">
      <c r="A7" s="5"/>
      <c r="B7" s="88"/>
      <c r="C7" s="88" t="s">
        <v>806</v>
      </c>
      <c r="D7" s="101" t="s">
        <v>531</v>
      </c>
      <c r="E7" s="104" t="s">
        <v>877</v>
      </c>
      <c r="F7" s="101"/>
      <c r="G7" s="104"/>
      <c r="H7" s="104"/>
      <c r="I7" s="104"/>
      <c r="J7" s="104"/>
      <c r="K7" s="104"/>
      <c r="L7" s="104"/>
      <c r="M7" s="104"/>
      <c r="N7" s="10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s="8" customFormat="1" ht="15.75" customHeight="1" x14ac:dyDescent="0.45">
      <c r="A8" s="5"/>
      <c r="B8" s="19"/>
      <c r="C8" s="84" t="s">
        <v>19</v>
      </c>
      <c r="D8" s="7" t="s">
        <v>531</v>
      </c>
      <c r="E8" s="6" t="s">
        <v>534</v>
      </c>
      <c r="F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s="8" customFormat="1" ht="15.75" customHeight="1" x14ac:dyDescent="0.45">
      <c r="A9" s="5"/>
      <c r="B9" s="19"/>
      <c r="C9" s="84" t="s">
        <v>25</v>
      </c>
      <c r="D9" s="7" t="s">
        <v>531</v>
      </c>
      <c r="E9" s="6" t="s">
        <v>537</v>
      </c>
      <c r="F9" s="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s="8" customFormat="1" ht="15.75" customHeight="1" x14ac:dyDescent="0.45">
      <c r="A10" s="5"/>
      <c r="B10" s="19"/>
      <c r="C10" s="84" t="s">
        <v>22</v>
      </c>
      <c r="D10" s="7" t="s">
        <v>531</v>
      </c>
      <c r="E10" s="6" t="s">
        <v>535</v>
      </c>
      <c r="F10" s="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s="8" customFormat="1" ht="15.75" customHeight="1" x14ac:dyDescent="0.45">
      <c r="A11" s="5"/>
      <c r="B11" s="19"/>
      <c r="C11" s="84" t="s">
        <v>24</v>
      </c>
      <c r="D11" s="7" t="s">
        <v>531</v>
      </c>
      <c r="E11" s="6" t="s">
        <v>536</v>
      </c>
      <c r="F11" s="7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s="8" customFormat="1" ht="15.75" customHeight="1" x14ac:dyDescent="0.45">
      <c r="A12" s="5"/>
      <c r="B12" s="19"/>
      <c r="C12" s="84" t="s">
        <v>35</v>
      </c>
      <c r="D12" s="7" t="s">
        <v>531</v>
      </c>
      <c r="E12" s="6" t="s">
        <v>547</v>
      </c>
      <c r="F12" s="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s="8" customFormat="1" ht="15.75" customHeight="1" x14ac:dyDescent="0.45">
      <c r="A13" s="5"/>
      <c r="B13" s="19"/>
      <c r="C13" s="84" t="s">
        <v>36</v>
      </c>
      <c r="D13" s="7" t="s">
        <v>531</v>
      </c>
      <c r="E13" s="6" t="s">
        <v>548</v>
      </c>
      <c r="F13" s="7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s="8" customFormat="1" ht="15.75" customHeight="1" x14ac:dyDescent="0.35">
      <c r="A14" s="5"/>
      <c r="B14" s="88"/>
      <c r="C14" s="88" t="s">
        <v>827</v>
      </c>
      <c r="D14" s="101" t="s">
        <v>531</v>
      </c>
      <c r="E14" s="104" t="s">
        <v>897</v>
      </c>
      <c r="F14" s="101"/>
      <c r="G14" s="104"/>
      <c r="H14" s="104"/>
      <c r="I14" s="104"/>
      <c r="J14" s="104"/>
      <c r="K14" s="104"/>
      <c r="L14" s="104"/>
      <c r="M14" s="104"/>
      <c r="N14" s="10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s="8" customFormat="1" ht="15.75" customHeight="1" x14ac:dyDescent="0.45">
      <c r="A15" s="5"/>
      <c r="B15" s="19"/>
      <c r="C15" s="84" t="s">
        <v>29</v>
      </c>
      <c r="D15" s="7" t="s">
        <v>531</v>
      </c>
      <c r="E15" s="6" t="s">
        <v>541</v>
      </c>
      <c r="F15" s="7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s="8" customFormat="1" ht="15.75" customHeight="1" x14ac:dyDescent="0.45">
      <c r="A16" s="5"/>
      <c r="B16" s="19"/>
      <c r="C16" s="84" t="s">
        <v>26</v>
      </c>
      <c r="D16" s="7" t="s">
        <v>531</v>
      </c>
      <c r="E16" s="6" t="s">
        <v>538</v>
      </c>
      <c r="F16" s="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s="8" customFormat="1" ht="15.75" customHeight="1" x14ac:dyDescent="0.45">
      <c r="A17" s="5"/>
      <c r="B17" s="19"/>
      <c r="C17" s="84" t="s">
        <v>27</v>
      </c>
      <c r="D17" s="7" t="s">
        <v>531</v>
      </c>
      <c r="E17" s="6" t="s">
        <v>539</v>
      </c>
      <c r="F17" s="7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s="8" customFormat="1" ht="15.75" customHeight="1" x14ac:dyDescent="0.45">
      <c r="A18" s="5"/>
      <c r="B18" s="19"/>
      <c r="C18" s="84" t="s">
        <v>28</v>
      </c>
      <c r="D18" s="7" t="s">
        <v>531</v>
      </c>
      <c r="E18" s="6" t="s">
        <v>540</v>
      </c>
      <c r="F18" s="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s="8" customFormat="1" ht="15.75" customHeight="1" x14ac:dyDescent="0.45">
      <c r="A19" s="5"/>
      <c r="B19" s="19"/>
      <c r="C19" s="84" t="s">
        <v>30</v>
      </c>
      <c r="D19" s="7" t="s">
        <v>531</v>
      </c>
      <c r="E19" s="6" t="s">
        <v>542</v>
      </c>
      <c r="F19" s="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s="8" customFormat="1" ht="15.75" customHeight="1" x14ac:dyDescent="0.45">
      <c r="A20" s="5"/>
      <c r="B20" s="19"/>
      <c r="C20" s="84" t="s">
        <v>32</v>
      </c>
      <c r="D20" s="7" t="s">
        <v>531</v>
      </c>
      <c r="E20" s="6" t="s">
        <v>544</v>
      </c>
      <c r="F20" s="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8" customFormat="1" ht="15.75" customHeight="1" x14ac:dyDescent="0.45">
      <c r="A21" s="5"/>
      <c r="B21" s="19"/>
      <c r="C21" s="84" t="s">
        <v>31</v>
      </c>
      <c r="D21" s="7" t="s">
        <v>531</v>
      </c>
      <c r="E21" s="6" t="s">
        <v>543</v>
      </c>
      <c r="F21" s="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8" customFormat="1" ht="15.75" customHeight="1" x14ac:dyDescent="0.45">
      <c r="A22" s="5"/>
      <c r="B22" s="19"/>
      <c r="C22" s="84" t="s">
        <v>33</v>
      </c>
      <c r="D22" s="7" t="s">
        <v>531</v>
      </c>
      <c r="E22" s="6" t="s">
        <v>545</v>
      </c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s="8" customFormat="1" ht="15.75" customHeight="1" x14ac:dyDescent="0.45">
      <c r="A23" s="5"/>
      <c r="B23" s="19"/>
      <c r="C23" s="84" t="s">
        <v>34</v>
      </c>
      <c r="D23" s="7" t="s">
        <v>531</v>
      </c>
      <c r="E23" s="6" t="s">
        <v>546</v>
      </c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s="8" customFormat="1" ht="15.75" customHeight="1" x14ac:dyDescent="0.45">
      <c r="A24" s="5"/>
      <c r="B24" s="19"/>
      <c r="C24" s="84" t="s">
        <v>37</v>
      </c>
      <c r="D24" s="7" t="s">
        <v>531</v>
      </c>
      <c r="E24" s="6" t="s">
        <v>549</v>
      </c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s="8" customFormat="1" ht="15.75" customHeight="1" x14ac:dyDescent="0.35">
      <c r="A25" s="5"/>
      <c r="B25" s="88"/>
      <c r="C25" s="88" t="s">
        <v>793</v>
      </c>
      <c r="D25" s="101" t="s">
        <v>531</v>
      </c>
      <c r="E25" s="104" t="s">
        <v>864</v>
      </c>
      <c r="F25" s="101"/>
      <c r="G25" s="104"/>
      <c r="H25" s="104"/>
      <c r="I25" s="104"/>
      <c r="J25" s="104"/>
      <c r="K25" s="104"/>
      <c r="L25" s="104"/>
      <c r="M25" s="104"/>
      <c r="N25" s="104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s="8" customFormat="1" ht="15.75" customHeight="1" x14ac:dyDescent="0.45">
      <c r="A26" s="5"/>
      <c r="B26" s="92"/>
      <c r="C26" s="92" t="s">
        <v>772</v>
      </c>
      <c r="D26" s="7" t="s">
        <v>531</v>
      </c>
      <c r="E26" s="104" t="s">
        <v>843</v>
      </c>
      <c r="F26" s="101"/>
      <c r="G26" s="104"/>
      <c r="H26" s="104"/>
      <c r="I26" s="104"/>
      <c r="J26" s="104"/>
      <c r="K26" s="104"/>
      <c r="L26" s="104"/>
      <c r="M26" s="104"/>
      <c r="N26" s="104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s="8" customFormat="1" ht="15.75" customHeight="1" x14ac:dyDescent="0.45">
      <c r="A27" s="5"/>
      <c r="B27" s="19"/>
      <c r="C27" s="84" t="s">
        <v>38</v>
      </c>
      <c r="D27" s="7" t="s">
        <v>531</v>
      </c>
      <c r="E27" s="6" t="s">
        <v>550</v>
      </c>
      <c r="F27" s="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s="8" customFormat="1" ht="15.75" customHeight="1" x14ac:dyDescent="0.45">
      <c r="A28" s="5"/>
      <c r="B28" s="19"/>
      <c r="C28" s="84" t="s">
        <v>39</v>
      </c>
      <c r="D28" s="7" t="s">
        <v>531</v>
      </c>
      <c r="E28" s="45" t="s">
        <v>551</v>
      </c>
      <c r="F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s="8" customFormat="1" ht="15.75" customHeight="1" x14ac:dyDescent="0.45">
      <c r="A29" s="5"/>
      <c r="B29" s="19"/>
      <c r="C29" s="84" t="s">
        <v>40</v>
      </c>
      <c r="D29" s="7" t="s">
        <v>531</v>
      </c>
      <c r="E29" s="45" t="s">
        <v>552</v>
      </c>
      <c r="F29" s="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s="8" customFormat="1" ht="15.75" customHeight="1" x14ac:dyDescent="0.35">
      <c r="A30" s="5"/>
      <c r="B30" s="88"/>
      <c r="C30" s="88" t="s">
        <v>807</v>
      </c>
      <c r="D30" s="101" t="s">
        <v>531</v>
      </c>
      <c r="E30" s="104" t="s">
        <v>878</v>
      </c>
      <c r="F30" s="101"/>
      <c r="G30" s="104"/>
      <c r="H30" s="104"/>
      <c r="I30" s="104"/>
      <c r="J30" s="104"/>
      <c r="K30" s="104"/>
      <c r="L30" s="104"/>
      <c r="M30" s="104"/>
      <c r="N30" s="104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s="8" customFormat="1" ht="15.75" customHeight="1" x14ac:dyDescent="0.45">
      <c r="A31" s="5"/>
      <c r="B31" s="19"/>
      <c r="C31" s="84" t="s">
        <v>41</v>
      </c>
      <c r="D31" s="7" t="s">
        <v>531</v>
      </c>
      <c r="E31" s="45" t="s">
        <v>553</v>
      </c>
      <c r="F31" s="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s="8" customFormat="1" ht="15.75" customHeight="1" x14ac:dyDescent="0.35">
      <c r="A32" s="5"/>
      <c r="B32" s="88"/>
      <c r="C32" s="88" t="s">
        <v>808</v>
      </c>
      <c r="D32" s="101" t="s">
        <v>531</v>
      </c>
      <c r="E32" s="104" t="s">
        <v>879</v>
      </c>
      <c r="F32" s="101"/>
      <c r="G32" s="104"/>
      <c r="H32" s="104"/>
      <c r="I32" s="104"/>
      <c r="J32" s="104"/>
      <c r="K32" s="104"/>
      <c r="L32" s="104"/>
      <c r="M32" s="104"/>
      <c r="N32" s="10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s="8" customFormat="1" ht="15.75" customHeight="1" x14ac:dyDescent="0.35">
      <c r="A33" s="5"/>
      <c r="B33" s="88"/>
      <c r="C33" s="88" t="s">
        <v>783</v>
      </c>
      <c r="D33" s="101" t="s">
        <v>531</v>
      </c>
      <c r="E33" s="104" t="s">
        <v>854</v>
      </c>
      <c r="F33" s="101"/>
      <c r="G33" s="104"/>
      <c r="H33" s="104"/>
      <c r="I33" s="104"/>
      <c r="J33" s="104"/>
      <c r="K33" s="104"/>
      <c r="L33" s="104"/>
      <c r="M33" s="104"/>
      <c r="N33" s="10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s="8" customFormat="1" ht="15.75" customHeight="1" x14ac:dyDescent="0.45">
      <c r="A34" s="5"/>
      <c r="B34" s="90"/>
      <c r="C34" s="95" t="s">
        <v>120</v>
      </c>
      <c r="D34" s="7" t="s">
        <v>531</v>
      </c>
      <c r="E34" s="104" t="s">
        <v>632</v>
      </c>
      <c r="F34" s="101"/>
      <c r="G34" s="104"/>
      <c r="H34" s="104"/>
      <c r="I34" s="104"/>
      <c r="J34" s="104"/>
      <c r="K34" s="104"/>
      <c r="L34" s="104"/>
      <c r="M34" s="104"/>
      <c r="N34" s="10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s="8" customFormat="1" ht="15.75" customHeight="1" x14ac:dyDescent="0.45">
      <c r="A35" s="5"/>
      <c r="B35" s="90"/>
      <c r="C35" s="95" t="s">
        <v>119</v>
      </c>
      <c r="D35" s="7" t="s">
        <v>531</v>
      </c>
      <c r="E35" s="104" t="s">
        <v>631</v>
      </c>
      <c r="F35" s="101"/>
      <c r="G35" s="104"/>
      <c r="H35" s="104"/>
      <c r="I35" s="104"/>
      <c r="J35" s="104"/>
      <c r="K35" s="104"/>
      <c r="L35" s="104"/>
      <c r="M35" s="104"/>
      <c r="N35" s="10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s="8" customFormat="1" ht="15.75" customHeight="1" x14ac:dyDescent="0.35">
      <c r="A36" s="5"/>
      <c r="B36" s="88"/>
      <c r="C36" s="88" t="s">
        <v>809</v>
      </c>
      <c r="D36" s="101" t="s">
        <v>531</v>
      </c>
      <c r="E36" s="104" t="s">
        <v>880</v>
      </c>
      <c r="F36" s="101"/>
      <c r="G36" s="104"/>
      <c r="H36" s="104"/>
      <c r="I36" s="104"/>
      <c r="J36" s="104"/>
      <c r="K36" s="104"/>
      <c r="L36" s="104"/>
      <c r="M36" s="104"/>
      <c r="N36" s="10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s="8" customFormat="1" ht="15.75" customHeight="1" x14ac:dyDescent="0.45">
      <c r="A37" s="5"/>
      <c r="B37" s="90"/>
      <c r="C37" s="95" t="s">
        <v>122</v>
      </c>
      <c r="D37" s="7" t="s">
        <v>531</v>
      </c>
      <c r="E37" s="104" t="s">
        <v>634</v>
      </c>
      <c r="F37" s="101"/>
      <c r="G37" s="104"/>
      <c r="H37" s="104"/>
      <c r="I37" s="104"/>
      <c r="J37" s="104"/>
      <c r="K37" s="104"/>
      <c r="L37" s="104"/>
      <c r="M37" s="104"/>
      <c r="N37" s="10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s="8" customFormat="1" ht="15.75" customHeight="1" x14ac:dyDescent="0.45">
      <c r="A38" s="5"/>
      <c r="B38" s="90"/>
      <c r="C38" s="95" t="s">
        <v>121</v>
      </c>
      <c r="D38" s="7" t="s">
        <v>531</v>
      </c>
      <c r="E38" s="104" t="s">
        <v>633</v>
      </c>
      <c r="F38" s="101"/>
      <c r="G38" s="104"/>
      <c r="H38" s="104"/>
      <c r="I38" s="104"/>
      <c r="J38" s="104"/>
      <c r="K38" s="104"/>
      <c r="L38" s="104"/>
      <c r="M38" s="104"/>
      <c r="N38" s="104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s="8" customFormat="1" ht="15.75" customHeight="1" x14ac:dyDescent="0.35">
      <c r="A39" s="5"/>
      <c r="B39" s="88"/>
      <c r="C39" s="88" t="s">
        <v>1448</v>
      </c>
      <c r="D39" s="101" t="s">
        <v>531</v>
      </c>
      <c r="E39" s="104" t="s">
        <v>1449</v>
      </c>
      <c r="F39" s="101"/>
      <c r="G39" s="104"/>
      <c r="H39" s="104"/>
      <c r="I39" s="104"/>
      <c r="J39" s="104"/>
      <c r="K39" s="104"/>
      <c r="L39" s="104"/>
      <c r="M39" s="104"/>
      <c r="N39" s="104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s="8" customFormat="1" ht="15.75" customHeight="1" x14ac:dyDescent="0.35">
      <c r="A40" s="5"/>
      <c r="B40" s="88"/>
      <c r="C40" s="88" t="s">
        <v>1446</v>
      </c>
      <c r="D40" s="101" t="s">
        <v>531</v>
      </c>
      <c r="E40" s="104" t="s">
        <v>1447</v>
      </c>
      <c r="F40" s="101"/>
      <c r="G40" s="104"/>
      <c r="H40" s="104"/>
      <c r="I40" s="104"/>
      <c r="J40" s="104"/>
      <c r="K40" s="104"/>
      <c r="L40" s="104"/>
      <c r="M40" s="104"/>
      <c r="N40" s="10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s="8" customFormat="1" ht="15.75" customHeight="1" x14ac:dyDescent="0.45">
      <c r="A41" s="5"/>
      <c r="B41" s="19"/>
      <c r="C41" s="84" t="s">
        <v>42</v>
      </c>
      <c r="D41" s="7" t="s">
        <v>531</v>
      </c>
      <c r="E41" s="45" t="s">
        <v>554</v>
      </c>
      <c r="F41" s="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s="8" customFormat="1" ht="15.75" customHeight="1" x14ac:dyDescent="0.35">
      <c r="A42" s="5"/>
      <c r="B42" s="88"/>
      <c r="C42" s="88" t="s">
        <v>832</v>
      </c>
      <c r="D42" s="101" t="s">
        <v>531</v>
      </c>
      <c r="E42" s="104" t="s">
        <v>902</v>
      </c>
      <c r="F42" s="101"/>
      <c r="G42" s="104"/>
      <c r="H42" s="104"/>
      <c r="I42" s="104"/>
      <c r="J42" s="104"/>
      <c r="K42" s="104"/>
      <c r="L42" s="104"/>
      <c r="M42" s="104"/>
      <c r="N42" s="10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s="8" customFormat="1" ht="15.75" customHeight="1" x14ac:dyDescent="0.45">
      <c r="A43" s="5"/>
      <c r="B43" s="92"/>
      <c r="C43" s="92" t="s">
        <v>773</v>
      </c>
      <c r="D43" s="7" t="s">
        <v>531</v>
      </c>
      <c r="E43" s="104" t="s">
        <v>844</v>
      </c>
      <c r="F43" s="101"/>
      <c r="G43" s="104"/>
      <c r="H43" s="104"/>
      <c r="I43" s="104"/>
      <c r="J43" s="104"/>
      <c r="K43" s="104"/>
      <c r="L43" s="104"/>
      <c r="M43" s="104"/>
      <c r="N43" s="104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s="8" customFormat="1" ht="15.75" customHeight="1" x14ac:dyDescent="0.45">
      <c r="A44" s="5"/>
      <c r="B44" s="19"/>
      <c r="C44" s="84" t="s">
        <v>44</v>
      </c>
      <c r="D44" s="7" t="s">
        <v>531</v>
      </c>
      <c r="E44" s="45" t="s">
        <v>556</v>
      </c>
      <c r="F44" s="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s="8" customFormat="1" ht="15.75" customHeight="1" x14ac:dyDescent="0.45">
      <c r="A45" s="5"/>
      <c r="B45" s="19"/>
      <c r="C45" s="84" t="s">
        <v>45</v>
      </c>
      <c r="D45" s="7" t="s">
        <v>531</v>
      </c>
      <c r="E45" s="45" t="s">
        <v>557</v>
      </c>
      <c r="F45" s="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s="8" customFormat="1" ht="15.75" customHeight="1" x14ac:dyDescent="0.45">
      <c r="A46" s="5"/>
      <c r="B46" s="19"/>
      <c r="C46" s="99" t="s">
        <v>46</v>
      </c>
      <c r="D46" s="7" t="s">
        <v>531</v>
      </c>
      <c r="E46" s="45" t="s">
        <v>558</v>
      </c>
      <c r="F46" s="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s="8" customFormat="1" ht="15.75" customHeight="1" x14ac:dyDescent="0.45">
      <c r="A47" s="5"/>
      <c r="B47" s="19"/>
      <c r="C47" s="84" t="s">
        <v>47</v>
      </c>
      <c r="D47" s="7" t="s">
        <v>531</v>
      </c>
      <c r="E47" s="45" t="s">
        <v>559</v>
      </c>
      <c r="F47" s="7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s="8" customFormat="1" ht="15.75" customHeight="1" x14ac:dyDescent="0.45">
      <c r="A48" s="5"/>
      <c r="B48" s="19"/>
      <c r="C48" s="111" t="s">
        <v>49</v>
      </c>
      <c r="D48" s="7" t="s">
        <v>531</v>
      </c>
      <c r="E48" s="113" t="s">
        <v>561</v>
      </c>
      <c r="F48" s="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s="8" customFormat="1" ht="15.75" customHeight="1" x14ac:dyDescent="0.35">
      <c r="A49" s="5"/>
      <c r="B49" s="88"/>
      <c r="C49" s="88" t="s">
        <v>810</v>
      </c>
      <c r="D49" s="101" t="s">
        <v>531</v>
      </c>
      <c r="E49" s="104" t="s">
        <v>881</v>
      </c>
      <c r="F49" s="101"/>
      <c r="G49" s="104"/>
      <c r="H49" s="104"/>
      <c r="I49" s="104"/>
      <c r="J49" s="104"/>
      <c r="K49" s="104"/>
      <c r="L49" s="104"/>
      <c r="M49" s="104"/>
      <c r="N49" s="104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s="8" customFormat="1" ht="15.75" customHeight="1" x14ac:dyDescent="0.35">
      <c r="A50" s="5"/>
      <c r="B50" s="88"/>
      <c r="C50" s="88" t="s">
        <v>784</v>
      </c>
      <c r="D50" s="101" t="s">
        <v>531</v>
      </c>
      <c r="E50" s="104" t="s">
        <v>855</v>
      </c>
      <c r="F50" s="101"/>
      <c r="G50" s="104"/>
      <c r="H50" s="104"/>
      <c r="I50" s="104"/>
      <c r="J50" s="104"/>
      <c r="K50" s="104"/>
      <c r="L50" s="104"/>
      <c r="M50" s="104"/>
      <c r="N50" s="10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s="8" customFormat="1" ht="15.75" customHeight="1" x14ac:dyDescent="0.35">
      <c r="A51" s="5"/>
      <c r="B51" s="88"/>
      <c r="C51" s="88" t="s">
        <v>811</v>
      </c>
      <c r="D51" s="101" t="s">
        <v>531</v>
      </c>
      <c r="E51" s="104" t="s">
        <v>882</v>
      </c>
      <c r="F51" s="101"/>
      <c r="G51" s="104"/>
      <c r="H51" s="104"/>
      <c r="I51" s="104"/>
      <c r="J51" s="104"/>
      <c r="K51" s="104"/>
      <c r="L51" s="104"/>
      <c r="M51" s="104"/>
      <c r="N51" s="104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s="8" customFormat="1" ht="15.75" customHeight="1" x14ac:dyDescent="0.45">
      <c r="A52" s="5"/>
      <c r="B52" s="19"/>
      <c r="C52" s="84" t="s">
        <v>50</v>
      </c>
      <c r="D52" s="7" t="s">
        <v>531</v>
      </c>
      <c r="E52" s="6" t="s">
        <v>562</v>
      </c>
      <c r="F52" s="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45">
      <c r="A53" s="1"/>
      <c r="B53" s="17"/>
      <c r="C53" s="17" t="s">
        <v>830</v>
      </c>
      <c r="D53" s="101" t="s">
        <v>531</v>
      </c>
      <c r="E53" s="1" t="s">
        <v>900</v>
      </c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45">
      <c r="A54" s="1"/>
      <c r="B54" s="17"/>
      <c r="C54" s="17" t="s">
        <v>789</v>
      </c>
      <c r="D54" s="101" t="s">
        <v>531</v>
      </c>
      <c r="E54" s="1" t="s">
        <v>860</v>
      </c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45">
      <c r="A55" s="10"/>
      <c r="B55" s="20"/>
      <c r="C55" s="82" t="s">
        <v>70</v>
      </c>
      <c r="D55" s="7" t="s">
        <v>531</v>
      </c>
      <c r="E55" s="1" t="s">
        <v>582</v>
      </c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45">
      <c r="A56" s="13"/>
      <c r="B56" s="17"/>
      <c r="C56" s="17" t="s">
        <v>1450</v>
      </c>
      <c r="D56" s="101" t="s">
        <v>531</v>
      </c>
      <c r="E56" s="1" t="s">
        <v>1451</v>
      </c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45">
      <c r="A57" s="1"/>
      <c r="B57" s="89"/>
      <c r="C57" s="94" t="s">
        <v>48</v>
      </c>
      <c r="D57" s="7" t="s">
        <v>531</v>
      </c>
      <c r="E57" s="105" t="s">
        <v>560</v>
      </c>
      <c r="F57" s="102"/>
      <c r="G57" s="108"/>
      <c r="H57" s="108"/>
      <c r="I57" s="108"/>
      <c r="J57" s="108"/>
      <c r="K57" s="108"/>
      <c r="L57" s="108"/>
      <c r="M57" s="108"/>
      <c r="N57" s="10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45">
      <c r="A58" s="1"/>
      <c r="B58" s="89"/>
      <c r="C58" s="96" t="s">
        <v>53</v>
      </c>
      <c r="D58" s="7" t="s">
        <v>531</v>
      </c>
      <c r="E58" s="93" t="s">
        <v>565</v>
      </c>
      <c r="F58" s="102"/>
      <c r="G58" s="108"/>
      <c r="H58" s="108"/>
      <c r="I58" s="108"/>
      <c r="J58" s="108"/>
      <c r="K58" s="108"/>
      <c r="L58" s="108"/>
      <c r="M58" s="108"/>
      <c r="N58" s="10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45">
      <c r="A59" s="1"/>
      <c r="B59" s="89"/>
      <c r="C59" s="96" t="s">
        <v>54</v>
      </c>
      <c r="D59" s="7" t="s">
        <v>531</v>
      </c>
      <c r="E59" s="93" t="s">
        <v>566</v>
      </c>
      <c r="F59" s="102"/>
      <c r="G59" s="108"/>
      <c r="H59" s="108"/>
      <c r="I59" s="108"/>
      <c r="J59" s="108"/>
      <c r="K59" s="108"/>
      <c r="L59" s="108"/>
      <c r="M59" s="108"/>
      <c r="N59" s="10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45">
      <c r="A60" s="1"/>
      <c r="B60" s="89"/>
      <c r="C60" s="96" t="s">
        <v>55</v>
      </c>
      <c r="D60" s="7" t="s">
        <v>531</v>
      </c>
      <c r="E60" s="93" t="s">
        <v>567</v>
      </c>
      <c r="F60" s="102"/>
      <c r="G60" s="108"/>
      <c r="H60" s="108"/>
      <c r="I60" s="108"/>
      <c r="J60" s="108"/>
      <c r="K60" s="108"/>
      <c r="L60" s="108"/>
      <c r="M60" s="108"/>
      <c r="N60" s="10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45">
      <c r="A61" s="1"/>
      <c r="B61" s="17"/>
      <c r="C61" s="17" t="s">
        <v>828</v>
      </c>
      <c r="D61" s="101" t="s">
        <v>531</v>
      </c>
      <c r="E61" s="1" t="s">
        <v>898</v>
      </c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45">
      <c r="A62" s="1"/>
      <c r="B62" s="89"/>
      <c r="C62" s="94" t="s">
        <v>52</v>
      </c>
      <c r="D62" s="7" t="s">
        <v>531</v>
      </c>
      <c r="E62" s="93" t="s">
        <v>564</v>
      </c>
      <c r="F62" s="102"/>
      <c r="G62" s="108"/>
      <c r="H62" s="108"/>
      <c r="I62" s="108"/>
      <c r="J62" s="108"/>
      <c r="K62" s="108"/>
      <c r="L62" s="108"/>
      <c r="M62" s="108"/>
      <c r="N62" s="10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45">
      <c r="A63" s="1"/>
      <c r="B63" s="17"/>
      <c r="C63" s="17" t="s">
        <v>812</v>
      </c>
      <c r="D63" s="101" t="s">
        <v>531</v>
      </c>
      <c r="E63" s="1" t="s">
        <v>564</v>
      </c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45">
      <c r="A64" s="1"/>
      <c r="B64" s="12"/>
      <c r="C64" s="12" t="s">
        <v>774</v>
      </c>
      <c r="D64" s="7" t="s">
        <v>531</v>
      </c>
      <c r="E64" s="1" t="s">
        <v>845</v>
      </c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45">
      <c r="A65" s="1"/>
      <c r="B65" s="17"/>
      <c r="C65" s="17" t="s">
        <v>794</v>
      </c>
      <c r="D65" s="101" t="s">
        <v>531</v>
      </c>
      <c r="E65" s="1" t="s">
        <v>865</v>
      </c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45">
      <c r="A66" s="1"/>
      <c r="B66" s="17"/>
      <c r="C66" s="17" t="s">
        <v>813</v>
      </c>
      <c r="D66" s="101" t="s">
        <v>531</v>
      </c>
      <c r="E66" s="1" t="s">
        <v>883</v>
      </c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45">
      <c r="A67" s="1"/>
      <c r="B67" s="89"/>
      <c r="C67" s="94" t="s">
        <v>43</v>
      </c>
      <c r="D67" s="7" t="s">
        <v>531</v>
      </c>
      <c r="E67" s="106" t="s">
        <v>555</v>
      </c>
      <c r="F67" s="102"/>
      <c r="G67" s="108"/>
      <c r="H67" s="108"/>
      <c r="I67" s="108"/>
      <c r="J67" s="108"/>
      <c r="K67" s="108"/>
      <c r="L67" s="108"/>
      <c r="M67" s="108"/>
      <c r="N67" s="10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45">
      <c r="A68" s="1"/>
      <c r="B68" s="89"/>
      <c r="C68" s="94" t="s">
        <v>51</v>
      </c>
      <c r="D68" s="7" t="s">
        <v>531</v>
      </c>
      <c r="E68" s="106" t="s">
        <v>563</v>
      </c>
      <c r="F68" s="102"/>
      <c r="G68" s="108"/>
      <c r="H68" s="108"/>
      <c r="I68" s="108"/>
      <c r="J68" s="108"/>
      <c r="K68" s="108"/>
      <c r="L68" s="108"/>
      <c r="M68" s="108"/>
      <c r="N68" s="10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45">
      <c r="A69" s="1"/>
      <c r="B69" s="89"/>
      <c r="C69" s="96" t="s">
        <v>56</v>
      </c>
      <c r="D69" s="7" t="s">
        <v>531</v>
      </c>
      <c r="E69" s="93" t="s">
        <v>568</v>
      </c>
      <c r="F69" s="102"/>
      <c r="G69" s="108"/>
      <c r="H69" s="108"/>
      <c r="I69" s="108"/>
      <c r="J69" s="108"/>
      <c r="K69" s="108"/>
      <c r="L69" s="108"/>
      <c r="M69" s="108"/>
      <c r="N69" s="10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45">
      <c r="A70" s="1"/>
      <c r="B70" s="89"/>
      <c r="C70" s="96" t="s">
        <v>57</v>
      </c>
      <c r="D70" s="7" t="s">
        <v>531</v>
      </c>
      <c r="E70" s="93" t="s">
        <v>569</v>
      </c>
      <c r="F70" s="102"/>
      <c r="G70" s="108"/>
      <c r="H70" s="108"/>
      <c r="I70" s="108"/>
      <c r="J70" s="108"/>
      <c r="K70" s="108"/>
      <c r="L70" s="108"/>
      <c r="M70" s="108"/>
      <c r="N70" s="10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45">
      <c r="A71" s="1"/>
      <c r="B71" s="89"/>
      <c r="C71" s="96" t="s">
        <v>58</v>
      </c>
      <c r="D71" s="7" t="s">
        <v>531</v>
      </c>
      <c r="E71" s="93" t="s">
        <v>570</v>
      </c>
      <c r="F71" s="102"/>
      <c r="G71" s="108"/>
      <c r="H71" s="108"/>
      <c r="I71" s="108"/>
      <c r="J71" s="108"/>
      <c r="K71" s="108"/>
      <c r="L71" s="108"/>
      <c r="M71" s="108"/>
      <c r="N71" s="10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45">
      <c r="A72" s="1"/>
      <c r="B72" s="93"/>
      <c r="C72" s="96" t="s">
        <v>59</v>
      </c>
      <c r="D72" s="7" t="s">
        <v>531</v>
      </c>
      <c r="E72" s="93" t="s">
        <v>571</v>
      </c>
      <c r="F72" s="102"/>
      <c r="G72" s="108"/>
      <c r="H72" s="108"/>
      <c r="I72" s="108"/>
      <c r="J72" s="108"/>
      <c r="K72" s="108"/>
      <c r="L72" s="108"/>
      <c r="M72" s="108"/>
      <c r="N72" s="10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45">
      <c r="A73" s="1"/>
      <c r="B73" s="89"/>
      <c r="C73" s="94" t="s">
        <v>60</v>
      </c>
      <c r="D73" s="7" t="s">
        <v>531</v>
      </c>
      <c r="E73" s="93" t="s">
        <v>572</v>
      </c>
      <c r="F73" s="102"/>
      <c r="G73" s="108"/>
      <c r="H73" s="108"/>
      <c r="I73" s="108"/>
      <c r="J73" s="108"/>
      <c r="K73" s="108"/>
      <c r="L73" s="108"/>
      <c r="M73" s="108"/>
      <c r="N73" s="10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45">
      <c r="A74" s="1"/>
      <c r="B74" s="17"/>
      <c r="C74" s="17" t="s">
        <v>788</v>
      </c>
      <c r="D74" s="101" t="s">
        <v>531</v>
      </c>
      <c r="E74" s="1" t="s">
        <v>859</v>
      </c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45">
      <c r="A75" s="1"/>
      <c r="B75" s="12"/>
      <c r="C75" s="12" t="s">
        <v>771</v>
      </c>
      <c r="D75" s="7" t="s">
        <v>531</v>
      </c>
      <c r="E75" s="1" t="s">
        <v>842</v>
      </c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45">
      <c r="A76" s="1"/>
      <c r="B76" s="17"/>
      <c r="C76" s="17" t="s">
        <v>831</v>
      </c>
      <c r="D76" s="101" t="s">
        <v>531</v>
      </c>
      <c r="E76" s="1" t="s">
        <v>901</v>
      </c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45">
      <c r="A77" s="1"/>
      <c r="B77" s="17"/>
      <c r="C77" s="17" t="s">
        <v>781</v>
      </c>
      <c r="D77" s="7" t="s">
        <v>531</v>
      </c>
      <c r="E77" s="1" t="s">
        <v>852</v>
      </c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45">
      <c r="A78" s="1"/>
      <c r="B78" s="17"/>
      <c r="C78" s="17" t="s">
        <v>790</v>
      </c>
      <c r="D78" s="101" t="s">
        <v>531</v>
      </c>
      <c r="E78" s="1" t="s">
        <v>861</v>
      </c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45">
      <c r="A79" s="1"/>
      <c r="B79" s="17"/>
      <c r="C79" s="17" t="s">
        <v>814</v>
      </c>
      <c r="D79" s="101" t="s">
        <v>531</v>
      </c>
      <c r="E79" s="1" t="s">
        <v>884</v>
      </c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45">
      <c r="A80" s="1"/>
      <c r="B80" s="89"/>
      <c r="C80" s="96" t="s">
        <v>61</v>
      </c>
      <c r="D80" s="7" t="s">
        <v>531</v>
      </c>
      <c r="E80" s="93" t="s">
        <v>573</v>
      </c>
      <c r="F80" s="102"/>
      <c r="G80" s="108"/>
      <c r="H80" s="108"/>
      <c r="I80" s="108"/>
      <c r="J80" s="108"/>
      <c r="K80" s="108"/>
      <c r="L80" s="108"/>
      <c r="M80" s="108"/>
      <c r="N80" s="10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45">
      <c r="A81" s="1"/>
      <c r="B81" s="89"/>
      <c r="C81" s="96" t="s">
        <v>62</v>
      </c>
      <c r="D81" s="7" t="s">
        <v>531</v>
      </c>
      <c r="E81" s="93" t="s">
        <v>574</v>
      </c>
      <c r="F81" s="102"/>
      <c r="G81" s="108"/>
      <c r="H81" s="108"/>
      <c r="I81" s="108"/>
      <c r="J81" s="108"/>
      <c r="K81" s="108"/>
      <c r="L81" s="108"/>
      <c r="M81" s="108"/>
      <c r="N81" s="10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45">
      <c r="A82" s="1"/>
      <c r="B82" s="89"/>
      <c r="C82" s="98" t="s">
        <v>63</v>
      </c>
      <c r="D82" s="7" t="s">
        <v>531</v>
      </c>
      <c r="E82" s="93" t="s">
        <v>575</v>
      </c>
      <c r="F82" s="102"/>
      <c r="G82" s="108"/>
      <c r="H82" s="108"/>
      <c r="I82" s="108"/>
      <c r="J82" s="108"/>
      <c r="K82" s="108"/>
      <c r="L82" s="108"/>
      <c r="M82" s="108"/>
      <c r="N82" s="10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45">
      <c r="A83" s="1"/>
      <c r="B83" s="89"/>
      <c r="C83" s="96" t="s">
        <v>64</v>
      </c>
      <c r="D83" s="7" t="s">
        <v>531</v>
      </c>
      <c r="E83" s="93" t="s">
        <v>576</v>
      </c>
      <c r="F83" s="102"/>
      <c r="G83" s="108"/>
      <c r="H83" s="108"/>
      <c r="I83" s="108"/>
      <c r="J83" s="108"/>
      <c r="K83" s="108"/>
      <c r="L83" s="108"/>
      <c r="M83" s="108"/>
      <c r="N83" s="10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45">
      <c r="A84" s="1"/>
      <c r="B84" s="89"/>
      <c r="C84" s="100" t="s">
        <v>65</v>
      </c>
      <c r="D84" s="7" t="s">
        <v>531</v>
      </c>
      <c r="E84" s="107" t="s">
        <v>577</v>
      </c>
      <c r="F84" s="102"/>
      <c r="G84" s="108"/>
      <c r="H84" s="108"/>
      <c r="I84" s="108"/>
      <c r="J84" s="108"/>
      <c r="K84" s="108"/>
      <c r="L84" s="108"/>
      <c r="M84" s="108"/>
      <c r="N84" s="10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45">
      <c r="A85" s="1"/>
      <c r="B85" s="89"/>
      <c r="C85" s="94" t="s">
        <v>66</v>
      </c>
      <c r="D85" s="7" t="s">
        <v>531</v>
      </c>
      <c r="E85" s="93" t="s">
        <v>578</v>
      </c>
      <c r="F85" s="102"/>
      <c r="G85" s="108"/>
      <c r="H85" s="108"/>
      <c r="I85" s="108"/>
      <c r="J85" s="108"/>
      <c r="K85" s="108"/>
      <c r="L85" s="108"/>
      <c r="M85" s="108"/>
      <c r="N85" s="10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45">
      <c r="A86" s="1"/>
      <c r="B86" s="89"/>
      <c r="C86" s="94" t="s">
        <v>67</v>
      </c>
      <c r="D86" s="7" t="s">
        <v>531</v>
      </c>
      <c r="E86" s="93" t="s">
        <v>579</v>
      </c>
      <c r="F86" s="102"/>
      <c r="G86" s="108"/>
      <c r="H86" s="108"/>
      <c r="I86" s="108"/>
      <c r="J86" s="108"/>
      <c r="K86" s="108"/>
      <c r="L86" s="108"/>
      <c r="M86" s="108"/>
      <c r="N86" s="10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45">
      <c r="A87" s="1"/>
      <c r="B87" s="89"/>
      <c r="C87" s="94" t="s">
        <v>68</v>
      </c>
      <c r="D87" s="7" t="s">
        <v>531</v>
      </c>
      <c r="E87" s="93" t="s">
        <v>580</v>
      </c>
      <c r="F87" s="102"/>
      <c r="G87" s="108"/>
      <c r="H87" s="108"/>
      <c r="I87" s="108"/>
      <c r="J87" s="108"/>
      <c r="K87" s="108"/>
      <c r="L87" s="108"/>
      <c r="M87" s="108"/>
      <c r="N87" s="10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45">
      <c r="A88" s="1"/>
      <c r="B88" s="89"/>
      <c r="C88" s="94" t="s">
        <v>69</v>
      </c>
      <c r="D88" s="7" t="s">
        <v>531</v>
      </c>
      <c r="E88" s="93" t="s">
        <v>581</v>
      </c>
      <c r="F88" s="102"/>
      <c r="G88" s="108"/>
      <c r="H88" s="108"/>
      <c r="I88" s="108"/>
      <c r="J88" s="108"/>
      <c r="K88" s="108"/>
      <c r="L88" s="108"/>
      <c r="M88" s="108"/>
      <c r="N88" s="10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45">
      <c r="A89" s="1"/>
      <c r="B89" s="17"/>
      <c r="C89" s="17" t="s">
        <v>815</v>
      </c>
      <c r="D89" s="101" t="s">
        <v>531</v>
      </c>
      <c r="E89" s="1" t="s">
        <v>885</v>
      </c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45">
      <c r="A90" s="1"/>
      <c r="B90" s="17"/>
      <c r="C90" s="17" t="s">
        <v>795</v>
      </c>
      <c r="D90" s="101" t="s">
        <v>531</v>
      </c>
      <c r="E90" s="1" t="s">
        <v>866</v>
      </c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45">
      <c r="A91" s="1"/>
      <c r="B91" s="17"/>
      <c r="C91" s="82" t="s">
        <v>131</v>
      </c>
      <c r="D91" s="103" t="s">
        <v>531</v>
      </c>
      <c r="E91" s="86" t="s">
        <v>643</v>
      </c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45">
      <c r="A92" s="1"/>
      <c r="B92" s="12"/>
      <c r="C92" s="82" t="s">
        <v>132</v>
      </c>
      <c r="D92" s="103" t="s">
        <v>531</v>
      </c>
      <c r="E92" s="86" t="s">
        <v>644</v>
      </c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45">
      <c r="A93" s="1"/>
      <c r="B93" s="17"/>
      <c r="C93" s="82" t="s">
        <v>92</v>
      </c>
      <c r="D93" s="7" t="s">
        <v>531</v>
      </c>
      <c r="E93" s="1" t="s">
        <v>604</v>
      </c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45">
      <c r="A94" s="1"/>
      <c r="B94" s="17"/>
      <c r="C94" s="82" t="s">
        <v>93</v>
      </c>
      <c r="D94" s="7" t="s">
        <v>531</v>
      </c>
      <c r="E94" s="1" t="s">
        <v>605</v>
      </c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45">
      <c r="A95" s="1"/>
      <c r="B95" s="17"/>
      <c r="C95" s="17" t="s">
        <v>1428</v>
      </c>
      <c r="D95" s="101" t="s">
        <v>531</v>
      </c>
      <c r="E95" s="1" t="s">
        <v>1429</v>
      </c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45">
      <c r="A96" s="1"/>
      <c r="B96" s="17"/>
      <c r="C96" s="82" t="s">
        <v>110</v>
      </c>
      <c r="D96" s="7" t="s">
        <v>531</v>
      </c>
      <c r="E96" s="1" t="s">
        <v>622</v>
      </c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45">
      <c r="A97" s="1"/>
      <c r="B97" s="17"/>
      <c r="C97" s="82" t="s">
        <v>111</v>
      </c>
      <c r="D97" s="7" t="s">
        <v>531</v>
      </c>
      <c r="E97" s="1" t="s">
        <v>623</v>
      </c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45">
      <c r="A98" s="1"/>
      <c r="B98" s="17"/>
      <c r="C98" s="82" t="s">
        <v>89</v>
      </c>
      <c r="D98" s="7" t="s">
        <v>531</v>
      </c>
      <c r="E98" s="1" t="s">
        <v>601</v>
      </c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45">
      <c r="A99" s="1"/>
      <c r="B99" s="22"/>
      <c r="C99" s="83" t="s">
        <v>90</v>
      </c>
      <c r="D99" s="7" t="s">
        <v>531</v>
      </c>
      <c r="E99" s="1" t="s">
        <v>602</v>
      </c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45">
      <c r="A100" s="1"/>
      <c r="B100" s="17"/>
      <c r="C100" s="82" t="s">
        <v>94</v>
      </c>
      <c r="D100" s="7" t="s">
        <v>531</v>
      </c>
      <c r="E100" s="15" t="s">
        <v>606</v>
      </c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45">
      <c r="A101" s="1"/>
      <c r="B101" s="17"/>
      <c r="C101" s="82" t="s">
        <v>95</v>
      </c>
      <c r="D101" s="7" t="s">
        <v>531</v>
      </c>
      <c r="E101" s="16" t="s">
        <v>607</v>
      </c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45">
      <c r="A102" s="1"/>
      <c r="B102" s="17"/>
      <c r="C102" s="17" t="s">
        <v>816</v>
      </c>
      <c r="D102" s="101" t="s">
        <v>531</v>
      </c>
      <c r="E102" s="1" t="s">
        <v>886</v>
      </c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45">
      <c r="A103" s="1"/>
      <c r="B103" s="17"/>
      <c r="C103" s="82" t="s">
        <v>96</v>
      </c>
      <c r="D103" s="7" t="s">
        <v>531</v>
      </c>
      <c r="E103" s="16" t="s">
        <v>608</v>
      </c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45">
      <c r="A104" s="1"/>
      <c r="B104" s="17"/>
      <c r="C104" s="82" t="s">
        <v>97</v>
      </c>
      <c r="D104" s="7" t="s">
        <v>531</v>
      </c>
      <c r="E104" s="16" t="s">
        <v>609</v>
      </c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45">
      <c r="A105" s="1"/>
      <c r="B105" s="17"/>
      <c r="C105" s="17" t="s">
        <v>791</v>
      </c>
      <c r="D105" s="101" t="s">
        <v>531</v>
      </c>
      <c r="E105" s="1" t="s">
        <v>862</v>
      </c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45">
      <c r="A106" s="1"/>
      <c r="B106" s="17"/>
      <c r="C106" s="82" t="s">
        <v>99</v>
      </c>
      <c r="D106" s="7" t="s">
        <v>531</v>
      </c>
      <c r="E106" s="1" t="s">
        <v>611</v>
      </c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45">
      <c r="A107" s="1"/>
      <c r="B107" s="17"/>
      <c r="C107" s="82" t="s">
        <v>100</v>
      </c>
      <c r="D107" s="7" t="s">
        <v>531</v>
      </c>
      <c r="E107" s="1" t="s">
        <v>612</v>
      </c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45">
      <c r="A108" s="1"/>
      <c r="B108" s="110"/>
      <c r="C108" s="112" t="s">
        <v>770</v>
      </c>
      <c r="D108" s="7" t="s">
        <v>531</v>
      </c>
      <c r="E108" s="1" t="s">
        <v>841</v>
      </c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45">
      <c r="A109" s="1"/>
      <c r="B109" s="91"/>
      <c r="C109" s="91" t="s">
        <v>792</v>
      </c>
      <c r="D109" s="101" t="s">
        <v>531</v>
      </c>
      <c r="E109" s="1" t="s">
        <v>863</v>
      </c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45">
      <c r="A110" s="1"/>
      <c r="B110" s="91"/>
      <c r="C110" s="91" t="s">
        <v>785</v>
      </c>
      <c r="D110" s="101" t="s">
        <v>531</v>
      </c>
      <c r="E110" s="1" t="s">
        <v>856</v>
      </c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45">
      <c r="A111" s="1"/>
      <c r="B111" s="91"/>
      <c r="C111" s="87" t="s">
        <v>103</v>
      </c>
      <c r="D111" s="7" t="s">
        <v>531</v>
      </c>
      <c r="E111" s="1" t="s">
        <v>615</v>
      </c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45">
      <c r="A112" s="1"/>
      <c r="B112" s="91"/>
      <c r="C112" s="87" t="s">
        <v>104</v>
      </c>
      <c r="D112" s="7" t="s">
        <v>531</v>
      </c>
      <c r="E112" s="1" t="s">
        <v>616</v>
      </c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45">
      <c r="A113" s="1"/>
      <c r="B113" s="91"/>
      <c r="C113" s="91" t="s">
        <v>1430</v>
      </c>
      <c r="D113" s="101" t="s">
        <v>531</v>
      </c>
      <c r="E113" s="1" t="s">
        <v>1431</v>
      </c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45">
      <c r="A114" s="1"/>
      <c r="B114" s="17"/>
      <c r="C114" s="87" t="s">
        <v>108</v>
      </c>
      <c r="D114" s="102" t="s">
        <v>531</v>
      </c>
      <c r="E114" s="1" t="s">
        <v>620</v>
      </c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45">
      <c r="A115" s="1"/>
      <c r="B115" s="17"/>
      <c r="C115" s="87" t="s">
        <v>98</v>
      </c>
      <c r="D115" s="102" t="s">
        <v>531</v>
      </c>
      <c r="E115" s="1" t="s">
        <v>610</v>
      </c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45">
      <c r="A116" s="1"/>
      <c r="B116" s="17"/>
      <c r="C116" s="91" t="s">
        <v>817</v>
      </c>
      <c r="D116" s="101" t="s">
        <v>531</v>
      </c>
      <c r="E116" s="1" t="s">
        <v>887</v>
      </c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45">
      <c r="A117" s="1"/>
      <c r="B117" s="17"/>
      <c r="C117" s="82" t="s">
        <v>102</v>
      </c>
      <c r="D117" s="7" t="s">
        <v>531</v>
      </c>
      <c r="E117" s="1" t="s">
        <v>614</v>
      </c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45">
      <c r="A118" s="1"/>
      <c r="B118" s="17"/>
      <c r="C118" s="82" t="s">
        <v>101</v>
      </c>
      <c r="D118" s="7" t="s">
        <v>531</v>
      </c>
      <c r="E118" s="1" t="s">
        <v>613</v>
      </c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45">
      <c r="A119" s="1"/>
      <c r="B119" s="17"/>
      <c r="C119" s="17" t="s">
        <v>818</v>
      </c>
      <c r="D119" s="101" t="s">
        <v>531</v>
      </c>
      <c r="E119" s="1" t="s">
        <v>888</v>
      </c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45">
      <c r="A120" s="1"/>
      <c r="B120" s="17"/>
      <c r="C120" s="17" t="s">
        <v>796</v>
      </c>
      <c r="D120" s="101" t="s">
        <v>531</v>
      </c>
      <c r="E120" s="1" t="s">
        <v>867</v>
      </c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45">
      <c r="A121" s="1"/>
      <c r="B121" s="17"/>
      <c r="C121" s="17" t="s">
        <v>1426</v>
      </c>
      <c r="D121" s="101" t="s">
        <v>531</v>
      </c>
      <c r="E121" s="1" t="s">
        <v>1427</v>
      </c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45">
      <c r="A122" s="1"/>
      <c r="B122" s="17"/>
      <c r="C122" s="17" t="s">
        <v>1424</v>
      </c>
      <c r="D122" s="101" t="s">
        <v>531</v>
      </c>
      <c r="E122" s="1" t="s">
        <v>1425</v>
      </c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45">
      <c r="A123" s="1"/>
      <c r="B123" s="17"/>
      <c r="C123" s="82" t="s">
        <v>109</v>
      </c>
      <c r="D123" s="7" t="s">
        <v>531</v>
      </c>
      <c r="E123" s="1" t="s">
        <v>621</v>
      </c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45">
      <c r="A124" s="1"/>
      <c r="B124" s="17"/>
      <c r="C124" s="17" t="s">
        <v>819</v>
      </c>
      <c r="D124" s="101" t="s">
        <v>531</v>
      </c>
      <c r="E124" s="1" t="s">
        <v>889</v>
      </c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45">
      <c r="A125" s="1"/>
      <c r="B125" s="17"/>
      <c r="C125" s="17" t="s">
        <v>797</v>
      </c>
      <c r="D125" s="101" t="s">
        <v>531</v>
      </c>
      <c r="E125" s="1" t="s">
        <v>868</v>
      </c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45">
      <c r="A126" s="1"/>
      <c r="B126" s="17"/>
      <c r="C126" s="82" t="s">
        <v>105</v>
      </c>
      <c r="D126" s="7" t="s">
        <v>531</v>
      </c>
      <c r="E126" s="1" t="s">
        <v>617</v>
      </c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45">
      <c r="A127" s="1"/>
      <c r="B127" s="17"/>
      <c r="C127" s="82" t="s">
        <v>91</v>
      </c>
      <c r="D127" s="7" t="s">
        <v>531</v>
      </c>
      <c r="E127" s="1" t="s">
        <v>603</v>
      </c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45">
      <c r="A128" s="1"/>
      <c r="B128" s="17"/>
      <c r="C128" s="17" t="s">
        <v>786</v>
      </c>
      <c r="D128" s="2" t="s">
        <v>531</v>
      </c>
      <c r="E128" s="1" t="s">
        <v>857</v>
      </c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45">
      <c r="A129" s="1"/>
      <c r="B129" s="17"/>
      <c r="C129" s="82" t="s">
        <v>106</v>
      </c>
      <c r="D129" s="102" t="s">
        <v>531</v>
      </c>
      <c r="E129" s="1" t="s">
        <v>618</v>
      </c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45">
      <c r="A130" s="1"/>
      <c r="B130" s="17"/>
      <c r="C130" s="17" t="s">
        <v>820</v>
      </c>
      <c r="D130" s="2" t="s">
        <v>531</v>
      </c>
      <c r="E130" s="1" t="s">
        <v>890</v>
      </c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45">
      <c r="A131" s="1"/>
      <c r="B131" s="17"/>
      <c r="C131" s="82" t="s">
        <v>107</v>
      </c>
      <c r="D131" s="102" t="s">
        <v>531</v>
      </c>
      <c r="E131" s="1" t="s">
        <v>619</v>
      </c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45">
      <c r="A132" s="1"/>
      <c r="B132" s="20"/>
      <c r="C132" s="82" t="s">
        <v>71</v>
      </c>
      <c r="D132" s="102" t="s">
        <v>531</v>
      </c>
      <c r="E132" s="1" t="s">
        <v>583</v>
      </c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45">
      <c r="A133" s="1"/>
      <c r="B133" s="17"/>
      <c r="C133" s="17" t="s">
        <v>821</v>
      </c>
      <c r="D133" s="2" t="s">
        <v>531</v>
      </c>
      <c r="E133" s="1" t="s">
        <v>891</v>
      </c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45">
      <c r="A134" s="1"/>
      <c r="B134" s="17"/>
      <c r="C134" s="82" t="s">
        <v>75</v>
      </c>
      <c r="D134" s="102" t="s">
        <v>531</v>
      </c>
      <c r="E134" s="1" t="s">
        <v>587</v>
      </c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45">
      <c r="A135" s="1"/>
      <c r="B135" s="17"/>
      <c r="C135" s="17" t="s">
        <v>833</v>
      </c>
      <c r="D135" s="2" t="s">
        <v>531</v>
      </c>
      <c r="E135" s="1" t="s">
        <v>903</v>
      </c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45">
      <c r="A136" s="1"/>
      <c r="B136" s="17"/>
      <c r="C136" s="17" t="s">
        <v>787</v>
      </c>
      <c r="D136" s="2" t="s">
        <v>531</v>
      </c>
      <c r="E136" s="1" t="s">
        <v>858</v>
      </c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45">
      <c r="A137" s="1"/>
      <c r="B137" s="17"/>
      <c r="C137" s="17" t="s">
        <v>829</v>
      </c>
      <c r="D137" s="2" t="s">
        <v>531</v>
      </c>
      <c r="E137" s="1" t="s">
        <v>899</v>
      </c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45">
      <c r="A138" s="1"/>
      <c r="B138" s="17"/>
      <c r="C138" s="82" t="s">
        <v>74</v>
      </c>
      <c r="D138" s="102" t="s">
        <v>531</v>
      </c>
      <c r="E138" s="1" t="s">
        <v>586</v>
      </c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45">
      <c r="A139" s="1"/>
      <c r="B139" s="17"/>
      <c r="C139" s="17" t="s">
        <v>1444</v>
      </c>
      <c r="D139" s="2" t="s">
        <v>531</v>
      </c>
      <c r="E139" s="1" t="s">
        <v>1445</v>
      </c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45">
      <c r="A140" s="1"/>
      <c r="B140" s="17"/>
      <c r="C140" s="17" t="s">
        <v>1442</v>
      </c>
      <c r="D140" s="2" t="s">
        <v>531</v>
      </c>
      <c r="E140" s="1" t="s">
        <v>1443</v>
      </c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45">
      <c r="A141" s="1"/>
      <c r="B141" s="20"/>
      <c r="C141" s="82" t="s">
        <v>72</v>
      </c>
      <c r="D141" s="102" t="s">
        <v>531</v>
      </c>
      <c r="E141" s="1" t="s">
        <v>584</v>
      </c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45">
      <c r="A142" s="1"/>
      <c r="B142" s="17"/>
      <c r="C142" s="82" t="s">
        <v>73</v>
      </c>
      <c r="D142" s="102" t="s">
        <v>531</v>
      </c>
      <c r="E142" s="1" t="s">
        <v>585</v>
      </c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45">
      <c r="A143" s="1"/>
      <c r="B143" s="17"/>
      <c r="C143" s="17" t="s">
        <v>798</v>
      </c>
      <c r="D143" s="2" t="s">
        <v>531</v>
      </c>
      <c r="E143" s="1" t="s">
        <v>869</v>
      </c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45">
      <c r="A144" s="1"/>
      <c r="B144" s="12"/>
      <c r="C144" s="12" t="s">
        <v>775</v>
      </c>
      <c r="D144" s="102" t="s">
        <v>531</v>
      </c>
      <c r="E144" s="1" t="s">
        <v>846</v>
      </c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45">
      <c r="A145" s="1"/>
      <c r="B145" s="17"/>
      <c r="C145" s="17" t="s">
        <v>834</v>
      </c>
      <c r="D145" s="2" t="s">
        <v>531</v>
      </c>
      <c r="E145" s="1" t="s">
        <v>904</v>
      </c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45">
      <c r="A146" s="1"/>
      <c r="B146" s="17"/>
      <c r="C146" s="82" t="s">
        <v>76</v>
      </c>
      <c r="D146" s="102" t="s">
        <v>531</v>
      </c>
      <c r="E146" s="1" t="s">
        <v>588</v>
      </c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45">
      <c r="A147" s="1"/>
      <c r="B147" s="17"/>
      <c r="C147" s="82" t="s">
        <v>77</v>
      </c>
      <c r="D147" s="102" t="s">
        <v>531</v>
      </c>
      <c r="E147" s="1" t="s">
        <v>589</v>
      </c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45">
      <c r="A148" s="1"/>
      <c r="B148" s="17"/>
      <c r="C148" s="82" t="s">
        <v>78</v>
      </c>
      <c r="D148" s="102" t="s">
        <v>531</v>
      </c>
      <c r="E148" s="1" t="s">
        <v>590</v>
      </c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45">
      <c r="A149" s="1"/>
      <c r="B149" s="12"/>
      <c r="C149" s="12" t="s">
        <v>780</v>
      </c>
      <c r="D149" s="102" t="s">
        <v>531</v>
      </c>
      <c r="E149" s="1" t="s">
        <v>851</v>
      </c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45">
      <c r="A150" s="1"/>
      <c r="B150" s="17"/>
      <c r="C150" s="82" t="s">
        <v>116</v>
      </c>
      <c r="D150" s="102" t="s">
        <v>531</v>
      </c>
      <c r="E150" s="1" t="s">
        <v>628</v>
      </c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45">
      <c r="A151" s="1"/>
      <c r="B151" s="17"/>
      <c r="C151" s="82" t="s">
        <v>112</v>
      </c>
      <c r="D151" s="102" t="s">
        <v>531</v>
      </c>
      <c r="E151" s="1" t="s">
        <v>624</v>
      </c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45">
      <c r="A152" s="1"/>
      <c r="B152" s="17"/>
      <c r="C152" s="82" t="s">
        <v>113</v>
      </c>
      <c r="D152" s="102" t="s">
        <v>531</v>
      </c>
      <c r="E152" s="1" t="s">
        <v>625</v>
      </c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45">
      <c r="A153" s="1"/>
      <c r="C153" s="82" t="s">
        <v>114</v>
      </c>
      <c r="D153" s="102" t="s">
        <v>531</v>
      </c>
      <c r="E153" s="1" t="s">
        <v>626</v>
      </c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45">
      <c r="A154" s="1"/>
      <c r="C154" s="82" t="s">
        <v>115</v>
      </c>
      <c r="D154" s="102" t="s">
        <v>531</v>
      </c>
      <c r="E154" s="1" t="s">
        <v>627</v>
      </c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45">
      <c r="A155" s="1"/>
      <c r="B155" s="17"/>
      <c r="C155" s="17" t="s">
        <v>799</v>
      </c>
      <c r="D155" s="2" t="s">
        <v>531</v>
      </c>
      <c r="E155" s="1" t="s">
        <v>870</v>
      </c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45">
      <c r="A156" s="1"/>
      <c r="B156" s="17"/>
      <c r="C156" s="17" t="s">
        <v>800</v>
      </c>
      <c r="D156" s="2" t="s">
        <v>531</v>
      </c>
      <c r="E156" s="1" t="s">
        <v>871</v>
      </c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45">
      <c r="A157" s="1"/>
      <c r="B157" s="12"/>
      <c r="C157" s="12" t="s">
        <v>776</v>
      </c>
      <c r="D157" s="102" t="s">
        <v>531</v>
      </c>
      <c r="E157" s="1" t="s">
        <v>847</v>
      </c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45">
      <c r="A158" s="1"/>
      <c r="B158" s="17"/>
      <c r="C158" s="17" t="s">
        <v>801</v>
      </c>
      <c r="D158" s="2" t="s">
        <v>531</v>
      </c>
      <c r="E158" s="1" t="s">
        <v>872</v>
      </c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45">
      <c r="A159" s="1"/>
      <c r="B159" s="12"/>
      <c r="C159" s="12" t="s">
        <v>777</v>
      </c>
      <c r="D159" s="102" t="s">
        <v>531</v>
      </c>
      <c r="E159" s="1" t="s">
        <v>848</v>
      </c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45">
      <c r="A160" s="1"/>
      <c r="C160" s="82" t="s">
        <v>117</v>
      </c>
      <c r="D160" s="102" t="s">
        <v>531</v>
      </c>
      <c r="E160" s="1" t="s">
        <v>629</v>
      </c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45">
      <c r="A161" s="1"/>
      <c r="C161" s="82" t="s">
        <v>118</v>
      </c>
      <c r="D161" s="102" t="s">
        <v>531</v>
      </c>
      <c r="E161" s="1" t="s">
        <v>630</v>
      </c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45">
      <c r="A162" s="1"/>
      <c r="B162" s="17"/>
      <c r="C162" s="17" t="s">
        <v>822</v>
      </c>
      <c r="D162" s="2" t="s">
        <v>531</v>
      </c>
      <c r="E162" s="1" t="s">
        <v>892</v>
      </c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45">
      <c r="A163" s="1"/>
      <c r="B163" s="17"/>
      <c r="C163" s="82" t="s">
        <v>79</v>
      </c>
      <c r="D163" s="102" t="s">
        <v>531</v>
      </c>
      <c r="E163" s="1" t="s">
        <v>591</v>
      </c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45">
      <c r="A164" s="1"/>
      <c r="B164" s="17"/>
      <c r="C164" s="82" t="s">
        <v>80</v>
      </c>
      <c r="D164" s="102" t="s">
        <v>531</v>
      </c>
      <c r="E164" s="1" t="s">
        <v>592</v>
      </c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45">
      <c r="A165" s="1"/>
      <c r="B165" s="17"/>
      <c r="C165" s="82" t="s">
        <v>81</v>
      </c>
      <c r="D165" s="102" t="s">
        <v>531</v>
      </c>
      <c r="E165" s="1" t="s">
        <v>593</v>
      </c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45">
      <c r="A166" s="1"/>
      <c r="B166" s="17"/>
      <c r="C166" s="82" t="s">
        <v>82</v>
      </c>
      <c r="D166" s="102" t="s">
        <v>531</v>
      </c>
      <c r="E166" s="1" t="s">
        <v>594</v>
      </c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45">
      <c r="A167" s="1"/>
      <c r="B167" s="17"/>
      <c r="C167" s="17" t="s">
        <v>1440</v>
      </c>
      <c r="D167" s="2" t="s">
        <v>531</v>
      </c>
      <c r="E167" s="1" t="s">
        <v>1441</v>
      </c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45">
      <c r="A168" s="1"/>
      <c r="B168" s="17"/>
      <c r="C168" s="17" t="s">
        <v>823</v>
      </c>
      <c r="D168" s="2" t="s">
        <v>531</v>
      </c>
      <c r="E168" s="1" t="s">
        <v>893</v>
      </c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45">
      <c r="A169" s="1"/>
      <c r="B169" s="17"/>
      <c r="C169" s="82" t="s">
        <v>83</v>
      </c>
      <c r="D169" s="102" t="s">
        <v>531</v>
      </c>
      <c r="E169" s="1" t="s">
        <v>595</v>
      </c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45">
      <c r="A170" s="1"/>
      <c r="B170" s="17"/>
      <c r="C170" s="82" t="s">
        <v>84</v>
      </c>
      <c r="D170" s="102" t="s">
        <v>531</v>
      </c>
      <c r="E170" s="1" t="s">
        <v>596</v>
      </c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45">
      <c r="A171" s="1"/>
      <c r="B171" s="17"/>
      <c r="C171" s="17" t="s">
        <v>1438</v>
      </c>
      <c r="D171" s="2" t="s">
        <v>531</v>
      </c>
      <c r="E171" s="1" t="s">
        <v>1439</v>
      </c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45">
      <c r="A172" s="1"/>
      <c r="B172" s="17"/>
      <c r="C172" s="17" t="s">
        <v>1436</v>
      </c>
      <c r="D172" s="2" t="s">
        <v>531</v>
      </c>
      <c r="E172" s="1" t="s">
        <v>1437</v>
      </c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45">
      <c r="A173" s="1"/>
      <c r="B173" s="17"/>
      <c r="C173" s="82" t="s">
        <v>87</v>
      </c>
      <c r="D173" s="102" t="s">
        <v>531</v>
      </c>
      <c r="E173" s="1" t="s">
        <v>599</v>
      </c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45">
      <c r="A174" s="1"/>
      <c r="B174" s="17"/>
      <c r="C174" s="82" t="s">
        <v>88</v>
      </c>
      <c r="D174" s="102" t="s">
        <v>531</v>
      </c>
      <c r="E174" s="1" t="s">
        <v>600</v>
      </c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45">
      <c r="A175" s="1"/>
      <c r="B175" s="17"/>
      <c r="C175" s="17" t="s">
        <v>1434</v>
      </c>
      <c r="D175" s="2" t="s">
        <v>531</v>
      </c>
      <c r="E175" s="1" t="s">
        <v>1435</v>
      </c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45">
      <c r="A176" s="1"/>
      <c r="B176" s="17"/>
      <c r="C176" s="82" t="s">
        <v>85</v>
      </c>
      <c r="D176" s="102" t="s">
        <v>531</v>
      </c>
      <c r="E176" s="1" t="s">
        <v>597</v>
      </c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45">
      <c r="A177" s="1"/>
      <c r="B177" s="17"/>
      <c r="C177" s="82" t="s">
        <v>86</v>
      </c>
      <c r="D177" s="102" t="s">
        <v>531</v>
      </c>
      <c r="E177" s="1" t="s">
        <v>598</v>
      </c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45">
      <c r="A178" s="1"/>
      <c r="B178" s="17"/>
      <c r="C178" s="17" t="s">
        <v>802</v>
      </c>
      <c r="D178" s="2" t="s">
        <v>531</v>
      </c>
      <c r="E178" s="1" t="s">
        <v>873</v>
      </c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45">
      <c r="A179" s="1"/>
      <c r="B179" s="12"/>
      <c r="C179" s="12" t="s">
        <v>778</v>
      </c>
      <c r="D179" s="102" t="s">
        <v>531</v>
      </c>
      <c r="E179" s="1" t="s">
        <v>849</v>
      </c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45">
      <c r="A180" s="1"/>
      <c r="B180" s="17"/>
      <c r="C180" s="17" t="s">
        <v>1432</v>
      </c>
      <c r="D180" s="2" t="s">
        <v>531</v>
      </c>
      <c r="E180" s="1" t="s">
        <v>1433</v>
      </c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45">
      <c r="A181" s="1"/>
      <c r="B181" s="17"/>
      <c r="C181" s="17" t="s">
        <v>782</v>
      </c>
      <c r="D181" s="2" t="s">
        <v>531</v>
      </c>
      <c r="E181" s="1" t="s">
        <v>853</v>
      </c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45">
      <c r="A182" s="1"/>
      <c r="B182" s="17"/>
      <c r="C182" s="17" t="s">
        <v>824</v>
      </c>
      <c r="D182" s="2" t="s">
        <v>531</v>
      </c>
      <c r="E182" s="1" t="s">
        <v>894</v>
      </c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45">
      <c r="A183" s="1"/>
      <c r="C183" s="82" t="s">
        <v>123</v>
      </c>
      <c r="D183" s="102" t="s">
        <v>531</v>
      </c>
      <c r="E183" s="1" t="s">
        <v>635</v>
      </c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45">
      <c r="A184" s="1"/>
      <c r="B184" s="17"/>
      <c r="C184" s="17" t="s">
        <v>825</v>
      </c>
      <c r="D184" s="2" t="s">
        <v>531</v>
      </c>
      <c r="E184" s="1" t="s">
        <v>895</v>
      </c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45">
      <c r="A185" s="1"/>
      <c r="B185" s="17"/>
      <c r="C185" s="17" t="s">
        <v>803</v>
      </c>
      <c r="D185" s="2" t="s">
        <v>531</v>
      </c>
      <c r="E185" s="1" t="s">
        <v>874</v>
      </c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45">
      <c r="A186" s="1"/>
      <c r="B186" s="12"/>
      <c r="C186" s="12" t="s">
        <v>779</v>
      </c>
      <c r="D186" s="102" t="s">
        <v>531</v>
      </c>
      <c r="E186" s="1" t="s">
        <v>850</v>
      </c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45">
      <c r="A187" s="1"/>
      <c r="C187" s="82" t="s">
        <v>124</v>
      </c>
      <c r="D187" s="102" t="s">
        <v>531</v>
      </c>
      <c r="E187" s="11" t="s">
        <v>636</v>
      </c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45">
      <c r="A188" s="1"/>
      <c r="B188" s="11"/>
      <c r="C188" s="97" t="s">
        <v>125</v>
      </c>
      <c r="D188" s="102" t="s">
        <v>531</v>
      </c>
      <c r="E188" s="1" t="s">
        <v>637</v>
      </c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45">
      <c r="A189" s="1"/>
      <c r="B189" s="11"/>
      <c r="C189" s="97" t="s">
        <v>126</v>
      </c>
      <c r="D189" s="102" t="s">
        <v>531</v>
      </c>
      <c r="E189" s="1" t="s">
        <v>638</v>
      </c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45">
      <c r="A190" s="1"/>
      <c r="B190" s="11"/>
      <c r="C190" s="97" t="s">
        <v>127</v>
      </c>
      <c r="D190" s="102" t="s">
        <v>531</v>
      </c>
      <c r="E190" s="1" t="s">
        <v>639</v>
      </c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45">
      <c r="A191" s="1"/>
      <c r="B191" s="11"/>
      <c r="C191" s="97" t="s">
        <v>128</v>
      </c>
      <c r="D191" s="102" t="s">
        <v>531</v>
      </c>
      <c r="E191" s="1" t="s">
        <v>640</v>
      </c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45">
      <c r="A192" s="1"/>
      <c r="B192" s="11"/>
      <c r="C192" s="97" t="s">
        <v>129</v>
      </c>
      <c r="D192" s="102" t="s">
        <v>531</v>
      </c>
      <c r="E192" s="1" t="s">
        <v>641</v>
      </c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45">
      <c r="A193" s="1"/>
      <c r="B193" s="11"/>
      <c r="C193" s="97" t="s">
        <v>130</v>
      </c>
      <c r="D193" s="102" t="s">
        <v>531</v>
      </c>
      <c r="E193" s="1" t="s">
        <v>642</v>
      </c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45">
      <c r="A194" s="1"/>
      <c r="B194" s="17"/>
      <c r="C194" s="17" t="s">
        <v>826</v>
      </c>
      <c r="D194" s="2" t="s">
        <v>531</v>
      </c>
      <c r="E194" s="1" t="s">
        <v>896</v>
      </c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45">
      <c r="A195" s="1"/>
      <c r="B195" s="17"/>
      <c r="C195" s="17"/>
      <c r="D195" s="2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45">
      <c r="A196" s="1"/>
      <c r="B196" s="17"/>
      <c r="C196" s="17"/>
      <c r="D196" s="2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45">
      <c r="A197" s="1"/>
      <c r="B197" s="17"/>
      <c r="C197" s="17"/>
      <c r="D197" s="2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45">
      <c r="A198" s="1"/>
      <c r="B198" s="17"/>
      <c r="C198" s="17"/>
      <c r="D198" s="2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45">
      <c r="A199" s="1"/>
      <c r="B199" s="17"/>
      <c r="C199" s="17"/>
      <c r="D199" s="2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45">
      <c r="A200" s="1"/>
      <c r="B200" s="17"/>
      <c r="C200" s="17"/>
      <c r="D200" s="2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45">
      <c r="A201" s="1"/>
      <c r="B201" s="17"/>
      <c r="C201" s="17"/>
      <c r="D201" s="2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45">
      <c r="A202" s="1"/>
      <c r="B202" s="17"/>
      <c r="C202" s="17"/>
      <c r="D202" s="2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45">
      <c r="A203" s="1"/>
      <c r="B203" s="17"/>
      <c r="C203" s="17"/>
      <c r="D203" s="2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45">
      <c r="A204" s="1"/>
      <c r="B204" s="17"/>
      <c r="C204" s="17"/>
      <c r="D204" s="2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45">
      <c r="A205" s="1"/>
      <c r="B205" s="17"/>
      <c r="C205" s="17"/>
      <c r="D205" s="2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45">
      <c r="A206" s="1"/>
      <c r="B206" s="17"/>
      <c r="C206" s="17"/>
      <c r="D206" s="2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45">
      <c r="A207" s="1"/>
      <c r="B207" s="17"/>
      <c r="C207" s="17"/>
      <c r="D207" s="2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45">
      <c r="A208" s="1"/>
      <c r="B208" s="17"/>
      <c r="C208" s="17"/>
      <c r="D208" s="2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45">
      <c r="A209" s="1"/>
      <c r="B209" s="17"/>
      <c r="C209" s="17"/>
      <c r="D209" s="2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45">
      <c r="A210" s="1"/>
      <c r="B210" s="17"/>
      <c r="C210" s="17"/>
      <c r="D210" s="2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45">
      <c r="A211" s="1"/>
      <c r="B211" s="17"/>
      <c r="C211" s="17"/>
      <c r="D211" s="2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45">
      <c r="A212" s="1"/>
      <c r="B212" s="17"/>
      <c r="C212" s="17"/>
      <c r="D212" s="2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45">
      <c r="A213" s="1"/>
      <c r="B213" s="17"/>
      <c r="C213" s="17"/>
      <c r="D213" s="2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45">
      <c r="A214" s="1"/>
      <c r="B214" s="17"/>
      <c r="C214" s="17"/>
      <c r="D214" s="2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45">
      <c r="A215" s="1"/>
      <c r="B215" s="17"/>
      <c r="C215" s="17"/>
      <c r="D215" s="2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45">
      <c r="A216" s="1"/>
      <c r="B216" s="17"/>
      <c r="C216" s="17"/>
      <c r="D216" s="2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45">
      <c r="A217" s="1"/>
      <c r="B217" s="17"/>
      <c r="C217" s="17"/>
      <c r="D217" s="2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45">
      <c r="A218" s="1"/>
      <c r="B218" s="17"/>
      <c r="C218" s="17"/>
      <c r="D218" s="2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45">
      <c r="A219" s="1"/>
      <c r="B219" s="17"/>
      <c r="C219" s="17"/>
      <c r="D219" s="2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45">
      <c r="A220" s="1"/>
      <c r="B220" s="17"/>
      <c r="C220" s="17"/>
      <c r="D220" s="2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45">
      <c r="A221" s="1"/>
      <c r="B221" s="17"/>
      <c r="C221" s="17"/>
      <c r="D221" s="2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45">
      <c r="A222" s="1"/>
      <c r="B222" s="17"/>
      <c r="C222" s="17"/>
      <c r="D222" s="2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45">
      <c r="A223" s="1"/>
      <c r="B223" s="17"/>
      <c r="C223" s="17"/>
      <c r="D223" s="2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45">
      <c r="A224" s="1"/>
      <c r="B224" s="17"/>
      <c r="C224" s="17"/>
      <c r="D224" s="2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45">
      <c r="A225" s="1"/>
      <c r="B225" s="17"/>
      <c r="C225" s="17"/>
      <c r="D225" s="2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45">
      <c r="A226" s="1"/>
      <c r="B226" s="17"/>
      <c r="C226" s="17"/>
      <c r="D226" s="2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45">
      <c r="A227" s="1"/>
      <c r="B227" s="17"/>
      <c r="C227" s="17"/>
      <c r="D227" s="2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45">
      <c r="A228" s="1"/>
      <c r="B228" s="17"/>
      <c r="C228" s="17"/>
      <c r="D228" s="2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45">
      <c r="A229" s="1"/>
      <c r="B229" s="17"/>
      <c r="C229" s="17"/>
      <c r="D229" s="2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45">
      <c r="A230" s="1"/>
      <c r="B230" s="17"/>
      <c r="C230" s="17"/>
      <c r="D230" s="2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45">
      <c r="A231" s="1"/>
      <c r="B231" s="17"/>
      <c r="C231" s="17"/>
      <c r="D231" s="2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45">
      <c r="A232" s="1"/>
      <c r="B232" s="17"/>
      <c r="C232" s="17"/>
      <c r="D232" s="2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45">
      <c r="A233" s="1"/>
      <c r="B233" s="17"/>
      <c r="C233" s="17"/>
      <c r="D233" s="2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45">
      <c r="A234" s="1"/>
      <c r="B234" s="17"/>
      <c r="C234" s="17"/>
      <c r="D234" s="2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45">
      <c r="A235" s="1"/>
      <c r="B235" s="17"/>
      <c r="C235" s="17"/>
      <c r="D235" s="2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45">
      <c r="A236" s="1"/>
      <c r="B236" s="17"/>
      <c r="C236" s="17"/>
      <c r="D236" s="2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45">
      <c r="A237" s="1"/>
      <c r="B237" s="17"/>
      <c r="C237" s="17"/>
      <c r="D237" s="2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45">
      <c r="A238" s="1"/>
      <c r="B238" s="17"/>
      <c r="C238" s="17"/>
      <c r="D238" s="2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45">
      <c r="A239" s="1"/>
      <c r="B239" s="17"/>
      <c r="C239" s="17"/>
      <c r="D239" s="2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45">
      <c r="A240" s="1"/>
      <c r="B240" s="17"/>
      <c r="C240" s="17"/>
      <c r="D240" s="2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45">
      <c r="A241" s="1"/>
      <c r="B241" s="17"/>
      <c r="C241" s="17"/>
      <c r="D241" s="2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45">
      <c r="A242" s="1"/>
      <c r="B242" s="17"/>
      <c r="C242" s="17"/>
      <c r="D242" s="2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45">
      <c r="A243" s="1"/>
      <c r="B243" s="17"/>
      <c r="C243" s="17"/>
      <c r="D243" s="2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45">
      <c r="A244" s="1"/>
      <c r="B244" s="17"/>
      <c r="C244" s="17"/>
      <c r="D244" s="2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45">
      <c r="A245" s="1"/>
      <c r="B245" s="17"/>
      <c r="C245" s="17"/>
      <c r="D245" s="2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45">
      <c r="A246" s="1"/>
      <c r="B246" s="17"/>
      <c r="C246" s="17"/>
      <c r="D246" s="2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45">
      <c r="A247" s="1"/>
      <c r="B247" s="17"/>
      <c r="C247" s="17"/>
      <c r="D247" s="2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45">
      <c r="A248" s="1"/>
      <c r="B248" s="17"/>
      <c r="C248" s="17"/>
      <c r="D248" s="2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45">
      <c r="A249" s="1"/>
      <c r="B249" s="17"/>
      <c r="C249" s="17"/>
      <c r="D249" s="2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45">
      <c r="A250" s="1"/>
      <c r="B250" s="17"/>
      <c r="C250" s="17"/>
      <c r="D250" s="2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45">
      <c r="A251" s="1"/>
      <c r="B251" s="17"/>
      <c r="C251" s="17"/>
      <c r="D251" s="2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45">
      <c r="A252" s="1"/>
      <c r="B252" s="17"/>
      <c r="C252" s="17"/>
      <c r="D252" s="2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45">
      <c r="A253" s="1"/>
      <c r="B253" s="17"/>
      <c r="C253" s="17"/>
      <c r="D253" s="2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45">
      <c r="A254" s="1"/>
      <c r="B254" s="17"/>
      <c r="C254" s="17"/>
      <c r="D254" s="2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45">
      <c r="A255" s="1"/>
      <c r="B255" s="17"/>
      <c r="C255" s="17"/>
      <c r="D255" s="2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45">
      <c r="A256" s="1"/>
      <c r="B256" s="17"/>
      <c r="C256" s="17"/>
      <c r="D256" s="2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45">
      <c r="A257" s="1"/>
      <c r="B257" s="17"/>
      <c r="C257" s="17"/>
      <c r="D257" s="2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45">
      <c r="A258" s="1"/>
      <c r="B258" s="17"/>
      <c r="C258" s="17"/>
      <c r="D258" s="2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45">
      <c r="A259" s="1"/>
      <c r="B259" s="17"/>
      <c r="C259" s="17"/>
      <c r="D259" s="2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45">
      <c r="A260" s="1"/>
      <c r="B260" s="17"/>
      <c r="C260" s="17"/>
      <c r="D260" s="2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45">
      <c r="A261" s="1"/>
      <c r="B261" s="17"/>
      <c r="C261" s="17"/>
      <c r="D261" s="2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45">
      <c r="A262" s="1"/>
      <c r="B262" s="17"/>
      <c r="C262" s="17"/>
      <c r="D262" s="2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45">
      <c r="A263" s="1"/>
      <c r="B263" s="17"/>
      <c r="C263" s="17"/>
      <c r="D263" s="2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45">
      <c r="A264" s="1"/>
      <c r="B264" s="17"/>
      <c r="C264" s="17"/>
      <c r="D264" s="2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45">
      <c r="A265" s="1"/>
      <c r="B265" s="17"/>
      <c r="C265" s="17"/>
      <c r="D265" s="2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45">
      <c r="A266" s="1"/>
      <c r="B266" s="17"/>
      <c r="C266" s="17"/>
      <c r="D266" s="2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45">
      <c r="A267" s="1"/>
      <c r="B267" s="17"/>
      <c r="C267" s="17"/>
      <c r="D267" s="2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45">
      <c r="A268" s="1"/>
      <c r="B268" s="17"/>
      <c r="C268" s="17"/>
      <c r="D268" s="2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45">
      <c r="A269" s="1"/>
      <c r="B269" s="17"/>
      <c r="C269" s="17"/>
      <c r="D269" s="2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45">
      <c r="A270" s="1"/>
      <c r="B270" s="17"/>
      <c r="C270" s="17"/>
      <c r="D270" s="2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45">
      <c r="A271" s="1"/>
      <c r="B271" s="17"/>
      <c r="C271" s="17"/>
      <c r="D271" s="2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45">
      <c r="A272" s="1"/>
      <c r="B272" s="17"/>
      <c r="C272" s="17"/>
      <c r="D272" s="2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45">
      <c r="A273" s="1"/>
      <c r="B273" s="17"/>
      <c r="C273" s="17"/>
      <c r="D273" s="2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45">
      <c r="A274" s="1"/>
      <c r="B274" s="17"/>
      <c r="C274" s="17"/>
      <c r="D274" s="2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45">
      <c r="A275" s="1"/>
      <c r="B275" s="17"/>
      <c r="C275" s="17"/>
      <c r="D275" s="2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45">
      <c r="A276" s="1"/>
      <c r="B276" s="17"/>
      <c r="C276" s="17"/>
      <c r="D276" s="2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45">
      <c r="A277" s="1"/>
      <c r="B277" s="17"/>
      <c r="C277" s="17"/>
      <c r="D277" s="2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45">
      <c r="A278" s="1"/>
      <c r="B278" s="17"/>
      <c r="C278" s="17"/>
      <c r="D278" s="2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45">
      <c r="A279" s="1"/>
      <c r="B279" s="17"/>
      <c r="C279" s="17"/>
      <c r="D279" s="2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45">
      <c r="A280" s="1"/>
      <c r="B280" s="17"/>
      <c r="C280" s="17"/>
      <c r="D280" s="2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45">
      <c r="A281" s="1"/>
      <c r="B281" s="17"/>
      <c r="C281" s="17"/>
      <c r="D281" s="2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45">
      <c r="A282" s="1"/>
      <c r="B282" s="17"/>
      <c r="C282" s="17"/>
      <c r="D282" s="2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45">
      <c r="A283" s="1"/>
      <c r="B283" s="17"/>
      <c r="C283" s="17"/>
      <c r="D283" s="2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45">
      <c r="A284" s="1"/>
      <c r="B284" s="17"/>
      <c r="C284" s="17"/>
      <c r="D284" s="2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45">
      <c r="A285" s="1"/>
      <c r="B285" s="17"/>
      <c r="C285" s="17"/>
      <c r="D285" s="2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45">
      <c r="A286" s="1"/>
      <c r="B286" s="17"/>
      <c r="C286" s="17"/>
      <c r="D286" s="2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45">
      <c r="A287" s="1"/>
      <c r="B287" s="17"/>
      <c r="C287" s="17"/>
      <c r="D287" s="2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45">
      <c r="A288" s="1"/>
      <c r="B288" s="17"/>
      <c r="C288" s="17"/>
      <c r="D288" s="2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45">
      <c r="A289" s="1"/>
      <c r="B289" s="17"/>
      <c r="C289" s="17"/>
      <c r="D289" s="2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45">
      <c r="A290" s="1"/>
      <c r="B290" s="17"/>
      <c r="C290" s="17"/>
      <c r="D290" s="2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45">
      <c r="A291" s="1"/>
      <c r="B291" s="17"/>
      <c r="C291" s="17"/>
      <c r="D291" s="2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45">
      <c r="A292" s="1"/>
      <c r="B292" s="17"/>
      <c r="C292" s="17"/>
      <c r="D292" s="2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45">
      <c r="A293" s="1"/>
      <c r="B293" s="17"/>
      <c r="C293" s="17"/>
      <c r="D293" s="2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45">
      <c r="A294" s="1"/>
      <c r="B294" s="17"/>
      <c r="C294" s="17"/>
      <c r="D294" s="2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45">
      <c r="A295" s="1"/>
      <c r="B295" s="17"/>
      <c r="C295" s="17"/>
      <c r="D295" s="2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45">
      <c r="A296" s="1"/>
      <c r="B296" s="17"/>
      <c r="C296" s="17"/>
      <c r="D296" s="2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45">
      <c r="A297" s="1"/>
      <c r="B297" s="17"/>
      <c r="C297" s="17"/>
      <c r="D297" s="2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45">
      <c r="A298" s="1"/>
      <c r="B298" s="17"/>
      <c r="C298" s="17"/>
      <c r="D298" s="2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45">
      <c r="A299" s="1"/>
      <c r="B299" s="17"/>
      <c r="C299" s="17"/>
      <c r="D299" s="2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45">
      <c r="A300" s="1"/>
      <c r="B300" s="17"/>
      <c r="C300" s="17"/>
      <c r="D300" s="2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45">
      <c r="A301" s="1"/>
      <c r="B301" s="17"/>
      <c r="C301" s="17"/>
      <c r="D301" s="2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45">
      <c r="A302" s="1"/>
      <c r="B302" s="17"/>
      <c r="C302" s="17"/>
      <c r="D302" s="2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45">
      <c r="A303" s="1"/>
      <c r="B303" s="17"/>
      <c r="C303" s="17"/>
      <c r="D303" s="2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45">
      <c r="A304" s="1"/>
      <c r="B304" s="17"/>
      <c r="C304" s="17"/>
      <c r="D304" s="2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45">
      <c r="A305" s="1"/>
      <c r="B305" s="17"/>
      <c r="C305" s="17"/>
      <c r="D305" s="2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45">
      <c r="A306" s="1"/>
      <c r="B306" s="17"/>
      <c r="C306" s="17"/>
      <c r="D306" s="2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45">
      <c r="A307" s="1"/>
      <c r="B307" s="17"/>
      <c r="C307" s="17"/>
      <c r="D307" s="2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45">
      <c r="A308" s="1"/>
      <c r="B308" s="17"/>
      <c r="C308" s="17"/>
      <c r="D308" s="2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45">
      <c r="A309" s="1"/>
      <c r="B309" s="17"/>
      <c r="C309" s="17"/>
      <c r="D309" s="2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45">
      <c r="A310" s="1"/>
      <c r="B310" s="17"/>
      <c r="C310" s="17"/>
      <c r="D310" s="2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45">
      <c r="A311" s="1"/>
      <c r="B311" s="17"/>
      <c r="C311" s="17"/>
      <c r="D311" s="2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45">
      <c r="A312" s="1"/>
      <c r="B312" s="17"/>
      <c r="C312" s="17"/>
      <c r="D312" s="2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45">
      <c r="A313" s="1"/>
      <c r="B313" s="17"/>
      <c r="C313" s="17"/>
      <c r="D313" s="2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45">
      <c r="A314" s="1"/>
      <c r="B314" s="17"/>
      <c r="C314" s="17"/>
      <c r="D314" s="2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45">
      <c r="A315" s="1"/>
      <c r="B315" s="17"/>
      <c r="C315" s="17"/>
      <c r="D315" s="2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45">
      <c r="A316" s="1"/>
      <c r="B316" s="17"/>
      <c r="C316" s="17"/>
      <c r="D316" s="2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45">
      <c r="A317" s="1"/>
      <c r="B317" s="17"/>
      <c r="C317" s="17"/>
      <c r="D317" s="2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45">
      <c r="A318" s="1"/>
      <c r="B318" s="17"/>
      <c r="C318" s="17"/>
      <c r="D318" s="2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45">
      <c r="A319" s="1"/>
      <c r="B319" s="17"/>
      <c r="C319" s="17"/>
      <c r="D319" s="2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45">
      <c r="A320" s="1"/>
      <c r="B320" s="17"/>
      <c r="C320" s="17"/>
      <c r="D320" s="2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45">
      <c r="A321" s="1"/>
      <c r="B321" s="17"/>
      <c r="C321" s="17"/>
      <c r="D321" s="2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45">
      <c r="A322" s="1"/>
      <c r="B322" s="17"/>
      <c r="C322" s="17"/>
      <c r="D322" s="2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45">
      <c r="A323" s="1"/>
      <c r="B323" s="17"/>
      <c r="C323" s="17"/>
      <c r="D323" s="2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45">
      <c r="A324" s="1"/>
      <c r="B324" s="17"/>
      <c r="C324" s="17"/>
      <c r="D324" s="2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45">
      <c r="A325" s="1"/>
      <c r="B325" s="17"/>
      <c r="C325" s="17"/>
      <c r="D325" s="2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45">
      <c r="A326" s="1"/>
      <c r="B326" s="17"/>
      <c r="C326" s="17"/>
      <c r="D326" s="2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45">
      <c r="A327" s="1"/>
      <c r="B327" s="17"/>
      <c r="C327" s="17"/>
      <c r="D327" s="2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45">
      <c r="A328" s="1"/>
      <c r="B328" s="17"/>
      <c r="C328" s="17"/>
      <c r="D328" s="2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45">
      <c r="A329" s="1"/>
      <c r="B329" s="17"/>
      <c r="C329" s="17"/>
      <c r="D329" s="2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45">
      <c r="A330" s="1"/>
      <c r="B330" s="17"/>
      <c r="C330" s="17"/>
      <c r="D330" s="2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45">
      <c r="A331" s="1"/>
      <c r="B331" s="17"/>
      <c r="C331" s="17"/>
      <c r="D331" s="2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45">
      <c r="A332" s="1"/>
      <c r="B332" s="17"/>
      <c r="C332" s="17"/>
      <c r="D332" s="2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45">
      <c r="A333" s="1"/>
      <c r="B333" s="17"/>
      <c r="C333" s="17"/>
      <c r="D333" s="2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45">
      <c r="A334" s="1"/>
      <c r="B334" s="17"/>
      <c r="C334" s="17"/>
      <c r="D334" s="2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45">
      <c r="A335" s="1"/>
      <c r="B335" s="17"/>
      <c r="C335" s="17"/>
      <c r="D335" s="2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45">
      <c r="A336" s="1"/>
      <c r="B336" s="17"/>
      <c r="C336" s="17"/>
      <c r="D336" s="2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45">
      <c r="A337" s="1"/>
      <c r="B337" s="17"/>
      <c r="C337" s="17"/>
      <c r="D337" s="2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45">
      <c r="A338" s="1"/>
      <c r="B338" s="17"/>
      <c r="C338" s="17"/>
      <c r="D338" s="2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45">
      <c r="A339" s="1"/>
      <c r="B339" s="17"/>
      <c r="C339" s="17"/>
      <c r="D339" s="2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45">
      <c r="A340" s="1"/>
      <c r="B340" s="17"/>
      <c r="C340" s="17"/>
      <c r="D340" s="2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45">
      <c r="A341" s="1"/>
      <c r="B341" s="17"/>
      <c r="C341" s="17"/>
      <c r="D341" s="2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45">
      <c r="A342" s="1"/>
      <c r="B342" s="17"/>
      <c r="C342" s="17"/>
      <c r="D342" s="2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45">
      <c r="A343" s="1"/>
      <c r="B343" s="17"/>
      <c r="C343" s="17"/>
      <c r="D343" s="2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45">
      <c r="A344" s="1"/>
      <c r="B344" s="17"/>
      <c r="C344" s="17"/>
      <c r="D344" s="2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45">
      <c r="A345" s="1"/>
      <c r="B345" s="17"/>
      <c r="C345" s="17"/>
      <c r="D345" s="2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45">
      <c r="A346" s="1"/>
      <c r="B346" s="17"/>
      <c r="C346" s="17"/>
      <c r="D346" s="2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45">
      <c r="A347" s="1"/>
      <c r="B347" s="17"/>
      <c r="C347" s="17"/>
      <c r="D347" s="2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45">
      <c r="A348" s="1"/>
      <c r="B348" s="17"/>
      <c r="C348" s="17"/>
      <c r="D348" s="2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45">
      <c r="A349" s="1"/>
      <c r="B349" s="17"/>
      <c r="C349" s="17"/>
      <c r="D349" s="2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45">
      <c r="A350" s="1"/>
      <c r="B350" s="17"/>
      <c r="C350" s="17"/>
      <c r="D350" s="2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45">
      <c r="A351" s="1"/>
      <c r="B351" s="17"/>
      <c r="C351" s="17"/>
      <c r="D351" s="2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45">
      <c r="A352" s="1"/>
      <c r="B352" s="17"/>
      <c r="C352" s="17"/>
      <c r="D352" s="2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45">
      <c r="A353" s="1"/>
      <c r="B353" s="17"/>
      <c r="C353" s="17"/>
      <c r="D353" s="2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45">
      <c r="A354" s="1"/>
      <c r="B354" s="17"/>
      <c r="C354" s="17"/>
      <c r="D354" s="2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45">
      <c r="A355" s="1"/>
      <c r="B355" s="17"/>
      <c r="C355" s="17"/>
      <c r="D355" s="2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45">
      <c r="A356" s="1"/>
      <c r="B356" s="17"/>
      <c r="C356" s="17"/>
      <c r="D356" s="2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45">
      <c r="A357" s="1"/>
      <c r="B357" s="17"/>
      <c r="C357" s="17"/>
      <c r="D357" s="2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45">
      <c r="A358" s="1"/>
      <c r="B358" s="17"/>
      <c r="C358" s="17"/>
      <c r="D358" s="2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45">
      <c r="A359" s="1"/>
      <c r="B359" s="17"/>
      <c r="C359" s="17"/>
      <c r="D359" s="2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45">
      <c r="A360" s="1"/>
      <c r="B360" s="17"/>
      <c r="C360" s="17"/>
      <c r="D360" s="2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45">
      <c r="A361" s="1"/>
      <c r="B361" s="17"/>
      <c r="C361" s="17"/>
      <c r="D361" s="2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45">
      <c r="A362" s="1"/>
      <c r="B362" s="17"/>
      <c r="C362" s="17"/>
      <c r="D362" s="2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45">
      <c r="A363" s="1"/>
      <c r="B363" s="17"/>
      <c r="C363" s="17"/>
      <c r="D363" s="2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45">
      <c r="A364" s="1"/>
      <c r="B364" s="17"/>
      <c r="C364" s="17"/>
      <c r="D364" s="2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45">
      <c r="A365" s="1"/>
      <c r="B365" s="17"/>
      <c r="C365" s="17"/>
      <c r="D365" s="2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45">
      <c r="A366" s="1"/>
      <c r="B366" s="17"/>
      <c r="C366" s="17"/>
      <c r="D366" s="2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45">
      <c r="A367" s="1"/>
      <c r="B367" s="17"/>
      <c r="C367" s="17"/>
      <c r="D367" s="2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45">
      <c r="A368" s="1"/>
      <c r="B368" s="17"/>
      <c r="C368" s="17"/>
      <c r="D368" s="2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45">
      <c r="A369" s="1"/>
      <c r="B369" s="17"/>
      <c r="C369" s="17"/>
      <c r="D369" s="2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45">
      <c r="A370" s="1"/>
      <c r="B370" s="17"/>
      <c r="C370" s="17"/>
      <c r="D370" s="2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45">
      <c r="A371" s="1"/>
      <c r="B371" s="17"/>
      <c r="C371" s="17"/>
      <c r="D371" s="2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45">
      <c r="A372" s="1"/>
      <c r="B372" s="17"/>
      <c r="C372" s="17"/>
      <c r="D372" s="2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45">
      <c r="A373" s="1"/>
      <c r="B373" s="17"/>
      <c r="C373" s="17"/>
      <c r="D373" s="2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45">
      <c r="A374" s="1"/>
      <c r="B374" s="17"/>
      <c r="C374" s="17"/>
      <c r="D374" s="2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45">
      <c r="A375" s="1"/>
      <c r="B375" s="17"/>
      <c r="C375" s="17"/>
      <c r="D375" s="2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45">
      <c r="A376" s="1"/>
      <c r="B376" s="17"/>
      <c r="C376" s="17"/>
      <c r="D376" s="2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45">
      <c r="A377" s="1"/>
      <c r="B377" s="17"/>
      <c r="C377" s="17"/>
      <c r="D377" s="2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45">
      <c r="A378" s="1"/>
      <c r="B378" s="17"/>
      <c r="C378" s="17"/>
      <c r="D378" s="2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45">
      <c r="A379" s="1"/>
      <c r="B379" s="17"/>
      <c r="C379" s="17"/>
      <c r="D379" s="2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45">
      <c r="A380" s="1"/>
      <c r="B380" s="17"/>
      <c r="C380" s="17"/>
      <c r="D380" s="2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45">
      <c r="A381" s="1"/>
      <c r="B381" s="17"/>
      <c r="C381" s="17"/>
      <c r="D381" s="2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45">
      <c r="A382" s="1"/>
      <c r="B382" s="17"/>
      <c r="C382" s="17"/>
      <c r="D382" s="2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45">
      <c r="A383" s="1"/>
      <c r="B383" s="17"/>
      <c r="C383" s="17"/>
      <c r="D383" s="2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45">
      <c r="A384" s="1"/>
      <c r="B384" s="17"/>
      <c r="C384" s="17"/>
      <c r="D384" s="2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45">
      <c r="A385" s="1"/>
      <c r="B385" s="17"/>
      <c r="C385" s="17"/>
      <c r="D385" s="2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45">
      <c r="A386" s="1"/>
      <c r="B386" s="17"/>
      <c r="C386" s="17"/>
      <c r="D386" s="2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45">
      <c r="A387" s="1"/>
      <c r="B387" s="17"/>
      <c r="C387" s="17"/>
      <c r="D387" s="2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45">
      <c r="A388" s="1"/>
      <c r="B388" s="17"/>
      <c r="C388" s="17"/>
      <c r="D388" s="2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45">
      <c r="A389" s="1"/>
      <c r="B389" s="17"/>
      <c r="C389" s="17"/>
      <c r="D389" s="2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45">
      <c r="A390" s="1"/>
      <c r="B390" s="17"/>
      <c r="C390" s="17"/>
      <c r="D390" s="2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45">
      <c r="A391" s="1"/>
      <c r="B391" s="17"/>
      <c r="C391" s="17"/>
      <c r="D391" s="2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45">
      <c r="A392" s="1"/>
      <c r="B392" s="17"/>
      <c r="C392" s="17"/>
      <c r="D392" s="2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45">
      <c r="A393" s="1"/>
      <c r="B393" s="17"/>
      <c r="C393" s="17"/>
      <c r="D393" s="2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45">
      <c r="A394" s="1"/>
      <c r="B394" s="17"/>
      <c r="C394" s="17"/>
      <c r="D394" s="2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45">
      <c r="A395" s="1"/>
      <c r="B395" s="17"/>
      <c r="C395" s="17"/>
      <c r="D395" s="2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45">
      <c r="A396" s="1"/>
      <c r="B396" s="17"/>
      <c r="C396" s="17"/>
      <c r="D396" s="2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45">
      <c r="A397" s="1"/>
      <c r="B397" s="17"/>
      <c r="C397" s="17"/>
      <c r="D397" s="2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45">
      <c r="A398" s="1"/>
      <c r="B398" s="17"/>
      <c r="C398" s="17"/>
      <c r="D398" s="2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45">
      <c r="A399" s="1"/>
      <c r="B399" s="17"/>
      <c r="C399" s="17"/>
      <c r="D399" s="2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45">
      <c r="A400" s="1"/>
      <c r="B400" s="17"/>
      <c r="C400" s="17"/>
      <c r="D400" s="2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45">
      <c r="A401" s="1"/>
      <c r="B401" s="17"/>
      <c r="C401" s="17"/>
      <c r="D401" s="2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45">
      <c r="A402" s="1"/>
      <c r="B402" s="17"/>
      <c r="C402" s="17"/>
      <c r="D402" s="2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45">
      <c r="A403" s="1"/>
      <c r="B403" s="17"/>
      <c r="C403" s="17"/>
      <c r="D403" s="2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45">
      <c r="A404" s="1"/>
      <c r="B404" s="17"/>
      <c r="C404" s="17"/>
      <c r="D404" s="2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45">
      <c r="A405" s="1"/>
      <c r="B405" s="17"/>
      <c r="C405" s="17"/>
      <c r="D405" s="2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45">
      <c r="A406" s="1"/>
      <c r="B406" s="17"/>
      <c r="C406" s="17"/>
      <c r="D406" s="2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45">
      <c r="A407" s="1"/>
      <c r="B407" s="17"/>
      <c r="C407" s="17"/>
      <c r="D407" s="2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45">
      <c r="A408" s="1"/>
      <c r="B408" s="17"/>
      <c r="C408" s="17"/>
      <c r="D408" s="2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45">
      <c r="A409" s="1"/>
      <c r="B409" s="17"/>
      <c r="C409" s="17"/>
      <c r="D409" s="2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45">
      <c r="A410" s="1"/>
      <c r="B410" s="17"/>
      <c r="C410" s="17"/>
      <c r="D410" s="2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45">
      <c r="A411" s="1"/>
      <c r="B411" s="17"/>
      <c r="C411" s="17"/>
      <c r="D411" s="2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45">
      <c r="A412" s="1"/>
      <c r="B412" s="17"/>
      <c r="C412" s="17"/>
      <c r="D412" s="2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45">
      <c r="A413" s="1"/>
      <c r="B413" s="17"/>
      <c r="C413" s="17"/>
      <c r="D413" s="2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45">
      <c r="A414" s="1"/>
      <c r="B414" s="17"/>
      <c r="C414" s="17"/>
      <c r="D414" s="2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45">
      <c r="A415" s="1"/>
      <c r="B415" s="17"/>
      <c r="C415" s="17"/>
      <c r="D415" s="2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45">
      <c r="A416" s="1"/>
      <c r="B416" s="17"/>
      <c r="C416" s="17"/>
      <c r="D416" s="2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45">
      <c r="A417" s="1"/>
      <c r="B417" s="17"/>
      <c r="C417" s="17"/>
      <c r="D417" s="2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45">
      <c r="A418" s="1"/>
      <c r="B418" s="17"/>
      <c r="C418" s="17"/>
      <c r="D418" s="2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45">
      <c r="A419" s="1"/>
      <c r="B419" s="17"/>
      <c r="C419" s="17"/>
      <c r="D419" s="2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45">
      <c r="A420" s="1"/>
      <c r="B420" s="17"/>
      <c r="C420" s="17"/>
      <c r="D420" s="2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45">
      <c r="A421" s="1"/>
      <c r="B421" s="17"/>
      <c r="C421" s="17"/>
      <c r="D421" s="2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45">
      <c r="A422" s="1"/>
      <c r="B422" s="17"/>
      <c r="C422" s="17"/>
      <c r="D422" s="2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45">
      <c r="A423" s="1"/>
      <c r="B423" s="17"/>
      <c r="C423" s="17"/>
      <c r="D423" s="2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45">
      <c r="A424" s="1"/>
      <c r="B424" s="17"/>
      <c r="C424" s="17"/>
      <c r="D424" s="2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45">
      <c r="A425" s="1"/>
      <c r="B425" s="17"/>
      <c r="C425" s="17"/>
      <c r="D425" s="2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45">
      <c r="A426" s="1"/>
      <c r="B426" s="17"/>
      <c r="C426" s="17"/>
      <c r="D426" s="2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45">
      <c r="A427" s="1"/>
      <c r="B427" s="17"/>
      <c r="C427" s="17"/>
      <c r="D427" s="2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45">
      <c r="A428" s="1"/>
      <c r="B428" s="17"/>
      <c r="C428" s="17"/>
      <c r="D428" s="2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45">
      <c r="A429" s="1"/>
      <c r="B429" s="17"/>
      <c r="C429" s="17"/>
      <c r="D429" s="2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45">
      <c r="A430" s="1"/>
      <c r="B430" s="17"/>
      <c r="C430" s="17"/>
      <c r="D430" s="2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45">
      <c r="A431" s="1"/>
      <c r="B431" s="17"/>
      <c r="C431" s="17"/>
      <c r="D431" s="2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45">
      <c r="A432" s="1"/>
      <c r="B432" s="17"/>
      <c r="C432" s="17"/>
      <c r="D432" s="2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45">
      <c r="A433" s="1"/>
      <c r="B433" s="17"/>
      <c r="C433" s="17"/>
      <c r="D433" s="2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45">
      <c r="A434" s="1"/>
      <c r="B434" s="17"/>
      <c r="C434" s="17"/>
      <c r="D434" s="2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45">
      <c r="A435" s="1"/>
      <c r="B435" s="17"/>
      <c r="C435" s="17"/>
      <c r="D435" s="2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45">
      <c r="A436" s="1"/>
      <c r="B436" s="17"/>
      <c r="C436" s="17"/>
      <c r="D436" s="2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45">
      <c r="A437" s="1"/>
      <c r="B437" s="17"/>
      <c r="C437" s="17"/>
      <c r="D437" s="2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45">
      <c r="A438" s="1"/>
      <c r="B438" s="17"/>
      <c r="C438" s="17"/>
      <c r="D438" s="2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45">
      <c r="A439" s="1"/>
      <c r="B439" s="17"/>
      <c r="C439" s="17"/>
      <c r="D439" s="2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45">
      <c r="A440" s="1"/>
      <c r="B440" s="17"/>
      <c r="C440" s="17"/>
      <c r="D440" s="2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45">
      <c r="A441" s="1"/>
      <c r="B441" s="17"/>
      <c r="C441" s="17"/>
      <c r="D441" s="2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45">
      <c r="A442" s="1"/>
      <c r="B442" s="17"/>
      <c r="C442" s="17"/>
      <c r="D442" s="2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45">
      <c r="A443" s="1"/>
      <c r="B443" s="17"/>
      <c r="C443" s="17"/>
      <c r="D443" s="2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45">
      <c r="A444" s="1"/>
      <c r="B444" s="17"/>
      <c r="C444" s="17"/>
      <c r="D444" s="2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45">
      <c r="A445" s="1"/>
      <c r="B445" s="17"/>
      <c r="C445" s="17"/>
      <c r="D445" s="2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45">
      <c r="A446" s="1"/>
      <c r="B446" s="17"/>
      <c r="C446" s="17"/>
      <c r="D446" s="2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45">
      <c r="A447" s="1"/>
      <c r="B447" s="17"/>
      <c r="C447" s="17"/>
      <c r="D447" s="2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45">
      <c r="A448" s="1"/>
      <c r="B448" s="17"/>
      <c r="C448" s="17"/>
      <c r="D448" s="2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45">
      <c r="A449" s="1"/>
      <c r="B449" s="17"/>
      <c r="C449" s="17"/>
      <c r="D449" s="2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45">
      <c r="A450" s="1"/>
      <c r="B450" s="17"/>
      <c r="C450" s="17"/>
      <c r="D450" s="2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45">
      <c r="A451" s="1"/>
      <c r="B451" s="17"/>
      <c r="C451" s="17"/>
      <c r="D451" s="2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45">
      <c r="A452" s="1"/>
      <c r="B452" s="17"/>
      <c r="C452" s="17"/>
      <c r="D452" s="2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45">
      <c r="A453" s="1"/>
      <c r="B453" s="17"/>
      <c r="C453" s="17"/>
      <c r="D453" s="2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45">
      <c r="A454" s="1"/>
      <c r="B454" s="17"/>
      <c r="C454" s="17"/>
      <c r="D454" s="2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45">
      <c r="A455" s="1"/>
      <c r="B455" s="17"/>
      <c r="C455" s="17"/>
      <c r="D455" s="2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45">
      <c r="A456" s="1"/>
      <c r="B456" s="17"/>
      <c r="C456" s="17"/>
      <c r="D456" s="2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45">
      <c r="A457" s="1"/>
      <c r="B457" s="17"/>
      <c r="C457" s="17"/>
      <c r="D457" s="2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45">
      <c r="A458" s="1"/>
      <c r="B458" s="17"/>
      <c r="C458" s="17"/>
      <c r="D458" s="2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45">
      <c r="A459" s="1"/>
      <c r="B459" s="17"/>
      <c r="C459" s="17"/>
      <c r="D459" s="2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45">
      <c r="A460" s="1"/>
      <c r="B460" s="17"/>
      <c r="C460" s="17"/>
      <c r="D460" s="2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45">
      <c r="A461" s="1"/>
      <c r="B461" s="17"/>
      <c r="C461" s="17"/>
      <c r="D461" s="2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45">
      <c r="A462" s="1"/>
      <c r="B462" s="17"/>
      <c r="C462" s="17"/>
      <c r="D462" s="2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45">
      <c r="A463" s="1"/>
      <c r="B463" s="17"/>
      <c r="C463" s="17"/>
      <c r="D463" s="2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45">
      <c r="A464" s="1"/>
      <c r="B464" s="17"/>
      <c r="C464" s="17"/>
      <c r="D464" s="2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45">
      <c r="A465" s="1"/>
      <c r="B465" s="17"/>
      <c r="C465" s="17"/>
      <c r="D465" s="2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45">
      <c r="A466" s="1"/>
      <c r="B466" s="17"/>
      <c r="C466" s="17"/>
      <c r="D466" s="2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45">
      <c r="A467" s="1"/>
      <c r="B467" s="17"/>
      <c r="C467" s="17"/>
      <c r="D467" s="2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45">
      <c r="A468" s="1"/>
      <c r="B468" s="17"/>
      <c r="C468" s="17"/>
      <c r="D468" s="2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45">
      <c r="A469" s="1"/>
      <c r="B469" s="17"/>
      <c r="C469" s="17"/>
      <c r="D469" s="2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45">
      <c r="A470" s="1"/>
      <c r="B470" s="17"/>
      <c r="C470" s="17"/>
      <c r="D470" s="2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45">
      <c r="A471" s="1"/>
      <c r="B471" s="17"/>
      <c r="C471" s="17"/>
      <c r="D471" s="2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45">
      <c r="A472" s="1"/>
      <c r="B472" s="17"/>
      <c r="C472" s="17"/>
      <c r="D472" s="2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45">
      <c r="A473" s="1"/>
      <c r="B473" s="17"/>
      <c r="C473" s="17"/>
      <c r="D473" s="2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45">
      <c r="A474" s="1"/>
      <c r="B474" s="17"/>
      <c r="C474" s="17"/>
      <c r="D474" s="2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45">
      <c r="A475" s="1"/>
      <c r="B475" s="17"/>
      <c r="C475" s="17"/>
      <c r="D475" s="2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45">
      <c r="A476" s="1"/>
      <c r="B476" s="17"/>
      <c r="C476" s="17"/>
      <c r="D476" s="2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45">
      <c r="A477" s="1"/>
      <c r="B477" s="17"/>
      <c r="C477" s="17"/>
      <c r="D477" s="2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45">
      <c r="A478" s="1"/>
      <c r="B478" s="17"/>
      <c r="C478" s="17"/>
      <c r="D478" s="2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45">
      <c r="A479" s="1"/>
      <c r="B479" s="17"/>
      <c r="C479" s="17"/>
      <c r="D479" s="2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45">
      <c r="A480" s="1"/>
      <c r="B480" s="17"/>
      <c r="C480" s="17"/>
      <c r="D480" s="2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45">
      <c r="A481" s="1"/>
      <c r="B481" s="17"/>
      <c r="C481" s="17"/>
      <c r="D481" s="2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45">
      <c r="A482" s="1"/>
      <c r="B482" s="17"/>
      <c r="C482" s="17"/>
      <c r="D482" s="2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45">
      <c r="A483" s="1"/>
      <c r="B483" s="17"/>
      <c r="C483" s="17"/>
      <c r="D483" s="2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45">
      <c r="A484" s="1"/>
      <c r="B484" s="17"/>
      <c r="C484" s="17"/>
      <c r="D484" s="2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45">
      <c r="A485" s="1"/>
      <c r="B485" s="17"/>
      <c r="C485" s="17"/>
      <c r="D485" s="2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45">
      <c r="A486" s="1"/>
      <c r="B486" s="17"/>
      <c r="C486" s="17"/>
      <c r="D486" s="2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45">
      <c r="A487" s="1"/>
      <c r="B487" s="17"/>
      <c r="C487" s="17"/>
      <c r="D487" s="2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45">
      <c r="A488" s="1"/>
      <c r="B488" s="17"/>
      <c r="C488" s="17"/>
      <c r="D488" s="2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45">
      <c r="A489" s="1"/>
      <c r="B489" s="17"/>
      <c r="C489" s="17"/>
      <c r="D489" s="2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45">
      <c r="A490" s="1"/>
      <c r="B490" s="17"/>
      <c r="C490" s="17"/>
      <c r="D490" s="2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45">
      <c r="A491" s="1"/>
      <c r="B491" s="17"/>
      <c r="C491" s="17"/>
      <c r="D491" s="2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45">
      <c r="A492" s="1"/>
      <c r="B492" s="17"/>
      <c r="C492" s="17"/>
      <c r="D492" s="2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45">
      <c r="A493" s="1"/>
      <c r="B493" s="17"/>
      <c r="C493" s="17"/>
      <c r="D493" s="2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45">
      <c r="A494" s="1"/>
      <c r="B494" s="17"/>
      <c r="C494" s="17"/>
      <c r="D494" s="2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45">
      <c r="A495" s="1"/>
      <c r="B495" s="17"/>
      <c r="C495" s="17"/>
      <c r="D495" s="2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45">
      <c r="A496" s="1"/>
      <c r="B496" s="17"/>
      <c r="C496" s="17"/>
      <c r="D496" s="2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45">
      <c r="A497" s="1"/>
      <c r="B497" s="17"/>
      <c r="C497" s="17"/>
      <c r="D497" s="2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45">
      <c r="A498" s="1"/>
      <c r="B498" s="17"/>
      <c r="C498" s="17"/>
      <c r="D498" s="2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45">
      <c r="A499" s="1"/>
      <c r="B499" s="17"/>
      <c r="C499" s="17"/>
      <c r="D499" s="2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45">
      <c r="A500" s="1"/>
      <c r="B500" s="17"/>
      <c r="C500" s="17"/>
      <c r="D500" s="2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45">
      <c r="A501" s="1"/>
      <c r="B501" s="17"/>
      <c r="C501" s="17"/>
      <c r="D501" s="2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45">
      <c r="A502" s="1"/>
      <c r="B502" s="17"/>
      <c r="C502" s="17"/>
      <c r="D502" s="2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45">
      <c r="A503" s="1"/>
      <c r="B503" s="17"/>
      <c r="C503" s="17"/>
      <c r="D503" s="2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45">
      <c r="A504" s="1"/>
      <c r="B504" s="17"/>
      <c r="C504" s="17"/>
      <c r="D504" s="2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45">
      <c r="A505" s="1"/>
      <c r="B505" s="17"/>
      <c r="C505" s="17"/>
      <c r="D505" s="2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45">
      <c r="A506" s="1"/>
      <c r="B506" s="17"/>
      <c r="C506" s="17"/>
      <c r="D506" s="2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45">
      <c r="A507" s="1"/>
      <c r="B507" s="17"/>
      <c r="C507" s="17"/>
      <c r="D507" s="2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45">
      <c r="A508" s="1"/>
      <c r="B508" s="17"/>
      <c r="C508" s="17"/>
      <c r="D508" s="2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45">
      <c r="A509" s="1"/>
      <c r="B509" s="17"/>
      <c r="C509" s="17"/>
      <c r="D509" s="2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45">
      <c r="A510" s="1"/>
      <c r="B510" s="17"/>
      <c r="C510" s="17"/>
      <c r="D510" s="2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45">
      <c r="A511" s="1"/>
      <c r="B511" s="17"/>
      <c r="C511" s="17"/>
      <c r="D511" s="2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45">
      <c r="A512" s="1"/>
      <c r="B512" s="17"/>
      <c r="C512" s="17"/>
      <c r="D512" s="2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45">
      <c r="A513" s="1"/>
      <c r="B513" s="17"/>
      <c r="C513" s="17"/>
      <c r="D513" s="2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45">
      <c r="A514" s="1"/>
      <c r="B514" s="17"/>
      <c r="C514" s="17"/>
      <c r="D514" s="2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45">
      <c r="A515" s="1"/>
      <c r="B515" s="17"/>
      <c r="C515" s="17"/>
      <c r="D515" s="2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45">
      <c r="A516" s="1"/>
      <c r="B516" s="17"/>
      <c r="C516" s="17"/>
      <c r="D516" s="2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45">
      <c r="A517" s="1"/>
      <c r="B517" s="17"/>
      <c r="C517" s="17"/>
      <c r="D517" s="2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45">
      <c r="A518" s="1"/>
      <c r="B518" s="17"/>
      <c r="C518" s="17"/>
      <c r="D518" s="2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45">
      <c r="A519" s="1"/>
      <c r="B519" s="17"/>
      <c r="C519" s="17"/>
      <c r="D519" s="2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45">
      <c r="A520" s="1"/>
      <c r="B520" s="17"/>
      <c r="C520" s="17"/>
      <c r="D520" s="2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45">
      <c r="A521" s="1"/>
      <c r="B521" s="17"/>
      <c r="C521" s="17"/>
      <c r="D521" s="2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45">
      <c r="A522" s="1"/>
      <c r="B522" s="17"/>
      <c r="C522" s="17"/>
      <c r="D522" s="2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45">
      <c r="A523" s="1"/>
      <c r="B523" s="17"/>
      <c r="C523" s="17"/>
      <c r="D523" s="2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45">
      <c r="A524" s="1"/>
      <c r="B524" s="17"/>
      <c r="C524" s="17"/>
      <c r="D524" s="2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45">
      <c r="A525" s="1"/>
      <c r="B525" s="17"/>
      <c r="C525" s="17"/>
      <c r="D525" s="2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45">
      <c r="A526" s="1"/>
      <c r="B526" s="17"/>
      <c r="C526" s="17"/>
      <c r="D526" s="2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45">
      <c r="A527" s="1"/>
      <c r="B527" s="17"/>
      <c r="C527" s="17"/>
      <c r="D527" s="2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45">
      <c r="A528" s="1"/>
      <c r="B528" s="17"/>
      <c r="C528" s="17"/>
      <c r="D528" s="2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45">
      <c r="A529" s="1"/>
      <c r="B529" s="17"/>
      <c r="C529" s="17"/>
      <c r="D529" s="2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45">
      <c r="A530" s="1"/>
      <c r="B530" s="17"/>
      <c r="C530" s="17"/>
      <c r="D530" s="2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45">
      <c r="A531" s="1"/>
      <c r="B531" s="17"/>
      <c r="C531" s="17"/>
      <c r="D531" s="2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45">
      <c r="A532" s="1"/>
      <c r="B532" s="17"/>
      <c r="C532" s="17"/>
      <c r="D532" s="2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45">
      <c r="A533" s="1"/>
      <c r="B533" s="17"/>
      <c r="C533" s="17"/>
      <c r="D533" s="2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45">
      <c r="A534" s="1"/>
      <c r="B534" s="17"/>
      <c r="C534" s="17"/>
      <c r="D534" s="2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45">
      <c r="A535" s="1"/>
      <c r="B535" s="17"/>
      <c r="C535" s="17"/>
      <c r="D535" s="2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45">
      <c r="A536" s="1"/>
      <c r="B536" s="17"/>
      <c r="C536" s="17"/>
      <c r="D536" s="2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45">
      <c r="A537" s="1"/>
      <c r="B537" s="17"/>
      <c r="C537" s="17"/>
      <c r="D537" s="2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45">
      <c r="A538" s="1"/>
      <c r="B538" s="17"/>
      <c r="C538" s="17"/>
      <c r="D538" s="2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45">
      <c r="A539" s="1"/>
      <c r="B539" s="17"/>
      <c r="C539" s="17"/>
      <c r="D539" s="2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45">
      <c r="A540" s="1"/>
      <c r="B540" s="17"/>
      <c r="C540" s="17"/>
      <c r="D540" s="2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45">
      <c r="A541" s="1"/>
      <c r="B541" s="17"/>
      <c r="C541" s="17"/>
      <c r="D541" s="2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45">
      <c r="A542" s="1"/>
      <c r="B542" s="17"/>
      <c r="C542" s="17"/>
      <c r="D542" s="2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45">
      <c r="A543" s="1"/>
      <c r="B543" s="17"/>
      <c r="C543" s="17"/>
      <c r="D543" s="2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45">
      <c r="A544" s="1"/>
      <c r="B544" s="17"/>
      <c r="C544" s="17"/>
      <c r="D544" s="2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45">
      <c r="A545" s="1"/>
      <c r="B545" s="17"/>
      <c r="C545" s="17"/>
      <c r="D545" s="2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45">
      <c r="A546" s="1"/>
      <c r="B546" s="17"/>
      <c r="C546" s="17"/>
      <c r="D546" s="2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45">
      <c r="A547" s="1"/>
      <c r="B547" s="17"/>
      <c r="C547" s="17"/>
      <c r="D547" s="2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45">
      <c r="A548" s="1"/>
      <c r="B548" s="17"/>
      <c r="C548" s="17"/>
      <c r="D548" s="2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45">
      <c r="A549" s="1"/>
      <c r="B549" s="17"/>
      <c r="C549" s="17"/>
      <c r="D549" s="2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45">
      <c r="A550" s="1"/>
      <c r="B550" s="17"/>
      <c r="C550" s="17"/>
      <c r="D550" s="2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45">
      <c r="A551" s="1"/>
      <c r="B551" s="17"/>
      <c r="C551" s="17"/>
      <c r="D551" s="2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45">
      <c r="A552" s="1"/>
      <c r="B552" s="17"/>
      <c r="C552" s="17"/>
      <c r="D552" s="2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45">
      <c r="A553" s="1"/>
      <c r="B553" s="17"/>
      <c r="C553" s="17"/>
      <c r="D553" s="2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45">
      <c r="A554" s="1"/>
      <c r="B554" s="17"/>
      <c r="C554" s="17"/>
      <c r="D554" s="2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45">
      <c r="A555" s="1"/>
      <c r="B555" s="17"/>
      <c r="C555" s="17"/>
      <c r="D555" s="2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45">
      <c r="A556" s="1"/>
      <c r="B556" s="17"/>
      <c r="C556" s="17"/>
      <c r="D556" s="2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45">
      <c r="A557" s="1"/>
      <c r="B557" s="17"/>
      <c r="C557" s="17"/>
      <c r="D557" s="2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45">
      <c r="A558" s="1"/>
      <c r="B558" s="17"/>
      <c r="C558" s="17"/>
      <c r="D558" s="2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45">
      <c r="A559" s="1"/>
      <c r="B559" s="17"/>
      <c r="C559" s="17"/>
      <c r="D559" s="2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45">
      <c r="A560" s="1"/>
      <c r="B560" s="17"/>
      <c r="C560" s="17"/>
      <c r="D560" s="2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45">
      <c r="A561" s="1"/>
      <c r="B561" s="17"/>
      <c r="C561" s="17"/>
      <c r="D561" s="2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45">
      <c r="A562" s="1"/>
      <c r="B562" s="17"/>
      <c r="C562" s="17"/>
      <c r="D562" s="2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45">
      <c r="A563" s="1"/>
      <c r="B563" s="17"/>
      <c r="C563" s="17"/>
      <c r="D563" s="2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45">
      <c r="A564" s="1"/>
      <c r="B564" s="17"/>
      <c r="C564" s="17"/>
      <c r="D564" s="2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45">
      <c r="A565" s="1"/>
      <c r="B565" s="17"/>
      <c r="C565" s="17"/>
      <c r="D565" s="2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45">
      <c r="A566" s="1"/>
      <c r="B566" s="17"/>
      <c r="C566" s="17"/>
      <c r="D566" s="2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45">
      <c r="A567" s="1"/>
      <c r="B567" s="17"/>
      <c r="C567" s="17"/>
      <c r="D567" s="2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45">
      <c r="A568" s="1"/>
      <c r="B568" s="17"/>
      <c r="C568" s="17"/>
      <c r="D568" s="2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45">
      <c r="A569" s="1"/>
      <c r="B569" s="17"/>
      <c r="C569" s="17"/>
      <c r="D569" s="2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45">
      <c r="A570" s="1"/>
      <c r="B570" s="17"/>
      <c r="C570" s="17"/>
      <c r="D570" s="2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45">
      <c r="A571" s="1"/>
      <c r="B571" s="17"/>
      <c r="C571" s="17"/>
      <c r="D571" s="2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45">
      <c r="A572" s="1"/>
      <c r="B572" s="17"/>
      <c r="C572" s="17"/>
      <c r="D572" s="2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45">
      <c r="A573" s="1"/>
      <c r="B573" s="17"/>
      <c r="C573" s="17"/>
      <c r="D573" s="2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45">
      <c r="A574" s="1"/>
      <c r="B574" s="17"/>
      <c r="C574" s="17"/>
      <c r="D574" s="2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45">
      <c r="A575" s="1"/>
      <c r="B575" s="17"/>
      <c r="C575" s="17"/>
      <c r="D575" s="2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45">
      <c r="A576" s="1"/>
      <c r="B576" s="17"/>
      <c r="C576" s="17"/>
      <c r="D576" s="2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45">
      <c r="A577" s="1"/>
      <c r="B577" s="17"/>
      <c r="C577" s="17"/>
      <c r="D577" s="2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45">
      <c r="A578" s="1"/>
      <c r="B578" s="17"/>
      <c r="C578" s="17"/>
      <c r="D578" s="2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45">
      <c r="A579" s="1"/>
      <c r="B579" s="17"/>
      <c r="C579" s="17"/>
      <c r="D579" s="2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45">
      <c r="A580" s="1"/>
      <c r="B580" s="17"/>
      <c r="C580" s="17"/>
      <c r="D580" s="2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45">
      <c r="A581" s="1"/>
      <c r="B581" s="17"/>
      <c r="C581" s="17"/>
      <c r="D581" s="2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45">
      <c r="A582" s="1"/>
      <c r="B582" s="17"/>
      <c r="C582" s="17"/>
      <c r="D582" s="2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45">
      <c r="A583" s="1"/>
      <c r="B583" s="17"/>
      <c r="C583" s="17"/>
      <c r="D583" s="2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45">
      <c r="A584" s="1"/>
      <c r="B584" s="17"/>
      <c r="C584" s="17"/>
      <c r="D584" s="2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45">
      <c r="A585" s="1"/>
      <c r="B585" s="17"/>
      <c r="C585" s="17"/>
      <c r="D585" s="2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45">
      <c r="A586" s="1"/>
      <c r="B586" s="17"/>
      <c r="C586" s="17"/>
      <c r="D586" s="2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45">
      <c r="A587" s="1"/>
      <c r="B587" s="17"/>
      <c r="C587" s="17"/>
      <c r="D587" s="2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45">
      <c r="A588" s="1"/>
      <c r="B588" s="17"/>
      <c r="C588" s="17"/>
      <c r="D588" s="2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45">
      <c r="A589" s="1"/>
      <c r="B589" s="17"/>
      <c r="C589" s="17"/>
      <c r="D589" s="2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45">
      <c r="A590" s="1"/>
      <c r="B590" s="17"/>
      <c r="C590" s="17"/>
      <c r="D590" s="2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45">
      <c r="A591" s="1"/>
      <c r="B591" s="17"/>
      <c r="C591" s="17"/>
      <c r="D591" s="2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45">
      <c r="A592" s="1"/>
      <c r="B592" s="17"/>
      <c r="C592" s="17"/>
      <c r="D592" s="2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45">
      <c r="A593" s="1"/>
      <c r="B593" s="17"/>
      <c r="C593" s="17"/>
      <c r="D593" s="2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45">
      <c r="A594" s="1"/>
      <c r="B594" s="17"/>
      <c r="C594" s="17"/>
      <c r="D594" s="2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45">
      <c r="A595" s="1"/>
      <c r="B595" s="17"/>
      <c r="C595" s="17"/>
      <c r="D595" s="2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45">
      <c r="A596" s="1"/>
      <c r="B596" s="17"/>
      <c r="C596" s="17"/>
      <c r="D596" s="2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45">
      <c r="A597" s="1"/>
      <c r="B597" s="17"/>
      <c r="C597" s="17"/>
      <c r="D597" s="2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45">
      <c r="A598" s="1"/>
      <c r="B598" s="17"/>
      <c r="C598" s="17"/>
      <c r="D598" s="2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45">
      <c r="A599" s="1"/>
      <c r="B599" s="17"/>
      <c r="C599" s="17"/>
      <c r="D599" s="2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45">
      <c r="A600" s="1"/>
      <c r="B600" s="17"/>
      <c r="C600" s="17"/>
      <c r="D600" s="2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45">
      <c r="A601" s="1"/>
      <c r="B601" s="17"/>
      <c r="C601" s="17"/>
      <c r="D601" s="2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45">
      <c r="A602" s="1"/>
      <c r="B602" s="17"/>
      <c r="C602" s="17"/>
      <c r="D602" s="2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45">
      <c r="A603" s="1"/>
      <c r="B603" s="17"/>
      <c r="C603" s="17"/>
      <c r="D603" s="2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45">
      <c r="A604" s="1"/>
      <c r="B604" s="17"/>
      <c r="C604" s="17"/>
      <c r="D604" s="2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45">
      <c r="A605" s="1"/>
      <c r="B605" s="17"/>
      <c r="C605" s="17"/>
      <c r="D605" s="2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45">
      <c r="A606" s="1"/>
      <c r="B606" s="17"/>
      <c r="C606" s="17"/>
      <c r="D606" s="2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45">
      <c r="A607" s="1"/>
      <c r="B607" s="17"/>
      <c r="C607" s="17"/>
      <c r="D607" s="2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45">
      <c r="A608" s="1"/>
      <c r="B608" s="17"/>
      <c r="C608" s="17"/>
      <c r="D608" s="2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45">
      <c r="A609" s="1"/>
      <c r="B609" s="17"/>
      <c r="C609" s="17"/>
      <c r="D609" s="2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45">
      <c r="A610" s="1"/>
      <c r="B610" s="17"/>
      <c r="C610" s="17"/>
      <c r="D610" s="2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45">
      <c r="A611" s="1"/>
      <c r="B611" s="17"/>
      <c r="C611" s="17"/>
      <c r="D611" s="2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45">
      <c r="A612" s="1"/>
      <c r="B612" s="17"/>
      <c r="C612" s="17"/>
      <c r="D612" s="2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45">
      <c r="A613" s="1"/>
      <c r="B613" s="17"/>
      <c r="C613" s="17"/>
      <c r="D613" s="2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45">
      <c r="A614" s="1"/>
      <c r="B614" s="17"/>
      <c r="C614" s="17"/>
      <c r="D614" s="2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45">
      <c r="A615" s="1"/>
      <c r="B615" s="17"/>
      <c r="C615" s="17"/>
      <c r="D615" s="2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45">
      <c r="A616" s="1"/>
      <c r="B616" s="17"/>
      <c r="C616" s="17"/>
      <c r="D616" s="2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45">
      <c r="A617" s="1"/>
      <c r="B617" s="17"/>
      <c r="C617" s="17"/>
      <c r="D617" s="2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45">
      <c r="A618" s="1"/>
      <c r="B618" s="17"/>
      <c r="C618" s="17"/>
      <c r="D618" s="2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45">
      <c r="A619" s="1"/>
      <c r="B619" s="17"/>
      <c r="C619" s="17"/>
      <c r="D619" s="2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45">
      <c r="A620" s="1"/>
      <c r="B620" s="17"/>
      <c r="C620" s="17"/>
      <c r="D620" s="2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45">
      <c r="A621" s="1"/>
      <c r="B621" s="17"/>
      <c r="C621" s="17"/>
      <c r="D621" s="2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45">
      <c r="A622" s="1"/>
      <c r="B622" s="17"/>
      <c r="C622" s="17"/>
      <c r="D622" s="2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45">
      <c r="A623" s="1"/>
      <c r="B623" s="17"/>
      <c r="C623" s="17"/>
      <c r="D623" s="2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45">
      <c r="A624" s="1"/>
      <c r="B624" s="17"/>
      <c r="C624" s="17"/>
      <c r="D624" s="2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45">
      <c r="A625" s="1"/>
      <c r="B625" s="17"/>
      <c r="C625" s="17"/>
      <c r="D625" s="2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45">
      <c r="A626" s="1"/>
      <c r="B626" s="17"/>
      <c r="C626" s="17"/>
      <c r="D626" s="2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45">
      <c r="A627" s="1"/>
      <c r="B627" s="17"/>
      <c r="C627" s="17"/>
      <c r="D627" s="2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45">
      <c r="A628" s="1"/>
      <c r="B628" s="17"/>
      <c r="C628" s="17"/>
      <c r="D628" s="2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45">
      <c r="A629" s="1"/>
      <c r="B629" s="17"/>
      <c r="C629" s="17"/>
      <c r="D629" s="2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45">
      <c r="A630" s="1"/>
      <c r="B630" s="17"/>
      <c r="C630" s="17"/>
      <c r="D630" s="2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45">
      <c r="A631" s="1"/>
      <c r="B631" s="17"/>
      <c r="C631" s="17"/>
      <c r="D631" s="2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45">
      <c r="A632" s="1"/>
      <c r="B632" s="17"/>
      <c r="C632" s="17"/>
      <c r="D632" s="2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45">
      <c r="A633" s="1"/>
      <c r="B633" s="17"/>
      <c r="C633" s="17"/>
      <c r="D633" s="2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45">
      <c r="A634" s="1"/>
      <c r="B634" s="17"/>
      <c r="C634" s="17"/>
      <c r="D634" s="2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45">
      <c r="A635" s="1"/>
      <c r="B635" s="17"/>
      <c r="C635" s="17"/>
      <c r="D635" s="2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45">
      <c r="A636" s="1"/>
      <c r="B636" s="17"/>
      <c r="C636" s="17"/>
      <c r="D636" s="2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45">
      <c r="A637" s="1"/>
      <c r="B637" s="17"/>
      <c r="C637" s="17"/>
      <c r="D637" s="2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45">
      <c r="A638" s="1"/>
      <c r="B638" s="17"/>
      <c r="C638" s="17"/>
      <c r="D638" s="2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45">
      <c r="A639" s="1"/>
      <c r="B639" s="17"/>
      <c r="C639" s="17"/>
      <c r="D639" s="2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45">
      <c r="A640" s="1"/>
      <c r="B640" s="17"/>
      <c r="C640" s="17"/>
      <c r="D640" s="2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45">
      <c r="A641" s="1"/>
      <c r="B641" s="17"/>
      <c r="C641" s="17"/>
      <c r="D641" s="2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45">
      <c r="A642" s="1"/>
      <c r="B642" s="17"/>
      <c r="C642" s="17"/>
      <c r="D642" s="2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45">
      <c r="A643" s="1"/>
      <c r="B643" s="17"/>
      <c r="C643" s="17"/>
      <c r="D643" s="2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45">
      <c r="A644" s="1"/>
      <c r="B644" s="17"/>
      <c r="C644" s="17"/>
      <c r="D644" s="2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45">
      <c r="A645" s="1"/>
      <c r="B645" s="17"/>
      <c r="C645" s="17"/>
      <c r="D645" s="2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45">
      <c r="A646" s="1"/>
      <c r="B646" s="17"/>
      <c r="C646" s="17"/>
      <c r="D646" s="2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45">
      <c r="A647" s="1"/>
      <c r="B647" s="17"/>
      <c r="C647" s="17"/>
      <c r="D647" s="2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45">
      <c r="A648" s="1"/>
      <c r="B648" s="17"/>
      <c r="C648" s="17"/>
      <c r="D648" s="2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45">
      <c r="A649" s="1"/>
      <c r="B649" s="17"/>
      <c r="C649" s="17"/>
      <c r="D649" s="2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45">
      <c r="A650" s="1"/>
      <c r="B650" s="17"/>
      <c r="C650" s="17"/>
      <c r="D650" s="2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45">
      <c r="A651" s="1"/>
      <c r="B651" s="17"/>
      <c r="C651" s="17"/>
      <c r="D651" s="2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45">
      <c r="A652" s="1"/>
      <c r="B652" s="17"/>
      <c r="C652" s="17"/>
      <c r="D652" s="2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45">
      <c r="A653" s="1"/>
      <c r="B653" s="17"/>
      <c r="C653" s="17"/>
      <c r="D653" s="2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45">
      <c r="A654" s="1"/>
      <c r="B654" s="17"/>
      <c r="C654" s="17"/>
      <c r="D654" s="2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45">
      <c r="A655" s="1"/>
      <c r="B655" s="17"/>
      <c r="C655" s="17"/>
      <c r="D655" s="2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45">
      <c r="A656" s="1"/>
      <c r="B656" s="17"/>
      <c r="C656" s="17"/>
      <c r="D656" s="2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45">
      <c r="A657" s="1"/>
      <c r="B657" s="17"/>
      <c r="C657" s="17"/>
      <c r="D657" s="2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45">
      <c r="A658" s="1"/>
      <c r="B658" s="17"/>
      <c r="C658" s="17"/>
      <c r="D658" s="2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45">
      <c r="A659" s="1"/>
      <c r="B659" s="17"/>
      <c r="C659" s="17"/>
      <c r="D659" s="2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45">
      <c r="A660" s="1"/>
      <c r="B660" s="17"/>
      <c r="C660" s="17"/>
      <c r="D660" s="2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45">
      <c r="A661" s="1"/>
      <c r="B661" s="17"/>
      <c r="C661" s="17"/>
      <c r="D661" s="2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45">
      <c r="A662" s="1"/>
      <c r="B662" s="17"/>
      <c r="C662" s="17"/>
      <c r="D662" s="2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45">
      <c r="A663" s="1"/>
      <c r="B663" s="17"/>
      <c r="C663" s="17"/>
      <c r="D663" s="2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45">
      <c r="A664" s="1"/>
      <c r="B664" s="17"/>
      <c r="C664" s="17"/>
      <c r="D664" s="2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45">
      <c r="A665" s="1"/>
      <c r="B665" s="17"/>
      <c r="C665" s="17"/>
      <c r="D665" s="2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45">
      <c r="A666" s="1"/>
      <c r="B666" s="17"/>
      <c r="C666" s="17"/>
      <c r="D666" s="2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45">
      <c r="A667" s="1"/>
      <c r="B667" s="17"/>
      <c r="C667" s="17"/>
      <c r="D667" s="2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45">
      <c r="A668" s="1"/>
      <c r="B668" s="17"/>
      <c r="C668" s="17"/>
      <c r="D668" s="2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45">
      <c r="A669" s="1"/>
      <c r="B669" s="17"/>
      <c r="C669" s="17"/>
      <c r="D669" s="2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45">
      <c r="A670" s="1"/>
      <c r="B670" s="17"/>
      <c r="C670" s="17"/>
      <c r="D670" s="2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45">
      <c r="A671" s="1"/>
      <c r="B671" s="17"/>
      <c r="C671" s="17"/>
      <c r="D671" s="2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45">
      <c r="A672" s="1"/>
      <c r="B672" s="17"/>
      <c r="C672" s="17"/>
      <c r="D672" s="2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45">
      <c r="A673" s="1"/>
      <c r="B673" s="17"/>
      <c r="C673" s="17"/>
      <c r="D673" s="2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45">
      <c r="A674" s="1"/>
      <c r="B674" s="17"/>
      <c r="C674" s="17"/>
      <c r="D674" s="2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45">
      <c r="A675" s="1"/>
      <c r="B675" s="17"/>
      <c r="C675" s="17"/>
      <c r="D675" s="2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45">
      <c r="A676" s="1"/>
      <c r="B676" s="17"/>
      <c r="C676" s="17"/>
      <c r="D676" s="2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45">
      <c r="A677" s="1"/>
      <c r="B677" s="17"/>
      <c r="C677" s="17"/>
      <c r="D677" s="2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45">
      <c r="A678" s="1"/>
      <c r="B678" s="17"/>
      <c r="C678" s="17"/>
      <c r="D678" s="2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45">
      <c r="A679" s="1"/>
      <c r="B679" s="17"/>
      <c r="C679" s="17"/>
      <c r="D679" s="2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45">
      <c r="A680" s="1"/>
      <c r="B680" s="17"/>
      <c r="C680" s="17"/>
      <c r="D680" s="2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45">
      <c r="A681" s="1"/>
      <c r="B681" s="17"/>
      <c r="C681" s="17"/>
      <c r="D681" s="2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45">
      <c r="A682" s="1"/>
      <c r="B682" s="17"/>
      <c r="C682" s="17"/>
      <c r="D682" s="2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45">
      <c r="A683" s="1"/>
      <c r="B683" s="17"/>
      <c r="C683" s="17"/>
      <c r="D683" s="2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45">
      <c r="A684" s="1"/>
      <c r="B684" s="17"/>
      <c r="C684" s="17"/>
      <c r="D684" s="2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45">
      <c r="A685" s="1"/>
      <c r="B685" s="17"/>
      <c r="C685" s="17"/>
      <c r="D685" s="2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45">
      <c r="A686" s="1"/>
      <c r="B686" s="17"/>
      <c r="C686" s="17"/>
      <c r="D686" s="2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45">
      <c r="A687" s="1"/>
      <c r="B687" s="17"/>
      <c r="C687" s="17"/>
      <c r="D687" s="2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45">
      <c r="A688" s="1"/>
      <c r="B688" s="17"/>
      <c r="C688" s="17"/>
      <c r="D688" s="2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45">
      <c r="A689" s="1"/>
      <c r="B689" s="17"/>
      <c r="C689" s="17"/>
      <c r="D689" s="2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45">
      <c r="A690" s="1"/>
      <c r="B690" s="17"/>
      <c r="C690" s="17"/>
      <c r="D690" s="2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45">
      <c r="A691" s="1"/>
      <c r="B691" s="17"/>
      <c r="C691" s="17"/>
      <c r="D691" s="2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45">
      <c r="A692" s="1"/>
      <c r="B692" s="17"/>
      <c r="C692" s="17"/>
      <c r="D692" s="2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45">
      <c r="A693" s="1"/>
      <c r="B693" s="17"/>
      <c r="C693" s="17"/>
      <c r="D693" s="2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45">
      <c r="A694" s="1"/>
      <c r="B694" s="17"/>
      <c r="C694" s="17"/>
      <c r="D694" s="2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45">
      <c r="A695" s="1"/>
      <c r="B695" s="17"/>
      <c r="C695" s="17"/>
      <c r="D695" s="2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45">
      <c r="A696" s="1"/>
      <c r="B696" s="17"/>
      <c r="C696" s="17"/>
      <c r="D696" s="2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45">
      <c r="A697" s="1"/>
      <c r="B697" s="17"/>
      <c r="C697" s="17"/>
      <c r="D697" s="2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45">
      <c r="A698" s="1"/>
      <c r="B698" s="17"/>
      <c r="C698" s="17"/>
      <c r="D698" s="2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45">
      <c r="A699" s="1"/>
      <c r="B699" s="17"/>
      <c r="C699" s="17"/>
      <c r="D699" s="2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45">
      <c r="A700" s="1"/>
      <c r="B700" s="17"/>
      <c r="C700" s="17"/>
      <c r="D700" s="2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45">
      <c r="A701" s="1"/>
      <c r="B701" s="17"/>
      <c r="C701" s="17"/>
      <c r="D701" s="2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45">
      <c r="A702" s="1"/>
      <c r="B702" s="17"/>
      <c r="C702" s="17"/>
      <c r="D702" s="2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45">
      <c r="A703" s="1"/>
      <c r="B703" s="17"/>
      <c r="C703" s="17"/>
      <c r="D703" s="2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45">
      <c r="A704" s="1"/>
      <c r="B704" s="17"/>
      <c r="C704" s="17"/>
      <c r="D704" s="2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45">
      <c r="A705" s="1"/>
      <c r="B705" s="17"/>
      <c r="C705" s="17"/>
      <c r="D705" s="2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45">
      <c r="A706" s="1"/>
      <c r="B706" s="17"/>
      <c r="C706" s="17"/>
      <c r="D706" s="2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45">
      <c r="A707" s="1"/>
      <c r="B707" s="17"/>
      <c r="C707" s="17"/>
      <c r="D707" s="2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45">
      <c r="A708" s="1"/>
      <c r="B708" s="17"/>
      <c r="C708" s="17"/>
      <c r="D708" s="2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45">
      <c r="A709" s="1"/>
      <c r="B709" s="17"/>
      <c r="C709" s="17"/>
      <c r="D709" s="2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45">
      <c r="A710" s="1"/>
      <c r="B710" s="17"/>
      <c r="C710" s="17"/>
      <c r="D710" s="2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45">
      <c r="A711" s="1"/>
      <c r="B711" s="17"/>
      <c r="C711" s="17"/>
      <c r="D711" s="2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45">
      <c r="A712" s="1"/>
      <c r="B712" s="17"/>
      <c r="C712" s="17"/>
      <c r="D712" s="2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45">
      <c r="A713" s="1"/>
      <c r="B713" s="17"/>
      <c r="C713" s="17"/>
      <c r="D713" s="2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45">
      <c r="A714" s="1"/>
      <c r="B714" s="17"/>
      <c r="C714" s="17"/>
      <c r="D714" s="2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45">
      <c r="A715" s="1"/>
      <c r="B715" s="17"/>
      <c r="C715" s="17"/>
      <c r="D715" s="2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45">
      <c r="A716" s="1"/>
      <c r="B716" s="17"/>
      <c r="C716" s="17"/>
      <c r="D716" s="2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45">
      <c r="A717" s="1"/>
      <c r="B717" s="17"/>
      <c r="C717" s="17"/>
      <c r="D717" s="2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45">
      <c r="A718" s="1"/>
      <c r="B718" s="17"/>
      <c r="C718" s="17"/>
      <c r="D718" s="2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45">
      <c r="A719" s="1"/>
      <c r="B719" s="17"/>
      <c r="C719" s="17"/>
      <c r="D719" s="2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45">
      <c r="A720" s="1"/>
      <c r="B720" s="17"/>
      <c r="C720" s="17"/>
      <c r="D720" s="2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45">
      <c r="A721" s="1"/>
      <c r="B721" s="17"/>
      <c r="C721" s="17"/>
      <c r="D721" s="2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45">
      <c r="A722" s="1"/>
      <c r="B722" s="17"/>
      <c r="C722" s="17"/>
      <c r="D722" s="2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45">
      <c r="A723" s="1"/>
      <c r="B723" s="17"/>
      <c r="C723" s="17"/>
      <c r="D723" s="2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45">
      <c r="A724" s="1"/>
      <c r="B724" s="17"/>
      <c r="C724" s="17"/>
      <c r="D724" s="2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45">
      <c r="A725" s="1"/>
      <c r="B725" s="17"/>
      <c r="C725" s="17"/>
      <c r="D725" s="2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45">
      <c r="A726" s="1"/>
      <c r="B726" s="17"/>
      <c r="C726" s="17"/>
      <c r="D726" s="2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45">
      <c r="A727" s="1"/>
      <c r="B727" s="17"/>
      <c r="C727" s="17"/>
      <c r="D727" s="2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45">
      <c r="A728" s="1"/>
      <c r="B728" s="17"/>
      <c r="C728" s="17"/>
      <c r="D728" s="2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45">
      <c r="A729" s="1"/>
      <c r="B729" s="17"/>
      <c r="C729" s="17"/>
      <c r="D729" s="2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45">
      <c r="A730" s="1"/>
      <c r="B730" s="17"/>
      <c r="C730" s="17"/>
      <c r="D730" s="2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45">
      <c r="A731" s="1"/>
      <c r="B731" s="17"/>
      <c r="C731" s="17"/>
      <c r="D731" s="2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45">
      <c r="A732" s="1"/>
      <c r="B732" s="17"/>
      <c r="C732" s="17"/>
      <c r="D732" s="2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45">
      <c r="A733" s="1"/>
      <c r="B733" s="17"/>
      <c r="C733" s="17"/>
      <c r="D733" s="2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45">
      <c r="A734" s="1"/>
      <c r="B734" s="17"/>
      <c r="C734" s="17"/>
      <c r="D734" s="2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45">
      <c r="A735" s="1"/>
      <c r="B735" s="17"/>
      <c r="C735" s="17"/>
      <c r="D735" s="2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45">
      <c r="A736" s="1"/>
      <c r="B736" s="17"/>
      <c r="C736" s="17"/>
      <c r="D736" s="2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45">
      <c r="A737" s="1"/>
      <c r="B737" s="17"/>
      <c r="C737" s="17"/>
      <c r="D737" s="2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45">
      <c r="A738" s="1"/>
      <c r="B738" s="17"/>
      <c r="C738" s="17"/>
      <c r="D738" s="2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45">
      <c r="A739" s="1"/>
      <c r="B739" s="17"/>
      <c r="C739" s="17"/>
      <c r="D739" s="2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45">
      <c r="A740" s="1"/>
      <c r="B740" s="17"/>
      <c r="C740" s="17"/>
      <c r="D740" s="2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45">
      <c r="A741" s="1"/>
      <c r="B741" s="17"/>
      <c r="C741" s="17"/>
      <c r="D741" s="2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45">
      <c r="A742" s="1"/>
      <c r="B742" s="17"/>
      <c r="C742" s="17"/>
      <c r="D742" s="2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45">
      <c r="A743" s="1"/>
      <c r="B743" s="17"/>
      <c r="C743" s="17"/>
      <c r="D743" s="2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45">
      <c r="A744" s="1"/>
      <c r="B744" s="17"/>
      <c r="C744" s="17"/>
      <c r="D744" s="2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45">
      <c r="A745" s="1"/>
      <c r="B745" s="17"/>
      <c r="C745" s="17"/>
      <c r="D745" s="2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45">
      <c r="A746" s="1"/>
      <c r="B746" s="17"/>
      <c r="C746" s="17"/>
      <c r="D746" s="2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45">
      <c r="A747" s="1"/>
      <c r="B747" s="17"/>
      <c r="C747" s="17"/>
      <c r="D747" s="2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45">
      <c r="A748" s="1"/>
      <c r="B748" s="17"/>
      <c r="C748" s="17"/>
      <c r="D748" s="2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45">
      <c r="A749" s="1"/>
      <c r="B749" s="17"/>
      <c r="C749" s="17"/>
      <c r="D749" s="2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45">
      <c r="A750" s="1"/>
      <c r="B750" s="17"/>
      <c r="C750" s="17"/>
      <c r="D750" s="2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45">
      <c r="A751" s="1"/>
      <c r="B751" s="17"/>
      <c r="C751" s="17"/>
      <c r="D751" s="2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45">
      <c r="A752" s="1"/>
      <c r="B752" s="17"/>
      <c r="C752" s="17"/>
      <c r="D752" s="2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45">
      <c r="A753" s="1"/>
      <c r="B753" s="17"/>
      <c r="C753" s="17"/>
      <c r="D753" s="2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45">
      <c r="A754" s="1"/>
      <c r="B754" s="17"/>
      <c r="C754" s="17"/>
      <c r="D754" s="2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45">
      <c r="A755" s="1"/>
      <c r="B755" s="17"/>
      <c r="C755" s="17"/>
      <c r="D755" s="2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45">
      <c r="A756" s="1"/>
      <c r="B756" s="17"/>
      <c r="C756" s="17"/>
      <c r="D756" s="2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45">
      <c r="A757" s="1"/>
      <c r="B757" s="17"/>
      <c r="C757" s="17"/>
      <c r="D757" s="2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45">
      <c r="A758" s="1"/>
      <c r="B758" s="17"/>
      <c r="C758" s="17"/>
      <c r="D758" s="2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45">
      <c r="A759" s="1"/>
      <c r="B759" s="17"/>
      <c r="C759" s="17"/>
      <c r="D759" s="2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45">
      <c r="A760" s="1"/>
      <c r="B760" s="17"/>
      <c r="C760" s="17"/>
      <c r="D760" s="2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45">
      <c r="A761" s="1"/>
      <c r="B761" s="17"/>
      <c r="C761" s="17"/>
      <c r="D761" s="2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45">
      <c r="A762" s="1"/>
      <c r="B762" s="17"/>
      <c r="C762" s="17"/>
      <c r="D762" s="2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45">
      <c r="A763" s="1"/>
      <c r="B763" s="17"/>
      <c r="C763" s="17"/>
      <c r="D763" s="2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45">
      <c r="A764" s="1"/>
      <c r="B764" s="17"/>
      <c r="C764" s="17"/>
      <c r="D764" s="2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45">
      <c r="A765" s="1"/>
      <c r="B765" s="17"/>
      <c r="C765" s="17"/>
      <c r="D765" s="2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45">
      <c r="A766" s="1"/>
      <c r="B766" s="17"/>
      <c r="C766" s="17"/>
      <c r="D766" s="2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45">
      <c r="A767" s="1"/>
      <c r="B767" s="17"/>
      <c r="C767" s="17"/>
      <c r="D767" s="2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45">
      <c r="A768" s="1"/>
      <c r="B768" s="17"/>
      <c r="C768" s="17"/>
      <c r="D768" s="2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45">
      <c r="A769" s="1"/>
      <c r="B769" s="17"/>
      <c r="C769" s="17"/>
      <c r="D769" s="2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45">
      <c r="A770" s="1"/>
      <c r="B770" s="17"/>
      <c r="C770" s="17"/>
      <c r="D770" s="2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45">
      <c r="A771" s="1"/>
      <c r="B771" s="17"/>
      <c r="C771" s="17"/>
      <c r="D771" s="2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45">
      <c r="A772" s="1"/>
      <c r="B772" s="17"/>
      <c r="C772" s="17"/>
      <c r="D772" s="2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45">
      <c r="A773" s="1"/>
      <c r="B773" s="17"/>
      <c r="C773" s="17"/>
      <c r="D773" s="2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45">
      <c r="A774" s="1"/>
      <c r="B774" s="17"/>
      <c r="C774" s="17"/>
      <c r="D774" s="2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45">
      <c r="A775" s="1"/>
      <c r="B775" s="17"/>
      <c r="C775" s="17"/>
      <c r="D775" s="2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45">
      <c r="A776" s="1"/>
      <c r="B776" s="17"/>
      <c r="C776" s="17"/>
      <c r="D776" s="2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45">
      <c r="A777" s="1"/>
      <c r="B777" s="17"/>
      <c r="C777" s="17"/>
      <c r="D777" s="2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45">
      <c r="A778" s="1"/>
      <c r="B778" s="17"/>
      <c r="C778" s="17"/>
      <c r="D778" s="2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45">
      <c r="A779" s="1"/>
      <c r="B779" s="17"/>
      <c r="C779" s="17"/>
      <c r="D779" s="2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45">
      <c r="A780" s="1"/>
      <c r="B780" s="17"/>
      <c r="C780" s="17"/>
      <c r="D780" s="2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45">
      <c r="A781" s="1"/>
      <c r="B781" s="17"/>
      <c r="C781" s="17"/>
      <c r="D781" s="2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45">
      <c r="A782" s="1"/>
      <c r="B782" s="17"/>
      <c r="C782" s="17"/>
      <c r="D782" s="2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45">
      <c r="A783" s="1"/>
      <c r="B783" s="17"/>
      <c r="C783" s="17"/>
      <c r="D783" s="2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45">
      <c r="A784" s="1"/>
      <c r="B784" s="17"/>
      <c r="C784" s="17"/>
      <c r="D784" s="2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45">
      <c r="A785" s="1"/>
      <c r="B785" s="17"/>
      <c r="C785" s="17"/>
      <c r="D785" s="2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45">
      <c r="A786" s="1"/>
      <c r="B786" s="17"/>
      <c r="C786" s="17"/>
      <c r="D786" s="2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45">
      <c r="A787" s="1"/>
      <c r="B787" s="17"/>
      <c r="C787" s="17"/>
      <c r="D787" s="2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45">
      <c r="A788" s="1"/>
      <c r="B788" s="17"/>
      <c r="C788" s="17"/>
      <c r="D788" s="2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45">
      <c r="A789" s="1"/>
      <c r="B789" s="17"/>
      <c r="C789" s="17"/>
      <c r="D789" s="2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45">
      <c r="A790" s="1"/>
      <c r="B790" s="17"/>
      <c r="C790" s="17"/>
      <c r="D790" s="2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45">
      <c r="A791" s="1"/>
      <c r="B791" s="17"/>
      <c r="C791" s="17"/>
      <c r="D791" s="2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45">
      <c r="A792" s="1"/>
      <c r="B792" s="17"/>
      <c r="C792" s="17"/>
      <c r="D792" s="2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45">
      <c r="A793" s="1"/>
      <c r="B793" s="17"/>
      <c r="C793" s="17"/>
      <c r="D793" s="2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45">
      <c r="A794" s="1"/>
      <c r="B794" s="17"/>
      <c r="C794" s="17"/>
      <c r="D794" s="2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45">
      <c r="A795" s="1"/>
      <c r="B795" s="17"/>
      <c r="C795" s="17"/>
      <c r="D795" s="2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45">
      <c r="A796" s="1"/>
      <c r="B796" s="17"/>
      <c r="C796" s="17"/>
      <c r="D796" s="2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45">
      <c r="A797" s="1"/>
      <c r="B797" s="17"/>
      <c r="C797" s="17"/>
      <c r="D797" s="2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45">
      <c r="A798" s="1"/>
      <c r="B798" s="17"/>
      <c r="C798" s="17"/>
      <c r="D798" s="2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45">
      <c r="A799" s="1"/>
      <c r="B799" s="17"/>
      <c r="C799" s="17"/>
      <c r="D799" s="2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45">
      <c r="A800" s="1"/>
      <c r="B800" s="17"/>
      <c r="C800" s="17"/>
      <c r="D800" s="2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45">
      <c r="A801" s="1"/>
      <c r="B801" s="17"/>
      <c r="C801" s="17"/>
      <c r="D801" s="2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45">
      <c r="A802" s="1"/>
      <c r="B802" s="17"/>
      <c r="C802" s="17"/>
      <c r="D802" s="2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45">
      <c r="A803" s="1"/>
      <c r="B803" s="17"/>
      <c r="C803" s="17"/>
      <c r="D803" s="2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45">
      <c r="A804" s="1"/>
      <c r="B804" s="17"/>
      <c r="C804" s="17"/>
      <c r="D804" s="2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45">
      <c r="A805" s="1"/>
      <c r="B805" s="17"/>
      <c r="C805" s="17"/>
      <c r="D805" s="2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45">
      <c r="A806" s="1"/>
      <c r="B806" s="17"/>
      <c r="C806" s="17"/>
      <c r="D806" s="2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45">
      <c r="A807" s="1"/>
      <c r="B807" s="17"/>
      <c r="C807" s="17"/>
      <c r="D807" s="2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45">
      <c r="A808" s="1"/>
      <c r="B808" s="17"/>
      <c r="C808" s="17"/>
      <c r="D808" s="2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45">
      <c r="A809" s="1"/>
      <c r="B809" s="17"/>
      <c r="C809" s="17"/>
      <c r="D809" s="2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45">
      <c r="A810" s="1"/>
      <c r="B810" s="17"/>
      <c r="C810" s="17"/>
      <c r="D810" s="2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45">
      <c r="A811" s="1"/>
      <c r="B811" s="17"/>
      <c r="C811" s="17"/>
      <c r="D811" s="2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45">
      <c r="A812" s="1"/>
      <c r="B812" s="17"/>
      <c r="C812" s="17"/>
      <c r="D812" s="2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45">
      <c r="A813" s="1"/>
      <c r="B813" s="17"/>
      <c r="C813" s="17"/>
      <c r="D813" s="2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45">
      <c r="A814" s="1"/>
      <c r="B814" s="17"/>
      <c r="C814" s="17"/>
      <c r="D814" s="2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45">
      <c r="A815" s="1"/>
      <c r="B815" s="17"/>
      <c r="C815" s="17"/>
      <c r="D815" s="2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45">
      <c r="A816" s="1"/>
      <c r="B816" s="17"/>
      <c r="C816" s="17"/>
      <c r="D816" s="2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45">
      <c r="A817" s="1"/>
      <c r="B817" s="17"/>
      <c r="C817" s="17"/>
      <c r="D817" s="2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45">
      <c r="A818" s="1"/>
      <c r="B818" s="17"/>
      <c r="C818" s="17"/>
      <c r="D818" s="2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45">
      <c r="A819" s="1"/>
      <c r="B819" s="17"/>
      <c r="C819" s="17"/>
      <c r="D819" s="2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45">
      <c r="A820" s="1"/>
      <c r="B820" s="17"/>
      <c r="C820" s="17"/>
      <c r="D820" s="2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45">
      <c r="A821" s="1"/>
      <c r="B821" s="17"/>
      <c r="C821" s="17"/>
      <c r="D821" s="2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45">
      <c r="A822" s="1"/>
      <c r="B822" s="17"/>
      <c r="C822" s="17"/>
      <c r="D822" s="2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45">
      <c r="A823" s="1"/>
      <c r="B823" s="17"/>
      <c r="C823" s="17"/>
      <c r="D823" s="2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45">
      <c r="A824" s="1"/>
      <c r="B824" s="17"/>
      <c r="C824" s="17"/>
      <c r="D824" s="2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45">
      <c r="A825" s="1"/>
      <c r="B825" s="17"/>
      <c r="C825" s="17"/>
      <c r="D825" s="2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45">
      <c r="A826" s="1"/>
      <c r="B826" s="17"/>
      <c r="C826" s="17"/>
      <c r="D826" s="2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45">
      <c r="A827" s="1"/>
      <c r="B827" s="17"/>
      <c r="C827" s="17"/>
      <c r="D827" s="2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45">
      <c r="A828" s="1"/>
      <c r="B828" s="17"/>
      <c r="C828" s="17"/>
      <c r="D828" s="2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45">
      <c r="A829" s="1"/>
      <c r="B829" s="17"/>
      <c r="C829" s="17"/>
      <c r="D829" s="2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45">
      <c r="A830" s="1"/>
      <c r="B830" s="17"/>
      <c r="C830" s="17"/>
      <c r="D830" s="2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45">
      <c r="A831" s="1"/>
      <c r="B831" s="17"/>
      <c r="C831" s="17"/>
      <c r="D831" s="2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45">
      <c r="A832" s="1"/>
      <c r="B832" s="17"/>
      <c r="C832" s="17"/>
      <c r="D832" s="2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45">
      <c r="A833" s="1"/>
      <c r="B833" s="17"/>
      <c r="C833" s="17"/>
      <c r="D833" s="2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45">
      <c r="A834" s="1"/>
      <c r="B834" s="17"/>
      <c r="C834" s="17"/>
      <c r="D834" s="2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45">
      <c r="A835" s="1"/>
      <c r="B835" s="17"/>
      <c r="C835" s="17"/>
      <c r="D835" s="2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45">
      <c r="A836" s="1"/>
      <c r="B836" s="17"/>
      <c r="C836" s="17"/>
      <c r="D836" s="2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45">
      <c r="A837" s="1"/>
      <c r="B837" s="17"/>
      <c r="C837" s="17"/>
      <c r="D837" s="2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45">
      <c r="A838" s="1"/>
      <c r="B838" s="17"/>
      <c r="C838" s="17"/>
      <c r="D838" s="2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45">
      <c r="A839" s="1"/>
      <c r="B839" s="17"/>
      <c r="C839" s="17"/>
      <c r="D839" s="2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45">
      <c r="A840" s="1"/>
      <c r="B840" s="17"/>
      <c r="C840" s="17"/>
      <c r="D840" s="2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45">
      <c r="A841" s="1"/>
      <c r="B841" s="17"/>
      <c r="C841" s="17"/>
      <c r="D841" s="2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45">
      <c r="A842" s="1"/>
      <c r="B842" s="17"/>
      <c r="C842" s="17"/>
      <c r="D842" s="2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45">
      <c r="A843" s="1"/>
      <c r="B843" s="17"/>
      <c r="C843" s="17"/>
      <c r="D843" s="2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45">
      <c r="A844" s="1"/>
      <c r="B844" s="17"/>
      <c r="C844" s="17"/>
      <c r="D844" s="2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45">
      <c r="A845" s="1"/>
      <c r="B845" s="17"/>
      <c r="C845" s="17"/>
      <c r="D845" s="2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45">
      <c r="A846" s="1"/>
      <c r="B846" s="17"/>
      <c r="C846" s="17"/>
      <c r="D846" s="2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45">
      <c r="A847" s="1"/>
      <c r="B847" s="17"/>
      <c r="C847" s="17"/>
      <c r="D847" s="2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45">
      <c r="A848" s="1"/>
      <c r="B848" s="17"/>
      <c r="C848" s="17"/>
      <c r="D848" s="2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45">
      <c r="A849" s="1"/>
      <c r="B849" s="17"/>
      <c r="C849" s="17"/>
      <c r="D849" s="2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45">
      <c r="A850" s="1"/>
      <c r="B850" s="17"/>
      <c r="C850" s="17"/>
      <c r="D850" s="2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45">
      <c r="A851" s="1"/>
      <c r="B851" s="17"/>
      <c r="C851" s="17"/>
      <c r="D851" s="2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45">
      <c r="A852" s="1"/>
      <c r="B852" s="17"/>
      <c r="C852" s="17"/>
      <c r="D852" s="2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45">
      <c r="A853" s="1"/>
      <c r="B853" s="17"/>
      <c r="C853" s="17"/>
      <c r="D853" s="2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45">
      <c r="A854" s="1"/>
      <c r="B854" s="17"/>
      <c r="C854" s="17"/>
      <c r="D854" s="2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45">
      <c r="A855" s="1"/>
      <c r="B855" s="17"/>
      <c r="C855" s="17"/>
      <c r="D855" s="2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45">
      <c r="A856" s="1"/>
      <c r="B856" s="17"/>
      <c r="C856" s="17"/>
      <c r="D856" s="2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45">
      <c r="A857" s="1"/>
      <c r="B857" s="17"/>
      <c r="C857" s="17"/>
      <c r="D857" s="2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45">
      <c r="A858" s="1"/>
      <c r="B858" s="17"/>
      <c r="C858" s="17"/>
      <c r="D858" s="2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45">
      <c r="A859" s="1"/>
      <c r="B859" s="17"/>
      <c r="C859" s="17"/>
      <c r="D859" s="2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45">
      <c r="A860" s="1"/>
      <c r="B860" s="17"/>
      <c r="C860" s="17"/>
      <c r="D860" s="2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45">
      <c r="A861" s="1"/>
      <c r="B861" s="17"/>
      <c r="C861" s="17"/>
      <c r="D861" s="2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45">
      <c r="A862" s="1"/>
      <c r="B862" s="17"/>
      <c r="C862" s="17"/>
      <c r="D862" s="2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45">
      <c r="A863" s="1"/>
      <c r="B863" s="17"/>
      <c r="C863" s="17"/>
      <c r="D863" s="2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45">
      <c r="A864" s="1"/>
      <c r="B864" s="17"/>
      <c r="C864" s="17"/>
      <c r="D864" s="2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45">
      <c r="A865" s="1"/>
      <c r="B865" s="17"/>
      <c r="C865" s="17"/>
      <c r="D865" s="2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45">
      <c r="A866" s="1"/>
      <c r="B866" s="17"/>
      <c r="C866" s="17"/>
      <c r="D866" s="2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45">
      <c r="A867" s="1"/>
      <c r="B867" s="17"/>
      <c r="C867" s="17"/>
      <c r="D867" s="2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45">
      <c r="A868" s="1"/>
      <c r="B868" s="17"/>
      <c r="C868" s="17"/>
      <c r="D868" s="2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45">
      <c r="A869" s="1"/>
      <c r="B869" s="17"/>
      <c r="C869" s="17"/>
      <c r="D869" s="2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45">
      <c r="A870" s="1"/>
      <c r="B870" s="17"/>
      <c r="C870" s="17"/>
      <c r="D870" s="2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45">
      <c r="A871" s="1"/>
      <c r="B871" s="17"/>
      <c r="C871" s="17"/>
      <c r="D871" s="2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45">
      <c r="A872" s="1"/>
      <c r="B872" s="17"/>
      <c r="C872" s="17"/>
      <c r="D872" s="2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45">
      <c r="A873" s="1"/>
      <c r="B873" s="17"/>
      <c r="C873" s="17"/>
      <c r="D873" s="2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45">
      <c r="A874" s="1"/>
      <c r="B874" s="17"/>
      <c r="C874" s="17"/>
      <c r="D874" s="2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45">
      <c r="A875" s="1"/>
      <c r="B875" s="17"/>
      <c r="C875" s="17"/>
      <c r="D875" s="2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45">
      <c r="A876" s="1"/>
      <c r="B876" s="17"/>
      <c r="C876" s="17"/>
      <c r="D876" s="2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45">
      <c r="A877" s="1"/>
      <c r="B877" s="17"/>
      <c r="C877" s="17"/>
      <c r="D877" s="2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45">
      <c r="A878" s="1"/>
      <c r="B878" s="17"/>
      <c r="C878" s="17"/>
      <c r="D878" s="2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45">
      <c r="A879" s="1"/>
      <c r="B879" s="17"/>
      <c r="C879" s="17"/>
      <c r="D879" s="2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45">
      <c r="A880" s="1"/>
      <c r="B880" s="17"/>
      <c r="C880" s="17"/>
      <c r="D880" s="2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45">
      <c r="A881" s="1"/>
      <c r="B881" s="17"/>
      <c r="C881" s="17"/>
      <c r="D881" s="2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45">
      <c r="A882" s="1"/>
      <c r="B882" s="17"/>
      <c r="C882" s="17"/>
      <c r="D882" s="2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45">
      <c r="A883" s="1"/>
      <c r="B883" s="17"/>
      <c r="C883" s="17"/>
      <c r="D883" s="2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45">
      <c r="A884" s="1"/>
      <c r="B884" s="17"/>
      <c r="C884" s="17"/>
      <c r="D884" s="2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45">
      <c r="A885" s="1"/>
      <c r="B885" s="17"/>
      <c r="C885" s="17"/>
      <c r="D885" s="2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45">
      <c r="A886" s="1"/>
      <c r="B886" s="17"/>
      <c r="C886" s="17"/>
      <c r="D886" s="2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45">
      <c r="A887" s="1"/>
      <c r="B887" s="17"/>
      <c r="C887" s="17"/>
      <c r="D887" s="2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45">
      <c r="A888" s="1"/>
      <c r="B888" s="17"/>
      <c r="C888" s="17"/>
      <c r="D888" s="2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45">
      <c r="A889" s="1"/>
      <c r="B889" s="17"/>
      <c r="C889" s="17"/>
      <c r="D889" s="2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45">
      <c r="A890" s="1"/>
      <c r="B890" s="17"/>
      <c r="C890" s="17"/>
      <c r="D890" s="2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45">
      <c r="A891" s="1"/>
      <c r="B891" s="17"/>
      <c r="C891" s="17"/>
      <c r="D891" s="2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45">
      <c r="A892" s="1"/>
      <c r="B892" s="17"/>
      <c r="C892" s="17"/>
      <c r="D892" s="2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45">
      <c r="A893" s="1"/>
      <c r="B893" s="17"/>
      <c r="C893" s="17"/>
      <c r="D893" s="2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45">
      <c r="A894" s="1"/>
      <c r="B894" s="17"/>
      <c r="C894" s="17"/>
      <c r="D894" s="2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45">
      <c r="A895" s="1"/>
      <c r="B895" s="17"/>
      <c r="C895" s="17"/>
      <c r="D895" s="2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45">
      <c r="A896" s="1"/>
      <c r="B896" s="17"/>
      <c r="C896" s="17"/>
      <c r="D896" s="2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45">
      <c r="A897" s="1"/>
      <c r="B897" s="17"/>
      <c r="C897" s="17"/>
      <c r="D897" s="2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45">
      <c r="A898" s="1"/>
      <c r="B898" s="17"/>
      <c r="C898" s="17"/>
      <c r="D898" s="2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45">
      <c r="A899" s="1"/>
      <c r="B899" s="17"/>
      <c r="C899" s="17"/>
      <c r="D899" s="2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45">
      <c r="A900" s="1"/>
      <c r="B900" s="17"/>
      <c r="C900" s="17"/>
      <c r="D900" s="2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45">
      <c r="A901" s="1"/>
      <c r="B901" s="17"/>
      <c r="C901" s="17"/>
      <c r="D901" s="2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45">
      <c r="A902" s="1"/>
      <c r="B902" s="17"/>
      <c r="C902" s="17"/>
      <c r="D902" s="2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45">
      <c r="A903" s="1"/>
      <c r="B903" s="17"/>
      <c r="C903" s="17"/>
      <c r="D903" s="2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45">
      <c r="A904" s="1"/>
      <c r="B904" s="17"/>
      <c r="C904" s="17"/>
      <c r="D904" s="2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45">
      <c r="A905" s="1"/>
      <c r="B905" s="17"/>
      <c r="C905" s="17"/>
      <c r="D905" s="2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45">
      <c r="A906" s="1"/>
      <c r="B906" s="17"/>
      <c r="C906" s="17"/>
      <c r="D906" s="2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45">
      <c r="A907" s="1"/>
      <c r="B907" s="17"/>
      <c r="C907" s="17"/>
      <c r="D907" s="2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45">
      <c r="A908" s="1"/>
      <c r="B908" s="17"/>
      <c r="C908" s="17"/>
      <c r="D908" s="2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45">
      <c r="A909" s="1"/>
      <c r="B909" s="17"/>
      <c r="C909" s="17"/>
      <c r="D909" s="2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45">
      <c r="A910" s="1"/>
      <c r="B910" s="17"/>
      <c r="C910" s="17"/>
      <c r="D910" s="2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45">
      <c r="A911" s="1"/>
      <c r="B911" s="17"/>
      <c r="C911" s="17"/>
      <c r="D911" s="2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45">
      <c r="A912" s="1"/>
      <c r="B912" s="17"/>
      <c r="C912" s="17"/>
      <c r="D912" s="2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45">
      <c r="A913" s="1"/>
      <c r="B913" s="17"/>
      <c r="C913" s="17"/>
      <c r="D913" s="2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45">
      <c r="A914" s="1"/>
      <c r="B914" s="17"/>
      <c r="C914" s="17"/>
      <c r="D914" s="2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45">
      <c r="A915" s="1"/>
      <c r="B915" s="17"/>
      <c r="C915" s="17"/>
      <c r="D915" s="2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45">
      <c r="A916" s="1"/>
      <c r="B916" s="17"/>
      <c r="C916" s="17"/>
      <c r="D916" s="2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45">
      <c r="A917" s="1"/>
      <c r="B917" s="17"/>
      <c r="C917" s="17"/>
      <c r="D917" s="2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45">
      <c r="A918" s="1"/>
      <c r="B918" s="17"/>
      <c r="C918" s="17"/>
      <c r="D918" s="2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45">
      <c r="A919" s="1"/>
      <c r="B919" s="17"/>
      <c r="C919" s="17"/>
      <c r="D919" s="2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45">
      <c r="A920" s="1"/>
      <c r="B920" s="17"/>
      <c r="C920" s="17"/>
      <c r="D920" s="2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45">
      <c r="A921" s="1"/>
      <c r="B921" s="17"/>
      <c r="C921" s="17"/>
      <c r="D921" s="2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45">
      <c r="A922" s="1"/>
      <c r="B922" s="17"/>
      <c r="C922" s="17"/>
      <c r="D922" s="2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45">
      <c r="A923" s="1"/>
      <c r="B923" s="17"/>
      <c r="C923" s="17"/>
      <c r="D923" s="2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45">
      <c r="A924" s="1"/>
      <c r="B924" s="17"/>
      <c r="C924" s="17"/>
      <c r="D924" s="2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45">
      <c r="A925" s="1"/>
      <c r="B925" s="17"/>
      <c r="C925" s="17"/>
      <c r="D925" s="2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45">
      <c r="A926" s="1"/>
      <c r="B926" s="17"/>
      <c r="C926" s="17"/>
      <c r="D926" s="2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45">
      <c r="A927" s="1"/>
      <c r="B927" s="17"/>
      <c r="C927" s="17"/>
      <c r="D927" s="2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45">
      <c r="A928" s="1"/>
      <c r="B928" s="17"/>
      <c r="C928" s="17"/>
      <c r="D928" s="2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45">
      <c r="A929" s="1"/>
      <c r="B929" s="17"/>
      <c r="C929" s="17"/>
      <c r="D929" s="2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45">
      <c r="A930" s="1"/>
      <c r="B930" s="17"/>
      <c r="C930" s="17"/>
      <c r="D930" s="2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45">
      <c r="A931" s="1"/>
      <c r="B931" s="17"/>
      <c r="C931" s="17"/>
      <c r="D931" s="2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45">
      <c r="A932" s="1"/>
      <c r="B932" s="17"/>
      <c r="C932" s="17"/>
      <c r="D932" s="2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45">
      <c r="A933" s="1"/>
      <c r="B933" s="17"/>
      <c r="C933" s="17"/>
      <c r="D933" s="2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45">
      <c r="A934" s="1"/>
      <c r="B934" s="17"/>
      <c r="C934" s="17"/>
      <c r="D934" s="2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45">
      <c r="A935" s="1"/>
      <c r="B935" s="17"/>
      <c r="C935" s="17"/>
      <c r="D935" s="2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45">
      <c r="A936" s="1"/>
      <c r="B936" s="17"/>
      <c r="C936" s="17"/>
      <c r="D936" s="2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45">
      <c r="A937" s="1"/>
      <c r="B937" s="17"/>
      <c r="C937" s="17"/>
      <c r="D937" s="2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45">
      <c r="A938" s="1"/>
      <c r="B938" s="17"/>
      <c r="C938" s="17"/>
      <c r="D938" s="2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45">
      <c r="A939" s="1"/>
      <c r="B939" s="17"/>
      <c r="C939" s="17"/>
      <c r="D939" s="2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45">
      <c r="A940" s="1"/>
      <c r="B940" s="17"/>
      <c r="C940" s="17"/>
      <c r="D940" s="2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45">
      <c r="A941" s="1"/>
      <c r="B941" s="17"/>
      <c r="C941" s="17"/>
      <c r="D941" s="2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45">
      <c r="A942" s="1"/>
      <c r="B942" s="17"/>
      <c r="C942" s="17"/>
      <c r="D942" s="2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45">
      <c r="A943" s="1"/>
      <c r="B943" s="17"/>
      <c r="C943" s="17"/>
      <c r="D943" s="2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45">
      <c r="A944" s="1"/>
      <c r="B944" s="17"/>
      <c r="C944" s="17"/>
      <c r="D944" s="2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45">
      <c r="A945" s="1"/>
      <c r="B945" s="17"/>
      <c r="C945" s="17"/>
      <c r="D945" s="2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45">
      <c r="A946" s="1"/>
      <c r="B946" s="17"/>
      <c r="C946" s="17"/>
      <c r="D946" s="2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45">
      <c r="A947" s="1"/>
      <c r="B947" s="17"/>
      <c r="C947" s="17"/>
      <c r="D947" s="2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45">
      <c r="A948" s="1"/>
      <c r="B948" s="17"/>
      <c r="C948" s="17"/>
      <c r="D948" s="2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45">
      <c r="A949" s="1"/>
      <c r="B949" s="17"/>
      <c r="C949" s="17"/>
      <c r="D949" s="2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45">
      <c r="A950" s="1"/>
      <c r="B950" s="17"/>
      <c r="C950" s="17"/>
      <c r="D950" s="2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45">
      <c r="A951" s="1"/>
      <c r="B951" s="17"/>
      <c r="C951" s="17"/>
      <c r="D951" s="2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45">
      <c r="A952" s="1"/>
      <c r="B952" s="17"/>
      <c r="C952" s="17"/>
      <c r="D952" s="2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45">
      <c r="A953" s="1"/>
      <c r="B953" s="17"/>
      <c r="C953" s="17"/>
      <c r="D953" s="2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45">
      <c r="A954" s="1"/>
      <c r="B954" s="17"/>
      <c r="C954" s="17"/>
      <c r="D954" s="2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45">
      <c r="A955" s="1"/>
      <c r="B955" s="17"/>
      <c r="C955" s="17"/>
      <c r="D955" s="2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45">
      <c r="A956" s="1"/>
      <c r="B956" s="17"/>
      <c r="C956" s="17"/>
      <c r="D956" s="2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45">
      <c r="A957" s="1"/>
      <c r="B957" s="17"/>
      <c r="C957" s="17"/>
      <c r="D957" s="2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45">
      <c r="A958" s="1"/>
      <c r="B958" s="17"/>
      <c r="C958" s="17"/>
      <c r="D958" s="2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45">
      <c r="A959" s="1"/>
      <c r="B959" s="17"/>
      <c r="C959" s="17"/>
      <c r="D959" s="2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45">
      <c r="A960" s="1"/>
      <c r="B960" s="17"/>
      <c r="C960" s="17"/>
      <c r="D960" s="2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45">
      <c r="A961" s="1"/>
      <c r="B961" s="17"/>
      <c r="C961" s="17"/>
      <c r="D961" s="2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45">
      <c r="A962" s="1"/>
      <c r="B962" s="17"/>
      <c r="C962" s="17"/>
      <c r="D962" s="2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45">
      <c r="A963" s="1"/>
      <c r="B963" s="17"/>
      <c r="C963" s="17"/>
      <c r="D963" s="2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45">
      <c r="A964" s="1"/>
      <c r="B964" s="17"/>
      <c r="C964" s="17"/>
      <c r="D964" s="2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45">
      <c r="A965" s="1"/>
      <c r="B965" s="17"/>
      <c r="C965" s="17"/>
      <c r="D965" s="2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45">
      <c r="A966" s="1"/>
      <c r="B966" s="17"/>
      <c r="C966" s="17"/>
      <c r="D966" s="2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45">
      <c r="A967" s="1"/>
      <c r="B967" s="17"/>
      <c r="C967" s="17"/>
      <c r="D967" s="2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45">
      <c r="A968" s="1"/>
      <c r="B968" s="17"/>
      <c r="C968" s="17"/>
      <c r="D968" s="2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45">
      <c r="A969" s="1"/>
      <c r="B969" s="17"/>
      <c r="C969" s="17"/>
      <c r="D969" s="2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45">
      <c r="A970" s="1"/>
      <c r="B970" s="17"/>
      <c r="C970" s="17"/>
      <c r="D970" s="2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45">
      <c r="A971" s="1"/>
      <c r="B971" s="17"/>
      <c r="C971" s="17"/>
      <c r="D971" s="2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45">
      <c r="A972" s="1"/>
      <c r="B972" s="17"/>
      <c r="C972" s="17"/>
      <c r="D972" s="2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45">
      <c r="A973" s="1"/>
      <c r="B973" s="17"/>
      <c r="C973" s="17"/>
      <c r="D973" s="2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45">
      <c r="A974" s="1"/>
      <c r="B974" s="17"/>
      <c r="C974" s="17"/>
      <c r="D974" s="2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45">
      <c r="A975" s="1"/>
      <c r="B975" s="17"/>
      <c r="C975" s="17"/>
      <c r="D975" s="2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45">
      <c r="A976" s="1"/>
      <c r="B976" s="17"/>
      <c r="C976" s="17"/>
      <c r="D976" s="2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45">
      <c r="A977" s="1"/>
      <c r="B977" s="17"/>
      <c r="C977" s="17"/>
      <c r="D977" s="2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45">
      <c r="A978" s="1"/>
      <c r="B978" s="17"/>
      <c r="C978" s="17"/>
      <c r="D978" s="2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45">
      <c r="A979" s="1"/>
      <c r="B979" s="17"/>
      <c r="C979" s="17"/>
      <c r="D979" s="2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45">
      <c r="A980" s="1"/>
      <c r="B980" s="17"/>
      <c r="C980" s="17"/>
      <c r="D980" s="2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45">
      <c r="A981" s="1"/>
      <c r="B981" s="17"/>
      <c r="C981" s="17"/>
      <c r="D981" s="2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45">
      <c r="A982" s="1"/>
      <c r="B982" s="17"/>
      <c r="C982" s="17"/>
      <c r="D982" s="2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45">
      <c r="A983" s="1"/>
      <c r="B983" s="17"/>
      <c r="C983" s="17"/>
      <c r="D983" s="2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45">
      <c r="A984" s="1"/>
      <c r="B984" s="17"/>
      <c r="C984" s="17"/>
      <c r="D984" s="2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45">
      <c r="A985" s="1"/>
      <c r="B985" s="17"/>
      <c r="C985" s="17"/>
      <c r="D985" s="2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45">
      <c r="A986" s="1"/>
      <c r="B986" s="17"/>
      <c r="C986" s="17"/>
      <c r="D986" s="2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45">
      <c r="A987" s="1"/>
      <c r="B987" s="17"/>
      <c r="C987" s="17"/>
      <c r="D987" s="2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45">
      <c r="A988" s="1"/>
      <c r="B988" s="17"/>
      <c r="C988" s="17"/>
      <c r="D988" s="2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45">
      <c r="A989" s="1"/>
      <c r="B989" s="17"/>
      <c r="C989" s="17"/>
      <c r="D989" s="2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45">
      <c r="A990" s="1"/>
      <c r="B990" s="17"/>
      <c r="C990" s="17"/>
      <c r="D990" s="2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45">
      <c r="A991" s="1"/>
      <c r="B991" s="17"/>
      <c r="C991" s="17"/>
      <c r="D991" s="2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45">
      <c r="A992" s="1"/>
      <c r="B992" s="17"/>
      <c r="C992" s="17"/>
      <c r="D992" s="2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45">
      <c r="A993" s="1"/>
      <c r="B993" s="17"/>
      <c r="C993" s="17"/>
      <c r="D993" s="2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45">
      <c r="A994" s="1"/>
      <c r="B994" s="17"/>
      <c r="C994" s="17"/>
      <c r="D994" s="2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45">
      <c r="A995" s="1"/>
      <c r="B995" s="17"/>
      <c r="C995" s="17"/>
      <c r="D995" s="2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45">
      <c r="A996" s="1"/>
      <c r="B996" s="17"/>
      <c r="C996" s="17"/>
      <c r="D996" s="2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sortState xmlns:xlrd2="http://schemas.microsoft.com/office/spreadsheetml/2017/richdata2" ref="B3:N194">
    <sortCondition ref="E194"/>
  </sortState>
  <phoneticPr fontId="8" type="noConversion"/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ESTOQUE</vt:lpstr>
      <vt:lpstr>DETALHADO</vt:lpstr>
      <vt:lpstr>Cadastro Produtos (kiwkiw)</vt:lpstr>
      <vt:lpstr>ESTOQUE!Area_de_impressao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Flávio Pinto</dc:creator>
  <cp:keywords/>
  <dc:description/>
  <cp:lastModifiedBy>KiwKiw LTDA</cp:lastModifiedBy>
  <cp:revision/>
  <dcterms:created xsi:type="dcterms:W3CDTF">2021-11-15T20:41:54Z</dcterms:created>
  <dcterms:modified xsi:type="dcterms:W3CDTF">2026-04-21T21:34:55Z</dcterms:modified>
  <cp:category/>
  <cp:contentStatus/>
</cp:coreProperties>
</file>