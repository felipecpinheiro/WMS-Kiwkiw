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7c69c8738e02b05c/Área de Trabalho/Códigos Pyton - NÃO MOVER/"/>
    </mc:Choice>
  </mc:AlternateContent>
  <xr:revisionPtr revIDLastSave="1" documentId="8_{A3F83C11-3F0E-4883-802A-1820048F0026}" xr6:coauthVersionLast="47" xr6:coauthVersionMax="47" xr10:uidLastSave="{0C3F09E6-5A7D-48C3-8391-218A4C11CBDE}"/>
  <bookViews>
    <workbookView xWindow="-103" yWindow="-103" windowWidth="24892" windowHeight="14914" activeTab="1" xr2:uid="{B5D61291-1DC9-44A5-9D53-B3391C88686B}"/>
  </bookViews>
  <sheets>
    <sheet name="SUPORTE" sheetId="5" r:id="rId1"/>
    <sheet name="MENU" sheetId="1" r:id="rId2"/>
    <sheet name="DATABASE" sheetId="4" state="hidden" r:id="rId3"/>
  </sheets>
  <functionGroups builtInGroupCount="19"/>
  <definedNames>
    <definedName name="_xlnm._FilterDatabase" localSheetId="0" hidden="1">SUPORTE!$B$4:$I$20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3" i="5" l="1"/>
  <c r="O12" i="1" l="1"/>
  <c r="A3651" i="5"/>
  <c r="A3650" i="5"/>
  <c r="A3649" i="5"/>
  <c r="A3648" i="5"/>
  <c r="A3647" i="5"/>
  <c r="A3646" i="5"/>
  <c r="A3645" i="5"/>
  <c r="A3644" i="5"/>
  <c r="A3643" i="5"/>
  <c r="A3642" i="5"/>
  <c r="A3641" i="5"/>
  <c r="A3640" i="5"/>
  <c r="A3639" i="5"/>
  <c r="A3638" i="5"/>
  <c r="A3637" i="5"/>
  <c r="A3636" i="5"/>
  <c r="A3635" i="5"/>
  <c r="A3634" i="5"/>
  <c r="A3633" i="5"/>
  <c r="A3632" i="5"/>
  <c r="A3631" i="5"/>
  <c r="A3630" i="5"/>
  <c r="A3629" i="5"/>
  <c r="A3628" i="5"/>
  <c r="A3627" i="5"/>
  <c r="A3626" i="5"/>
  <c r="A3625" i="5"/>
  <c r="A3624" i="5"/>
  <c r="A3623" i="5"/>
  <c r="A3622" i="5"/>
  <c r="A3621" i="5"/>
  <c r="A3620" i="5"/>
  <c r="A3619" i="5"/>
  <c r="A3618" i="5"/>
  <c r="A3617" i="5"/>
  <c r="A3616" i="5"/>
  <c r="A3615" i="5"/>
  <c r="A3614" i="5"/>
  <c r="A3613" i="5"/>
  <c r="A3612" i="5"/>
  <c r="A3611" i="5"/>
  <c r="A3610" i="5"/>
  <c r="A3609" i="5"/>
  <c r="A3608" i="5"/>
  <c r="A3607" i="5"/>
  <c r="A3606" i="5"/>
  <c r="A3605" i="5"/>
  <c r="A3604" i="5"/>
  <c r="A3603" i="5"/>
  <c r="A3602" i="5"/>
  <c r="A3601" i="5"/>
  <c r="A3600" i="5"/>
  <c r="A3599" i="5"/>
  <c r="A3598" i="5"/>
  <c r="A3597" i="5"/>
  <c r="A3596" i="5"/>
  <c r="A3595" i="5"/>
  <c r="A3594" i="5"/>
  <c r="A3593" i="5"/>
  <c r="A3592" i="5"/>
  <c r="A3591" i="5"/>
  <c r="A3590" i="5"/>
  <c r="A3589" i="5"/>
  <c r="A3588" i="5"/>
  <c r="A3587" i="5"/>
  <c r="A3586" i="5"/>
  <c r="A3585" i="5"/>
  <c r="A3584" i="5"/>
  <c r="A3583" i="5"/>
  <c r="A3582" i="5"/>
  <c r="A3581" i="5"/>
  <c r="A3580" i="5"/>
  <c r="A3579" i="5"/>
  <c r="A3578" i="5"/>
  <c r="A3577" i="5"/>
  <c r="A3576" i="5"/>
  <c r="A3575" i="5"/>
  <c r="A3574" i="5"/>
  <c r="A3573" i="5"/>
  <c r="A3572" i="5"/>
  <c r="A3571" i="5"/>
  <c r="A3570" i="5"/>
  <c r="A3569" i="5"/>
  <c r="A3568" i="5"/>
  <c r="A3567" i="5"/>
  <c r="A3566" i="5"/>
  <c r="A3565" i="5"/>
  <c r="A3564" i="5"/>
  <c r="A3563" i="5"/>
  <c r="A3562" i="5"/>
  <c r="A3561" i="5"/>
  <c r="A3560" i="5"/>
  <c r="A3559" i="5"/>
  <c r="A3558" i="5"/>
  <c r="A3557" i="5"/>
  <c r="A3556" i="5"/>
  <c r="A3555" i="5"/>
  <c r="A3554" i="5"/>
  <c r="A3553" i="5"/>
  <c r="A3552" i="5"/>
  <c r="A3551" i="5"/>
  <c r="A3550" i="5"/>
  <c r="A3549" i="5"/>
  <c r="A3548" i="5"/>
  <c r="A3547" i="5"/>
  <c r="A3546" i="5"/>
  <c r="A3545" i="5"/>
  <c r="A3544" i="5"/>
  <c r="A3543" i="5"/>
  <c r="A3542" i="5"/>
  <c r="A3541" i="5"/>
  <c r="A3540" i="5"/>
  <c r="A3539" i="5"/>
  <c r="A3538" i="5"/>
  <c r="A3537" i="5"/>
  <c r="A3536" i="5"/>
  <c r="A3535" i="5"/>
  <c r="A3534" i="5"/>
  <c r="A3533" i="5"/>
  <c r="A3532" i="5"/>
  <c r="A3531" i="5"/>
  <c r="A3530" i="5"/>
  <c r="A3529" i="5"/>
  <c r="A3528" i="5"/>
  <c r="A3527" i="5"/>
  <c r="A3526" i="5"/>
  <c r="A3525" i="5"/>
  <c r="A3524" i="5"/>
  <c r="A3523" i="5"/>
  <c r="A3522" i="5"/>
  <c r="A3521" i="5"/>
  <c r="A3520" i="5"/>
  <c r="A3519" i="5"/>
  <c r="A3518" i="5"/>
  <c r="A3517" i="5"/>
  <c r="A3516" i="5"/>
  <c r="A3515" i="5"/>
  <c r="A3514" i="5"/>
  <c r="A3513" i="5"/>
  <c r="A3512" i="5"/>
  <c r="A3511" i="5"/>
  <c r="A3510" i="5"/>
  <c r="A3509" i="5"/>
  <c r="A3508" i="5"/>
  <c r="A3507" i="5"/>
  <c r="A3506" i="5"/>
  <c r="A3505" i="5"/>
  <c r="A3504" i="5"/>
  <c r="A3503" i="5"/>
  <c r="A3502" i="5"/>
  <c r="A3501" i="5"/>
  <c r="A3500" i="5"/>
  <c r="A3499" i="5"/>
  <c r="A3498" i="5"/>
  <c r="A3497" i="5"/>
  <c r="A3496" i="5"/>
  <c r="A3495" i="5"/>
  <c r="A3494" i="5"/>
  <c r="A3493" i="5"/>
  <c r="A3492" i="5"/>
  <c r="A3491" i="5"/>
  <c r="A3490" i="5"/>
  <c r="A3489" i="5"/>
  <c r="A3488" i="5"/>
  <c r="A3487" i="5"/>
  <c r="A3486" i="5"/>
  <c r="A3485" i="5"/>
  <c r="A3484" i="5"/>
  <c r="A3483" i="5"/>
  <c r="A3482" i="5"/>
  <c r="A3481" i="5"/>
  <c r="A3480" i="5"/>
  <c r="A3479" i="5"/>
  <c r="A3478" i="5"/>
  <c r="A3477" i="5"/>
  <c r="A3476" i="5"/>
  <c r="A3475" i="5"/>
  <c r="A3474" i="5"/>
  <c r="A3473" i="5"/>
  <c r="A3472" i="5"/>
  <c r="A3471" i="5"/>
  <c r="A3470" i="5"/>
  <c r="A3469" i="5"/>
  <c r="A3468" i="5"/>
  <c r="A3467" i="5"/>
  <c r="A3466" i="5"/>
  <c r="A3465" i="5"/>
  <c r="A3464" i="5"/>
  <c r="A3463" i="5"/>
  <c r="A3462" i="5"/>
  <c r="A3461" i="5"/>
  <c r="A3460" i="5"/>
  <c r="A3459" i="5"/>
  <c r="A3458" i="5"/>
  <c r="A3457" i="5"/>
  <c r="A3456" i="5"/>
  <c r="A3455" i="5"/>
  <c r="A3454" i="5"/>
  <c r="A3453" i="5"/>
  <c r="A3452" i="5"/>
  <c r="A3451" i="5"/>
  <c r="A3450" i="5"/>
  <c r="A3449" i="5"/>
  <c r="A3448" i="5"/>
  <c r="A3447" i="5"/>
  <c r="A3446" i="5"/>
  <c r="A3445" i="5"/>
  <c r="A3444" i="5"/>
  <c r="A3443" i="5"/>
  <c r="A3442" i="5"/>
  <c r="A3441" i="5"/>
  <c r="A3440" i="5"/>
  <c r="A3439" i="5"/>
  <c r="A3438" i="5"/>
  <c r="A3437" i="5"/>
  <c r="A3436" i="5"/>
  <c r="A3435" i="5"/>
  <c r="A3434" i="5"/>
  <c r="A3433" i="5"/>
  <c r="A3432" i="5"/>
  <c r="A3431" i="5"/>
  <c r="A3430" i="5"/>
  <c r="A3429" i="5"/>
  <c r="A3428" i="5"/>
  <c r="A3427" i="5"/>
  <c r="A3426" i="5"/>
  <c r="A3425" i="5"/>
  <c r="A3424" i="5"/>
  <c r="A3423" i="5"/>
  <c r="A3422" i="5"/>
  <c r="A3421" i="5"/>
  <c r="A3420" i="5"/>
  <c r="A3419" i="5"/>
  <c r="A3418" i="5"/>
  <c r="A3417" i="5"/>
  <c r="A3416" i="5"/>
  <c r="A3415" i="5"/>
  <c r="A3414" i="5"/>
  <c r="A3413" i="5"/>
  <c r="A3412" i="5"/>
  <c r="A3411" i="5"/>
  <c r="A3410" i="5"/>
  <c r="A3409" i="5"/>
  <c r="A3408" i="5"/>
  <c r="A3407" i="5"/>
  <c r="A3406" i="5"/>
  <c r="A3405" i="5"/>
  <c r="A3404" i="5"/>
  <c r="A3403" i="5"/>
  <c r="A3402" i="5"/>
  <c r="A3401" i="5"/>
  <c r="A3400" i="5"/>
  <c r="A3399" i="5"/>
  <c r="A3398" i="5"/>
  <c r="A3397" i="5"/>
  <c r="A3396" i="5"/>
  <c r="A3395" i="5"/>
  <c r="A3394" i="5"/>
  <c r="A3393" i="5"/>
  <c r="A3392" i="5"/>
  <c r="A3391" i="5"/>
  <c r="A3390" i="5"/>
  <c r="A3389" i="5"/>
  <c r="A3388" i="5"/>
  <c r="A3387" i="5"/>
  <c r="A3386" i="5"/>
  <c r="A3385" i="5"/>
  <c r="A3384" i="5"/>
  <c r="A3383" i="5"/>
  <c r="A3382" i="5"/>
  <c r="A3381" i="5"/>
  <c r="A3380" i="5"/>
  <c r="A3379" i="5"/>
  <c r="A3378" i="5"/>
  <c r="A3377" i="5"/>
  <c r="A3376" i="5"/>
  <c r="A3375" i="5"/>
  <c r="A3374" i="5"/>
  <c r="A3373" i="5"/>
  <c r="A3372" i="5"/>
  <c r="A3371" i="5"/>
  <c r="A3370" i="5"/>
  <c r="A3369" i="5"/>
  <c r="A3368" i="5"/>
  <c r="A3367" i="5"/>
  <c r="A3366" i="5"/>
  <c r="A3365" i="5"/>
  <c r="A3364" i="5"/>
  <c r="A3363" i="5"/>
  <c r="A3362" i="5"/>
  <c r="A3361" i="5"/>
  <c r="A3360" i="5"/>
  <c r="A3359" i="5"/>
  <c r="A3358" i="5"/>
  <c r="A3357" i="5"/>
  <c r="A3356" i="5"/>
  <c r="A3355" i="5"/>
  <c r="A3354" i="5"/>
  <c r="A3353" i="5"/>
  <c r="A3352" i="5"/>
  <c r="A3351" i="5"/>
  <c r="A3350" i="5"/>
  <c r="A3349" i="5"/>
  <c r="A3348" i="5"/>
  <c r="A3347" i="5"/>
  <c r="A3346" i="5"/>
  <c r="A3345" i="5"/>
  <c r="A3344" i="5"/>
  <c r="A3343" i="5"/>
  <c r="A3342" i="5"/>
  <c r="A3341" i="5"/>
  <c r="A3340" i="5"/>
  <c r="A3339" i="5"/>
  <c r="A3338" i="5"/>
  <c r="A3337" i="5"/>
  <c r="A3336" i="5"/>
  <c r="A3335" i="5"/>
  <c r="A3334" i="5"/>
  <c r="A3333" i="5"/>
  <c r="A3332" i="5"/>
  <c r="A3331" i="5"/>
  <c r="A3330" i="5"/>
  <c r="A3329" i="5"/>
  <c r="A3328" i="5"/>
  <c r="A3327" i="5"/>
  <c r="A3326" i="5"/>
  <c r="A3325" i="5"/>
  <c r="A3324" i="5"/>
  <c r="A3323" i="5"/>
  <c r="A3322" i="5"/>
  <c r="A3321" i="5"/>
  <c r="A3320" i="5"/>
  <c r="A3319" i="5"/>
  <c r="A3318" i="5"/>
  <c r="A3317" i="5"/>
  <c r="A3316" i="5"/>
  <c r="A3315" i="5"/>
  <c r="A3314" i="5"/>
  <c r="A3313" i="5"/>
  <c r="A3312" i="5"/>
  <c r="A3311" i="5"/>
  <c r="A3310" i="5"/>
  <c r="A3309" i="5"/>
  <c r="A3308" i="5"/>
  <c r="A3307" i="5"/>
  <c r="A3306" i="5"/>
  <c r="A3305" i="5"/>
  <c r="A3304" i="5"/>
  <c r="A3303" i="5"/>
  <c r="A3302" i="5"/>
  <c r="A3301" i="5"/>
  <c r="A3300" i="5"/>
  <c r="A3299" i="5"/>
  <c r="A3298" i="5"/>
  <c r="A3297" i="5"/>
  <c r="A3296" i="5"/>
  <c r="A3295" i="5"/>
  <c r="A3294" i="5"/>
  <c r="A3293" i="5"/>
  <c r="A3292" i="5"/>
  <c r="A3291" i="5"/>
  <c r="A3290" i="5"/>
  <c r="A3289" i="5"/>
  <c r="A3288" i="5"/>
  <c r="A3287" i="5"/>
  <c r="A3286" i="5"/>
  <c r="A3285" i="5"/>
  <c r="A3284" i="5"/>
  <c r="A3283" i="5"/>
  <c r="A3282" i="5"/>
  <c r="A3281" i="5"/>
  <c r="A3280" i="5"/>
  <c r="A3279" i="5"/>
  <c r="A3278" i="5"/>
  <c r="A3277" i="5"/>
  <c r="A3276" i="5"/>
  <c r="A3275" i="5"/>
  <c r="A3274" i="5"/>
  <c r="A3273" i="5"/>
  <c r="A3272" i="5"/>
  <c r="A3271" i="5"/>
  <c r="A3270" i="5"/>
  <c r="A3269" i="5"/>
  <c r="A3268" i="5"/>
  <c r="A3267" i="5"/>
  <c r="A3266" i="5"/>
  <c r="A3265" i="5"/>
  <c r="A3264" i="5"/>
  <c r="A3263" i="5"/>
  <c r="A3262" i="5"/>
  <c r="A3261" i="5"/>
  <c r="A3260" i="5"/>
  <c r="A3259" i="5"/>
  <c r="A3258" i="5"/>
  <c r="A3257" i="5"/>
  <c r="A3256" i="5"/>
  <c r="A3255" i="5"/>
  <c r="A3254" i="5"/>
  <c r="A3253" i="5"/>
  <c r="A3252" i="5"/>
  <c r="A3251" i="5"/>
  <c r="A3250" i="5"/>
  <c r="A3249" i="5"/>
  <c r="A3248" i="5"/>
  <c r="A3247" i="5"/>
  <c r="A3246" i="5"/>
  <c r="A3245" i="5"/>
  <c r="A3244" i="5"/>
  <c r="A3243" i="5"/>
  <c r="A3242" i="5"/>
  <c r="A3241" i="5"/>
  <c r="A3240" i="5"/>
  <c r="A3239" i="5"/>
  <c r="A3238" i="5"/>
  <c r="A3237" i="5"/>
  <c r="A3236" i="5"/>
  <c r="A3235" i="5"/>
  <c r="A3234" i="5"/>
  <c r="A3233" i="5"/>
  <c r="A3232" i="5"/>
  <c r="A3231" i="5"/>
  <c r="A3230" i="5"/>
  <c r="A3229" i="5"/>
  <c r="A3228" i="5"/>
  <c r="A3227" i="5"/>
  <c r="A3226" i="5"/>
  <c r="A3225" i="5"/>
  <c r="A3224" i="5"/>
  <c r="A3223" i="5"/>
  <c r="A3222" i="5"/>
  <c r="A3221" i="5"/>
  <c r="A3220" i="5"/>
  <c r="A3219" i="5"/>
  <c r="A3218" i="5"/>
  <c r="A3217" i="5"/>
  <c r="A3216" i="5"/>
  <c r="A3215" i="5"/>
  <c r="A3214" i="5"/>
  <c r="A3213" i="5"/>
  <c r="A3212" i="5"/>
  <c r="A3211" i="5"/>
  <c r="A3210" i="5"/>
  <c r="A3209" i="5"/>
  <c r="A3208" i="5"/>
  <c r="A3207" i="5"/>
  <c r="A3206" i="5"/>
  <c r="A3205" i="5"/>
  <c r="A3204" i="5"/>
  <c r="A3203" i="5"/>
  <c r="A3202" i="5"/>
  <c r="A3201" i="5"/>
  <c r="A3200" i="5"/>
  <c r="A3199" i="5"/>
  <c r="A3198" i="5"/>
  <c r="A3197" i="5"/>
  <c r="A3196" i="5"/>
  <c r="A3195" i="5"/>
  <c r="A3194" i="5"/>
  <c r="A3193" i="5"/>
  <c r="A3192" i="5"/>
  <c r="A3191" i="5"/>
  <c r="A3190" i="5"/>
  <c r="A3189" i="5"/>
  <c r="A3188" i="5"/>
  <c r="A3187" i="5"/>
  <c r="A3186" i="5"/>
  <c r="A3185" i="5"/>
  <c r="A3184" i="5"/>
  <c r="A3183" i="5"/>
  <c r="A3182" i="5"/>
  <c r="A3181" i="5"/>
  <c r="A3180" i="5"/>
  <c r="A3179" i="5"/>
  <c r="A3178" i="5"/>
  <c r="A3177" i="5"/>
  <c r="A3176" i="5"/>
  <c r="A3175" i="5"/>
  <c r="A3174" i="5"/>
  <c r="A3173" i="5"/>
  <c r="A3172" i="5"/>
  <c r="A3171" i="5"/>
  <c r="A3170" i="5"/>
  <c r="A3169" i="5"/>
  <c r="A3168" i="5"/>
  <c r="A3167" i="5"/>
  <c r="A3166" i="5"/>
  <c r="A3165" i="5"/>
  <c r="A3164" i="5"/>
  <c r="A3163" i="5"/>
  <c r="A3162" i="5"/>
  <c r="A3161" i="5"/>
  <c r="A3160" i="5"/>
  <c r="A3159" i="5"/>
  <c r="A3158" i="5"/>
  <c r="A3157" i="5"/>
  <c r="A3156" i="5"/>
  <c r="A3155" i="5"/>
  <c r="A3154" i="5"/>
  <c r="A3153" i="5"/>
  <c r="A3152" i="5"/>
  <c r="A3151" i="5"/>
  <c r="A3150" i="5"/>
  <c r="A3149" i="5"/>
  <c r="A3148" i="5"/>
  <c r="A3147" i="5"/>
  <c r="A3146" i="5"/>
  <c r="A3145" i="5"/>
  <c r="A3144" i="5"/>
  <c r="A3143" i="5"/>
  <c r="A3142" i="5"/>
  <c r="A3141" i="5"/>
  <c r="A3140" i="5"/>
  <c r="A3139" i="5"/>
  <c r="A3138" i="5"/>
  <c r="A3137" i="5"/>
  <c r="A3136" i="5"/>
  <c r="A3135" i="5"/>
  <c r="A3134" i="5"/>
  <c r="A3133" i="5"/>
  <c r="A3132" i="5"/>
  <c r="A3131" i="5"/>
  <c r="A3130" i="5"/>
  <c r="A3129" i="5"/>
  <c r="A3128" i="5"/>
  <c r="A3127" i="5"/>
  <c r="A3126" i="5"/>
  <c r="A3125" i="5"/>
  <c r="A3124" i="5"/>
  <c r="A3123" i="5"/>
  <c r="A3122" i="5"/>
  <c r="A3121" i="5"/>
  <c r="A3120" i="5"/>
  <c r="A3119" i="5"/>
  <c r="A3118" i="5"/>
  <c r="A3117" i="5"/>
  <c r="A3116" i="5"/>
  <c r="A3115" i="5"/>
  <c r="A3114" i="5"/>
  <c r="A3113" i="5"/>
  <c r="A3112" i="5"/>
  <c r="A3111" i="5"/>
  <c r="A3110" i="5"/>
  <c r="A3109" i="5"/>
  <c r="A3108" i="5"/>
  <c r="A3107" i="5"/>
  <c r="A3106" i="5"/>
  <c r="A3105" i="5"/>
  <c r="A3104" i="5"/>
  <c r="A3103" i="5"/>
  <c r="A3102" i="5"/>
  <c r="A3101" i="5"/>
  <c r="A3100" i="5"/>
  <c r="A3099" i="5"/>
  <c r="A3098" i="5"/>
  <c r="A3097" i="5"/>
  <c r="A3096" i="5"/>
  <c r="A3095" i="5"/>
  <c r="A3094" i="5"/>
  <c r="A3093" i="5"/>
  <c r="A3092" i="5"/>
  <c r="A3091" i="5"/>
  <c r="A3090" i="5"/>
  <c r="A3089" i="5"/>
  <c r="A3088" i="5"/>
  <c r="A3087" i="5"/>
  <c r="A3086" i="5"/>
  <c r="A3085" i="5"/>
  <c r="A3084" i="5"/>
  <c r="A3083" i="5"/>
  <c r="A3082" i="5"/>
  <c r="A3081" i="5"/>
  <c r="A3080" i="5"/>
  <c r="A3079" i="5"/>
  <c r="A3078" i="5"/>
  <c r="A3077" i="5"/>
  <c r="A3076" i="5"/>
  <c r="A3075" i="5"/>
  <c r="A3074" i="5"/>
  <c r="A3073" i="5"/>
  <c r="A3072" i="5"/>
  <c r="A3071" i="5"/>
  <c r="A3070" i="5"/>
  <c r="A3069" i="5"/>
  <c r="A3068" i="5"/>
  <c r="A3067" i="5"/>
  <c r="A3066" i="5"/>
  <c r="A3065" i="5"/>
  <c r="A3064" i="5"/>
  <c r="A3063" i="5"/>
  <c r="A3062" i="5"/>
  <c r="A3061" i="5"/>
  <c r="A3060" i="5"/>
  <c r="A3059" i="5"/>
  <c r="A3058" i="5"/>
  <c r="A3057" i="5"/>
  <c r="A3056" i="5"/>
  <c r="A3055" i="5"/>
  <c r="A3054" i="5"/>
  <c r="A3053" i="5"/>
  <c r="A3052" i="5"/>
  <c r="A3051" i="5"/>
  <c r="A3050" i="5"/>
  <c r="A3049" i="5"/>
  <c r="A3048" i="5"/>
  <c r="A3047" i="5"/>
  <c r="A3046" i="5"/>
  <c r="A3045" i="5"/>
  <c r="A3044" i="5"/>
  <c r="A3043" i="5"/>
  <c r="A3042" i="5"/>
  <c r="A3041" i="5"/>
  <c r="A3040" i="5"/>
  <c r="A3039" i="5"/>
  <c r="A3038" i="5"/>
  <c r="A3037" i="5"/>
  <c r="A3036" i="5"/>
  <c r="A3035" i="5"/>
  <c r="A3034" i="5"/>
  <c r="A3033" i="5"/>
  <c r="A3032" i="5"/>
  <c r="A3031" i="5"/>
  <c r="A3030" i="5"/>
  <c r="A3029" i="5"/>
  <c r="A3028" i="5"/>
  <c r="A3027" i="5"/>
  <c r="A3026" i="5"/>
  <c r="A3025" i="5"/>
  <c r="A3024" i="5"/>
  <c r="A3023" i="5"/>
  <c r="A3022" i="5"/>
  <c r="A3021" i="5"/>
  <c r="A3020" i="5"/>
  <c r="A3019" i="5"/>
  <c r="A3018" i="5"/>
  <c r="A3017" i="5"/>
  <c r="A3016" i="5"/>
  <c r="A3015" i="5"/>
  <c r="A3014" i="5"/>
  <c r="A3013" i="5"/>
  <c r="A3012" i="5"/>
  <c r="A3011" i="5"/>
  <c r="A3010" i="5"/>
  <c r="A3009" i="5"/>
  <c r="A3008" i="5"/>
  <c r="A3007" i="5"/>
  <c r="A3006" i="5"/>
  <c r="A3005" i="5"/>
  <c r="A3004" i="5"/>
  <c r="A3003" i="5"/>
  <c r="A3002" i="5"/>
  <c r="A3001" i="5"/>
  <c r="A3000" i="5"/>
  <c r="A2999" i="5"/>
  <c r="A2998" i="5"/>
  <c r="A2997" i="5"/>
  <c r="A2996" i="5"/>
  <c r="A2995" i="5"/>
  <c r="A2994" i="5"/>
  <c r="A2993" i="5"/>
  <c r="A2992" i="5"/>
  <c r="A2991" i="5"/>
  <c r="A2990" i="5"/>
  <c r="A2989" i="5"/>
  <c r="A2988" i="5"/>
  <c r="A2987" i="5"/>
  <c r="A2986" i="5"/>
  <c r="A2985" i="5"/>
  <c r="A2984" i="5"/>
  <c r="A2983" i="5"/>
  <c r="A2982" i="5"/>
  <c r="A2981" i="5"/>
  <c r="A2980" i="5"/>
  <c r="A2979" i="5"/>
  <c r="A2978" i="5"/>
  <c r="A2977" i="5"/>
  <c r="A2976" i="5"/>
  <c r="A2975" i="5"/>
  <c r="A2974" i="5"/>
  <c r="A2973" i="5"/>
  <c r="A2972" i="5"/>
  <c r="A2971" i="5"/>
  <c r="A2970" i="5"/>
  <c r="A2969" i="5"/>
  <c r="A2968" i="5"/>
  <c r="A2967" i="5"/>
  <c r="A2966" i="5"/>
  <c r="A2965" i="5"/>
  <c r="A2964" i="5"/>
  <c r="A2963" i="5"/>
  <c r="A2962" i="5"/>
  <c r="A2961" i="5"/>
  <c r="A2960" i="5"/>
  <c r="A2959" i="5"/>
  <c r="A2958" i="5"/>
  <c r="A2957" i="5"/>
  <c r="A2956" i="5"/>
  <c r="A2955" i="5"/>
  <c r="A2954" i="5"/>
  <c r="A2953" i="5"/>
  <c r="A2952" i="5"/>
  <c r="A2951" i="5"/>
  <c r="A2950" i="5"/>
  <c r="A2949" i="5"/>
  <c r="A2948" i="5"/>
  <c r="A2947" i="5"/>
  <c r="A2946" i="5"/>
  <c r="A2945" i="5"/>
  <c r="A2944" i="5"/>
  <c r="A2943" i="5"/>
  <c r="A2942" i="5"/>
  <c r="A2941" i="5"/>
  <c r="A2940" i="5"/>
  <c r="A2939" i="5"/>
  <c r="A2938" i="5"/>
  <c r="A2937" i="5"/>
  <c r="A2936" i="5"/>
  <c r="A2935" i="5"/>
  <c r="A2934" i="5"/>
  <c r="A2933" i="5"/>
  <c r="A2932" i="5"/>
  <c r="A2931" i="5"/>
  <c r="A2930" i="5"/>
  <c r="A2929" i="5"/>
  <c r="A2928" i="5"/>
  <c r="A2927" i="5"/>
  <c r="A2926" i="5"/>
  <c r="A2925" i="5"/>
  <c r="A2924" i="5"/>
  <c r="A2923" i="5"/>
  <c r="A2922" i="5"/>
  <c r="A2921" i="5"/>
  <c r="A2920" i="5"/>
  <c r="A2919" i="5"/>
  <c r="A2918" i="5"/>
  <c r="A2917" i="5"/>
  <c r="A2916" i="5"/>
  <c r="A2915" i="5"/>
  <c r="A2914" i="5"/>
  <c r="A2913" i="5"/>
  <c r="A2912" i="5"/>
  <c r="A2911" i="5"/>
  <c r="A2910" i="5"/>
  <c r="A2909" i="5"/>
  <c r="A2908" i="5"/>
  <c r="A2907" i="5"/>
  <c r="A2906" i="5"/>
  <c r="A2905" i="5"/>
  <c r="A2904" i="5"/>
  <c r="A2903" i="5"/>
  <c r="A2902" i="5"/>
  <c r="A2901" i="5"/>
  <c r="A2900" i="5"/>
  <c r="A2899" i="5"/>
  <c r="A2898" i="5"/>
  <c r="A2897" i="5"/>
  <c r="A2896" i="5"/>
  <c r="A2895" i="5"/>
  <c r="A2894" i="5"/>
  <c r="A2893" i="5"/>
  <c r="A2892" i="5"/>
  <c r="A2891" i="5"/>
  <c r="A2890" i="5"/>
  <c r="A2889" i="5"/>
  <c r="A2888" i="5"/>
  <c r="A2887" i="5"/>
  <c r="A2886" i="5"/>
  <c r="A2885" i="5"/>
  <c r="A2884" i="5"/>
  <c r="A2883" i="5"/>
  <c r="A2882" i="5"/>
  <c r="A2881" i="5"/>
  <c r="A2880" i="5"/>
  <c r="A2879" i="5"/>
  <c r="A2878" i="5"/>
  <c r="A2877" i="5"/>
  <c r="A2876" i="5"/>
  <c r="A2875" i="5"/>
  <c r="A2874" i="5"/>
  <c r="A2873" i="5"/>
  <c r="A2872" i="5"/>
  <c r="A2871" i="5"/>
  <c r="A2870" i="5"/>
  <c r="A2869" i="5"/>
  <c r="A2868" i="5"/>
  <c r="A2867" i="5"/>
  <c r="A2866" i="5"/>
  <c r="A2865" i="5"/>
  <c r="A2864" i="5"/>
  <c r="A2863" i="5"/>
  <c r="A2862" i="5"/>
  <c r="A2861" i="5"/>
  <c r="A2860" i="5"/>
  <c r="A2859" i="5"/>
  <c r="A2858" i="5"/>
  <c r="A2857" i="5"/>
  <c r="A2856" i="5"/>
  <c r="A2855" i="5"/>
  <c r="A2854" i="5"/>
  <c r="A2853" i="5"/>
  <c r="A2852" i="5"/>
  <c r="A2851" i="5"/>
  <c r="A2850" i="5"/>
  <c r="A2849" i="5"/>
  <c r="A2848" i="5"/>
  <c r="A2847" i="5"/>
  <c r="A2846" i="5"/>
  <c r="A2845" i="5"/>
  <c r="A2844" i="5"/>
  <c r="A2843" i="5"/>
  <c r="A2842" i="5"/>
  <c r="A2841" i="5"/>
  <c r="A2840" i="5"/>
  <c r="A2839" i="5"/>
  <c r="A2838" i="5"/>
  <c r="A2837" i="5"/>
  <c r="A2836" i="5"/>
  <c r="A2835" i="5"/>
  <c r="A2834" i="5"/>
  <c r="A2833" i="5"/>
  <c r="A2832" i="5"/>
  <c r="A2831" i="5"/>
  <c r="A2830" i="5"/>
  <c r="A2829" i="5"/>
  <c r="A2828" i="5"/>
  <c r="A2827" i="5"/>
  <c r="A2826" i="5"/>
  <c r="A2825" i="5"/>
  <c r="A2824" i="5"/>
  <c r="A2823" i="5"/>
  <c r="A2822" i="5"/>
  <c r="A2821" i="5"/>
  <c r="A2820" i="5"/>
  <c r="A2819" i="5"/>
  <c r="A2818" i="5"/>
  <c r="A2817" i="5"/>
  <c r="A2816" i="5"/>
  <c r="A2815" i="5"/>
  <c r="A2814" i="5"/>
  <c r="A2813" i="5"/>
  <c r="A2812" i="5"/>
  <c r="A2811" i="5"/>
  <c r="A2810" i="5"/>
  <c r="A2809" i="5"/>
  <c r="A2808" i="5"/>
  <c r="A2807" i="5"/>
  <c r="A2806" i="5"/>
  <c r="A2805" i="5"/>
  <c r="A2804" i="5"/>
  <c r="A2803" i="5"/>
  <c r="A2802" i="5"/>
  <c r="A2801" i="5"/>
  <c r="A2800" i="5"/>
  <c r="A2799" i="5"/>
  <c r="A2798" i="5"/>
  <c r="A2797" i="5"/>
  <c r="A2796" i="5"/>
  <c r="A2795" i="5"/>
  <c r="A2794" i="5"/>
  <c r="A2793" i="5"/>
  <c r="A2792" i="5"/>
  <c r="A2791" i="5"/>
  <c r="A2790" i="5"/>
  <c r="A2789" i="5"/>
  <c r="A2788" i="5"/>
  <c r="A2787" i="5"/>
  <c r="A2786" i="5"/>
  <c r="A2785" i="5"/>
  <c r="A2784" i="5"/>
  <c r="A2783" i="5"/>
  <c r="A2782" i="5"/>
  <c r="A2781" i="5"/>
  <c r="A2780" i="5"/>
  <c r="A2779" i="5"/>
  <c r="A2778" i="5"/>
  <c r="A2777" i="5"/>
  <c r="A2776" i="5"/>
  <c r="A2775" i="5"/>
  <c r="A2774" i="5"/>
  <c r="A2773" i="5"/>
  <c r="A2772" i="5"/>
  <c r="A2771" i="5"/>
  <c r="A2770" i="5"/>
  <c r="A2769" i="5"/>
  <c r="A2768" i="5"/>
  <c r="A2767" i="5"/>
  <c r="A2766" i="5"/>
  <c r="A2765" i="5"/>
  <c r="A2764" i="5"/>
  <c r="A2763" i="5"/>
  <c r="A2762" i="5"/>
  <c r="A2761" i="5"/>
  <c r="A2760" i="5"/>
  <c r="A2759" i="5"/>
  <c r="A2758" i="5"/>
  <c r="A2757" i="5"/>
  <c r="A2756" i="5"/>
  <c r="A2755" i="5"/>
  <c r="A2754" i="5"/>
  <c r="A2753" i="5"/>
  <c r="A2752" i="5"/>
  <c r="A2751" i="5"/>
  <c r="A2750" i="5"/>
  <c r="A2749" i="5"/>
  <c r="A2748" i="5"/>
  <c r="A2747" i="5"/>
  <c r="A2746" i="5"/>
  <c r="A2745" i="5"/>
  <c r="A2744" i="5"/>
  <c r="A2743" i="5"/>
  <c r="A2742" i="5"/>
  <c r="A2741" i="5"/>
  <c r="A2740" i="5"/>
  <c r="A2739" i="5"/>
  <c r="A2738" i="5"/>
  <c r="A2737" i="5"/>
  <c r="A2736" i="5"/>
  <c r="A2735" i="5"/>
  <c r="A2734" i="5"/>
  <c r="A2733" i="5"/>
  <c r="A2732" i="5"/>
  <c r="A2731" i="5"/>
  <c r="A2730" i="5"/>
  <c r="A2729" i="5"/>
  <c r="A2728" i="5"/>
  <c r="A2727" i="5"/>
  <c r="A2726" i="5"/>
  <c r="A2725" i="5"/>
  <c r="A2724" i="5"/>
  <c r="A2723" i="5"/>
  <c r="A2722" i="5"/>
  <c r="A2721" i="5"/>
  <c r="A2720" i="5"/>
  <c r="A2719" i="5"/>
  <c r="A2718" i="5"/>
  <c r="A2717" i="5"/>
  <c r="A2716" i="5"/>
  <c r="A2715" i="5"/>
  <c r="A2714" i="5"/>
  <c r="A2713" i="5"/>
  <c r="A2712" i="5"/>
  <c r="A2711" i="5"/>
  <c r="A2710" i="5"/>
  <c r="A2709" i="5"/>
  <c r="A2708" i="5"/>
  <c r="A2707" i="5"/>
  <c r="A2706" i="5"/>
  <c r="A2705" i="5"/>
  <c r="A2704" i="5"/>
  <c r="A2703" i="5"/>
  <c r="A2702" i="5"/>
  <c r="A2701" i="5"/>
  <c r="A2700" i="5"/>
  <c r="A2699" i="5"/>
  <c r="A2698" i="5"/>
  <c r="A2697" i="5"/>
  <c r="A2696" i="5"/>
  <c r="A2695" i="5"/>
  <c r="A2694" i="5"/>
  <c r="A2693" i="5"/>
  <c r="A2692" i="5"/>
  <c r="A2691" i="5"/>
  <c r="A2690" i="5"/>
  <c r="A2689" i="5"/>
  <c r="A2688" i="5"/>
  <c r="A2687" i="5"/>
  <c r="A2686" i="5"/>
  <c r="A2685" i="5"/>
  <c r="A2684" i="5"/>
  <c r="A2683" i="5"/>
  <c r="A2682" i="5"/>
  <c r="A2681" i="5"/>
  <c r="A2680" i="5"/>
  <c r="A2679" i="5"/>
  <c r="A2678" i="5"/>
  <c r="A2677" i="5"/>
  <c r="A2676" i="5"/>
  <c r="A2675" i="5"/>
  <c r="A2674" i="5"/>
  <c r="A2673" i="5"/>
  <c r="A2672" i="5"/>
  <c r="A2671" i="5"/>
  <c r="A2670" i="5"/>
  <c r="A2669" i="5"/>
  <c r="A2668" i="5"/>
  <c r="A2667" i="5"/>
  <c r="A2666" i="5"/>
  <c r="A2665" i="5"/>
  <c r="A2664" i="5"/>
  <c r="A2663" i="5"/>
  <c r="A2662" i="5"/>
  <c r="A2661" i="5"/>
  <c r="A2660" i="5"/>
  <c r="A2659" i="5"/>
  <c r="A2658" i="5"/>
  <c r="A2657" i="5"/>
  <c r="A2656" i="5"/>
  <c r="A2655" i="5"/>
  <c r="A2654" i="5"/>
  <c r="A2653" i="5"/>
  <c r="A2652" i="5"/>
  <c r="A2651" i="5"/>
  <c r="A2650" i="5"/>
  <c r="A2649" i="5"/>
  <c r="A2648" i="5"/>
  <c r="A2647" i="5"/>
  <c r="A2646" i="5"/>
  <c r="A2645" i="5"/>
  <c r="A2644" i="5"/>
  <c r="A2643" i="5"/>
  <c r="A2642" i="5"/>
  <c r="A2641" i="5"/>
  <c r="A2640" i="5"/>
  <c r="A2639" i="5"/>
  <c r="A2638" i="5"/>
  <c r="A2637" i="5"/>
  <c r="A2636" i="5"/>
  <c r="A2635" i="5"/>
  <c r="A2634" i="5"/>
  <c r="A2633" i="5"/>
  <c r="A2632" i="5"/>
  <c r="A2631" i="5"/>
  <c r="A2630" i="5"/>
  <c r="A2629" i="5"/>
  <c r="A2628" i="5"/>
  <c r="A2627" i="5"/>
  <c r="A2626" i="5"/>
  <c r="A2625" i="5"/>
  <c r="A2624" i="5"/>
  <c r="A2623" i="5"/>
  <c r="A2622" i="5"/>
  <c r="A2621" i="5"/>
  <c r="A2620" i="5"/>
  <c r="A2619" i="5"/>
  <c r="A2618" i="5"/>
  <c r="A2617" i="5"/>
  <c r="A2616" i="5"/>
  <c r="A2615" i="5"/>
  <c r="A2614" i="5"/>
  <c r="A2613" i="5"/>
  <c r="A2612" i="5"/>
  <c r="A2611" i="5"/>
  <c r="A2610" i="5"/>
  <c r="A2609" i="5"/>
  <c r="A2608" i="5"/>
  <c r="A2607" i="5"/>
  <c r="A2606" i="5"/>
  <c r="A2605" i="5"/>
  <c r="A2604" i="5"/>
  <c r="A2603" i="5"/>
  <c r="A2602" i="5"/>
  <c r="A2601" i="5"/>
  <c r="A2600" i="5"/>
  <c r="A2599" i="5"/>
  <c r="A2598" i="5"/>
  <c r="A2597" i="5"/>
  <c r="A2596" i="5"/>
  <c r="A2595" i="5"/>
  <c r="A2594" i="5"/>
  <c r="A2593" i="5"/>
  <c r="A2592" i="5"/>
  <c r="A2591" i="5"/>
  <c r="A2590" i="5"/>
  <c r="A2589" i="5"/>
  <c r="A2588" i="5"/>
  <c r="A2587" i="5"/>
  <c r="A2586" i="5"/>
  <c r="A2585" i="5"/>
  <c r="A2584" i="5"/>
  <c r="A2583" i="5"/>
  <c r="A2582" i="5"/>
  <c r="A2581" i="5"/>
  <c r="A2580" i="5"/>
  <c r="A2579" i="5"/>
  <c r="A2578" i="5"/>
  <c r="A2577" i="5"/>
  <c r="A2576" i="5"/>
  <c r="A2575" i="5"/>
  <c r="A2574" i="5"/>
  <c r="A2573" i="5"/>
  <c r="A2572" i="5"/>
  <c r="A2571" i="5"/>
  <c r="A2570" i="5"/>
  <c r="A2569" i="5"/>
  <c r="A2568" i="5"/>
  <c r="A2567" i="5"/>
  <c r="A2566" i="5"/>
  <c r="A2565" i="5"/>
  <c r="A2564" i="5"/>
  <c r="A2563" i="5"/>
  <c r="A2562" i="5"/>
  <c r="A2561" i="5"/>
  <c r="A2560" i="5"/>
  <c r="A2559" i="5"/>
  <c r="A2558" i="5"/>
  <c r="A2557" i="5"/>
  <c r="A2556" i="5"/>
  <c r="A2555" i="5"/>
  <c r="A2554" i="5"/>
  <c r="A2553" i="5"/>
  <c r="A2552" i="5"/>
  <c r="A2551" i="5"/>
  <c r="A2550" i="5"/>
  <c r="A2549" i="5"/>
  <c r="A2548" i="5"/>
  <c r="A2547" i="5"/>
  <c r="A2546" i="5"/>
  <c r="A2545" i="5"/>
  <c r="A2544" i="5"/>
  <c r="A2543" i="5"/>
  <c r="A2542" i="5"/>
  <c r="A2541" i="5"/>
  <c r="A2540" i="5"/>
  <c r="A2539" i="5"/>
  <c r="A2538" i="5"/>
  <c r="A2537" i="5"/>
  <c r="A2536" i="5"/>
  <c r="A2535" i="5"/>
  <c r="A2534" i="5"/>
  <c r="A2533" i="5"/>
  <c r="A2532" i="5"/>
  <c r="A2531" i="5"/>
  <c r="A2530" i="5"/>
  <c r="A2529" i="5"/>
  <c r="A2528" i="5"/>
  <c r="A2527" i="5"/>
  <c r="A2526" i="5"/>
  <c r="A2525" i="5"/>
  <c r="A2524" i="5"/>
  <c r="A2523" i="5"/>
  <c r="A2522" i="5"/>
  <c r="A2521" i="5"/>
  <c r="A2520" i="5"/>
  <c r="A2519" i="5"/>
  <c r="A2518" i="5"/>
  <c r="A2517" i="5"/>
  <c r="A2516" i="5"/>
  <c r="A2515" i="5"/>
  <c r="A2514" i="5"/>
  <c r="A2513" i="5"/>
  <c r="A2512" i="5"/>
  <c r="A2511" i="5"/>
  <c r="A2510" i="5"/>
  <c r="A2509" i="5"/>
  <c r="A2508" i="5"/>
  <c r="A2507" i="5"/>
  <c r="A2506" i="5"/>
  <c r="A2505" i="5"/>
  <c r="A2504" i="5"/>
  <c r="A2503" i="5"/>
  <c r="A2502" i="5"/>
  <c r="A2501" i="5"/>
  <c r="A2500" i="5"/>
  <c r="A2499" i="5"/>
  <c r="A2498" i="5"/>
  <c r="A2497" i="5"/>
  <c r="A2496" i="5"/>
  <c r="A2495" i="5"/>
  <c r="A2494" i="5"/>
  <c r="A2493" i="5"/>
  <c r="A2492" i="5"/>
  <c r="A2491" i="5"/>
  <c r="A2490" i="5"/>
  <c r="A2489" i="5"/>
  <c r="A2488" i="5"/>
  <c r="A2487" i="5"/>
  <c r="A2486" i="5"/>
  <c r="A2485" i="5"/>
  <c r="A2484" i="5"/>
  <c r="A2483" i="5"/>
  <c r="A2482" i="5"/>
  <c r="A2481" i="5"/>
  <c r="A2480" i="5"/>
  <c r="A2479" i="5"/>
  <c r="A2478" i="5"/>
  <c r="A2477" i="5"/>
  <c r="A2476" i="5"/>
  <c r="A2475" i="5"/>
  <c r="A2474" i="5"/>
  <c r="A2473" i="5"/>
  <c r="A2472" i="5"/>
  <c r="A2471" i="5"/>
  <c r="A2470" i="5"/>
  <c r="A2469" i="5"/>
  <c r="A2468" i="5"/>
  <c r="A2467" i="5"/>
  <c r="A2466" i="5"/>
  <c r="A2465" i="5"/>
  <c r="A2464" i="5"/>
  <c r="A2463" i="5"/>
  <c r="A2462" i="5"/>
  <c r="A2461" i="5"/>
  <c r="A2460" i="5"/>
  <c r="A2459" i="5"/>
  <c r="A2458" i="5"/>
  <c r="A2457" i="5"/>
  <c r="A2456" i="5"/>
  <c r="A2455" i="5"/>
  <c r="A2454" i="5"/>
  <c r="A2453" i="5"/>
  <c r="A2452" i="5"/>
  <c r="A2451" i="5"/>
  <c r="A2450" i="5"/>
  <c r="A2449" i="5"/>
  <c r="A2448" i="5"/>
  <c r="A2447" i="5"/>
  <c r="A2446" i="5"/>
  <c r="A2445" i="5"/>
  <c r="A2444" i="5"/>
  <c r="A2443" i="5"/>
  <c r="A2442" i="5"/>
  <c r="A2441" i="5"/>
  <c r="A2440" i="5"/>
  <c r="A2439" i="5"/>
  <c r="A2438" i="5"/>
  <c r="A2437" i="5"/>
  <c r="A2436" i="5"/>
  <c r="A2435" i="5"/>
  <c r="A2434" i="5"/>
  <c r="A2433" i="5"/>
  <c r="A2432" i="5"/>
  <c r="A2431" i="5"/>
  <c r="A2430" i="5"/>
  <c r="A2429" i="5"/>
  <c r="A2428" i="5"/>
  <c r="A2427" i="5"/>
  <c r="A2426" i="5"/>
  <c r="A2425" i="5"/>
  <c r="A2424" i="5"/>
  <c r="A2423" i="5"/>
  <c r="A2422" i="5"/>
  <c r="A2421" i="5"/>
  <c r="A2420" i="5"/>
  <c r="A2419" i="5"/>
  <c r="A2418" i="5"/>
  <c r="A2417" i="5"/>
  <c r="A2416" i="5"/>
  <c r="A2415" i="5"/>
  <c r="A2414" i="5"/>
  <c r="A2413" i="5"/>
  <c r="A2412" i="5"/>
  <c r="A2411" i="5"/>
  <c r="A2410" i="5"/>
  <c r="A2409" i="5"/>
  <c r="A2408" i="5"/>
  <c r="A2407" i="5"/>
  <c r="A2406" i="5"/>
  <c r="A2405" i="5"/>
  <c r="A2404" i="5"/>
  <c r="A2403" i="5"/>
  <c r="A2402" i="5"/>
  <c r="A2401" i="5"/>
  <c r="A2400" i="5"/>
  <c r="A2399" i="5"/>
  <c r="A2398" i="5"/>
  <c r="A2397" i="5"/>
  <c r="A2396" i="5"/>
  <c r="A2395" i="5"/>
  <c r="A2394" i="5"/>
  <c r="A2393" i="5"/>
  <c r="A2392" i="5"/>
  <c r="A2391" i="5"/>
  <c r="A2390" i="5"/>
  <c r="A2389" i="5"/>
  <c r="A2388" i="5"/>
  <c r="A2387" i="5"/>
  <c r="A2386" i="5"/>
  <c r="A2385" i="5"/>
  <c r="A2384" i="5"/>
  <c r="A2383" i="5"/>
  <c r="A2382" i="5"/>
  <c r="A2381" i="5"/>
  <c r="A2380" i="5"/>
  <c r="A2379" i="5"/>
  <c r="A2378" i="5"/>
  <c r="A2377" i="5"/>
  <c r="A2376" i="5"/>
  <c r="A2375" i="5"/>
  <c r="A2374" i="5"/>
  <c r="A2373" i="5"/>
  <c r="A2372" i="5"/>
  <c r="A2371" i="5"/>
  <c r="A2370" i="5"/>
  <c r="A2369" i="5"/>
  <c r="A2368" i="5"/>
  <c r="A2367" i="5"/>
  <c r="A2366" i="5"/>
  <c r="A2365" i="5"/>
  <c r="A2364" i="5"/>
  <c r="A2363" i="5"/>
  <c r="A2362" i="5"/>
  <c r="A2361" i="5"/>
  <c r="A2360" i="5"/>
  <c r="A2359" i="5"/>
  <c r="A2358" i="5"/>
  <c r="A2357" i="5"/>
  <c r="A2356" i="5"/>
  <c r="A2355" i="5"/>
  <c r="A2354" i="5"/>
  <c r="A2353" i="5"/>
  <c r="A2352" i="5"/>
  <c r="A2351" i="5"/>
  <c r="A2350" i="5"/>
  <c r="A2349" i="5"/>
  <c r="A2348" i="5"/>
  <c r="A2347" i="5"/>
  <c r="A2346" i="5"/>
  <c r="A2345" i="5"/>
  <c r="A2344" i="5"/>
  <c r="A2343" i="5"/>
  <c r="A2342" i="5"/>
  <c r="A2341" i="5"/>
  <c r="A2340" i="5"/>
  <c r="A2339" i="5"/>
  <c r="A2338" i="5"/>
  <c r="A2337" i="5"/>
  <c r="A2336" i="5"/>
  <c r="A2335" i="5"/>
  <c r="A2334" i="5"/>
  <c r="A2333" i="5"/>
  <c r="A2332" i="5"/>
  <c r="A2331" i="5"/>
  <c r="A2330" i="5"/>
  <c r="A2329" i="5"/>
  <c r="A2328" i="5"/>
  <c r="A2327" i="5"/>
  <c r="A2326" i="5"/>
  <c r="A2325" i="5"/>
  <c r="A2324" i="5"/>
  <c r="A2323" i="5"/>
  <c r="A2322" i="5"/>
  <c r="A2321" i="5"/>
  <c r="A2320" i="5"/>
  <c r="A2319" i="5"/>
  <c r="A2318" i="5"/>
  <c r="A2317" i="5"/>
  <c r="A2316" i="5"/>
  <c r="A2315" i="5"/>
  <c r="A2314" i="5"/>
  <c r="A2313" i="5"/>
  <c r="A2312" i="5"/>
  <c r="A2311" i="5"/>
  <c r="A2310" i="5"/>
  <c r="A2309" i="5"/>
  <c r="A2308" i="5"/>
  <c r="A2307" i="5"/>
  <c r="A2306" i="5"/>
  <c r="A2305" i="5"/>
  <c r="A2304" i="5"/>
  <c r="A2303" i="5"/>
  <c r="A2302" i="5"/>
  <c r="A2301" i="5"/>
  <c r="A2300" i="5"/>
  <c r="A2299" i="5"/>
  <c r="A2298" i="5"/>
  <c r="A2297" i="5"/>
  <c r="A2296" i="5"/>
  <c r="A2295" i="5"/>
  <c r="A2294" i="5"/>
  <c r="A2293" i="5"/>
  <c r="A2292" i="5"/>
  <c r="A2291" i="5"/>
  <c r="A2290" i="5"/>
  <c r="A2289" i="5"/>
  <c r="A2288" i="5"/>
  <c r="A2287" i="5"/>
  <c r="A2286" i="5"/>
  <c r="A2285" i="5"/>
  <c r="A2284" i="5"/>
  <c r="A2283" i="5"/>
  <c r="A2282" i="5"/>
  <c r="A2281" i="5"/>
  <c r="A2280" i="5"/>
  <c r="A2279" i="5"/>
  <c r="A2278" i="5"/>
  <c r="A2277" i="5"/>
  <c r="A2276" i="5"/>
  <c r="A2275" i="5"/>
  <c r="A2274" i="5"/>
  <c r="A2273" i="5"/>
  <c r="A2272" i="5"/>
  <c r="A2271" i="5"/>
  <c r="A2270" i="5"/>
  <c r="A2269" i="5"/>
  <c r="A2268" i="5"/>
  <c r="A2267" i="5"/>
  <c r="A2266" i="5"/>
  <c r="A2265" i="5"/>
  <c r="A2264" i="5"/>
  <c r="A2263" i="5"/>
  <c r="A2262" i="5"/>
  <c r="A2261" i="5"/>
  <c r="A2260" i="5"/>
  <c r="A2259" i="5"/>
  <c r="A2258" i="5"/>
  <c r="A2257" i="5"/>
  <c r="A2256" i="5"/>
  <c r="A2255" i="5"/>
  <c r="A2254" i="5"/>
  <c r="A2253" i="5"/>
  <c r="A2252" i="5"/>
  <c r="A2251" i="5"/>
  <c r="A2250" i="5"/>
  <c r="A2249" i="5"/>
  <c r="A2248" i="5"/>
  <c r="A2247" i="5"/>
  <c r="A2246" i="5"/>
  <c r="A2245" i="5"/>
  <c r="A2244" i="5"/>
  <c r="A2243" i="5"/>
  <c r="A2242" i="5"/>
  <c r="A2241" i="5"/>
  <c r="A2240" i="5"/>
  <c r="A2239" i="5"/>
  <c r="A2238" i="5"/>
  <c r="A2237" i="5"/>
  <c r="A2236" i="5"/>
  <c r="A2235" i="5"/>
  <c r="A2234" i="5"/>
  <c r="A2233" i="5"/>
  <c r="A2232" i="5"/>
  <c r="A2231" i="5"/>
  <c r="A2230" i="5"/>
  <c r="A2229" i="5"/>
  <c r="A2228" i="5"/>
  <c r="A2227" i="5"/>
  <c r="A2226" i="5"/>
  <c r="A2225" i="5"/>
  <c r="A2224" i="5"/>
  <c r="A2223" i="5"/>
  <c r="A2222" i="5"/>
  <c r="A2221" i="5"/>
  <c r="A2220" i="5"/>
  <c r="A2219" i="5"/>
  <c r="A2218" i="5"/>
  <c r="A2217" i="5"/>
  <c r="A2216" i="5"/>
  <c r="A2215" i="5"/>
  <c r="A2214" i="5"/>
  <c r="A2213" i="5"/>
  <c r="A2212" i="5"/>
  <c r="A2211" i="5"/>
  <c r="A2210" i="5"/>
  <c r="A2209" i="5"/>
  <c r="A2208" i="5"/>
  <c r="A2207" i="5"/>
  <c r="A2206" i="5"/>
  <c r="A2205" i="5"/>
  <c r="A2204" i="5"/>
  <c r="A2203" i="5"/>
  <c r="A2202" i="5"/>
  <c r="A2201" i="5"/>
  <c r="A2200" i="5"/>
  <c r="A2199" i="5"/>
  <c r="A2198" i="5"/>
  <c r="A2197" i="5"/>
  <c r="A2196" i="5"/>
  <c r="A2195" i="5"/>
  <c r="A2194" i="5"/>
  <c r="A2193" i="5"/>
  <c r="A2192" i="5"/>
  <c r="A2191" i="5"/>
  <c r="A2190" i="5"/>
  <c r="A2189" i="5"/>
  <c r="A2188" i="5"/>
  <c r="A2187" i="5"/>
  <c r="A2186" i="5"/>
  <c r="A2185" i="5"/>
  <c r="A2184" i="5"/>
  <c r="A2183" i="5"/>
  <c r="A2182" i="5"/>
  <c r="A2181" i="5"/>
  <c r="A2180" i="5"/>
  <c r="A2179" i="5"/>
  <c r="A2178" i="5"/>
  <c r="A2177" i="5"/>
  <c r="A2176" i="5"/>
  <c r="A2175" i="5"/>
  <c r="A2174" i="5"/>
  <c r="A2173" i="5"/>
  <c r="A2172" i="5"/>
  <c r="A2171" i="5"/>
  <c r="A2170" i="5"/>
  <c r="A2169" i="5"/>
  <c r="A2168" i="5"/>
  <c r="A2167" i="5"/>
  <c r="A2166" i="5"/>
  <c r="A2165" i="5"/>
  <c r="A2164" i="5"/>
  <c r="A2163" i="5"/>
  <c r="A2162" i="5"/>
  <c r="A2161" i="5"/>
  <c r="A2160" i="5"/>
  <c r="A2159" i="5"/>
  <c r="A2158" i="5"/>
  <c r="A2157" i="5"/>
  <c r="A2156" i="5"/>
  <c r="A2155" i="5"/>
  <c r="A2154" i="5"/>
  <c r="A2153" i="5"/>
  <c r="A2152" i="5"/>
  <c r="A2151" i="5"/>
  <c r="A2150" i="5"/>
  <c r="A2149" i="5"/>
  <c r="A2148" i="5"/>
  <c r="A2147" i="5"/>
  <c r="A2146" i="5"/>
  <c r="A2145" i="5"/>
  <c r="A2144" i="5"/>
  <c r="A2143" i="5"/>
  <c r="A2142" i="5"/>
  <c r="A2141" i="5"/>
  <c r="A2140" i="5"/>
  <c r="A2139" i="5"/>
  <c r="A2138" i="5"/>
  <c r="A2137" i="5"/>
  <c r="A2136" i="5"/>
  <c r="A2135" i="5"/>
  <c r="A2134" i="5"/>
  <c r="A2133" i="5"/>
  <c r="A2132" i="5"/>
  <c r="A2131" i="5"/>
  <c r="A2130" i="5"/>
  <c r="A2129" i="5"/>
  <c r="A2128" i="5"/>
  <c r="A2127" i="5"/>
  <c r="A2126" i="5"/>
  <c r="A2125" i="5"/>
  <c r="A2124" i="5"/>
  <c r="A2123" i="5"/>
  <c r="A2122" i="5"/>
  <c r="A2121" i="5"/>
  <c r="A2120" i="5"/>
  <c r="A2119" i="5"/>
  <c r="A2118" i="5"/>
  <c r="A2117" i="5"/>
  <c r="A2116" i="5"/>
  <c r="A2115" i="5"/>
  <c r="A2114" i="5"/>
  <c r="A2113" i="5"/>
  <c r="A2112" i="5"/>
  <c r="A2111" i="5"/>
  <c r="A2110" i="5"/>
  <c r="A2109" i="5"/>
  <c r="A2108" i="5"/>
  <c r="A2107" i="5"/>
  <c r="A2106" i="5"/>
  <c r="A2105" i="5"/>
  <c r="A2104" i="5"/>
  <c r="A2103" i="5"/>
  <c r="A2102" i="5"/>
  <c r="A2101" i="5"/>
  <c r="A2100" i="5"/>
  <c r="A2099" i="5"/>
  <c r="A2098" i="5"/>
  <c r="A2097" i="5"/>
  <c r="A2096" i="5"/>
  <c r="A2095" i="5"/>
  <c r="A2094" i="5"/>
  <c r="A2093" i="5"/>
  <c r="A2092" i="5"/>
  <c r="A2091" i="5"/>
  <c r="A2090" i="5"/>
  <c r="A2089" i="5"/>
  <c r="A2088" i="5"/>
  <c r="A2087" i="5"/>
  <c r="A2086" i="5"/>
  <c r="A2085" i="5"/>
  <c r="A2084" i="5"/>
  <c r="A2083" i="5"/>
  <c r="A2082" i="5"/>
  <c r="A2081" i="5"/>
  <c r="A2080" i="5"/>
  <c r="A2079" i="5"/>
  <c r="A2078" i="5"/>
  <c r="A2077" i="5"/>
  <c r="A2076" i="5"/>
  <c r="A2075" i="5"/>
  <c r="A2074" i="5"/>
  <c r="A2073" i="5"/>
  <c r="A2072" i="5"/>
  <c r="A2071" i="5"/>
  <c r="A2070" i="5"/>
  <c r="A2069" i="5"/>
  <c r="A2068" i="5"/>
  <c r="A2067" i="5"/>
  <c r="A2066" i="5"/>
  <c r="A2065" i="5"/>
  <c r="A2064" i="5"/>
  <c r="A2063" i="5"/>
  <c r="A2062" i="5"/>
  <c r="A2061" i="5"/>
  <c r="A2060" i="5"/>
  <c r="A2059" i="5"/>
  <c r="A2058" i="5"/>
  <c r="A2057" i="5"/>
  <c r="A2056" i="5"/>
  <c r="A2055" i="5"/>
  <c r="A2054" i="5"/>
  <c r="A2053" i="5"/>
  <c r="A2052" i="5"/>
  <c r="A2051" i="5"/>
  <c r="A2050" i="5"/>
  <c r="A2049" i="5"/>
  <c r="A2048" i="5"/>
  <c r="A2047" i="5"/>
  <c r="A2046" i="5"/>
  <c r="A2045" i="5"/>
  <c r="A2044" i="5"/>
  <c r="A2043" i="5"/>
  <c r="A2042" i="5"/>
  <c r="A2041" i="5"/>
  <c r="A2040" i="5"/>
  <c r="A2039" i="5"/>
  <c r="A2038" i="5"/>
  <c r="A2037" i="5"/>
  <c r="A2036" i="5"/>
  <c r="A2035" i="5"/>
  <c r="A2034" i="5"/>
  <c r="A2033" i="5"/>
  <c r="A2032" i="5"/>
  <c r="A2031" i="5"/>
  <c r="A2030" i="5"/>
  <c r="A2029" i="5"/>
  <c r="A2028" i="5"/>
  <c r="A2027" i="5"/>
  <c r="A2026" i="5"/>
  <c r="A2025" i="5"/>
  <c r="A2024" i="5"/>
  <c r="A2023" i="5"/>
  <c r="A2022" i="5"/>
  <c r="A2021" i="5"/>
  <c r="A2020" i="5"/>
  <c r="A2019" i="5"/>
  <c r="A2018" i="5"/>
  <c r="A2017" i="5"/>
  <c r="A2016" i="5"/>
  <c r="A2015" i="5"/>
  <c r="A2014" i="5"/>
  <c r="A2013" i="5"/>
  <c r="A2012" i="5"/>
  <c r="A2011" i="5"/>
  <c r="A2010" i="5"/>
  <c r="A2009" i="5"/>
  <c r="A2008" i="5"/>
  <c r="A2007" i="5"/>
  <c r="A2006" i="5"/>
  <c r="A2005" i="5"/>
  <c r="A2004" i="5"/>
  <c r="A2003" i="5"/>
  <c r="A2002" i="5"/>
  <c r="A2001" i="5"/>
  <c r="AA1010" i="5"/>
  <c r="AA1009" i="5"/>
  <c r="AA1008" i="5"/>
  <c r="AA1007" i="5"/>
  <c r="AA1006" i="5"/>
  <c r="AA1005" i="5"/>
  <c r="AA1004" i="5"/>
  <c r="AA1003" i="5"/>
  <c r="AA1002" i="5"/>
  <c r="AA1001" i="5"/>
  <c r="AA1000" i="5"/>
  <c r="AA999" i="5"/>
  <c r="AA998" i="5"/>
  <c r="AA997" i="5"/>
  <c r="AA996" i="5"/>
  <c r="AA995" i="5"/>
  <c r="AA994" i="5"/>
  <c r="AA993" i="5"/>
  <c r="AA992" i="5"/>
  <c r="AA991" i="5"/>
  <c r="AA990" i="5"/>
  <c r="AA989" i="5"/>
  <c r="AA988" i="5"/>
  <c r="AA987" i="5"/>
  <c r="AA986" i="5"/>
  <c r="AA985" i="5"/>
  <c r="AA984" i="5"/>
  <c r="AA983" i="5"/>
  <c r="AA982" i="5"/>
  <c r="AA981" i="5"/>
  <c r="AA980" i="5"/>
  <c r="AA979" i="5"/>
  <c r="AA978" i="5"/>
  <c r="AA977" i="5"/>
  <c r="AA976" i="5"/>
  <c r="AA975" i="5"/>
  <c r="AA974" i="5"/>
  <c r="AA973" i="5"/>
  <c r="AA972" i="5"/>
  <c r="AA971" i="5"/>
  <c r="AA970" i="5"/>
  <c r="AA969" i="5"/>
  <c r="AA968" i="5"/>
  <c r="AA967" i="5"/>
  <c r="AA966" i="5"/>
  <c r="AA965" i="5"/>
  <c r="AA964" i="5"/>
  <c r="AA963" i="5"/>
  <c r="AA962" i="5"/>
  <c r="AA961" i="5"/>
  <c r="AA960" i="5"/>
  <c r="AA959" i="5"/>
  <c r="AA958" i="5"/>
  <c r="AA957" i="5"/>
  <c r="AA956" i="5"/>
  <c r="AA955" i="5"/>
  <c r="AA954" i="5"/>
  <c r="AA953" i="5"/>
  <c r="AA952" i="5"/>
  <c r="AA951" i="5"/>
  <c r="AA950" i="5"/>
  <c r="AA949" i="5"/>
  <c r="AA948" i="5"/>
  <c r="AA947" i="5"/>
  <c r="AA946" i="5"/>
  <c r="AA945" i="5"/>
  <c r="AA944" i="5"/>
  <c r="AA943" i="5"/>
  <c r="AA942" i="5"/>
  <c r="AA941" i="5"/>
  <c r="AA940" i="5"/>
  <c r="AA939" i="5"/>
  <c r="AA938" i="5"/>
  <c r="AA937" i="5"/>
  <c r="AA936" i="5"/>
  <c r="AA935" i="5"/>
  <c r="AA934" i="5"/>
  <c r="AA933" i="5"/>
  <c r="AA932" i="5"/>
  <c r="AA931" i="5"/>
  <c r="AA930" i="5"/>
  <c r="AA929" i="5"/>
  <c r="AA928" i="5"/>
  <c r="AA927" i="5"/>
  <c r="AA926" i="5"/>
  <c r="AA925" i="5"/>
  <c r="AA924" i="5"/>
  <c r="AA923" i="5"/>
  <c r="AA922" i="5"/>
  <c r="AA921" i="5"/>
  <c r="AA920" i="5"/>
  <c r="AA919" i="5"/>
  <c r="AA918" i="5"/>
  <c r="AA917" i="5"/>
  <c r="AA916" i="5"/>
  <c r="AA915" i="5"/>
  <c r="AA914" i="5"/>
  <c r="AA913" i="5"/>
  <c r="AA912" i="5"/>
  <c r="AA911" i="5"/>
  <c r="AA910" i="5"/>
  <c r="AA909" i="5"/>
  <c r="AA908" i="5"/>
  <c r="AA907" i="5"/>
  <c r="AA906" i="5"/>
  <c r="AA905" i="5"/>
  <c r="AA904" i="5"/>
  <c r="AA903" i="5"/>
  <c r="AA902" i="5"/>
  <c r="AA901" i="5"/>
  <c r="AA900" i="5"/>
  <c r="AA899" i="5"/>
  <c r="AA898" i="5"/>
  <c r="AA897" i="5"/>
  <c r="AA896" i="5"/>
  <c r="AA895" i="5"/>
  <c r="AA894" i="5"/>
  <c r="AA893" i="5"/>
  <c r="AA892" i="5"/>
  <c r="AA891" i="5"/>
  <c r="AA890" i="5"/>
  <c r="AA889" i="5"/>
  <c r="AA888" i="5"/>
  <c r="AA887" i="5"/>
  <c r="AA886" i="5"/>
  <c r="AA885" i="5"/>
  <c r="AA884" i="5"/>
  <c r="AA883" i="5"/>
  <c r="AA882" i="5"/>
  <c r="AA881" i="5"/>
  <c r="AA880" i="5"/>
  <c r="AA879" i="5"/>
  <c r="AA878" i="5"/>
  <c r="AA877" i="5"/>
  <c r="AA876" i="5"/>
  <c r="AA875" i="5"/>
  <c r="AA874" i="5"/>
  <c r="AA873" i="5"/>
  <c r="AA872" i="5"/>
  <c r="AA871" i="5"/>
  <c r="AA870" i="5"/>
  <c r="AA869" i="5"/>
  <c r="AA868" i="5"/>
  <c r="AA867" i="5"/>
  <c r="AA866" i="5"/>
  <c r="AA865" i="5"/>
  <c r="AA864" i="5"/>
  <c r="AA863" i="5"/>
  <c r="AA862" i="5"/>
  <c r="AA861" i="5"/>
  <c r="AA860" i="5"/>
  <c r="AA859" i="5"/>
  <c r="AA858" i="5"/>
  <c r="AA857" i="5"/>
  <c r="AA856" i="5"/>
  <c r="AA855" i="5"/>
  <c r="AA854" i="5"/>
  <c r="AA853" i="5"/>
  <c r="AA852" i="5"/>
  <c r="AA851" i="5"/>
  <c r="AA850" i="5"/>
  <c r="AA849" i="5"/>
  <c r="AA848" i="5"/>
  <c r="AA847" i="5"/>
  <c r="AA846" i="5"/>
  <c r="AA845" i="5"/>
  <c r="AA844" i="5"/>
  <c r="AA843" i="5"/>
  <c r="AA842" i="5"/>
  <c r="AA841" i="5"/>
  <c r="AA840" i="5"/>
  <c r="AA839" i="5"/>
  <c r="AA838" i="5"/>
  <c r="AA837" i="5"/>
  <c r="AA836" i="5"/>
  <c r="AA835" i="5"/>
  <c r="AA834" i="5"/>
  <c r="AA833" i="5"/>
  <c r="AA832" i="5"/>
  <c r="AA831" i="5"/>
  <c r="AA830" i="5"/>
  <c r="AA829" i="5"/>
  <c r="AA828" i="5"/>
  <c r="AA827" i="5"/>
  <c r="AA826" i="5"/>
  <c r="AA825" i="5"/>
  <c r="AA824" i="5"/>
  <c r="AA823" i="5"/>
  <c r="AA822" i="5"/>
  <c r="AA821" i="5"/>
  <c r="AA820" i="5"/>
  <c r="AA819" i="5"/>
  <c r="AA818" i="5"/>
  <c r="AA817" i="5"/>
  <c r="AA816" i="5"/>
  <c r="AA815" i="5"/>
  <c r="AA814" i="5"/>
  <c r="AA813" i="5"/>
  <c r="AA812" i="5"/>
  <c r="AA811" i="5"/>
  <c r="AA810" i="5"/>
  <c r="AA809" i="5"/>
  <c r="AA808" i="5"/>
  <c r="AA807" i="5"/>
  <c r="AA806" i="5"/>
  <c r="AA805" i="5"/>
  <c r="AA804" i="5"/>
  <c r="AA803" i="5"/>
  <c r="AA802" i="5"/>
  <c r="AA801" i="5"/>
  <c r="AA800" i="5"/>
  <c r="AA799" i="5"/>
  <c r="AA798" i="5"/>
  <c r="AA797" i="5"/>
  <c r="AA796" i="5"/>
  <c r="AA795" i="5"/>
  <c r="AA794" i="5"/>
  <c r="AA793" i="5"/>
  <c r="AA792" i="5"/>
  <c r="AA791" i="5"/>
  <c r="AA790" i="5"/>
  <c r="AA789" i="5"/>
  <c r="AA788" i="5"/>
  <c r="AA787" i="5"/>
  <c r="AA786" i="5"/>
  <c r="AA785" i="5"/>
  <c r="AA784" i="5"/>
  <c r="AA783" i="5"/>
  <c r="AA782" i="5"/>
  <c r="AA781" i="5"/>
  <c r="AA780" i="5"/>
  <c r="AA779" i="5"/>
  <c r="AA778" i="5"/>
  <c r="AA777" i="5"/>
  <c r="AA776" i="5"/>
  <c r="AA775" i="5"/>
  <c r="AA774" i="5"/>
  <c r="AA773" i="5"/>
  <c r="AA772" i="5"/>
  <c r="AA771" i="5"/>
  <c r="AA770" i="5"/>
  <c r="AA769" i="5"/>
  <c r="AA768" i="5"/>
  <c r="AA767" i="5"/>
  <c r="AA766" i="5"/>
  <c r="AA765" i="5"/>
  <c r="AA764" i="5"/>
  <c r="AA763" i="5"/>
  <c r="AA762" i="5"/>
  <c r="AA761" i="5"/>
  <c r="AA760" i="5"/>
  <c r="AA759" i="5"/>
  <c r="AA758" i="5"/>
  <c r="AA757" i="5"/>
  <c r="AA756" i="5"/>
  <c r="AA755" i="5"/>
  <c r="AA754" i="5"/>
  <c r="AA753" i="5"/>
  <c r="AA752" i="5"/>
  <c r="AA751" i="5"/>
  <c r="AA750" i="5"/>
  <c r="AA749" i="5"/>
  <c r="AA748" i="5"/>
  <c r="AA747" i="5"/>
  <c r="AA746" i="5"/>
  <c r="AA745" i="5"/>
  <c r="AA744" i="5"/>
  <c r="AA743" i="5"/>
  <c r="AA742" i="5"/>
  <c r="AA741" i="5"/>
  <c r="AA740" i="5"/>
  <c r="AA739" i="5"/>
  <c r="AA738" i="5"/>
  <c r="AA737" i="5"/>
  <c r="AA736" i="5"/>
  <c r="AA735" i="5"/>
  <c r="AA734" i="5"/>
  <c r="AA733" i="5"/>
  <c r="AA732" i="5"/>
  <c r="AA731" i="5"/>
  <c r="AA730" i="5"/>
  <c r="AA729" i="5"/>
  <c r="AA728" i="5"/>
  <c r="AA727" i="5"/>
  <c r="AA726" i="5"/>
  <c r="AA725" i="5"/>
  <c r="AA724" i="5"/>
  <c r="AA723" i="5"/>
  <c r="AA722" i="5"/>
  <c r="AA721" i="5"/>
  <c r="AA720" i="5"/>
  <c r="AA719" i="5"/>
  <c r="AA718" i="5"/>
  <c r="AA717" i="5"/>
  <c r="AA716" i="5"/>
  <c r="AA715" i="5"/>
  <c r="AA714" i="5"/>
  <c r="AA713" i="5"/>
  <c r="AA712" i="5"/>
  <c r="AA711" i="5"/>
  <c r="AA710" i="5"/>
  <c r="AA709" i="5"/>
  <c r="AA708" i="5"/>
  <c r="AA707" i="5"/>
  <c r="AA706" i="5"/>
  <c r="AA705" i="5"/>
  <c r="AA704" i="5"/>
  <c r="AA703" i="5"/>
  <c r="AA702" i="5"/>
  <c r="AA701" i="5"/>
  <c r="AA700" i="5"/>
  <c r="AA699" i="5"/>
  <c r="AA698" i="5"/>
  <c r="AA697" i="5"/>
  <c r="AA696" i="5"/>
  <c r="AA695" i="5"/>
  <c r="AA694" i="5"/>
  <c r="AA693" i="5"/>
  <c r="AA692" i="5"/>
  <c r="AA691" i="5"/>
  <c r="AA690" i="5"/>
  <c r="AA689" i="5"/>
  <c r="AA688" i="5"/>
  <c r="AA687" i="5"/>
  <c r="AA686" i="5"/>
  <c r="AA685" i="5"/>
  <c r="AA684" i="5"/>
  <c r="AA683" i="5"/>
  <c r="AA682" i="5"/>
  <c r="AA681" i="5"/>
  <c r="AA680" i="5"/>
  <c r="AA679" i="5"/>
  <c r="AA678" i="5"/>
  <c r="AA677" i="5"/>
  <c r="AA676" i="5"/>
  <c r="AA675" i="5"/>
  <c r="AA674" i="5"/>
  <c r="AA673" i="5"/>
  <c r="AA672" i="5"/>
  <c r="AA671" i="5"/>
  <c r="AA670" i="5"/>
  <c r="AA669" i="5"/>
  <c r="AA668" i="5"/>
  <c r="AA667" i="5"/>
  <c r="AA666" i="5"/>
  <c r="AA665" i="5"/>
  <c r="AA664" i="5"/>
  <c r="AA663" i="5"/>
  <c r="AA662" i="5"/>
  <c r="AA661" i="5"/>
  <c r="AA660" i="5"/>
  <c r="AA659" i="5"/>
  <c r="AA658" i="5"/>
  <c r="AA657" i="5"/>
  <c r="AA656" i="5"/>
  <c r="AA655" i="5"/>
  <c r="AA654" i="5"/>
  <c r="AA653" i="5"/>
  <c r="AA652" i="5"/>
  <c r="AA651" i="5"/>
  <c r="AA650" i="5"/>
  <c r="AA649" i="5"/>
  <c r="AA648" i="5"/>
  <c r="AA647" i="5"/>
  <c r="AA646" i="5"/>
  <c r="AA645" i="5"/>
  <c r="AA644" i="5"/>
  <c r="AA643" i="5"/>
  <c r="AA642" i="5"/>
  <c r="AA641" i="5"/>
  <c r="AA640" i="5"/>
  <c r="AA639" i="5"/>
  <c r="AA638" i="5"/>
  <c r="AA637" i="5"/>
  <c r="AA636" i="5"/>
  <c r="AA635" i="5"/>
  <c r="AA634" i="5"/>
  <c r="AA633" i="5"/>
  <c r="AA632" i="5"/>
  <c r="AA631" i="5"/>
  <c r="AA630" i="5"/>
  <c r="AA629" i="5"/>
  <c r="AA628" i="5"/>
  <c r="AA627" i="5"/>
  <c r="AA626" i="5"/>
  <c r="AA625" i="5"/>
  <c r="AA624" i="5"/>
  <c r="AA623" i="5"/>
  <c r="AA622" i="5"/>
  <c r="AA621" i="5"/>
  <c r="AA620" i="5"/>
  <c r="AA619" i="5"/>
  <c r="AA618" i="5"/>
  <c r="AA617" i="5"/>
  <c r="AA616" i="5"/>
  <c r="AA615" i="5"/>
  <c r="AA614" i="5"/>
  <c r="AA613" i="5"/>
  <c r="AA612" i="5"/>
  <c r="AA611" i="5"/>
  <c r="AA610" i="5"/>
  <c r="AA609" i="5"/>
  <c r="AA608" i="5"/>
  <c r="AA607" i="5"/>
  <c r="AA606" i="5"/>
  <c r="AA605" i="5"/>
  <c r="AA604" i="5"/>
  <c r="AA603" i="5"/>
  <c r="AA602" i="5"/>
  <c r="AA601" i="5"/>
  <c r="AA600" i="5"/>
  <c r="AA599" i="5"/>
  <c r="AA598" i="5"/>
  <c r="AA597" i="5"/>
  <c r="AA596" i="5"/>
  <c r="AA595" i="5"/>
  <c r="AA594" i="5"/>
  <c r="AA593" i="5"/>
  <c r="AA592" i="5"/>
  <c r="AA591" i="5"/>
  <c r="AA590" i="5"/>
  <c r="AA589" i="5"/>
  <c r="AA588" i="5"/>
  <c r="AA587" i="5"/>
  <c r="AA586" i="5"/>
  <c r="AA585" i="5"/>
  <c r="AA584" i="5"/>
  <c r="AA583" i="5"/>
  <c r="AA582" i="5"/>
  <c r="AA581" i="5"/>
  <c r="AA580" i="5"/>
  <c r="AA579" i="5"/>
  <c r="AA578" i="5"/>
  <c r="AA577" i="5"/>
  <c r="AA576" i="5"/>
  <c r="AA575" i="5"/>
  <c r="AA574" i="5"/>
  <c r="AA573" i="5"/>
  <c r="AA572" i="5"/>
  <c r="AA571" i="5"/>
  <c r="AA570" i="5"/>
  <c r="AA569" i="5"/>
  <c r="AA568" i="5"/>
  <c r="AA567" i="5"/>
  <c r="AA566" i="5"/>
  <c r="AA565" i="5"/>
  <c r="AA564" i="5"/>
  <c r="AA563" i="5"/>
  <c r="AA562" i="5"/>
  <c r="AA561" i="5"/>
  <c r="AA560" i="5"/>
  <c r="AA559" i="5"/>
  <c r="AA558" i="5"/>
  <c r="AA557" i="5"/>
  <c r="AA556" i="5"/>
  <c r="AA555" i="5"/>
  <c r="AA554" i="5"/>
  <c r="AA553" i="5"/>
  <c r="AA552" i="5"/>
  <c r="AA551" i="5"/>
  <c r="AA550" i="5"/>
  <c r="AA549" i="5"/>
  <c r="AA548" i="5"/>
  <c r="AA547" i="5"/>
  <c r="AA546" i="5"/>
  <c r="AA545" i="5"/>
  <c r="AA544" i="5"/>
  <c r="AA543" i="5"/>
  <c r="AA542" i="5"/>
  <c r="AA541" i="5"/>
  <c r="AA540" i="5"/>
  <c r="AA539" i="5"/>
  <c r="AA538" i="5"/>
  <c r="AA537" i="5"/>
  <c r="AA536" i="5"/>
  <c r="AA535" i="5"/>
  <c r="AA534" i="5"/>
  <c r="AA533" i="5"/>
  <c r="AA532" i="5"/>
  <c r="AA531" i="5"/>
  <c r="AA530" i="5"/>
  <c r="AA529" i="5"/>
  <c r="AA528" i="5"/>
  <c r="AA527" i="5"/>
  <c r="AA526" i="5"/>
  <c r="AA525" i="5"/>
  <c r="AA524" i="5"/>
  <c r="AA523" i="5"/>
  <c r="AA522" i="5"/>
  <c r="AA521" i="5"/>
  <c r="AA520" i="5"/>
  <c r="AA519" i="5"/>
  <c r="AA518" i="5"/>
  <c r="AA517" i="5"/>
  <c r="AA516" i="5"/>
  <c r="AA515" i="5"/>
  <c r="AA514" i="5"/>
  <c r="AA513" i="5"/>
  <c r="AA512" i="5"/>
  <c r="AA511" i="5"/>
  <c r="AA510" i="5"/>
  <c r="AA509" i="5"/>
  <c r="AA508" i="5"/>
  <c r="AA507" i="5"/>
  <c r="AA506" i="5"/>
  <c r="AA505" i="5"/>
  <c r="AA504" i="5"/>
  <c r="AA503" i="5"/>
  <c r="AA502" i="5"/>
  <c r="AA501" i="5"/>
  <c r="AA500" i="5"/>
  <c r="AA499" i="5"/>
  <c r="AA498" i="5"/>
  <c r="AA497" i="5"/>
  <c r="AA496" i="5"/>
  <c r="AA495" i="5"/>
  <c r="AA494" i="5"/>
  <c r="AA493" i="5"/>
  <c r="AA492" i="5"/>
  <c r="AA491" i="5"/>
  <c r="AA490" i="5"/>
  <c r="AA489" i="5"/>
  <c r="AA488" i="5"/>
  <c r="AA487" i="5"/>
  <c r="AA486" i="5"/>
  <c r="AA485" i="5"/>
  <c r="AA484" i="5"/>
  <c r="AA483" i="5"/>
  <c r="AA482" i="5"/>
  <c r="AA481" i="5"/>
  <c r="AA480" i="5"/>
  <c r="AA479" i="5"/>
  <c r="AA478" i="5"/>
  <c r="AA477" i="5"/>
  <c r="AA476" i="5"/>
  <c r="AA475" i="5"/>
  <c r="AA474" i="5"/>
  <c r="AA473" i="5"/>
  <c r="AA472" i="5"/>
  <c r="AA471" i="5"/>
  <c r="AA470" i="5"/>
  <c r="AA469" i="5"/>
  <c r="AA468" i="5"/>
  <c r="AA467" i="5"/>
  <c r="AA466" i="5"/>
  <c r="AA465" i="5"/>
  <c r="AA464" i="5"/>
  <c r="AA463" i="5"/>
  <c r="AA462" i="5"/>
  <c r="AA461" i="5"/>
  <c r="AA460" i="5"/>
  <c r="AA459" i="5"/>
  <c r="AA458" i="5"/>
  <c r="AA457" i="5"/>
  <c r="AA456" i="5"/>
  <c r="AA455" i="5"/>
  <c r="AA454" i="5"/>
  <c r="AA453" i="5"/>
  <c r="AA452" i="5"/>
  <c r="AA451" i="5"/>
  <c r="AA450" i="5"/>
  <c r="AA449" i="5"/>
  <c r="AA448" i="5"/>
  <c r="AA447" i="5"/>
  <c r="AA446" i="5"/>
  <c r="AA445" i="5"/>
  <c r="AA444" i="5"/>
  <c r="AA443" i="5"/>
  <c r="AA442" i="5"/>
  <c r="AA441" i="5"/>
  <c r="AA440" i="5"/>
  <c r="AA439" i="5"/>
  <c r="AA438" i="5"/>
  <c r="AA437" i="5"/>
  <c r="AA436" i="5"/>
  <c r="AA435" i="5"/>
  <c r="AA434" i="5"/>
  <c r="AA433" i="5"/>
  <c r="AA432" i="5"/>
  <c r="AA431" i="5"/>
  <c r="AA430" i="5"/>
  <c r="AA429" i="5"/>
  <c r="AA428" i="5"/>
  <c r="AA427" i="5"/>
  <c r="AA426" i="5"/>
  <c r="AA425" i="5"/>
  <c r="AA424" i="5"/>
  <c r="AA423" i="5"/>
  <c r="AA422" i="5"/>
  <c r="AA421" i="5"/>
  <c r="AA420" i="5"/>
  <c r="AA419" i="5"/>
  <c r="AA418" i="5"/>
  <c r="AA417" i="5"/>
  <c r="AA416" i="5"/>
  <c r="AA415" i="5"/>
  <c r="AA414" i="5"/>
  <c r="AA413" i="5"/>
  <c r="AA412" i="5"/>
  <c r="AA411" i="5"/>
  <c r="AA410" i="5"/>
  <c r="AA409" i="5"/>
  <c r="AA408" i="5"/>
  <c r="D815" i="1"/>
  <c r="D814" i="1"/>
  <c r="D813" i="1"/>
  <c r="D812" i="1"/>
  <c r="D811" i="1"/>
  <c r="D810" i="1"/>
  <c r="D809" i="1"/>
  <c r="D808" i="1"/>
  <c r="D807" i="1"/>
  <c r="D806" i="1"/>
  <c r="D805" i="1"/>
  <c r="D804" i="1"/>
  <c r="D803" i="1"/>
  <c r="D802" i="1"/>
  <c r="D801" i="1"/>
  <c r="D800" i="1"/>
  <c r="D799" i="1"/>
  <c r="D798" i="1"/>
  <c r="D797" i="1"/>
  <c r="D796" i="1"/>
  <c r="D795" i="1"/>
  <c r="D794" i="1"/>
  <c r="D793" i="1"/>
  <c r="D792" i="1"/>
  <c r="D791" i="1"/>
  <c r="D790" i="1"/>
  <c r="D789" i="1"/>
  <c r="D788" i="1"/>
  <c r="D787" i="1"/>
  <c r="D786" i="1"/>
  <c r="D785" i="1"/>
  <c r="D784" i="1"/>
  <c r="D783" i="1"/>
  <c r="D782" i="1"/>
  <c r="D781" i="1"/>
  <c r="D780" i="1"/>
  <c r="D779" i="1"/>
  <c r="D778" i="1"/>
  <c r="D777" i="1"/>
  <c r="D776" i="1"/>
  <c r="D775" i="1"/>
  <c r="D774" i="1"/>
  <c r="D773" i="1"/>
  <c r="D772" i="1"/>
  <c r="D771" i="1"/>
  <c r="D770" i="1"/>
  <c r="D769" i="1"/>
  <c r="D768" i="1"/>
  <c r="D767" i="1"/>
  <c r="D766" i="1"/>
  <c r="D765" i="1"/>
  <c r="D764" i="1"/>
  <c r="D763" i="1"/>
  <c r="D762" i="1"/>
  <c r="D761" i="1"/>
  <c r="D760" i="1"/>
  <c r="D759" i="1"/>
  <c r="D758" i="1"/>
  <c r="D757" i="1"/>
  <c r="D756" i="1"/>
  <c r="D755" i="1"/>
  <c r="D754" i="1"/>
  <c r="D753" i="1"/>
  <c r="D752" i="1"/>
  <c r="D751" i="1"/>
  <c r="D750" i="1"/>
  <c r="D749" i="1"/>
  <c r="D748" i="1"/>
  <c r="D747" i="1"/>
  <c r="D746" i="1"/>
  <c r="D745" i="1"/>
  <c r="D744" i="1"/>
  <c r="D743" i="1"/>
  <c r="D742" i="1"/>
  <c r="D741" i="1"/>
  <c r="D740" i="1"/>
  <c r="D739" i="1"/>
  <c r="D738" i="1"/>
  <c r="D737" i="1"/>
  <c r="D736" i="1"/>
  <c r="D735" i="1"/>
  <c r="D734" i="1"/>
  <c r="D733" i="1"/>
  <c r="D732" i="1"/>
  <c r="D731" i="1"/>
  <c r="D730" i="1"/>
  <c r="D729" i="1"/>
  <c r="D728" i="1"/>
  <c r="D727" i="1"/>
  <c r="D726" i="1"/>
  <c r="D725" i="1"/>
  <c r="D724" i="1"/>
  <c r="D723" i="1"/>
  <c r="D722" i="1"/>
  <c r="D721" i="1"/>
  <c r="D720" i="1"/>
  <c r="D719" i="1"/>
  <c r="D718" i="1"/>
  <c r="D717" i="1"/>
  <c r="D716" i="1"/>
  <c r="D715" i="1"/>
  <c r="D714" i="1"/>
  <c r="D713" i="1"/>
  <c r="D712" i="1"/>
  <c r="D711" i="1"/>
  <c r="D710" i="1"/>
  <c r="D709" i="1"/>
  <c r="D708" i="1"/>
  <c r="D707" i="1"/>
  <c r="D706" i="1"/>
  <c r="D705" i="1"/>
  <c r="D704" i="1"/>
  <c r="D703" i="1"/>
  <c r="D702" i="1"/>
  <c r="D701" i="1"/>
  <c r="D700" i="1"/>
  <c r="D699" i="1"/>
  <c r="D698" i="1"/>
  <c r="D697" i="1"/>
  <c r="D696" i="1"/>
  <c r="D695" i="1"/>
  <c r="D694" i="1"/>
  <c r="D693" i="1"/>
  <c r="D692" i="1"/>
  <c r="D691" i="1"/>
  <c r="D690" i="1"/>
  <c r="D689" i="1"/>
  <c r="D688" i="1"/>
  <c r="D687" i="1"/>
  <c r="D686" i="1"/>
  <c r="D685" i="1"/>
  <c r="D684" i="1"/>
  <c r="D683" i="1"/>
  <c r="D682" i="1"/>
  <c r="D681" i="1"/>
  <c r="D680" i="1"/>
  <c r="D679" i="1"/>
  <c r="D678" i="1"/>
  <c r="D677" i="1"/>
  <c r="D676" i="1"/>
  <c r="D675" i="1"/>
  <c r="D674" i="1"/>
  <c r="D673" i="1"/>
  <c r="D672" i="1"/>
  <c r="D671" i="1"/>
  <c r="D670" i="1"/>
  <c r="D669" i="1"/>
  <c r="D668" i="1"/>
  <c r="D667" i="1"/>
  <c r="D666" i="1"/>
  <c r="D665" i="1"/>
  <c r="D664" i="1"/>
  <c r="D663" i="1"/>
  <c r="D662" i="1"/>
  <c r="D661" i="1"/>
  <c r="D660" i="1"/>
  <c r="D659" i="1"/>
  <c r="D658" i="1"/>
  <c r="D657" i="1"/>
  <c r="D656" i="1"/>
  <c r="D655" i="1"/>
  <c r="D654" i="1"/>
  <c r="A2000" i="5"/>
  <c r="A1999" i="5"/>
  <c r="A1998" i="5"/>
  <c r="A1997" i="5"/>
  <c r="A1996" i="5"/>
  <c r="A1995" i="5"/>
  <c r="A1994" i="5"/>
  <c r="A1993" i="5"/>
  <c r="A1992" i="5"/>
  <c r="A1991" i="5"/>
  <c r="A1990" i="5"/>
  <c r="A1989" i="5"/>
  <c r="A1988" i="5"/>
  <c r="A1987" i="5"/>
  <c r="A1986" i="5"/>
  <c r="A1985" i="5"/>
  <c r="A1984" i="5"/>
  <c r="A1983" i="5"/>
  <c r="A1982" i="5"/>
  <c r="A1981" i="5"/>
  <c r="A1980" i="5"/>
  <c r="A1979" i="5"/>
  <c r="A1978" i="5"/>
  <c r="A1977" i="5"/>
  <c r="A1976" i="5"/>
  <c r="A1975" i="5"/>
  <c r="A1974" i="5"/>
  <c r="A1973" i="5"/>
  <c r="A1972" i="5"/>
  <c r="A1971" i="5"/>
  <c r="A1970" i="5"/>
  <c r="A1969" i="5"/>
  <c r="A1968" i="5"/>
  <c r="A1967" i="5"/>
  <c r="A1966" i="5"/>
  <c r="A1965" i="5"/>
  <c r="A1964" i="5"/>
  <c r="A1963" i="5"/>
  <c r="A1962" i="5"/>
  <c r="A1961" i="5"/>
  <c r="A1960" i="5"/>
  <c r="A1959" i="5"/>
  <c r="A1958" i="5"/>
  <c r="A1957" i="5"/>
  <c r="A1956" i="5"/>
  <c r="A1955" i="5"/>
  <c r="A1954" i="5"/>
  <c r="A1953" i="5"/>
  <c r="A1952" i="5"/>
  <c r="A1951" i="5"/>
  <c r="A1950" i="5"/>
  <c r="A1949" i="5"/>
  <c r="A1948" i="5"/>
  <c r="A1947" i="5"/>
  <c r="A1946" i="5"/>
  <c r="A1945" i="5"/>
  <c r="A1944" i="5"/>
  <c r="A1943" i="5"/>
  <c r="A1942" i="5"/>
  <c r="A1941" i="5"/>
  <c r="A1940" i="5"/>
  <c r="A1939" i="5"/>
  <c r="A1938" i="5"/>
  <c r="A1937" i="5"/>
  <c r="A1936" i="5"/>
  <c r="A1935" i="5"/>
  <c r="A1934" i="5"/>
  <c r="A1933" i="5"/>
  <c r="A1932" i="5"/>
  <c r="A1931" i="5"/>
  <c r="A1930" i="5"/>
  <c r="A1929" i="5"/>
  <c r="A1928" i="5"/>
  <c r="A1927" i="5"/>
  <c r="A1926" i="5"/>
  <c r="A1925" i="5"/>
  <c r="A1924" i="5"/>
  <c r="A1923" i="5"/>
  <c r="A1922" i="5"/>
  <c r="A1921" i="5"/>
  <c r="A1920" i="5"/>
  <c r="A1919" i="5"/>
  <c r="A1918" i="5"/>
  <c r="A1917" i="5"/>
  <c r="A1916" i="5"/>
  <c r="A1915" i="5"/>
  <c r="A1914" i="5"/>
  <c r="A1913" i="5"/>
  <c r="A1912" i="5"/>
  <c r="A1911" i="5"/>
  <c r="A1910" i="5"/>
  <c r="A1909" i="5"/>
  <c r="A1908" i="5"/>
  <c r="A1907" i="5"/>
  <c r="A1906" i="5"/>
  <c r="A1905" i="5"/>
  <c r="A1904" i="5"/>
  <c r="A1903" i="5"/>
  <c r="A1902" i="5"/>
  <c r="A1901" i="5"/>
  <c r="A1900" i="5"/>
  <c r="A1899" i="5"/>
  <c r="A1898" i="5"/>
  <c r="A1897" i="5"/>
  <c r="A1896" i="5"/>
  <c r="A1895" i="5"/>
  <c r="A1894" i="5"/>
  <c r="A1893" i="5"/>
  <c r="A1892" i="5"/>
  <c r="A1891" i="5"/>
  <c r="A1890" i="5"/>
  <c r="A1889" i="5"/>
  <c r="A1888" i="5"/>
  <c r="A1887" i="5"/>
  <c r="A1886" i="5"/>
  <c r="A1885" i="5"/>
  <c r="A1884" i="5"/>
  <c r="A1883" i="5"/>
  <c r="A1882" i="5"/>
  <c r="A1881" i="5"/>
  <c r="A1880" i="5"/>
  <c r="A1879" i="5"/>
  <c r="A1878" i="5"/>
  <c r="A1877" i="5"/>
  <c r="A1876" i="5"/>
  <c r="A1875" i="5"/>
  <c r="A1874" i="5"/>
  <c r="A1873" i="5"/>
  <c r="A1872" i="5"/>
  <c r="A1871" i="5"/>
  <c r="A1870" i="5"/>
  <c r="A1869" i="5"/>
  <c r="A1868" i="5"/>
  <c r="A1867" i="5"/>
  <c r="A1866" i="5"/>
  <c r="A1865" i="5"/>
  <c r="A1864" i="5"/>
  <c r="A1863" i="5"/>
  <c r="A1862" i="5"/>
  <c r="A1861" i="5"/>
  <c r="A1860" i="5"/>
  <c r="A1859" i="5"/>
  <c r="A1858" i="5"/>
  <c r="A1857" i="5"/>
  <c r="A1856" i="5"/>
  <c r="A1855" i="5"/>
  <c r="A1854" i="5"/>
  <c r="A1853" i="5"/>
  <c r="A1852" i="5"/>
  <c r="A1851" i="5"/>
  <c r="A1850" i="5"/>
  <c r="A1849" i="5"/>
  <c r="A1848" i="5"/>
  <c r="A1847" i="5"/>
  <c r="A1846" i="5"/>
  <c r="A1845" i="5"/>
  <c r="A1844" i="5"/>
  <c r="A1843" i="5"/>
  <c r="A1842" i="5"/>
  <c r="A1841" i="5"/>
  <c r="A1840" i="5"/>
  <c r="A1839" i="5"/>
  <c r="A1838" i="5"/>
  <c r="A1837" i="5"/>
  <c r="A1836" i="5"/>
  <c r="A1835" i="5"/>
  <c r="A1834" i="5"/>
  <c r="A1833" i="5"/>
  <c r="A1832" i="5"/>
  <c r="A1831" i="5"/>
  <c r="A1830" i="5"/>
  <c r="A1829" i="5"/>
  <c r="A1828" i="5"/>
  <c r="A1827" i="5"/>
  <c r="A1826" i="5"/>
  <c r="A1825" i="5"/>
  <c r="A1824" i="5"/>
  <c r="A1823" i="5"/>
  <c r="A1822" i="5"/>
  <c r="A1821" i="5"/>
  <c r="A1820" i="5"/>
  <c r="A1819" i="5"/>
  <c r="A1818" i="5"/>
  <c r="A1817" i="5"/>
  <c r="A1816" i="5"/>
  <c r="A1815" i="5"/>
  <c r="A1814" i="5"/>
  <c r="A1813" i="5"/>
  <c r="A1812" i="5"/>
  <c r="A1811" i="5"/>
  <c r="A1810" i="5"/>
  <c r="A1809" i="5"/>
  <c r="A1808" i="5"/>
  <c r="A1807" i="5"/>
  <c r="A1806" i="5"/>
  <c r="A1805" i="5"/>
  <c r="A1804" i="5"/>
  <c r="A1803" i="5"/>
  <c r="A1802" i="5"/>
  <c r="A1801" i="5"/>
  <c r="A1800" i="5"/>
  <c r="A1799" i="5"/>
  <c r="A1798" i="5"/>
  <c r="A1797" i="5"/>
  <c r="A1796" i="5"/>
  <c r="A1795" i="5"/>
  <c r="A1794" i="5"/>
  <c r="A1793" i="5"/>
  <c r="A1792" i="5"/>
  <c r="A1791" i="5"/>
  <c r="A1790" i="5"/>
  <c r="A1789" i="5"/>
  <c r="A1788" i="5"/>
  <c r="A1787" i="5"/>
  <c r="A1786" i="5"/>
  <c r="A1785" i="5"/>
  <c r="A1784" i="5"/>
  <c r="A1783" i="5"/>
  <c r="A1782" i="5"/>
  <c r="A1781" i="5"/>
  <c r="A1780" i="5"/>
  <c r="A1779" i="5"/>
  <c r="A1778" i="5"/>
  <c r="A1777" i="5"/>
  <c r="A1776" i="5"/>
  <c r="A1775" i="5"/>
  <c r="A1774" i="5"/>
  <c r="A1773" i="5"/>
  <c r="A1772" i="5"/>
  <c r="A1771" i="5"/>
  <c r="A1770" i="5"/>
  <c r="A1769" i="5"/>
  <c r="A1768" i="5"/>
  <c r="A1767" i="5"/>
  <c r="A1766" i="5"/>
  <c r="A1765" i="5"/>
  <c r="A1764" i="5"/>
  <c r="A1763" i="5"/>
  <c r="A1762" i="5"/>
  <c r="A1761" i="5"/>
  <c r="A1760" i="5"/>
  <c r="A1759" i="5"/>
  <c r="A1758" i="5"/>
  <c r="A1757" i="5"/>
  <c r="A1756" i="5"/>
  <c r="A1755" i="5"/>
  <c r="A1754" i="5"/>
  <c r="A1753" i="5"/>
  <c r="A1752" i="5"/>
  <c r="A1751" i="5"/>
  <c r="A1750" i="5"/>
  <c r="A1749" i="5"/>
  <c r="A1748" i="5"/>
  <c r="A1747" i="5"/>
  <c r="A1746" i="5"/>
  <c r="A1745" i="5"/>
  <c r="A1744" i="5"/>
  <c r="A1743" i="5"/>
  <c r="A1742" i="5"/>
  <c r="A1741" i="5"/>
  <c r="A1740" i="5"/>
  <c r="A1739" i="5"/>
  <c r="A1738" i="5"/>
  <c r="A1737" i="5"/>
  <c r="A1736" i="5"/>
  <c r="A1735" i="5"/>
  <c r="A1734" i="5"/>
  <c r="A1733" i="5"/>
  <c r="A1732" i="5"/>
  <c r="A1731" i="5"/>
  <c r="A1730" i="5"/>
  <c r="A1729" i="5"/>
  <c r="A1728" i="5"/>
  <c r="A1727" i="5"/>
  <c r="A1726" i="5"/>
  <c r="A1725" i="5"/>
  <c r="A1724" i="5"/>
  <c r="A1723" i="5"/>
  <c r="A1722" i="5"/>
  <c r="A1721" i="5"/>
  <c r="A1720" i="5"/>
  <c r="A1719" i="5"/>
  <c r="A1718" i="5"/>
  <c r="A1717" i="5"/>
  <c r="A1716" i="5"/>
  <c r="A1715" i="5"/>
  <c r="A1714" i="5"/>
  <c r="A1713" i="5"/>
  <c r="A1712" i="5"/>
  <c r="A1711" i="5"/>
  <c r="A1710" i="5"/>
  <c r="A1709" i="5"/>
  <c r="A1708" i="5"/>
  <c r="A1707" i="5"/>
  <c r="A1706" i="5"/>
  <c r="A1705" i="5"/>
  <c r="A1704" i="5"/>
  <c r="A1703" i="5"/>
  <c r="A1702" i="5"/>
  <c r="A1701" i="5"/>
  <c r="A1700" i="5"/>
  <c r="A1699" i="5"/>
  <c r="A1698" i="5"/>
  <c r="A1697" i="5"/>
  <c r="A1696" i="5"/>
  <c r="A1695" i="5"/>
  <c r="A1694" i="5"/>
  <c r="A1693" i="5"/>
  <c r="A1692" i="5"/>
  <c r="A1691" i="5"/>
  <c r="A1690" i="5"/>
  <c r="A1689" i="5"/>
  <c r="A1688" i="5"/>
  <c r="A1687" i="5"/>
  <c r="A1686" i="5"/>
  <c r="A1685" i="5"/>
  <c r="A1684" i="5"/>
  <c r="A1683" i="5"/>
  <c r="A1682" i="5"/>
  <c r="A1681" i="5"/>
  <c r="A1680" i="5"/>
  <c r="A1679" i="5"/>
  <c r="A1678" i="5"/>
  <c r="A1677" i="5"/>
  <c r="A1676" i="5"/>
  <c r="A1675" i="5"/>
  <c r="A1674" i="5"/>
  <c r="A1673" i="5"/>
  <c r="A1672" i="5"/>
  <c r="A1671" i="5"/>
  <c r="A1670" i="5"/>
  <c r="A1669" i="5"/>
  <c r="A1668" i="5"/>
  <c r="A1667" i="5"/>
  <c r="A1666" i="5"/>
  <c r="A1665" i="5"/>
  <c r="A1664" i="5"/>
  <c r="A1663" i="5"/>
  <c r="A1662" i="5"/>
  <c r="A1661" i="5"/>
  <c r="A1660" i="5"/>
  <c r="A1659" i="5"/>
  <c r="A1658" i="5"/>
  <c r="A1657" i="5"/>
  <c r="A1656" i="5"/>
  <c r="A1655" i="5"/>
  <c r="A1654" i="5"/>
  <c r="A1653" i="5"/>
  <c r="A1652" i="5"/>
  <c r="A1651" i="5"/>
  <c r="A1650" i="5"/>
  <c r="A1649" i="5"/>
  <c r="A1648" i="5"/>
  <c r="A1647" i="5"/>
  <c r="A1646" i="5"/>
  <c r="A1645" i="5"/>
  <c r="A1644" i="5"/>
  <c r="A1643" i="5"/>
  <c r="A1642" i="5"/>
  <c r="A1641" i="5"/>
  <c r="A1640" i="5"/>
  <c r="A1639" i="5"/>
  <c r="A1638" i="5"/>
  <c r="A1637" i="5"/>
  <c r="A1636" i="5"/>
  <c r="A1635" i="5"/>
  <c r="A1634" i="5"/>
  <c r="A1633" i="5"/>
  <c r="A1632" i="5"/>
  <c r="A1631" i="5"/>
  <c r="A1630" i="5"/>
  <c r="A1629" i="5"/>
  <c r="A1628" i="5"/>
  <c r="A1627" i="5"/>
  <c r="A1626" i="5"/>
  <c r="A1625" i="5"/>
  <c r="A1624" i="5"/>
  <c r="A1623" i="5"/>
  <c r="A1622" i="5"/>
  <c r="A1621" i="5"/>
  <c r="A1620" i="5"/>
  <c r="A1619" i="5"/>
  <c r="A1618" i="5"/>
  <c r="A1617" i="5"/>
  <c r="A1616" i="5"/>
  <c r="A1615" i="5"/>
  <c r="A1614" i="5"/>
  <c r="A1613" i="5"/>
  <c r="A1612" i="5"/>
  <c r="A1611" i="5"/>
  <c r="A1610" i="5"/>
  <c r="A1609" i="5"/>
  <c r="A1608" i="5"/>
  <c r="A1607" i="5"/>
  <c r="A1606" i="5"/>
  <c r="A1605" i="5"/>
  <c r="A1604" i="5"/>
  <c r="A1603" i="5"/>
  <c r="A1602" i="5"/>
  <c r="A1601" i="5"/>
  <c r="A1600" i="5"/>
  <c r="A1599" i="5"/>
  <c r="A1598" i="5"/>
  <c r="A1597" i="5"/>
  <c r="A1596" i="5"/>
  <c r="A1595" i="5"/>
  <c r="A1594" i="5"/>
  <c r="A1593" i="5"/>
  <c r="A1592" i="5"/>
  <c r="A1591" i="5"/>
  <c r="A1590" i="5"/>
  <c r="A1589" i="5"/>
  <c r="A1588" i="5"/>
  <c r="A1587" i="5"/>
  <c r="A1586" i="5"/>
  <c r="A1585" i="5"/>
  <c r="A1584" i="5"/>
  <c r="A1583" i="5"/>
  <c r="A1582" i="5"/>
  <c r="A1581" i="5"/>
  <c r="A1580" i="5"/>
  <c r="A1579" i="5"/>
  <c r="A1578" i="5"/>
  <c r="A1577" i="5"/>
  <c r="A1576" i="5"/>
  <c r="A1575" i="5"/>
  <c r="A1574" i="5"/>
  <c r="A1573" i="5"/>
  <c r="A1572" i="5"/>
  <c r="A1571" i="5"/>
  <c r="A1570" i="5"/>
  <c r="A1569" i="5"/>
  <c r="A1568" i="5"/>
  <c r="A1567" i="5"/>
  <c r="A1566" i="5"/>
  <c r="A1565" i="5"/>
  <c r="A1564" i="5"/>
  <c r="A1563" i="5"/>
  <c r="A1562" i="5"/>
  <c r="A1561" i="5"/>
  <c r="A1560" i="5"/>
  <c r="A1559" i="5"/>
  <c r="A1558" i="5"/>
  <c r="A1557" i="5"/>
  <c r="A1556" i="5"/>
  <c r="A1555" i="5"/>
  <c r="A1554" i="5"/>
  <c r="A1553" i="5"/>
  <c r="A1552" i="5"/>
  <c r="A1551" i="5"/>
  <c r="A1550" i="5"/>
  <c r="A1549" i="5"/>
  <c r="A1548" i="5"/>
  <c r="A1547" i="5"/>
  <c r="A1546" i="5"/>
  <c r="A1545" i="5"/>
  <c r="A1544" i="5"/>
  <c r="A1543" i="5"/>
  <c r="A1542" i="5"/>
  <c r="A1541" i="5"/>
  <c r="A1540" i="5"/>
  <c r="A1539" i="5"/>
  <c r="A1538" i="5"/>
  <c r="A1537" i="5"/>
  <c r="A1536" i="5"/>
  <c r="A1535" i="5"/>
  <c r="A1534" i="5"/>
  <c r="A1533" i="5"/>
  <c r="A1532" i="5"/>
  <c r="A1531" i="5"/>
  <c r="A1530" i="5"/>
  <c r="A1529" i="5"/>
  <c r="A1528" i="5"/>
  <c r="A1527" i="5"/>
  <c r="A1526" i="5"/>
  <c r="A1525" i="5"/>
  <c r="A1524" i="5"/>
  <c r="A1523" i="5"/>
  <c r="A1522" i="5"/>
  <c r="A1521" i="5"/>
  <c r="A1520" i="5"/>
  <c r="A1519" i="5"/>
  <c r="A1518" i="5"/>
  <c r="A1517" i="5"/>
  <c r="A1516" i="5"/>
  <c r="A1515" i="5"/>
  <c r="A1514" i="5"/>
  <c r="A1513" i="5"/>
  <c r="A1512" i="5"/>
  <c r="A1511" i="5"/>
  <c r="A1510" i="5"/>
  <c r="A1509" i="5"/>
  <c r="A1508" i="5"/>
  <c r="A1507" i="5"/>
  <c r="A1506" i="5"/>
  <c r="A1505" i="5"/>
  <c r="A1504" i="5"/>
  <c r="A1503" i="5"/>
  <c r="A1502" i="5"/>
  <c r="A1501" i="5"/>
  <c r="A1500" i="5"/>
  <c r="A1499" i="5"/>
  <c r="A1498" i="5"/>
  <c r="A1497" i="5"/>
  <c r="A1496" i="5"/>
  <c r="A1495" i="5"/>
  <c r="A1494" i="5"/>
  <c r="A1493" i="5"/>
  <c r="A1492" i="5"/>
  <c r="A1491" i="5"/>
  <c r="A1490" i="5"/>
  <c r="A1489" i="5"/>
  <c r="A1488" i="5"/>
  <c r="A1487" i="5"/>
  <c r="A1486" i="5"/>
  <c r="A1485" i="5"/>
  <c r="A1484" i="5"/>
  <c r="A1483" i="5"/>
  <c r="A1482" i="5"/>
  <c r="A1481" i="5"/>
  <c r="A1480" i="5"/>
  <c r="A1479" i="5"/>
  <c r="A1478" i="5"/>
  <c r="A1477" i="5"/>
  <c r="A1476" i="5"/>
  <c r="A1475" i="5"/>
  <c r="A1474" i="5"/>
  <c r="A1473" i="5"/>
  <c r="A1472" i="5"/>
  <c r="A1471" i="5"/>
  <c r="A1470" i="5"/>
  <c r="A1469" i="5"/>
  <c r="A1468" i="5"/>
  <c r="A1467" i="5"/>
  <c r="A1466" i="5"/>
  <c r="A1465" i="5"/>
  <c r="A1464" i="5"/>
  <c r="A1463" i="5"/>
  <c r="A1462" i="5"/>
  <c r="A1461" i="5"/>
  <c r="A1460" i="5"/>
  <c r="A1459" i="5"/>
  <c r="A1458" i="5"/>
  <c r="A1457" i="5"/>
  <c r="A1456" i="5"/>
  <c r="A1455" i="5"/>
  <c r="A1454" i="5"/>
  <c r="A1453" i="5"/>
  <c r="A1452" i="5"/>
  <c r="A1451" i="5"/>
  <c r="A1450" i="5"/>
  <c r="A1449" i="5"/>
  <c r="A1448" i="5"/>
  <c r="A1447" i="5"/>
  <c r="A1446" i="5"/>
  <c r="A1445" i="5"/>
  <c r="A1444" i="5"/>
  <c r="A1443" i="5"/>
  <c r="A1442" i="5"/>
  <c r="A1441" i="5"/>
  <c r="A1440" i="5"/>
  <c r="A1439" i="5"/>
  <c r="A1438" i="5"/>
  <c r="A1437" i="5"/>
  <c r="A1436" i="5"/>
  <c r="A1435" i="5"/>
  <c r="A1434" i="5"/>
  <c r="A1433" i="5"/>
  <c r="A1432" i="5"/>
  <c r="A1431" i="5"/>
  <c r="A1430" i="5"/>
  <c r="A1429" i="5"/>
  <c r="A1428" i="5"/>
  <c r="A1427" i="5"/>
  <c r="A1426" i="5"/>
  <c r="A1425" i="5"/>
  <c r="A1424" i="5"/>
  <c r="A1423" i="5"/>
  <c r="A1422" i="5"/>
  <c r="A1421" i="5"/>
  <c r="A1420" i="5"/>
  <c r="A1419" i="5"/>
  <c r="A1418" i="5"/>
  <c r="A1417" i="5"/>
  <c r="A1416" i="5"/>
  <c r="A1415" i="5"/>
  <c r="A1414" i="5"/>
  <c r="A1413" i="5"/>
  <c r="A1412" i="5"/>
  <c r="A1411" i="5"/>
  <c r="A1410" i="5"/>
  <c r="A1409" i="5"/>
  <c r="A1408" i="5"/>
  <c r="A1407" i="5"/>
  <c r="A1406" i="5"/>
  <c r="A1405" i="5"/>
  <c r="A1404" i="5"/>
  <c r="A1403" i="5"/>
  <c r="A1402" i="5"/>
  <c r="A1401" i="5"/>
  <c r="A1400" i="5"/>
  <c r="A1399" i="5"/>
  <c r="A1398" i="5"/>
  <c r="A1397" i="5"/>
  <c r="A1396" i="5"/>
  <c r="A1395" i="5"/>
  <c r="A1394" i="5"/>
  <c r="A1393" i="5"/>
  <c r="A1392" i="5"/>
  <c r="A1391" i="5"/>
  <c r="A1390" i="5"/>
  <c r="A1389" i="5"/>
  <c r="A1388" i="5"/>
  <c r="A1387" i="5"/>
  <c r="A1386" i="5"/>
  <c r="A1385" i="5"/>
  <c r="A1384" i="5"/>
  <c r="A1383" i="5"/>
  <c r="A1382" i="5"/>
  <c r="A1381" i="5"/>
  <c r="A1380" i="5"/>
  <c r="A1379" i="5"/>
  <c r="A1378" i="5"/>
  <c r="A1377" i="5"/>
  <c r="A1376" i="5"/>
  <c r="A1375" i="5"/>
  <c r="A1374" i="5"/>
  <c r="A1373" i="5"/>
  <c r="A1372" i="5"/>
  <c r="A1371" i="5"/>
  <c r="A1370" i="5"/>
  <c r="A1369" i="5"/>
  <c r="A1368" i="5"/>
  <c r="A1367" i="5"/>
  <c r="A1366" i="5"/>
  <c r="A1365" i="5"/>
  <c r="A1364" i="5"/>
  <c r="A1363" i="5"/>
  <c r="A1362" i="5"/>
  <c r="A1361" i="5"/>
  <c r="A1360" i="5"/>
  <c r="A1359" i="5"/>
  <c r="A1358" i="5"/>
  <c r="A1357" i="5"/>
  <c r="A1356" i="5"/>
  <c r="A1355" i="5"/>
  <c r="A1354" i="5"/>
  <c r="A1353" i="5"/>
  <c r="A1352" i="5"/>
  <c r="A1351" i="5"/>
  <c r="A1350" i="5"/>
  <c r="A1349" i="5"/>
  <c r="A1348" i="5"/>
  <c r="A1347" i="5"/>
  <c r="A1346" i="5"/>
  <c r="A1345" i="5"/>
  <c r="A1344" i="5"/>
  <c r="A1343" i="5"/>
  <c r="A1342" i="5"/>
  <c r="A1341" i="5"/>
  <c r="A1340" i="5"/>
  <c r="A1339" i="5"/>
  <c r="A1338" i="5"/>
  <c r="A1337" i="5"/>
  <c r="A1336" i="5"/>
  <c r="A1335" i="5"/>
  <c r="A1334" i="5"/>
  <c r="A1333" i="5"/>
  <c r="A1332" i="5"/>
  <c r="A1331" i="5"/>
  <c r="A1330" i="5"/>
  <c r="A1329" i="5"/>
  <c r="A1328" i="5"/>
  <c r="A1327" i="5"/>
  <c r="A1326" i="5"/>
  <c r="A1325" i="5"/>
  <c r="A1324" i="5"/>
  <c r="A1323" i="5"/>
  <c r="A1322" i="5"/>
  <c r="A1321" i="5"/>
  <c r="A1320" i="5"/>
  <c r="A1319" i="5"/>
  <c r="A1318" i="5"/>
  <c r="A1317" i="5"/>
  <c r="A1316" i="5"/>
  <c r="A1315" i="5"/>
  <c r="A1314" i="5"/>
  <c r="A1313" i="5"/>
  <c r="A1312" i="5"/>
  <c r="A1311" i="5"/>
  <c r="A1310" i="5"/>
  <c r="A1309" i="5"/>
  <c r="A1308" i="5"/>
  <c r="A1307" i="5"/>
  <c r="A1306" i="5"/>
  <c r="A1305" i="5"/>
  <c r="A1304" i="5"/>
  <c r="A1303" i="5"/>
  <c r="A1302" i="5"/>
  <c r="A1301" i="5"/>
  <c r="A1300" i="5"/>
  <c r="A1299" i="5"/>
  <c r="A1298" i="5"/>
  <c r="A1297" i="5"/>
  <c r="A1296" i="5"/>
  <c r="A1295" i="5"/>
  <c r="A1294" i="5"/>
  <c r="A1293" i="5"/>
  <c r="A1292" i="5"/>
  <c r="A1291" i="5"/>
  <c r="A1290" i="5"/>
  <c r="A1289" i="5"/>
  <c r="A1288" i="5"/>
  <c r="A1287" i="5"/>
  <c r="A1286" i="5"/>
  <c r="A1285" i="5"/>
  <c r="A1284" i="5"/>
  <c r="A1283" i="5"/>
  <c r="A1282" i="5"/>
  <c r="A1281" i="5"/>
  <c r="A1280" i="5"/>
  <c r="A1279" i="5"/>
  <c r="A1278" i="5"/>
  <c r="A1277" i="5"/>
  <c r="A1276" i="5"/>
  <c r="A1275" i="5"/>
  <c r="A1274" i="5"/>
  <c r="A1273" i="5"/>
  <c r="A1272" i="5"/>
  <c r="A1271" i="5"/>
  <c r="A1270" i="5"/>
  <c r="A1269" i="5"/>
  <c r="A1268" i="5"/>
  <c r="A1267" i="5"/>
  <c r="A1266" i="5"/>
  <c r="A1265" i="5"/>
  <c r="A1264" i="5"/>
  <c r="A1263" i="5"/>
  <c r="A1262" i="5"/>
  <c r="A1261" i="5"/>
  <c r="A1260" i="5"/>
  <c r="A1259" i="5"/>
  <c r="A1258" i="5"/>
  <c r="A1257" i="5"/>
  <c r="A1256" i="5"/>
  <c r="A1255" i="5"/>
  <c r="A1254" i="5"/>
  <c r="A1253" i="5"/>
  <c r="A1252" i="5"/>
  <c r="A1251" i="5"/>
  <c r="A1250" i="5"/>
  <c r="A1249" i="5"/>
  <c r="A1248" i="5"/>
  <c r="A1247" i="5"/>
  <c r="A1246" i="5"/>
  <c r="A1245" i="5"/>
  <c r="A1244" i="5"/>
  <c r="A1243" i="5"/>
  <c r="A1242" i="5"/>
  <c r="A1241" i="5"/>
  <c r="A1240" i="5"/>
  <c r="A1239" i="5"/>
  <c r="A1238" i="5"/>
  <c r="A1237" i="5"/>
  <c r="A1236" i="5"/>
  <c r="A1235" i="5"/>
  <c r="A1234" i="5"/>
  <c r="A1233" i="5"/>
  <c r="A1232" i="5"/>
  <c r="A1231" i="5"/>
  <c r="A1230" i="5"/>
  <c r="A1229" i="5"/>
  <c r="A1228" i="5"/>
  <c r="A1227" i="5"/>
  <c r="A1226" i="5"/>
  <c r="A1225" i="5"/>
  <c r="A1224" i="5"/>
  <c r="A1223" i="5"/>
  <c r="A1222" i="5"/>
  <c r="A1221" i="5"/>
  <c r="A1220" i="5"/>
  <c r="A1219" i="5"/>
  <c r="A1218" i="5"/>
  <c r="A1217" i="5"/>
  <c r="A1216" i="5"/>
  <c r="A1215" i="5"/>
  <c r="A1214" i="5"/>
  <c r="A1213" i="5"/>
  <c r="A1212" i="5"/>
  <c r="A1211" i="5"/>
  <c r="A1210" i="5"/>
  <c r="A1209" i="5"/>
  <c r="A1208" i="5"/>
  <c r="A1207" i="5"/>
  <c r="A1206" i="5"/>
  <c r="A1205" i="5"/>
  <c r="A1204" i="5"/>
  <c r="A1203" i="5"/>
  <c r="A1202" i="5"/>
  <c r="A1201" i="5"/>
  <c r="A1200" i="5"/>
  <c r="A1199" i="5"/>
  <c r="A1198" i="5"/>
  <c r="A1197" i="5"/>
  <c r="A1196" i="5"/>
  <c r="A1195" i="5"/>
  <c r="A1194" i="5"/>
  <c r="A1193" i="5"/>
  <c r="A1192" i="5"/>
  <c r="A1191" i="5"/>
  <c r="A1190" i="5"/>
  <c r="A1189" i="5"/>
  <c r="A1188" i="5"/>
  <c r="A1187" i="5"/>
  <c r="A1186" i="5"/>
  <c r="A1185" i="5"/>
  <c r="A1184" i="5"/>
  <c r="A1183" i="5"/>
  <c r="A1182" i="5"/>
  <c r="A1181" i="5"/>
  <c r="A1180" i="5"/>
  <c r="A1179" i="5"/>
  <c r="A1178" i="5"/>
  <c r="A1177" i="5"/>
  <c r="A1176" i="5"/>
  <c r="A1175" i="5"/>
  <c r="A1174" i="5"/>
  <c r="A1173" i="5"/>
  <c r="A1172" i="5"/>
  <c r="A1171" i="5"/>
  <c r="A1170" i="5"/>
  <c r="A1169" i="5"/>
  <c r="A1168" i="5"/>
  <c r="A1167" i="5"/>
  <c r="A1166" i="5"/>
  <c r="A1165" i="5"/>
  <c r="A1164" i="5"/>
  <c r="A1163" i="5"/>
  <c r="A1162" i="5"/>
  <c r="A1161" i="5"/>
  <c r="A1160" i="5"/>
  <c r="A1159" i="5"/>
  <c r="A1158" i="5"/>
  <c r="A1157" i="5"/>
  <c r="A1156" i="5"/>
  <c r="A1155" i="5"/>
  <c r="A1154" i="5"/>
  <c r="A1153" i="5"/>
  <c r="A1152" i="5"/>
  <c r="A1151" i="5"/>
  <c r="A1150" i="5"/>
  <c r="A1149" i="5"/>
  <c r="A1148" i="5"/>
  <c r="A1147" i="5"/>
  <c r="A1146" i="5"/>
  <c r="A1145" i="5"/>
  <c r="A1144" i="5"/>
  <c r="A1143" i="5"/>
  <c r="A1142" i="5"/>
  <c r="A1141" i="5"/>
  <c r="A1140" i="5"/>
  <c r="A1139" i="5"/>
  <c r="A1138" i="5"/>
  <c r="A1137" i="5"/>
  <c r="A1136" i="5"/>
  <c r="A1135" i="5"/>
  <c r="A1134" i="5"/>
  <c r="A1133" i="5"/>
  <c r="A1132" i="5"/>
  <c r="A1131" i="5"/>
  <c r="A1130" i="5"/>
  <c r="A1129" i="5"/>
  <c r="A1128" i="5"/>
  <c r="A1127" i="5"/>
  <c r="A1126" i="5"/>
  <c r="A1125" i="5"/>
  <c r="A1124" i="5"/>
  <c r="A1123" i="5"/>
  <c r="A1122" i="5"/>
  <c r="A1121" i="5"/>
  <c r="A1120" i="5"/>
  <c r="A1119" i="5"/>
  <c r="A1118" i="5"/>
  <c r="A1117" i="5"/>
  <c r="A1116" i="5"/>
  <c r="A1115" i="5"/>
  <c r="A1114" i="5"/>
  <c r="A1113" i="5"/>
  <c r="A1112" i="5"/>
  <c r="A1111" i="5"/>
  <c r="A1110" i="5"/>
  <c r="A1109" i="5"/>
  <c r="A1108" i="5"/>
  <c r="A1107" i="5"/>
  <c r="A1106" i="5"/>
  <c r="A1105" i="5"/>
  <c r="A1104" i="5"/>
  <c r="A1103" i="5"/>
  <c r="A1102" i="5"/>
  <c r="A1101" i="5"/>
  <c r="A1100" i="5"/>
  <c r="A1099" i="5"/>
  <c r="A1098" i="5"/>
  <c r="A1097" i="5"/>
  <c r="A1096" i="5"/>
  <c r="A1095" i="5"/>
  <c r="A1094" i="5"/>
  <c r="A1093" i="5"/>
  <c r="A1092" i="5"/>
  <c r="A1091" i="5"/>
  <c r="A1090" i="5"/>
  <c r="A1089" i="5"/>
  <c r="A1088" i="5"/>
  <c r="A1087" i="5"/>
  <c r="A1086" i="5"/>
  <c r="A1085" i="5"/>
  <c r="A1084" i="5"/>
  <c r="A1083" i="5"/>
  <c r="A1082" i="5"/>
  <c r="A1081" i="5"/>
  <c r="A1080" i="5"/>
  <c r="A1079" i="5"/>
  <c r="A1078" i="5"/>
  <c r="A1077" i="5"/>
  <c r="A1076" i="5"/>
  <c r="A1075" i="5"/>
  <c r="A1074" i="5"/>
  <c r="A1073" i="5"/>
  <c r="A1072" i="5"/>
  <c r="A1071" i="5"/>
  <c r="A1070" i="5"/>
  <c r="A1069" i="5"/>
  <c r="A1068" i="5"/>
  <c r="A1067" i="5"/>
  <c r="A1066" i="5"/>
  <c r="A1065" i="5"/>
  <c r="A1064" i="5"/>
  <c r="A1063" i="5"/>
  <c r="A1062" i="5"/>
  <c r="A1061" i="5"/>
  <c r="A1060" i="5"/>
  <c r="A1059" i="5"/>
  <c r="A1058" i="5"/>
  <c r="A1057" i="5"/>
  <c r="A1056" i="5"/>
  <c r="A1055" i="5"/>
  <c r="A1054" i="5"/>
  <c r="A1053" i="5"/>
  <c r="A1052" i="5"/>
  <c r="A1051" i="5"/>
  <c r="A1050" i="5"/>
  <c r="A1049" i="5"/>
  <c r="A1048" i="5"/>
  <c r="A1047" i="5"/>
  <c r="A1046" i="5"/>
  <c r="A1045" i="5"/>
  <c r="A1044" i="5"/>
  <c r="A1043" i="5"/>
  <c r="A1042" i="5"/>
  <c r="A1041" i="5"/>
  <c r="A1040" i="5"/>
  <c r="A1039" i="5"/>
  <c r="A1038" i="5"/>
  <c r="A1037" i="5"/>
  <c r="A1036" i="5"/>
  <c r="A1035" i="5"/>
  <c r="A1034" i="5"/>
  <c r="A1033" i="5"/>
  <c r="A1032" i="5"/>
  <c r="A1031" i="5"/>
  <c r="A1030" i="5"/>
  <c r="A1029" i="5"/>
  <c r="A1028" i="5"/>
  <c r="A1027" i="5"/>
  <c r="A1026" i="5"/>
  <c r="A1025" i="5"/>
  <c r="A1024" i="5"/>
  <c r="A1023" i="5"/>
  <c r="A1022" i="5"/>
  <c r="A1021" i="5"/>
  <c r="A1020" i="5"/>
  <c r="A1019" i="5"/>
  <c r="A1018" i="5"/>
  <c r="A1017" i="5"/>
  <c r="A1016" i="5"/>
  <c r="A1015" i="5"/>
  <c r="A1014" i="5"/>
  <c r="A1013" i="5"/>
  <c r="A1012" i="5"/>
  <c r="A1011" i="5"/>
  <c r="A1010" i="5"/>
  <c r="A1009" i="5"/>
  <c r="A1008" i="5"/>
  <c r="A1007" i="5"/>
  <c r="A1006" i="5"/>
  <c r="A1005" i="5"/>
  <c r="A1004" i="5"/>
  <c r="A1003" i="5"/>
  <c r="A1002" i="5"/>
  <c r="A1001" i="5"/>
  <c r="A1000" i="5"/>
  <c r="A999" i="5"/>
  <c r="A998" i="5"/>
  <c r="A997" i="5"/>
  <c r="A996" i="5"/>
  <c r="A995" i="5"/>
  <c r="A994" i="5"/>
  <c r="A993" i="5"/>
  <c r="A992" i="5"/>
  <c r="A991" i="5"/>
  <c r="A990" i="5"/>
  <c r="A989" i="5"/>
  <c r="A988" i="5"/>
  <c r="A987" i="5"/>
  <c r="A986" i="5"/>
  <c r="A985" i="5"/>
  <c r="A984" i="5"/>
  <c r="A983" i="5"/>
  <c r="A982" i="5"/>
  <c r="A981" i="5"/>
  <c r="A980" i="5"/>
  <c r="A979" i="5"/>
  <c r="A978" i="5"/>
  <c r="A977" i="5"/>
  <c r="A976" i="5"/>
  <c r="A975" i="5"/>
  <c r="A974" i="5"/>
  <c r="A973" i="5"/>
  <c r="A972" i="5"/>
  <c r="A971" i="5"/>
  <c r="A970" i="5"/>
  <c r="A969" i="5"/>
  <c r="A968" i="5"/>
  <c r="A967" i="5"/>
  <c r="A966" i="5"/>
  <c r="A965" i="5"/>
  <c r="A964" i="5"/>
  <c r="A963" i="5"/>
  <c r="A962" i="5"/>
  <c r="A961" i="5"/>
  <c r="A960" i="5"/>
  <c r="A959" i="5"/>
  <c r="A958" i="5"/>
  <c r="A957" i="5"/>
  <c r="A956" i="5"/>
  <c r="A955" i="5"/>
  <c r="A954" i="5"/>
  <c r="A953" i="5"/>
  <c r="A952" i="5"/>
  <c r="A951" i="5"/>
  <c r="A950" i="5"/>
  <c r="A949" i="5"/>
  <c r="A948" i="5"/>
  <c r="A947" i="5"/>
  <c r="A946" i="5"/>
  <c r="A945" i="5"/>
  <c r="A944" i="5"/>
  <c r="A943" i="5"/>
  <c r="A942" i="5"/>
  <c r="A941" i="5"/>
  <c r="A940" i="5"/>
  <c r="A939" i="5"/>
  <c r="A938" i="5"/>
  <c r="A937" i="5"/>
  <c r="A936" i="5"/>
  <c r="A935" i="5"/>
  <c r="A934" i="5"/>
  <c r="A933" i="5"/>
  <c r="A932" i="5"/>
  <c r="A931" i="5"/>
  <c r="A930" i="5"/>
  <c r="A929" i="5"/>
  <c r="A928" i="5"/>
  <c r="A927" i="5"/>
  <c r="A926" i="5"/>
  <c r="A925" i="5"/>
  <c r="A924" i="5"/>
  <c r="A923" i="5"/>
  <c r="A922" i="5"/>
  <c r="A921" i="5"/>
  <c r="A920" i="5"/>
  <c r="A919" i="5"/>
  <c r="A918" i="5"/>
  <c r="A917" i="5"/>
  <c r="A916" i="5"/>
  <c r="A915" i="5"/>
  <c r="A914" i="5"/>
  <c r="A913" i="5"/>
  <c r="A912" i="5"/>
  <c r="A911" i="5"/>
  <c r="A910" i="5"/>
  <c r="A909" i="5"/>
  <c r="A908" i="5"/>
  <c r="A907" i="5"/>
  <c r="A906" i="5"/>
  <c r="A905" i="5"/>
  <c r="A904" i="5"/>
  <c r="A903" i="5"/>
  <c r="A902" i="5"/>
  <c r="A901" i="5"/>
  <c r="A900" i="5"/>
  <c r="A899" i="5"/>
  <c r="A898" i="5"/>
  <c r="A897" i="5"/>
  <c r="A896" i="5"/>
  <c r="A895" i="5"/>
  <c r="A894" i="5"/>
  <c r="A893" i="5"/>
  <c r="A892" i="5"/>
  <c r="A891" i="5"/>
  <c r="A890" i="5"/>
  <c r="A889" i="5"/>
  <c r="A888" i="5"/>
  <c r="A887" i="5"/>
  <c r="A886" i="5"/>
  <c r="A885" i="5"/>
  <c r="A884" i="5"/>
  <c r="A883" i="5"/>
  <c r="A882" i="5"/>
  <c r="A881" i="5"/>
  <c r="A880" i="5"/>
  <c r="A879" i="5"/>
  <c r="A878" i="5"/>
  <c r="A877" i="5"/>
  <c r="A876" i="5"/>
  <c r="A875" i="5"/>
  <c r="A874" i="5"/>
  <c r="A873" i="5"/>
  <c r="A872" i="5"/>
  <c r="A871" i="5"/>
  <c r="A870" i="5"/>
  <c r="A869" i="5"/>
  <c r="A868" i="5"/>
  <c r="A867" i="5"/>
  <c r="A866" i="5"/>
  <c r="A865" i="5"/>
  <c r="A864" i="5"/>
  <c r="A863" i="5"/>
  <c r="A862" i="5"/>
  <c r="A861" i="5"/>
  <c r="A860" i="5"/>
  <c r="A859" i="5"/>
  <c r="A858" i="5"/>
  <c r="A857" i="5"/>
  <c r="A856" i="5"/>
  <c r="A855" i="5"/>
  <c r="A854" i="5"/>
  <c r="A853" i="5"/>
  <c r="A852" i="5"/>
  <c r="A851" i="5"/>
  <c r="A850" i="5"/>
  <c r="A849" i="5"/>
  <c r="A848" i="5"/>
  <c r="A847" i="5"/>
  <c r="A846" i="5"/>
  <c r="A845" i="5"/>
  <c r="A844" i="5"/>
  <c r="A843" i="5"/>
  <c r="A842" i="5"/>
  <c r="A841" i="5"/>
  <c r="A840" i="5"/>
  <c r="A839" i="5"/>
  <c r="A838" i="5"/>
  <c r="A837" i="5"/>
  <c r="A836" i="5"/>
  <c r="A835" i="5"/>
  <c r="A834" i="5"/>
  <c r="A833" i="5"/>
  <c r="A832" i="5"/>
  <c r="A831" i="5"/>
  <c r="A830" i="5"/>
  <c r="A829" i="5"/>
  <c r="A828" i="5"/>
  <c r="A827" i="5"/>
  <c r="A826" i="5"/>
  <c r="A825" i="5"/>
  <c r="A824" i="5"/>
  <c r="A823" i="5"/>
  <c r="A822" i="5"/>
  <c r="A821" i="5"/>
  <c r="A820" i="5"/>
  <c r="A819" i="5"/>
  <c r="A818" i="5"/>
  <c r="A817" i="5"/>
  <c r="A816" i="5"/>
  <c r="A815" i="5"/>
  <c r="A814" i="5"/>
  <c r="A813" i="5"/>
  <c r="A812" i="5"/>
  <c r="A811" i="5"/>
  <c r="A810" i="5"/>
  <c r="A809" i="5"/>
  <c r="A808" i="5"/>
  <c r="A807" i="5"/>
  <c r="A806" i="5"/>
  <c r="A805" i="5"/>
  <c r="O13" i="1"/>
  <c r="Q13" i="1" s="1"/>
  <c r="P13" i="1" s="1"/>
  <c r="O14" i="1"/>
  <c r="Q14" i="1" s="1"/>
  <c r="P14" i="1" s="1"/>
  <c r="O15" i="1"/>
  <c r="Q15" i="1" s="1"/>
  <c r="P15" i="1" s="1"/>
  <c r="O16" i="1"/>
  <c r="O17" i="1"/>
  <c r="Q17" i="1" s="1"/>
  <c r="P17" i="1" s="1"/>
  <c r="O18" i="1"/>
  <c r="Q18" i="1" s="1"/>
  <c r="P18" i="1" s="1"/>
  <c r="O19" i="1"/>
  <c r="Q19" i="1" s="1"/>
  <c r="P19" i="1" s="1"/>
  <c r="O20" i="1"/>
  <c r="Q20" i="1" s="1"/>
  <c r="P20" i="1" s="1"/>
  <c r="O21" i="1"/>
  <c r="Q21" i="1" s="1"/>
  <c r="P21" i="1" s="1"/>
  <c r="O22" i="1"/>
  <c r="Q22" i="1" s="1"/>
  <c r="P22" i="1" s="1"/>
  <c r="O23" i="1"/>
  <c r="Q23" i="1" s="1"/>
  <c r="P23" i="1" s="1"/>
  <c r="O24" i="1"/>
  <c r="O25" i="1"/>
  <c r="O26" i="1"/>
  <c r="Q26" i="1" s="1"/>
  <c r="P26" i="1" s="1"/>
  <c r="O27" i="1"/>
  <c r="Q27" i="1" s="1"/>
  <c r="P27" i="1" s="1"/>
  <c r="O28" i="1"/>
  <c r="Q28" i="1" s="1"/>
  <c r="P28" i="1" s="1"/>
  <c r="O29" i="1"/>
  <c r="Q29" i="1" s="1"/>
  <c r="P29" i="1" s="1"/>
  <c r="O30" i="1"/>
  <c r="Q30" i="1" s="1"/>
  <c r="P30" i="1" s="1"/>
  <c r="O31" i="1"/>
  <c r="Q31" i="1" s="1"/>
  <c r="P31" i="1" s="1"/>
  <c r="O32" i="1"/>
  <c r="O33" i="1"/>
  <c r="Q33" i="1" s="1"/>
  <c r="P33" i="1" s="1"/>
  <c r="O34" i="1"/>
  <c r="Q34" i="1" s="1"/>
  <c r="P34" i="1" s="1"/>
  <c r="O35" i="1"/>
  <c r="Q35" i="1" s="1"/>
  <c r="P35" i="1" s="1"/>
  <c r="O36" i="1"/>
  <c r="Q36" i="1" s="1"/>
  <c r="P36" i="1" s="1"/>
  <c r="O37" i="1"/>
  <c r="Q37" i="1" s="1"/>
  <c r="P37" i="1" s="1"/>
  <c r="O38" i="1"/>
  <c r="Q38" i="1" s="1"/>
  <c r="P38" i="1" s="1"/>
  <c r="O39" i="1"/>
  <c r="Q39" i="1" s="1"/>
  <c r="P39" i="1" s="1"/>
  <c r="O40" i="1"/>
  <c r="Q40" i="1" s="1"/>
  <c r="P40" i="1" s="1"/>
  <c r="O41" i="1"/>
  <c r="O42" i="1"/>
  <c r="Q42" i="1" s="1"/>
  <c r="P42" i="1" s="1"/>
  <c r="O43" i="1"/>
  <c r="Q43" i="1" s="1"/>
  <c r="P43" i="1" s="1"/>
  <c r="O44" i="1"/>
  <c r="Q44" i="1" s="1"/>
  <c r="P44" i="1" s="1"/>
  <c r="O45" i="1"/>
  <c r="Q45" i="1" s="1"/>
  <c r="P45" i="1" s="1"/>
  <c r="O46" i="1"/>
  <c r="Q46" i="1" s="1"/>
  <c r="P46" i="1" s="1"/>
  <c r="O47" i="1"/>
  <c r="Q47" i="1" s="1"/>
  <c r="P47" i="1" s="1"/>
  <c r="O48" i="1"/>
  <c r="Q48" i="1" s="1"/>
  <c r="P48" i="1" s="1"/>
  <c r="O49" i="1"/>
  <c r="O50" i="1"/>
  <c r="Q50" i="1" s="1"/>
  <c r="P50" i="1" s="1"/>
  <c r="O51" i="1"/>
  <c r="Q51" i="1" s="1"/>
  <c r="P51" i="1" s="1"/>
  <c r="O52" i="1"/>
  <c r="Q52" i="1" s="1"/>
  <c r="P52" i="1" s="1"/>
  <c r="O53" i="1"/>
  <c r="Q53" i="1" s="1"/>
  <c r="P53" i="1" s="1"/>
  <c r="O54" i="1"/>
  <c r="Q54" i="1" s="1"/>
  <c r="P54" i="1" s="1"/>
  <c r="O55" i="1"/>
  <c r="Q55" i="1" s="1"/>
  <c r="P55" i="1" s="1"/>
  <c r="O56" i="1"/>
  <c r="Q56" i="1" s="1"/>
  <c r="P56" i="1" s="1"/>
  <c r="O57" i="1"/>
  <c r="Q57" i="1" s="1"/>
  <c r="P57" i="1" s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220" i="1"/>
  <c r="O221" i="1"/>
  <c r="O222" i="1"/>
  <c r="O223" i="1"/>
  <c r="O224" i="1"/>
  <c r="O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59" i="1"/>
  <c r="O260" i="1"/>
  <c r="O261" i="1"/>
  <c r="O262" i="1"/>
  <c r="O263" i="1"/>
  <c r="O264" i="1"/>
  <c r="O265" i="1"/>
  <c r="O266" i="1"/>
  <c r="O267" i="1"/>
  <c r="O268" i="1"/>
  <c r="O269" i="1"/>
  <c r="O270" i="1"/>
  <c r="O271" i="1"/>
  <c r="O272" i="1"/>
  <c r="O273" i="1"/>
  <c r="O274" i="1"/>
  <c r="O275" i="1"/>
  <c r="O276" i="1"/>
  <c r="O277" i="1"/>
  <c r="O278" i="1"/>
  <c r="O279" i="1"/>
  <c r="O280" i="1"/>
  <c r="O281" i="1"/>
  <c r="O282" i="1"/>
  <c r="O283" i="1"/>
  <c r="O284" i="1"/>
  <c r="O285" i="1"/>
  <c r="O286" i="1"/>
  <c r="O287" i="1"/>
  <c r="O288" i="1"/>
  <c r="O289" i="1"/>
  <c r="O290" i="1"/>
  <c r="O291" i="1"/>
  <c r="O292" i="1"/>
  <c r="O293" i="1"/>
  <c r="O294" i="1"/>
  <c r="O295" i="1"/>
  <c r="O296" i="1"/>
  <c r="O297" i="1"/>
  <c r="O298" i="1"/>
  <c r="O299" i="1"/>
  <c r="O300" i="1"/>
  <c r="O301" i="1"/>
  <c r="O302" i="1"/>
  <c r="O303" i="1"/>
  <c r="O304" i="1"/>
  <c r="O305" i="1"/>
  <c r="O306" i="1"/>
  <c r="O307" i="1"/>
  <c r="O308" i="1"/>
  <c r="O309" i="1"/>
  <c r="O310" i="1"/>
  <c r="O311" i="1"/>
  <c r="O312" i="1"/>
  <c r="O313" i="1"/>
  <c r="O314" i="1"/>
  <c r="O315" i="1"/>
  <c r="O316" i="1"/>
  <c r="O317" i="1"/>
  <c r="O318" i="1"/>
  <c r="O319" i="1"/>
  <c r="O320" i="1"/>
  <c r="O321" i="1"/>
  <c r="O322" i="1"/>
  <c r="O323" i="1"/>
  <c r="O324" i="1"/>
  <c r="O325" i="1"/>
  <c r="O326" i="1"/>
  <c r="O327" i="1"/>
  <c r="O328" i="1"/>
  <c r="O329" i="1"/>
  <c r="O330" i="1"/>
  <c r="O331" i="1"/>
  <c r="O332" i="1"/>
  <c r="O333" i="1"/>
  <c r="O334" i="1"/>
  <c r="O335" i="1"/>
  <c r="O336" i="1"/>
  <c r="O337" i="1"/>
  <c r="O338" i="1"/>
  <c r="O339" i="1"/>
  <c r="O340" i="1"/>
  <c r="O341" i="1"/>
  <c r="O342" i="1"/>
  <c r="O343" i="1"/>
  <c r="O344" i="1"/>
  <c r="O345" i="1"/>
  <c r="O346" i="1"/>
  <c r="O347" i="1"/>
  <c r="O348" i="1"/>
  <c r="O349" i="1"/>
  <c r="O350" i="1"/>
  <c r="O351" i="1"/>
  <c r="O352" i="1"/>
  <c r="O353" i="1"/>
  <c r="O354" i="1"/>
  <c r="O355" i="1"/>
  <c r="O356" i="1"/>
  <c r="O357" i="1"/>
  <c r="O358" i="1"/>
  <c r="O359" i="1"/>
  <c r="O360" i="1"/>
  <c r="O361" i="1"/>
  <c r="O362" i="1"/>
  <c r="O363" i="1"/>
  <c r="O364" i="1"/>
  <c r="O365" i="1"/>
  <c r="O366" i="1"/>
  <c r="O367" i="1"/>
  <c r="O368" i="1"/>
  <c r="O369" i="1"/>
  <c r="O370" i="1"/>
  <c r="O371" i="1"/>
  <c r="O372" i="1"/>
  <c r="O373" i="1"/>
  <c r="O374" i="1"/>
  <c r="O375" i="1"/>
  <c r="O376" i="1"/>
  <c r="O377" i="1"/>
  <c r="O378" i="1"/>
  <c r="O379" i="1"/>
  <c r="O380" i="1"/>
  <c r="O381" i="1"/>
  <c r="O382" i="1"/>
  <c r="O383" i="1"/>
  <c r="O384" i="1"/>
  <c r="O385" i="1"/>
  <c r="O386" i="1"/>
  <c r="O387" i="1"/>
  <c r="O388" i="1"/>
  <c r="O389" i="1"/>
  <c r="O390" i="1"/>
  <c r="O391" i="1"/>
  <c r="O392" i="1"/>
  <c r="O393" i="1"/>
  <c r="O394" i="1"/>
  <c r="O395" i="1"/>
  <c r="O396" i="1"/>
  <c r="O397" i="1"/>
  <c r="O398" i="1"/>
  <c r="O399" i="1"/>
  <c r="O400" i="1"/>
  <c r="O401" i="1"/>
  <c r="O402" i="1"/>
  <c r="O403" i="1"/>
  <c r="O404" i="1"/>
  <c r="O405" i="1"/>
  <c r="O406" i="1"/>
  <c r="O407" i="1"/>
  <c r="O408" i="1"/>
  <c r="O409" i="1"/>
  <c r="O410" i="1"/>
  <c r="O411" i="1"/>
  <c r="AA407" i="5"/>
  <c r="AA406" i="5"/>
  <c r="AA405" i="5"/>
  <c r="AA404" i="5"/>
  <c r="AA403" i="5"/>
  <c r="AA402" i="5"/>
  <c r="AA401" i="5"/>
  <c r="AA400" i="5"/>
  <c r="AA399" i="5"/>
  <c r="AA398" i="5"/>
  <c r="AA397" i="5"/>
  <c r="AA396" i="5"/>
  <c r="AA395" i="5"/>
  <c r="AA394" i="5"/>
  <c r="AA393" i="5"/>
  <c r="AA392" i="5"/>
  <c r="AA391" i="5"/>
  <c r="AA390" i="5"/>
  <c r="AA389" i="5"/>
  <c r="AA388" i="5"/>
  <c r="AA387" i="5"/>
  <c r="AA386" i="5"/>
  <c r="AA385" i="5"/>
  <c r="AA384" i="5"/>
  <c r="AA383" i="5"/>
  <c r="AA382" i="5"/>
  <c r="AA381" i="5"/>
  <c r="AA380" i="5"/>
  <c r="AA379" i="5"/>
  <c r="AA378" i="5"/>
  <c r="AA377" i="5"/>
  <c r="AA376" i="5"/>
  <c r="AA375" i="5"/>
  <c r="AA374" i="5"/>
  <c r="AA373" i="5"/>
  <c r="AA372" i="5"/>
  <c r="AA371" i="5"/>
  <c r="AA370" i="5"/>
  <c r="AA369" i="5"/>
  <c r="AA368" i="5"/>
  <c r="AA367" i="5"/>
  <c r="AA366" i="5"/>
  <c r="AA365" i="5"/>
  <c r="AA364" i="5"/>
  <c r="AA363" i="5"/>
  <c r="AA362" i="5"/>
  <c r="AA361" i="5"/>
  <c r="AA360" i="5"/>
  <c r="AA359" i="5"/>
  <c r="AA358" i="5"/>
  <c r="AA357" i="5"/>
  <c r="AA356" i="5"/>
  <c r="AA355" i="5"/>
  <c r="AA354" i="5"/>
  <c r="AA353" i="5"/>
  <c r="AA352" i="5"/>
  <c r="AA351" i="5"/>
  <c r="AA350" i="5"/>
  <c r="AA349" i="5"/>
  <c r="AA348" i="5"/>
  <c r="AA347" i="5"/>
  <c r="AA346" i="5"/>
  <c r="AA345" i="5"/>
  <c r="AA344" i="5"/>
  <c r="AA343" i="5"/>
  <c r="AA342" i="5"/>
  <c r="AA341" i="5"/>
  <c r="AA340" i="5"/>
  <c r="AA339" i="5"/>
  <c r="AA338" i="5"/>
  <c r="AA337" i="5"/>
  <c r="AA336" i="5"/>
  <c r="AA335" i="5"/>
  <c r="AA334" i="5"/>
  <c r="AA333" i="5"/>
  <c r="AA332" i="5"/>
  <c r="AA331" i="5"/>
  <c r="AA330" i="5"/>
  <c r="AA329" i="5"/>
  <c r="AA328" i="5"/>
  <c r="AA327" i="5"/>
  <c r="AA326" i="5"/>
  <c r="AA325" i="5"/>
  <c r="AA324" i="5"/>
  <c r="AA323" i="5"/>
  <c r="AA322" i="5"/>
  <c r="AA321" i="5"/>
  <c r="AA320" i="5"/>
  <c r="AA319" i="5"/>
  <c r="AA318" i="5"/>
  <c r="AA317" i="5"/>
  <c r="AA316" i="5"/>
  <c r="AA315" i="5"/>
  <c r="AA314" i="5"/>
  <c r="AA313" i="5"/>
  <c r="AA312" i="5"/>
  <c r="AA311" i="5"/>
  <c r="AA310" i="5"/>
  <c r="AA309" i="5"/>
  <c r="AA308" i="5"/>
  <c r="AA307" i="5"/>
  <c r="AA306" i="5"/>
  <c r="AA305" i="5"/>
  <c r="AA304" i="5"/>
  <c r="AA303" i="5"/>
  <c r="AA302" i="5"/>
  <c r="AA301" i="5"/>
  <c r="AA300" i="5"/>
  <c r="AA299" i="5"/>
  <c r="AA298" i="5"/>
  <c r="AA297" i="5"/>
  <c r="AA296" i="5"/>
  <c r="AA295" i="5"/>
  <c r="AA294" i="5"/>
  <c r="AA293" i="5"/>
  <c r="AA292" i="5"/>
  <c r="AA291" i="5"/>
  <c r="AA290" i="5"/>
  <c r="AA289" i="5"/>
  <c r="AA288" i="5"/>
  <c r="AA287" i="5"/>
  <c r="AA286" i="5"/>
  <c r="AA285" i="5"/>
  <c r="AA284" i="5"/>
  <c r="AA283" i="5"/>
  <c r="AA282" i="5"/>
  <c r="AA281" i="5"/>
  <c r="AA280" i="5"/>
  <c r="AA279" i="5"/>
  <c r="AA278" i="5"/>
  <c r="AA277" i="5"/>
  <c r="AA276" i="5"/>
  <c r="AA275" i="5"/>
  <c r="AA274" i="5"/>
  <c r="AA273" i="5"/>
  <c r="AA272" i="5"/>
  <c r="AA271" i="5"/>
  <c r="AA270" i="5"/>
  <c r="AA269" i="5"/>
  <c r="AA268" i="5"/>
  <c r="AA267" i="5"/>
  <c r="AA266" i="5"/>
  <c r="AA265" i="5"/>
  <c r="AA264" i="5"/>
  <c r="AA263" i="5"/>
  <c r="AA262" i="5"/>
  <c r="AA261" i="5"/>
  <c r="AA260" i="5"/>
  <c r="AA259" i="5"/>
  <c r="AA258" i="5"/>
  <c r="AA257" i="5"/>
  <c r="AA256" i="5"/>
  <c r="AA255" i="5"/>
  <c r="AA254" i="5"/>
  <c r="AA253" i="5"/>
  <c r="AA252" i="5"/>
  <c r="AA251" i="5"/>
  <c r="AA250" i="5"/>
  <c r="AA249" i="5"/>
  <c r="AA248" i="5"/>
  <c r="AA247" i="5"/>
  <c r="AA246" i="5"/>
  <c r="AA245" i="5"/>
  <c r="AA244" i="5"/>
  <c r="AA243" i="5"/>
  <c r="AA242" i="5"/>
  <c r="AA241" i="5"/>
  <c r="AA240" i="5"/>
  <c r="AA239" i="5"/>
  <c r="AA238" i="5"/>
  <c r="AA237" i="5"/>
  <c r="AA236" i="5"/>
  <c r="AA235" i="5"/>
  <c r="AA234" i="5"/>
  <c r="AA233" i="5"/>
  <c r="AA232" i="5"/>
  <c r="AA231" i="5"/>
  <c r="AA230" i="5"/>
  <c r="AA229" i="5"/>
  <c r="AA228" i="5"/>
  <c r="AA227" i="5"/>
  <c r="AA226" i="5"/>
  <c r="AA225" i="5"/>
  <c r="AA224" i="5"/>
  <c r="AA223" i="5"/>
  <c r="AA222" i="5"/>
  <c r="AA221" i="5"/>
  <c r="AA220" i="5"/>
  <c r="AA219" i="5"/>
  <c r="AA218" i="5"/>
  <c r="AA217" i="5"/>
  <c r="AA216" i="5"/>
  <c r="AA215" i="5"/>
  <c r="AA214" i="5"/>
  <c r="AA213" i="5"/>
  <c r="AA212" i="5"/>
  <c r="AA211" i="5"/>
  <c r="AA210" i="5"/>
  <c r="AA209" i="5"/>
  <c r="AA208" i="5"/>
  <c r="AA207" i="5"/>
  <c r="AA206" i="5"/>
  <c r="AA205" i="5"/>
  <c r="AA204" i="5"/>
  <c r="AA203" i="5"/>
  <c r="AA202" i="5"/>
  <c r="AA201" i="5"/>
  <c r="AA200" i="5"/>
  <c r="AA199" i="5"/>
  <c r="AA198" i="5"/>
  <c r="AA197" i="5"/>
  <c r="AA196" i="5"/>
  <c r="AA195" i="5"/>
  <c r="AA194" i="5"/>
  <c r="AA193" i="5"/>
  <c r="AA192" i="5"/>
  <c r="AA191" i="5"/>
  <c r="AA190" i="5"/>
  <c r="AA189" i="5"/>
  <c r="AA188" i="5"/>
  <c r="AA187" i="5"/>
  <c r="AA186" i="5"/>
  <c r="AA185" i="5"/>
  <c r="AA184" i="5"/>
  <c r="AA183" i="5"/>
  <c r="AA182" i="5"/>
  <c r="AA181" i="5"/>
  <c r="AA180" i="5"/>
  <c r="AA179" i="5"/>
  <c r="AA178" i="5"/>
  <c r="AA177" i="5"/>
  <c r="AA176" i="5"/>
  <c r="AA175" i="5"/>
  <c r="AA174" i="5"/>
  <c r="AA173" i="5"/>
  <c r="AA172" i="5"/>
  <c r="AA171" i="5"/>
  <c r="AA170" i="5"/>
  <c r="AA169" i="5"/>
  <c r="AA168" i="5"/>
  <c r="AA167" i="5"/>
  <c r="AA166" i="5"/>
  <c r="AA165" i="5"/>
  <c r="AA164" i="5"/>
  <c r="AA163" i="5"/>
  <c r="AA162" i="5"/>
  <c r="AA161" i="5"/>
  <c r="AA160" i="5"/>
  <c r="AA159" i="5"/>
  <c r="AA158" i="5"/>
  <c r="AA157" i="5"/>
  <c r="AA156" i="5"/>
  <c r="AA155" i="5"/>
  <c r="AA154" i="5"/>
  <c r="AA153" i="5"/>
  <c r="AA152" i="5"/>
  <c r="AA151" i="5"/>
  <c r="AA150" i="5"/>
  <c r="AA149" i="5"/>
  <c r="AA148" i="5"/>
  <c r="AA147" i="5"/>
  <c r="AA146" i="5"/>
  <c r="AA145" i="5"/>
  <c r="AA144" i="5"/>
  <c r="AA143" i="5"/>
  <c r="AA142" i="5"/>
  <c r="AA141" i="5"/>
  <c r="AA140" i="5"/>
  <c r="AA139" i="5"/>
  <c r="AA138" i="5"/>
  <c r="AA137" i="5"/>
  <c r="AA136" i="5"/>
  <c r="AA135" i="5"/>
  <c r="AA134" i="5"/>
  <c r="AA133" i="5"/>
  <c r="AA132" i="5"/>
  <c r="AA131" i="5"/>
  <c r="AA130" i="5"/>
  <c r="AA129" i="5"/>
  <c r="AA128" i="5"/>
  <c r="AA127" i="5"/>
  <c r="AA126" i="5"/>
  <c r="AA125" i="5"/>
  <c r="AA124" i="5"/>
  <c r="AA123" i="5"/>
  <c r="AA122" i="5"/>
  <c r="AA121" i="5"/>
  <c r="AA120" i="5"/>
  <c r="AA119" i="5"/>
  <c r="AA118" i="5"/>
  <c r="AA117" i="5"/>
  <c r="AA116" i="5"/>
  <c r="AA115" i="5"/>
  <c r="AA114" i="5"/>
  <c r="AA113" i="5"/>
  <c r="AA112" i="5"/>
  <c r="AA111" i="5"/>
  <c r="AA110" i="5"/>
  <c r="AA109" i="5"/>
  <c r="AA108" i="5"/>
  <c r="AA107" i="5"/>
  <c r="AA106" i="5"/>
  <c r="AA105" i="5"/>
  <c r="AA104" i="5"/>
  <c r="AA103" i="5"/>
  <c r="AA102" i="5"/>
  <c r="AA101" i="5"/>
  <c r="A804" i="5"/>
  <c r="A803" i="5"/>
  <c r="A802" i="5"/>
  <c r="A801" i="5"/>
  <c r="A800" i="5"/>
  <c r="A799" i="5"/>
  <c r="A798" i="5"/>
  <c r="A797" i="5"/>
  <c r="A796" i="5"/>
  <c r="A795" i="5"/>
  <c r="A794" i="5"/>
  <c r="A793" i="5"/>
  <c r="A792" i="5"/>
  <c r="A791" i="5"/>
  <c r="A790" i="5"/>
  <c r="A789" i="5"/>
  <c r="A788" i="5"/>
  <c r="A787" i="5"/>
  <c r="A786" i="5"/>
  <c r="A785" i="5"/>
  <c r="A784" i="5"/>
  <c r="A783" i="5"/>
  <c r="A782" i="5"/>
  <c r="A781" i="5"/>
  <c r="A780" i="5"/>
  <c r="A779" i="5"/>
  <c r="A778" i="5"/>
  <c r="A777" i="5"/>
  <c r="A776" i="5"/>
  <c r="A775" i="5"/>
  <c r="A774" i="5"/>
  <c r="A773" i="5"/>
  <c r="A772" i="5"/>
  <c r="A771" i="5"/>
  <c r="A770" i="5"/>
  <c r="A769" i="5"/>
  <c r="A768" i="5"/>
  <c r="A767" i="5"/>
  <c r="A766" i="5"/>
  <c r="A765" i="5"/>
  <c r="A764" i="5"/>
  <c r="A763" i="5"/>
  <c r="A762" i="5"/>
  <c r="A761" i="5"/>
  <c r="A760" i="5"/>
  <c r="A759" i="5"/>
  <c r="A758" i="5"/>
  <c r="A757" i="5"/>
  <c r="A756" i="5"/>
  <c r="A755" i="5"/>
  <c r="A754" i="5"/>
  <c r="A753" i="5"/>
  <c r="A752" i="5"/>
  <c r="A751" i="5"/>
  <c r="A750" i="5"/>
  <c r="A749" i="5"/>
  <c r="A748" i="5"/>
  <c r="A747" i="5"/>
  <c r="A746" i="5"/>
  <c r="A745" i="5"/>
  <c r="A744" i="5"/>
  <c r="A743" i="5"/>
  <c r="A742" i="5"/>
  <c r="A741" i="5"/>
  <c r="A740" i="5"/>
  <c r="A739" i="5"/>
  <c r="A738" i="5"/>
  <c r="A737" i="5"/>
  <c r="A736" i="5"/>
  <c r="A735" i="5"/>
  <c r="A734" i="5"/>
  <c r="A733" i="5"/>
  <c r="A732" i="5"/>
  <c r="A731" i="5"/>
  <c r="A730" i="5"/>
  <c r="A729" i="5"/>
  <c r="A728" i="5"/>
  <c r="A727" i="5"/>
  <c r="A726" i="5"/>
  <c r="A725" i="5"/>
  <c r="A724" i="5"/>
  <c r="A723" i="5"/>
  <c r="A722" i="5"/>
  <c r="A721" i="5"/>
  <c r="A720" i="5"/>
  <c r="A719" i="5"/>
  <c r="A718" i="5"/>
  <c r="A717" i="5"/>
  <c r="A716" i="5"/>
  <c r="A715" i="5"/>
  <c r="A714" i="5"/>
  <c r="A713" i="5"/>
  <c r="A712" i="5"/>
  <c r="A711" i="5"/>
  <c r="A710" i="5"/>
  <c r="A709" i="5"/>
  <c r="A708" i="5"/>
  <c r="A707" i="5"/>
  <c r="A706" i="5"/>
  <c r="A705" i="5"/>
  <c r="A704" i="5"/>
  <c r="A703" i="5"/>
  <c r="A702" i="5"/>
  <c r="A701" i="5"/>
  <c r="A700" i="5"/>
  <c r="A699" i="5"/>
  <c r="A698" i="5"/>
  <c r="A697" i="5"/>
  <c r="A696" i="5"/>
  <c r="A695" i="5"/>
  <c r="A694" i="5"/>
  <c r="A693" i="5"/>
  <c r="A692" i="5"/>
  <c r="A691" i="5"/>
  <c r="A690" i="5"/>
  <c r="A689" i="5"/>
  <c r="A688" i="5"/>
  <c r="A687" i="5"/>
  <c r="A686" i="5"/>
  <c r="A685" i="5"/>
  <c r="A684" i="5"/>
  <c r="A683" i="5"/>
  <c r="A682" i="5"/>
  <c r="A681" i="5"/>
  <c r="A680" i="5"/>
  <c r="A679" i="5"/>
  <c r="A678" i="5"/>
  <c r="A677" i="5"/>
  <c r="A676" i="5"/>
  <c r="A675" i="5"/>
  <c r="A674" i="5"/>
  <c r="A673" i="5"/>
  <c r="A672" i="5"/>
  <c r="A671" i="5"/>
  <c r="A670" i="5"/>
  <c r="A669" i="5"/>
  <c r="A668" i="5"/>
  <c r="A667" i="5"/>
  <c r="A666" i="5"/>
  <c r="A665" i="5"/>
  <c r="A664" i="5"/>
  <c r="A663" i="5"/>
  <c r="A662" i="5"/>
  <c r="A661" i="5"/>
  <c r="A660" i="5"/>
  <c r="A659" i="5"/>
  <c r="A658" i="5"/>
  <c r="A657" i="5"/>
  <c r="A656" i="5"/>
  <c r="A655" i="5"/>
  <c r="A654" i="5"/>
  <c r="A653" i="5"/>
  <c r="A652" i="5"/>
  <c r="A651" i="5"/>
  <c r="A650" i="5"/>
  <c r="A649" i="5"/>
  <c r="A648" i="5"/>
  <c r="A647" i="5"/>
  <c r="A646" i="5"/>
  <c r="A645" i="5"/>
  <c r="A644" i="5"/>
  <c r="A643" i="5"/>
  <c r="A642" i="5"/>
  <c r="A641" i="5"/>
  <c r="A640" i="5"/>
  <c r="A639" i="5"/>
  <c r="A638" i="5"/>
  <c r="A637" i="5"/>
  <c r="A636" i="5"/>
  <c r="A635" i="5"/>
  <c r="A634" i="5"/>
  <c r="A633" i="5"/>
  <c r="A632" i="5"/>
  <c r="A631" i="5"/>
  <c r="A630" i="5"/>
  <c r="A629" i="5"/>
  <c r="A628" i="5"/>
  <c r="A627" i="5"/>
  <c r="A626" i="5"/>
  <c r="A625" i="5"/>
  <c r="A624" i="5"/>
  <c r="A623" i="5"/>
  <c r="A622" i="5"/>
  <c r="A621" i="5"/>
  <c r="A620" i="5"/>
  <c r="A619" i="5"/>
  <c r="A618" i="5"/>
  <c r="A617" i="5"/>
  <c r="A616" i="5"/>
  <c r="A615" i="5"/>
  <c r="A614" i="5"/>
  <c r="A613" i="5"/>
  <c r="A612" i="5"/>
  <c r="A611" i="5"/>
  <c r="A610" i="5"/>
  <c r="A609" i="5"/>
  <c r="A608" i="5"/>
  <c r="A607" i="5"/>
  <c r="A606" i="5"/>
  <c r="A605" i="5"/>
  <c r="A604" i="5"/>
  <c r="A603" i="5"/>
  <c r="A602" i="5"/>
  <c r="A601" i="5"/>
  <c r="A600" i="5"/>
  <c r="A599" i="5"/>
  <c r="A598" i="5"/>
  <c r="A597" i="5"/>
  <c r="A596" i="5"/>
  <c r="A595" i="5"/>
  <c r="A594" i="5"/>
  <c r="A593" i="5"/>
  <c r="A592" i="5"/>
  <c r="A591" i="5"/>
  <c r="A590" i="5"/>
  <c r="A589" i="5"/>
  <c r="A588" i="5"/>
  <c r="A587" i="5"/>
  <c r="A586" i="5"/>
  <c r="A585" i="5"/>
  <c r="A584" i="5"/>
  <c r="A583" i="5"/>
  <c r="A582" i="5"/>
  <c r="A581" i="5"/>
  <c r="A580" i="5"/>
  <c r="A579" i="5"/>
  <c r="A578" i="5"/>
  <c r="A577" i="5"/>
  <c r="A576" i="5"/>
  <c r="A575" i="5"/>
  <c r="A574" i="5"/>
  <c r="A573" i="5"/>
  <c r="A572" i="5"/>
  <c r="A571" i="5"/>
  <c r="A570" i="5"/>
  <c r="A569" i="5"/>
  <c r="A568" i="5"/>
  <c r="A567" i="5"/>
  <c r="A566" i="5"/>
  <c r="A565" i="5"/>
  <c r="A564" i="5"/>
  <c r="A563" i="5"/>
  <c r="A562" i="5"/>
  <c r="A561" i="5"/>
  <c r="A560" i="5"/>
  <c r="A559" i="5"/>
  <c r="A558" i="5"/>
  <c r="A557" i="5"/>
  <c r="A556" i="5"/>
  <c r="A555" i="5"/>
  <c r="A554" i="5"/>
  <c r="A553" i="5"/>
  <c r="A552" i="5"/>
  <c r="A551" i="5"/>
  <c r="A550" i="5"/>
  <c r="A549" i="5"/>
  <c r="A548" i="5"/>
  <c r="A547" i="5"/>
  <c r="A546" i="5"/>
  <c r="A545" i="5"/>
  <c r="A544" i="5"/>
  <c r="A543" i="5"/>
  <c r="A542" i="5"/>
  <c r="A541" i="5"/>
  <c r="A540" i="5"/>
  <c r="A539" i="5"/>
  <c r="A538" i="5"/>
  <c r="A537" i="5"/>
  <c r="A536" i="5"/>
  <c r="A535" i="5"/>
  <c r="A534" i="5"/>
  <c r="A533" i="5"/>
  <c r="A532" i="5"/>
  <c r="A531" i="5"/>
  <c r="A530" i="5"/>
  <c r="A529" i="5"/>
  <c r="A528" i="5"/>
  <c r="A527" i="5"/>
  <c r="A526" i="5"/>
  <c r="A525" i="5"/>
  <c r="A524" i="5"/>
  <c r="A523" i="5"/>
  <c r="A522" i="5"/>
  <c r="A521" i="5"/>
  <c r="A520" i="5"/>
  <c r="A519" i="5"/>
  <c r="A518" i="5"/>
  <c r="A517" i="5"/>
  <c r="A516" i="5"/>
  <c r="A515" i="5"/>
  <c r="A514" i="5"/>
  <c r="A513" i="5"/>
  <c r="A512" i="5"/>
  <c r="A511" i="5"/>
  <c r="A510" i="5"/>
  <c r="A509" i="5"/>
  <c r="A508" i="5"/>
  <c r="A507" i="5"/>
  <c r="A506" i="5"/>
  <c r="A505" i="5"/>
  <c r="A504" i="5"/>
  <c r="A503" i="5"/>
  <c r="A502" i="5"/>
  <c r="A501" i="5"/>
  <c r="A500" i="5"/>
  <c r="A499" i="5"/>
  <c r="A498" i="5"/>
  <c r="A497" i="5"/>
  <c r="A496" i="5"/>
  <c r="A495" i="5"/>
  <c r="A494" i="5"/>
  <c r="A493" i="5"/>
  <c r="A492" i="5"/>
  <c r="A491" i="5"/>
  <c r="A490" i="5"/>
  <c r="A489" i="5"/>
  <c r="A488" i="5"/>
  <c r="A487" i="5"/>
  <c r="A486" i="5"/>
  <c r="A485" i="5"/>
  <c r="A484" i="5"/>
  <c r="A483" i="5"/>
  <c r="A482" i="5"/>
  <c r="A481" i="5"/>
  <c r="A480" i="5"/>
  <c r="A479" i="5"/>
  <c r="A478" i="5"/>
  <c r="A477" i="5"/>
  <c r="A476" i="5"/>
  <c r="A475" i="5"/>
  <c r="A474" i="5"/>
  <c r="A473" i="5"/>
  <c r="A472" i="5"/>
  <c r="A471" i="5"/>
  <c r="A470" i="5"/>
  <c r="A469" i="5"/>
  <c r="A468" i="5"/>
  <c r="A467" i="5"/>
  <c r="A466" i="5"/>
  <c r="A465" i="5"/>
  <c r="A464" i="5"/>
  <c r="A463" i="5"/>
  <c r="A462" i="5"/>
  <c r="A461" i="5"/>
  <c r="A460" i="5"/>
  <c r="A459" i="5"/>
  <c r="A458" i="5"/>
  <c r="A457" i="5"/>
  <c r="A456" i="5"/>
  <c r="A455" i="5"/>
  <c r="A454" i="5"/>
  <c r="A453" i="5"/>
  <c r="A452" i="5"/>
  <c r="A451" i="5"/>
  <c r="A450" i="5"/>
  <c r="A449" i="5"/>
  <c r="A448" i="5"/>
  <c r="A447" i="5"/>
  <c r="A446" i="5"/>
  <c r="A445" i="5"/>
  <c r="A444" i="5"/>
  <c r="A443" i="5"/>
  <c r="A442" i="5"/>
  <c r="A441" i="5"/>
  <c r="A440" i="5"/>
  <c r="A439" i="5"/>
  <c r="A438" i="5"/>
  <c r="A437" i="5"/>
  <c r="A436" i="5"/>
  <c r="A435" i="5"/>
  <c r="A434" i="5"/>
  <c r="A433" i="5"/>
  <c r="A432" i="5"/>
  <c r="A431" i="5"/>
  <c r="A430" i="5"/>
  <c r="A429" i="5"/>
  <c r="A428" i="5"/>
  <c r="A427" i="5"/>
  <c r="A426" i="5"/>
  <c r="A425" i="5"/>
  <c r="A424" i="5"/>
  <c r="A423" i="5"/>
  <c r="A422" i="5"/>
  <c r="A421" i="5"/>
  <c r="A420" i="5"/>
  <c r="A419" i="5"/>
  <c r="A418" i="5"/>
  <c r="A417" i="5"/>
  <c r="A416" i="5"/>
  <c r="A415" i="5"/>
  <c r="A414" i="5"/>
  <c r="A413" i="5"/>
  <c r="A412" i="5"/>
  <c r="A411" i="5"/>
  <c r="A410" i="5"/>
  <c r="A409" i="5"/>
  <c r="A408" i="5"/>
  <c r="A407" i="5"/>
  <c r="A406" i="5"/>
  <c r="A405" i="5"/>
  <c r="Q411" i="1"/>
  <c r="P411" i="1"/>
  <c r="Q410" i="1"/>
  <c r="P410" i="1"/>
  <c r="Q409" i="1"/>
  <c r="P409" i="1"/>
  <c r="Q408" i="1"/>
  <c r="P408" i="1"/>
  <c r="Q407" i="1"/>
  <c r="P407" i="1"/>
  <c r="Q406" i="1"/>
  <c r="P406" i="1"/>
  <c r="Q405" i="1"/>
  <c r="P405" i="1"/>
  <c r="Q404" i="1"/>
  <c r="P404" i="1"/>
  <c r="Q403" i="1"/>
  <c r="P403" i="1"/>
  <c r="Q402" i="1"/>
  <c r="P402" i="1"/>
  <c r="Q401" i="1"/>
  <c r="P401" i="1"/>
  <c r="Q400" i="1"/>
  <c r="P400" i="1"/>
  <c r="Q399" i="1"/>
  <c r="P399" i="1"/>
  <c r="Q398" i="1"/>
  <c r="P398" i="1"/>
  <c r="Q397" i="1"/>
  <c r="P397" i="1"/>
  <c r="Q396" i="1"/>
  <c r="P396" i="1"/>
  <c r="Q395" i="1"/>
  <c r="P395" i="1"/>
  <c r="Q394" i="1"/>
  <c r="P394" i="1"/>
  <c r="Q393" i="1"/>
  <c r="P393" i="1"/>
  <c r="Q392" i="1"/>
  <c r="P392" i="1"/>
  <c r="Q391" i="1"/>
  <c r="P391" i="1"/>
  <c r="Q390" i="1"/>
  <c r="P390" i="1"/>
  <c r="Q389" i="1"/>
  <c r="P389" i="1"/>
  <c r="Q388" i="1"/>
  <c r="P388" i="1"/>
  <c r="Q387" i="1"/>
  <c r="P387" i="1"/>
  <c r="Q386" i="1"/>
  <c r="P386" i="1"/>
  <c r="Q385" i="1"/>
  <c r="P385" i="1"/>
  <c r="Q384" i="1"/>
  <c r="P384" i="1"/>
  <c r="Q383" i="1"/>
  <c r="P383" i="1"/>
  <c r="Q382" i="1"/>
  <c r="P382" i="1"/>
  <c r="Q381" i="1"/>
  <c r="P381" i="1"/>
  <c r="Q380" i="1"/>
  <c r="P380" i="1"/>
  <c r="Q379" i="1"/>
  <c r="P379" i="1"/>
  <c r="Q378" i="1"/>
  <c r="P378" i="1"/>
  <c r="Q377" i="1"/>
  <c r="P377" i="1"/>
  <c r="Q376" i="1"/>
  <c r="P376" i="1"/>
  <c r="Q375" i="1"/>
  <c r="P375" i="1"/>
  <c r="Q374" i="1"/>
  <c r="P374" i="1"/>
  <c r="Q373" i="1"/>
  <c r="P373" i="1"/>
  <c r="Q372" i="1"/>
  <c r="P372" i="1"/>
  <c r="Q371" i="1"/>
  <c r="P371" i="1"/>
  <c r="Q370" i="1"/>
  <c r="P370" i="1"/>
  <c r="Q369" i="1"/>
  <c r="P369" i="1"/>
  <c r="Q368" i="1"/>
  <c r="P368" i="1"/>
  <c r="Q367" i="1"/>
  <c r="P367" i="1"/>
  <c r="Q366" i="1"/>
  <c r="P366" i="1"/>
  <c r="Q365" i="1"/>
  <c r="P365" i="1"/>
  <c r="Q364" i="1"/>
  <c r="P364" i="1"/>
  <c r="Q363" i="1"/>
  <c r="P363" i="1"/>
  <c r="Q362" i="1"/>
  <c r="P362" i="1"/>
  <c r="Q361" i="1"/>
  <c r="P361" i="1"/>
  <c r="Q360" i="1"/>
  <c r="P360" i="1"/>
  <c r="Q359" i="1"/>
  <c r="P359" i="1"/>
  <c r="Q358" i="1"/>
  <c r="P358" i="1"/>
  <c r="Q357" i="1"/>
  <c r="P357" i="1"/>
  <c r="Q356" i="1"/>
  <c r="P356" i="1"/>
  <c r="Q355" i="1"/>
  <c r="P355" i="1"/>
  <c r="Q354" i="1"/>
  <c r="P354" i="1"/>
  <c r="Q353" i="1"/>
  <c r="P353" i="1"/>
  <c r="Q352" i="1"/>
  <c r="P352" i="1"/>
  <c r="Q351" i="1"/>
  <c r="P351" i="1"/>
  <c r="Q350" i="1"/>
  <c r="P350" i="1"/>
  <c r="Q349" i="1"/>
  <c r="P349" i="1"/>
  <c r="Q348" i="1"/>
  <c r="P348" i="1"/>
  <c r="Q347" i="1"/>
  <c r="P347" i="1"/>
  <c r="Q346" i="1"/>
  <c r="P346" i="1"/>
  <c r="Q345" i="1"/>
  <c r="P345" i="1"/>
  <c r="Q344" i="1"/>
  <c r="P344" i="1"/>
  <c r="Q343" i="1"/>
  <c r="P343" i="1"/>
  <c r="Q342" i="1"/>
  <c r="P342" i="1"/>
  <c r="Q341" i="1"/>
  <c r="P341" i="1"/>
  <c r="Q340" i="1"/>
  <c r="P340" i="1"/>
  <c r="Q339" i="1"/>
  <c r="P339" i="1"/>
  <c r="Q338" i="1"/>
  <c r="P338" i="1"/>
  <c r="Q337" i="1"/>
  <c r="P337" i="1"/>
  <c r="Q336" i="1"/>
  <c r="P336" i="1"/>
  <c r="Q335" i="1"/>
  <c r="P335" i="1"/>
  <c r="Q334" i="1"/>
  <c r="P334" i="1"/>
  <c r="Q333" i="1"/>
  <c r="P333" i="1"/>
  <c r="Q332" i="1"/>
  <c r="P332" i="1"/>
  <c r="Q331" i="1"/>
  <c r="P331" i="1"/>
  <c r="Q330" i="1"/>
  <c r="P330" i="1"/>
  <c r="Q329" i="1"/>
  <c r="P329" i="1"/>
  <c r="Q328" i="1"/>
  <c r="P328" i="1"/>
  <c r="Q327" i="1"/>
  <c r="P327" i="1"/>
  <c r="Q326" i="1"/>
  <c r="P326" i="1"/>
  <c r="Q325" i="1"/>
  <c r="P325" i="1"/>
  <c r="Q324" i="1"/>
  <c r="P324" i="1"/>
  <c r="Q323" i="1"/>
  <c r="P323" i="1"/>
  <c r="Q322" i="1"/>
  <c r="P322" i="1"/>
  <c r="Q321" i="1"/>
  <c r="P321" i="1"/>
  <c r="Q320" i="1"/>
  <c r="P320" i="1"/>
  <c r="Q319" i="1"/>
  <c r="P319" i="1"/>
  <c r="Q318" i="1"/>
  <c r="P318" i="1"/>
  <c r="Q317" i="1"/>
  <c r="P317" i="1"/>
  <c r="Q316" i="1"/>
  <c r="P316" i="1"/>
  <c r="Q315" i="1"/>
  <c r="P315" i="1"/>
  <c r="Q314" i="1"/>
  <c r="P314" i="1"/>
  <c r="Q313" i="1"/>
  <c r="P313" i="1"/>
  <c r="Q312" i="1"/>
  <c r="P312" i="1"/>
  <c r="Q311" i="1"/>
  <c r="P311" i="1"/>
  <c r="Q310" i="1"/>
  <c r="P310" i="1"/>
  <c r="Q309" i="1"/>
  <c r="P309" i="1"/>
  <c r="Q308" i="1"/>
  <c r="P308" i="1"/>
  <c r="Q307" i="1"/>
  <c r="P307" i="1"/>
  <c r="Q306" i="1"/>
  <c r="P306" i="1"/>
  <c r="Q305" i="1"/>
  <c r="P305" i="1"/>
  <c r="Q304" i="1"/>
  <c r="P304" i="1"/>
  <c r="Q303" i="1"/>
  <c r="P303" i="1"/>
  <c r="Q302" i="1"/>
  <c r="P302" i="1"/>
  <c r="Q301" i="1"/>
  <c r="P301" i="1"/>
  <c r="Q300" i="1"/>
  <c r="P300" i="1"/>
  <c r="Q299" i="1"/>
  <c r="P299" i="1"/>
  <c r="Q298" i="1"/>
  <c r="P298" i="1"/>
  <c r="Q297" i="1"/>
  <c r="P297" i="1"/>
  <c r="Q296" i="1"/>
  <c r="P296" i="1"/>
  <c r="Q295" i="1"/>
  <c r="P295" i="1"/>
  <c r="Q294" i="1"/>
  <c r="P294" i="1"/>
  <c r="Q293" i="1"/>
  <c r="P293" i="1"/>
  <c r="Q292" i="1"/>
  <c r="P292" i="1"/>
  <c r="Q291" i="1"/>
  <c r="P291" i="1"/>
  <c r="Q290" i="1"/>
  <c r="P290" i="1"/>
  <c r="Q289" i="1"/>
  <c r="P289" i="1"/>
  <c r="Q288" i="1"/>
  <c r="P288" i="1"/>
  <c r="Q287" i="1"/>
  <c r="P287" i="1"/>
  <c r="Q286" i="1"/>
  <c r="P286" i="1"/>
  <c r="Q285" i="1"/>
  <c r="P285" i="1"/>
  <c r="Q284" i="1"/>
  <c r="P284" i="1"/>
  <c r="Q283" i="1"/>
  <c r="P283" i="1"/>
  <c r="Q282" i="1"/>
  <c r="P282" i="1"/>
  <c r="Q281" i="1"/>
  <c r="P281" i="1"/>
  <c r="Q280" i="1"/>
  <c r="P280" i="1"/>
  <c r="Q279" i="1"/>
  <c r="P279" i="1"/>
  <c r="Q278" i="1"/>
  <c r="P278" i="1"/>
  <c r="Q277" i="1"/>
  <c r="P277" i="1"/>
  <c r="Q276" i="1"/>
  <c r="P276" i="1"/>
  <c r="Q275" i="1"/>
  <c r="P275" i="1"/>
  <c r="Q274" i="1"/>
  <c r="P274" i="1"/>
  <c r="Q273" i="1"/>
  <c r="P273" i="1"/>
  <c r="Q272" i="1"/>
  <c r="P272" i="1"/>
  <c r="Q271" i="1"/>
  <c r="P271" i="1"/>
  <c r="Q270" i="1"/>
  <c r="P270" i="1"/>
  <c r="Q269" i="1"/>
  <c r="P269" i="1"/>
  <c r="Q268" i="1"/>
  <c r="P268" i="1"/>
  <c r="Q267" i="1"/>
  <c r="P267" i="1"/>
  <c r="Q266" i="1"/>
  <c r="P266" i="1"/>
  <c r="Q265" i="1"/>
  <c r="P265" i="1"/>
  <c r="Q264" i="1"/>
  <c r="P264" i="1"/>
  <c r="Q263" i="1"/>
  <c r="P263" i="1"/>
  <c r="Q262" i="1"/>
  <c r="P262" i="1"/>
  <c r="Q261" i="1"/>
  <c r="P261" i="1"/>
  <c r="Q260" i="1"/>
  <c r="P260" i="1"/>
  <c r="Q259" i="1"/>
  <c r="P259" i="1"/>
  <c r="Q258" i="1"/>
  <c r="P258" i="1"/>
  <c r="Q257" i="1"/>
  <c r="P257" i="1"/>
  <c r="Q256" i="1"/>
  <c r="P256" i="1"/>
  <c r="Q255" i="1"/>
  <c r="P255" i="1"/>
  <c r="Q254" i="1"/>
  <c r="P254" i="1"/>
  <c r="Q253" i="1"/>
  <c r="P253" i="1"/>
  <c r="Q252" i="1"/>
  <c r="P252" i="1"/>
  <c r="Q251" i="1"/>
  <c r="P251" i="1"/>
  <c r="Q250" i="1"/>
  <c r="P250" i="1"/>
  <c r="Q249" i="1"/>
  <c r="P249" i="1"/>
  <c r="Q248" i="1"/>
  <c r="P248" i="1"/>
  <c r="Q247" i="1"/>
  <c r="P247" i="1"/>
  <c r="Q246" i="1"/>
  <c r="P246" i="1"/>
  <c r="Q245" i="1"/>
  <c r="P245" i="1"/>
  <c r="Q244" i="1"/>
  <c r="P244" i="1"/>
  <c r="Q243" i="1"/>
  <c r="P243" i="1"/>
  <c r="Q242" i="1"/>
  <c r="P242" i="1"/>
  <c r="Q241" i="1"/>
  <c r="P241" i="1"/>
  <c r="Q240" i="1"/>
  <c r="P240" i="1"/>
  <c r="Q239" i="1"/>
  <c r="P239" i="1"/>
  <c r="Q238" i="1"/>
  <c r="P238" i="1"/>
  <c r="Q237" i="1"/>
  <c r="P237" i="1"/>
  <c r="Q236" i="1"/>
  <c r="P236" i="1"/>
  <c r="Q235" i="1"/>
  <c r="P235" i="1"/>
  <c r="Q234" i="1"/>
  <c r="P234" i="1"/>
  <c r="Q233" i="1"/>
  <c r="P233" i="1"/>
  <c r="Q232" i="1"/>
  <c r="P232" i="1"/>
  <c r="Q231" i="1"/>
  <c r="P231" i="1"/>
  <c r="Q230" i="1"/>
  <c r="P230" i="1"/>
  <c r="Q229" i="1"/>
  <c r="P229" i="1"/>
  <c r="Q228" i="1"/>
  <c r="P228" i="1"/>
  <c r="Q227" i="1"/>
  <c r="P227" i="1"/>
  <c r="Q226" i="1"/>
  <c r="P226" i="1"/>
  <c r="Q225" i="1"/>
  <c r="P225" i="1"/>
  <c r="Q224" i="1"/>
  <c r="P224" i="1"/>
  <c r="Q223" i="1"/>
  <c r="P223" i="1"/>
  <c r="Q222" i="1"/>
  <c r="P222" i="1"/>
  <c r="Q221" i="1"/>
  <c r="P221" i="1"/>
  <c r="Q220" i="1"/>
  <c r="P220" i="1"/>
  <c r="Q219" i="1"/>
  <c r="P219" i="1"/>
  <c r="Q218" i="1"/>
  <c r="P218" i="1"/>
  <c r="Q217" i="1"/>
  <c r="P217" i="1"/>
  <c r="Q216" i="1"/>
  <c r="P216" i="1"/>
  <c r="Q215" i="1"/>
  <c r="P215" i="1"/>
  <c r="Q214" i="1"/>
  <c r="P214" i="1"/>
  <c r="Q213" i="1"/>
  <c r="P213" i="1"/>
  <c r="Q212" i="1"/>
  <c r="P212" i="1"/>
  <c r="Q211" i="1"/>
  <c r="P211" i="1"/>
  <c r="Q210" i="1"/>
  <c r="P210" i="1"/>
  <c r="Q209" i="1"/>
  <c r="P209" i="1"/>
  <c r="Q208" i="1"/>
  <c r="P208" i="1"/>
  <c r="Q207" i="1"/>
  <c r="P207" i="1"/>
  <c r="Q206" i="1"/>
  <c r="P206" i="1"/>
  <c r="Q205" i="1"/>
  <c r="P205" i="1"/>
  <c r="Q204" i="1"/>
  <c r="P204" i="1"/>
  <c r="Q203" i="1"/>
  <c r="P203" i="1"/>
  <c r="Q202" i="1"/>
  <c r="P202" i="1"/>
  <c r="Q201" i="1"/>
  <c r="P201" i="1"/>
  <c r="Q200" i="1"/>
  <c r="P200" i="1"/>
  <c r="Q199" i="1"/>
  <c r="P199" i="1"/>
  <c r="Q198" i="1"/>
  <c r="P198" i="1"/>
  <c r="Q197" i="1"/>
  <c r="P197" i="1"/>
  <c r="Q196" i="1"/>
  <c r="P196" i="1"/>
  <c r="Q195" i="1"/>
  <c r="P195" i="1"/>
  <c r="Q194" i="1"/>
  <c r="P194" i="1"/>
  <c r="Q193" i="1"/>
  <c r="P193" i="1"/>
  <c r="Q192" i="1"/>
  <c r="P192" i="1"/>
  <c r="Q191" i="1"/>
  <c r="P191" i="1"/>
  <c r="Q190" i="1"/>
  <c r="P190" i="1"/>
  <c r="Q189" i="1"/>
  <c r="P189" i="1"/>
  <c r="Q188" i="1"/>
  <c r="P188" i="1"/>
  <c r="Q187" i="1"/>
  <c r="P187" i="1"/>
  <c r="Q186" i="1"/>
  <c r="P186" i="1"/>
  <c r="Q185" i="1"/>
  <c r="P185" i="1"/>
  <c r="Q184" i="1"/>
  <c r="P184" i="1"/>
  <c r="Q183" i="1"/>
  <c r="P183" i="1"/>
  <c r="Q182" i="1"/>
  <c r="P182" i="1"/>
  <c r="Q181" i="1"/>
  <c r="P181" i="1"/>
  <c r="Q180" i="1"/>
  <c r="P180" i="1"/>
  <c r="Q179" i="1"/>
  <c r="P179" i="1"/>
  <c r="Q178" i="1"/>
  <c r="P178" i="1"/>
  <c r="Q177" i="1"/>
  <c r="P177" i="1"/>
  <c r="Q176" i="1"/>
  <c r="P176" i="1"/>
  <c r="Q175" i="1"/>
  <c r="P175" i="1"/>
  <c r="Q174" i="1"/>
  <c r="P174" i="1"/>
  <c r="Q173" i="1"/>
  <c r="P173" i="1"/>
  <c r="Q172" i="1"/>
  <c r="P172" i="1"/>
  <c r="Q171" i="1"/>
  <c r="P171" i="1"/>
  <c r="Q170" i="1"/>
  <c r="P170" i="1"/>
  <c r="Q169" i="1"/>
  <c r="P169" i="1"/>
  <c r="Q168" i="1"/>
  <c r="P168" i="1"/>
  <c r="Q167" i="1"/>
  <c r="P167" i="1"/>
  <c r="Q166" i="1"/>
  <c r="P166" i="1"/>
  <c r="Q165" i="1"/>
  <c r="P165" i="1"/>
  <c r="Q164" i="1"/>
  <c r="P164" i="1"/>
  <c r="Q163" i="1"/>
  <c r="P163" i="1"/>
  <c r="Q162" i="1"/>
  <c r="P162" i="1"/>
  <c r="Q161" i="1"/>
  <c r="P161" i="1"/>
  <c r="Q160" i="1"/>
  <c r="P160" i="1"/>
  <c r="Q159" i="1"/>
  <c r="P159" i="1"/>
  <c r="Q158" i="1"/>
  <c r="P158" i="1"/>
  <c r="Q157" i="1"/>
  <c r="P157" i="1"/>
  <c r="Q156" i="1"/>
  <c r="P156" i="1"/>
  <c r="Q155" i="1"/>
  <c r="P155" i="1"/>
  <c r="Q154" i="1"/>
  <c r="P154" i="1"/>
  <c r="Q153" i="1"/>
  <c r="P153" i="1"/>
  <c r="Q152" i="1"/>
  <c r="P152" i="1"/>
  <c r="Q151" i="1"/>
  <c r="P151" i="1"/>
  <c r="Q150" i="1"/>
  <c r="P150" i="1"/>
  <c r="Q149" i="1"/>
  <c r="P149" i="1"/>
  <c r="Q148" i="1"/>
  <c r="P148" i="1"/>
  <c r="Q147" i="1"/>
  <c r="P147" i="1"/>
  <c r="Q146" i="1"/>
  <c r="P146" i="1"/>
  <c r="Q145" i="1"/>
  <c r="P145" i="1"/>
  <c r="Q144" i="1"/>
  <c r="P144" i="1"/>
  <c r="Q143" i="1"/>
  <c r="P143" i="1"/>
  <c r="Q142" i="1"/>
  <c r="P142" i="1"/>
  <c r="Q141" i="1"/>
  <c r="P141" i="1"/>
  <c r="Q140" i="1"/>
  <c r="P140" i="1"/>
  <c r="Q139" i="1"/>
  <c r="P139" i="1"/>
  <c r="Q138" i="1"/>
  <c r="P138" i="1"/>
  <c r="Q137" i="1"/>
  <c r="P137" i="1"/>
  <c r="Q136" i="1"/>
  <c r="P136" i="1"/>
  <c r="Q135" i="1"/>
  <c r="P135" i="1"/>
  <c r="Q134" i="1"/>
  <c r="P134" i="1"/>
  <c r="Q133" i="1"/>
  <c r="P133" i="1"/>
  <c r="Q132" i="1"/>
  <c r="P132" i="1"/>
  <c r="Q131" i="1"/>
  <c r="P131" i="1"/>
  <c r="Q130" i="1"/>
  <c r="P130" i="1"/>
  <c r="Q129" i="1"/>
  <c r="P129" i="1"/>
  <c r="Q128" i="1"/>
  <c r="P128" i="1"/>
  <c r="Q127" i="1"/>
  <c r="P127" i="1"/>
  <c r="Q126" i="1"/>
  <c r="P126" i="1"/>
  <c r="Q125" i="1"/>
  <c r="P125" i="1"/>
  <c r="Q124" i="1"/>
  <c r="P124" i="1"/>
  <c r="Q123" i="1"/>
  <c r="P123" i="1"/>
  <c r="Q122" i="1"/>
  <c r="P122" i="1"/>
  <c r="Q121" i="1"/>
  <c r="P121" i="1"/>
  <c r="Q120" i="1"/>
  <c r="P120" i="1"/>
  <c r="Q119" i="1"/>
  <c r="P119" i="1"/>
  <c r="Q118" i="1"/>
  <c r="P118" i="1"/>
  <c r="Q117" i="1"/>
  <c r="P117" i="1"/>
  <c r="Q116" i="1"/>
  <c r="P116" i="1"/>
  <c r="Q115" i="1"/>
  <c r="P115" i="1"/>
  <c r="Q114" i="1"/>
  <c r="P114" i="1"/>
  <c r="Q113" i="1"/>
  <c r="P113" i="1"/>
  <c r="Q112" i="1"/>
  <c r="P112" i="1"/>
  <c r="Q111" i="1"/>
  <c r="P111" i="1"/>
  <c r="Q110" i="1"/>
  <c r="P110" i="1"/>
  <c r="Q109" i="1"/>
  <c r="P109" i="1"/>
  <c r="Q108" i="1"/>
  <c r="P108" i="1"/>
  <c r="Q107" i="1"/>
  <c r="P107" i="1"/>
  <c r="Q106" i="1"/>
  <c r="P106" i="1"/>
  <c r="Q105" i="1"/>
  <c r="P105" i="1"/>
  <c r="Q104" i="1"/>
  <c r="P104" i="1"/>
  <c r="Q103" i="1"/>
  <c r="P103" i="1"/>
  <c r="Q102" i="1"/>
  <c r="P102" i="1"/>
  <c r="Q101" i="1"/>
  <c r="P101" i="1"/>
  <c r="Q100" i="1"/>
  <c r="P100" i="1"/>
  <c r="Q99" i="1"/>
  <c r="P99" i="1"/>
  <c r="Q98" i="1"/>
  <c r="P98" i="1"/>
  <c r="Q97" i="1"/>
  <c r="P97" i="1"/>
  <c r="Q96" i="1"/>
  <c r="P96" i="1"/>
  <c r="Q95" i="1"/>
  <c r="P95" i="1"/>
  <c r="Q94" i="1"/>
  <c r="P94" i="1"/>
  <c r="Q93" i="1"/>
  <c r="P93" i="1"/>
  <c r="Q92" i="1"/>
  <c r="P92" i="1"/>
  <c r="Q91" i="1"/>
  <c r="P91" i="1"/>
  <c r="Q90" i="1"/>
  <c r="P90" i="1"/>
  <c r="Q89" i="1"/>
  <c r="P89" i="1"/>
  <c r="Q88" i="1"/>
  <c r="P88" i="1"/>
  <c r="Q87" i="1"/>
  <c r="P87" i="1"/>
  <c r="Q86" i="1"/>
  <c r="P86" i="1"/>
  <c r="Q85" i="1"/>
  <c r="P85" i="1"/>
  <c r="Q84" i="1"/>
  <c r="P84" i="1"/>
  <c r="Q83" i="1"/>
  <c r="P83" i="1"/>
  <c r="Q82" i="1"/>
  <c r="P82" i="1"/>
  <c r="Q81" i="1"/>
  <c r="P81" i="1"/>
  <c r="Q80" i="1"/>
  <c r="P80" i="1"/>
  <c r="Q79" i="1"/>
  <c r="P79" i="1"/>
  <c r="Q78" i="1"/>
  <c r="P78" i="1"/>
  <c r="Q77" i="1"/>
  <c r="P77" i="1"/>
  <c r="Q76" i="1"/>
  <c r="P76" i="1"/>
  <c r="Q75" i="1"/>
  <c r="P75" i="1"/>
  <c r="Q74" i="1"/>
  <c r="P74" i="1"/>
  <c r="Q73" i="1"/>
  <c r="P73" i="1"/>
  <c r="Q72" i="1"/>
  <c r="P72" i="1"/>
  <c r="Q71" i="1"/>
  <c r="P71" i="1"/>
  <c r="Q70" i="1"/>
  <c r="P70" i="1"/>
  <c r="Q69" i="1"/>
  <c r="P69" i="1"/>
  <c r="Q68" i="1"/>
  <c r="P68" i="1"/>
  <c r="Q67" i="1"/>
  <c r="P67" i="1"/>
  <c r="Q66" i="1"/>
  <c r="P66" i="1"/>
  <c r="Q65" i="1"/>
  <c r="P65" i="1"/>
  <c r="Q64" i="1"/>
  <c r="P64" i="1"/>
  <c r="Q63" i="1"/>
  <c r="P63" i="1"/>
  <c r="Q62" i="1"/>
  <c r="P62" i="1"/>
  <c r="Q61" i="1"/>
  <c r="P61" i="1"/>
  <c r="Q60" i="1"/>
  <c r="P60" i="1"/>
  <c r="Q59" i="1"/>
  <c r="P59" i="1"/>
  <c r="Q58" i="1"/>
  <c r="P58" i="1"/>
  <c r="Q49" i="1"/>
  <c r="P49" i="1" s="1"/>
  <c r="A404" i="5"/>
  <c r="A403" i="5"/>
  <c r="A402" i="5"/>
  <c r="A401" i="5"/>
  <c r="A400" i="5"/>
  <c r="A399" i="5"/>
  <c r="A398" i="5"/>
  <c r="A397" i="5"/>
  <c r="A396" i="5"/>
  <c r="A395" i="5"/>
  <c r="A394" i="5"/>
  <c r="A393" i="5"/>
  <c r="A392" i="5"/>
  <c r="A391" i="5"/>
  <c r="A390" i="5"/>
  <c r="A389" i="5"/>
  <c r="A388" i="5"/>
  <c r="A387" i="5"/>
  <c r="A386" i="5"/>
  <c r="A385" i="5"/>
  <c r="A384" i="5"/>
  <c r="A383" i="5"/>
  <c r="A382" i="5"/>
  <c r="A381" i="5"/>
  <c r="A380" i="5"/>
  <c r="A379" i="5"/>
  <c r="A378" i="5"/>
  <c r="A377" i="5"/>
  <c r="A376" i="5"/>
  <c r="A375" i="5"/>
  <c r="A374" i="5"/>
  <c r="A373" i="5"/>
  <c r="A372" i="5"/>
  <c r="A371" i="5"/>
  <c r="A370" i="5"/>
  <c r="A369" i="5"/>
  <c r="A368" i="5"/>
  <c r="A367" i="5"/>
  <c r="A366" i="5"/>
  <c r="A365" i="5"/>
  <c r="A364" i="5"/>
  <c r="A363" i="5"/>
  <c r="A362" i="5"/>
  <c r="A361" i="5"/>
  <c r="A360" i="5"/>
  <c r="A359" i="5"/>
  <c r="A358" i="5"/>
  <c r="A357" i="5"/>
  <c r="A356" i="5"/>
  <c r="A355" i="5"/>
  <c r="A354" i="5"/>
  <c r="A353" i="5"/>
  <c r="A352" i="5"/>
  <c r="A351" i="5"/>
  <c r="A350" i="5"/>
  <c r="A349" i="5"/>
  <c r="A348" i="5"/>
  <c r="A347" i="5"/>
  <c r="A346" i="5"/>
  <c r="A345" i="5"/>
  <c r="A344" i="5"/>
  <c r="A343" i="5"/>
  <c r="A342" i="5"/>
  <c r="A341" i="5"/>
  <c r="A340" i="5"/>
  <c r="A339" i="5"/>
  <c r="A338" i="5"/>
  <c r="A337" i="5"/>
  <c r="A336" i="5"/>
  <c r="A335" i="5"/>
  <c r="A334" i="5"/>
  <c r="A333" i="5"/>
  <c r="A332" i="5"/>
  <c r="A331" i="5"/>
  <c r="A330" i="5"/>
  <c r="A329" i="5"/>
  <c r="A328" i="5"/>
  <c r="A327" i="5"/>
  <c r="A326" i="5"/>
  <c r="A325" i="5"/>
  <c r="A324" i="5"/>
  <c r="A323" i="5"/>
  <c r="A322" i="5"/>
  <c r="A321" i="5"/>
  <c r="A320" i="5"/>
  <c r="A319" i="5"/>
  <c r="A318" i="5"/>
  <c r="A317" i="5"/>
  <c r="A316" i="5"/>
  <c r="A315" i="5"/>
  <c r="A314" i="5"/>
  <c r="A313" i="5"/>
  <c r="A312" i="5"/>
  <c r="A311" i="5"/>
  <c r="A310" i="5"/>
  <c r="A309" i="5"/>
  <c r="A308" i="5"/>
  <c r="A307" i="5"/>
  <c r="A306" i="5"/>
  <c r="A305" i="5"/>
  <c r="A304" i="5"/>
  <c r="A303" i="5"/>
  <c r="A302" i="5"/>
  <c r="A301" i="5"/>
  <c r="A300" i="5"/>
  <c r="A299" i="5"/>
  <c r="A298" i="5"/>
  <c r="A297" i="5"/>
  <c r="A296" i="5"/>
  <c r="A295" i="5"/>
  <c r="A294" i="5"/>
  <c r="A293" i="5"/>
  <c r="A292" i="5"/>
  <c r="A291" i="5"/>
  <c r="A290" i="5"/>
  <c r="A289" i="5"/>
  <c r="A288" i="5"/>
  <c r="A287" i="5"/>
  <c r="A286" i="5"/>
  <c r="A285" i="5"/>
  <c r="A284" i="5"/>
  <c r="A283" i="5"/>
  <c r="A282" i="5"/>
  <c r="A281" i="5"/>
  <c r="A280" i="5"/>
  <c r="A279" i="5"/>
  <c r="A278" i="5"/>
  <c r="A277" i="5"/>
  <c r="A276" i="5"/>
  <c r="A275" i="5"/>
  <c r="A274" i="5"/>
  <c r="A273" i="5"/>
  <c r="A272" i="5"/>
  <c r="A271" i="5"/>
  <c r="A270" i="5"/>
  <c r="A269" i="5"/>
  <c r="A268" i="5"/>
  <c r="A267" i="5"/>
  <c r="A266" i="5"/>
  <c r="A265" i="5"/>
  <c r="A264" i="5"/>
  <c r="A263" i="5"/>
  <c r="A262" i="5"/>
  <c r="A261" i="5"/>
  <c r="A260" i="5"/>
  <c r="A259" i="5"/>
  <c r="A258" i="5"/>
  <c r="A257" i="5"/>
  <c r="A256" i="5"/>
  <c r="A255" i="5"/>
  <c r="A254" i="5"/>
  <c r="A253" i="5"/>
  <c r="A252" i="5"/>
  <c r="A251" i="5"/>
  <c r="A250" i="5"/>
  <c r="A249" i="5"/>
  <c r="A248" i="5"/>
  <c r="A247" i="5"/>
  <c r="A246" i="5"/>
  <c r="A245" i="5"/>
  <c r="A244" i="5"/>
  <c r="A243" i="5"/>
  <c r="A242" i="5"/>
  <c r="A241" i="5"/>
  <c r="A240" i="5"/>
  <c r="A239" i="5"/>
  <c r="A238" i="5"/>
  <c r="A237" i="5"/>
  <c r="A236" i="5"/>
  <c r="A235" i="5"/>
  <c r="A234" i="5"/>
  <c r="A233" i="5"/>
  <c r="A232" i="5"/>
  <c r="A231" i="5"/>
  <c r="A230" i="5"/>
  <c r="A229" i="5"/>
  <c r="A228" i="5"/>
  <c r="A227" i="5"/>
  <c r="A226" i="5"/>
  <c r="A225" i="5"/>
  <c r="A224" i="5"/>
  <c r="A223" i="5"/>
  <c r="A222" i="5"/>
  <c r="A221" i="5"/>
  <c r="A220" i="5"/>
  <c r="A219" i="5"/>
  <c r="A218" i="5"/>
  <c r="A217" i="5"/>
  <c r="A216" i="5"/>
  <c r="A215" i="5"/>
  <c r="A214" i="5"/>
  <c r="A213" i="5"/>
  <c r="A212" i="5"/>
  <c r="A211" i="5"/>
  <c r="A210" i="5"/>
  <c r="A209" i="5"/>
  <c r="A208" i="5"/>
  <c r="A207" i="5"/>
  <c r="A206" i="5"/>
  <c r="A205" i="5"/>
  <c r="A204" i="5"/>
  <c r="A203" i="5"/>
  <c r="A202" i="5"/>
  <c r="A201" i="5"/>
  <c r="A200" i="5"/>
  <c r="A199" i="5"/>
  <c r="A198" i="5"/>
  <c r="A197" i="5"/>
  <c r="Q41" i="1"/>
  <c r="P41" i="1" s="1"/>
  <c r="A76" i="5"/>
  <c r="A77" i="5"/>
  <c r="A78" i="5"/>
  <c r="A79" i="5"/>
  <c r="A80" i="5"/>
  <c r="A81" i="5"/>
  <c r="A82" i="5"/>
  <c r="A83" i="5"/>
  <c r="A84" i="5"/>
  <c r="A85" i="5"/>
  <c r="A86" i="5"/>
  <c r="A87" i="5"/>
  <c r="A88" i="5"/>
  <c r="A89" i="5"/>
  <c r="A90" i="5"/>
  <c r="A91" i="5"/>
  <c r="A92" i="5"/>
  <c r="A93" i="5"/>
  <c r="A94" i="5"/>
  <c r="A95" i="5"/>
  <c r="A96" i="5"/>
  <c r="A97" i="5"/>
  <c r="A98" i="5"/>
  <c r="A99" i="5"/>
  <c r="A100" i="5"/>
  <c r="A101" i="5"/>
  <c r="A102" i="5"/>
  <c r="A103" i="5"/>
  <c r="A104" i="5"/>
  <c r="A105" i="5"/>
  <c r="A106" i="5"/>
  <c r="A107" i="5"/>
  <c r="A108" i="5"/>
  <c r="A109" i="5"/>
  <c r="A110" i="5"/>
  <c r="A111" i="5"/>
  <c r="A112" i="5"/>
  <c r="A113" i="5"/>
  <c r="A114" i="5"/>
  <c r="A115" i="5"/>
  <c r="A116" i="5"/>
  <c r="A117" i="5"/>
  <c r="A118" i="5"/>
  <c r="A119" i="5"/>
  <c r="A120" i="5"/>
  <c r="A121" i="5"/>
  <c r="A122" i="5"/>
  <c r="A123" i="5"/>
  <c r="A124" i="5"/>
  <c r="A125" i="5"/>
  <c r="A126" i="5"/>
  <c r="A127" i="5"/>
  <c r="A128" i="5"/>
  <c r="A129" i="5"/>
  <c r="A130" i="5"/>
  <c r="A131" i="5"/>
  <c r="A132" i="5"/>
  <c r="A133" i="5"/>
  <c r="A134" i="5"/>
  <c r="A135" i="5"/>
  <c r="A136" i="5"/>
  <c r="A137" i="5"/>
  <c r="A138" i="5"/>
  <c r="A139" i="5"/>
  <c r="A140" i="5"/>
  <c r="A141" i="5"/>
  <c r="A142" i="5"/>
  <c r="A143" i="5"/>
  <c r="A144" i="5"/>
  <c r="A145" i="5"/>
  <c r="A146" i="5"/>
  <c r="A147" i="5"/>
  <c r="A148" i="5"/>
  <c r="A149" i="5"/>
  <c r="A150" i="5"/>
  <c r="A151" i="5"/>
  <c r="A152" i="5"/>
  <c r="A153" i="5"/>
  <c r="A154" i="5"/>
  <c r="A155" i="5"/>
  <c r="A156" i="5"/>
  <c r="A157" i="5"/>
  <c r="A158" i="5"/>
  <c r="A159" i="5"/>
  <c r="A160" i="5"/>
  <c r="A161" i="5"/>
  <c r="A162" i="5"/>
  <c r="A163" i="5"/>
  <c r="A164" i="5"/>
  <c r="A165" i="5"/>
  <c r="A166" i="5"/>
  <c r="A167" i="5"/>
  <c r="A168" i="5"/>
  <c r="A169" i="5"/>
  <c r="A170" i="5"/>
  <c r="A171" i="5"/>
  <c r="A172" i="5"/>
  <c r="A173" i="5"/>
  <c r="A174" i="5"/>
  <c r="A175" i="5"/>
  <c r="A176" i="5"/>
  <c r="A177" i="5"/>
  <c r="A178" i="5"/>
  <c r="A179" i="5"/>
  <c r="A180" i="5"/>
  <c r="A181" i="5"/>
  <c r="A182" i="5"/>
  <c r="A183" i="5"/>
  <c r="A184" i="5"/>
  <c r="A185" i="5"/>
  <c r="A186" i="5"/>
  <c r="A187" i="5"/>
  <c r="A188" i="5"/>
  <c r="A189" i="5"/>
  <c r="A190" i="5"/>
  <c r="A191" i="5"/>
  <c r="A192" i="5"/>
  <c r="A193" i="5"/>
  <c r="A194" i="5"/>
  <c r="A195" i="5"/>
  <c r="A196" i="5"/>
  <c r="C3" i="1"/>
  <c r="Q32" i="1"/>
  <c r="P32" i="1" s="1"/>
  <c r="AA5" i="5"/>
  <c r="Q16" i="1"/>
  <c r="P16" i="1" s="1"/>
  <c r="Q24" i="1"/>
  <c r="P24" i="1" s="1"/>
  <c r="Q25" i="1"/>
  <c r="P25" i="1" s="1"/>
  <c r="E1" i="5"/>
  <c r="A1" i="5"/>
  <c r="B1" i="5" s="1"/>
  <c r="AY1" i="5" l="1"/>
  <c r="Q12" i="1"/>
  <c r="P12" i="1" s="1"/>
  <c r="Q9" i="1" s="1"/>
  <c r="H1" i="5"/>
  <c r="A6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33" i="5"/>
  <c r="A34" i="5"/>
  <c r="A35" i="5"/>
  <c r="A36" i="5"/>
  <c r="A37" i="5"/>
  <c r="A38" i="5"/>
  <c r="A39" i="5"/>
  <c r="A40" i="5"/>
  <c r="A41" i="5"/>
  <c r="A42" i="5"/>
  <c r="A43" i="5"/>
  <c r="A44" i="5"/>
  <c r="A45" i="5"/>
  <c r="A46" i="5"/>
  <c r="A47" i="5"/>
  <c r="A48" i="5"/>
  <c r="A49" i="5"/>
  <c r="A50" i="5"/>
  <c r="A51" i="5"/>
  <c r="A52" i="5"/>
  <c r="A53" i="5"/>
  <c r="A54" i="5"/>
  <c r="A55" i="5"/>
  <c r="A56" i="5"/>
  <c r="A57" i="5"/>
  <c r="A58" i="5"/>
  <c r="A59" i="5"/>
  <c r="A60" i="5"/>
  <c r="A61" i="5"/>
  <c r="A62" i="5"/>
  <c r="A63" i="5"/>
  <c r="A64" i="5"/>
  <c r="A65" i="5"/>
  <c r="A66" i="5"/>
  <c r="A67" i="5"/>
  <c r="A68" i="5"/>
  <c r="A69" i="5"/>
  <c r="A70" i="5"/>
  <c r="A71" i="5"/>
  <c r="A72" i="5"/>
  <c r="A73" i="5"/>
  <c r="A74" i="5"/>
  <c r="A75" i="5"/>
  <c r="A5" i="5"/>
  <c r="U2" i="1"/>
  <c r="C1" i="5" l="1"/>
  <c r="F1" i="5"/>
  <c r="AA100" i="5"/>
  <c r="AA99" i="5"/>
  <c r="AA98" i="5"/>
  <c r="AA97" i="5"/>
  <c r="AA96" i="5"/>
  <c r="AA95" i="5"/>
  <c r="AA94" i="5"/>
  <c r="AA93" i="5"/>
  <c r="AA92" i="5"/>
  <c r="AA91" i="5"/>
  <c r="AA90" i="5"/>
  <c r="AA89" i="5"/>
  <c r="AA88" i="5"/>
  <c r="AA87" i="5"/>
  <c r="AA86" i="5"/>
  <c r="AA85" i="5"/>
  <c r="AA84" i="5"/>
  <c r="AA83" i="5"/>
  <c r="AA82" i="5"/>
  <c r="AA81" i="5"/>
  <c r="AA80" i="5"/>
  <c r="AA79" i="5"/>
  <c r="AA78" i="5"/>
  <c r="AA77" i="5"/>
  <c r="AA76" i="5"/>
  <c r="AA75" i="5"/>
  <c r="AA74" i="5"/>
  <c r="AA73" i="5"/>
  <c r="AA72" i="5"/>
  <c r="AA71" i="5"/>
  <c r="AA70" i="5"/>
  <c r="AA69" i="5"/>
  <c r="AA68" i="5"/>
  <c r="AA67" i="5"/>
  <c r="AA66" i="5"/>
  <c r="AA65" i="5"/>
  <c r="AA64" i="5"/>
  <c r="AA63" i="5"/>
  <c r="AA62" i="5"/>
  <c r="AA61" i="5"/>
  <c r="AA60" i="5"/>
  <c r="AA59" i="5"/>
  <c r="AA58" i="5"/>
  <c r="AA57" i="5"/>
  <c r="AA56" i="5"/>
  <c r="AA55" i="5"/>
  <c r="AA54" i="5"/>
  <c r="AA53" i="5"/>
  <c r="AA52" i="5"/>
  <c r="AA51" i="5"/>
  <c r="AA50" i="5"/>
  <c r="AA49" i="5"/>
  <c r="AA48" i="5"/>
  <c r="AA47" i="5"/>
  <c r="AA46" i="5"/>
  <c r="AA45" i="5"/>
  <c r="AA44" i="5"/>
  <c r="AA43" i="5"/>
  <c r="AA42" i="5"/>
  <c r="AA41" i="5"/>
  <c r="AA40" i="5"/>
  <c r="AA39" i="5"/>
  <c r="AA38" i="5"/>
  <c r="AA37" i="5"/>
  <c r="AA36" i="5"/>
  <c r="AA35" i="5"/>
  <c r="AA34" i="5"/>
  <c r="AA33" i="5"/>
  <c r="AA32" i="5"/>
  <c r="AA31" i="5"/>
  <c r="AA30" i="5"/>
  <c r="AA29" i="5"/>
  <c r="AA28" i="5"/>
  <c r="AA27" i="5"/>
  <c r="AA26" i="5"/>
  <c r="AA25" i="5"/>
  <c r="AA24" i="5"/>
  <c r="AA23" i="5"/>
  <c r="AA22" i="5"/>
  <c r="AA21" i="5"/>
  <c r="AA20" i="5"/>
  <c r="AA19" i="5"/>
  <c r="AA18" i="5"/>
  <c r="AA17" i="5"/>
  <c r="AA16" i="5"/>
  <c r="AA15" i="5"/>
  <c r="AA14" i="5"/>
  <c r="AA13" i="5"/>
  <c r="AA12" i="5"/>
  <c r="AA11" i="5"/>
  <c r="AA10" i="5"/>
  <c r="AA9" i="5"/>
  <c r="AA8" i="5"/>
  <c r="AA7" i="5"/>
  <c r="AA6" i="5"/>
  <c r="N3" i="5" l="1"/>
  <c r="AA4" i="5"/>
  <c r="D638" i="1" l="1"/>
  <c r="D622" i="1"/>
  <c r="D606" i="1"/>
  <c r="D590" i="1"/>
  <c r="D574" i="1"/>
  <c r="D558" i="1"/>
  <c r="D542" i="1"/>
  <c r="D526" i="1"/>
  <c r="D510" i="1"/>
  <c r="D494" i="1"/>
  <c r="D478" i="1"/>
  <c r="D462" i="1"/>
  <c r="D537" i="1"/>
  <c r="D653" i="1"/>
  <c r="D637" i="1"/>
  <c r="D621" i="1"/>
  <c r="D605" i="1"/>
  <c r="D589" i="1"/>
  <c r="D573" i="1"/>
  <c r="D557" i="1"/>
  <c r="D541" i="1"/>
  <c r="D525" i="1"/>
  <c r="D509" i="1"/>
  <c r="D493" i="1"/>
  <c r="D477" i="1"/>
  <c r="D461" i="1"/>
  <c r="D473" i="1"/>
  <c r="D652" i="1"/>
  <c r="D636" i="1"/>
  <c r="D620" i="1"/>
  <c r="D604" i="1"/>
  <c r="D588" i="1"/>
  <c r="D572" i="1"/>
  <c r="D556" i="1"/>
  <c r="D540" i="1"/>
  <c r="D524" i="1"/>
  <c r="D508" i="1"/>
  <c r="D492" i="1"/>
  <c r="D476" i="1"/>
  <c r="D489" i="1"/>
  <c r="D651" i="1"/>
  <c r="D635" i="1"/>
  <c r="D619" i="1"/>
  <c r="D603" i="1"/>
  <c r="D587" i="1"/>
  <c r="D571" i="1"/>
  <c r="D555" i="1"/>
  <c r="D539" i="1"/>
  <c r="D523" i="1"/>
  <c r="D507" i="1"/>
  <c r="D491" i="1"/>
  <c r="D475" i="1"/>
  <c r="D505" i="1"/>
  <c r="D650" i="1"/>
  <c r="D634" i="1"/>
  <c r="D618" i="1"/>
  <c r="D602" i="1"/>
  <c r="D586" i="1"/>
  <c r="D570" i="1"/>
  <c r="D554" i="1"/>
  <c r="D538" i="1"/>
  <c r="D522" i="1"/>
  <c r="D506" i="1"/>
  <c r="D490" i="1"/>
  <c r="D474" i="1"/>
  <c r="D649" i="1"/>
  <c r="D633" i="1"/>
  <c r="D617" i="1"/>
  <c r="D601" i="1"/>
  <c r="D585" i="1"/>
  <c r="D569" i="1"/>
  <c r="D553" i="1"/>
  <c r="D521" i="1"/>
  <c r="D648" i="1"/>
  <c r="D632" i="1"/>
  <c r="D616" i="1"/>
  <c r="D600" i="1"/>
  <c r="D584" i="1"/>
  <c r="D568" i="1"/>
  <c r="D552" i="1"/>
  <c r="D536" i="1"/>
  <c r="D520" i="1"/>
  <c r="D504" i="1"/>
  <c r="D488" i="1"/>
  <c r="D472" i="1"/>
  <c r="D647" i="1"/>
  <c r="D631" i="1"/>
  <c r="D615" i="1"/>
  <c r="D599" i="1"/>
  <c r="D583" i="1"/>
  <c r="D567" i="1"/>
  <c r="D551" i="1"/>
  <c r="D535" i="1"/>
  <c r="D519" i="1"/>
  <c r="D503" i="1"/>
  <c r="D487" i="1"/>
  <c r="D471" i="1"/>
  <c r="D646" i="1"/>
  <c r="D630" i="1"/>
  <c r="D614" i="1"/>
  <c r="D598" i="1"/>
  <c r="D582" i="1"/>
  <c r="D566" i="1"/>
  <c r="D550" i="1"/>
  <c r="D534" i="1"/>
  <c r="D518" i="1"/>
  <c r="D502" i="1"/>
  <c r="D486" i="1"/>
  <c r="D470" i="1"/>
  <c r="D645" i="1"/>
  <c r="D629" i="1"/>
  <c r="D613" i="1"/>
  <c r="D597" i="1"/>
  <c r="D581" i="1"/>
  <c r="D565" i="1"/>
  <c r="D549" i="1"/>
  <c r="D533" i="1"/>
  <c r="D517" i="1"/>
  <c r="D501" i="1"/>
  <c r="D485" i="1"/>
  <c r="D469" i="1"/>
  <c r="D644" i="1"/>
  <c r="D628" i="1"/>
  <c r="D612" i="1"/>
  <c r="D596" i="1"/>
  <c r="D580" i="1"/>
  <c r="D564" i="1"/>
  <c r="D548" i="1"/>
  <c r="D532" i="1"/>
  <c r="D516" i="1"/>
  <c r="D500" i="1"/>
  <c r="D484" i="1"/>
  <c r="D468" i="1"/>
  <c r="D643" i="1"/>
  <c r="D627" i="1"/>
  <c r="D611" i="1"/>
  <c r="D595" i="1"/>
  <c r="D579" i="1"/>
  <c r="D563" i="1"/>
  <c r="D547" i="1"/>
  <c r="D531" i="1"/>
  <c r="D515" i="1"/>
  <c r="D499" i="1"/>
  <c r="D483" i="1"/>
  <c r="D467" i="1"/>
  <c r="D642" i="1"/>
  <c r="D626" i="1"/>
  <c r="D610" i="1"/>
  <c r="D594" i="1"/>
  <c r="D578" i="1"/>
  <c r="D562" i="1"/>
  <c r="D546" i="1"/>
  <c r="D530" i="1"/>
  <c r="D514" i="1"/>
  <c r="D498" i="1"/>
  <c r="D482" i="1"/>
  <c r="D466" i="1"/>
  <c r="D623" i="1"/>
  <c r="D591" i="1"/>
  <c r="D559" i="1"/>
  <c r="D511" i="1"/>
  <c r="D463" i="1"/>
  <c r="D641" i="1"/>
  <c r="D625" i="1"/>
  <c r="D609" i="1"/>
  <c r="D593" i="1"/>
  <c r="D577" i="1"/>
  <c r="D561" i="1"/>
  <c r="D545" i="1"/>
  <c r="D529" i="1"/>
  <c r="D513" i="1"/>
  <c r="D497" i="1"/>
  <c r="D481" i="1"/>
  <c r="D465" i="1"/>
  <c r="D640" i="1"/>
  <c r="D608" i="1"/>
  <c r="D592" i="1"/>
  <c r="D576" i="1"/>
  <c r="D560" i="1"/>
  <c r="D544" i="1"/>
  <c r="D528" i="1"/>
  <c r="D512" i="1"/>
  <c r="D480" i="1"/>
  <c r="D464" i="1"/>
  <c r="D639" i="1"/>
  <c r="D575" i="1"/>
  <c r="D527" i="1"/>
  <c r="D479" i="1"/>
  <c r="D624" i="1"/>
  <c r="D496" i="1"/>
  <c r="D607" i="1"/>
  <c r="D543" i="1"/>
  <c r="D495" i="1"/>
  <c r="D446" i="1"/>
  <c r="D430" i="1"/>
  <c r="D414" i="1"/>
  <c r="D398" i="1"/>
  <c r="D382" i="1"/>
  <c r="D366" i="1"/>
  <c r="D338" i="1"/>
  <c r="D354" i="1"/>
  <c r="D339" i="1"/>
  <c r="D407" i="1"/>
  <c r="D374" i="1"/>
  <c r="D389" i="1"/>
  <c r="D388" i="1"/>
  <c r="D351" i="1"/>
  <c r="D416" i="1"/>
  <c r="D415" i="1"/>
  <c r="D445" i="1"/>
  <c r="D429" i="1"/>
  <c r="D413" i="1"/>
  <c r="D397" i="1"/>
  <c r="D381" i="1"/>
  <c r="D365" i="1"/>
  <c r="D355" i="1"/>
  <c r="D439" i="1"/>
  <c r="D345" i="1"/>
  <c r="D390" i="1"/>
  <c r="D347" i="1"/>
  <c r="D372" i="1"/>
  <c r="D400" i="1"/>
  <c r="D399" i="1"/>
  <c r="D353" i="1"/>
  <c r="D460" i="1"/>
  <c r="D444" i="1"/>
  <c r="D428" i="1"/>
  <c r="D412" i="1"/>
  <c r="D396" i="1"/>
  <c r="D380" i="1"/>
  <c r="D364" i="1"/>
  <c r="D340" i="1"/>
  <c r="D356" i="1"/>
  <c r="D455" i="1"/>
  <c r="D375" i="1"/>
  <c r="D406" i="1"/>
  <c r="D421" i="1"/>
  <c r="D368" i="1"/>
  <c r="D431" i="1"/>
  <c r="D337" i="1"/>
  <c r="D459" i="1"/>
  <c r="D443" i="1"/>
  <c r="D427" i="1"/>
  <c r="D411" i="1"/>
  <c r="D395" i="1"/>
  <c r="D379" i="1"/>
  <c r="D363" i="1"/>
  <c r="D341" i="1"/>
  <c r="D357" i="1"/>
  <c r="D423" i="1"/>
  <c r="D454" i="1"/>
  <c r="D405" i="1"/>
  <c r="D458" i="1"/>
  <c r="D442" i="1"/>
  <c r="D426" i="1"/>
  <c r="D410" i="1"/>
  <c r="D394" i="1"/>
  <c r="D378" i="1"/>
  <c r="D362" i="1"/>
  <c r="D342" i="1"/>
  <c r="D358" i="1"/>
  <c r="D422" i="1"/>
  <c r="D346" i="1"/>
  <c r="D453" i="1"/>
  <c r="D452" i="1"/>
  <c r="D432" i="1"/>
  <c r="D383" i="1"/>
  <c r="D457" i="1"/>
  <c r="D441" i="1"/>
  <c r="D425" i="1"/>
  <c r="D409" i="1"/>
  <c r="D393" i="1"/>
  <c r="D377" i="1"/>
  <c r="D361" i="1"/>
  <c r="D343" i="1"/>
  <c r="D391" i="1"/>
  <c r="D437" i="1"/>
  <c r="D404" i="1"/>
  <c r="D456" i="1"/>
  <c r="D440" i="1"/>
  <c r="D424" i="1"/>
  <c r="D408" i="1"/>
  <c r="D392" i="1"/>
  <c r="D376" i="1"/>
  <c r="D360" i="1"/>
  <c r="D344" i="1"/>
  <c r="D359" i="1"/>
  <c r="D438" i="1"/>
  <c r="D373" i="1"/>
  <c r="D436" i="1"/>
  <c r="D348" i="1"/>
  <c r="D448" i="1"/>
  <c r="D447" i="1"/>
  <c r="D420" i="1"/>
  <c r="D335" i="1"/>
  <c r="D384" i="1"/>
  <c r="D352" i="1"/>
  <c r="D367" i="1"/>
  <c r="D451" i="1"/>
  <c r="D435" i="1"/>
  <c r="D419" i="1"/>
  <c r="D403" i="1"/>
  <c r="D387" i="1"/>
  <c r="D371" i="1"/>
  <c r="D349" i="1"/>
  <c r="D334" i="1"/>
  <c r="D449" i="1"/>
  <c r="D417" i="1"/>
  <c r="D385" i="1"/>
  <c r="D450" i="1"/>
  <c r="D434" i="1"/>
  <c r="D418" i="1"/>
  <c r="D402" i="1"/>
  <c r="D386" i="1"/>
  <c r="D370" i="1"/>
  <c r="D350" i="1"/>
  <c r="D433" i="1"/>
  <c r="D401" i="1"/>
  <c r="D369" i="1"/>
  <c r="D336" i="1"/>
  <c r="D184" i="1"/>
  <c r="D200" i="1"/>
  <c r="D216" i="1"/>
  <c r="D232" i="1"/>
  <c r="D248" i="1"/>
  <c r="D264" i="1"/>
  <c r="D280" i="1"/>
  <c r="D296" i="1"/>
  <c r="D312" i="1"/>
  <c r="D328" i="1"/>
  <c r="D218" i="1"/>
  <c r="D250" i="1"/>
  <c r="D282" i="1"/>
  <c r="D298" i="1"/>
  <c r="D330" i="1"/>
  <c r="D192" i="1"/>
  <c r="D320" i="1"/>
  <c r="D241" i="1"/>
  <c r="D321" i="1"/>
  <c r="D210" i="1"/>
  <c r="D227" i="1"/>
  <c r="D323" i="1"/>
  <c r="D244" i="1"/>
  <c r="D324" i="1"/>
  <c r="D197" i="1"/>
  <c r="D325" i="1"/>
  <c r="D247" i="1"/>
  <c r="D185" i="1"/>
  <c r="D201" i="1"/>
  <c r="D217" i="1"/>
  <c r="D233" i="1"/>
  <c r="D249" i="1"/>
  <c r="D265" i="1"/>
  <c r="D281" i="1"/>
  <c r="D297" i="1"/>
  <c r="D313" i="1"/>
  <c r="D329" i="1"/>
  <c r="D202" i="1"/>
  <c r="D234" i="1"/>
  <c r="D266" i="1"/>
  <c r="D314" i="1"/>
  <c r="D240" i="1"/>
  <c r="D257" i="1"/>
  <c r="D258" i="1"/>
  <c r="D195" i="1"/>
  <c r="D260" i="1"/>
  <c r="D261" i="1"/>
  <c r="D262" i="1"/>
  <c r="D231" i="1"/>
  <c r="D186" i="1"/>
  <c r="D304" i="1"/>
  <c r="D209" i="1"/>
  <c r="D273" i="1"/>
  <c r="D305" i="1"/>
  <c r="D306" i="1"/>
  <c r="D211" i="1"/>
  <c r="D293" i="1"/>
  <c r="D230" i="1"/>
  <c r="D295" i="1"/>
  <c r="D311" i="1"/>
  <c r="D187" i="1"/>
  <c r="D203" i="1"/>
  <c r="D219" i="1"/>
  <c r="D235" i="1"/>
  <c r="D251" i="1"/>
  <c r="D267" i="1"/>
  <c r="D283" i="1"/>
  <c r="D299" i="1"/>
  <c r="D315" i="1"/>
  <c r="D331" i="1"/>
  <c r="D256" i="1"/>
  <c r="D193" i="1"/>
  <c r="D290" i="1"/>
  <c r="D275" i="1"/>
  <c r="D291" i="1"/>
  <c r="D212" i="1"/>
  <c r="D245" i="1"/>
  <c r="D214" i="1"/>
  <c r="D278" i="1"/>
  <c r="D326" i="1"/>
  <c r="D263" i="1"/>
  <c r="D327" i="1"/>
  <c r="D188" i="1"/>
  <c r="D204" i="1"/>
  <c r="D220" i="1"/>
  <c r="D236" i="1"/>
  <c r="D252" i="1"/>
  <c r="D268" i="1"/>
  <c r="D284" i="1"/>
  <c r="D300" i="1"/>
  <c r="D316" i="1"/>
  <c r="D332" i="1"/>
  <c r="D224" i="1"/>
  <c r="D194" i="1"/>
  <c r="D322" i="1"/>
  <c r="D243" i="1"/>
  <c r="D196" i="1"/>
  <c r="D276" i="1"/>
  <c r="D292" i="1"/>
  <c r="D308" i="1"/>
  <c r="D213" i="1"/>
  <c r="D198" i="1"/>
  <c r="D310" i="1"/>
  <c r="D279" i="1"/>
  <c r="D189" i="1"/>
  <c r="D205" i="1"/>
  <c r="D221" i="1"/>
  <c r="D237" i="1"/>
  <c r="D253" i="1"/>
  <c r="D269" i="1"/>
  <c r="D285" i="1"/>
  <c r="D301" i="1"/>
  <c r="D317" i="1"/>
  <c r="D333" i="1"/>
  <c r="D288" i="1"/>
  <c r="D225" i="1"/>
  <c r="D242" i="1"/>
  <c r="D259" i="1"/>
  <c r="D307" i="1"/>
  <c r="D228" i="1"/>
  <c r="D181" i="1"/>
  <c r="D309" i="1"/>
  <c r="D246" i="1"/>
  <c r="D215" i="1"/>
  <c r="D190" i="1"/>
  <c r="D206" i="1"/>
  <c r="D222" i="1"/>
  <c r="D238" i="1"/>
  <c r="D254" i="1"/>
  <c r="D270" i="1"/>
  <c r="D286" i="1"/>
  <c r="D302" i="1"/>
  <c r="D318" i="1"/>
  <c r="D208" i="1"/>
  <c r="D289" i="1"/>
  <c r="D226" i="1"/>
  <c r="D180" i="1"/>
  <c r="D277" i="1"/>
  <c r="D182" i="1"/>
  <c r="D199" i="1"/>
  <c r="D191" i="1"/>
  <c r="D207" i="1"/>
  <c r="D223" i="1"/>
  <c r="D239" i="1"/>
  <c r="D255" i="1"/>
  <c r="D271" i="1"/>
  <c r="D287" i="1"/>
  <c r="D303" i="1"/>
  <c r="D319" i="1"/>
  <c r="D272" i="1"/>
  <c r="D274" i="1"/>
  <c r="D229" i="1"/>
  <c r="D294" i="1"/>
  <c r="D183" i="1"/>
  <c r="D179" i="1"/>
  <c r="D175" i="1"/>
  <c r="D176" i="1"/>
  <c r="D177" i="1"/>
  <c r="D178" i="1"/>
  <c r="D48" i="1"/>
  <c r="D98" i="1"/>
  <c r="D106" i="1"/>
  <c r="D114" i="1"/>
  <c r="D122" i="1"/>
  <c r="D130" i="1"/>
  <c r="D138" i="1"/>
  <c r="D146" i="1"/>
  <c r="D154" i="1"/>
  <c r="D162" i="1"/>
  <c r="D170" i="1"/>
  <c r="D129" i="1"/>
  <c r="D99" i="1"/>
  <c r="D107" i="1"/>
  <c r="D115" i="1"/>
  <c r="D123" i="1"/>
  <c r="D131" i="1"/>
  <c r="D139" i="1"/>
  <c r="D147" i="1"/>
  <c r="D155" i="1"/>
  <c r="D163" i="1"/>
  <c r="D171" i="1"/>
  <c r="D137" i="1"/>
  <c r="D169" i="1"/>
  <c r="D100" i="1"/>
  <c r="D108" i="1"/>
  <c r="D116" i="1"/>
  <c r="D124" i="1"/>
  <c r="D132" i="1"/>
  <c r="D140" i="1"/>
  <c r="D148" i="1"/>
  <c r="D156" i="1"/>
  <c r="D164" i="1"/>
  <c r="D172" i="1"/>
  <c r="D105" i="1"/>
  <c r="D101" i="1"/>
  <c r="D109" i="1"/>
  <c r="D117" i="1"/>
  <c r="D125" i="1"/>
  <c r="D133" i="1"/>
  <c r="D141" i="1"/>
  <c r="D149" i="1"/>
  <c r="D157" i="1"/>
  <c r="D165" i="1"/>
  <c r="D173" i="1"/>
  <c r="D97" i="1"/>
  <c r="D94" i="1"/>
  <c r="D102" i="1"/>
  <c r="D110" i="1"/>
  <c r="D118" i="1"/>
  <c r="D126" i="1"/>
  <c r="D134" i="1"/>
  <c r="D142" i="1"/>
  <c r="D150" i="1"/>
  <c r="D158" i="1"/>
  <c r="D166" i="1"/>
  <c r="D174" i="1"/>
  <c r="D113" i="1"/>
  <c r="D153" i="1"/>
  <c r="D95" i="1"/>
  <c r="D103" i="1"/>
  <c r="D111" i="1"/>
  <c r="D119" i="1"/>
  <c r="D127" i="1"/>
  <c r="D135" i="1"/>
  <c r="D143" i="1"/>
  <c r="D151" i="1"/>
  <c r="D159" i="1"/>
  <c r="D167" i="1"/>
  <c r="D121" i="1"/>
  <c r="D161" i="1"/>
  <c r="D96" i="1"/>
  <c r="D104" i="1"/>
  <c r="D112" i="1"/>
  <c r="D120" i="1"/>
  <c r="D128" i="1"/>
  <c r="D136" i="1"/>
  <c r="D144" i="1"/>
  <c r="D152" i="1"/>
  <c r="D160" i="1"/>
  <c r="D168" i="1"/>
  <c r="D145" i="1"/>
  <c r="D56" i="1"/>
  <c r="D52" i="1"/>
  <c r="D9" i="1"/>
  <c r="D81" i="1"/>
  <c r="D89" i="1"/>
  <c r="D82" i="1"/>
  <c r="D90" i="1"/>
  <c r="D83" i="1"/>
  <c r="D91" i="1"/>
  <c r="D53" i="1"/>
  <c r="D84" i="1"/>
  <c r="D92" i="1"/>
  <c r="D85" i="1"/>
  <c r="D93" i="1"/>
  <c r="D88" i="1"/>
  <c r="D78" i="1"/>
  <c r="D86" i="1"/>
  <c r="D80" i="1"/>
  <c r="D79" i="1"/>
  <c r="D87" i="1"/>
  <c r="D49" i="1"/>
  <c r="D58" i="1"/>
  <c r="D75" i="1"/>
  <c r="D42" i="1"/>
  <c r="D71" i="1"/>
  <c r="D60" i="1"/>
  <c r="D62" i="1"/>
  <c r="D45" i="1"/>
  <c r="D54" i="1"/>
  <c r="D44" i="1"/>
  <c r="D46" i="1"/>
  <c r="D73" i="1"/>
  <c r="D77" i="1"/>
  <c r="D51" i="1"/>
  <c r="D68" i="1"/>
  <c r="D50" i="1"/>
  <c r="D67" i="1"/>
  <c r="D69" i="1"/>
  <c r="D57" i="1"/>
  <c r="D43" i="1"/>
  <c r="D47" i="1"/>
  <c r="D70" i="1"/>
  <c r="D61" i="1"/>
  <c r="D66" i="1"/>
  <c r="D40" i="1"/>
  <c r="D63" i="1"/>
  <c r="D65" i="1"/>
  <c r="D72" i="1"/>
  <c r="D74" i="1"/>
  <c r="D64" i="1"/>
  <c r="D76" i="1"/>
  <c r="D59" i="1"/>
  <c r="D41" i="1"/>
  <c r="D55" i="1"/>
  <c r="D38" i="1"/>
  <c r="D39" i="1"/>
  <c r="D37" i="1"/>
  <c r="D21" i="1"/>
  <c r="D36" i="1"/>
  <c r="D15" i="1"/>
  <c r="D27" i="1"/>
  <c r="D20" i="1"/>
  <c r="D29" i="1"/>
  <c r="D32" i="1"/>
  <c r="D23" i="1"/>
  <c r="D30" i="1"/>
  <c r="D34" i="1"/>
  <c r="D33" i="1"/>
  <c r="D16" i="1"/>
  <c r="D31" i="1"/>
  <c r="D26" i="1"/>
  <c r="D12" i="1"/>
  <c r="D17" i="1"/>
  <c r="D24" i="1"/>
  <c r="D11" i="1"/>
  <c r="D18" i="1"/>
  <c r="D25" i="1"/>
  <c r="D13" i="1"/>
  <c r="D28" i="1"/>
  <c r="D10" i="1"/>
  <c r="D14" i="1"/>
  <c r="D35" i="1"/>
  <c r="D19" i="1"/>
  <c r="D22" i="1"/>
  <c r="C6" i="1" l="1"/>
</calcChain>
</file>

<file path=xl/sharedStrings.xml><?xml version="1.0" encoding="utf-8"?>
<sst xmlns="http://schemas.openxmlformats.org/spreadsheetml/2006/main" count="991" uniqueCount="224">
  <si>
    <t>DATA</t>
  </si>
  <si>
    <t>USUÁRIO</t>
  </si>
  <si>
    <t>CLIENTE</t>
  </si>
  <si>
    <t>NÚMERO PEDIDO</t>
  </si>
  <si>
    <t>STATUS</t>
  </si>
  <si>
    <t>NFE</t>
  </si>
  <si>
    <t>SKU</t>
  </si>
  <si>
    <t>Nome Produto</t>
  </si>
  <si>
    <t>CÓD. BARRAS</t>
  </si>
  <si>
    <t>QUANTIDADE</t>
  </si>
  <si>
    <t>ESCANEADO</t>
  </si>
  <si>
    <t>CHECK</t>
  </si>
  <si>
    <t>FALTAM</t>
  </si>
  <si>
    <t>COD BARRAS</t>
  </si>
  <si>
    <t>OPERADOR</t>
  </si>
  <si>
    <t>LISTA PEDIDOS STATUS OK</t>
  </si>
  <si>
    <t>INPUTS</t>
  </si>
  <si>
    <t>Destinatário</t>
  </si>
  <si>
    <t>Cód. SKU</t>
  </si>
  <si>
    <t>Trasportadora</t>
  </si>
  <si>
    <t>% PEDIDOS COMPLETOS</t>
  </si>
  <si>
    <t>Nota fiscal</t>
  </si>
  <si>
    <t>Total</t>
  </si>
  <si>
    <t># PEDIDO</t>
  </si>
  <si>
    <t>NOTA</t>
  </si>
  <si>
    <t>SEM DUPLA CONTAGEM</t>
  </si>
  <si>
    <t>#NFE</t>
  </si>
  <si>
    <t>COD NFE</t>
  </si>
  <si>
    <t>Leitor</t>
  </si>
  <si>
    <t>cód barras</t>
  </si>
  <si>
    <t>scaneados errados</t>
  </si>
  <si>
    <t>CONTADOR</t>
  </si>
  <si>
    <t>leitura na atual nfe</t>
  </si>
  <si>
    <t>scaneados finalizados dia</t>
  </si>
  <si>
    <t>Prob: tem q vir do cadastro</t>
  </si>
  <si>
    <t>JÁ FEITO</t>
  </si>
  <si>
    <t>I</t>
  </si>
  <si>
    <t>F</t>
  </si>
  <si>
    <t>HORA</t>
  </si>
  <si>
    <t>AUTORIZADOR</t>
  </si>
  <si>
    <t>Michele</t>
  </si>
  <si>
    <t>789000025270</t>
  </si>
  <si>
    <t>Dedo Duro</t>
  </si>
  <si>
    <t>valor</t>
  </si>
  <si>
    <t>hora</t>
  </si>
  <si>
    <t>Detalhe</t>
  </si>
  <si>
    <t>521375091078|252|K&amp;K Intermediacao &amp; Negocios|MP6ESE20TK|0|40|0|252||PRESERVATIVO FEMININO DELLA 1 UNIDADE</t>
  </si>
  <si>
    <t>891737590378|89|K &amp; K Intermediacao e Negocios Ltda|OT22020101|7891658107103|4|0|||</t>
  </si>
  <si>
    <t>891737590378|89|K &amp; K Intermediacao e Negocios Ltda|OT22020101|7891658107103|4|1|||</t>
  </si>
  <si>
    <t>891737590378|89|K &amp; K Intermediacao e Negocios Ltda|OT22020101|7891658107103|4|2|||</t>
  </si>
  <si>
    <t>891737590378|89|K &amp; K Intermediacao e Negocios Ltda|OT22020101|7891658107103|4|3|||</t>
  </si>
  <si>
    <t>|||||||||</t>
  </si>
  <si>
    <t>611713550160|14261|K &amp; K Intermediacao e Negocios Ltda|CM1018-nudebrown|789000025270|1|0|14261||Bolsa Pouch Palma - Blackbrown</t>
  </si>
  <si>
    <t>611713550160|14261|K &amp; K Intermediacao e Negocios Ltda|CM1018-nudebrown|789000025270|1|1|14261||CM1010-Blackbrown|7890000024921|4|0</t>
  </si>
  <si>
    <t/>
  </si>
  <si>
    <t>Espaco Aereo</t>
  </si>
  <si>
    <t>11272</t>
  </si>
  <si>
    <t>Arthur Lopes Santos</t>
  </si>
  <si>
    <t>Regua EA pra Navegacao</t>
  </si>
  <si>
    <t>7897876124403</t>
  </si>
  <si>
    <t>EMPRESA BRASILEIRA DE CORREIOS E TELEGRAFOS</t>
  </si>
  <si>
    <t>11273</t>
  </si>
  <si>
    <t>Fabio de Almeida</t>
  </si>
  <si>
    <t>Coletanea de Provas Piloto Comercial - Aviao</t>
  </si>
  <si>
    <t>7891234000040</t>
  </si>
  <si>
    <t>11274</t>
  </si>
  <si>
    <t>Antonio Jonas Cardoso Siqueira</t>
  </si>
  <si>
    <t>Computador de Voo EA-2 com case</t>
  </si>
  <si>
    <t>7897876124397</t>
  </si>
  <si>
    <t>Melhor Envio</t>
  </si>
  <si>
    <t>Regulamento de Trafego Aereo Piloto Privado Aviao e Helicoptero - Prof. Soares</t>
  </si>
  <si>
    <t>9786599389085</t>
  </si>
  <si>
    <t>Meteorologia para aviacao - Darcy Banci</t>
  </si>
  <si>
    <t>7891234000019</t>
  </si>
  <si>
    <t>11275</t>
  </si>
  <si>
    <t>Taila Guzzela da Cunha</t>
  </si>
  <si>
    <t>Descomplicando a Teoria de Voo de Baixa Velocidade: PP Aviao - Faro e Pessini</t>
  </si>
  <si>
    <t>9786599389023</t>
  </si>
  <si>
    <t>QOLOR</t>
  </si>
  <si>
    <t>16996</t>
  </si>
  <si>
    <t>Gabriela Almeida</t>
  </si>
  <si>
    <t>Caderno "Charlotte" miolo:pautado</t>
  </si>
  <si>
    <t>S-CD-A5-CHA-PAU</t>
  </si>
  <si>
    <t>FM TRANSPORTES</t>
  </si>
  <si>
    <t>Journal Petals"</t>
  </si>
  <si>
    <t>S-J-P</t>
  </si>
  <si>
    <t>16997</t>
  </si>
  <si>
    <t>Adriane Bobsin de la Vega</t>
  </si>
  <si>
    <t>Mousepad "Mia"</t>
  </si>
  <si>
    <t>M-MIA</t>
  </si>
  <si>
    <t>JADLOG LOGISTICA S.A</t>
  </si>
  <si>
    <t>Marca pagina Petals</t>
  </si>
  <si>
    <t>BR-MP-P</t>
  </si>
  <si>
    <t>Cartela Exclusiva "Bday"</t>
  </si>
  <si>
    <t>BR-CART-S</t>
  </si>
  <si>
    <t>16998</t>
  </si>
  <si>
    <t>Franciane Paula Chagas Vieira</t>
  </si>
  <si>
    <t>Estojo "Charlotte"</t>
  </si>
  <si>
    <t>EST-POA</t>
  </si>
  <si>
    <t>Case de Tablet "Mia"</t>
  </si>
  <si>
    <t>TABLET-MIA</t>
  </si>
  <si>
    <t>Sticker Book</t>
  </si>
  <si>
    <t>S-SB-1</t>
  </si>
  <si>
    <t>PLANNER 2026 NAO DATADO - Ophelia</t>
  </si>
  <si>
    <t>P-FL-26-ND</t>
  </si>
  <si>
    <t>Necessaire G "Ophelia"</t>
  </si>
  <si>
    <t>S-NEC-G-OPH</t>
  </si>
  <si>
    <t>Cartela "Adore Me"</t>
  </si>
  <si>
    <t>BR-CART-AM</t>
  </si>
  <si>
    <t>16999</t>
  </si>
  <si>
    <t>Luana Resende</t>
  </si>
  <si>
    <t>17000</t>
  </si>
  <si>
    <t>Aline Ormond</t>
  </si>
  <si>
    <t>Deskpad "Stella"</t>
  </si>
  <si>
    <t>S-DESKPAD-STE</t>
  </si>
  <si>
    <t>Case de Tablet "Stella"</t>
  </si>
  <si>
    <t>TABLET-STELLA</t>
  </si>
  <si>
    <t>Case de Notebook P "Charlotte"</t>
  </si>
  <si>
    <t>NOTEP-CHARLOTTE</t>
  </si>
  <si>
    <t>17001</t>
  </si>
  <si>
    <t>Mariluce Pinheiro Bezerra</t>
  </si>
  <si>
    <t>Case de Notebook G "Charlotte"</t>
  </si>
  <si>
    <t>NOTEG-CHARLOTTE</t>
  </si>
  <si>
    <t>Caderno "Stella" miolo:pontilhado</t>
  </si>
  <si>
    <t>S-CD-A5-STE-PONT</t>
  </si>
  <si>
    <t>bloco braindump - "Mia"</t>
  </si>
  <si>
    <t>S-CH-MIA</t>
  </si>
  <si>
    <t>17002</t>
  </si>
  <si>
    <t>PAOLA RODRIGUES</t>
  </si>
  <si>
    <t>Case de Notebook G "Poa"</t>
  </si>
  <si>
    <t>NOTEG-POA</t>
  </si>
  <si>
    <t>Mousepad "Ophelia"</t>
  </si>
  <si>
    <t>M-OPH</t>
  </si>
  <si>
    <t>bloco braindump - "Stella"</t>
  </si>
  <si>
    <t>S-CH-STE</t>
  </si>
  <si>
    <t>Case de Kindle "Stella"</t>
  </si>
  <si>
    <t>KINDLE-STELLA</t>
  </si>
  <si>
    <t>17003</t>
  </si>
  <si>
    <t>Vitoria Afiune</t>
  </si>
  <si>
    <t>Caderno "Charlotte" miolo:pontilhado</t>
  </si>
  <si>
    <t>S-CD-A5-CHA-PONT</t>
  </si>
  <si>
    <t>Necessaire G "Mia"</t>
  </si>
  <si>
    <t>S-NEC-G-MIA</t>
  </si>
  <si>
    <t>17004</t>
  </si>
  <si>
    <t>Sara Ferreira De Matos</t>
  </si>
  <si>
    <t>Necessaire M "Ophelia"</t>
  </si>
  <si>
    <t>S-NEC-M-OPH</t>
  </si>
  <si>
    <t>bloco braindump - "Ophelia"</t>
  </si>
  <si>
    <t>S-CH-OPHE</t>
  </si>
  <si>
    <t>Case de Notebook G "Ophelia"</t>
  </si>
  <si>
    <t>NOTEG-OPHELIA</t>
  </si>
  <si>
    <t>17005</t>
  </si>
  <si>
    <t>Lorena Holanda</t>
  </si>
  <si>
    <t>Francobolli prestacao de servicos ltda</t>
  </si>
  <si>
    <t>PLANNER 2026 DATADO - Ophelia</t>
  </si>
  <si>
    <t>P-FL-26</t>
  </si>
  <si>
    <t>17006</t>
  </si>
  <si>
    <t>maria eduarda raga</t>
  </si>
  <si>
    <t>PLANNER 2026 DATADO  - Mia</t>
  </si>
  <si>
    <t>P-RO-26</t>
  </si>
  <si>
    <t>17007</t>
  </si>
  <si>
    <t>Taciana Leite</t>
  </si>
  <si>
    <t>17008</t>
  </si>
  <si>
    <t>Martina Leite</t>
  </si>
  <si>
    <t>Deskpad "Ophelia" 1</t>
  </si>
  <si>
    <t>S-DESKPAD-OPHE</t>
  </si>
  <si>
    <t>Estojo "Ophelia"</t>
  </si>
  <si>
    <t>EST-FLO</t>
  </si>
  <si>
    <t>17009</t>
  </si>
  <si>
    <t>Ananda Juvenal</t>
  </si>
  <si>
    <t>Case de Notebook P "Mia"</t>
  </si>
  <si>
    <t>NOTEP-MIA</t>
  </si>
  <si>
    <t>17010</t>
  </si>
  <si>
    <t>Karin Ludvig Amavisca</t>
  </si>
  <si>
    <t>17011</t>
  </si>
  <si>
    <t>Ruth Reis</t>
  </si>
  <si>
    <t>17012</t>
  </si>
  <si>
    <t>Cristiane Rocha</t>
  </si>
  <si>
    <t>17013</t>
  </si>
  <si>
    <t>Rosa Maria Prata</t>
  </si>
  <si>
    <t>17014</t>
  </si>
  <si>
    <t>Larissa Reis</t>
  </si>
  <si>
    <t>17015</t>
  </si>
  <si>
    <t>Flavia Ferrari De Lima</t>
  </si>
  <si>
    <t>bloco braindump - "Charlotte"</t>
  </si>
  <si>
    <t>S-CH-CHA</t>
  </si>
  <si>
    <t>Caderno "Berry" + cartela de adesivo A5 miolo:pautado</t>
  </si>
  <si>
    <t>S-CD-A5-MOR-PAU</t>
  </si>
  <si>
    <t>17016</t>
  </si>
  <si>
    <t>Byanca Vanderlei</t>
  </si>
  <si>
    <t>Case de Tablet "Ophelia"</t>
  </si>
  <si>
    <t>TABLET-OPHELIA</t>
  </si>
  <si>
    <t>954</t>
  </si>
  <si>
    <t>Leonora De Miranda Pinto</t>
  </si>
  <si>
    <t>THE SECRETBOOK</t>
  </si>
  <si>
    <t>S-SB-A5</t>
  </si>
  <si>
    <t>Pack QSC 1</t>
  </si>
  <si>
    <t>PQSC1</t>
  </si>
  <si>
    <t>35260418184985000118550010000112721943108598</t>
  </si>
  <si>
    <t>35260418184985000118550010000112731943776237</t>
  </si>
  <si>
    <t>35260418184985000118550010000112741002705441</t>
  </si>
  <si>
    <t>35260418184985000118550010000112751003034254</t>
  </si>
  <si>
    <t>35260441236444000299550030000169961934940497</t>
  </si>
  <si>
    <t>35260441236444000299550030000169971937714479</t>
  </si>
  <si>
    <t>35260441236444000299550030000169981001341754</t>
  </si>
  <si>
    <t>35260441236444000299550030000169991001346788</t>
  </si>
  <si>
    <t>35260441236444000299550030000170001001353396</t>
  </si>
  <si>
    <t>35260441236444000299550030000170011001360756</t>
  </si>
  <si>
    <t>35260441236444000299550030000170021001368304</t>
  </si>
  <si>
    <t>35260441236444000299550030000170031001375367</t>
  </si>
  <si>
    <t>35260441236444000299550030000170041001381836</t>
  </si>
  <si>
    <t>35260441236444000299550030000170051001388579</t>
  </si>
  <si>
    <t>35260441236444000299550030000170061001394657</t>
  </si>
  <si>
    <t>35260441236444000299550030000170071001400964</t>
  </si>
  <si>
    <t>35260441236444000299550030000170081001407001</t>
  </si>
  <si>
    <t>35260441236444000299550030000170091001412673</t>
  </si>
  <si>
    <t>35260441236444000299550030000170101001416343</t>
  </si>
  <si>
    <t>35260441236444000299550030000170111001420674</t>
  </si>
  <si>
    <t>35260441236444000299550030000170121001425452</t>
  </si>
  <si>
    <t>35260441236444000299550030000170131001429412</t>
  </si>
  <si>
    <t>35260441236444000299550030000170141001433255</t>
  </si>
  <si>
    <t>35260441236444000299550030000170151001438521</t>
  </si>
  <si>
    <t>35260441236444000299550030000170161001442500</t>
  </si>
  <si>
    <t>23260441236444000108550030000009541929453430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</si>
</sst>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16]d\-mmm;@"/>
  </numFmts>
  <fonts count="1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4"/>
      <color rgb="FF000000"/>
      <name val="Calibri"/>
      <family val="2"/>
    </font>
    <font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79995117038483843"/>
        <bgColor indexed="64"/>
      </patternFill>
    </fill>
    <fill>
      <patternFill patternType="solid">
        <fgColor rgb="FFC00000"/>
        <bgColor indexed="64"/>
      </patternFill>
    </fill>
  </fills>
  <borders count="3">
    <border>
      <left/>
      <right/>
      <top/>
      <bottom/>
      <diagonal/>
    </border>
    <border>
      <left style="thin">
        <color rgb="FFABABAB"/>
      </left>
      <right/>
      <top style="thin">
        <color rgb="FFABABAB"/>
      </top>
      <bottom/>
      <diagonal/>
    </border>
    <border>
      <left style="thin">
        <color rgb="FFABABAB"/>
      </left>
      <right/>
      <top/>
      <bottom/>
      <diagonal/>
    </border>
  </borders>
  <cellStyleXfs count="2">
    <xf numFmtId="0" fontId="0" fillId="0" borderId="0"/>
    <xf numFmtId="9" fontId="5" fillId="0" borderId="0" applyFont="0" applyFill="0" applyBorder="0" applyAlignment="0" applyProtection="0"/>
  </cellStyleXfs>
  <cellXfs count="47">
    <xf numFmtId="0" fontId="0" fillId="0" borderId="0" xfId="0"/>
    <xf numFmtId="49" fontId="0" fillId="0" borderId="0" xfId="0" applyNumberFormat="1"/>
    <xf numFmtId="0" fontId="0" fillId="2" borderId="0" xfId="0" applyFill="1"/>
    <xf numFmtId="0" fontId="3" fillId="3" borderId="1" xfId="0" applyFont="1" applyFill="1" applyBorder="1" applyAlignment="1">
      <alignment horizontal="center" vertical="center"/>
    </xf>
    <xf numFmtId="0" fontId="1" fillId="4" borderId="0" xfId="0" applyFont="1" applyFill="1"/>
    <xf numFmtId="0" fontId="0" fillId="5" borderId="0" xfId="0" applyFill="1"/>
    <xf numFmtId="0" fontId="3" fillId="3" borderId="2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49" fontId="3" fillId="3" borderId="1" xfId="0" applyNumberFormat="1" applyFont="1" applyFill="1" applyBorder="1" applyAlignment="1">
      <alignment horizontal="center" vertical="center"/>
    </xf>
    <xf numFmtId="0" fontId="1" fillId="4" borderId="0" xfId="0" applyFont="1" applyFill="1" applyAlignment="1">
      <alignment horizontal="center"/>
    </xf>
    <xf numFmtId="164" fontId="4" fillId="8" borderId="0" xfId="0" applyNumberFormat="1" applyFont="1" applyFill="1" applyAlignment="1">
      <alignment horizontal="center"/>
    </xf>
    <xf numFmtId="0" fontId="0" fillId="8" borderId="0" xfId="0" applyFill="1"/>
    <xf numFmtId="49" fontId="0" fillId="8" borderId="0" xfId="0" applyNumberFormat="1" applyFill="1"/>
    <xf numFmtId="0" fontId="2" fillId="8" borderId="0" xfId="0" applyFont="1" applyFill="1" applyAlignment="1">
      <alignment horizontal="center"/>
    </xf>
    <xf numFmtId="9" fontId="6" fillId="8" borderId="0" xfId="1" applyFont="1" applyFill="1" applyAlignment="1">
      <alignment horizontal="center"/>
    </xf>
    <xf numFmtId="0" fontId="0" fillId="8" borderId="0" xfId="0" applyFill="1" applyAlignment="1">
      <alignment horizontal="center"/>
    </xf>
    <xf numFmtId="49" fontId="0" fillId="7" borderId="0" xfId="0" applyNumberFormat="1" applyFill="1"/>
    <xf numFmtId="49" fontId="2" fillId="3" borderId="2" xfId="0" applyNumberFormat="1" applyFont="1" applyFill="1" applyBorder="1" applyAlignment="1">
      <alignment horizontal="center" vertical="center"/>
    </xf>
    <xf numFmtId="0" fontId="0" fillId="9" borderId="0" xfId="0" applyFill="1"/>
    <xf numFmtId="1" fontId="0" fillId="9" borderId="0" xfId="0" quotePrefix="1" applyNumberFormat="1" applyFill="1"/>
    <xf numFmtId="0" fontId="0" fillId="9" borderId="0" xfId="0" applyFill="1" applyAlignment="1">
      <alignment horizontal="center"/>
    </xf>
    <xf numFmtId="0" fontId="7" fillId="4" borderId="0" xfId="0" applyFont="1" applyFill="1" applyAlignment="1">
      <alignment horizontal="center"/>
    </xf>
    <xf numFmtId="0" fontId="0" fillId="7" borderId="0" xfId="0" applyFill="1"/>
    <xf numFmtId="1" fontId="0" fillId="7" borderId="0" xfId="0" applyNumberFormat="1" applyFill="1"/>
    <xf numFmtId="0" fontId="3" fillId="3" borderId="0" xfId="0" applyFont="1" applyFill="1" applyAlignment="1">
      <alignment horizontal="center" vertical="center"/>
    </xf>
    <xf numFmtId="22" fontId="0" fillId="8" borderId="0" xfId="0" applyNumberFormat="1" applyFill="1"/>
    <xf numFmtId="49" fontId="0" fillId="9" borderId="0" xfId="0" applyNumberFormat="1" applyFill="1"/>
    <xf numFmtId="49" fontId="0" fillId="6" borderId="0" xfId="0" applyNumberFormat="1" applyFill="1"/>
    <xf numFmtId="0" fontId="0" fillId="2" borderId="0" xfId="0" applyFill="1" applyAlignment="1">
      <alignment horizontal="left" vertical="center"/>
    </xf>
    <xf numFmtId="0" fontId="9" fillId="2" borderId="0" xfId="0" applyFont="1" applyFill="1" applyAlignment="1">
      <alignment horizontal="center" vertical="center"/>
    </xf>
    <xf numFmtId="49" fontId="11" fillId="2" borderId="0" xfId="0" applyNumberFormat="1" applyFont="1" applyFill="1" applyAlignment="1">
      <alignment horizontal="center" vertical="center"/>
    </xf>
    <xf numFmtId="0" fontId="10" fillId="2" borderId="0" xfId="0" applyFont="1" applyFill="1" applyAlignment="1">
      <alignment horizontal="center"/>
    </xf>
    <xf numFmtId="0" fontId="0" fillId="10" borderId="0" xfId="0" applyFill="1"/>
    <xf numFmtId="0" fontId="0" fillId="10" borderId="0" xfId="0" applyFill="1" applyAlignment="1">
      <alignment horizontal="left" vertical="center"/>
    </xf>
    <xf numFmtId="0" fontId="9" fillId="10" borderId="0" xfId="0" applyFont="1" applyFill="1" applyAlignment="1">
      <alignment horizontal="center" vertical="center"/>
    </xf>
    <xf numFmtId="49" fontId="11" fillId="10" borderId="0" xfId="0" applyNumberFormat="1" applyFont="1" applyFill="1" applyAlignment="1">
      <alignment horizontal="center" vertical="center"/>
    </xf>
    <xf numFmtId="0" fontId="10" fillId="10" borderId="0" xfId="0" applyFont="1" applyFill="1" applyAlignment="1">
      <alignment horizontal="center"/>
    </xf>
    <xf numFmtId="0" fontId="0" fillId="11" borderId="0" xfId="0" applyFill="1"/>
    <xf numFmtId="49" fontId="1" fillId="4" borderId="0" xfId="0" applyNumberFormat="1" applyFont="1" applyFill="1" applyAlignment="1">
      <alignment horizontal="center"/>
    </xf>
    <xf numFmtId="49" fontId="0" fillId="8" borderId="0" xfId="0" applyNumberFormat="1" applyFill="1" applyAlignment="1">
      <alignment horizontal="center"/>
    </xf>
    <xf numFmtId="49" fontId="0" fillId="0" borderId="0" xfId="0" applyNumberFormat="1" applyProtection="1">
      <protection locked="0"/>
    </xf>
    <xf numFmtId="0" fontId="4" fillId="8" borderId="0" xfId="0" applyFont="1" applyFill="1" applyAlignment="1" applyProtection="1">
      <alignment horizontal="center"/>
      <protection locked="0"/>
    </xf>
    <xf numFmtId="22" fontId="0" fillId="0" borderId="0" xfId="0" applyNumberFormat="1"/>
    <xf numFmtId="49" fontId="0" fillId="2" borderId="0" xfId="0" applyNumberFormat="1" applyFill="1"/>
    <xf numFmtId="49" fontId="11" fillId="10" borderId="0" xfId="0" applyNumberFormat="1" applyFont="1" applyFill="1" applyAlignment="1">
      <alignment horizontal="center"/>
    </xf>
    <xf numFmtId="49" fontId="11" fillId="2" borderId="0" xfId="0" applyNumberFormat="1" applyFont="1" applyFill="1" applyAlignment="1">
      <alignment horizontal="center"/>
    </xf>
    <xf numFmtId="49" fontId="0" fillId="10" borderId="0" xfId="0" applyNumberFormat="1" applyFill="1"/>
  </cellXfs>
  <cellStyles count="2">
    <cellStyle name="Normal" xfId="0" builtinId="0"/>
    <cellStyle name="Porcentagem" xfId="1" builtinId="5"/>
  </cellStyles>
  <dxfs count="5218"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FF00"/>
        </patternFill>
      </fill>
    </dxf>
    <dxf>
      <fill>
        <patternFill>
          <bgColor rgb="FFFFFF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FF00"/>
        </patternFill>
      </fill>
    </dxf>
    <dxf>
      <fill>
        <patternFill>
          <bgColor rgb="FFC00000"/>
        </patternFill>
      </fill>
    </dxf>
    <dxf>
      <fill>
        <patternFill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C0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908957</xdr:colOff>
          <xdr:row>2</xdr:row>
          <xdr:rowOff>97971</xdr:rowOff>
        </xdr:from>
        <xdr:to>
          <xdr:col>14</xdr:col>
          <xdr:colOff>250371</xdr:colOff>
          <xdr:row>5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pt-BR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Interromper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85B8A9-9811-4073-AC32-730EBBA19F26}">
  <sheetPr codeName="Planilha5"/>
  <dimension ref="A1:AZ3651"/>
  <sheetViews>
    <sheetView workbookViewId="0">
      <selection activeCell="M5" sqref="M5:N30"/>
    </sheetView>
  </sheetViews>
  <sheetFormatPr defaultRowHeight="14.6" x14ac:dyDescent="0.4"/>
  <cols>
    <col min="1" max="1" width="50.07421875" bestFit="1" customWidth="1"/>
    <col min="2" max="2" width="53.3046875" customWidth="1"/>
    <col min="4" max="4" width="11" bestFit="1" customWidth="1"/>
    <col min="5" max="5" width="13.07421875" bestFit="1" customWidth="1"/>
    <col min="6" max="6" width="8.3046875" bestFit="1" customWidth="1"/>
    <col min="7" max="7" width="12.69140625" bestFit="1" customWidth="1"/>
    <col min="8" max="8" width="14.3046875" bestFit="1" customWidth="1"/>
    <col min="10" max="10" width="27.3046875" style="1" bestFit="1" customWidth="1"/>
    <col min="17" max="17" width="18.84375" style="1" bestFit="1" customWidth="1"/>
    <col min="18" max="18" width="18.07421875" style="1" customWidth="1"/>
    <col min="19" max="19" width="13.53515625" bestFit="1" customWidth="1"/>
    <col min="20" max="20" width="11.3046875" bestFit="1" customWidth="1"/>
    <col min="28" max="28" width="22.84375" bestFit="1" customWidth="1"/>
    <col min="29" max="29" width="11.3046875" style="1" bestFit="1" customWidth="1"/>
    <col min="30" max="30" width="10.3046875" bestFit="1" customWidth="1"/>
    <col min="31" max="31" width="11.53515625" style="1" bestFit="1" customWidth="1"/>
    <col min="40" max="40" width="21.84375" style="1" bestFit="1" customWidth="1"/>
    <col min="44" max="44" width="9.07421875" style="1"/>
    <col min="50" max="50" width="9.07421875" style="1"/>
    <col min="51" max="51" width="15.84375" bestFit="1" customWidth="1"/>
  </cols>
  <sheetData>
    <row r="1" spans="1:52" x14ac:dyDescent="0.4">
      <c r="A1" s="23" t="str">
        <f>MENU!K6</f>
        <v>789000025270</v>
      </c>
      <c r="B1" s="22">
        <f>IFERROR(MATCH(A1,B5:B5100,0),0)</f>
        <v>0</v>
      </c>
      <c r="C1" s="22">
        <f>COUNTIF(A5:A11000,RIGHT(A1,12))</f>
        <v>0</v>
      </c>
      <c r="E1" s="23">
        <f>MENU!I9</f>
        <v>0</v>
      </c>
      <c r="F1" s="22">
        <f>COUNTIF(A5:A11000,RIGHT(E1,12))</f>
        <v>0</v>
      </c>
      <c r="H1" s="22">
        <f>COUNTIF(AE:AE,E1)</f>
        <v>0</v>
      </c>
      <c r="AY1" t="str">
        <f>MENU!I9&amp;"|"&amp;MENU!I12&amp;"|"&amp;MENU!J12&amp;"|"&amp;MENU!L12&amp;"|"&amp;MENU!M12&amp;"|"&amp;MENU!N12&amp;"|"&amp;MENU!O12&amp;"|"&amp;MENU!I13&amp;"|"&amp;MENU!J13&amp;"|"&amp;MENU!L13&amp;"|"&amp;MENU!M13&amp;"|"&amp;MENU!N13&amp;"|"&amp;MENU!O13</f>
        <v>||||||||||||</v>
      </c>
    </row>
    <row r="2" spans="1:52" x14ac:dyDescent="0.4">
      <c r="J2" s="16" t="s">
        <v>34</v>
      </c>
    </row>
    <row r="3" spans="1:52" x14ac:dyDescent="0.4">
      <c r="A3" s="22">
        <f>COUNTIF(B5:B5000,"&lt;&gt;")</f>
        <v>130</v>
      </c>
      <c r="B3" s="2" t="s">
        <v>16</v>
      </c>
      <c r="M3" t="s">
        <v>25</v>
      </c>
      <c r="N3" s="22">
        <f>COUNTIFS(M5:M2009,"&lt;&gt;")</f>
        <v>26</v>
      </c>
      <c r="Q3" s="43" t="s">
        <v>32</v>
      </c>
      <c r="AB3" s="2" t="s">
        <v>15</v>
      </c>
      <c r="AI3" t="s">
        <v>30</v>
      </c>
      <c r="AN3" s="43" t="s">
        <v>33</v>
      </c>
      <c r="AX3" s="43" t="s">
        <v>42</v>
      </c>
    </row>
    <row r="4" spans="1:52" ht="15.9" x14ac:dyDescent="0.4">
      <c r="A4" s="7" t="s">
        <v>27</v>
      </c>
      <c r="B4" s="7" t="s">
        <v>26</v>
      </c>
      <c r="C4" s="7" t="s">
        <v>2</v>
      </c>
      <c r="D4" s="7" t="s">
        <v>21</v>
      </c>
      <c r="E4" s="7" t="s">
        <v>17</v>
      </c>
      <c r="F4" s="7" t="s">
        <v>7</v>
      </c>
      <c r="G4" s="7" t="s">
        <v>18</v>
      </c>
      <c r="H4" s="7" t="s">
        <v>19</v>
      </c>
      <c r="I4" s="7" t="s">
        <v>22</v>
      </c>
      <c r="J4" s="17" t="s">
        <v>29</v>
      </c>
      <c r="M4" s="6" t="s">
        <v>2</v>
      </c>
      <c r="N4" s="6" t="s">
        <v>24</v>
      </c>
      <c r="Q4" s="8" t="s">
        <v>13</v>
      </c>
      <c r="R4" s="8" t="s">
        <v>5</v>
      </c>
      <c r="S4" s="3" t="s">
        <v>9</v>
      </c>
      <c r="T4" s="3" t="s">
        <v>14</v>
      </c>
      <c r="U4" s="24" t="s">
        <v>38</v>
      </c>
      <c r="AA4" s="22" t="str">
        <f>AB4&amp;AC4</f>
        <v>CLIENTE# PEDIDO</v>
      </c>
      <c r="AB4" s="9" t="s">
        <v>2</v>
      </c>
      <c r="AC4" s="38" t="s">
        <v>23</v>
      </c>
      <c r="AD4" s="9" t="s">
        <v>14</v>
      </c>
      <c r="AE4" s="38" t="s">
        <v>5</v>
      </c>
      <c r="AF4" s="9" t="s">
        <v>4</v>
      </c>
      <c r="AG4" s="9" t="s">
        <v>39</v>
      </c>
      <c r="AI4" s="3" t="s">
        <v>13</v>
      </c>
      <c r="AJ4" s="8" t="s">
        <v>5</v>
      </c>
      <c r="AK4" s="3" t="s">
        <v>9</v>
      </c>
      <c r="AL4" s="3" t="s">
        <v>14</v>
      </c>
      <c r="AN4" s="38" t="s">
        <v>21</v>
      </c>
      <c r="AO4" s="9" t="s">
        <v>17</v>
      </c>
      <c r="AP4" s="9" t="s">
        <v>7</v>
      </c>
      <c r="AQ4" s="9" t="s">
        <v>6</v>
      </c>
      <c r="AR4" s="38" t="s">
        <v>8</v>
      </c>
      <c r="AS4" s="9" t="s">
        <v>9</v>
      </c>
      <c r="AT4" s="9" t="s">
        <v>10</v>
      </c>
      <c r="AU4" s="9" t="s">
        <v>11</v>
      </c>
      <c r="AV4" s="9" t="s">
        <v>12</v>
      </c>
      <c r="AX4" s="38" t="s">
        <v>43</v>
      </c>
      <c r="AY4" s="9" t="s">
        <v>44</v>
      </c>
      <c r="AZ4" s="9" t="s">
        <v>45</v>
      </c>
    </row>
    <row r="5" spans="1:52" x14ac:dyDescent="0.4">
      <c r="A5" t="str">
        <f>RIGHT(B5,12)</f>
        <v>161001442500</v>
      </c>
      <c r="B5" t="s">
        <v>222</v>
      </c>
      <c r="C5" t="s">
        <v>78</v>
      </c>
      <c r="D5" t="s">
        <v>188</v>
      </c>
      <c r="E5" t="s">
        <v>189</v>
      </c>
      <c r="F5" t="s">
        <v>91</v>
      </c>
      <c r="G5" t="s">
        <v>92</v>
      </c>
      <c r="H5" t="s">
        <v>90</v>
      </c>
      <c r="I5">
        <v>1</v>
      </c>
      <c r="J5" s="1" t="s">
        <v>92</v>
      </c>
      <c r="M5" t="s">
        <v>78</v>
      </c>
      <c r="N5" t="s">
        <v>188</v>
      </c>
      <c r="Q5"/>
      <c r="R5"/>
      <c r="AA5" s="5" t="str">
        <f>AB5&amp;AC5</f>
        <v/>
      </c>
      <c r="AY5" s="42"/>
      <c r="AZ5" t="s">
        <v>46</v>
      </c>
    </row>
    <row r="6" spans="1:52" x14ac:dyDescent="0.4">
      <c r="A6" t="str">
        <f t="shared" ref="A6:A69" si="0">RIGHT(B6,12)</f>
        <v>161001442500</v>
      </c>
      <c r="B6" t="s">
        <v>222</v>
      </c>
      <c r="C6" t="s">
        <v>78</v>
      </c>
      <c r="D6" t="s">
        <v>188</v>
      </c>
      <c r="F6" t="s">
        <v>93</v>
      </c>
      <c r="G6" t="s">
        <v>94</v>
      </c>
      <c r="H6" t="s">
        <v>90</v>
      </c>
      <c r="I6">
        <v>1</v>
      </c>
      <c r="J6" s="1" t="s">
        <v>94</v>
      </c>
      <c r="M6" t="s">
        <v>78</v>
      </c>
      <c r="N6" t="s">
        <v>182</v>
      </c>
      <c r="Q6"/>
      <c r="R6"/>
      <c r="AA6" s="5" t="str">
        <f t="shared" ref="AA6:AA68" si="1">AB6&amp;AC6</f>
        <v/>
      </c>
      <c r="AY6" s="42"/>
      <c r="AZ6" t="s">
        <v>47</v>
      </c>
    </row>
    <row r="7" spans="1:52" x14ac:dyDescent="0.4">
      <c r="A7" t="str">
        <f t="shared" si="0"/>
        <v>161001442500</v>
      </c>
      <c r="B7" t="s">
        <v>222</v>
      </c>
      <c r="C7" t="s">
        <v>78</v>
      </c>
      <c r="D7" t="s">
        <v>188</v>
      </c>
      <c r="F7" t="s">
        <v>190</v>
      </c>
      <c r="G7" t="s">
        <v>191</v>
      </c>
      <c r="H7" t="s">
        <v>90</v>
      </c>
      <c r="I7">
        <v>1</v>
      </c>
      <c r="J7" s="1" t="s">
        <v>191</v>
      </c>
      <c r="M7" t="s">
        <v>78</v>
      </c>
      <c r="N7" t="s">
        <v>180</v>
      </c>
      <c r="Q7"/>
      <c r="R7"/>
      <c r="AA7" s="5" t="str">
        <f t="shared" si="1"/>
        <v/>
      </c>
      <c r="AY7" s="42"/>
      <c r="AZ7" t="s">
        <v>48</v>
      </c>
    </row>
    <row r="8" spans="1:52" x14ac:dyDescent="0.4">
      <c r="A8" t="str">
        <f t="shared" si="0"/>
        <v>151001438521</v>
      </c>
      <c r="B8" t="s">
        <v>221</v>
      </c>
      <c r="C8" t="s">
        <v>78</v>
      </c>
      <c r="D8" t="s">
        <v>182</v>
      </c>
      <c r="E8" t="s">
        <v>183</v>
      </c>
      <c r="F8" t="s">
        <v>91</v>
      </c>
      <c r="G8" t="s">
        <v>92</v>
      </c>
      <c r="H8" t="s">
        <v>83</v>
      </c>
      <c r="I8">
        <v>1</v>
      </c>
      <c r="J8" s="1" t="s">
        <v>92</v>
      </c>
      <c r="M8" t="s">
        <v>78</v>
      </c>
      <c r="N8" t="s">
        <v>178</v>
      </c>
      <c r="Q8"/>
      <c r="R8"/>
      <c r="AA8" s="5" t="str">
        <f t="shared" si="1"/>
        <v/>
      </c>
      <c r="AY8" s="42"/>
      <c r="AZ8" t="s">
        <v>49</v>
      </c>
    </row>
    <row r="9" spans="1:52" x14ac:dyDescent="0.4">
      <c r="A9" t="str">
        <f t="shared" si="0"/>
        <v>151001438521</v>
      </c>
      <c r="B9" t="s">
        <v>221</v>
      </c>
      <c r="C9" t="s">
        <v>78</v>
      </c>
      <c r="D9" t="s">
        <v>182</v>
      </c>
      <c r="F9" t="s">
        <v>93</v>
      </c>
      <c r="G9" t="s">
        <v>94</v>
      </c>
      <c r="H9" t="s">
        <v>83</v>
      </c>
      <c r="I9">
        <v>1</v>
      </c>
      <c r="J9" s="1" t="s">
        <v>94</v>
      </c>
      <c r="M9" t="s">
        <v>78</v>
      </c>
      <c r="N9" t="s">
        <v>176</v>
      </c>
      <c r="Q9"/>
      <c r="R9"/>
      <c r="AA9" s="5" t="str">
        <f t="shared" si="1"/>
        <v/>
      </c>
      <c r="AY9" s="42"/>
      <c r="AZ9" t="s">
        <v>50</v>
      </c>
    </row>
    <row r="10" spans="1:52" x14ac:dyDescent="0.4">
      <c r="A10" t="str">
        <f t="shared" si="0"/>
        <v>151001438521</v>
      </c>
      <c r="B10" t="s">
        <v>221</v>
      </c>
      <c r="C10" t="s">
        <v>78</v>
      </c>
      <c r="D10" t="s">
        <v>182</v>
      </c>
      <c r="F10" t="s">
        <v>101</v>
      </c>
      <c r="G10" t="s">
        <v>102</v>
      </c>
      <c r="H10" t="s">
        <v>83</v>
      </c>
      <c r="I10">
        <v>2</v>
      </c>
      <c r="J10" s="1" t="s">
        <v>102</v>
      </c>
      <c r="M10" t="s">
        <v>78</v>
      </c>
      <c r="N10" t="s">
        <v>174</v>
      </c>
      <c r="Q10"/>
      <c r="R10"/>
      <c r="AA10" s="5" t="str">
        <f t="shared" si="1"/>
        <v/>
      </c>
      <c r="AY10" s="42"/>
      <c r="AZ10" t="s">
        <v>51</v>
      </c>
    </row>
    <row r="11" spans="1:52" x14ac:dyDescent="0.4">
      <c r="A11" t="str">
        <f t="shared" si="0"/>
        <v>151001438521</v>
      </c>
      <c r="B11" t="s">
        <v>221</v>
      </c>
      <c r="C11" t="s">
        <v>78</v>
      </c>
      <c r="D11" t="s">
        <v>182</v>
      </c>
      <c r="F11" t="s">
        <v>107</v>
      </c>
      <c r="G11" t="s">
        <v>108</v>
      </c>
      <c r="H11" t="s">
        <v>83</v>
      </c>
      <c r="I11">
        <v>1</v>
      </c>
      <c r="J11" s="1" t="s">
        <v>108</v>
      </c>
      <c r="M11" t="s">
        <v>78</v>
      </c>
      <c r="N11" t="s">
        <v>172</v>
      </c>
      <c r="Q11"/>
      <c r="R11"/>
      <c r="AA11" s="5" t="str">
        <f t="shared" si="1"/>
        <v/>
      </c>
      <c r="AY11" s="42"/>
      <c r="AZ11" t="s">
        <v>51</v>
      </c>
    </row>
    <row r="12" spans="1:52" x14ac:dyDescent="0.4">
      <c r="A12" t="str">
        <f t="shared" si="0"/>
        <v>151001438521</v>
      </c>
      <c r="B12" t="s">
        <v>221</v>
      </c>
      <c r="C12" t="s">
        <v>78</v>
      </c>
      <c r="D12" t="s">
        <v>182</v>
      </c>
      <c r="F12" t="s">
        <v>184</v>
      </c>
      <c r="G12" t="s">
        <v>185</v>
      </c>
      <c r="H12" t="s">
        <v>83</v>
      </c>
      <c r="I12">
        <v>1</v>
      </c>
      <c r="J12" s="1" t="s">
        <v>185</v>
      </c>
      <c r="M12" t="s">
        <v>78</v>
      </c>
      <c r="N12" t="s">
        <v>168</v>
      </c>
      <c r="Q12"/>
      <c r="R12"/>
      <c r="AA12" s="5" t="str">
        <f t="shared" si="1"/>
        <v/>
      </c>
      <c r="AY12" s="42"/>
      <c r="AZ12" t="s">
        <v>52</v>
      </c>
    </row>
    <row r="13" spans="1:52" x14ac:dyDescent="0.4">
      <c r="A13" t="str">
        <f t="shared" si="0"/>
        <v>151001438521</v>
      </c>
      <c r="B13" t="s">
        <v>221</v>
      </c>
      <c r="C13" t="s">
        <v>78</v>
      </c>
      <c r="D13" t="s">
        <v>182</v>
      </c>
      <c r="F13" t="s">
        <v>186</v>
      </c>
      <c r="G13" t="s">
        <v>187</v>
      </c>
      <c r="H13" t="s">
        <v>83</v>
      </c>
      <c r="I13">
        <v>1</v>
      </c>
      <c r="J13" s="1" t="s">
        <v>187</v>
      </c>
      <c r="M13" t="s">
        <v>78</v>
      </c>
      <c r="N13" t="s">
        <v>162</v>
      </c>
      <c r="Q13"/>
      <c r="R13"/>
      <c r="AA13" s="5" t="str">
        <f t="shared" si="1"/>
        <v/>
      </c>
      <c r="AY13" s="42"/>
      <c r="AZ13" t="s">
        <v>53</v>
      </c>
    </row>
    <row r="14" spans="1:52" x14ac:dyDescent="0.4">
      <c r="A14" t="str">
        <f t="shared" si="0"/>
        <v>141001433255</v>
      </c>
      <c r="B14" t="s">
        <v>220</v>
      </c>
      <c r="C14" t="s">
        <v>78</v>
      </c>
      <c r="D14" t="s">
        <v>180</v>
      </c>
      <c r="E14" t="s">
        <v>181</v>
      </c>
      <c r="F14" t="s">
        <v>91</v>
      </c>
      <c r="G14" t="s">
        <v>92</v>
      </c>
      <c r="H14" t="s">
        <v>90</v>
      </c>
      <c r="I14">
        <v>1</v>
      </c>
      <c r="J14" s="1" t="s">
        <v>92</v>
      </c>
      <c r="M14" t="s">
        <v>78</v>
      </c>
      <c r="N14" t="s">
        <v>160</v>
      </c>
      <c r="Q14"/>
      <c r="R14"/>
      <c r="AA14" s="5" t="str">
        <f t="shared" si="1"/>
        <v/>
      </c>
      <c r="AY14" s="42"/>
    </row>
    <row r="15" spans="1:52" x14ac:dyDescent="0.4">
      <c r="A15" t="str">
        <f t="shared" si="0"/>
        <v>141001433255</v>
      </c>
      <c r="B15" t="s">
        <v>220</v>
      </c>
      <c r="C15" t="s">
        <v>78</v>
      </c>
      <c r="D15" t="s">
        <v>180</v>
      </c>
      <c r="F15" t="s">
        <v>93</v>
      </c>
      <c r="G15" t="s">
        <v>94</v>
      </c>
      <c r="H15" t="s">
        <v>90</v>
      </c>
      <c r="I15">
        <v>1</v>
      </c>
      <c r="J15" s="1" t="s">
        <v>94</v>
      </c>
      <c r="M15" t="s">
        <v>78</v>
      </c>
      <c r="N15" t="s">
        <v>156</v>
      </c>
      <c r="Q15"/>
      <c r="R15"/>
      <c r="AA15" s="5" t="str">
        <f t="shared" si="1"/>
        <v/>
      </c>
      <c r="AY15" s="42"/>
    </row>
    <row r="16" spans="1:52" x14ac:dyDescent="0.4">
      <c r="A16" t="str">
        <f t="shared" si="0"/>
        <v>141001433255</v>
      </c>
      <c r="B16" t="s">
        <v>220</v>
      </c>
      <c r="C16" t="s">
        <v>78</v>
      </c>
      <c r="D16" t="s">
        <v>180</v>
      </c>
      <c r="F16" t="s">
        <v>101</v>
      </c>
      <c r="G16" t="s">
        <v>102</v>
      </c>
      <c r="H16" t="s">
        <v>90</v>
      </c>
      <c r="I16">
        <v>1</v>
      </c>
      <c r="J16" s="1" t="s">
        <v>102</v>
      </c>
      <c r="M16" t="s">
        <v>78</v>
      </c>
      <c r="N16" t="s">
        <v>151</v>
      </c>
      <c r="Q16"/>
      <c r="R16"/>
      <c r="AA16" s="5" t="str">
        <f t="shared" si="1"/>
        <v/>
      </c>
      <c r="AY16" s="42"/>
    </row>
    <row r="17" spans="1:51" x14ac:dyDescent="0.4">
      <c r="A17" t="str">
        <f t="shared" si="0"/>
        <v>131001429412</v>
      </c>
      <c r="B17" t="s">
        <v>219</v>
      </c>
      <c r="C17" t="s">
        <v>78</v>
      </c>
      <c r="D17" t="s">
        <v>178</v>
      </c>
      <c r="E17" t="s">
        <v>179</v>
      </c>
      <c r="F17" t="s">
        <v>91</v>
      </c>
      <c r="G17" t="s">
        <v>92</v>
      </c>
      <c r="H17" t="s">
        <v>90</v>
      </c>
      <c r="I17">
        <v>1</v>
      </c>
      <c r="J17" s="1" t="s">
        <v>92</v>
      </c>
      <c r="M17" t="s">
        <v>78</v>
      </c>
      <c r="N17" t="s">
        <v>143</v>
      </c>
      <c r="Q17"/>
      <c r="R17"/>
      <c r="AA17" s="5" t="str">
        <f t="shared" si="1"/>
        <v/>
      </c>
      <c r="AY17" s="42"/>
    </row>
    <row r="18" spans="1:51" x14ac:dyDescent="0.4">
      <c r="A18" t="str">
        <f t="shared" si="0"/>
        <v>131001429412</v>
      </c>
      <c r="B18" t="s">
        <v>219</v>
      </c>
      <c r="C18" t="s">
        <v>78</v>
      </c>
      <c r="D18" t="s">
        <v>178</v>
      </c>
      <c r="F18" t="s">
        <v>93</v>
      </c>
      <c r="G18" t="s">
        <v>94</v>
      </c>
      <c r="H18" t="s">
        <v>90</v>
      </c>
      <c r="I18">
        <v>1</v>
      </c>
      <c r="J18" s="1" t="s">
        <v>94</v>
      </c>
      <c r="M18" t="s">
        <v>78</v>
      </c>
      <c r="N18" t="s">
        <v>137</v>
      </c>
      <c r="Q18"/>
      <c r="R18"/>
      <c r="AA18" s="5" t="str">
        <f t="shared" si="1"/>
        <v/>
      </c>
      <c r="AY18" s="42"/>
    </row>
    <row r="19" spans="1:51" x14ac:dyDescent="0.4">
      <c r="A19" t="str">
        <f t="shared" si="0"/>
        <v>131001429412</v>
      </c>
      <c r="B19" t="s">
        <v>219</v>
      </c>
      <c r="C19" t="s">
        <v>78</v>
      </c>
      <c r="D19" t="s">
        <v>178</v>
      </c>
      <c r="F19" t="s">
        <v>115</v>
      </c>
      <c r="G19" t="s">
        <v>116</v>
      </c>
      <c r="H19" t="s">
        <v>90</v>
      </c>
      <c r="I19">
        <v>1</v>
      </c>
      <c r="J19" s="1" t="s">
        <v>116</v>
      </c>
      <c r="M19" t="s">
        <v>78</v>
      </c>
      <c r="N19" t="s">
        <v>127</v>
      </c>
      <c r="Q19"/>
      <c r="R19"/>
      <c r="AA19" s="5" t="str">
        <f t="shared" si="1"/>
        <v/>
      </c>
      <c r="AY19" s="42"/>
    </row>
    <row r="20" spans="1:51" x14ac:dyDescent="0.4">
      <c r="A20" t="str">
        <f t="shared" si="0"/>
        <v>121001425452</v>
      </c>
      <c r="B20" t="s">
        <v>218</v>
      </c>
      <c r="C20" t="s">
        <v>78</v>
      </c>
      <c r="D20" t="s">
        <v>176</v>
      </c>
      <c r="E20" t="s">
        <v>177</v>
      </c>
      <c r="F20" t="s">
        <v>91</v>
      </c>
      <c r="G20" t="s">
        <v>92</v>
      </c>
      <c r="H20" t="s">
        <v>153</v>
      </c>
      <c r="I20">
        <v>1</v>
      </c>
      <c r="J20" s="1" t="s">
        <v>92</v>
      </c>
      <c r="M20" t="s">
        <v>78</v>
      </c>
      <c r="N20" t="s">
        <v>119</v>
      </c>
      <c r="Q20"/>
      <c r="R20"/>
      <c r="AA20" t="str">
        <f t="shared" si="1"/>
        <v/>
      </c>
      <c r="AY20" s="42"/>
    </row>
    <row r="21" spans="1:51" x14ac:dyDescent="0.4">
      <c r="A21" t="str">
        <f t="shared" si="0"/>
        <v>121001425452</v>
      </c>
      <c r="B21" t="s">
        <v>218</v>
      </c>
      <c r="C21" t="s">
        <v>78</v>
      </c>
      <c r="D21" t="s">
        <v>176</v>
      </c>
      <c r="F21" t="s">
        <v>93</v>
      </c>
      <c r="G21" t="s">
        <v>94</v>
      </c>
      <c r="H21" t="s">
        <v>153</v>
      </c>
      <c r="I21">
        <v>1</v>
      </c>
      <c r="J21" s="1" t="s">
        <v>94</v>
      </c>
      <c r="M21" t="s">
        <v>78</v>
      </c>
      <c r="N21" t="s">
        <v>111</v>
      </c>
      <c r="Q21"/>
      <c r="R21"/>
      <c r="AA21" t="str">
        <f t="shared" si="1"/>
        <v/>
      </c>
      <c r="AY21" s="42"/>
    </row>
    <row r="22" spans="1:51" x14ac:dyDescent="0.4">
      <c r="A22" t="str">
        <f t="shared" si="0"/>
        <v>121001425452</v>
      </c>
      <c r="B22" t="s">
        <v>218</v>
      </c>
      <c r="C22" t="s">
        <v>78</v>
      </c>
      <c r="D22" t="s">
        <v>176</v>
      </c>
      <c r="F22" t="s">
        <v>117</v>
      </c>
      <c r="G22" t="s">
        <v>118</v>
      </c>
      <c r="H22" t="s">
        <v>153</v>
      </c>
      <c r="I22">
        <v>1</v>
      </c>
      <c r="J22" s="1" t="s">
        <v>118</v>
      </c>
      <c r="M22" t="s">
        <v>78</v>
      </c>
      <c r="N22" t="s">
        <v>109</v>
      </c>
      <c r="Q22"/>
      <c r="R22"/>
      <c r="AA22" t="str">
        <f t="shared" si="1"/>
        <v/>
      </c>
      <c r="AY22" s="42"/>
    </row>
    <row r="23" spans="1:51" x14ac:dyDescent="0.4">
      <c r="A23" t="str">
        <f t="shared" si="0"/>
        <v>111001420674</v>
      </c>
      <c r="B23" t="s">
        <v>217</v>
      </c>
      <c r="C23" t="s">
        <v>78</v>
      </c>
      <c r="D23" t="s">
        <v>174</v>
      </c>
      <c r="E23" t="s">
        <v>175</v>
      </c>
      <c r="F23" t="s">
        <v>91</v>
      </c>
      <c r="G23" t="s">
        <v>92</v>
      </c>
      <c r="H23" t="s">
        <v>83</v>
      </c>
      <c r="I23">
        <v>1</v>
      </c>
      <c r="J23" s="1" t="s">
        <v>92</v>
      </c>
      <c r="M23" t="s">
        <v>78</v>
      </c>
      <c r="N23" t="s">
        <v>95</v>
      </c>
      <c r="Q23"/>
      <c r="R23"/>
      <c r="AA23" t="str">
        <f t="shared" si="1"/>
        <v/>
      </c>
      <c r="AY23" s="42"/>
    </row>
    <row r="24" spans="1:51" x14ac:dyDescent="0.4">
      <c r="A24" t="str">
        <f t="shared" si="0"/>
        <v>111001420674</v>
      </c>
      <c r="B24" t="s">
        <v>217</v>
      </c>
      <c r="C24" t="s">
        <v>78</v>
      </c>
      <c r="D24" t="s">
        <v>174</v>
      </c>
      <c r="F24" t="s">
        <v>93</v>
      </c>
      <c r="G24" t="s">
        <v>94</v>
      </c>
      <c r="H24" t="s">
        <v>83</v>
      </c>
      <c r="I24">
        <v>1</v>
      </c>
      <c r="J24" s="1" t="s">
        <v>94</v>
      </c>
      <c r="M24" t="s">
        <v>78</v>
      </c>
      <c r="N24" t="s">
        <v>86</v>
      </c>
      <c r="Q24"/>
      <c r="R24"/>
      <c r="AA24" t="str">
        <f t="shared" si="1"/>
        <v/>
      </c>
      <c r="AY24" s="42"/>
    </row>
    <row r="25" spans="1:51" x14ac:dyDescent="0.4">
      <c r="A25" t="str">
        <f t="shared" si="0"/>
        <v>111001420674</v>
      </c>
      <c r="B25" t="s">
        <v>217</v>
      </c>
      <c r="C25" t="s">
        <v>78</v>
      </c>
      <c r="D25" t="s">
        <v>174</v>
      </c>
      <c r="F25" t="s">
        <v>107</v>
      </c>
      <c r="G25" t="s">
        <v>108</v>
      </c>
      <c r="H25" t="s">
        <v>83</v>
      </c>
      <c r="I25">
        <v>1</v>
      </c>
      <c r="J25" s="1" t="s">
        <v>108</v>
      </c>
      <c r="M25" t="s">
        <v>78</v>
      </c>
      <c r="N25" t="s">
        <v>79</v>
      </c>
      <c r="Q25"/>
      <c r="R25"/>
      <c r="AA25" t="str">
        <f t="shared" si="1"/>
        <v/>
      </c>
      <c r="AY25" s="42"/>
    </row>
    <row r="26" spans="1:51" x14ac:dyDescent="0.4">
      <c r="A26" t="str">
        <f t="shared" si="0"/>
        <v>111001420674</v>
      </c>
      <c r="B26" t="s">
        <v>217</v>
      </c>
      <c r="C26" t="s">
        <v>78</v>
      </c>
      <c r="D26" t="s">
        <v>174</v>
      </c>
      <c r="F26" t="s">
        <v>154</v>
      </c>
      <c r="G26" t="s">
        <v>155</v>
      </c>
      <c r="H26" t="s">
        <v>83</v>
      </c>
      <c r="I26">
        <v>2</v>
      </c>
      <c r="J26" s="1" t="s">
        <v>155</v>
      </c>
      <c r="M26" t="s">
        <v>55</v>
      </c>
      <c r="N26" t="s">
        <v>74</v>
      </c>
      <c r="Q26"/>
      <c r="R26"/>
      <c r="AA26" t="str">
        <f t="shared" si="1"/>
        <v/>
      </c>
      <c r="AY26" s="42"/>
    </row>
    <row r="27" spans="1:51" x14ac:dyDescent="0.4">
      <c r="A27" t="str">
        <f t="shared" si="0"/>
        <v>101001416343</v>
      </c>
      <c r="B27" t="s">
        <v>216</v>
      </c>
      <c r="C27" t="s">
        <v>78</v>
      </c>
      <c r="D27" t="s">
        <v>172</v>
      </c>
      <c r="E27" t="s">
        <v>173</v>
      </c>
      <c r="F27" t="s">
        <v>91</v>
      </c>
      <c r="G27" t="s">
        <v>92</v>
      </c>
      <c r="H27" t="s">
        <v>90</v>
      </c>
      <c r="I27">
        <v>1</v>
      </c>
      <c r="J27" s="1" t="s">
        <v>92</v>
      </c>
      <c r="M27" t="s">
        <v>55</v>
      </c>
      <c r="N27" t="s">
        <v>65</v>
      </c>
      <c r="Q27"/>
      <c r="R27"/>
      <c r="AA27" t="str">
        <f t="shared" si="1"/>
        <v/>
      </c>
      <c r="AY27" s="42"/>
    </row>
    <row r="28" spans="1:51" x14ac:dyDescent="0.4">
      <c r="A28" t="str">
        <f t="shared" si="0"/>
        <v>101001416343</v>
      </c>
      <c r="B28" t="s">
        <v>216</v>
      </c>
      <c r="C28" t="s">
        <v>78</v>
      </c>
      <c r="D28" t="s">
        <v>172</v>
      </c>
      <c r="F28" t="s">
        <v>93</v>
      </c>
      <c r="G28" t="s">
        <v>94</v>
      </c>
      <c r="H28" t="s">
        <v>90</v>
      </c>
      <c r="I28">
        <v>1</v>
      </c>
      <c r="J28" s="1" t="s">
        <v>94</v>
      </c>
      <c r="M28" t="s">
        <v>55</v>
      </c>
      <c r="N28" t="s">
        <v>61</v>
      </c>
      <c r="Q28"/>
      <c r="R28"/>
      <c r="AA28" t="str">
        <f t="shared" si="1"/>
        <v/>
      </c>
    </row>
    <row r="29" spans="1:51" x14ac:dyDescent="0.4">
      <c r="A29" t="str">
        <f t="shared" si="0"/>
        <v>101001416343</v>
      </c>
      <c r="B29" t="s">
        <v>216</v>
      </c>
      <c r="C29" t="s">
        <v>78</v>
      </c>
      <c r="D29" t="s">
        <v>172</v>
      </c>
      <c r="F29" t="s">
        <v>117</v>
      </c>
      <c r="G29" t="s">
        <v>118</v>
      </c>
      <c r="H29" t="s">
        <v>90</v>
      </c>
      <c r="I29">
        <v>1</v>
      </c>
      <c r="J29" s="1" t="s">
        <v>118</v>
      </c>
      <c r="M29" t="s">
        <v>55</v>
      </c>
      <c r="N29" t="s">
        <v>56</v>
      </c>
      <c r="Q29"/>
      <c r="R29"/>
      <c r="AA29" t="str">
        <f t="shared" si="1"/>
        <v/>
      </c>
    </row>
    <row r="30" spans="1:51" x14ac:dyDescent="0.4">
      <c r="A30" t="str">
        <f t="shared" si="0"/>
        <v>091001412673</v>
      </c>
      <c r="B30" t="s">
        <v>215</v>
      </c>
      <c r="C30" t="s">
        <v>78</v>
      </c>
      <c r="D30" t="s">
        <v>168</v>
      </c>
      <c r="E30" t="s">
        <v>169</v>
      </c>
      <c r="F30" t="s">
        <v>91</v>
      </c>
      <c r="G30" t="s">
        <v>92</v>
      </c>
      <c r="H30" t="s">
        <v>153</v>
      </c>
      <c r="I30">
        <v>1</v>
      </c>
      <c r="J30" s="1" t="s">
        <v>92</v>
      </c>
      <c r="M30" t="s">
        <v>78</v>
      </c>
      <c r="N30" t="s">
        <v>192</v>
      </c>
      <c r="Q30"/>
      <c r="R30"/>
      <c r="AA30" t="str">
        <f t="shared" si="1"/>
        <v/>
      </c>
    </row>
    <row r="31" spans="1:51" x14ac:dyDescent="0.4">
      <c r="A31" t="str">
        <f t="shared" si="0"/>
        <v>091001412673</v>
      </c>
      <c r="B31" t="s">
        <v>215</v>
      </c>
      <c r="C31" t="s">
        <v>78</v>
      </c>
      <c r="D31" t="s">
        <v>168</v>
      </c>
      <c r="F31" t="s">
        <v>93</v>
      </c>
      <c r="G31" t="s">
        <v>94</v>
      </c>
      <c r="H31" t="s">
        <v>153</v>
      </c>
      <c r="I31">
        <v>1</v>
      </c>
      <c r="J31" s="1" t="s">
        <v>94</v>
      </c>
      <c r="Q31"/>
      <c r="R31"/>
      <c r="AA31" t="str">
        <f t="shared" si="1"/>
        <v/>
      </c>
    </row>
    <row r="32" spans="1:51" x14ac:dyDescent="0.4">
      <c r="A32" t="str">
        <f t="shared" si="0"/>
        <v>091001412673</v>
      </c>
      <c r="B32" t="s">
        <v>215</v>
      </c>
      <c r="C32" t="s">
        <v>78</v>
      </c>
      <c r="D32" t="s">
        <v>168</v>
      </c>
      <c r="F32" t="s">
        <v>170</v>
      </c>
      <c r="G32" t="s">
        <v>171</v>
      </c>
      <c r="H32" t="s">
        <v>153</v>
      </c>
      <c r="I32">
        <v>1</v>
      </c>
      <c r="J32" s="1" t="s">
        <v>171</v>
      </c>
      <c r="Q32"/>
      <c r="R32"/>
      <c r="AA32" t="str">
        <f t="shared" si="1"/>
        <v/>
      </c>
    </row>
    <row r="33" spans="1:27" x14ac:dyDescent="0.4">
      <c r="A33" t="str">
        <f t="shared" si="0"/>
        <v>081001407001</v>
      </c>
      <c r="B33" t="s">
        <v>214</v>
      </c>
      <c r="C33" t="s">
        <v>78</v>
      </c>
      <c r="D33" t="s">
        <v>162</v>
      </c>
      <c r="E33" t="s">
        <v>163</v>
      </c>
      <c r="F33" t="s">
        <v>91</v>
      </c>
      <c r="G33" t="s">
        <v>92</v>
      </c>
      <c r="H33" t="s">
        <v>83</v>
      </c>
      <c r="I33">
        <v>1</v>
      </c>
      <c r="J33" s="1" t="s">
        <v>92</v>
      </c>
      <c r="Q33"/>
      <c r="R33"/>
      <c r="AA33" t="str">
        <f t="shared" si="1"/>
        <v/>
      </c>
    </row>
    <row r="34" spans="1:27" x14ac:dyDescent="0.4">
      <c r="A34" t="str">
        <f t="shared" si="0"/>
        <v>081001407001</v>
      </c>
      <c r="B34" t="s">
        <v>214</v>
      </c>
      <c r="C34" t="s">
        <v>78</v>
      </c>
      <c r="D34" t="s">
        <v>162</v>
      </c>
      <c r="F34" t="s">
        <v>93</v>
      </c>
      <c r="G34" t="s">
        <v>94</v>
      </c>
      <c r="H34" t="s">
        <v>83</v>
      </c>
      <c r="I34">
        <v>1</v>
      </c>
      <c r="J34" s="1" t="s">
        <v>94</v>
      </c>
      <c r="Q34"/>
      <c r="R34"/>
      <c r="AA34" t="str">
        <f t="shared" si="1"/>
        <v/>
      </c>
    </row>
    <row r="35" spans="1:27" x14ac:dyDescent="0.4">
      <c r="A35" t="str">
        <f t="shared" si="0"/>
        <v>081001407001</v>
      </c>
      <c r="B35" t="s">
        <v>214</v>
      </c>
      <c r="C35" t="s">
        <v>78</v>
      </c>
      <c r="D35" t="s">
        <v>162</v>
      </c>
      <c r="F35" t="s">
        <v>105</v>
      </c>
      <c r="G35" t="s">
        <v>106</v>
      </c>
      <c r="H35" t="s">
        <v>83</v>
      </c>
      <c r="I35">
        <v>1</v>
      </c>
      <c r="J35" s="1" t="s">
        <v>106</v>
      </c>
      <c r="Q35"/>
      <c r="R35"/>
      <c r="AA35" t="str">
        <f t="shared" si="1"/>
        <v/>
      </c>
    </row>
    <row r="36" spans="1:27" x14ac:dyDescent="0.4">
      <c r="A36" t="str">
        <f t="shared" si="0"/>
        <v>081001407001</v>
      </c>
      <c r="B36" t="s">
        <v>214</v>
      </c>
      <c r="C36" t="s">
        <v>78</v>
      </c>
      <c r="D36" t="s">
        <v>162</v>
      </c>
      <c r="F36" t="s">
        <v>107</v>
      </c>
      <c r="G36" t="s">
        <v>108</v>
      </c>
      <c r="H36" t="s">
        <v>83</v>
      </c>
      <c r="I36">
        <v>1</v>
      </c>
      <c r="J36" s="1" t="s">
        <v>108</v>
      </c>
      <c r="Q36"/>
      <c r="R36"/>
      <c r="AA36" t="str">
        <f t="shared" si="1"/>
        <v/>
      </c>
    </row>
    <row r="37" spans="1:27" x14ac:dyDescent="0.4">
      <c r="A37" t="str">
        <f t="shared" si="0"/>
        <v>081001407001</v>
      </c>
      <c r="B37" t="s">
        <v>214</v>
      </c>
      <c r="C37" t="s">
        <v>78</v>
      </c>
      <c r="D37" t="s">
        <v>162</v>
      </c>
      <c r="F37" t="s">
        <v>115</v>
      </c>
      <c r="G37" t="s">
        <v>116</v>
      </c>
      <c r="H37" t="s">
        <v>83</v>
      </c>
      <c r="I37">
        <v>1</v>
      </c>
      <c r="J37" s="1" t="s">
        <v>116</v>
      </c>
      <c r="Q37"/>
      <c r="R37"/>
      <c r="AA37" t="str">
        <f t="shared" si="1"/>
        <v/>
      </c>
    </row>
    <row r="38" spans="1:27" x14ac:dyDescent="0.4">
      <c r="A38" t="str">
        <f t="shared" si="0"/>
        <v>081001407001</v>
      </c>
      <c r="B38" t="s">
        <v>214</v>
      </c>
      <c r="C38" t="s">
        <v>78</v>
      </c>
      <c r="D38" t="s">
        <v>162</v>
      </c>
      <c r="F38" t="s">
        <v>117</v>
      </c>
      <c r="G38" t="s">
        <v>118</v>
      </c>
      <c r="H38" t="s">
        <v>83</v>
      </c>
      <c r="I38">
        <v>1</v>
      </c>
      <c r="J38" s="1" t="s">
        <v>118</v>
      </c>
      <c r="Q38"/>
      <c r="R38"/>
      <c r="AA38" t="str">
        <f t="shared" si="1"/>
        <v/>
      </c>
    </row>
    <row r="39" spans="1:27" x14ac:dyDescent="0.4">
      <c r="A39" t="str">
        <f t="shared" si="0"/>
        <v>081001407001</v>
      </c>
      <c r="B39" t="s">
        <v>214</v>
      </c>
      <c r="C39" t="s">
        <v>78</v>
      </c>
      <c r="D39" t="s">
        <v>162</v>
      </c>
      <c r="F39" t="s">
        <v>145</v>
      </c>
      <c r="G39" t="s">
        <v>146</v>
      </c>
      <c r="H39" t="s">
        <v>83</v>
      </c>
      <c r="I39">
        <v>1</v>
      </c>
      <c r="J39" s="1" t="s">
        <v>146</v>
      </c>
      <c r="Q39"/>
      <c r="R39"/>
      <c r="AA39" t="str">
        <f t="shared" si="1"/>
        <v/>
      </c>
    </row>
    <row r="40" spans="1:27" x14ac:dyDescent="0.4">
      <c r="A40" t="str">
        <f t="shared" si="0"/>
        <v>081001407001</v>
      </c>
      <c r="B40" t="s">
        <v>214</v>
      </c>
      <c r="C40" t="s">
        <v>78</v>
      </c>
      <c r="D40" t="s">
        <v>162</v>
      </c>
      <c r="F40" t="s">
        <v>164</v>
      </c>
      <c r="G40" t="s">
        <v>165</v>
      </c>
      <c r="H40" t="s">
        <v>83</v>
      </c>
      <c r="I40">
        <v>1</v>
      </c>
      <c r="J40" s="1" t="s">
        <v>165</v>
      </c>
      <c r="Q40"/>
      <c r="R40"/>
      <c r="AA40" t="str">
        <f t="shared" si="1"/>
        <v/>
      </c>
    </row>
    <row r="41" spans="1:27" x14ac:dyDescent="0.4">
      <c r="A41" t="str">
        <f t="shared" si="0"/>
        <v>081001407001</v>
      </c>
      <c r="B41" t="s">
        <v>214</v>
      </c>
      <c r="C41" t="s">
        <v>78</v>
      </c>
      <c r="D41" t="s">
        <v>162</v>
      </c>
      <c r="F41" t="s">
        <v>166</v>
      </c>
      <c r="G41" t="s">
        <v>167</v>
      </c>
      <c r="H41" t="s">
        <v>83</v>
      </c>
      <c r="I41">
        <v>1</v>
      </c>
      <c r="J41" s="1" t="s">
        <v>167</v>
      </c>
      <c r="Q41"/>
      <c r="R41"/>
      <c r="AA41" t="str">
        <f t="shared" si="1"/>
        <v/>
      </c>
    </row>
    <row r="42" spans="1:27" x14ac:dyDescent="0.4">
      <c r="A42" t="str">
        <f t="shared" si="0"/>
        <v>071001400964</v>
      </c>
      <c r="B42" t="s">
        <v>213</v>
      </c>
      <c r="C42" t="s">
        <v>78</v>
      </c>
      <c r="D42" t="s">
        <v>160</v>
      </c>
      <c r="E42" t="s">
        <v>161</v>
      </c>
      <c r="F42" t="s">
        <v>91</v>
      </c>
      <c r="G42" t="s">
        <v>92</v>
      </c>
      <c r="H42" t="s">
        <v>153</v>
      </c>
      <c r="I42">
        <v>1</v>
      </c>
      <c r="J42" s="1" t="s">
        <v>92</v>
      </c>
      <c r="Q42"/>
      <c r="R42"/>
      <c r="AA42" t="str">
        <f t="shared" si="1"/>
        <v/>
      </c>
    </row>
    <row r="43" spans="1:27" x14ac:dyDescent="0.4">
      <c r="A43" t="str">
        <f t="shared" si="0"/>
        <v>071001400964</v>
      </c>
      <c r="B43" t="s">
        <v>213</v>
      </c>
      <c r="C43" t="s">
        <v>78</v>
      </c>
      <c r="D43" t="s">
        <v>160</v>
      </c>
      <c r="F43" t="s">
        <v>93</v>
      </c>
      <c r="G43" t="s">
        <v>94</v>
      </c>
      <c r="H43" t="s">
        <v>153</v>
      </c>
      <c r="I43">
        <v>1</v>
      </c>
      <c r="J43" s="1" t="s">
        <v>94</v>
      </c>
      <c r="Q43"/>
      <c r="R43"/>
      <c r="AA43" t="str">
        <f t="shared" si="1"/>
        <v/>
      </c>
    </row>
    <row r="44" spans="1:27" x14ac:dyDescent="0.4">
      <c r="A44" t="str">
        <f t="shared" si="0"/>
        <v>071001400964</v>
      </c>
      <c r="B44" t="s">
        <v>213</v>
      </c>
      <c r="C44" t="s">
        <v>78</v>
      </c>
      <c r="D44" t="s">
        <v>160</v>
      </c>
      <c r="F44" t="s">
        <v>154</v>
      </c>
      <c r="G44" t="s">
        <v>155</v>
      </c>
      <c r="H44" t="s">
        <v>153</v>
      </c>
      <c r="I44">
        <v>1</v>
      </c>
      <c r="J44" s="1" t="s">
        <v>155</v>
      </c>
      <c r="Q44"/>
      <c r="R44"/>
      <c r="AA44" t="str">
        <f t="shared" si="1"/>
        <v/>
      </c>
    </row>
    <row r="45" spans="1:27" x14ac:dyDescent="0.4">
      <c r="A45" t="str">
        <f t="shared" si="0"/>
        <v>061001394657</v>
      </c>
      <c r="B45" t="s">
        <v>212</v>
      </c>
      <c r="C45" t="s">
        <v>78</v>
      </c>
      <c r="D45" t="s">
        <v>156</v>
      </c>
      <c r="E45" t="s">
        <v>157</v>
      </c>
      <c r="F45" t="s">
        <v>91</v>
      </c>
      <c r="G45" t="s">
        <v>92</v>
      </c>
      <c r="H45" t="s">
        <v>83</v>
      </c>
      <c r="I45">
        <v>1</v>
      </c>
      <c r="J45" s="1" t="s">
        <v>92</v>
      </c>
      <c r="Q45"/>
      <c r="R45"/>
      <c r="AA45" t="str">
        <f t="shared" si="1"/>
        <v/>
      </c>
    </row>
    <row r="46" spans="1:27" x14ac:dyDescent="0.4">
      <c r="A46" t="str">
        <f t="shared" si="0"/>
        <v>061001394657</v>
      </c>
      <c r="B46" t="s">
        <v>212</v>
      </c>
      <c r="C46" t="s">
        <v>78</v>
      </c>
      <c r="D46" t="s">
        <v>156</v>
      </c>
      <c r="F46" t="s">
        <v>93</v>
      </c>
      <c r="G46" t="s">
        <v>94</v>
      </c>
      <c r="H46" t="s">
        <v>83</v>
      </c>
      <c r="I46">
        <v>1</v>
      </c>
      <c r="J46" s="1" t="s">
        <v>94</v>
      </c>
      <c r="Q46"/>
      <c r="R46"/>
      <c r="AA46" t="str">
        <f t="shared" si="1"/>
        <v/>
      </c>
    </row>
    <row r="47" spans="1:27" x14ac:dyDescent="0.4">
      <c r="A47" t="str">
        <f t="shared" si="0"/>
        <v>061001394657</v>
      </c>
      <c r="B47" t="s">
        <v>212</v>
      </c>
      <c r="C47" t="s">
        <v>78</v>
      </c>
      <c r="D47" t="s">
        <v>156</v>
      </c>
      <c r="F47" t="s">
        <v>125</v>
      </c>
      <c r="G47" t="s">
        <v>126</v>
      </c>
      <c r="H47" t="s">
        <v>83</v>
      </c>
      <c r="I47">
        <v>1</v>
      </c>
      <c r="J47" s="1" t="s">
        <v>126</v>
      </c>
      <c r="Q47"/>
      <c r="R47"/>
      <c r="AA47" t="str">
        <f t="shared" si="1"/>
        <v/>
      </c>
    </row>
    <row r="48" spans="1:27" x14ac:dyDescent="0.4">
      <c r="A48" t="str">
        <f t="shared" si="0"/>
        <v>061001394657</v>
      </c>
      <c r="B48" t="s">
        <v>212</v>
      </c>
      <c r="C48" t="s">
        <v>78</v>
      </c>
      <c r="D48" t="s">
        <v>156</v>
      </c>
      <c r="F48" t="s">
        <v>158</v>
      </c>
      <c r="G48" t="s">
        <v>159</v>
      </c>
      <c r="H48" t="s">
        <v>83</v>
      </c>
      <c r="I48">
        <v>1</v>
      </c>
      <c r="J48" s="1" t="s">
        <v>159</v>
      </c>
      <c r="Q48"/>
      <c r="R48"/>
      <c r="AA48" t="str">
        <f t="shared" si="1"/>
        <v/>
      </c>
    </row>
    <row r="49" spans="1:27" x14ac:dyDescent="0.4">
      <c r="A49" t="str">
        <f t="shared" si="0"/>
        <v>051001388579</v>
      </c>
      <c r="B49" t="s">
        <v>211</v>
      </c>
      <c r="C49" t="s">
        <v>78</v>
      </c>
      <c r="D49" t="s">
        <v>151</v>
      </c>
      <c r="E49" t="s">
        <v>152</v>
      </c>
      <c r="F49" t="s">
        <v>91</v>
      </c>
      <c r="G49" t="s">
        <v>92</v>
      </c>
      <c r="H49" t="s">
        <v>153</v>
      </c>
      <c r="I49">
        <v>1</v>
      </c>
      <c r="J49" s="1" t="s">
        <v>92</v>
      </c>
      <c r="Q49"/>
      <c r="R49"/>
      <c r="AA49" t="str">
        <f t="shared" si="1"/>
        <v/>
      </c>
    </row>
    <row r="50" spans="1:27" x14ac:dyDescent="0.4">
      <c r="A50" t="str">
        <f t="shared" si="0"/>
        <v>051001388579</v>
      </c>
      <c r="B50" t="s">
        <v>211</v>
      </c>
      <c r="C50" t="s">
        <v>78</v>
      </c>
      <c r="D50" t="s">
        <v>151</v>
      </c>
      <c r="F50" t="s">
        <v>93</v>
      </c>
      <c r="G50" t="s">
        <v>94</v>
      </c>
      <c r="H50" t="s">
        <v>153</v>
      </c>
      <c r="I50">
        <v>1</v>
      </c>
      <c r="J50" s="1" t="s">
        <v>94</v>
      </c>
      <c r="Q50"/>
      <c r="R50"/>
      <c r="AA50" t="str">
        <f t="shared" si="1"/>
        <v/>
      </c>
    </row>
    <row r="51" spans="1:27" x14ac:dyDescent="0.4">
      <c r="A51" t="str">
        <f t="shared" si="0"/>
        <v>051001388579</v>
      </c>
      <c r="B51" t="s">
        <v>211</v>
      </c>
      <c r="C51" t="s">
        <v>78</v>
      </c>
      <c r="D51" t="s">
        <v>151</v>
      </c>
      <c r="F51" t="s">
        <v>154</v>
      </c>
      <c r="G51" t="s">
        <v>155</v>
      </c>
      <c r="H51" t="s">
        <v>153</v>
      </c>
      <c r="I51">
        <v>1</v>
      </c>
      <c r="J51" s="1" t="s">
        <v>155</v>
      </c>
      <c r="Q51"/>
      <c r="R51"/>
      <c r="AA51" t="str">
        <f t="shared" si="1"/>
        <v/>
      </c>
    </row>
    <row r="52" spans="1:27" x14ac:dyDescent="0.4">
      <c r="A52" t="str">
        <f t="shared" si="0"/>
        <v>041001381836</v>
      </c>
      <c r="B52" t="s">
        <v>210</v>
      </c>
      <c r="C52" t="s">
        <v>78</v>
      </c>
      <c r="D52" t="s">
        <v>143</v>
      </c>
      <c r="E52" t="s">
        <v>144</v>
      </c>
      <c r="F52" t="s">
        <v>91</v>
      </c>
      <c r="G52" t="s">
        <v>92</v>
      </c>
      <c r="H52" t="s">
        <v>83</v>
      </c>
      <c r="I52">
        <v>1</v>
      </c>
      <c r="J52" s="1" t="s">
        <v>92</v>
      </c>
      <c r="Q52"/>
      <c r="R52"/>
      <c r="AA52" t="str">
        <f t="shared" si="1"/>
        <v/>
      </c>
    </row>
    <row r="53" spans="1:27" x14ac:dyDescent="0.4">
      <c r="A53" t="str">
        <f t="shared" si="0"/>
        <v>041001381836</v>
      </c>
      <c r="B53" t="s">
        <v>210</v>
      </c>
      <c r="C53" t="s">
        <v>78</v>
      </c>
      <c r="D53" t="s">
        <v>143</v>
      </c>
      <c r="F53" t="s">
        <v>93</v>
      </c>
      <c r="G53" t="s">
        <v>94</v>
      </c>
      <c r="H53" t="s">
        <v>83</v>
      </c>
      <c r="I53">
        <v>1</v>
      </c>
      <c r="J53" s="1" t="s">
        <v>94</v>
      </c>
      <c r="Q53"/>
      <c r="R53"/>
      <c r="AA53" t="str">
        <f t="shared" si="1"/>
        <v/>
      </c>
    </row>
    <row r="54" spans="1:27" x14ac:dyDescent="0.4">
      <c r="A54" t="str">
        <f t="shared" si="0"/>
        <v>041001381836</v>
      </c>
      <c r="B54" t="s">
        <v>210</v>
      </c>
      <c r="C54" t="s">
        <v>78</v>
      </c>
      <c r="D54" t="s">
        <v>143</v>
      </c>
      <c r="F54" t="s">
        <v>105</v>
      </c>
      <c r="G54" t="s">
        <v>106</v>
      </c>
      <c r="H54" t="s">
        <v>83</v>
      </c>
      <c r="I54">
        <v>1</v>
      </c>
      <c r="J54" s="1" t="s">
        <v>106</v>
      </c>
      <c r="Q54"/>
      <c r="R54"/>
      <c r="AA54" t="str">
        <f t="shared" si="1"/>
        <v/>
      </c>
    </row>
    <row r="55" spans="1:27" x14ac:dyDescent="0.4">
      <c r="A55" t="str">
        <f t="shared" si="0"/>
        <v>041001381836</v>
      </c>
      <c r="B55" t="s">
        <v>210</v>
      </c>
      <c r="C55" t="s">
        <v>78</v>
      </c>
      <c r="D55" t="s">
        <v>143</v>
      </c>
      <c r="F55" t="s">
        <v>107</v>
      </c>
      <c r="G55" t="s">
        <v>108</v>
      </c>
      <c r="H55" t="s">
        <v>83</v>
      </c>
      <c r="I55">
        <v>1</v>
      </c>
      <c r="J55" s="1" t="s">
        <v>108</v>
      </c>
      <c r="Q55"/>
      <c r="R55"/>
      <c r="AA55" t="str">
        <f t="shared" si="1"/>
        <v/>
      </c>
    </row>
    <row r="56" spans="1:27" x14ac:dyDescent="0.4">
      <c r="A56" t="str">
        <f t="shared" si="0"/>
        <v>041001381836</v>
      </c>
      <c r="B56" t="s">
        <v>210</v>
      </c>
      <c r="C56" t="s">
        <v>78</v>
      </c>
      <c r="D56" t="s">
        <v>143</v>
      </c>
      <c r="F56" t="s">
        <v>145</v>
      </c>
      <c r="G56" t="s">
        <v>146</v>
      </c>
      <c r="H56" t="s">
        <v>83</v>
      </c>
      <c r="I56">
        <v>1</v>
      </c>
      <c r="J56" s="1" t="s">
        <v>146</v>
      </c>
      <c r="Q56"/>
      <c r="R56"/>
      <c r="AA56" t="str">
        <f t="shared" si="1"/>
        <v/>
      </c>
    </row>
    <row r="57" spans="1:27" x14ac:dyDescent="0.4">
      <c r="A57" t="str">
        <f t="shared" si="0"/>
        <v>041001381836</v>
      </c>
      <c r="B57" t="s">
        <v>210</v>
      </c>
      <c r="C57" t="s">
        <v>78</v>
      </c>
      <c r="D57" t="s">
        <v>143</v>
      </c>
      <c r="F57" t="s">
        <v>147</v>
      </c>
      <c r="G57" t="s">
        <v>148</v>
      </c>
      <c r="H57" t="s">
        <v>83</v>
      </c>
      <c r="I57">
        <v>1</v>
      </c>
      <c r="J57" s="1" t="s">
        <v>148</v>
      </c>
      <c r="Q57"/>
      <c r="R57"/>
      <c r="AA57" t="str">
        <f t="shared" si="1"/>
        <v/>
      </c>
    </row>
    <row r="58" spans="1:27" x14ac:dyDescent="0.4">
      <c r="A58" t="str">
        <f t="shared" si="0"/>
        <v>041001381836</v>
      </c>
      <c r="B58" t="s">
        <v>210</v>
      </c>
      <c r="C58" t="s">
        <v>78</v>
      </c>
      <c r="D58" t="s">
        <v>143</v>
      </c>
      <c r="F58" t="s">
        <v>149</v>
      </c>
      <c r="G58" t="s">
        <v>150</v>
      </c>
      <c r="H58" t="s">
        <v>83</v>
      </c>
      <c r="I58">
        <v>1</v>
      </c>
      <c r="J58" s="1" t="s">
        <v>150</v>
      </c>
      <c r="Q58"/>
      <c r="R58"/>
      <c r="AA58" t="str">
        <f t="shared" si="1"/>
        <v/>
      </c>
    </row>
    <row r="59" spans="1:27" x14ac:dyDescent="0.4">
      <c r="A59" t="str">
        <f t="shared" si="0"/>
        <v>031001375367</v>
      </c>
      <c r="B59" t="s">
        <v>209</v>
      </c>
      <c r="C59" t="s">
        <v>78</v>
      </c>
      <c r="D59" t="s">
        <v>137</v>
      </c>
      <c r="E59" t="s">
        <v>138</v>
      </c>
      <c r="F59" t="s">
        <v>91</v>
      </c>
      <c r="G59" t="s">
        <v>92</v>
      </c>
      <c r="H59" t="s">
        <v>83</v>
      </c>
      <c r="I59">
        <v>1</v>
      </c>
      <c r="J59" s="1" t="s">
        <v>92</v>
      </c>
      <c r="Q59"/>
      <c r="R59"/>
      <c r="AA59" t="str">
        <f t="shared" si="1"/>
        <v/>
      </c>
    </row>
    <row r="60" spans="1:27" x14ac:dyDescent="0.4">
      <c r="A60" t="str">
        <f t="shared" si="0"/>
        <v>031001375367</v>
      </c>
      <c r="B60" t="s">
        <v>209</v>
      </c>
      <c r="C60" t="s">
        <v>78</v>
      </c>
      <c r="D60" t="s">
        <v>137</v>
      </c>
      <c r="F60" t="s">
        <v>93</v>
      </c>
      <c r="G60" t="s">
        <v>94</v>
      </c>
      <c r="H60" t="s">
        <v>83</v>
      </c>
      <c r="I60">
        <v>1</v>
      </c>
      <c r="J60" s="1" t="s">
        <v>94</v>
      </c>
      <c r="Q60"/>
      <c r="R60"/>
      <c r="AA60" t="str">
        <f t="shared" si="1"/>
        <v/>
      </c>
    </row>
    <row r="61" spans="1:27" x14ac:dyDescent="0.4">
      <c r="A61" t="str">
        <f t="shared" si="0"/>
        <v>031001375367</v>
      </c>
      <c r="B61" t="s">
        <v>209</v>
      </c>
      <c r="C61" t="s">
        <v>78</v>
      </c>
      <c r="D61" t="s">
        <v>137</v>
      </c>
      <c r="F61" t="s">
        <v>107</v>
      </c>
      <c r="G61" t="s">
        <v>108</v>
      </c>
      <c r="H61" t="s">
        <v>83</v>
      </c>
      <c r="I61">
        <v>1</v>
      </c>
      <c r="J61" s="1" t="s">
        <v>108</v>
      </c>
      <c r="Q61"/>
      <c r="R61"/>
      <c r="AA61" t="str">
        <f t="shared" si="1"/>
        <v/>
      </c>
    </row>
    <row r="62" spans="1:27" x14ac:dyDescent="0.4">
      <c r="A62" t="str">
        <f t="shared" si="0"/>
        <v>031001375367</v>
      </c>
      <c r="B62" t="s">
        <v>209</v>
      </c>
      <c r="C62" t="s">
        <v>78</v>
      </c>
      <c r="D62" t="s">
        <v>137</v>
      </c>
      <c r="F62" t="s">
        <v>117</v>
      </c>
      <c r="G62" t="s">
        <v>118</v>
      </c>
      <c r="H62" t="s">
        <v>83</v>
      </c>
      <c r="I62">
        <v>1</v>
      </c>
      <c r="J62" s="1" t="s">
        <v>118</v>
      </c>
      <c r="Q62"/>
      <c r="R62"/>
      <c r="AA62" t="str">
        <f t="shared" si="1"/>
        <v/>
      </c>
    </row>
    <row r="63" spans="1:27" x14ac:dyDescent="0.4">
      <c r="A63" t="str">
        <f t="shared" si="0"/>
        <v>031001375367</v>
      </c>
      <c r="B63" t="s">
        <v>209</v>
      </c>
      <c r="C63" t="s">
        <v>78</v>
      </c>
      <c r="D63" t="s">
        <v>137</v>
      </c>
      <c r="F63" t="s">
        <v>139</v>
      </c>
      <c r="G63" t="s">
        <v>140</v>
      </c>
      <c r="H63" t="s">
        <v>83</v>
      </c>
      <c r="I63">
        <v>1</v>
      </c>
      <c r="J63" s="1" t="s">
        <v>140</v>
      </c>
      <c r="Q63"/>
      <c r="R63"/>
      <c r="AA63" t="str">
        <f t="shared" si="1"/>
        <v/>
      </c>
    </row>
    <row r="64" spans="1:27" x14ac:dyDescent="0.4">
      <c r="A64" t="str">
        <f t="shared" si="0"/>
        <v>031001375367</v>
      </c>
      <c r="B64" t="s">
        <v>209</v>
      </c>
      <c r="C64" t="s">
        <v>78</v>
      </c>
      <c r="D64" t="s">
        <v>137</v>
      </c>
      <c r="F64" t="s">
        <v>141</v>
      </c>
      <c r="G64" t="s">
        <v>142</v>
      </c>
      <c r="H64" t="s">
        <v>83</v>
      </c>
      <c r="I64">
        <v>1</v>
      </c>
      <c r="J64" s="1" t="s">
        <v>142</v>
      </c>
      <c r="Q64"/>
      <c r="R64"/>
      <c r="AA64" t="str">
        <f t="shared" si="1"/>
        <v/>
      </c>
    </row>
    <row r="65" spans="1:27" x14ac:dyDescent="0.4">
      <c r="A65" t="str">
        <f t="shared" si="0"/>
        <v>021001368304</v>
      </c>
      <c r="B65" t="s">
        <v>208</v>
      </c>
      <c r="C65" t="s">
        <v>78</v>
      </c>
      <c r="D65" t="s">
        <v>127</v>
      </c>
      <c r="E65" t="s">
        <v>128</v>
      </c>
      <c r="F65" t="s">
        <v>91</v>
      </c>
      <c r="G65" t="s">
        <v>92</v>
      </c>
      <c r="H65" t="s">
        <v>90</v>
      </c>
      <c r="I65">
        <v>1</v>
      </c>
      <c r="J65" s="1" t="s">
        <v>92</v>
      </c>
      <c r="Q65"/>
      <c r="R65"/>
      <c r="AA65" t="str">
        <f t="shared" si="1"/>
        <v/>
      </c>
    </row>
    <row r="66" spans="1:27" x14ac:dyDescent="0.4">
      <c r="A66" t="str">
        <f t="shared" si="0"/>
        <v>021001368304</v>
      </c>
      <c r="B66" t="s">
        <v>208</v>
      </c>
      <c r="C66" t="s">
        <v>78</v>
      </c>
      <c r="D66" t="s">
        <v>127</v>
      </c>
      <c r="F66" t="s">
        <v>93</v>
      </c>
      <c r="G66" t="s">
        <v>94</v>
      </c>
      <c r="H66" t="s">
        <v>90</v>
      </c>
      <c r="I66">
        <v>1</v>
      </c>
      <c r="J66" s="1" t="s">
        <v>94</v>
      </c>
      <c r="Q66"/>
      <c r="R66"/>
      <c r="AA66" t="str">
        <f t="shared" si="1"/>
        <v/>
      </c>
    </row>
    <row r="67" spans="1:27" x14ac:dyDescent="0.4">
      <c r="A67" t="str">
        <f t="shared" si="0"/>
        <v>021001368304</v>
      </c>
      <c r="B67" t="s">
        <v>208</v>
      </c>
      <c r="C67" t="s">
        <v>78</v>
      </c>
      <c r="D67" t="s">
        <v>127</v>
      </c>
      <c r="F67" t="s">
        <v>107</v>
      </c>
      <c r="G67" t="s">
        <v>108</v>
      </c>
      <c r="H67" t="s">
        <v>90</v>
      </c>
      <c r="I67">
        <v>1</v>
      </c>
      <c r="J67" s="1" t="s">
        <v>108</v>
      </c>
      <c r="Q67"/>
      <c r="R67"/>
      <c r="AA67" t="str">
        <f t="shared" si="1"/>
        <v/>
      </c>
    </row>
    <row r="68" spans="1:27" x14ac:dyDescent="0.4">
      <c r="A68" t="str">
        <f t="shared" si="0"/>
        <v>021001368304</v>
      </c>
      <c r="B68" t="s">
        <v>208</v>
      </c>
      <c r="C68" t="s">
        <v>78</v>
      </c>
      <c r="D68" t="s">
        <v>127</v>
      </c>
      <c r="F68" t="s">
        <v>129</v>
      </c>
      <c r="G68" t="s">
        <v>130</v>
      </c>
      <c r="H68" t="s">
        <v>90</v>
      </c>
      <c r="I68">
        <v>1</v>
      </c>
      <c r="J68" s="1" t="s">
        <v>130</v>
      </c>
      <c r="Q68"/>
      <c r="R68"/>
      <c r="AA68" t="str">
        <f t="shared" si="1"/>
        <v/>
      </c>
    </row>
    <row r="69" spans="1:27" x14ac:dyDescent="0.4">
      <c r="A69" t="str">
        <f t="shared" si="0"/>
        <v>021001368304</v>
      </c>
      <c r="B69" t="s">
        <v>208</v>
      </c>
      <c r="C69" t="s">
        <v>78</v>
      </c>
      <c r="D69" t="s">
        <v>127</v>
      </c>
      <c r="F69" t="s">
        <v>131</v>
      </c>
      <c r="G69" t="s">
        <v>132</v>
      </c>
      <c r="H69" t="s">
        <v>90</v>
      </c>
      <c r="I69">
        <v>1</v>
      </c>
      <c r="J69" s="1" t="s">
        <v>132</v>
      </c>
      <c r="Q69"/>
      <c r="R69"/>
      <c r="AA69" t="str">
        <f t="shared" ref="AA69:AA132" si="2">AB69&amp;AC69</f>
        <v/>
      </c>
    </row>
    <row r="70" spans="1:27" x14ac:dyDescent="0.4">
      <c r="A70" t="str">
        <f t="shared" ref="A70:A133" si="3">RIGHT(B70,12)</f>
        <v>021001368304</v>
      </c>
      <c r="B70" t="s">
        <v>208</v>
      </c>
      <c r="C70" t="s">
        <v>78</v>
      </c>
      <c r="D70" t="s">
        <v>127</v>
      </c>
      <c r="F70" t="s">
        <v>133</v>
      </c>
      <c r="G70" t="s">
        <v>134</v>
      </c>
      <c r="H70" t="s">
        <v>90</v>
      </c>
      <c r="I70">
        <v>1</v>
      </c>
      <c r="J70" s="1" t="s">
        <v>134</v>
      </c>
      <c r="Q70"/>
      <c r="R70"/>
      <c r="AA70" t="str">
        <f t="shared" si="2"/>
        <v/>
      </c>
    </row>
    <row r="71" spans="1:27" x14ac:dyDescent="0.4">
      <c r="A71" t="str">
        <f t="shared" si="3"/>
        <v>021001368304</v>
      </c>
      <c r="B71" t="s">
        <v>208</v>
      </c>
      <c r="C71" t="s">
        <v>78</v>
      </c>
      <c r="D71" t="s">
        <v>127</v>
      </c>
      <c r="F71" t="s">
        <v>135</v>
      </c>
      <c r="G71" t="s">
        <v>136</v>
      </c>
      <c r="H71" t="s">
        <v>90</v>
      </c>
      <c r="I71">
        <v>1</v>
      </c>
      <c r="J71" s="1" t="s">
        <v>136</v>
      </c>
      <c r="Q71"/>
      <c r="R71"/>
      <c r="AA71" t="str">
        <f t="shared" si="2"/>
        <v/>
      </c>
    </row>
    <row r="72" spans="1:27" x14ac:dyDescent="0.4">
      <c r="A72" t="str">
        <f t="shared" si="3"/>
        <v>011001360756</v>
      </c>
      <c r="B72" t="s">
        <v>207</v>
      </c>
      <c r="C72" t="s">
        <v>78</v>
      </c>
      <c r="D72" t="s">
        <v>119</v>
      </c>
      <c r="E72" t="s">
        <v>120</v>
      </c>
      <c r="F72" t="s">
        <v>91</v>
      </c>
      <c r="G72" t="s">
        <v>92</v>
      </c>
      <c r="H72" t="s">
        <v>83</v>
      </c>
      <c r="I72">
        <v>1</v>
      </c>
      <c r="J72" s="1" t="s">
        <v>92</v>
      </c>
      <c r="Q72"/>
      <c r="R72"/>
      <c r="AA72" t="str">
        <f t="shared" si="2"/>
        <v/>
      </c>
    </row>
    <row r="73" spans="1:27" x14ac:dyDescent="0.4">
      <c r="A73" t="str">
        <f t="shared" si="3"/>
        <v>011001360756</v>
      </c>
      <c r="B73" t="s">
        <v>207</v>
      </c>
      <c r="C73" t="s">
        <v>78</v>
      </c>
      <c r="D73" t="s">
        <v>119</v>
      </c>
      <c r="F73" t="s">
        <v>93</v>
      </c>
      <c r="G73" t="s">
        <v>94</v>
      </c>
      <c r="H73" t="s">
        <v>83</v>
      </c>
      <c r="I73">
        <v>1</v>
      </c>
      <c r="J73" s="1" t="s">
        <v>94</v>
      </c>
      <c r="Q73"/>
      <c r="R73"/>
      <c r="AA73" t="str">
        <f t="shared" si="2"/>
        <v/>
      </c>
    </row>
    <row r="74" spans="1:27" x14ac:dyDescent="0.4">
      <c r="A74" t="str">
        <f t="shared" si="3"/>
        <v>011001360756</v>
      </c>
      <c r="B74" t="s">
        <v>207</v>
      </c>
      <c r="C74" t="s">
        <v>78</v>
      </c>
      <c r="D74" t="s">
        <v>119</v>
      </c>
      <c r="F74" t="s">
        <v>97</v>
      </c>
      <c r="G74" t="s">
        <v>98</v>
      </c>
      <c r="H74" t="s">
        <v>83</v>
      </c>
      <c r="I74">
        <v>1</v>
      </c>
      <c r="J74" s="1" t="s">
        <v>98</v>
      </c>
      <c r="Q74"/>
      <c r="R74"/>
      <c r="AA74" t="str">
        <f t="shared" si="2"/>
        <v/>
      </c>
    </row>
    <row r="75" spans="1:27" x14ac:dyDescent="0.4">
      <c r="A75" t="str">
        <f t="shared" si="3"/>
        <v>011001360756</v>
      </c>
      <c r="B75" t="s">
        <v>207</v>
      </c>
      <c r="C75" t="s">
        <v>78</v>
      </c>
      <c r="D75" t="s">
        <v>119</v>
      </c>
      <c r="F75" t="s">
        <v>107</v>
      </c>
      <c r="G75" t="s">
        <v>108</v>
      </c>
      <c r="H75" t="s">
        <v>83</v>
      </c>
      <c r="I75">
        <v>1</v>
      </c>
      <c r="J75" s="1" t="s">
        <v>108</v>
      </c>
      <c r="Q75"/>
      <c r="R75"/>
      <c r="AA75" t="str">
        <f t="shared" si="2"/>
        <v/>
      </c>
    </row>
    <row r="76" spans="1:27" x14ac:dyDescent="0.4">
      <c r="A76" t="str">
        <f t="shared" si="3"/>
        <v>011001360756</v>
      </c>
      <c r="B76" t="s">
        <v>207</v>
      </c>
      <c r="C76" t="s">
        <v>78</v>
      </c>
      <c r="D76" t="s">
        <v>119</v>
      </c>
      <c r="F76" t="s">
        <v>121</v>
      </c>
      <c r="G76" t="s">
        <v>122</v>
      </c>
      <c r="H76" t="s">
        <v>83</v>
      </c>
      <c r="I76">
        <v>1</v>
      </c>
      <c r="J76" s="1" t="s">
        <v>122</v>
      </c>
      <c r="Q76"/>
      <c r="R76"/>
      <c r="AA76" t="str">
        <f t="shared" si="2"/>
        <v/>
      </c>
    </row>
    <row r="77" spans="1:27" x14ac:dyDescent="0.4">
      <c r="A77" t="str">
        <f t="shared" si="3"/>
        <v>011001360756</v>
      </c>
      <c r="B77" t="s">
        <v>207</v>
      </c>
      <c r="C77" t="s">
        <v>78</v>
      </c>
      <c r="D77" t="s">
        <v>119</v>
      </c>
      <c r="F77" t="s">
        <v>123</v>
      </c>
      <c r="G77" t="s">
        <v>124</v>
      </c>
      <c r="H77" t="s">
        <v>83</v>
      </c>
      <c r="I77">
        <v>1</v>
      </c>
      <c r="J77" s="1" t="s">
        <v>124</v>
      </c>
      <c r="Q77"/>
      <c r="R77"/>
      <c r="AA77" t="str">
        <f t="shared" si="2"/>
        <v/>
      </c>
    </row>
    <row r="78" spans="1:27" x14ac:dyDescent="0.4">
      <c r="A78" t="str">
        <f t="shared" si="3"/>
        <v>011001360756</v>
      </c>
      <c r="B78" t="s">
        <v>207</v>
      </c>
      <c r="C78" t="s">
        <v>78</v>
      </c>
      <c r="D78" t="s">
        <v>119</v>
      </c>
      <c r="F78" t="s">
        <v>125</v>
      </c>
      <c r="G78" t="s">
        <v>126</v>
      </c>
      <c r="H78" t="s">
        <v>83</v>
      </c>
      <c r="I78">
        <v>1</v>
      </c>
      <c r="J78" s="1" t="s">
        <v>126</v>
      </c>
      <c r="Q78"/>
      <c r="R78"/>
      <c r="AA78" t="str">
        <f t="shared" si="2"/>
        <v/>
      </c>
    </row>
    <row r="79" spans="1:27" x14ac:dyDescent="0.4">
      <c r="A79" t="str">
        <f t="shared" si="3"/>
        <v>001001353396</v>
      </c>
      <c r="B79" t="s">
        <v>206</v>
      </c>
      <c r="C79" t="s">
        <v>78</v>
      </c>
      <c r="D79" t="s">
        <v>111</v>
      </c>
      <c r="E79" t="s">
        <v>112</v>
      </c>
      <c r="F79" t="s">
        <v>91</v>
      </c>
      <c r="G79" t="s">
        <v>92</v>
      </c>
      <c r="H79" t="s">
        <v>83</v>
      </c>
      <c r="I79">
        <v>1</v>
      </c>
      <c r="J79" s="1" t="s">
        <v>92</v>
      </c>
      <c r="Q79"/>
      <c r="R79"/>
      <c r="AA79" t="str">
        <f t="shared" si="2"/>
        <v/>
      </c>
    </row>
    <row r="80" spans="1:27" x14ac:dyDescent="0.4">
      <c r="A80" t="str">
        <f t="shared" si="3"/>
        <v>001001353396</v>
      </c>
      <c r="B80" t="s">
        <v>206</v>
      </c>
      <c r="C80" t="s">
        <v>78</v>
      </c>
      <c r="D80" t="s">
        <v>111</v>
      </c>
      <c r="F80" t="s">
        <v>93</v>
      </c>
      <c r="G80" t="s">
        <v>94</v>
      </c>
      <c r="H80" t="s">
        <v>83</v>
      </c>
      <c r="I80">
        <v>1</v>
      </c>
      <c r="J80" s="1" t="s">
        <v>94</v>
      </c>
      <c r="Q80"/>
      <c r="R80"/>
      <c r="AA80" t="str">
        <f t="shared" si="2"/>
        <v/>
      </c>
    </row>
    <row r="81" spans="1:27" x14ac:dyDescent="0.4">
      <c r="A81" t="str">
        <f t="shared" si="3"/>
        <v>001001353396</v>
      </c>
      <c r="B81" t="s">
        <v>206</v>
      </c>
      <c r="C81" t="s">
        <v>78</v>
      </c>
      <c r="D81" t="s">
        <v>111</v>
      </c>
      <c r="F81" t="s">
        <v>107</v>
      </c>
      <c r="G81" t="s">
        <v>108</v>
      </c>
      <c r="H81" t="s">
        <v>83</v>
      </c>
      <c r="I81">
        <v>1</v>
      </c>
      <c r="J81" s="1" t="s">
        <v>108</v>
      </c>
      <c r="Q81"/>
      <c r="R81"/>
      <c r="AA81" t="str">
        <f t="shared" si="2"/>
        <v/>
      </c>
    </row>
    <row r="82" spans="1:27" x14ac:dyDescent="0.4">
      <c r="A82" t="str">
        <f t="shared" si="3"/>
        <v>001001353396</v>
      </c>
      <c r="B82" t="s">
        <v>206</v>
      </c>
      <c r="C82" t="s">
        <v>78</v>
      </c>
      <c r="D82" t="s">
        <v>111</v>
      </c>
      <c r="F82" t="s">
        <v>113</v>
      </c>
      <c r="G82" t="s">
        <v>114</v>
      </c>
      <c r="H82" t="s">
        <v>83</v>
      </c>
      <c r="I82">
        <v>1</v>
      </c>
      <c r="J82" s="1" t="s">
        <v>114</v>
      </c>
      <c r="Q82"/>
      <c r="R82"/>
      <c r="AA82" t="str">
        <f t="shared" si="2"/>
        <v/>
      </c>
    </row>
    <row r="83" spans="1:27" x14ac:dyDescent="0.4">
      <c r="A83" t="str">
        <f t="shared" si="3"/>
        <v>001001353396</v>
      </c>
      <c r="B83" t="s">
        <v>206</v>
      </c>
      <c r="C83" t="s">
        <v>78</v>
      </c>
      <c r="D83" t="s">
        <v>111</v>
      </c>
      <c r="F83" t="s">
        <v>115</v>
      </c>
      <c r="G83" t="s">
        <v>116</v>
      </c>
      <c r="H83" t="s">
        <v>83</v>
      </c>
      <c r="I83">
        <v>1</v>
      </c>
      <c r="J83" s="1" t="s">
        <v>116</v>
      </c>
      <c r="Q83"/>
      <c r="R83"/>
      <c r="AA83" t="str">
        <f t="shared" si="2"/>
        <v/>
      </c>
    </row>
    <row r="84" spans="1:27" x14ac:dyDescent="0.4">
      <c r="A84" t="str">
        <f t="shared" si="3"/>
        <v>001001353396</v>
      </c>
      <c r="B84" t="s">
        <v>206</v>
      </c>
      <c r="C84" t="s">
        <v>78</v>
      </c>
      <c r="D84" t="s">
        <v>111</v>
      </c>
      <c r="F84" t="s">
        <v>117</v>
      </c>
      <c r="G84" t="s">
        <v>118</v>
      </c>
      <c r="H84" t="s">
        <v>83</v>
      </c>
      <c r="I84">
        <v>1</v>
      </c>
      <c r="J84" s="1" t="s">
        <v>118</v>
      </c>
      <c r="Q84"/>
      <c r="R84"/>
      <c r="AA84" t="str">
        <f t="shared" si="2"/>
        <v/>
      </c>
    </row>
    <row r="85" spans="1:27" x14ac:dyDescent="0.4">
      <c r="A85" t="str">
        <f t="shared" si="3"/>
        <v>991001346788</v>
      </c>
      <c r="B85" t="s">
        <v>205</v>
      </c>
      <c r="C85" t="s">
        <v>78</v>
      </c>
      <c r="D85" t="s">
        <v>109</v>
      </c>
      <c r="E85" t="s">
        <v>110</v>
      </c>
      <c r="F85" t="s">
        <v>91</v>
      </c>
      <c r="G85" t="s">
        <v>92</v>
      </c>
      <c r="H85" t="s">
        <v>90</v>
      </c>
      <c r="I85">
        <v>1</v>
      </c>
      <c r="J85" s="1" t="s">
        <v>92</v>
      </c>
      <c r="Q85"/>
      <c r="R85"/>
      <c r="AA85" t="str">
        <f t="shared" si="2"/>
        <v/>
      </c>
    </row>
    <row r="86" spans="1:27" x14ac:dyDescent="0.4">
      <c r="A86" t="str">
        <f t="shared" si="3"/>
        <v>991001346788</v>
      </c>
      <c r="B86" t="s">
        <v>205</v>
      </c>
      <c r="C86" t="s">
        <v>78</v>
      </c>
      <c r="D86" t="s">
        <v>109</v>
      </c>
      <c r="F86" t="s">
        <v>93</v>
      </c>
      <c r="G86" t="s">
        <v>94</v>
      </c>
      <c r="H86" t="s">
        <v>90</v>
      </c>
      <c r="I86">
        <v>1</v>
      </c>
      <c r="J86" s="1" t="s">
        <v>94</v>
      </c>
      <c r="Q86"/>
      <c r="R86"/>
      <c r="AA86" t="str">
        <f t="shared" si="2"/>
        <v/>
      </c>
    </row>
    <row r="87" spans="1:27" x14ac:dyDescent="0.4">
      <c r="A87" t="str">
        <f t="shared" si="3"/>
        <v>991001346788</v>
      </c>
      <c r="B87" t="s">
        <v>205</v>
      </c>
      <c r="C87" t="s">
        <v>78</v>
      </c>
      <c r="D87" t="s">
        <v>109</v>
      </c>
      <c r="F87" t="s">
        <v>99</v>
      </c>
      <c r="G87" t="s">
        <v>100</v>
      </c>
      <c r="H87" t="s">
        <v>90</v>
      </c>
      <c r="I87">
        <v>1</v>
      </c>
      <c r="J87" s="1" t="s">
        <v>100</v>
      </c>
      <c r="Q87"/>
      <c r="R87"/>
      <c r="AA87" t="str">
        <f t="shared" si="2"/>
        <v/>
      </c>
    </row>
    <row r="88" spans="1:27" x14ac:dyDescent="0.4">
      <c r="A88" t="str">
        <f t="shared" si="3"/>
        <v>981001341754</v>
      </c>
      <c r="B88" t="s">
        <v>204</v>
      </c>
      <c r="C88" t="s">
        <v>78</v>
      </c>
      <c r="D88" t="s">
        <v>95</v>
      </c>
      <c r="E88" t="s">
        <v>96</v>
      </c>
      <c r="F88" t="s">
        <v>91</v>
      </c>
      <c r="G88" t="s">
        <v>92</v>
      </c>
      <c r="H88" t="s">
        <v>83</v>
      </c>
      <c r="I88">
        <v>1</v>
      </c>
      <c r="J88" s="1" t="s">
        <v>92</v>
      </c>
      <c r="Q88"/>
      <c r="R88"/>
      <c r="AA88" t="str">
        <f t="shared" si="2"/>
        <v/>
      </c>
    </row>
    <row r="89" spans="1:27" x14ac:dyDescent="0.4">
      <c r="A89" t="str">
        <f t="shared" si="3"/>
        <v>981001341754</v>
      </c>
      <c r="B89" t="s">
        <v>204</v>
      </c>
      <c r="C89" t="s">
        <v>78</v>
      </c>
      <c r="D89" t="s">
        <v>95</v>
      </c>
      <c r="F89" t="s">
        <v>93</v>
      </c>
      <c r="G89" t="s">
        <v>94</v>
      </c>
      <c r="H89" t="s">
        <v>83</v>
      </c>
      <c r="I89">
        <v>1</v>
      </c>
      <c r="J89" s="1" t="s">
        <v>94</v>
      </c>
      <c r="Q89"/>
      <c r="R89"/>
      <c r="AA89" t="str">
        <f t="shared" si="2"/>
        <v/>
      </c>
    </row>
    <row r="90" spans="1:27" x14ac:dyDescent="0.4">
      <c r="A90" t="str">
        <f t="shared" si="3"/>
        <v>981001341754</v>
      </c>
      <c r="B90" t="s">
        <v>204</v>
      </c>
      <c r="C90" t="s">
        <v>78</v>
      </c>
      <c r="D90" t="s">
        <v>95</v>
      </c>
      <c r="F90" t="s">
        <v>97</v>
      </c>
      <c r="G90" t="s">
        <v>98</v>
      </c>
      <c r="H90" t="s">
        <v>83</v>
      </c>
      <c r="I90">
        <v>1</v>
      </c>
      <c r="J90" s="1" t="s">
        <v>98</v>
      </c>
      <c r="Q90"/>
      <c r="R90"/>
      <c r="AA90" t="str">
        <f t="shared" si="2"/>
        <v/>
      </c>
    </row>
    <row r="91" spans="1:27" x14ac:dyDescent="0.4">
      <c r="A91" t="str">
        <f t="shared" si="3"/>
        <v>981001341754</v>
      </c>
      <c r="B91" t="s">
        <v>204</v>
      </c>
      <c r="C91" t="s">
        <v>78</v>
      </c>
      <c r="D91" t="s">
        <v>95</v>
      </c>
      <c r="F91" t="s">
        <v>99</v>
      </c>
      <c r="G91" t="s">
        <v>100</v>
      </c>
      <c r="H91" t="s">
        <v>83</v>
      </c>
      <c r="I91">
        <v>1</v>
      </c>
      <c r="J91" s="1" t="s">
        <v>100</v>
      </c>
      <c r="Q91"/>
      <c r="R91"/>
      <c r="AA91" t="str">
        <f t="shared" si="2"/>
        <v/>
      </c>
    </row>
    <row r="92" spans="1:27" x14ac:dyDescent="0.4">
      <c r="A92" t="str">
        <f t="shared" si="3"/>
        <v>981001341754</v>
      </c>
      <c r="B92" t="s">
        <v>204</v>
      </c>
      <c r="C92" t="s">
        <v>78</v>
      </c>
      <c r="D92" t="s">
        <v>95</v>
      </c>
      <c r="F92" t="s">
        <v>101</v>
      </c>
      <c r="G92" t="s">
        <v>102</v>
      </c>
      <c r="H92" t="s">
        <v>83</v>
      </c>
      <c r="I92">
        <v>1</v>
      </c>
      <c r="J92" s="1" t="s">
        <v>102</v>
      </c>
      <c r="Q92"/>
      <c r="R92"/>
      <c r="AA92" t="str">
        <f t="shared" si="2"/>
        <v/>
      </c>
    </row>
    <row r="93" spans="1:27" x14ac:dyDescent="0.4">
      <c r="A93" t="str">
        <f t="shared" si="3"/>
        <v>981001341754</v>
      </c>
      <c r="B93" t="s">
        <v>204</v>
      </c>
      <c r="C93" t="s">
        <v>78</v>
      </c>
      <c r="D93" t="s">
        <v>95</v>
      </c>
      <c r="F93" t="s">
        <v>103</v>
      </c>
      <c r="G93" t="s">
        <v>104</v>
      </c>
      <c r="H93" t="s">
        <v>83</v>
      </c>
      <c r="I93">
        <v>1</v>
      </c>
      <c r="J93" s="1" t="s">
        <v>104</v>
      </c>
      <c r="Q93"/>
      <c r="R93"/>
      <c r="AA93" t="str">
        <f t="shared" si="2"/>
        <v/>
      </c>
    </row>
    <row r="94" spans="1:27" x14ac:dyDescent="0.4">
      <c r="A94" t="str">
        <f t="shared" si="3"/>
        <v>981001341754</v>
      </c>
      <c r="B94" t="s">
        <v>204</v>
      </c>
      <c r="C94" t="s">
        <v>78</v>
      </c>
      <c r="D94" t="s">
        <v>95</v>
      </c>
      <c r="F94" t="s">
        <v>105</v>
      </c>
      <c r="G94" t="s">
        <v>106</v>
      </c>
      <c r="H94" t="s">
        <v>83</v>
      </c>
      <c r="I94">
        <v>1</v>
      </c>
      <c r="J94" s="1" t="s">
        <v>106</v>
      </c>
      <c r="Q94"/>
      <c r="R94"/>
      <c r="AA94" t="str">
        <f t="shared" si="2"/>
        <v/>
      </c>
    </row>
    <row r="95" spans="1:27" x14ac:dyDescent="0.4">
      <c r="A95" t="str">
        <f t="shared" si="3"/>
        <v>981001341754</v>
      </c>
      <c r="B95" t="s">
        <v>204</v>
      </c>
      <c r="C95" t="s">
        <v>78</v>
      </c>
      <c r="D95" t="s">
        <v>95</v>
      </c>
      <c r="F95" t="s">
        <v>107</v>
      </c>
      <c r="G95" t="s">
        <v>108</v>
      </c>
      <c r="H95" t="s">
        <v>83</v>
      </c>
      <c r="I95">
        <v>1</v>
      </c>
      <c r="J95" s="1" t="s">
        <v>108</v>
      </c>
      <c r="Q95"/>
      <c r="R95"/>
      <c r="AA95" t="str">
        <f t="shared" si="2"/>
        <v/>
      </c>
    </row>
    <row r="96" spans="1:27" x14ac:dyDescent="0.4">
      <c r="A96" t="str">
        <f t="shared" si="3"/>
        <v>971937714479</v>
      </c>
      <c r="B96" t="s">
        <v>203</v>
      </c>
      <c r="C96" t="s">
        <v>78</v>
      </c>
      <c r="D96" t="s">
        <v>86</v>
      </c>
      <c r="E96" t="s">
        <v>87</v>
      </c>
      <c r="F96" t="s">
        <v>88</v>
      </c>
      <c r="G96" t="s">
        <v>89</v>
      </c>
      <c r="H96" t="s">
        <v>90</v>
      </c>
      <c r="I96">
        <v>1</v>
      </c>
      <c r="J96" s="1" t="s">
        <v>89</v>
      </c>
      <c r="Q96"/>
      <c r="R96"/>
      <c r="AA96" t="str">
        <f t="shared" si="2"/>
        <v/>
      </c>
    </row>
    <row r="97" spans="1:27" x14ac:dyDescent="0.4">
      <c r="A97" t="str">
        <f t="shared" si="3"/>
        <v>971937714479</v>
      </c>
      <c r="B97" t="s">
        <v>203</v>
      </c>
      <c r="C97" t="s">
        <v>78</v>
      </c>
      <c r="D97" t="s">
        <v>86</v>
      </c>
      <c r="F97" t="s">
        <v>91</v>
      </c>
      <c r="G97" t="s">
        <v>92</v>
      </c>
      <c r="H97" t="s">
        <v>90</v>
      </c>
      <c r="I97">
        <v>1</v>
      </c>
      <c r="J97" s="1" t="s">
        <v>92</v>
      </c>
      <c r="Q97"/>
      <c r="R97"/>
      <c r="AA97" t="str">
        <f t="shared" si="2"/>
        <v/>
      </c>
    </row>
    <row r="98" spans="1:27" x14ac:dyDescent="0.4">
      <c r="A98" t="str">
        <f t="shared" si="3"/>
        <v>971937714479</v>
      </c>
      <c r="B98" t="s">
        <v>203</v>
      </c>
      <c r="C98" t="s">
        <v>78</v>
      </c>
      <c r="D98" t="s">
        <v>86</v>
      </c>
      <c r="F98" t="s">
        <v>93</v>
      </c>
      <c r="G98" t="s">
        <v>94</v>
      </c>
      <c r="H98" t="s">
        <v>90</v>
      </c>
      <c r="I98">
        <v>1</v>
      </c>
      <c r="J98" s="1" t="s">
        <v>94</v>
      </c>
      <c r="Q98"/>
      <c r="R98"/>
      <c r="AA98" t="str">
        <f t="shared" si="2"/>
        <v/>
      </c>
    </row>
    <row r="99" spans="1:27" x14ac:dyDescent="0.4">
      <c r="A99" t="str">
        <f t="shared" si="3"/>
        <v>961934940497</v>
      </c>
      <c r="B99" t="s">
        <v>202</v>
      </c>
      <c r="C99" t="s">
        <v>78</v>
      </c>
      <c r="D99" t="s">
        <v>79</v>
      </c>
      <c r="E99" t="s">
        <v>80</v>
      </c>
      <c r="F99" t="s">
        <v>81</v>
      </c>
      <c r="G99" t="s">
        <v>82</v>
      </c>
      <c r="H99" t="s">
        <v>83</v>
      </c>
      <c r="I99">
        <v>1</v>
      </c>
      <c r="J99" s="1" t="s">
        <v>82</v>
      </c>
      <c r="Q99"/>
      <c r="R99"/>
      <c r="AA99" t="str">
        <f t="shared" si="2"/>
        <v/>
      </c>
    </row>
    <row r="100" spans="1:27" x14ac:dyDescent="0.4">
      <c r="A100" t="str">
        <f t="shared" si="3"/>
        <v>961934940497</v>
      </c>
      <c r="B100" t="s">
        <v>202</v>
      </c>
      <c r="C100" t="s">
        <v>78</v>
      </c>
      <c r="D100" t="s">
        <v>79</v>
      </c>
      <c r="F100" t="s">
        <v>84</v>
      </c>
      <c r="G100" t="s">
        <v>85</v>
      </c>
      <c r="H100" t="s">
        <v>83</v>
      </c>
      <c r="I100">
        <v>1</v>
      </c>
      <c r="J100" s="1" t="s">
        <v>85</v>
      </c>
      <c r="Q100"/>
      <c r="R100"/>
      <c r="AA100" t="str">
        <f t="shared" si="2"/>
        <v/>
      </c>
    </row>
    <row r="101" spans="1:27" x14ac:dyDescent="0.4">
      <c r="A101" t="str">
        <f t="shared" si="3"/>
        <v>751003034254</v>
      </c>
      <c r="B101" t="s">
        <v>201</v>
      </c>
      <c r="C101" t="s">
        <v>55</v>
      </c>
      <c r="D101" t="s">
        <v>74</v>
      </c>
      <c r="E101" t="s">
        <v>75</v>
      </c>
      <c r="F101" t="s">
        <v>76</v>
      </c>
      <c r="G101" t="s">
        <v>77</v>
      </c>
      <c r="H101" t="s">
        <v>69</v>
      </c>
      <c r="I101">
        <v>1</v>
      </c>
      <c r="J101" s="1" t="s">
        <v>77</v>
      </c>
      <c r="Q101"/>
      <c r="R101"/>
      <c r="AA101" t="str">
        <f t="shared" si="2"/>
        <v/>
      </c>
    </row>
    <row r="102" spans="1:27" x14ac:dyDescent="0.4">
      <c r="A102" t="str">
        <f t="shared" si="3"/>
        <v>741002705441</v>
      </c>
      <c r="B102" t="s">
        <v>200</v>
      </c>
      <c r="C102" t="s">
        <v>55</v>
      </c>
      <c r="D102" t="s">
        <v>65</v>
      </c>
      <c r="E102" t="s">
        <v>66</v>
      </c>
      <c r="F102" t="s">
        <v>67</v>
      </c>
      <c r="G102" t="s">
        <v>68</v>
      </c>
      <c r="H102" t="s">
        <v>69</v>
      </c>
      <c r="I102">
        <v>1</v>
      </c>
      <c r="J102" s="1" t="s">
        <v>68</v>
      </c>
      <c r="Q102"/>
      <c r="R102"/>
      <c r="AA102" t="str">
        <f t="shared" si="2"/>
        <v/>
      </c>
    </row>
    <row r="103" spans="1:27" x14ac:dyDescent="0.4">
      <c r="A103" t="str">
        <f t="shared" si="3"/>
        <v>741002705441</v>
      </c>
      <c r="B103" t="s">
        <v>200</v>
      </c>
      <c r="C103" t="s">
        <v>55</v>
      </c>
      <c r="D103" t="s">
        <v>65</v>
      </c>
      <c r="F103" t="s">
        <v>70</v>
      </c>
      <c r="G103" t="s">
        <v>71</v>
      </c>
      <c r="H103" t="s">
        <v>69</v>
      </c>
      <c r="I103">
        <v>1</v>
      </c>
      <c r="J103" s="1" t="s">
        <v>71</v>
      </c>
      <c r="Q103"/>
      <c r="R103"/>
      <c r="AA103" t="str">
        <f t="shared" si="2"/>
        <v/>
      </c>
    </row>
    <row r="104" spans="1:27" x14ac:dyDescent="0.4">
      <c r="A104" t="str">
        <f t="shared" si="3"/>
        <v>741002705441</v>
      </c>
      <c r="B104" t="s">
        <v>200</v>
      </c>
      <c r="C104" t="s">
        <v>55</v>
      </c>
      <c r="D104" t="s">
        <v>65</v>
      </c>
      <c r="F104" t="s">
        <v>72</v>
      </c>
      <c r="G104" t="s">
        <v>73</v>
      </c>
      <c r="H104" t="s">
        <v>69</v>
      </c>
      <c r="I104">
        <v>1</v>
      </c>
      <c r="J104" s="1" t="s">
        <v>73</v>
      </c>
      <c r="Q104"/>
      <c r="R104"/>
      <c r="AA104" t="str">
        <f t="shared" si="2"/>
        <v/>
      </c>
    </row>
    <row r="105" spans="1:27" x14ac:dyDescent="0.4">
      <c r="A105" t="str">
        <f t="shared" si="3"/>
        <v>731943776237</v>
      </c>
      <c r="B105" t="s">
        <v>199</v>
      </c>
      <c r="C105" t="s">
        <v>55</v>
      </c>
      <c r="D105" t="s">
        <v>61</v>
      </c>
      <c r="E105" t="s">
        <v>62</v>
      </c>
      <c r="F105" t="s">
        <v>63</v>
      </c>
      <c r="G105" t="s">
        <v>64</v>
      </c>
      <c r="H105" t="s">
        <v>60</v>
      </c>
      <c r="I105">
        <v>1</v>
      </c>
      <c r="J105" s="1" t="s">
        <v>64</v>
      </c>
      <c r="Q105"/>
      <c r="R105"/>
      <c r="AA105" t="str">
        <f t="shared" si="2"/>
        <v/>
      </c>
    </row>
    <row r="106" spans="1:27" x14ac:dyDescent="0.4">
      <c r="A106" t="str">
        <f t="shared" si="3"/>
        <v>721943108598</v>
      </c>
      <c r="B106" t="s">
        <v>198</v>
      </c>
      <c r="C106" t="s">
        <v>55</v>
      </c>
      <c r="D106" t="s">
        <v>56</v>
      </c>
      <c r="E106" t="s">
        <v>57</v>
      </c>
      <c r="F106" t="s">
        <v>58</v>
      </c>
      <c r="G106" t="s">
        <v>59</v>
      </c>
      <c r="H106" t="s">
        <v>60</v>
      </c>
      <c r="I106">
        <v>1</v>
      </c>
      <c r="J106" s="1" t="s">
        <v>59</v>
      </c>
      <c r="Q106"/>
      <c r="R106"/>
      <c r="AA106" t="str">
        <f t="shared" si="2"/>
        <v/>
      </c>
    </row>
    <row r="107" spans="1:27" x14ac:dyDescent="0.4">
      <c r="A107" t="str">
        <f t="shared" si="3"/>
        <v>541929453430</v>
      </c>
      <c r="B107" t="s">
        <v>223</v>
      </c>
      <c r="C107" t="s">
        <v>78</v>
      </c>
      <c r="D107" t="s">
        <v>192</v>
      </c>
      <c r="E107" t="s">
        <v>193</v>
      </c>
      <c r="F107" t="s">
        <v>194</v>
      </c>
      <c r="G107" t="s">
        <v>195</v>
      </c>
      <c r="H107" t="s">
        <v>83</v>
      </c>
      <c r="I107">
        <v>1</v>
      </c>
      <c r="J107" s="1" t="s">
        <v>195</v>
      </c>
      <c r="Q107"/>
      <c r="R107"/>
      <c r="AA107" t="str">
        <f t="shared" si="2"/>
        <v/>
      </c>
    </row>
    <row r="108" spans="1:27" x14ac:dyDescent="0.4">
      <c r="A108" t="str">
        <f t="shared" si="3"/>
        <v>541929453430</v>
      </c>
      <c r="B108" t="s">
        <v>223</v>
      </c>
      <c r="C108" t="s">
        <v>78</v>
      </c>
      <c r="D108" t="s">
        <v>192</v>
      </c>
      <c r="F108" t="s">
        <v>196</v>
      </c>
      <c r="G108" t="s">
        <v>197</v>
      </c>
      <c r="H108" t="s">
        <v>83</v>
      </c>
      <c r="I108">
        <v>1</v>
      </c>
      <c r="J108" s="1" t="s">
        <v>197</v>
      </c>
      <c r="Q108"/>
      <c r="R108"/>
      <c r="AA108" t="str">
        <f t="shared" si="2"/>
        <v/>
      </c>
    </row>
    <row r="109" spans="1:27" x14ac:dyDescent="0.4">
      <c r="A109" t="str">
        <f t="shared" si="3"/>
        <v/>
      </c>
      <c r="B109" t="s">
        <v>54</v>
      </c>
      <c r="J109" s="1" t="s">
        <v>54</v>
      </c>
      <c r="Q109"/>
      <c r="R109"/>
      <c r="AA109" t="str">
        <f t="shared" si="2"/>
        <v/>
      </c>
    </row>
    <row r="110" spans="1:27" x14ac:dyDescent="0.4">
      <c r="A110" t="str">
        <f t="shared" si="3"/>
        <v/>
      </c>
      <c r="B110" t="s">
        <v>54</v>
      </c>
      <c r="J110" s="1" t="s">
        <v>54</v>
      </c>
      <c r="Q110"/>
      <c r="R110"/>
      <c r="AA110" t="str">
        <f t="shared" si="2"/>
        <v/>
      </c>
    </row>
    <row r="111" spans="1:27" x14ac:dyDescent="0.4">
      <c r="A111" t="str">
        <f t="shared" si="3"/>
        <v/>
      </c>
      <c r="B111" t="s">
        <v>54</v>
      </c>
      <c r="J111" s="1" t="s">
        <v>54</v>
      </c>
      <c r="Q111"/>
      <c r="R111"/>
      <c r="AA111" t="str">
        <f t="shared" si="2"/>
        <v/>
      </c>
    </row>
    <row r="112" spans="1:27" x14ac:dyDescent="0.4">
      <c r="A112" t="str">
        <f t="shared" si="3"/>
        <v/>
      </c>
      <c r="B112" t="s">
        <v>54</v>
      </c>
      <c r="J112" s="1" t="s">
        <v>54</v>
      </c>
      <c r="Q112"/>
      <c r="R112"/>
      <c r="AA112" t="str">
        <f t="shared" si="2"/>
        <v/>
      </c>
    </row>
    <row r="113" spans="1:27" x14ac:dyDescent="0.4">
      <c r="A113" t="str">
        <f t="shared" si="3"/>
        <v/>
      </c>
      <c r="B113" t="s">
        <v>54</v>
      </c>
      <c r="J113" s="1" t="s">
        <v>54</v>
      </c>
      <c r="Q113"/>
      <c r="R113"/>
      <c r="AA113" t="str">
        <f t="shared" si="2"/>
        <v/>
      </c>
    </row>
    <row r="114" spans="1:27" x14ac:dyDescent="0.4">
      <c r="A114" t="str">
        <f t="shared" si="3"/>
        <v/>
      </c>
      <c r="B114" t="s">
        <v>54</v>
      </c>
      <c r="J114" s="1" t="s">
        <v>54</v>
      </c>
      <c r="Q114"/>
      <c r="R114"/>
      <c r="AA114" t="str">
        <f t="shared" si="2"/>
        <v/>
      </c>
    </row>
    <row r="115" spans="1:27" x14ac:dyDescent="0.4">
      <c r="A115" t="str">
        <f t="shared" si="3"/>
        <v/>
      </c>
      <c r="B115" t="s">
        <v>54</v>
      </c>
      <c r="J115" s="1" t="s">
        <v>54</v>
      </c>
      <c r="Q115"/>
      <c r="R115"/>
      <c r="AA115" t="str">
        <f t="shared" si="2"/>
        <v/>
      </c>
    </row>
    <row r="116" spans="1:27" x14ac:dyDescent="0.4">
      <c r="A116" t="str">
        <f t="shared" si="3"/>
        <v/>
      </c>
      <c r="B116" t="s">
        <v>54</v>
      </c>
      <c r="J116" s="1" t="s">
        <v>54</v>
      </c>
      <c r="Q116"/>
      <c r="R116"/>
      <c r="AA116" t="str">
        <f t="shared" si="2"/>
        <v/>
      </c>
    </row>
    <row r="117" spans="1:27" x14ac:dyDescent="0.4">
      <c r="A117" t="str">
        <f t="shared" si="3"/>
        <v/>
      </c>
      <c r="B117" t="s">
        <v>54</v>
      </c>
      <c r="J117" s="1" t="s">
        <v>54</v>
      </c>
      <c r="Q117"/>
      <c r="R117"/>
      <c r="AA117" t="str">
        <f t="shared" si="2"/>
        <v/>
      </c>
    </row>
    <row r="118" spans="1:27" x14ac:dyDescent="0.4">
      <c r="A118" t="str">
        <f t="shared" si="3"/>
        <v/>
      </c>
      <c r="B118" t="s">
        <v>54</v>
      </c>
      <c r="J118" s="1" t="s">
        <v>54</v>
      </c>
      <c r="Q118"/>
      <c r="R118"/>
      <c r="AA118" t="str">
        <f t="shared" si="2"/>
        <v/>
      </c>
    </row>
    <row r="119" spans="1:27" x14ac:dyDescent="0.4">
      <c r="A119" t="str">
        <f t="shared" si="3"/>
        <v/>
      </c>
      <c r="B119" t="s">
        <v>54</v>
      </c>
      <c r="J119" s="1" t="s">
        <v>54</v>
      </c>
      <c r="Q119"/>
      <c r="R119"/>
      <c r="AA119" t="str">
        <f t="shared" si="2"/>
        <v/>
      </c>
    </row>
    <row r="120" spans="1:27" x14ac:dyDescent="0.4">
      <c r="A120" t="str">
        <f t="shared" si="3"/>
        <v/>
      </c>
      <c r="B120" t="s">
        <v>54</v>
      </c>
      <c r="J120" s="1" t="s">
        <v>54</v>
      </c>
      <c r="Q120"/>
      <c r="R120"/>
      <c r="AA120" t="str">
        <f t="shared" si="2"/>
        <v/>
      </c>
    </row>
    <row r="121" spans="1:27" x14ac:dyDescent="0.4">
      <c r="A121" t="str">
        <f t="shared" si="3"/>
        <v/>
      </c>
      <c r="B121" t="s">
        <v>54</v>
      </c>
      <c r="J121" s="1" t="s">
        <v>54</v>
      </c>
      <c r="Q121"/>
      <c r="R121"/>
      <c r="AA121" t="str">
        <f t="shared" si="2"/>
        <v/>
      </c>
    </row>
    <row r="122" spans="1:27" x14ac:dyDescent="0.4">
      <c r="A122" t="str">
        <f t="shared" si="3"/>
        <v/>
      </c>
      <c r="B122" t="s">
        <v>54</v>
      </c>
      <c r="J122" s="1" t="s">
        <v>54</v>
      </c>
      <c r="Q122"/>
      <c r="R122"/>
      <c r="AA122" t="str">
        <f t="shared" si="2"/>
        <v/>
      </c>
    </row>
    <row r="123" spans="1:27" x14ac:dyDescent="0.4">
      <c r="A123" t="str">
        <f t="shared" si="3"/>
        <v/>
      </c>
      <c r="B123" t="s">
        <v>54</v>
      </c>
      <c r="J123" s="1" t="s">
        <v>54</v>
      </c>
      <c r="Q123"/>
      <c r="R123"/>
      <c r="AA123" t="str">
        <f t="shared" si="2"/>
        <v/>
      </c>
    </row>
    <row r="124" spans="1:27" x14ac:dyDescent="0.4">
      <c r="A124" t="str">
        <f t="shared" si="3"/>
        <v/>
      </c>
      <c r="B124" t="s">
        <v>54</v>
      </c>
      <c r="J124" s="1" t="s">
        <v>54</v>
      </c>
      <c r="Q124"/>
      <c r="R124"/>
      <c r="AA124" t="str">
        <f t="shared" si="2"/>
        <v/>
      </c>
    </row>
    <row r="125" spans="1:27" x14ac:dyDescent="0.4">
      <c r="A125" t="str">
        <f t="shared" si="3"/>
        <v/>
      </c>
      <c r="B125" t="s">
        <v>54</v>
      </c>
      <c r="J125" s="1" t="s">
        <v>54</v>
      </c>
      <c r="Q125"/>
      <c r="R125"/>
      <c r="AA125" t="str">
        <f t="shared" si="2"/>
        <v/>
      </c>
    </row>
    <row r="126" spans="1:27" x14ac:dyDescent="0.4">
      <c r="A126" t="str">
        <f t="shared" si="3"/>
        <v/>
      </c>
      <c r="B126" t="s">
        <v>54</v>
      </c>
      <c r="J126" s="1" t="s">
        <v>54</v>
      </c>
      <c r="Q126"/>
      <c r="R126"/>
      <c r="AA126" t="str">
        <f t="shared" si="2"/>
        <v/>
      </c>
    </row>
    <row r="127" spans="1:27" x14ac:dyDescent="0.4">
      <c r="A127" t="str">
        <f t="shared" si="3"/>
        <v/>
      </c>
      <c r="B127" t="s">
        <v>54</v>
      </c>
      <c r="J127" s="1" t="s">
        <v>54</v>
      </c>
      <c r="Q127"/>
      <c r="R127"/>
      <c r="AA127" t="str">
        <f t="shared" si="2"/>
        <v/>
      </c>
    </row>
    <row r="128" spans="1:27" x14ac:dyDescent="0.4">
      <c r="A128" t="str">
        <f t="shared" si="3"/>
        <v/>
      </c>
      <c r="B128" t="s">
        <v>54</v>
      </c>
      <c r="J128" s="1" t="s">
        <v>54</v>
      </c>
      <c r="Q128"/>
      <c r="R128"/>
      <c r="AA128" t="str">
        <f t="shared" si="2"/>
        <v/>
      </c>
    </row>
    <row r="129" spans="1:27" x14ac:dyDescent="0.4">
      <c r="A129" t="str">
        <f t="shared" si="3"/>
        <v/>
      </c>
      <c r="B129" t="s">
        <v>54</v>
      </c>
      <c r="J129" s="1" t="s">
        <v>54</v>
      </c>
      <c r="Q129"/>
      <c r="R129"/>
      <c r="AA129" t="str">
        <f t="shared" si="2"/>
        <v/>
      </c>
    </row>
    <row r="130" spans="1:27" x14ac:dyDescent="0.4">
      <c r="A130" t="str">
        <f t="shared" si="3"/>
        <v/>
      </c>
      <c r="B130" t="s">
        <v>54</v>
      </c>
      <c r="J130" s="1" t="s">
        <v>54</v>
      </c>
      <c r="Q130"/>
      <c r="R130"/>
      <c r="AA130" t="str">
        <f t="shared" si="2"/>
        <v/>
      </c>
    </row>
    <row r="131" spans="1:27" x14ac:dyDescent="0.4">
      <c r="A131" t="str">
        <f t="shared" si="3"/>
        <v/>
      </c>
      <c r="B131" t="s">
        <v>54</v>
      </c>
      <c r="J131" s="1" t="s">
        <v>54</v>
      </c>
      <c r="Q131"/>
      <c r="R131"/>
      <c r="AA131" t="str">
        <f t="shared" si="2"/>
        <v/>
      </c>
    </row>
    <row r="132" spans="1:27" x14ac:dyDescent="0.4">
      <c r="A132" t="str">
        <f t="shared" si="3"/>
        <v/>
      </c>
      <c r="B132" t="s">
        <v>54</v>
      </c>
      <c r="J132" s="1" t="s">
        <v>54</v>
      </c>
      <c r="Q132"/>
      <c r="R132"/>
      <c r="AA132" t="str">
        <f t="shared" si="2"/>
        <v/>
      </c>
    </row>
    <row r="133" spans="1:27" x14ac:dyDescent="0.4">
      <c r="A133" t="str">
        <f t="shared" si="3"/>
        <v/>
      </c>
      <c r="B133" t="s">
        <v>54</v>
      </c>
      <c r="J133" s="1" t="s">
        <v>54</v>
      </c>
      <c r="Q133"/>
      <c r="R133"/>
      <c r="AA133" t="str">
        <f t="shared" ref="AA133:AA196" si="4">AB133&amp;AC133</f>
        <v/>
      </c>
    </row>
    <row r="134" spans="1:27" x14ac:dyDescent="0.4">
      <c r="A134" t="str">
        <f t="shared" ref="A134:A197" si="5">RIGHT(B134,12)</f>
        <v/>
      </c>
      <c r="B134" t="s">
        <v>54</v>
      </c>
      <c r="J134" s="1" t="s">
        <v>54</v>
      </c>
      <c r="Q134"/>
      <c r="R134"/>
      <c r="AA134" t="str">
        <f t="shared" si="4"/>
        <v/>
      </c>
    </row>
    <row r="135" spans="1:27" x14ac:dyDescent="0.4">
      <c r="A135" t="str">
        <f t="shared" si="5"/>
        <v/>
      </c>
      <c r="Q135"/>
      <c r="R135"/>
      <c r="AA135" t="str">
        <f t="shared" si="4"/>
        <v/>
      </c>
    </row>
    <row r="136" spans="1:27" x14ac:dyDescent="0.4">
      <c r="A136" t="str">
        <f t="shared" si="5"/>
        <v/>
      </c>
      <c r="Q136"/>
      <c r="R136"/>
      <c r="AA136" t="str">
        <f t="shared" si="4"/>
        <v/>
      </c>
    </row>
    <row r="137" spans="1:27" x14ac:dyDescent="0.4">
      <c r="A137" t="str">
        <f t="shared" si="5"/>
        <v/>
      </c>
      <c r="Q137"/>
      <c r="R137"/>
      <c r="AA137" t="str">
        <f t="shared" si="4"/>
        <v/>
      </c>
    </row>
    <row r="138" spans="1:27" x14ac:dyDescent="0.4">
      <c r="A138" t="str">
        <f t="shared" si="5"/>
        <v/>
      </c>
      <c r="Q138"/>
      <c r="R138"/>
      <c r="AA138" t="str">
        <f t="shared" si="4"/>
        <v/>
      </c>
    </row>
    <row r="139" spans="1:27" x14ac:dyDescent="0.4">
      <c r="A139" t="str">
        <f t="shared" si="5"/>
        <v/>
      </c>
      <c r="Q139"/>
      <c r="R139"/>
      <c r="AA139" t="str">
        <f t="shared" si="4"/>
        <v/>
      </c>
    </row>
    <row r="140" spans="1:27" x14ac:dyDescent="0.4">
      <c r="A140" t="str">
        <f t="shared" si="5"/>
        <v/>
      </c>
      <c r="Q140"/>
      <c r="R140"/>
      <c r="AA140" t="str">
        <f t="shared" si="4"/>
        <v/>
      </c>
    </row>
    <row r="141" spans="1:27" x14ac:dyDescent="0.4">
      <c r="A141" t="str">
        <f t="shared" si="5"/>
        <v/>
      </c>
      <c r="Q141"/>
      <c r="R141"/>
      <c r="AA141" t="str">
        <f t="shared" si="4"/>
        <v/>
      </c>
    </row>
    <row r="142" spans="1:27" x14ac:dyDescent="0.4">
      <c r="A142" t="str">
        <f t="shared" si="5"/>
        <v/>
      </c>
      <c r="Q142"/>
      <c r="R142"/>
      <c r="AA142" t="str">
        <f t="shared" si="4"/>
        <v/>
      </c>
    </row>
    <row r="143" spans="1:27" x14ac:dyDescent="0.4">
      <c r="A143" t="str">
        <f t="shared" si="5"/>
        <v/>
      </c>
      <c r="Q143"/>
      <c r="R143"/>
      <c r="AA143" t="str">
        <f t="shared" si="4"/>
        <v/>
      </c>
    </row>
    <row r="144" spans="1:27" x14ac:dyDescent="0.4">
      <c r="A144" t="str">
        <f t="shared" si="5"/>
        <v/>
      </c>
      <c r="Q144"/>
      <c r="R144"/>
      <c r="AA144" t="str">
        <f t="shared" si="4"/>
        <v/>
      </c>
    </row>
    <row r="145" spans="1:27" x14ac:dyDescent="0.4">
      <c r="A145" t="str">
        <f t="shared" si="5"/>
        <v/>
      </c>
      <c r="Q145"/>
      <c r="R145"/>
      <c r="AA145" t="str">
        <f t="shared" si="4"/>
        <v/>
      </c>
    </row>
    <row r="146" spans="1:27" x14ac:dyDescent="0.4">
      <c r="A146" t="str">
        <f t="shared" si="5"/>
        <v/>
      </c>
      <c r="Q146"/>
      <c r="R146"/>
      <c r="AA146" t="str">
        <f t="shared" si="4"/>
        <v/>
      </c>
    </row>
    <row r="147" spans="1:27" x14ac:dyDescent="0.4">
      <c r="A147" t="str">
        <f t="shared" si="5"/>
        <v/>
      </c>
      <c r="Q147"/>
      <c r="R147"/>
      <c r="AA147" t="str">
        <f t="shared" si="4"/>
        <v/>
      </c>
    </row>
    <row r="148" spans="1:27" x14ac:dyDescent="0.4">
      <c r="A148" t="str">
        <f t="shared" si="5"/>
        <v/>
      </c>
      <c r="Q148"/>
      <c r="R148"/>
      <c r="AA148" t="str">
        <f t="shared" si="4"/>
        <v/>
      </c>
    </row>
    <row r="149" spans="1:27" x14ac:dyDescent="0.4">
      <c r="A149" t="str">
        <f t="shared" si="5"/>
        <v/>
      </c>
      <c r="Q149"/>
      <c r="R149"/>
      <c r="AA149" t="str">
        <f t="shared" si="4"/>
        <v/>
      </c>
    </row>
    <row r="150" spans="1:27" x14ac:dyDescent="0.4">
      <c r="A150" t="str">
        <f t="shared" si="5"/>
        <v/>
      </c>
      <c r="Q150"/>
      <c r="R150"/>
      <c r="AA150" t="str">
        <f t="shared" si="4"/>
        <v/>
      </c>
    </row>
    <row r="151" spans="1:27" x14ac:dyDescent="0.4">
      <c r="A151" t="str">
        <f t="shared" si="5"/>
        <v/>
      </c>
      <c r="Q151"/>
      <c r="R151"/>
      <c r="AA151" t="str">
        <f t="shared" si="4"/>
        <v/>
      </c>
    </row>
    <row r="152" spans="1:27" x14ac:dyDescent="0.4">
      <c r="A152" t="str">
        <f t="shared" si="5"/>
        <v/>
      </c>
      <c r="Q152"/>
      <c r="R152"/>
      <c r="AA152" t="str">
        <f t="shared" si="4"/>
        <v/>
      </c>
    </row>
    <row r="153" spans="1:27" x14ac:dyDescent="0.4">
      <c r="A153" t="str">
        <f t="shared" si="5"/>
        <v/>
      </c>
      <c r="Q153"/>
      <c r="R153"/>
      <c r="AA153" t="str">
        <f t="shared" si="4"/>
        <v/>
      </c>
    </row>
    <row r="154" spans="1:27" x14ac:dyDescent="0.4">
      <c r="A154" t="str">
        <f t="shared" si="5"/>
        <v/>
      </c>
      <c r="Q154"/>
      <c r="R154"/>
      <c r="AA154" t="str">
        <f t="shared" si="4"/>
        <v/>
      </c>
    </row>
    <row r="155" spans="1:27" x14ac:dyDescent="0.4">
      <c r="A155" t="str">
        <f t="shared" si="5"/>
        <v/>
      </c>
      <c r="Q155"/>
      <c r="R155"/>
      <c r="AA155" t="str">
        <f t="shared" si="4"/>
        <v/>
      </c>
    </row>
    <row r="156" spans="1:27" x14ac:dyDescent="0.4">
      <c r="A156" t="str">
        <f t="shared" si="5"/>
        <v/>
      </c>
      <c r="Q156"/>
      <c r="R156"/>
      <c r="AA156" t="str">
        <f t="shared" si="4"/>
        <v/>
      </c>
    </row>
    <row r="157" spans="1:27" x14ac:dyDescent="0.4">
      <c r="A157" t="str">
        <f t="shared" si="5"/>
        <v/>
      </c>
      <c r="Q157"/>
      <c r="R157"/>
      <c r="AA157" t="str">
        <f t="shared" si="4"/>
        <v/>
      </c>
    </row>
    <row r="158" spans="1:27" x14ac:dyDescent="0.4">
      <c r="A158" t="str">
        <f t="shared" si="5"/>
        <v/>
      </c>
      <c r="Q158"/>
      <c r="R158"/>
      <c r="AA158" t="str">
        <f t="shared" si="4"/>
        <v/>
      </c>
    </row>
    <row r="159" spans="1:27" x14ac:dyDescent="0.4">
      <c r="A159" t="str">
        <f t="shared" si="5"/>
        <v/>
      </c>
      <c r="Q159"/>
      <c r="R159"/>
      <c r="AA159" t="str">
        <f t="shared" si="4"/>
        <v/>
      </c>
    </row>
    <row r="160" spans="1:27" x14ac:dyDescent="0.4">
      <c r="A160" t="str">
        <f t="shared" si="5"/>
        <v/>
      </c>
      <c r="Q160"/>
      <c r="R160"/>
      <c r="AA160" t="str">
        <f t="shared" si="4"/>
        <v/>
      </c>
    </row>
    <row r="161" spans="1:27" x14ac:dyDescent="0.4">
      <c r="A161" t="str">
        <f t="shared" si="5"/>
        <v/>
      </c>
      <c r="Q161"/>
      <c r="R161"/>
      <c r="AA161" t="str">
        <f t="shared" si="4"/>
        <v/>
      </c>
    </row>
    <row r="162" spans="1:27" x14ac:dyDescent="0.4">
      <c r="A162" t="str">
        <f t="shared" si="5"/>
        <v/>
      </c>
      <c r="Q162"/>
      <c r="R162"/>
      <c r="AA162" t="str">
        <f t="shared" si="4"/>
        <v/>
      </c>
    </row>
    <row r="163" spans="1:27" x14ac:dyDescent="0.4">
      <c r="A163" t="str">
        <f t="shared" si="5"/>
        <v/>
      </c>
      <c r="Q163"/>
      <c r="R163"/>
      <c r="AA163" t="str">
        <f t="shared" si="4"/>
        <v/>
      </c>
    </row>
    <row r="164" spans="1:27" x14ac:dyDescent="0.4">
      <c r="A164" t="str">
        <f t="shared" si="5"/>
        <v/>
      </c>
      <c r="Q164"/>
      <c r="R164"/>
      <c r="AA164" t="str">
        <f t="shared" si="4"/>
        <v/>
      </c>
    </row>
    <row r="165" spans="1:27" x14ac:dyDescent="0.4">
      <c r="A165" t="str">
        <f t="shared" si="5"/>
        <v/>
      </c>
      <c r="Q165"/>
      <c r="R165"/>
      <c r="AA165" t="str">
        <f t="shared" si="4"/>
        <v/>
      </c>
    </row>
    <row r="166" spans="1:27" x14ac:dyDescent="0.4">
      <c r="A166" t="str">
        <f t="shared" si="5"/>
        <v/>
      </c>
      <c r="Q166"/>
      <c r="R166"/>
      <c r="AA166" t="str">
        <f t="shared" si="4"/>
        <v/>
      </c>
    </row>
    <row r="167" spans="1:27" x14ac:dyDescent="0.4">
      <c r="A167" t="str">
        <f t="shared" si="5"/>
        <v/>
      </c>
      <c r="Q167"/>
      <c r="R167"/>
      <c r="AA167" t="str">
        <f t="shared" si="4"/>
        <v/>
      </c>
    </row>
    <row r="168" spans="1:27" x14ac:dyDescent="0.4">
      <c r="A168" t="str">
        <f t="shared" si="5"/>
        <v/>
      </c>
      <c r="Q168"/>
      <c r="R168"/>
      <c r="AA168" t="str">
        <f t="shared" si="4"/>
        <v/>
      </c>
    </row>
    <row r="169" spans="1:27" x14ac:dyDescent="0.4">
      <c r="A169" t="str">
        <f t="shared" si="5"/>
        <v/>
      </c>
      <c r="Q169"/>
      <c r="R169"/>
      <c r="AA169" t="str">
        <f t="shared" si="4"/>
        <v/>
      </c>
    </row>
    <row r="170" spans="1:27" x14ac:dyDescent="0.4">
      <c r="A170" t="str">
        <f t="shared" si="5"/>
        <v/>
      </c>
      <c r="Q170"/>
      <c r="R170"/>
      <c r="AA170" t="str">
        <f t="shared" si="4"/>
        <v/>
      </c>
    </row>
    <row r="171" spans="1:27" x14ac:dyDescent="0.4">
      <c r="A171" t="str">
        <f t="shared" si="5"/>
        <v/>
      </c>
      <c r="Q171"/>
      <c r="R171"/>
      <c r="AA171" t="str">
        <f t="shared" si="4"/>
        <v/>
      </c>
    </row>
    <row r="172" spans="1:27" x14ac:dyDescent="0.4">
      <c r="A172" t="str">
        <f t="shared" si="5"/>
        <v/>
      </c>
      <c r="Q172"/>
      <c r="R172"/>
      <c r="AA172" t="str">
        <f t="shared" si="4"/>
        <v/>
      </c>
    </row>
    <row r="173" spans="1:27" x14ac:dyDescent="0.4">
      <c r="A173" t="str">
        <f t="shared" si="5"/>
        <v/>
      </c>
      <c r="Q173"/>
      <c r="R173"/>
      <c r="AA173" t="str">
        <f t="shared" si="4"/>
        <v/>
      </c>
    </row>
    <row r="174" spans="1:27" x14ac:dyDescent="0.4">
      <c r="A174" t="str">
        <f t="shared" si="5"/>
        <v/>
      </c>
      <c r="Q174"/>
      <c r="R174"/>
      <c r="AA174" t="str">
        <f t="shared" si="4"/>
        <v/>
      </c>
    </row>
    <row r="175" spans="1:27" x14ac:dyDescent="0.4">
      <c r="A175" t="str">
        <f t="shared" si="5"/>
        <v/>
      </c>
      <c r="Q175"/>
      <c r="R175"/>
      <c r="AA175" t="str">
        <f t="shared" si="4"/>
        <v/>
      </c>
    </row>
    <row r="176" spans="1:27" x14ac:dyDescent="0.4">
      <c r="A176" t="str">
        <f t="shared" si="5"/>
        <v/>
      </c>
      <c r="Q176"/>
      <c r="R176"/>
      <c r="AA176" t="str">
        <f t="shared" si="4"/>
        <v/>
      </c>
    </row>
    <row r="177" spans="1:27" x14ac:dyDescent="0.4">
      <c r="A177" t="str">
        <f t="shared" si="5"/>
        <v/>
      </c>
      <c r="Q177"/>
      <c r="R177"/>
      <c r="AA177" t="str">
        <f t="shared" si="4"/>
        <v/>
      </c>
    </row>
    <row r="178" spans="1:27" x14ac:dyDescent="0.4">
      <c r="A178" t="str">
        <f t="shared" si="5"/>
        <v/>
      </c>
      <c r="Q178"/>
      <c r="R178"/>
      <c r="AA178" t="str">
        <f t="shared" si="4"/>
        <v/>
      </c>
    </row>
    <row r="179" spans="1:27" x14ac:dyDescent="0.4">
      <c r="A179" t="str">
        <f t="shared" si="5"/>
        <v/>
      </c>
      <c r="Q179"/>
      <c r="R179"/>
      <c r="AA179" t="str">
        <f t="shared" si="4"/>
        <v/>
      </c>
    </row>
    <row r="180" spans="1:27" x14ac:dyDescent="0.4">
      <c r="A180" t="str">
        <f t="shared" si="5"/>
        <v/>
      </c>
      <c r="Q180"/>
      <c r="R180"/>
      <c r="AA180" t="str">
        <f t="shared" si="4"/>
        <v/>
      </c>
    </row>
    <row r="181" spans="1:27" x14ac:dyDescent="0.4">
      <c r="A181" t="str">
        <f t="shared" si="5"/>
        <v/>
      </c>
      <c r="Q181"/>
      <c r="R181"/>
      <c r="AA181" t="str">
        <f t="shared" si="4"/>
        <v/>
      </c>
    </row>
    <row r="182" spans="1:27" x14ac:dyDescent="0.4">
      <c r="A182" t="str">
        <f t="shared" si="5"/>
        <v/>
      </c>
      <c r="Q182"/>
      <c r="R182"/>
      <c r="AA182" t="str">
        <f t="shared" si="4"/>
        <v/>
      </c>
    </row>
    <row r="183" spans="1:27" x14ac:dyDescent="0.4">
      <c r="A183" t="str">
        <f t="shared" si="5"/>
        <v/>
      </c>
      <c r="Q183"/>
      <c r="R183"/>
      <c r="AA183" t="str">
        <f t="shared" si="4"/>
        <v/>
      </c>
    </row>
    <row r="184" spans="1:27" x14ac:dyDescent="0.4">
      <c r="A184" t="str">
        <f t="shared" si="5"/>
        <v/>
      </c>
      <c r="Q184"/>
      <c r="R184"/>
      <c r="AA184" t="str">
        <f t="shared" si="4"/>
        <v/>
      </c>
    </row>
    <row r="185" spans="1:27" x14ac:dyDescent="0.4">
      <c r="A185" t="str">
        <f t="shared" si="5"/>
        <v/>
      </c>
      <c r="Q185"/>
      <c r="R185"/>
      <c r="AA185" t="str">
        <f t="shared" si="4"/>
        <v/>
      </c>
    </row>
    <row r="186" spans="1:27" x14ac:dyDescent="0.4">
      <c r="A186" t="str">
        <f t="shared" si="5"/>
        <v/>
      </c>
      <c r="Q186"/>
      <c r="R186"/>
      <c r="AA186" t="str">
        <f t="shared" si="4"/>
        <v/>
      </c>
    </row>
    <row r="187" spans="1:27" x14ac:dyDescent="0.4">
      <c r="A187" t="str">
        <f t="shared" si="5"/>
        <v/>
      </c>
      <c r="Q187"/>
      <c r="R187"/>
      <c r="AA187" t="str">
        <f t="shared" si="4"/>
        <v/>
      </c>
    </row>
    <row r="188" spans="1:27" x14ac:dyDescent="0.4">
      <c r="A188" t="str">
        <f t="shared" si="5"/>
        <v/>
      </c>
      <c r="Q188"/>
      <c r="R188"/>
      <c r="AA188" t="str">
        <f t="shared" si="4"/>
        <v/>
      </c>
    </row>
    <row r="189" spans="1:27" x14ac:dyDescent="0.4">
      <c r="A189" t="str">
        <f t="shared" si="5"/>
        <v/>
      </c>
      <c r="Q189"/>
      <c r="R189"/>
      <c r="AA189" t="str">
        <f t="shared" si="4"/>
        <v/>
      </c>
    </row>
    <row r="190" spans="1:27" x14ac:dyDescent="0.4">
      <c r="A190" t="str">
        <f t="shared" si="5"/>
        <v/>
      </c>
      <c r="Q190"/>
      <c r="R190"/>
      <c r="AA190" t="str">
        <f t="shared" si="4"/>
        <v/>
      </c>
    </row>
    <row r="191" spans="1:27" x14ac:dyDescent="0.4">
      <c r="A191" t="str">
        <f t="shared" si="5"/>
        <v/>
      </c>
      <c r="Q191"/>
      <c r="R191"/>
      <c r="AA191" t="str">
        <f t="shared" si="4"/>
        <v/>
      </c>
    </row>
    <row r="192" spans="1:27" x14ac:dyDescent="0.4">
      <c r="A192" t="str">
        <f t="shared" si="5"/>
        <v/>
      </c>
      <c r="Q192"/>
      <c r="R192"/>
      <c r="AA192" t="str">
        <f t="shared" si="4"/>
        <v/>
      </c>
    </row>
    <row r="193" spans="1:27" x14ac:dyDescent="0.4">
      <c r="A193" t="str">
        <f t="shared" si="5"/>
        <v/>
      </c>
      <c r="Q193"/>
      <c r="R193"/>
      <c r="AA193" t="str">
        <f t="shared" si="4"/>
        <v/>
      </c>
    </row>
    <row r="194" spans="1:27" x14ac:dyDescent="0.4">
      <c r="A194" t="str">
        <f t="shared" si="5"/>
        <v/>
      </c>
      <c r="Q194"/>
      <c r="R194"/>
      <c r="AA194" t="str">
        <f t="shared" si="4"/>
        <v/>
      </c>
    </row>
    <row r="195" spans="1:27" x14ac:dyDescent="0.4">
      <c r="A195" t="str">
        <f t="shared" si="5"/>
        <v/>
      </c>
      <c r="Q195"/>
      <c r="R195"/>
      <c r="AA195" t="str">
        <f t="shared" si="4"/>
        <v/>
      </c>
    </row>
    <row r="196" spans="1:27" x14ac:dyDescent="0.4">
      <c r="A196" t="str">
        <f t="shared" si="5"/>
        <v/>
      </c>
      <c r="Q196"/>
      <c r="R196"/>
      <c r="AA196" t="str">
        <f t="shared" si="4"/>
        <v/>
      </c>
    </row>
    <row r="197" spans="1:27" x14ac:dyDescent="0.4">
      <c r="A197" t="str">
        <f t="shared" si="5"/>
        <v/>
      </c>
      <c r="Q197"/>
      <c r="R197"/>
      <c r="AA197" t="str">
        <f t="shared" ref="AA197:AA260" si="6">AB197&amp;AC197</f>
        <v/>
      </c>
    </row>
    <row r="198" spans="1:27" x14ac:dyDescent="0.4">
      <c r="A198" t="str">
        <f t="shared" ref="A198:A261" si="7">RIGHT(B198,12)</f>
        <v/>
      </c>
      <c r="Q198"/>
      <c r="R198"/>
      <c r="AA198" t="str">
        <f t="shared" si="6"/>
        <v/>
      </c>
    </row>
    <row r="199" spans="1:27" x14ac:dyDescent="0.4">
      <c r="A199" t="str">
        <f t="shared" si="7"/>
        <v/>
      </c>
      <c r="Q199"/>
      <c r="R199"/>
      <c r="AA199" t="str">
        <f t="shared" si="6"/>
        <v/>
      </c>
    </row>
    <row r="200" spans="1:27" x14ac:dyDescent="0.4">
      <c r="A200" t="str">
        <f t="shared" si="7"/>
        <v/>
      </c>
      <c r="Q200"/>
      <c r="R200"/>
      <c r="AA200" t="str">
        <f t="shared" si="6"/>
        <v/>
      </c>
    </row>
    <row r="201" spans="1:27" x14ac:dyDescent="0.4">
      <c r="A201" t="str">
        <f t="shared" si="7"/>
        <v/>
      </c>
      <c r="AA201" t="str">
        <f t="shared" si="6"/>
        <v/>
      </c>
    </row>
    <row r="202" spans="1:27" x14ac:dyDescent="0.4">
      <c r="A202" t="str">
        <f t="shared" si="7"/>
        <v/>
      </c>
      <c r="AA202" t="str">
        <f t="shared" si="6"/>
        <v/>
      </c>
    </row>
    <row r="203" spans="1:27" x14ac:dyDescent="0.4">
      <c r="A203" t="str">
        <f t="shared" si="7"/>
        <v/>
      </c>
      <c r="AA203" t="str">
        <f t="shared" si="6"/>
        <v/>
      </c>
    </row>
    <row r="204" spans="1:27" x14ac:dyDescent="0.4">
      <c r="A204" t="str">
        <f t="shared" si="7"/>
        <v/>
      </c>
      <c r="AA204" t="str">
        <f t="shared" si="6"/>
        <v/>
      </c>
    </row>
    <row r="205" spans="1:27" x14ac:dyDescent="0.4">
      <c r="A205" t="str">
        <f t="shared" si="7"/>
        <v/>
      </c>
      <c r="AA205" t="str">
        <f t="shared" si="6"/>
        <v/>
      </c>
    </row>
    <row r="206" spans="1:27" x14ac:dyDescent="0.4">
      <c r="A206" t="str">
        <f t="shared" si="7"/>
        <v/>
      </c>
      <c r="AA206" t="str">
        <f t="shared" si="6"/>
        <v/>
      </c>
    </row>
    <row r="207" spans="1:27" x14ac:dyDescent="0.4">
      <c r="A207" t="str">
        <f t="shared" si="7"/>
        <v/>
      </c>
      <c r="AA207" t="str">
        <f t="shared" si="6"/>
        <v/>
      </c>
    </row>
    <row r="208" spans="1:27" x14ac:dyDescent="0.4">
      <c r="A208" t="str">
        <f t="shared" si="7"/>
        <v/>
      </c>
      <c r="AA208" t="str">
        <f t="shared" si="6"/>
        <v/>
      </c>
    </row>
    <row r="209" spans="1:27" x14ac:dyDescent="0.4">
      <c r="A209" t="str">
        <f t="shared" si="7"/>
        <v/>
      </c>
      <c r="AA209" t="str">
        <f t="shared" si="6"/>
        <v/>
      </c>
    </row>
    <row r="210" spans="1:27" x14ac:dyDescent="0.4">
      <c r="A210" t="str">
        <f t="shared" si="7"/>
        <v/>
      </c>
      <c r="AA210" t="str">
        <f t="shared" si="6"/>
        <v/>
      </c>
    </row>
    <row r="211" spans="1:27" x14ac:dyDescent="0.4">
      <c r="A211" t="str">
        <f t="shared" si="7"/>
        <v/>
      </c>
      <c r="AA211" t="str">
        <f t="shared" si="6"/>
        <v/>
      </c>
    </row>
    <row r="212" spans="1:27" x14ac:dyDescent="0.4">
      <c r="A212" t="str">
        <f t="shared" si="7"/>
        <v/>
      </c>
      <c r="AA212" t="str">
        <f t="shared" si="6"/>
        <v/>
      </c>
    </row>
    <row r="213" spans="1:27" x14ac:dyDescent="0.4">
      <c r="A213" t="str">
        <f t="shared" si="7"/>
        <v/>
      </c>
      <c r="AA213" t="str">
        <f t="shared" si="6"/>
        <v/>
      </c>
    </row>
    <row r="214" spans="1:27" x14ac:dyDescent="0.4">
      <c r="A214" t="str">
        <f t="shared" si="7"/>
        <v/>
      </c>
      <c r="AA214" t="str">
        <f t="shared" si="6"/>
        <v/>
      </c>
    </row>
    <row r="215" spans="1:27" x14ac:dyDescent="0.4">
      <c r="A215" t="str">
        <f t="shared" si="7"/>
        <v/>
      </c>
      <c r="AA215" t="str">
        <f t="shared" si="6"/>
        <v/>
      </c>
    </row>
    <row r="216" spans="1:27" x14ac:dyDescent="0.4">
      <c r="A216" t="str">
        <f t="shared" si="7"/>
        <v/>
      </c>
      <c r="AA216" t="str">
        <f t="shared" si="6"/>
        <v/>
      </c>
    </row>
    <row r="217" spans="1:27" x14ac:dyDescent="0.4">
      <c r="A217" t="str">
        <f t="shared" si="7"/>
        <v/>
      </c>
      <c r="AA217" t="str">
        <f t="shared" si="6"/>
        <v/>
      </c>
    </row>
    <row r="218" spans="1:27" x14ac:dyDescent="0.4">
      <c r="A218" t="str">
        <f t="shared" si="7"/>
        <v/>
      </c>
      <c r="AA218" t="str">
        <f t="shared" si="6"/>
        <v/>
      </c>
    </row>
    <row r="219" spans="1:27" x14ac:dyDescent="0.4">
      <c r="A219" t="str">
        <f t="shared" si="7"/>
        <v/>
      </c>
      <c r="AA219" t="str">
        <f t="shared" si="6"/>
        <v/>
      </c>
    </row>
    <row r="220" spans="1:27" x14ac:dyDescent="0.4">
      <c r="A220" t="str">
        <f t="shared" si="7"/>
        <v/>
      </c>
      <c r="AA220" t="str">
        <f t="shared" si="6"/>
        <v/>
      </c>
    </row>
    <row r="221" spans="1:27" x14ac:dyDescent="0.4">
      <c r="A221" t="str">
        <f t="shared" si="7"/>
        <v/>
      </c>
      <c r="AA221" t="str">
        <f t="shared" si="6"/>
        <v/>
      </c>
    </row>
    <row r="222" spans="1:27" x14ac:dyDescent="0.4">
      <c r="A222" t="str">
        <f t="shared" si="7"/>
        <v/>
      </c>
      <c r="AA222" t="str">
        <f t="shared" si="6"/>
        <v/>
      </c>
    </row>
    <row r="223" spans="1:27" x14ac:dyDescent="0.4">
      <c r="A223" t="str">
        <f t="shared" si="7"/>
        <v/>
      </c>
      <c r="AA223" t="str">
        <f t="shared" si="6"/>
        <v/>
      </c>
    </row>
    <row r="224" spans="1:27" x14ac:dyDescent="0.4">
      <c r="A224" t="str">
        <f t="shared" si="7"/>
        <v/>
      </c>
      <c r="AA224" t="str">
        <f t="shared" si="6"/>
        <v/>
      </c>
    </row>
    <row r="225" spans="1:27" x14ac:dyDescent="0.4">
      <c r="A225" t="str">
        <f t="shared" si="7"/>
        <v/>
      </c>
      <c r="AA225" t="str">
        <f t="shared" si="6"/>
        <v/>
      </c>
    </row>
    <row r="226" spans="1:27" x14ac:dyDescent="0.4">
      <c r="A226" t="str">
        <f t="shared" si="7"/>
        <v/>
      </c>
      <c r="AA226" t="str">
        <f t="shared" si="6"/>
        <v/>
      </c>
    </row>
    <row r="227" spans="1:27" x14ac:dyDescent="0.4">
      <c r="A227" t="str">
        <f t="shared" si="7"/>
        <v/>
      </c>
      <c r="AA227" t="str">
        <f t="shared" si="6"/>
        <v/>
      </c>
    </row>
    <row r="228" spans="1:27" x14ac:dyDescent="0.4">
      <c r="A228" t="str">
        <f t="shared" si="7"/>
        <v/>
      </c>
      <c r="AA228" t="str">
        <f t="shared" si="6"/>
        <v/>
      </c>
    </row>
    <row r="229" spans="1:27" x14ac:dyDescent="0.4">
      <c r="A229" t="str">
        <f t="shared" si="7"/>
        <v/>
      </c>
      <c r="AA229" t="str">
        <f t="shared" si="6"/>
        <v/>
      </c>
    </row>
    <row r="230" spans="1:27" x14ac:dyDescent="0.4">
      <c r="A230" t="str">
        <f t="shared" si="7"/>
        <v/>
      </c>
      <c r="AA230" t="str">
        <f t="shared" si="6"/>
        <v/>
      </c>
    </row>
    <row r="231" spans="1:27" x14ac:dyDescent="0.4">
      <c r="A231" t="str">
        <f t="shared" si="7"/>
        <v/>
      </c>
      <c r="AA231" t="str">
        <f t="shared" si="6"/>
        <v/>
      </c>
    </row>
    <row r="232" spans="1:27" x14ac:dyDescent="0.4">
      <c r="A232" t="str">
        <f t="shared" si="7"/>
        <v/>
      </c>
      <c r="AA232" t="str">
        <f t="shared" si="6"/>
        <v/>
      </c>
    </row>
    <row r="233" spans="1:27" x14ac:dyDescent="0.4">
      <c r="A233" t="str">
        <f t="shared" si="7"/>
        <v/>
      </c>
      <c r="AA233" t="str">
        <f t="shared" si="6"/>
        <v/>
      </c>
    </row>
    <row r="234" spans="1:27" x14ac:dyDescent="0.4">
      <c r="A234" t="str">
        <f t="shared" si="7"/>
        <v/>
      </c>
      <c r="AA234" t="str">
        <f t="shared" si="6"/>
        <v/>
      </c>
    </row>
    <row r="235" spans="1:27" x14ac:dyDescent="0.4">
      <c r="A235" t="str">
        <f t="shared" si="7"/>
        <v/>
      </c>
      <c r="AA235" t="str">
        <f t="shared" si="6"/>
        <v/>
      </c>
    </row>
    <row r="236" spans="1:27" x14ac:dyDescent="0.4">
      <c r="A236" t="str">
        <f t="shared" si="7"/>
        <v/>
      </c>
      <c r="AA236" t="str">
        <f t="shared" si="6"/>
        <v/>
      </c>
    </row>
    <row r="237" spans="1:27" x14ac:dyDescent="0.4">
      <c r="A237" t="str">
        <f t="shared" si="7"/>
        <v/>
      </c>
      <c r="AA237" t="str">
        <f t="shared" si="6"/>
        <v/>
      </c>
    </row>
    <row r="238" spans="1:27" x14ac:dyDescent="0.4">
      <c r="A238" t="str">
        <f t="shared" si="7"/>
        <v/>
      </c>
      <c r="AA238" t="str">
        <f t="shared" si="6"/>
        <v/>
      </c>
    </row>
    <row r="239" spans="1:27" x14ac:dyDescent="0.4">
      <c r="A239" t="str">
        <f t="shared" si="7"/>
        <v/>
      </c>
      <c r="AA239" t="str">
        <f t="shared" si="6"/>
        <v/>
      </c>
    </row>
    <row r="240" spans="1:27" x14ac:dyDescent="0.4">
      <c r="A240" t="str">
        <f t="shared" si="7"/>
        <v/>
      </c>
      <c r="AA240" t="str">
        <f t="shared" si="6"/>
        <v/>
      </c>
    </row>
    <row r="241" spans="1:27" x14ac:dyDescent="0.4">
      <c r="A241" t="str">
        <f t="shared" si="7"/>
        <v/>
      </c>
      <c r="AA241" t="str">
        <f t="shared" si="6"/>
        <v/>
      </c>
    </row>
    <row r="242" spans="1:27" x14ac:dyDescent="0.4">
      <c r="A242" t="str">
        <f t="shared" si="7"/>
        <v/>
      </c>
      <c r="AA242" t="str">
        <f t="shared" si="6"/>
        <v/>
      </c>
    </row>
    <row r="243" spans="1:27" x14ac:dyDescent="0.4">
      <c r="A243" t="str">
        <f t="shared" si="7"/>
        <v/>
      </c>
      <c r="AA243" t="str">
        <f t="shared" si="6"/>
        <v/>
      </c>
    </row>
    <row r="244" spans="1:27" x14ac:dyDescent="0.4">
      <c r="A244" t="str">
        <f t="shared" si="7"/>
        <v/>
      </c>
      <c r="AA244" t="str">
        <f t="shared" si="6"/>
        <v/>
      </c>
    </row>
    <row r="245" spans="1:27" x14ac:dyDescent="0.4">
      <c r="A245" t="str">
        <f t="shared" si="7"/>
        <v/>
      </c>
      <c r="AA245" t="str">
        <f t="shared" si="6"/>
        <v/>
      </c>
    </row>
    <row r="246" spans="1:27" x14ac:dyDescent="0.4">
      <c r="A246" t="str">
        <f t="shared" si="7"/>
        <v/>
      </c>
      <c r="AA246" t="str">
        <f t="shared" si="6"/>
        <v/>
      </c>
    </row>
    <row r="247" spans="1:27" x14ac:dyDescent="0.4">
      <c r="A247" t="str">
        <f t="shared" si="7"/>
        <v/>
      </c>
      <c r="AA247" t="str">
        <f t="shared" si="6"/>
        <v/>
      </c>
    </row>
    <row r="248" spans="1:27" x14ac:dyDescent="0.4">
      <c r="A248" t="str">
        <f t="shared" si="7"/>
        <v/>
      </c>
      <c r="AA248" t="str">
        <f t="shared" si="6"/>
        <v/>
      </c>
    </row>
    <row r="249" spans="1:27" x14ac:dyDescent="0.4">
      <c r="A249" t="str">
        <f t="shared" si="7"/>
        <v/>
      </c>
      <c r="AA249" t="str">
        <f t="shared" si="6"/>
        <v/>
      </c>
    </row>
    <row r="250" spans="1:27" x14ac:dyDescent="0.4">
      <c r="A250" t="str">
        <f t="shared" si="7"/>
        <v/>
      </c>
      <c r="AA250" t="str">
        <f t="shared" si="6"/>
        <v/>
      </c>
    </row>
    <row r="251" spans="1:27" x14ac:dyDescent="0.4">
      <c r="A251" t="str">
        <f t="shared" si="7"/>
        <v/>
      </c>
      <c r="AA251" t="str">
        <f t="shared" si="6"/>
        <v/>
      </c>
    </row>
    <row r="252" spans="1:27" x14ac:dyDescent="0.4">
      <c r="A252" t="str">
        <f t="shared" si="7"/>
        <v/>
      </c>
      <c r="AA252" t="str">
        <f t="shared" si="6"/>
        <v/>
      </c>
    </row>
    <row r="253" spans="1:27" x14ac:dyDescent="0.4">
      <c r="A253" t="str">
        <f t="shared" si="7"/>
        <v/>
      </c>
      <c r="AA253" t="str">
        <f t="shared" si="6"/>
        <v/>
      </c>
    </row>
    <row r="254" spans="1:27" x14ac:dyDescent="0.4">
      <c r="A254" t="str">
        <f t="shared" si="7"/>
        <v/>
      </c>
      <c r="AA254" t="str">
        <f t="shared" si="6"/>
        <v/>
      </c>
    </row>
    <row r="255" spans="1:27" x14ac:dyDescent="0.4">
      <c r="A255" t="str">
        <f t="shared" si="7"/>
        <v/>
      </c>
      <c r="AA255" t="str">
        <f t="shared" si="6"/>
        <v/>
      </c>
    </row>
    <row r="256" spans="1:27" x14ac:dyDescent="0.4">
      <c r="A256" t="str">
        <f t="shared" si="7"/>
        <v/>
      </c>
      <c r="AA256" t="str">
        <f t="shared" si="6"/>
        <v/>
      </c>
    </row>
    <row r="257" spans="1:27" x14ac:dyDescent="0.4">
      <c r="A257" t="str">
        <f t="shared" si="7"/>
        <v/>
      </c>
      <c r="AA257" t="str">
        <f t="shared" si="6"/>
        <v/>
      </c>
    </row>
    <row r="258" spans="1:27" x14ac:dyDescent="0.4">
      <c r="A258" t="str">
        <f t="shared" si="7"/>
        <v/>
      </c>
      <c r="AA258" t="str">
        <f t="shared" si="6"/>
        <v/>
      </c>
    </row>
    <row r="259" spans="1:27" x14ac:dyDescent="0.4">
      <c r="A259" t="str">
        <f t="shared" si="7"/>
        <v/>
      </c>
      <c r="AA259" t="str">
        <f t="shared" si="6"/>
        <v/>
      </c>
    </row>
    <row r="260" spans="1:27" x14ac:dyDescent="0.4">
      <c r="A260" t="str">
        <f t="shared" si="7"/>
        <v/>
      </c>
      <c r="AA260" t="str">
        <f t="shared" si="6"/>
        <v/>
      </c>
    </row>
    <row r="261" spans="1:27" x14ac:dyDescent="0.4">
      <c r="A261" t="str">
        <f t="shared" si="7"/>
        <v/>
      </c>
      <c r="AA261" t="str">
        <f t="shared" ref="AA261:AA324" si="8">AB261&amp;AC261</f>
        <v/>
      </c>
    </row>
    <row r="262" spans="1:27" x14ac:dyDescent="0.4">
      <c r="A262" t="str">
        <f t="shared" ref="A262:A325" si="9">RIGHT(B262,12)</f>
        <v/>
      </c>
      <c r="AA262" t="str">
        <f t="shared" si="8"/>
        <v/>
      </c>
    </row>
    <row r="263" spans="1:27" x14ac:dyDescent="0.4">
      <c r="A263" t="str">
        <f t="shared" si="9"/>
        <v/>
      </c>
      <c r="AA263" t="str">
        <f t="shared" si="8"/>
        <v/>
      </c>
    </row>
    <row r="264" spans="1:27" x14ac:dyDescent="0.4">
      <c r="A264" t="str">
        <f t="shared" si="9"/>
        <v/>
      </c>
      <c r="AA264" t="str">
        <f t="shared" si="8"/>
        <v/>
      </c>
    </row>
    <row r="265" spans="1:27" x14ac:dyDescent="0.4">
      <c r="A265" t="str">
        <f t="shared" si="9"/>
        <v/>
      </c>
      <c r="AA265" t="str">
        <f t="shared" si="8"/>
        <v/>
      </c>
    </row>
    <row r="266" spans="1:27" x14ac:dyDescent="0.4">
      <c r="A266" t="str">
        <f t="shared" si="9"/>
        <v/>
      </c>
      <c r="AA266" t="str">
        <f t="shared" si="8"/>
        <v/>
      </c>
    </row>
    <row r="267" spans="1:27" x14ac:dyDescent="0.4">
      <c r="A267" t="str">
        <f t="shared" si="9"/>
        <v/>
      </c>
      <c r="AA267" t="str">
        <f t="shared" si="8"/>
        <v/>
      </c>
    </row>
    <row r="268" spans="1:27" x14ac:dyDescent="0.4">
      <c r="A268" t="str">
        <f t="shared" si="9"/>
        <v/>
      </c>
      <c r="AA268" t="str">
        <f t="shared" si="8"/>
        <v/>
      </c>
    </row>
    <row r="269" spans="1:27" x14ac:dyDescent="0.4">
      <c r="A269" t="str">
        <f t="shared" si="9"/>
        <v/>
      </c>
      <c r="AA269" t="str">
        <f t="shared" si="8"/>
        <v/>
      </c>
    </row>
    <row r="270" spans="1:27" x14ac:dyDescent="0.4">
      <c r="A270" t="str">
        <f t="shared" si="9"/>
        <v/>
      </c>
      <c r="AA270" t="str">
        <f t="shared" si="8"/>
        <v/>
      </c>
    </row>
    <row r="271" spans="1:27" x14ac:dyDescent="0.4">
      <c r="A271" t="str">
        <f t="shared" si="9"/>
        <v/>
      </c>
      <c r="AA271" t="str">
        <f t="shared" si="8"/>
        <v/>
      </c>
    </row>
    <row r="272" spans="1:27" x14ac:dyDescent="0.4">
      <c r="A272" t="str">
        <f t="shared" si="9"/>
        <v/>
      </c>
      <c r="AA272" t="str">
        <f t="shared" si="8"/>
        <v/>
      </c>
    </row>
    <row r="273" spans="1:27" x14ac:dyDescent="0.4">
      <c r="A273" t="str">
        <f t="shared" si="9"/>
        <v/>
      </c>
      <c r="AA273" t="str">
        <f t="shared" si="8"/>
        <v/>
      </c>
    </row>
    <row r="274" spans="1:27" x14ac:dyDescent="0.4">
      <c r="A274" t="str">
        <f t="shared" si="9"/>
        <v/>
      </c>
      <c r="AA274" t="str">
        <f t="shared" si="8"/>
        <v/>
      </c>
    </row>
    <row r="275" spans="1:27" x14ac:dyDescent="0.4">
      <c r="A275" t="str">
        <f t="shared" si="9"/>
        <v/>
      </c>
      <c r="AA275" t="str">
        <f t="shared" si="8"/>
        <v/>
      </c>
    </row>
    <row r="276" spans="1:27" x14ac:dyDescent="0.4">
      <c r="A276" t="str">
        <f t="shared" si="9"/>
        <v/>
      </c>
      <c r="AA276" t="str">
        <f t="shared" si="8"/>
        <v/>
      </c>
    </row>
    <row r="277" spans="1:27" x14ac:dyDescent="0.4">
      <c r="A277" t="str">
        <f t="shared" si="9"/>
        <v/>
      </c>
      <c r="AA277" t="str">
        <f t="shared" si="8"/>
        <v/>
      </c>
    </row>
    <row r="278" spans="1:27" x14ac:dyDescent="0.4">
      <c r="A278" t="str">
        <f t="shared" si="9"/>
        <v/>
      </c>
      <c r="AA278" t="str">
        <f t="shared" si="8"/>
        <v/>
      </c>
    </row>
    <row r="279" spans="1:27" x14ac:dyDescent="0.4">
      <c r="A279" t="str">
        <f t="shared" si="9"/>
        <v/>
      </c>
      <c r="AA279" t="str">
        <f t="shared" si="8"/>
        <v/>
      </c>
    </row>
    <row r="280" spans="1:27" x14ac:dyDescent="0.4">
      <c r="A280" t="str">
        <f t="shared" si="9"/>
        <v/>
      </c>
      <c r="AA280" t="str">
        <f t="shared" si="8"/>
        <v/>
      </c>
    </row>
    <row r="281" spans="1:27" x14ac:dyDescent="0.4">
      <c r="A281" t="str">
        <f t="shared" si="9"/>
        <v/>
      </c>
      <c r="AA281" t="str">
        <f t="shared" si="8"/>
        <v/>
      </c>
    </row>
    <row r="282" spans="1:27" x14ac:dyDescent="0.4">
      <c r="A282" t="str">
        <f t="shared" si="9"/>
        <v/>
      </c>
      <c r="AA282" t="str">
        <f t="shared" si="8"/>
        <v/>
      </c>
    </row>
    <row r="283" spans="1:27" x14ac:dyDescent="0.4">
      <c r="A283" t="str">
        <f t="shared" si="9"/>
        <v/>
      </c>
      <c r="AA283" t="str">
        <f t="shared" si="8"/>
        <v/>
      </c>
    </row>
    <row r="284" spans="1:27" x14ac:dyDescent="0.4">
      <c r="A284" t="str">
        <f t="shared" si="9"/>
        <v/>
      </c>
      <c r="AA284" t="str">
        <f t="shared" si="8"/>
        <v/>
      </c>
    </row>
    <row r="285" spans="1:27" x14ac:dyDescent="0.4">
      <c r="A285" t="str">
        <f t="shared" si="9"/>
        <v/>
      </c>
      <c r="AA285" t="str">
        <f t="shared" si="8"/>
        <v/>
      </c>
    </row>
    <row r="286" spans="1:27" x14ac:dyDescent="0.4">
      <c r="A286" t="str">
        <f t="shared" si="9"/>
        <v/>
      </c>
      <c r="AA286" t="str">
        <f t="shared" si="8"/>
        <v/>
      </c>
    </row>
    <row r="287" spans="1:27" x14ac:dyDescent="0.4">
      <c r="A287" t="str">
        <f t="shared" si="9"/>
        <v/>
      </c>
      <c r="AA287" t="str">
        <f t="shared" si="8"/>
        <v/>
      </c>
    </row>
    <row r="288" spans="1:27" x14ac:dyDescent="0.4">
      <c r="A288" t="str">
        <f t="shared" si="9"/>
        <v/>
      </c>
      <c r="AA288" t="str">
        <f t="shared" si="8"/>
        <v/>
      </c>
    </row>
    <row r="289" spans="1:27" x14ac:dyDescent="0.4">
      <c r="A289" t="str">
        <f t="shared" si="9"/>
        <v/>
      </c>
      <c r="AA289" t="str">
        <f t="shared" si="8"/>
        <v/>
      </c>
    </row>
    <row r="290" spans="1:27" x14ac:dyDescent="0.4">
      <c r="A290" t="str">
        <f t="shared" si="9"/>
        <v/>
      </c>
      <c r="AA290" t="str">
        <f t="shared" si="8"/>
        <v/>
      </c>
    </row>
    <row r="291" spans="1:27" x14ac:dyDescent="0.4">
      <c r="A291" t="str">
        <f t="shared" si="9"/>
        <v/>
      </c>
      <c r="AA291" t="str">
        <f t="shared" si="8"/>
        <v/>
      </c>
    </row>
    <row r="292" spans="1:27" x14ac:dyDescent="0.4">
      <c r="A292" t="str">
        <f t="shared" si="9"/>
        <v/>
      </c>
      <c r="AA292" t="str">
        <f t="shared" si="8"/>
        <v/>
      </c>
    </row>
    <row r="293" spans="1:27" x14ac:dyDescent="0.4">
      <c r="A293" t="str">
        <f t="shared" si="9"/>
        <v/>
      </c>
      <c r="AA293" t="str">
        <f t="shared" si="8"/>
        <v/>
      </c>
    </row>
    <row r="294" spans="1:27" x14ac:dyDescent="0.4">
      <c r="A294" t="str">
        <f t="shared" si="9"/>
        <v/>
      </c>
      <c r="AA294" t="str">
        <f t="shared" si="8"/>
        <v/>
      </c>
    </row>
    <row r="295" spans="1:27" x14ac:dyDescent="0.4">
      <c r="A295" t="str">
        <f t="shared" si="9"/>
        <v/>
      </c>
      <c r="AA295" t="str">
        <f t="shared" si="8"/>
        <v/>
      </c>
    </row>
    <row r="296" spans="1:27" x14ac:dyDescent="0.4">
      <c r="A296" t="str">
        <f t="shared" si="9"/>
        <v/>
      </c>
      <c r="AA296" t="str">
        <f t="shared" si="8"/>
        <v/>
      </c>
    </row>
    <row r="297" spans="1:27" x14ac:dyDescent="0.4">
      <c r="A297" t="str">
        <f t="shared" si="9"/>
        <v/>
      </c>
      <c r="AA297" t="str">
        <f t="shared" si="8"/>
        <v/>
      </c>
    </row>
    <row r="298" spans="1:27" x14ac:dyDescent="0.4">
      <c r="A298" t="str">
        <f t="shared" si="9"/>
        <v/>
      </c>
      <c r="AA298" t="str">
        <f t="shared" si="8"/>
        <v/>
      </c>
    </row>
    <row r="299" spans="1:27" x14ac:dyDescent="0.4">
      <c r="A299" t="str">
        <f t="shared" si="9"/>
        <v/>
      </c>
      <c r="AA299" t="str">
        <f t="shared" si="8"/>
        <v/>
      </c>
    </row>
    <row r="300" spans="1:27" x14ac:dyDescent="0.4">
      <c r="A300" t="str">
        <f t="shared" si="9"/>
        <v/>
      </c>
      <c r="AA300" t="str">
        <f t="shared" si="8"/>
        <v/>
      </c>
    </row>
    <row r="301" spans="1:27" x14ac:dyDescent="0.4">
      <c r="A301" t="str">
        <f t="shared" si="9"/>
        <v/>
      </c>
      <c r="AA301" t="str">
        <f t="shared" si="8"/>
        <v/>
      </c>
    </row>
    <row r="302" spans="1:27" x14ac:dyDescent="0.4">
      <c r="A302" t="str">
        <f t="shared" si="9"/>
        <v/>
      </c>
      <c r="AA302" t="str">
        <f t="shared" si="8"/>
        <v/>
      </c>
    </row>
    <row r="303" spans="1:27" x14ac:dyDescent="0.4">
      <c r="A303" t="str">
        <f t="shared" si="9"/>
        <v/>
      </c>
      <c r="AA303" t="str">
        <f t="shared" si="8"/>
        <v/>
      </c>
    </row>
    <row r="304" spans="1:27" x14ac:dyDescent="0.4">
      <c r="A304" t="str">
        <f t="shared" si="9"/>
        <v/>
      </c>
      <c r="AA304" t="str">
        <f t="shared" si="8"/>
        <v/>
      </c>
    </row>
    <row r="305" spans="1:27" x14ac:dyDescent="0.4">
      <c r="A305" t="str">
        <f t="shared" si="9"/>
        <v/>
      </c>
      <c r="AA305" t="str">
        <f t="shared" si="8"/>
        <v/>
      </c>
    </row>
    <row r="306" spans="1:27" x14ac:dyDescent="0.4">
      <c r="A306" t="str">
        <f t="shared" si="9"/>
        <v/>
      </c>
      <c r="AA306" t="str">
        <f t="shared" si="8"/>
        <v/>
      </c>
    </row>
    <row r="307" spans="1:27" x14ac:dyDescent="0.4">
      <c r="A307" t="str">
        <f t="shared" si="9"/>
        <v/>
      </c>
      <c r="AA307" t="str">
        <f t="shared" si="8"/>
        <v/>
      </c>
    </row>
    <row r="308" spans="1:27" x14ac:dyDescent="0.4">
      <c r="A308" t="str">
        <f t="shared" si="9"/>
        <v/>
      </c>
      <c r="AA308" t="str">
        <f t="shared" si="8"/>
        <v/>
      </c>
    </row>
    <row r="309" spans="1:27" x14ac:dyDescent="0.4">
      <c r="A309" t="str">
        <f t="shared" si="9"/>
        <v/>
      </c>
      <c r="AA309" t="str">
        <f t="shared" si="8"/>
        <v/>
      </c>
    </row>
    <row r="310" spans="1:27" x14ac:dyDescent="0.4">
      <c r="A310" t="str">
        <f t="shared" si="9"/>
        <v/>
      </c>
      <c r="AA310" t="str">
        <f t="shared" si="8"/>
        <v/>
      </c>
    </row>
    <row r="311" spans="1:27" x14ac:dyDescent="0.4">
      <c r="A311" t="str">
        <f t="shared" si="9"/>
        <v/>
      </c>
      <c r="AA311" t="str">
        <f t="shared" si="8"/>
        <v/>
      </c>
    </row>
    <row r="312" spans="1:27" x14ac:dyDescent="0.4">
      <c r="A312" t="str">
        <f t="shared" si="9"/>
        <v/>
      </c>
      <c r="AA312" t="str">
        <f t="shared" si="8"/>
        <v/>
      </c>
    </row>
    <row r="313" spans="1:27" x14ac:dyDescent="0.4">
      <c r="A313" t="str">
        <f t="shared" si="9"/>
        <v/>
      </c>
      <c r="AA313" t="str">
        <f t="shared" si="8"/>
        <v/>
      </c>
    </row>
    <row r="314" spans="1:27" x14ac:dyDescent="0.4">
      <c r="A314" t="str">
        <f t="shared" si="9"/>
        <v/>
      </c>
      <c r="AA314" t="str">
        <f t="shared" si="8"/>
        <v/>
      </c>
    </row>
    <row r="315" spans="1:27" x14ac:dyDescent="0.4">
      <c r="A315" t="str">
        <f t="shared" si="9"/>
        <v/>
      </c>
      <c r="AA315" t="str">
        <f t="shared" si="8"/>
        <v/>
      </c>
    </row>
    <row r="316" spans="1:27" x14ac:dyDescent="0.4">
      <c r="A316" t="str">
        <f t="shared" si="9"/>
        <v/>
      </c>
      <c r="AA316" t="str">
        <f t="shared" si="8"/>
        <v/>
      </c>
    </row>
    <row r="317" spans="1:27" x14ac:dyDescent="0.4">
      <c r="A317" t="str">
        <f t="shared" si="9"/>
        <v/>
      </c>
      <c r="AA317" t="str">
        <f t="shared" si="8"/>
        <v/>
      </c>
    </row>
    <row r="318" spans="1:27" x14ac:dyDescent="0.4">
      <c r="A318" t="str">
        <f t="shared" si="9"/>
        <v/>
      </c>
      <c r="AA318" t="str">
        <f t="shared" si="8"/>
        <v/>
      </c>
    </row>
    <row r="319" spans="1:27" x14ac:dyDescent="0.4">
      <c r="A319" t="str">
        <f t="shared" si="9"/>
        <v/>
      </c>
      <c r="AA319" t="str">
        <f t="shared" si="8"/>
        <v/>
      </c>
    </row>
    <row r="320" spans="1:27" x14ac:dyDescent="0.4">
      <c r="A320" t="str">
        <f t="shared" si="9"/>
        <v/>
      </c>
      <c r="AA320" t="str">
        <f t="shared" si="8"/>
        <v/>
      </c>
    </row>
    <row r="321" spans="1:27" x14ac:dyDescent="0.4">
      <c r="A321" t="str">
        <f t="shared" si="9"/>
        <v/>
      </c>
      <c r="AA321" t="str">
        <f t="shared" si="8"/>
        <v/>
      </c>
    </row>
    <row r="322" spans="1:27" x14ac:dyDescent="0.4">
      <c r="A322" t="str">
        <f t="shared" si="9"/>
        <v/>
      </c>
      <c r="AA322" t="str">
        <f t="shared" si="8"/>
        <v/>
      </c>
    </row>
    <row r="323" spans="1:27" x14ac:dyDescent="0.4">
      <c r="A323" t="str">
        <f t="shared" si="9"/>
        <v/>
      </c>
      <c r="AA323" t="str">
        <f t="shared" si="8"/>
        <v/>
      </c>
    </row>
    <row r="324" spans="1:27" x14ac:dyDescent="0.4">
      <c r="A324" t="str">
        <f t="shared" si="9"/>
        <v/>
      </c>
      <c r="AA324" t="str">
        <f t="shared" si="8"/>
        <v/>
      </c>
    </row>
    <row r="325" spans="1:27" x14ac:dyDescent="0.4">
      <c r="A325" t="str">
        <f t="shared" si="9"/>
        <v/>
      </c>
      <c r="AA325" t="str">
        <f t="shared" ref="AA325:AA388" si="10">AB325&amp;AC325</f>
        <v/>
      </c>
    </row>
    <row r="326" spans="1:27" x14ac:dyDescent="0.4">
      <c r="A326" t="str">
        <f t="shared" ref="A326:A390" si="11">RIGHT(B326,12)</f>
        <v/>
      </c>
      <c r="AA326" t="str">
        <f t="shared" si="10"/>
        <v/>
      </c>
    </row>
    <row r="327" spans="1:27" x14ac:dyDescent="0.4">
      <c r="A327" t="str">
        <f t="shared" si="11"/>
        <v/>
      </c>
      <c r="AA327" t="str">
        <f t="shared" si="10"/>
        <v/>
      </c>
    </row>
    <row r="328" spans="1:27" x14ac:dyDescent="0.4">
      <c r="A328" t="str">
        <f t="shared" si="11"/>
        <v/>
      </c>
      <c r="AA328" t="str">
        <f t="shared" si="10"/>
        <v/>
      </c>
    </row>
    <row r="329" spans="1:27" x14ac:dyDescent="0.4">
      <c r="A329" t="str">
        <f t="shared" si="11"/>
        <v/>
      </c>
      <c r="AA329" t="str">
        <f t="shared" si="10"/>
        <v/>
      </c>
    </row>
    <row r="330" spans="1:27" x14ac:dyDescent="0.4">
      <c r="A330" t="str">
        <f t="shared" si="11"/>
        <v/>
      </c>
      <c r="AA330" t="str">
        <f t="shared" si="10"/>
        <v/>
      </c>
    </row>
    <row r="331" spans="1:27" x14ac:dyDescent="0.4">
      <c r="A331" t="str">
        <f t="shared" si="11"/>
        <v/>
      </c>
      <c r="AA331" t="str">
        <f t="shared" si="10"/>
        <v/>
      </c>
    </row>
    <row r="332" spans="1:27" x14ac:dyDescent="0.4">
      <c r="A332" t="str">
        <f t="shared" si="11"/>
        <v/>
      </c>
      <c r="AA332" t="str">
        <f t="shared" si="10"/>
        <v/>
      </c>
    </row>
    <row r="333" spans="1:27" x14ac:dyDescent="0.4">
      <c r="A333" t="str">
        <f t="shared" si="11"/>
        <v/>
      </c>
      <c r="AA333" t="str">
        <f t="shared" si="10"/>
        <v/>
      </c>
    </row>
    <row r="334" spans="1:27" x14ac:dyDescent="0.4">
      <c r="A334" t="str">
        <f t="shared" si="11"/>
        <v/>
      </c>
      <c r="AA334" t="str">
        <f t="shared" si="10"/>
        <v/>
      </c>
    </row>
    <row r="335" spans="1:27" x14ac:dyDescent="0.4">
      <c r="A335" t="str">
        <f t="shared" si="11"/>
        <v/>
      </c>
      <c r="AA335" t="str">
        <f t="shared" si="10"/>
        <v/>
      </c>
    </row>
    <row r="336" spans="1:27" x14ac:dyDescent="0.4">
      <c r="A336" t="str">
        <f t="shared" si="11"/>
        <v/>
      </c>
      <c r="AA336" t="str">
        <f t="shared" si="10"/>
        <v/>
      </c>
    </row>
    <row r="337" spans="1:27" x14ac:dyDescent="0.4">
      <c r="A337" t="str">
        <f t="shared" si="11"/>
        <v/>
      </c>
      <c r="AA337" t="str">
        <f t="shared" si="10"/>
        <v/>
      </c>
    </row>
    <row r="338" spans="1:27" x14ac:dyDescent="0.4">
      <c r="A338" t="str">
        <f t="shared" si="11"/>
        <v/>
      </c>
      <c r="AA338" t="str">
        <f t="shared" si="10"/>
        <v/>
      </c>
    </row>
    <row r="339" spans="1:27" x14ac:dyDescent="0.4">
      <c r="A339" t="str">
        <f t="shared" si="11"/>
        <v/>
      </c>
      <c r="AA339" t="str">
        <f t="shared" si="10"/>
        <v/>
      </c>
    </row>
    <row r="340" spans="1:27" x14ac:dyDescent="0.4">
      <c r="A340" t="str">
        <f t="shared" si="11"/>
        <v/>
      </c>
      <c r="AA340" t="str">
        <f t="shared" si="10"/>
        <v/>
      </c>
    </row>
    <row r="341" spans="1:27" x14ac:dyDescent="0.4">
      <c r="A341" t="str">
        <f t="shared" si="11"/>
        <v/>
      </c>
      <c r="AA341" t="str">
        <f t="shared" si="10"/>
        <v/>
      </c>
    </row>
    <row r="342" spans="1:27" x14ac:dyDescent="0.4">
      <c r="A342" t="str">
        <f t="shared" si="11"/>
        <v/>
      </c>
      <c r="AA342" t="str">
        <f t="shared" si="10"/>
        <v/>
      </c>
    </row>
    <row r="343" spans="1:27" x14ac:dyDescent="0.4">
      <c r="A343" t="str">
        <f t="shared" si="11"/>
        <v/>
      </c>
      <c r="AA343" t="str">
        <f t="shared" si="10"/>
        <v/>
      </c>
    </row>
    <row r="344" spans="1:27" x14ac:dyDescent="0.4">
      <c r="A344" t="str">
        <f t="shared" si="11"/>
        <v/>
      </c>
      <c r="AA344" t="str">
        <f t="shared" si="10"/>
        <v/>
      </c>
    </row>
    <row r="345" spans="1:27" x14ac:dyDescent="0.4">
      <c r="A345" t="str">
        <f t="shared" si="11"/>
        <v/>
      </c>
      <c r="AA345" t="str">
        <f t="shared" si="10"/>
        <v/>
      </c>
    </row>
    <row r="346" spans="1:27" x14ac:dyDescent="0.4">
      <c r="A346" t="str">
        <f t="shared" si="11"/>
        <v/>
      </c>
      <c r="AA346" t="str">
        <f t="shared" si="10"/>
        <v/>
      </c>
    </row>
    <row r="347" spans="1:27" x14ac:dyDescent="0.4">
      <c r="A347" t="str">
        <f t="shared" si="11"/>
        <v/>
      </c>
      <c r="AA347" t="str">
        <f t="shared" si="10"/>
        <v/>
      </c>
    </row>
    <row r="348" spans="1:27" x14ac:dyDescent="0.4">
      <c r="A348" t="str">
        <f t="shared" si="11"/>
        <v/>
      </c>
      <c r="AA348" t="str">
        <f t="shared" si="10"/>
        <v/>
      </c>
    </row>
    <row r="349" spans="1:27" x14ac:dyDescent="0.4">
      <c r="A349" t="str">
        <f t="shared" si="11"/>
        <v/>
      </c>
      <c r="AA349" t="str">
        <f t="shared" si="10"/>
        <v/>
      </c>
    </row>
    <row r="350" spans="1:27" x14ac:dyDescent="0.4">
      <c r="A350" t="str">
        <f t="shared" si="11"/>
        <v/>
      </c>
      <c r="AA350" t="str">
        <f t="shared" si="10"/>
        <v/>
      </c>
    </row>
    <row r="351" spans="1:27" x14ac:dyDescent="0.4">
      <c r="A351" t="str">
        <f t="shared" si="11"/>
        <v/>
      </c>
      <c r="AA351" t="str">
        <f t="shared" si="10"/>
        <v/>
      </c>
    </row>
    <row r="352" spans="1:27" x14ac:dyDescent="0.4">
      <c r="A352" t="str">
        <f t="shared" si="11"/>
        <v/>
      </c>
      <c r="AA352" t="str">
        <f t="shared" si="10"/>
        <v/>
      </c>
    </row>
    <row r="353" spans="1:27" x14ac:dyDescent="0.4">
      <c r="A353" t="str">
        <f t="shared" si="11"/>
        <v/>
      </c>
      <c r="AA353" t="str">
        <f t="shared" si="10"/>
        <v/>
      </c>
    </row>
    <row r="354" spans="1:27" x14ac:dyDescent="0.4">
      <c r="A354" t="str">
        <f t="shared" si="11"/>
        <v/>
      </c>
      <c r="AA354" t="str">
        <f t="shared" si="10"/>
        <v/>
      </c>
    </row>
    <row r="355" spans="1:27" x14ac:dyDescent="0.4">
      <c r="A355" t="str">
        <f t="shared" si="11"/>
        <v/>
      </c>
      <c r="AA355" t="str">
        <f t="shared" si="10"/>
        <v/>
      </c>
    </row>
    <row r="356" spans="1:27" x14ac:dyDescent="0.4">
      <c r="A356" t="str">
        <f t="shared" si="11"/>
        <v/>
      </c>
      <c r="AA356" t="str">
        <f t="shared" si="10"/>
        <v/>
      </c>
    </row>
    <row r="357" spans="1:27" x14ac:dyDescent="0.4">
      <c r="A357" t="str">
        <f t="shared" si="11"/>
        <v/>
      </c>
      <c r="AA357" t="str">
        <f t="shared" si="10"/>
        <v/>
      </c>
    </row>
    <row r="358" spans="1:27" x14ac:dyDescent="0.4">
      <c r="A358" t="str">
        <f t="shared" si="11"/>
        <v/>
      </c>
      <c r="AA358" t="str">
        <f t="shared" si="10"/>
        <v/>
      </c>
    </row>
    <row r="359" spans="1:27" x14ac:dyDescent="0.4">
      <c r="A359" t="str">
        <f t="shared" si="11"/>
        <v/>
      </c>
      <c r="AA359" t="str">
        <f t="shared" si="10"/>
        <v/>
      </c>
    </row>
    <row r="360" spans="1:27" x14ac:dyDescent="0.4">
      <c r="A360" t="str">
        <f t="shared" si="11"/>
        <v/>
      </c>
      <c r="AA360" t="str">
        <f t="shared" si="10"/>
        <v/>
      </c>
    </row>
    <row r="361" spans="1:27" x14ac:dyDescent="0.4">
      <c r="A361" t="str">
        <f t="shared" si="11"/>
        <v/>
      </c>
      <c r="AA361" t="str">
        <f t="shared" si="10"/>
        <v/>
      </c>
    </row>
    <row r="362" spans="1:27" x14ac:dyDescent="0.4">
      <c r="A362" t="str">
        <f t="shared" si="11"/>
        <v/>
      </c>
      <c r="AA362" t="str">
        <f t="shared" si="10"/>
        <v/>
      </c>
    </row>
    <row r="363" spans="1:27" x14ac:dyDescent="0.4">
      <c r="A363" t="str">
        <f t="shared" si="11"/>
        <v/>
      </c>
      <c r="AA363" t="str">
        <f t="shared" si="10"/>
        <v/>
      </c>
    </row>
    <row r="364" spans="1:27" x14ac:dyDescent="0.4">
      <c r="A364" t="str">
        <f t="shared" si="11"/>
        <v/>
      </c>
      <c r="AA364" t="str">
        <f t="shared" si="10"/>
        <v/>
      </c>
    </row>
    <row r="365" spans="1:27" x14ac:dyDescent="0.4">
      <c r="A365" t="str">
        <f t="shared" si="11"/>
        <v/>
      </c>
      <c r="AA365" t="str">
        <f t="shared" si="10"/>
        <v/>
      </c>
    </row>
    <row r="366" spans="1:27" x14ac:dyDescent="0.4">
      <c r="A366" t="str">
        <f t="shared" si="11"/>
        <v/>
      </c>
      <c r="AA366" t="str">
        <f t="shared" si="10"/>
        <v/>
      </c>
    </row>
    <row r="367" spans="1:27" x14ac:dyDescent="0.4">
      <c r="A367" t="str">
        <f t="shared" si="11"/>
        <v/>
      </c>
      <c r="AA367" t="str">
        <f t="shared" si="10"/>
        <v/>
      </c>
    </row>
    <row r="368" spans="1:27" x14ac:dyDescent="0.4">
      <c r="A368" t="str">
        <f t="shared" si="11"/>
        <v/>
      </c>
      <c r="AA368" t="str">
        <f t="shared" si="10"/>
        <v/>
      </c>
    </row>
    <row r="369" spans="1:27" x14ac:dyDescent="0.4">
      <c r="A369" t="str">
        <f t="shared" si="11"/>
        <v/>
      </c>
      <c r="AA369" t="str">
        <f t="shared" si="10"/>
        <v/>
      </c>
    </row>
    <row r="370" spans="1:27" x14ac:dyDescent="0.4">
      <c r="A370" t="str">
        <f t="shared" si="11"/>
        <v/>
      </c>
      <c r="AA370" t="str">
        <f t="shared" si="10"/>
        <v/>
      </c>
    </row>
    <row r="371" spans="1:27" x14ac:dyDescent="0.4">
      <c r="A371" t="str">
        <f t="shared" si="11"/>
        <v/>
      </c>
      <c r="AA371" t="str">
        <f t="shared" si="10"/>
        <v/>
      </c>
    </row>
    <row r="372" spans="1:27" x14ac:dyDescent="0.4">
      <c r="A372" t="str">
        <f t="shared" si="11"/>
        <v/>
      </c>
      <c r="AA372" t="str">
        <f t="shared" si="10"/>
        <v/>
      </c>
    </row>
    <row r="373" spans="1:27" x14ac:dyDescent="0.4">
      <c r="A373" t="str">
        <f t="shared" si="11"/>
        <v/>
      </c>
      <c r="AA373" t="str">
        <f t="shared" si="10"/>
        <v/>
      </c>
    </row>
    <row r="374" spans="1:27" x14ac:dyDescent="0.4">
      <c r="A374" t="str">
        <f t="shared" si="11"/>
        <v/>
      </c>
      <c r="AA374" t="str">
        <f t="shared" si="10"/>
        <v/>
      </c>
    </row>
    <row r="375" spans="1:27" x14ac:dyDescent="0.4">
      <c r="A375" t="str">
        <f t="shared" si="11"/>
        <v/>
      </c>
      <c r="AA375" t="str">
        <f t="shared" si="10"/>
        <v/>
      </c>
    </row>
    <row r="376" spans="1:27" x14ac:dyDescent="0.4">
      <c r="A376" t="str">
        <f t="shared" si="11"/>
        <v/>
      </c>
      <c r="AA376" t="str">
        <f t="shared" si="10"/>
        <v/>
      </c>
    </row>
    <row r="377" spans="1:27" x14ac:dyDescent="0.4">
      <c r="A377" t="str">
        <f t="shared" si="11"/>
        <v/>
      </c>
      <c r="AA377" t="str">
        <f t="shared" si="10"/>
        <v/>
      </c>
    </row>
    <row r="378" spans="1:27" x14ac:dyDescent="0.4">
      <c r="A378" t="str">
        <f t="shared" si="11"/>
        <v/>
      </c>
      <c r="AA378" t="str">
        <f t="shared" si="10"/>
        <v/>
      </c>
    </row>
    <row r="379" spans="1:27" x14ac:dyDescent="0.4">
      <c r="A379" t="str">
        <f t="shared" si="11"/>
        <v/>
      </c>
      <c r="AA379" t="str">
        <f t="shared" si="10"/>
        <v/>
      </c>
    </row>
    <row r="380" spans="1:27" x14ac:dyDescent="0.4">
      <c r="A380" t="str">
        <f t="shared" si="11"/>
        <v/>
      </c>
      <c r="AA380" t="str">
        <f t="shared" si="10"/>
        <v/>
      </c>
    </row>
    <row r="381" spans="1:27" x14ac:dyDescent="0.4">
      <c r="A381" t="str">
        <f t="shared" si="11"/>
        <v/>
      </c>
      <c r="AA381" t="str">
        <f t="shared" si="10"/>
        <v/>
      </c>
    </row>
    <row r="382" spans="1:27" x14ac:dyDescent="0.4">
      <c r="A382" t="str">
        <f t="shared" si="11"/>
        <v/>
      </c>
      <c r="AA382" t="str">
        <f t="shared" si="10"/>
        <v/>
      </c>
    </row>
    <row r="383" spans="1:27" x14ac:dyDescent="0.4">
      <c r="A383" t="str">
        <f t="shared" si="11"/>
        <v/>
      </c>
      <c r="AA383" t="str">
        <f t="shared" si="10"/>
        <v/>
      </c>
    </row>
    <row r="384" spans="1:27" x14ac:dyDescent="0.4">
      <c r="A384" t="str">
        <f t="shared" si="11"/>
        <v/>
      </c>
      <c r="AA384" t="str">
        <f t="shared" si="10"/>
        <v/>
      </c>
    </row>
    <row r="385" spans="1:27" x14ac:dyDescent="0.4">
      <c r="A385" t="str">
        <f t="shared" si="11"/>
        <v/>
      </c>
      <c r="AA385" t="str">
        <f t="shared" si="10"/>
        <v/>
      </c>
    </row>
    <row r="386" spans="1:27" x14ac:dyDescent="0.4">
      <c r="A386" t="str">
        <f t="shared" si="11"/>
        <v/>
      </c>
      <c r="AA386" t="str">
        <f t="shared" si="10"/>
        <v/>
      </c>
    </row>
    <row r="387" spans="1:27" x14ac:dyDescent="0.4">
      <c r="A387" t="str">
        <f t="shared" si="11"/>
        <v/>
      </c>
      <c r="AA387" t="str">
        <f t="shared" si="10"/>
        <v/>
      </c>
    </row>
    <row r="388" spans="1:27" x14ac:dyDescent="0.4">
      <c r="A388" t="str">
        <f t="shared" si="11"/>
        <v/>
      </c>
      <c r="AA388" t="str">
        <f t="shared" si="10"/>
        <v/>
      </c>
    </row>
    <row r="389" spans="1:27" x14ac:dyDescent="0.4">
      <c r="A389" t="str">
        <f t="shared" si="11"/>
        <v/>
      </c>
      <c r="AA389" t="str">
        <f t="shared" ref="AA389:AA452" si="12">AB389&amp;AC389</f>
        <v/>
      </c>
    </row>
    <row r="390" spans="1:27" x14ac:dyDescent="0.4">
      <c r="A390" t="str">
        <f t="shared" si="11"/>
        <v/>
      </c>
      <c r="AA390" t="str">
        <f t="shared" si="12"/>
        <v/>
      </c>
    </row>
    <row r="391" spans="1:27" x14ac:dyDescent="0.4">
      <c r="A391" t="str">
        <f t="shared" ref="A391:A454" si="13">RIGHT(B391,12)</f>
        <v/>
      </c>
      <c r="AA391" t="str">
        <f t="shared" si="12"/>
        <v/>
      </c>
    </row>
    <row r="392" spans="1:27" x14ac:dyDescent="0.4">
      <c r="A392" t="str">
        <f t="shared" si="13"/>
        <v/>
      </c>
      <c r="AA392" t="str">
        <f t="shared" si="12"/>
        <v/>
      </c>
    </row>
    <row r="393" spans="1:27" x14ac:dyDescent="0.4">
      <c r="A393" t="str">
        <f t="shared" si="13"/>
        <v/>
      </c>
      <c r="AA393" t="str">
        <f t="shared" si="12"/>
        <v/>
      </c>
    </row>
    <row r="394" spans="1:27" x14ac:dyDescent="0.4">
      <c r="A394" t="str">
        <f t="shared" si="13"/>
        <v/>
      </c>
      <c r="AA394" t="str">
        <f t="shared" si="12"/>
        <v/>
      </c>
    </row>
    <row r="395" spans="1:27" x14ac:dyDescent="0.4">
      <c r="A395" t="str">
        <f t="shared" si="13"/>
        <v/>
      </c>
      <c r="AA395" t="str">
        <f t="shared" si="12"/>
        <v/>
      </c>
    </row>
    <row r="396" spans="1:27" x14ac:dyDescent="0.4">
      <c r="A396" t="str">
        <f t="shared" si="13"/>
        <v/>
      </c>
      <c r="AA396" t="str">
        <f t="shared" si="12"/>
        <v/>
      </c>
    </row>
    <row r="397" spans="1:27" x14ac:dyDescent="0.4">
      <c r="A397" t="str">
        <f t="shared" si="13"/>
        <v/>
      </c>
      <c r="AA397" t="str">
        <f t="shared" si="12"/>
        <v/>
      </c>
    </row>
    <row r="398" spans="1:27" x14ac:dyDescent="0.4">
      <c r="A398" t="str">
        <f t="shared" si="13"/>
        <v/>
      </c>
      <c r="AA398" t="str">
        <f t="shared" si="12"/>
        <v/>
      </c>
    </row>
    <row r="399" spans="1:27" x14ac:dyDescent="0.4">
      <c r="A399" t="str">
        <f t="shared" si="13"/>
        <v/>
      </c>
      <c r="AA399" t="str">
        <f t="shared" si="12"/>
        <v/>
      </c>
    </row>
    <row r="400" spans="1:27" x14ac:dyDescent="0.4">
      <c r="A400" t="str">
        <f t="shared" si="13"/>
        <v/>
      </c>
      <c r="AA400" t="str">
        <f t="shared" si="12"/>
        <v/>
      </c>
    </row>
    <row r="401" spans="1:27" x14ac:dyDescent="0.4">
      <c r="A401" t="str">
        <f t="shared" si="13"/>
        <v/>
      </c>
      <c r="AA401" t="str">
        <f t="shared" si="12"/>
        <v/>
      </c>
    </row>
    <row r="402" spans="1:27" x14ac:dyDescent="0.4">
      <c r="A402" t="str">
        <f t="shared" si="13"/>
        <v/>
      </c>
      <c r="AA402" t="str">
        <f t="shared" si="12"/>
        <v/>
      </c>
    </row>
    <row r="403" spans="1:27" x14ac:dyDescent="0.4">
      <c r="A403" t="str">
        <f t="shared" si="13"/>
        <v/>
      </c>
      <c r="AA403" t="str">
        <f t="shared" si="12"/>
        <v/>
      </c>
    </row>
    <row r="404" spans="1:27" x14ac:dyDescent="0.4">
      <c r="A404" t="str">
        <f t="shared" si="13"/>
        <v/>
      </c>
      <c r="AA404" t="str">
        <f t="shared" si="12"/>
        <v/>
      </c>
    </row>
    <row r="405" spans="1:27" x14ac:dyDescent="0.4">
      <c r="A405" t="str">
        <f t="shared" si="13"/>
        <v/>
      </c>
      <c r="AA405" t="str">
        <f t="shared" si="12"/>
        <v/>
      </c>
    </row>
    <row r="406" spans="1:27" x14ac:dyDescent="0.4">
      <c r="A406" t="str">
        <f t="shared" si="13"/>
        <v/>
      </c>
      <c r="AA406" t="str">
        <f t="shared" si="12"/>
        <v/>
      </c>
    </row>
    <row r="407" spans="1:27" x14ac:dyDescent="0.4">
      <c r="A407" t="str">
        <f t="shared" si="13"/>
        <v/>
      </c>
      <c r="AA407" t="str">
        <f t="shared" si="12"/>
        <v/>
      </c>
    </row>
    <row r="408" spans="1:27" x14ac:dyDescent="0.4">
      <c r="A408" t="str">
        <f t="shared" si="13"/>
        <v/>
      </c>
      <c r="AA408" t="str">
        <f t="shared" si="12"/>
        <v/>
      </c>
    </row>
    <row r="409" spans="1:27" x14ac:dyDescent="0.4">
      <c r="A409" t="str">
        <f t="shared" si="13"/>
        <v/>
      </c>
      <c r="AA409" t="str">
        <f t="shared" si="12"/>
        <v/>
      </c>
    </row>
    <row r="410" spans="1:27" x14ac:dyDescent="0.4">
      <c r="A410" t="str">
        <f t="shared" si="13"/>
        <v/>
      </c>
      <c r="AA410" t="str">
        <f t="shared" si="12"/>
        <v/>
      </c>
    </row>
    <row r="411" spans="1:27" x14ac:dyDescent="0.4">
      <c r="A411" t="str">
        <f t="shared" si="13"/>
        <v/>
      </c>
      <c r="AA411" t="str">
        <f t="shared" si="12"/>
        <v/>
      </c>
    </row>
    <row r="412" spans="1:27" x14ac:dyDescent="0.4">
      <c r="A412" t="str">
        <f t="shared" si="13"/>
        <v/>
      </c>
      <c r="AA412" t="str">
        <f t="shared" si="12"/>
        <v/>
      </c>
    </row>
    <row r="413" spans="1:27" x14ac:dyDescent="0.4">
      <c r="A413" t="str">
        <f t="shared" si="13"/>
        <v/>
      </c>
      <c r="AA413" t="str">
        <f t="shared" si="12"/>
        <v/>
      </c>
    </row>
    <row r="414" spans="1:27" x14ac:dyDescent="0.4">
      <c r="A414" t="str">
        <f t="shared" si="13"/>
        <v/>
      </c>
      <c r="AA414" t="str">
        <f t="shared" si="12"/>
        <v/>
      </c>
    </row>
    <row r="415" spans="1:27" x14ac:dyDescent="0.4">
      <c r="A415" t="str">
        <f t="shared" si="13"/>
        <v/>
      </c>
      <c r="AA415" t="str">
        <f t="shared" si="12"/>
        <v/>
      </c>
    </row>
    <row r="416" spans="1:27" x14ac:dyDescent="0.4">
      <c r="A416" t="str">
        <f t="shared" si="13"/>
        <v/>
      </c>
      <c r="AA416" t="str">
        <f t="shared" si="12"/>
        <v/>
      </c>
    </row>
    <row r="417" spans="1:27" x14ac:dyDescent="0.4">
      <c r="A417" t="str">
        <f t="shared" si="13"/>
        <v/>
      </c>
      <c r="AA417" t="str">
        <f t="shared" si="12"/>
        <v/>
      </c>
    </row>
    <row r="418" spans="1:27" x14ac:dyDescent="0.4">
      <c r="A418" t="str">
        <f t="shared" si="13"/>
        <v/>
      </c>
      <c r="AA418" t="str">
        <f t="shared" si="12"/>
        <v/>
      </c>
    </row>
    <row r="419" spans="1:27" x14ac:dyDescent="0.4">
      <c r="A419" t="str">
        <f t="shared" si="13"/>
        <v/>
      </c>
      <c r="AA419" t="str">
        <f t="shared" si="12"/>
        <v/>
      </c>
    </row>
    <row r="420" spans="1:27" x14ac:dyDescent="0.4">
      <c r="A420" t="str">
        <f t="shared" si="13"/>
        <v/>
      </c>
      <c r="AA420" t="str">
        <f t="shared" si="12"/>
        <v/>
      </c>
    </row>
    <row r="421" spans="1:27" x14ac:dyDescent="0.4">
      <c r="A421" t="str">
        <f t="shared" si="13"/>
        <v/>
      </c>
      <c r="AA421" t="str">
        <f t="shared" si="12"/>
        <v/>
      </c>
    </row>
    <row r="422" spans="1:27" x14ac:dyDescent="0.4">
      <c r="A422" t="str">
        <f t="shared" si="13"/>
        <v/>
      </c>
      <c r="AA422" t="str">
        <f t="shared" si="12"/>
        <v/>
      </c>
    </row>
    <row r="423" spans="1:27" x14ac:dyDescent="0.4">
      <c r="A423" t="str">
        <f t="shared" si="13"/>
        <v/>
      </c>
      <c r="AA423" t="str">
        <f t="shared" si="12"/>
        <v/>
      </c>
    </row>
    <row r="424" spans="1:27" x14ac:dyDescent="0.4">
      <c r="A424" t="str">
        <f t="shared" si="13"/>
        <v/>
      </c>
      <c r="AA424" t="str">
        <f t="shared" si="12"/>
        <v/>
      </c>
    </row>
    <row r="425" spans="1:27" x14ac:dyDescent="0.4">
      <c r="A425" t="str">
        <f t="shared" si="13"/>
        <v/>
      </c>
      <c r="AA425" t="str">
        <f t="shared" si="12"/>
        <v/>
      </c>
    </row>
    <row r="426" spans="1:27" x14ac:dyDescent="0.4">
      <c r="A426" t="str">
        <f t="shared" si="13"/>
        <v/>
      </c>
      <c r="AA426" t="str">
        <f t="shared" si="12"/>
        <v/>
      </c>
    </row>
    <row r="427" spans="1:27" x14ac:dyDescent="0.4">
      <c r="A427" t="str">
        <f t="shared" si="13"/>
        <v/>
      </c>
      <c r="AA427" t="str">
        <f t="shared" si="12"/>
        <v/>
      </c>
    </row>
    <row r="428" spans="1:27" x14ac:dyDescent="0.4">
      <c r="A428" t="str">
        <f t="shared" si="13"/>
        <v/>
      </c>
      <c r="AA428" t="str">
        <f t="shared" si="12"/>
        <v/>
      </c>
    </row>
    <row r="429" spans="1:27" x14ac:dyDescent="0.4">
      <c r="A429" t="str">
        <f t="shared" si="13"/>
        <v/>
      </c>
      <c r="AA429" t="str">
        <f t="shared" si="12"/>
        <v/>
      </c>
    </row>
    <row r="430" spans="1:27" x14ac:dyDescent="0.4">
      <c r="A430" t="str">
        <f t="shared" si="13"/>
        <v/>
      </c>
      <c r="AA430" t="str">
        <f t="shared" si="12"/>
        <v/>
      </c>
    </row>
    <row r="431" spans="1:27" x14ac:dyDescent="0.4">
      <c r="A431" t="str">
        <f t="shared" si="13"/>
        <v/>
      </c>
      <c r="AA431" t="str">
        <f t="shared" si="12"/>
        <v/>
      </c>
    </row>
    <row r="432" spans="1:27" x14ac:dyDescent="0.4">
      <c r="A432" t="str">
        <f t="shared" si="13"/>
        <v/>
      </c>
      <c r="AA432" t="str">
        <f t="shared" si="12"/>
        <v/>
      </c>
    </row>
    <row r="433" spans="1:27" x14ac:dyDescent="0.4">
      <c r="A433" t="str">
        <f t="shared" si="13"/>
        <v/>
      </c>
      <c r="AA433" t="str">
        <f t="shared" si="12"/>
        <v/>
      </c>
    </row>
    <row r="434" spans="1:27" x14ac:dyDescent="0.4">
      <c r="A434" t="str">
        <f t="shared" si="13"/>
        <v/>
      </c>
      <c r="AA434" t="str">
        <f t="shared" si="12"/>
        <v/>
      </c>
    </row>
    <row r="435" spans="1:27" x14ac:dyDescent="0.4">
      <c r="A435" t="str">
        <f t="shared" si="13"/>
        <v/>
      </c>
      <c r="AA435" t="str">
        <f t="shared" si="12"/>
        <v/>
      </c>
    </row>
    <row r="436" spans="1:27" x14ac:dyDescent="0.4">
      <c r="A436" t="str">
        <f t="shared" si="13"/>
        <v/>
      </c>
      <c r="AA436" t="str">
        <f t="shared" si="12"/>
        <v/>
      </c>
    </row>
    <row r="437" spans="1:27" x14ac:dyDescent="0.4">
      <c r="A437" t="str">
        <f t="shared" si="13"/>
        <v/>
      </c>
      <c r="AA437" t="str">
        <f t="shared" si="12"/>
        <v/>
      </c>
    </row>
    <row r="438" spans="1:27" x14ac:dyDescent="0.4">
      <c r="A438" t="str">
        <f t="shared" si="13"/>
        <v/>
      </c>
      <c r="AA438" t="str">
        <f t="shared" si="12"/>
        <v/>
      </c>
    </row>
    <row r="439" spans="1:27" x14ac:dyDescent="0.4">
      <c r="A439" t="str">
        <f t="shared" si="13"/>
        <v/>
      </c>
      <c r="AA439" t="str">
        <f t="shared" si="12"/>
        <v/>
      </c>
    </row>
    <row r="440" spans="1:27" x14ac:dyDescent="0.4">
      <c r="A440" t="str">
        <f t="shared" si="13"/>
        <v/>
      </c>
      <c r="AA440" t="str">
        <f t="shared" si="12"/>
        <v/>
      </c>
    </row>
    <row r="441" spans="1:27" x14ac:dyDescent="0.4">
      <c r="A441" t="str">
        <f t="shared" si="13"/>
        <v/>
      </c>
      <c r="AA441" t="str">
        <f t="shared" si="12"/>
        <v/>
      </c>
    </row>
    <row r="442" spans="1:27" x14ac:dyDescent="0.4">
      <c r="A442" t="str">
        <f t="shared" si="13"/>
        <v/>
      </c>
      <c r="AA442" t="str">
        <f t="shared" si="12"/>
        <v/>
      </c>
    </row>
    <row r="443" spans="1:27" x14ac:dyDescent="0.4">
      <c r="A443" t="str">
        <f t="shared" si="13"/>
        <v/>
      </c>
      <c r="AA443" t="str">
        <f t="shared" si="12"/>
        <v/>
      </c>
    </row>
    <row r="444" spans="1:27" x14ac:dyDescent="0.4">
      <c r="A444" t="str">
        <f t="shared" si="13"/>
        <v/>
      </c>
      <c r="AA444" t="str">
        <f t="shared" si="12"/>
        <v/>
      </c>
    </row>
    <row r="445" spans="1:27" x14ac:dyDescent="0.4">
      <c r="A445" t="str">
        <f t="shared" si="13"/>
        <v/>
      </c>
      <c r="AA445" t="str">
        <f t="shared" si="12"/>
        <v/>
      </c>
    </row>
    <row r="446" spans="1:27" x14ac:dyDescent="0.4">
      <c r="A446" t="str">
        <f t="shared" si="13"/>
        <v/>
      </c>
      <c r="AA446" t="str">
        <f t="shared" si="12"/>
        <v/>
      </c>
    </row>
    <row r="447" spans="1:27" x14ac:dyDescent="0.4">
      <c r="A447" t="str">
        <f t="shared" si="13"/>
        <v/>
      </c>
      <c r="AA447" t="str">
        <f t="shared" si="12"/>
        <v/>
      </c>
    </row>
    <row r="448" spans="1:27" x14ac:dyDescent="0.4">
      <c r="A448" t="str">
        <f t="shared" si="13"/>
        <v/>
      </c>
      <c r="AA448" t="str">
        <f t="shared" si="12"/>
        <v/>
      </c>
    </row>
    <row r="449" spans="1:27" x14ac:dyDescent="0.4">
      <c r="A449" t="str">
        <f t="shared" si="13"/>
        <v/>
      </c>
      <c r="AA449" t="str">
        <f t="shared" si="12"/>
        <v/>
      </c>
    </row>
    <row r="450" spans="1:27" x14ac:dyDescent="0.4">
      <c r="A450" t="str">
        <f t="shared" si="13"/>
        <v/>
      </c>
      <c r="AA450" t="str">
        <f t="shared" si="12"/>
        <v/>
      </c>
    </row>
    <row r="451" spans="1:27" x14ac:dyDescent="0.4">
      <c r="A451" t="str">
        <f t="shared" si="13"/>
        <v/>
      </c>
      <c r="AA451" t="str">
        <f t="shared" si="12"/>
        <v/>
      </c>
    </row>
    <row r="452" spans="1:27" x14ac:dyDescent="0.4">
      <c r="A452" t="str">
        <f t="shared" si="13"/>
        <v/>
      </c>
      <c r="AA452" t="str">
        <f t="shared" si="12"/>
        <v/>
      </c>
    </row>
    <row r="453" spans="1:27" x14ac:dyDescent="0.4">
      <c r="A453" t="str">
        <f t="shared" si="13"/>
        <v/>
      </c>
      <c r="AA453" t="str">
        <f t="shared" ref="AA453:AA516" si="14">AB453&amp;AC453</f>
        <v/>
      </c>
    </row>
    <row r="454" spans="1:27" x14ac:dyDescent="0.4">
      <c r="A454" t="str">
        <f t="shared" si="13"/>
        <v/>
      </c>
      <c r="AA454" t="str">
        <f t="shared" si="14"/>
        <v/>
      </c>
    </row>
    <row r="455" spans="1:27" x14ac:dyDescent="0.4">
      <c r="A455" t="str">
        <f t="shared" ref="A455:A518" si="15">RIGHT(B455,12)</f>
        <v/>
      </c>
      <c r="AA455" t="str">
        <f t="shared" si="14"/>
        <v/>
      </c>
    </row>
    <row r="456" spans="1:27" x14ac:dyDescent="0.4">
      <c r="A456" t="str">
        <f t="shared" si="15"/>
        <v/>
      </c>
      <c r="AA456" t="str">
        <f t="shared" si="14"/>
        <v/>
      </c>
    </row>
    <row r="457" spans="1:27" x14ac:dyDescent="0.4">
      <c r="A457" t="str">
        <f t="shared" si="15"/>
        <v/>
      </c>
      <c r="AA457" t="str">
        <f t="shared" si="14"/>
        <v/>
      </c>
    </row>
    <row r="458" spans="1:27" x14ac:dyDescent="0.4">
      <c r="A458" t="str">
        <f t="shared" si="15"/>
        <v/>
      </c>
      <c r="AA458" t="str">
        <f t="shared" si="14"/>
        <v/>
      </c>
    </row>
    <row r="459" spans="1:27" x14ac:dyDescent="0.4">
      <c r="A459" t="str">
        <f t="shared" si="15"/>
        <v/>
      </c>
      <c r="AA459" t="str">
        <f t="shared" si="14"/>
        <v/>
      </c>
    </row>
    <row r="460" spans="1:27" x14ac:dyDescent="0.4">
      <c r="A460" t="str">
        <f t="shared" si="15"/>
        <v/>
      </c>
      <c r="AA460" t="str">
        <f t="shared" si="14"/>
        <v/>
      </c>
    </row>
    <row r="461" spans="1:27" x14ac:dyDescent="0.4">
      <c r="A461" t="str">
        <f t="shared" si="15"/>
        <v/>
      </c>
      <c r="AA461" t="str">
        <f t="shared" si="14"/>
        <v/>
      </c>
    </row>
    <row r="462" spans="1:27" x14ac:dyDescent="0.4">
      <c r="A462" t="str">
        <f t="shared" si="15"/>
        <v/>
      </c>
      <c r="AA462" t="str">
        <f t="shared" si="14"/>
        <v/>
      </c>
    </row>
    <row r="463" spans="1:27" x14ac:dyDescent="0.4">
      <c r="A463" t="str">
        <f t="shared" si="15"/>
        <v/>
      </c>
      <c r="AA463" t="str">
        <f t="shared" si="14"/>
        <v/>
      </c>
    </row>
    <row r="464" spans="1:27" x14ac:dyDescent="0.4">
      <c r="A464" t="str">
        <f t="shared" si="15"/>
        <v/>
      </c>
      <c r="AA464" t="str">
        <f t="shared" si="14"/>
        <v/>
      </c>
    </row>
    <row r="465" spans="1:27" x14ac:dyDescent="0.4">
      <c r="A465" t="str">
        <f t="shared" si="15"/>
        <v/>
      </c>
      <c r="AA465" t="str">
        <f t="shared" si="14"/>
        <v/>
      </c>
    </row>
    <row r="466" spans="1:27" x14ac:dyDescent="0.4">
      <c r="A466" t="str">
        <f t="shared" si="15"/>
        <v/>
      </c>
      <c r="AA466" t="str">
        <f t="shared" si="14"/>
        <v/>
      </c>
    </row>
    <row r="467" spans="1:27" x14ac:dyDescent="0.4">
      <c r="A467" t="str">
        <f t="shared" si="15"/>
        <v/>
      </c>
      <c r="AA467" t="str">
        <f t="shared" si="14"/>
        <v/>
      </c>
    </row>
    <row r="468" spans="1:27" x14ac:dyDescent="0.4">
      <c r="A468" t="str">
        <f t="shared" si="15"/>
        <v/>
      </c>
      <c r="AA468" t="str">
        <f t="shared" si="14"/>
        <v/>
      </c>
    </row>
    <row r="469" spans="1:27" x14ac:dyDescent="0.4">
      <c r="A469" t="str">
        <f t="shared" si="15"/>
        <v/>
      </c>
      <c r="AA469" t="str">
        <f t="shared" si="14"/>
        <v/>
      </c>
    </row>
    <row r="470" spans="1:27" x14ac:dyDescent="0.4">
      <c r="A470" t="str">
        <f t="shared" si="15"/>
        <v/>
      </c>
      <c r="AA470" t="str">
        <f t="shared" si="14"/>
        <v/>
      </c>
    </row>
    <row r="471" spans="1:27" x14ac:dyDescent="0.4">
      <c r="A471" t="str">
        <f t="shared" si="15"/>
        <v/>
      </c>
      <c r="AA471" t="str">
        <f t="shared" si="14"/>
        <v/>
      </c>
    </row>
    <row r="472" spans="1:27" x14ac:dyDescent="0.4">
      <c r="A472" t="str">
        <f t="shared" si="15"/>
        <v/>
      </c>
      <c r="AA472" t="str">
        <f t="shared" si="14"/>
        <v/>
      </c>
    </row>
    <row r="473" spans="1:27" x14ac:dyDescent="0.4">
      <c r="A473" t="str">
        <f t="shared" si="15"/>
        <v/>
      </c>
      <c r="AA473" t="str">
        <f t="shared" si="14"/>
        <v/>
      </c>
    </row>
    <row r="474" spans="1:27" x14ac:dyDescent="0.4">
      <c r="A474" t="str">
        <f t="shared" si="15"/>
        <v/>
      </c>
      <c r="AA474" t="str">
        <f t="shared" si="14"/>
        <v/>
      </c>
    </row>
    <row r="475" spans="1:27" x14ac:dyDescent="0.4">
      <c r="A475" t="str">
        <f t="shared" si="15"/>
        <v/>
      </c>
      <c r="AA475" t="str">
        <f t="shared" si="14"/>
        <v/>
      </c>
    </row>
    <row r="476" spans="1:27" x14ac:dyDescent="0.4">
      <c r="A476" t="str">
        <f t="shared" si="15"/>
        <v/>
      </c>
      <c r="AA476" t="str">
        <f t="shared" si="14"/>
        <v/>
      </c>
    </row>
    <row r="477" spans="1:27" x14ac:dyDescent="0.4">
      <c r="A477" t="str">
        <f t="shared" si="15"/>
        <v/>
      </c>
      <c r="AA477" t="str">
        <f t="shared" si="14"/>
        <v/>
      </c>
    </row>
    <row r="478" spans="1:27" x14ac:dyDescent="0.4">
      <c r="A478" t="str">
        <f t="shared" si="15"/>
        <v/>
      </c>
      <c r="AA478" t="str">
        <f t="shared" si="14"/>
        <v/>
      </c>
    </row>
    <row r="479" spans="1:27" x14ac:dyDescent="0.4">
      <c r="A479" t="str">
        <f t="shared" si="15"/>
        <v/>
      </c>
      <c r="AA479" t="str">
        <f t="shared" si="14"/>
        <v/>
      </c>
    </row>
    <row r="480" spans="1:27" x14ac:dyDescent="0.4">
      <c r="A480" t="str">
        <f t="shared" si="15"/>
        <v/>
      </c>
      <c r="AA480" t="str">
        <f t="shared" si="14"/>
        <v/>
      </c>
    </row>
    <row r="481" spans="1:27" x14ac:dyDescent="0.4">
      <c r="A481" t="str">
        <f t="shared" si="15"/>
        <v/>
      </c>
      <c r="AA481" t="str">
        <f t="shared" si="14"/>
        <v/>
      </c>
    </row>
    <row r="482" spans="1:27" x14ac:dyDescent="0.4">
      <c r="A482" t="str">
        <f t="shared" si="15"/>
        <v/>
      </c>
      <c r="AA482" t="str">
        <f t="shared" si="14"/>
        <v/>
      </c>
    </row>
    <row r="483" spans="1:27" x14ac:dyDescent="0.4">
      <c r="A483" t="str">
        <f t="shared" si="15"/>
        <v/>
      </c>
      <c r="AA483" t="str">
        <f t="shared" si="14"/>
        <v/>
      </c>
    </row>
    <row r="484" spans="1:27" x14ac:dyDescent="0.4">
      <c r="A484" t="str">
        <f t="shared" si="15"/>
        <v/>
      </c>
      <c r="AA484" t="str">
        <f t="shared" si="14"/>
        <v/>
      </c>
    </row>
    <row r="485" spans="1:27" x14ac:dyDescent="0.4">
      <c r="A485" t="str">
        <f t="shared" si="15"/>
        <v/>
      </c>
      <c r="AA485" t="str">
        <f t="shared" si="14"/>
        <v/>
      </c>
    </row>
    <row r="486" spans="1:27" x14ac:dyDescent="0.4">
      <c r="A486" t="str">
        <f t="shared" si="15"/>
        <v/>
      </c>
      <c r="AA486" t="str">
        <f t="shared" si="14"/>
        <v/>
      </c>
    </row>
    <row r="487" spans="1:27" x14ac:dyDescent="0.4">
      <c r="A487" t="str">
        <f t="shared" si="15"/>
        <v/>
      </c>
      <c r="AA487" t="str">
        <f t="shared" si="14"/>
        <v/>
      </c>
    </row>
    <row r="488" spans="1:27" x14ac:dyDescent="0.4">
      <c r="A488" t="str">
        <f t="shared" si="15"/>
        <v/>
      </c>
      <c r="AA488" t="str">
        <f t="shared" si="14"/>
        <v/>
      </c>
    </row>
    <row r="489" spans="1:27" x14ac:dyDescent="0.4">
      <c r="A489" t="str">
        <f t="shared" si="15"/>
        <v/>
      </c>
      <c r="AA489" t="str">
        <f t="shared" si="14"/>
        <v/>
      </c>
    </row>
    <row r="490" spans="1:27" x14ac:dyDescent="0.4">
      <c r="A490" t="str">
        <f t="shared" si="15"/>
        <v/>
      </c>
      <c r="AA490" t="str">
        <f t="shared" si="14"/>
        <v/>
      </c>
    </row>
    <row r="491" spans="1:27" x14ac:dyDescent="0.4">
      <c r="A491" t="str">
        <f t="shared" si="15"/>
        <v/>
      </c>
      <c r="AA491" t="str">
        <f t="shared" si="14"/>
        <v/>
      </c>
    </row>
    <row r="492" spans="1:27" x14ac:dyDescent="0.4">
      <c r="A492" t="str">
        <f t="shared" si="15"/>
        <v/>
      </c>
      <c r="AA492" t="str">
        <f t="shared" si="14"/>
        <v/>
      </c>
    </row>
    <row r="493" spans="1:27" x14ac:dyDescent="0.4">
      <c r="A493" t="str">
        <f t="shared" si="15"/>
        <v/>
      </c>
      <c r="AA493" t="str">
        <f t="shared" si="14"/>
        <v/>
      </c>
    </row>
    <row r="494" spans="1:27" x14ac:dyDescent="0.4">
      <c r="A494" t="str">
        <f t="shared" si="15"/>
        <v/>
      </c>
      <c r="AA494" t="str">
        <f t="shared" si="14"/>
        <v/>
      </c>
    </row>
    <row r="495" spans="1:27" x14ac:dyDescent="0.4">
      <c r="A495" t="str">
        <f t="shared" si="15"/>
        <v/>
      </c>
      <c r="AA495" t="str">
        <f t="shared" si="14"/>
        <v/>
      </c>
    </row>
    <row r="496" spans="1:27" x14ac:dyDescent="0.4">
      <c r="A496" t="str">
        <f t="shared" si="15"/>
        <v/>
      </c>
      <c r="AA496" t="str">
        <f t="shared" si="14"/>
        <v/>
      </c>
    </row>
    <row r="497" spans="1:27" x14ac:dyDescent="0.4">
      <c r="A497" t="str">
        <f t="shared" si="15"/>
        <v/>
      </c>
      <c r="AA497" t="str">
        <f t="shared" si="14"/>
        <v/>
      </c>
    </row>
    <row r="498" spans="1:27" x14ac:dyDescent="0.4">
      <c r="A498" t="str">
        <f t="shared" si="15"/>
        <v/>
      </c>
      <c r="AA498" t="str">
        <f t="shared" si="14"/>
        <v/>
      </c>
    </row>
    <row r="499" spans="1:27" x14ac:dyDescent="0.4">
      <c r="A499" t="str">
        <f t="shared" si="15"/>
        <v/>
      </c>
      <c r="AA499" t="str">
        <f t="shared" si="14"/>
        <v/>
      </c>
    </row>
    <row r="500" spans="1:27" x14ac:dyDescent="0.4">
      <c r="A500" t="str">
        <f t="shared" si="15"/>
        <v/>
      </c>
      <c r="AA500" t="str">
        <f t="shared" si="14"/>
        <v/>
      </c>
    </row>
    <row r="501" spans="1:27" x14ac:dyDescent="0.4">
      <c r="A501" t="str">
        <f t="shared" si="15"/>
        <v/>
      </c>
      <c r="AA501" t="str">
        <f t="shared" si="14"/>
        <v/>
      </c>
    </row>
    <row r="502" spans="1:27" x14ac:dyDescent="0.4">
      <c r="A502" t="str">
        <f t="shared" si="15"/>
        <v/>
      </c>
      <c r="AA502" t="str">
        <f t="shared" si="14"/>
        <v/>
      </c>
    </row>
    <row r="503" spans="1:27" x14ac:dyDescent="0.4">
      <c r="A503" t="str">
        <f t="shared" si="15"/>
        <v/>
      </c>
      <c r="AA503" t="str">
        <f t="shared" si="14"/>
        <v/>
      </c>
    </row>
    <row r="504" spans="1:27" x14ac:dyDescent="0.4">
      <c r="A504" t="str">
        <f t="shared" si="15"/>
        <v/>
      </c>
      <c r="AA504" t="str">
        <f t="shared" si="14"/>
        <v/>
      </c>
    </row>
    <row r="505" spans="1:27" x14ac:dyDescent="0.4">
      <c r="A505" t="str">
        <f t="shared" si="15"/>
        <v/>
      </c>
      <c r="AA505" t="str">
        <f t="shared" si="14"/>
        <v/>
      </c>
    </row>
    <row r="506" spans="1:27" x14ac:dyDescent="0.4">
      <c r="A506" t="str">
        <f t="shared" si="15"/>
        <v/>
      </c>
      <c r="AA506" t="str">
        <f t="shared" si="14"/>
        <v/>
      </c>
    </row>
    <row r="507" spans="1:27" x14ac:dyDescent="0.4">
      <c r="A507" t="str">
        <f t="shared" si="15"/>
        <v/>
      </c>
      <c r="AA507" t="str">
        <f t="shared" si="14"/>
        <v/>
      </c>
    </row>
    <row r="508" spans="1:27" x14ac:dyDescent="0.4">
      <c r="A508" t="str">
        <f t="shared" si="15"/>
        <v/>
      </c>
      <c r="AA508" t="str">
        <f t="shared" si="14"/>
        <v/>
      </c>
    </row>
    <row r="509" spans="1:27" x14ac:dyDescent="0.4">
      <c r="A509" t="str">
        <f t="shared" si="15"/>
        <v/>
      </c>
      <c r="AA509" t="str">
        <f t="shared" si="14"/>
        <v/>
      </c>
    </row>
    <row r="510" spans="1:27" x14ac:dyDescent="0.4">
      <c r="A510" t="str">
        <f t="shared" si="15"/>
        <v/>
      </c>
      <c r="AA510" t="str">
        <f t="shared" si="14"/>
        <v/>
      </c>
    </row>
    <row r="511" spans="1:27" x14ac:dyDescent="0.4">
      <c r="A511" t="str">
        <f t="shared" si="15"/>
        <v/>
      </c>
      <c r="AA511" t="str">
        <f t="shared" si="14"/>
        <v/>
      </c>
    </row>
    <row r="512" spans="1:27" x14ac:dyDescent="0.4">
      <c r="A512" t="str">
        <f t="shared" si="15"/>
        <v/>
      </c>
      <c r="AA512" t="str">
        <f t="shared" si="14"/>
        <v/>
      </c>
    </row>
    <row r="513" spans="1:27" x14ac:dyDescent="0.4">
      <c r="A513" t="str">
        <f t="shared" si="15"/>
        <v/>
      </c>
      <c r="AA513" t="str">
        <f t="shared" si="14"/>
        <v/>
      </c>
    </row>
    <row r="514" spans="1:27" x14ac:dyDescent="0.4">
      <c r="A514" t="str">
        <f t="shared" si="15"/>
        <v/>
      </c>
      <c r="AA514" t="str">
        <f t="shared" si="14"/>
        <v/>
      </c>
    </row>
    <row r="515" spans="1:27" x14ac:dyDescent="0.4">
      <c r="A515" t="str">
        <f t="shared" si="15"/>
        <v/>
      </c>
      <c r="AA515" t="str">
        <f t="shared" si="14"/>
        <v/>
      </c>
    </row>
    <row r="516" spans="1:27" x14ac:dyDescent="0.4">
      <c r="A516" t="str">
        <f t="shared" si="15"/>
        <v/>
      </c>
      <c r="AA516" t="str">
        <f t="shared" si="14"/>
        <v/>
      </c>
    </row>
    <row r="517" spans="1:27" x14ac:dyDescent="0.4">
      <c r="A517" t="str">
        <f t="shared" si="15"/>
        <v/>
      </c>
      <c r="AA517" t="str">
        <f t="shared" ref="AA517:AA580" si="16">AB517&amp;AC517</f>
        <v/>
      </c>
    </row>
    <row r="518" spans="1:27" x14ac:dyDescent="0.4">
      <c r="A518" t="str">
        <f t="shared" si="15"/>
        <v/>
      </c>
      <c r="AA518" t="str">
        <f t="shared" si="16"/>
        <v/>
      </c>
    </row>
    <row r="519" spans="1:27" x14ac:dyDescent="0.4">
      <c r="A519" t="str">
        <f t="shared" ref="A519:A582" si="17">RIGHT(B519,12)</f>
        <v/>
      </c>
      <c r="AA519" t="str">
        <f t="shared" si="16"/>
        <v/>
      </c>
    </row>
    <row r="520" spans="1:27" x14ac:dyDescent="0.4">
      <c r="A520" t="str">
        <f t="shared" si="17"/>
        <v/>
      </c>
      <c r="AA520" t="str">
        <f t="shared" si="16"/>
        <v/>
      </c>
    </row>
    <row r="521" spans="1:27" x14ac:dyDescent="0.4">
      <c r="A521" t="str">
        <f t="shared" si="17"/>
        <v/>
      </c>
      <c r="AA521" t="str">
        <f t="shared" si="16"/>
        <v/>
      </c>
    </row>
    <row r="522" spans="1:27" x14ac:dyDescent="0.4">
      <c r="A522" t="str">
        <f t="shared" si="17"/>
        <v/>
      </c>
      <c r="AA522" t="str">
        <f t="shared" si="16"/>
        <v/>
      </c>
    </row>
    <row r="523" spans="1:27" x14ac:dyDescent="0.4">
      <c r="A523" t="str">
        <f t="shared" si="17"/>
        <v/>
      </c>
      <c r="AA523" t="str">
        <f t="shared" si="16"/>
        <v/>
      </c>
    </row>
    <row r="524" spans="1:27" x14ac:dyDescent="0.4">
      <c r="A524" t="str">
        <f t="shared" si="17"/>
        <v/>
      </c>
      <c r="AA524" t="str">
        <f t="shared" si="16"/>
        <v/>
      </c>
    </row>
    <row r="525" spans="1:27" x14ac:dyDescent="0.4">
      <c r="A525" t="str">
        <f t="shared" si="17"/>
        <v/>
      </c>
      <c r="AA525" t="str">
        <f t="shared" si="16"/>
        <v/>
      </c>
    </row>
    <row r="526" spans="1:27" x14ac:dyDescent="0.4">
      <c r="A526" t="str">
        <f t="shared" si="17"/>
        <v/>
      </c>
      <c r="AA526" t="str">
        <f t="shared" si="16"/>
        <v/>
      </c>
    </row>
    <row r="527" spans="1:27" x14ac:dyDescent="0.4">
      <c r="A527" t="str">
        <f t="shared" si="17"/>
        <v/>
      </c>
      <c r="AA527" t="str">
        <f t="shared" si="16"/>
        <v/>
      </c>
    </row>
    <row r="528" spans="1:27" x14ac:dyDescent="0.4">
      <c r="A528" t="str">
        <f t="shared" si="17"/>
        <v/>
      </c>
      <c r="AA528" t="str">
        <f t="shared" si="16"/>
        <v/>
      </c>
    </row>
    <row r="529" spans="1:27" x14ac:dyDescent="0.4">
      <c r="A529" t="str">
        <f t="shared" si="17"/>
        <v/>
      </c>
      <c r="AA529" t="str">
        <f t="shared" si="16"/>
        <v/>
      </c>
    </row>
    <row r="530" spans="1:27" x14ac:dyDescent="0.4">
      <c r="A530" t="str">
        <f t="shared" si="17"/>
        <v/>
      </c>
      <c r="AA530" t="str">
        <f t="shared" si="16"/>
        <v/>
      </c>
    </row>
    <row r="531" spans="1:27" x14ac:dyDescent="0.4">
      <c r="A531" t="str">
        <f t="shared" si="17"/>
        <v/>
      </c>
      <c r="AA531" t="str">
        <f t="shared" si="16"/>
        <v/>
      </c>
    </row>
    <row r="532" spans="1:27" x14ac:dyDescent="0.4">
      <c r="A532" t="str">
        <f t="shared" si="17"/>
        <v/>
      </c>
      <c r="AA532" t="str">
        <f t="shared" si="16"/>
        <v/>
      </c>
    </row>
    <row r="533" spans="1:27" x14ac:dyDescent="0.4">
      <c r="A533" t="str">
        <f t="shared" si="17"/>
        <v/>
      </c>
      <c r="AA533" t="str">
        <f t="shared" si="16"/>
        <v/>
      </c>
    </row>
    <row r="534" spans="1:27" x14ac:dyDescent="0.4">
      <c r="A534" t="str">
        <f t="shared" si="17"/>
        <v/>
      </c>
      <c r="AA534" t="str">
        <f t="shared" si="16"/>
        <v/>
      </c>
    </row>
    <row r="535" spans="1:27" x14ac:dyDescent="0.4">
      <c r="A535" t="str">
        <f t="shared" si="17"/>
        <v/>
      </c>
      <c r="AA535" t="str">
        <f t="shared" si="16"/>
        <v/>
      </c>
    </row>
    <row r="536" spans="1:27" x14ac:dyDescent="0.4">
      <c r="A536" t="str">
        <f t="shared" si="17"/>
        <v/>
      </c>
      <c r="AA536" t="str">
        <f t="shared" si="16"/>
        <v/>
      </c>
    </row>
    <row r="537" spans="1:27" x14ac:dyDescent="0.4">
      <c r="A537" t="str">
        <f t="shared" si="17"/>
        <v/>
      </c>
      <c r="AA537" t="str">
        <f t="shared" si="16"/>
        <v/>
      </c>
    </row>
    <row r="538" spans="1:27" x14ac:dyDescent="0.4">
      <c r="A538" t="str">
        <f t="shared" si="17"/>
        <v/>
      </c>
      <c r="AA538" t="str">
        <f t="shared" si="16"/>
        <v/>
      </c>
    </row>
    <row r="539" spans="1:27" x14ac:dyDescent="0.4">
      <c r="A539" t="str">
        <f t="shared" si="17"/>
        <v/>
      </c>
      <c r="AA539" t="str">
        <f t="shared" si="16"/>
        <v/>
      </c>
    </row>
    <row r="540" spans="1:27" x14ac:dyDescent="0.4">
      <c r="A540" t="str">
        <f t="shared" si="17"/>
        <v/>
      </c>
      <c r="AA540" t="str">
        <f t="shared" si="16"/>
        <v/>
      </c>
    </row>
    <row r="541" spans="1:27" x14ac:dyDescent="0.4">
      <c r="A541" t="str">
        <f t="shared" si="17"/>
        <v/>
      </c>
      <c r="AA541" t="str">
        <f t="shared" si="16"/>
        <v/>
      </c>
    </row>
    <row r="542" spans="1:27" x14ac:dyDescent="0.4">
      <c r="A542" t="str">
        <f t="shared" si="17"/>
        <v/>
      </c>
      <c r="AA542" t="str">
        <f t="shared" si="16"/>
        <v/>
      </c>
    </row>
    <row r="543" spans="1:27" x14ac:dyDescent="0.4">
      <c r="A543" t="str">
        <f t="shared" si="17"/>
        <v/>
      </c>
      <c r="AA543" t="str">
        <f t="shared" si="16"/>
        <v/>
      </c>
    </row>
    <row r="544" spans="1:27" x14ac:dyDescent="0.4">
      <c r="A544" t="str">
        <f t="shared" si="17"/>
        <v/>
      </c>
      <c r="AA544" t="str">
        <f t="shared" si="16"/>
        <v/>
      </c>
    </row>
    <row r="545" spans="1:27" x14ac:dyDescent="0.4">
      <c r="A545" t="str">
        <f t="shared" si="17"/>
        <v/>
      </c>
      <c r="AA545" t="str">
        <f t="shared" si="16"/>
        <v/>
      </c>
    </row>
    <row r="546" spans="1:27" x14ac:dyDescent="0.4">
      <c r="A546" t="str">
        <f t="shared" si="17"/>
        <v/>
      </c>
      <c r="AA546" t="str">
        <f t="shared" si="16"/>
        <v/>
      </c>
    </row>
    <row r="547" spans="1:27" x14ac:dyDescent="0.4">
      <c r="A547" t="str">
        <f t="shared" si="17"/>
        <v/>
      </c>
      <c r="AA547" t="str">
        <f t="shared" si="16"/>
        <v/>
      </c>
    </row>
    <row r="548" spans="1:27" x14ac:dyDescent="0.4">
      <c r="A548" t="str">
        <f t="shared" si="17"/>
        <v/>
      </c>
      <c r="AA548" t="str">
        <f t="shared" si="16"/>
        <v/>
      </c>
    </row>
    <row r="549" spans="1:27" x14ac:dyDescent="0.4">
      <c r="A549" t="str">
        <f t="shared" si="17"/>
        <v/>
      </c>
      <c r="AA549" t="str">
        <f t="shared" si="16"/>
        <v/>
      </c>
    </row>
    <row r="550" spans="1:27" x14ac:dyDescent="0.4">
      <c r="A550" t="str">
        <f t="shared" si="17"/>
        <v/>
      </c>
      <c r="AA550" t="str">
        <f t="shared" si="16"/>
        <v/>
      </c>
    </row>
    <row r="551" spans="1:27" x14ac:dyDescent="0.4">
      <c r="A551" t="str">
        <f t="shared" si="17"/>
        <v/>
      </c>
      <c r="AA551" t="str">
        <f t="shared" si="16"/>
        <v/>
      </c>
    </row>
    <row r="552" spans="1:27" x14ac:dyDescent="0.4">
      <c r="A552" t="str">
        <f t="shared" si="17"/>
        <v/>
      </c>
      <c r="AA552" t="str">
        <f t="shared" si="16"/>
        <v/>
      </c>
    </row>
    <row r="553" spans="1:27" x14ac:dyDescent="0.4">
      <c r="A553" t="str">
        <f t="shared" si="17"/>
        <v/>
      </c>
      <c r="AA553" t="str">
        <f t="shared" si="16"/>
        <v/>
      </c>
    </row>
    <row r="554" spans="1:27" x14ac:dyDescent="0.4">
      <c r="A554" t="str">
        <f t="shared" si="17"/>
        <v/>
      </c>
      <c r="AA554" t="str">
        <f t="shared" si="16"/>
        <v/>
      </c>
    </row>
    <row r="555" spans="1:27" x14ac:dyDescent="0.4">
      <c r="A555" t="str">
        <f t="shared" si="17"/>
        <v/>
      </c>
      <c r="AA555" t="str">
        <f t="shared" si="16"/>
        <v/>
      </c>
    </row>
    <row r="556" spans="1:27" x14ac:dyDescent="0.4">
      <c r="A556" t="str">
        <f t="shared" si="17"/>
        <v/>
      </c>
      <c r="AA556" t="str">
        <f t="shared" si="16"/>
        <v/>
      </c>
    </row>
    <row r="557" spans="1:27" x14ac:dyDescent="0.4">
      <c r="A557" t="str">
        <f t="shared" si="17"/>
        <v/>
      </c>
      <c r="AA557" t="str">
        <f t="shared" si="16"/>
        <v/>
      </c>
    </row>
    <row r="558" spans="1:27" x14ac:dyDescent="0.4">
      <c r="A558" t="str">
        <f t="shared" si="17"/>
        <v/>
      </c>
      <c r="AA558" t="str">
        <f t="shared" si="16"/>
        <v/>
      </c>
    </row>
    <row r="559" spans="1:27" x14ac:dyDescent="0.4">
      <c r="A559" t="str">
        <f t="shared" si="17"/>
        <v/>
      </c>
      <c r="AA559" t="str">
        <f t="shared" si="16"/>
        <v/>
      </c>
    </row>
    <row r="560" spans="1:27" x14ac:dyDescent="0.4">
      <c r="A560" t="str">
        <f t="shared" si="17"/>
        <v/>
      </c>
      <c r="AA560" t="str">
        <f t="shared" si="16"/>
        <v/>
      </c>
    </row>
    <row r="561" spans="1:27" x14ac:dyDescent="0.4">
      <c r="A561" t="str">
        <f t="shared" si="17"/>
        <v/>
      </c>
      <c r="AA561" t="str">
        <f t="shared" si="16"/>
        <v/>
      </c>
    </row>
    <row r="562" spans="1:27" x14ac:dyDescent="0.4">
      <c r="A562" t="str">
        <f t="shared" si="17"/>
        <v/>
      </c>
      <c r="AA562" t="str">
        <f t="shared" si="16"/>
        <v/>
      </c>
    </row>
    <row r="563" spans="1:27" x14ac:dyDescent="0.4">
      <c r="A563" t="str">
        <f t="shared" si="17"/>
        <v/>
      </c>
      <c r="AA563" t="str">
        <f t="shared" si="16"/>
        <v/>
      </c>
    </row>
    <row r="564" spans="1:27" x14ac:dyDescent="0.4">
      <c r="A564" t="str">
        <f t="shared" si="17"/>
        <v/>
      </c>
      <c r="AA564" t="str">
        <f t="shared" si="16"/>
        <v/>
      </c>
    </row>
    <row r="565" spans="1:27" x14ac:dyDescent="0.4">
      <c r="A565" t="str">
        <f t="shared" si="17"/>
        <v/>
      </c>
      <c r="AA565" t="str">
        <f t="shared" si="16"/>
        <v/>
      </c>
    </row>
    <row r="566" spans="1:27" x14ac:dyDescent="0.4">
      <c r="A566" t="str">
        <f t="shared" si="17"/>
        <v/>
      </c>
      <c r="AA566" t="str">
        <f t="shared" si="16"/>
        <v/>
      </c>
    </row>
    <row r="567" spans="1:27" x14ac:dyDescent="0.4">
      <c r="A567" t="str">
        <f t="shared" si="17"/>
        <v/>
      </c>
      <c r="AA567" t="str">
        <f t="shared" si="16"/>
        <v/>
      </c>
    </row>
    <row r="568" spans="1:27" x14ac:dyDescent="0.4">
      <c r="A568" t="str">
        <f t="shared" si="17"/>
        <v/>
      </c>
      <c r="AA568" t="str">
        <f t="shared" si="16"/>
        <v/>
      </c>
    </row>
    <row r="569" spans="1:27" x14ac:dyDescent="0.4">
      <c r="A569" t="str">
        <f t="shared" si="17"/>
        <v/>
      </c>
      <c r="AA569" t="str">
        <f t="shared" si="16"/>
        <v/>
      </c>
    </row>
    <row r="570" spans="1:27" x14ac:dyDescent="0.4">
      <c r="A570" t="str">
        <f t="shared" si="17"/>
        <v/>
      </c>
      <c r="AA570" t="str">
        <f t="shared" si="16"/>
        <v/>
      </c>
    </row>
    <row r="571" spans="1:27" x14ac:dyDescent="0.4">
      <c r="A571" t="str">
        <f t="shared" si="17"/>
        <v/>
      </c>
      <c r="AA571" t="str">
        <f t="shared" si="16"/>
        <v/>
      </c>
    </row>
    <row r="572" spans="1:27" x14ac:dyDescent="0.4">
      <c r="A572" t="str">
        <f t="shared" si="17"/>
        <v/>
      </c>
      <c r="AA572" t="str">
        <f t="shared" si="16"/>
        <v/>
      </c>
    </row>
    <row r="573" spans="1:27" x14ac:dyDescent="0.4">
      <c r="A573" t="str">
        <f t="shared" si="17"/>
        <v/>
      </c>
      <c r="AA573" t="str">
        <f t="shared" si="16"/>
        <v/>
      </c>
    </row>
    <row r="574" spans="1:27" x14ac:dyDescent="0.4">
      <c r="A574" t="str">
        <f t="shared" si="17"/>
        <v/>
      </c>
      <c r="AA574" t="str">
        <f t="shared" si="16"/>
        <v/>
      </c>
    </row>
    <row r="575" spans="1:27" x14ac:dyDescent="0.4">
      <c r="A575" t="str">
        <f t="shared" si="17"/>
        <v/>
      </c>
      <c r="AA575" t="str">
        <f t="shared" si="16"/>
        <v/>
      </c>
    </row>
    <row r="576" spans="1:27" x14ac:dyDescent="0.4">
      <c r="A576" t="str">
        <f t="shared" si="17"/>
        <v/>
      </c>
      <c r="AA576" t="str">
        <f t="shared" si="16"/>
        <v/>
      </c>
    </row>
    <row r="577" spans="1:27" x14ac:dyDescent="0.4">
      <c r="A577" t="str">
        <f t="shared" si="17"/>
        <v/>
      </c>
      <c r="AA577" t="str">
        <f t="shared" si="16"/>
        <v/>
      </c>
    </row>
    <row r="578" spans="1:27" x14ac:dyDescent="0.4">
      <c r="A578" t="str">
        <f t="shared" si="17"/>
        <v/>
      </c>
      <c r="AA578" t="str">
        <f t="shared" si="16"/>
        <v/>
      </c>
    </row>
    <row r="579" spans="1:27" x14ac:dyDescent="0.4">
      <c r="A579" t="str">
        <f t="shared" si="17"/>
        <v/>
      </c>
      <c r="AA579" t="str">
        <f t="shared" si="16"/>
        <v/>
      </c>
    </row>
    <row r="580" spans="1:27" x14ac:dyDescent="0.4">
      <c r="A580" t="str">
        <f t="shared" si="17"/>
        <v/>
      </c>
      <c r="AA580" t="str">
        <f t="shared" si="16"/>
        <v/>
      </c>
    </row>
    <row r="581" spans="1:27" x14ac:dyDescent="0.4">
      <c r="A581" t="str">
        <f t="shared" si="17"/>
        <v/>
      </c>
      <c r="AA581" t="str">
        <f t="shared" ref="AA581:AA644" si="18">AB581&amp;AC581</f>
        <v/>
      </c>
    </row>
    <row r="582" spans="1:27" x14ac:dyDescent="0.4">
      <c r="A582" t="str">
        <f t="shared" si="17"/>
        <v/>
      </c>
      <c r="AA582" t="str">
        <f t="shared" si="18"/>
        <v/>
      </c>
    </row>
    <row r="583" spans="1:27" x14ac:dyDescent="0.4">
      <c r="A583" t="str">
        <f t="shared" ref="A583:A646" si="19">RIGHT(B583,12)</f>
        <v/>
      </c>
      <c r="AA583" t="str">
        <f t="shared" si="18"/>
        <v/>
      </c>
    </row>
    <row r="584" spans="1:27" x14ac:dyDescent="0.4">
      <c r="A584" t="str">
        <f t="shared" si="19"/>
        <v/>
      </c>
      <c r="AA584" t="str">
        <f t="shared" si="18"/>
        <v/>
      </c>
    </row>
    <row r="585" spans="1:27" x14ac:dyDescent="0.4">
      <c r="A585" t="str">
        <f t="shared" si="19"/>
        <v/>
      </c>
      <c r="AA585" t="str">
        <f t="shared" si="18"/>
        <v/>
      </c>
    </row>
    <row r="586" spans="1:27" x14ac:dyDescent="0.4">
      <c r="A586" t="str">
        <f t="shared" si="19"/>
        <v/>
      </c>
      <c r="AA586" t="str">
        <f t="shared" si="18"/>
        <v/>
      </c>
    </row>
    <row r="587" spans="1:27" x14ac:dyDescent="0.4">
      <c r="A587" t="str">
        <f t="shared" si="19"/>
        <v/>
      </c>
      <c r="AA587" t="str">
        <f t="shared" si="18"/>
        <v/>
      </c>
    </row>
    <row r="588" spans="1:27" x14ac:dyDescent="0.4">
      <c r="A588" t="str">
        <f t="shared" si="19"/>
        <v/>
      </c>
      <c r="AA588" t="str">
        <f t="shared" si="18"/>
        <v/>
      </c>
    </row>
    <row r="589" spans="1:27" x14ac:dyDescent="0.4">
      <c r="A589" t="str">
        <f t="shared" si="19"/>
        <v/>
      </c>
      <c r="AA589" t="str">
        <f t="shared" si="18"/>
        <v/>
      </c>
    </row>
    <row r="590" spans="1:27" x14ac:dyDescent="0.4">
      <c r="A590" t="str">
        <f t="shared" si="19"/>
        <v/>
      </c>
      <c r="AA590" t="str">
        <f t="shared" si="18"/>
        <v/>
      </c>
    </row>
    <row r="591" spans="1:27" x14ac:dyDescent="0.4">
      <c r="A591" t="str">
        <f t="shared" si="19"/>
        <v/>
      </c>
      <c r="AA591" t="str">
        <f t="shared" si="18"/>
        <v/>
      </c>
    </row>
    <row r="592" spans="1:27" x14ac:dyDescent="0.4">
      <c r="A592" t="str">
        <f t="shared" si="19"/>
        <v/>
      </c>
      <c r="AA592" t="str">
        <f t="shared" si="18"/>
        <v/>
      </c>
    </row>
    <row r="593" spans="1:27" x14ac:dyDescent="0.4">
      <c r="A593" t="str">
        <f t="shared" si="19"/>
        <v/>
      </c>
      <c r="AA593" t="str">
        <f t="shared" si="18"/>
        <v/>
      </c>
    </row>
    <row r="594" spans="1:27" x14ac:dyDescent="0.4">
      <c r="A594" t="str">
        <f t="shared" si="19"/>
        <v/>
      </c>
      <c r="AA594" t="str">
        <f t="shared" si="18"/>
        <v/>
      </c>
    </row>
    <row r="595" spans="1:27" x14ac:dyDescent="0.4">
      <c r="A595" t="str">
        <f t="shared" si="19"/>
        <v/>
      </c>
      <c r="AA595" t="str">
        <f t="shared" si="18"/>
        <v/>
      </c>
    </row>
    <row r="596" spans="1:27" x14ac:dyDescent="0.4">
      <c r="A596" t="str">
        <f t="shared" si="19"/>
        <v/>
      </c>
      <c r="AA596" t="str">
        <f t="shared" si="18"/>
        <v/>
      </c>
    </row>
    <row r="597" spans="1:27" x14ac:dyDescent="0.4">
      <c r="A597" t="str">
        <f t="shared" si="19"/>
        <v/>
      </c>
      <c r="AA597" t="str">
        <f t="shared" si="18"/>
        <v/>
      </c>
    </row>
    <row r="598" spans="1:27" x14ac:dyDescent="0.4">
      <c r="A598" t="str">
        <f t="shared" si="19"/>
        <v/>
      </c>
      <c r="AA598" t="str">
        <f t="shared" si="18"/>
        <v/>
      </c>
    </row>
    <row r="599" spans="1:27" x14ac:dyDescent="0.4">
      <c r="A599" t="str">
        <f t="shared" si="19"/>
        <v/>
      </c>
      <c r="AA599" t="str">
        <f t="shared" si="18"/>
        <v/>
      </c>
    </row>
    <row r="600" spans="1:27" x14ac:dyDescent="0.4">
      <c r="A600" t="str">
        <f t="shared" si="19"/>
        <v/>
      </c>
      <c r="AA600" t="str">
        <f t="shared" si="18"/>
        <v/>
      </c>
    </row>
    <row r="601" spans="1:27" x14ac:dyDescent="0.4">
      <c r="A601" t="str">
        <f t="shared" si="19"/>
        <v/>
      </c>
      <c r="AA601" t="str">
        <f t="shared" si="18"/>
        <v/>
      </c>
    </row>
    <row r="602" spans="1:27" x14ac:dyDescent="0.4">
      <c r="A602" t="str">
        <f t="shared" si="19"/>
        <v/>
      </c>
      <c r="AA602" t="str">
        <f t="shared" si="18"/>
        <v/>
      </c>
    </row>
    <row r="603" spans="1:27" x14ac:dyDescent="0.4">
      <c r="A603" t="str">
        <f t="shared" si="19"/>
        <v/>
      </c>
      <c r="AA603" t="str">
        <f t="shared" si="18"/>
        <v/>
      </c>
    </row>
    <row r="604" spans="1:27" x14ac:dyDescent="0.4">
      <c r="A604" t="str">
        <f t="shared" si="19"/>
        <v/>
      </c>
      <c r="AA604" t="str">
        <f t="shared" si="18"/>
        <v/>
      </c>
    </row>
    <row r="605" spans="1:27" x14ac:dyDescent="0.4">
      <c r="A605" t="str">
        <f t="shared" si="19"/>
        <v/>
      </c>
      <c r="AA605" t="str">
        <f t="shared" si="18"/>
        <v/>
      </c>
    </row>
    <row r="606" spans="1:27" x14ac:dyDescent="0.4">
      <c r="A606" t="str">
        <f t="shared" si="19"/>
        <v/>
      </c>
      <c r="AA606" t="str">
        <f t="shared" si="18"/>
        <v/>
      </c>
    </row>
    <row r="607" spans="1:27" x14ac:dyDescent="0.4">
      <c r="A607" t="str">
        <f t="shared" si="19"/>
        <v/>
      </c>
      <c r="AA607" t="str">
        <f t="shared" si="18"/>
        <v/>
      </c>
    </row>
    <row r="608" spans="1:27" x14ac:dyDescent="0.4">
      <c r="A608" t="str">
        <f t="shared" si="19"/>
        <v/>
      </c>
      <c r="AA608" t="str">
        <f t="shared" si="18"/>
        <v/>
      </c>
    </row>
    <row r="609" spans="1:27" x14ac:dyDescent="0.4">
      <c r="A609" t="str">
        <f t="shared" si="19"/>
        <v/>
      </c>
      <c r="AA609" t="str">
        <f t="shared" si="18"/>
        <v/>
      </c>
    </row>
    <row r="610" spans="1:27" x14ac:dyDescent="0.4">
      <c r="A610" t="str">
        <f t="shared" si="19"/>
        <v/>
      </c>
      <c r="AA610" t="str">
        <f t="shared" si="18"/>
        <v/>
      </c>
    </row>
    <row r="611" spans="1:27" x14ac:dyDescent="0.4">
      <c r="A611" t="str">
        <f t="shared" si="19"/>
        <v/>
      </c>
      <c r="AA611" t="str">
        <f t="shared" si="18"/>
        <v/>
      </c>
    </row>
    <row r="612" spans="1:27" x14ac:dyDescent="0.4">
      <c r="A612" t="str">
        <f t="shared" si="19"/>
        <v/>
      </c>
      <c r="AA612" t="str">
        <f t="shared" si="18"/>
        <v/>
      </c>
    </row>
    <row r="613" spans="1:27" x14ac:dyDescent="0.4">
      <c r="A613" t="str">
        <f t="shared" si="19"/>
        <v/>
      </c>
      <c r="AA613" t="str">
        <f t="shared" si="18"/>
        <v/>
      </c>
    </row>
    <row r="614" spans="1:27" x14ac:dyDescent="0.4">
      <c r="A614" t="str">
        <f t="shared" si="19"/>
        <v/>
      </c>
      <c r="AA614" t="str">
        <f t="shared" si="18"/>
        <v/>
      </c>
    </row>
    <row r="615" spans="1:27" x14ac:dyDescent="0.4">
      <c r="A615" t="str">
        <f t="shared" si="19"/>
        <v/>
      </c>
      <c r="AA615" t="str">
        <f t="shared" si="18"/>
        <v/>
      </c>
    </row>
    <row r="616" spans="1:27" x14ac:dyDescent="0.4">
      <c r="A616" t="str">
        <f t="shared" si="19"/>
        <v/>
      </c>
      <c r="AA616" t="str">
        <f t="shared" si="18"/>
        <v/>
      </c>
    </row>
    <row r="617" spans="1:27" x14ac:dyDescent="0.4">
      <c r="A617" t="str">
        <f t="shared" si="19"/>
        <v/>
      </c>
      <c r="AA617" t="str">
        <f t="shared" si="18"/>
        <v/>
      </c>
    </row>
    <row r="618" spans="1:27" x14ac:dyDescent="0.4">
      <c r="A618" t="str">
        <f t="shared" si="19"/>
        <v/>
      </c>
      <c r="AA618" t="str">
        <f t="shared" si="18"/>
        <v/>
      </c>
    </row>
    <row r="619" spans="1:27" x14ac:dyDescent="0.4">
      <c r="A619" t="str">
        <f t="shared" si="19"/>
        <v/>
      </c>
      <c r="AA619" t="str">
        <f t="shared" si="18"/>
        <v/>
      </c>
    </row>
    <row r="620" spans="1:27" x14ac:dyDescent="0.4">
      <c r="A620" t="str">
        <f t="shared" si="19"/>
        <v/>
      </c>
      <c r="AA620" t="str">
        <f t="shared" si="18"/>
        <v/>
      </c>
    </row>
    <row r="621" spans="1:27" x14ac:dyDescent="0.4">
      <c r="A621" t="str">
        <f t="shared" si="19"/>
        <v/>
      </c>
      <c r="AA621" t="str">
        <f t="shared" si="18"/>
        <v/>
      </c>
    </row>
    <row r="622" spans="1:27" x14ac:dyDescent="0.4">
      <c r="A622" t="str">
        <f t="shared" si="19"/>
        <v/>
      </c>
      <c r="AA622" t="str">
        <f t="shared" si="18"/>
        <v/>
      </c>
    </row>
    <row r="623" spans="1:27" x14ac:dyDescent="0.4">
      <c r="A623" t="str">
        <f t="shared" si="19"/>
        <v/>
      </c>
      <c r="AA623" t="str">
        <f t="shared" si="18"/>
        <v/>
      </c>
    </row>
    <row r="624" spans="1:27" x14ac:dyDescent="0.4">
      <c r="A624" t="str">
        <f t="shared" si="19"/>
        <v/>
      </c>
      <c r="AA624" t="str">
        <f t="shared" si="18"/>
        <v/>
      </c>
    </row>
    <row r="625" spans="1:27" x14ac:dyDescent="0.4">
      <c r="A625" t="str">
        <f t="shared" si="19"/>
        <v/>
      </c>
      <c r="AA625" t="str">
        <f t="shared" si="18"/>
        <v/>
      </c>
    </row>
    <row r="626" spans="1:27" x14ac:dyDescent="0.4">
      <c r="A626" t="str">
        <f t="shared" si="19"/>
        <v/>
      </c>
      <c r="AA626" t="str">
        <f t="shared" si="18"/>
        <v/>
      </c>
    </row>
    <row r="627" spans="1:27" x14ac:dyDescent="0.4">
      <c r="A627" t="str">
        <f t="shared" si="19"/>
        <v/>
      </c>
      <c r="AA627" t="str">
        <f t="shared" si="18"/>
        <v/>
      </c>
    </row>
    <row r="628" spans="1:27" x14ac:dyDescent="0.4">
      <c r="A628" t="str">
        <f t="shared" si="19"/>
        <v/>
      </c>
      <c r="AA628" t="str">
        <f t="shared" si="18"/>
        <v/>
      </c>
    </row>
    <row r="629" spans="1:27" x14ac:dyDescent="0.4">
      <c r="A629" t="str">
        <f t="shared" si="19"/>
        <v/>
      </c>
      <c r="AA629" t="str">
        <f t="shared" si="18"/>
        <v/>
      </c>
    </row>
    <row r="630" spans="1:27" x14ac:dyDescent="0.4">
      <c r="A630" t="str">
        <f t="shared" si="19"/>
        <v/>
      </c>
      <c r="AA630" t="str">
        <f t="shared" si="18"/>
        <v/>
      </c>
    </row>
    <row r="631" spans="1:27" x14ac:dyDescent="0.4">
      <c r="A631" t="str">
        <f t="shared" si="19"/>
        <v/>
      </c>
      <c r="AA631" t="str">
        <f t="shared" si="18"/>
        <v/>
      </c>
    </row>
    <row r="632" spans="1:27" x14ac:dyDescent="0.4">
      <c r="A632" t="str">
        <f t="shared" si="19"/>
        <v/>
      </c>
      <c r="AA632" t="str">
        <f t="shared" si="18"/>
        <v/>
      </c>
    </row>
    <row r="633" spans="1:27" x14ac:dyDescent="0.4">
      <c r="A633" t="str">
        <f t="shared" si="19"/>
        <v/>
      </c>
      <c r="AA633" t="str">
        <f t="shared" si="18"/>
        <v/>
      </c>
    </row>
    <row r="634" spans="1:27" x14ac:dyDescent="0.4">
      <c r="A634" t="str">
        <f t="shared" si="19"/>
        <v/>
      </c>
      <c r="AA634" t="str">
        <f t="shared" si="18"/>
        <v/>
      </c>
    </row>
    <row r="635" spans="1:27" x14ac:dyDescent="0.4">
      <c r="A635" t="str">
        <f t="shared" si="19"/>
        <v/>
      </c>
      <c r="AA635" t="str">
        <f t="shared" si="18"/>
        <v/>
      </c>
    </row>
    <row r="636" spans="1:27" x14ac:dyDescent="0.4">
      <c r="A636" t="str">
        <f t="shared" si="19"/>
        <v/>
      </c>
      <c r="AA636" t="str">
        <f t="shared" si="18"/>
        <v/>
      </c>
    </row>
    <row r="637" spans="1:27" x14ac:dyDescent="0.4">
      <c r="A637" t="str">
        <f t="shared" si="19"/>
        <v/>
      </c>
      <c r="AA637" t="str">
        <f t="shared" si="18"/>
        <v/>
      </c>
    </row>
    <row r="638" spans="1:27" x14ac:dyDescent="0.4">
      <c r="A638" t="str">
        <f t="shared" si="19"/>
        <v/>
      </c>
      <c r="AA638" t="str">
        <f t="shared" si="18"/>
        <v/>
      </c>
    </row>
    <row r="639" spans="1:27" x14ac:dyDescent="0.4">
      <c r="A639" t="str">
        <f t="shared" si="19"/>
        <v/>
      </c>
      <c r="AA639" t="str">
        <f t="shared" si="18"/>
        <v/>
      </c>
    </row>
    <row r="640" spans="1:27" x14ac:dyDescent="0.4">
      <c r="A640" t="str">
        <f t="shared" si="19"/>
        <v/>
      </c>
      <c r="AA640" t="str">
        <f t="shared" si="18"/>
        <v/>
      </c>
    </row>
    <row r="641" spans="1:27" x14ac:dyDescent="0.4">
      <c r="A641" t="str">
        <f t="shared" si="19"/>
        <v/>
      </c>
      <c r="AA641" t="str">
        <f t="shared" si="18"/>
        <v/>
      </c>
    </row>
    <row r="642" spans="1:27" x14ac:dyDescent="0.4">
      <c r="A642" t="str">
        <f t="shared" si="19"/>
        <v/>
      </c>
      <c r="AA642" t="str">
        <f t="shared" si="18"/>
        <v/>
      </c>
    </row>
    <row r="643" spans="1:27" x14ac:dyDescent="0.4">
      <c r="A643" t="str">
        <f t="shared" si="19"/>
        <v/>
      </c>
      <c r="AA643" t="str">
        <f t="shared" si="18"/>
        <v/>
      </c>
    </row>
    <row r="644" spans="1:27" x14ac:dyDescent="0.4">
      <c r="A644" t="str">
        <f t="shared" si="19"/>
        <v/>
      </c>
      <c r="AA644" t="str">
        <f t="shared" si="18"/>
        <v/>
      </c>
    </row>
    <row r="645" spans="1:27" x14ac:dyDescent="0.4">
      <c r="A645" t="str">
        <f t="shared" si="19"/>
        <v/>
      </c>
      <c r="AA645" t="str">
        <f t="shared" ref="AA645:AA708" si="20">AB645&amp;AC645</f>
        <v/>
      </c>
    </row>
    <row r="646" spans="1:27" x14ac:dyDescent="0.4">
      <c r="A646" t="str">
        <f t="shared" si="19"/>
        <v/>
      </c>
      <c r="AA646" t="str">
        <f t="shared" si="20"/>
        <v/>
      </c>
    </row>
    <row r="647" spans="1:27" x14ac:dyDescent="0.4">
      <c r="A647" t="str">
        <f t="shared" ref="A647:A710" si="21">RIGHT(B647,12)</f>
        <v/>
      </c>
      <c r="AA647" t="str">
        <f t="shared" si="20"/>
        <v/>
      </c>
    </row>
    <row r="648" spans="1:27" x14ac:dyDescent="0.4">
      <c r="A648" t="str">
        <f t="shared" si="21"/>
        <v/>
      </c>
      <c r="AA648" t="str">
        <f t="shared" si="20"/>
        <v/>
      </c>
    </row>
    <row r="649" spans="1:27" x14ac:dyDescent="0.4">
      <c r="A649" t="str">
        <f t="shared" si="21"/>
        <v/>
      </c>
      <c r="AA649" t="str">
        <f t="shared" si="20"/>
        <v/>
      </c>
    </row>
    <row r="650" spans="1:27" x14ac:dyDescent="0.4">
      <c r="A650" t="str">
        <f t="shared" si="21"/>
        <v/>
      </c>
      <c r="AA650" t="str">
        <f t="shared" si="20"/>
        <v/>
      </c>
    </row>
    <row r="651" spans="1:27" x14ac:dyDescent="0.4">
      <c r="A651" t="str">
        <f t="shared" si="21"/>
        <v/>
      </c>
      <c r="AA651" t="str">
        <f t="shared" si="20"/>
        <v/>
      </c>
    </row>
    <row r="652" spans="1:27" x14ac:dyDescent="0.4">
      <c r="A652" t="str">
        <f t="shared" si="21"/>
        <v/>
      </c>
      <c r="AA652" t="str">
        <f t="shared" si="20"/>
        <v/>
      </c>
    </row>
    <row r="653" spans="1:27" x14ac:dyDescent="0.4">
      <c r="A653" t="str">
        <f t="shared" si="21"/>
        <v/>
      </c>
      <c r="AA653" t="str">
        <f t="shared" si="20"/>
        <v/>
      </c>
    </row>
    <row r="654" spans="1:27" x14ac:dyDescent="0.4">
      <c r="A654" t="str">
        <f t="shared" si="21"/>
        <v/>
      </c>
      <c r="AA654" t="str">
        <f t="shared" si="20"/>
        <v/>
      </c>
    </row>
    <row r="655" spans="1:27" x14ac:dyDescent="0.4">
      <c r="A655" t="str">
        <f t="shared" si="21"/>
        <v/>
      </c>
      <c r="AA655" t="str">
        <f t="shared" si="20"/>
        <v/>
      </c>
    </row>
    <row r="656" spans="1:27" x14ac:dyDescent="0.4">
      <c r="A656" t="str">
        <f t="shared" si="21"/>
        <v/>
      </c>
      <c r="AA656" t="str">
        <f t="shared" si="20"/>
        <v/>
      </c>
    </row>
    <row r="657" spans="1:27" x14ac:dyDescent="0.4">
      <c r="A657" t="str">
        <f t="shared" si="21"/>
        <v/>
      </c>
      <c r="AA657" t="str">
        <f t="shared" si="20"/>
        <v/>
      </c>
    </row>
    <row r="658" spans="1:27" x14ac:dyDescent="0.4">
      <c r="A658" t="str">
        <f t="shared" si="21"/>
        <v/>
      </c>
      <c r="AA658" t="str">
        <f t="shared" si="20"/>
        <v/>
      </c>
    </row>
    <row r="659" spans="1:27" x14ac:dyDescent="0.4">
      <c r="A659" t="str">
        <f t="shared" si="21"/>
        <v/>
      </c>
      <c r="AA659" t="str">
        <f t="shared" si="20"/>
        <v/>
      </c>
    </row>
    <row r="660" spans="1:27" x14ac:dyDescent="0.4">
      <c r="A660" t="str">
        <f t="shared" si="21"/>
        <v/>
      </c>
      <c r="AA660" t="str">
        <f t="shared" si="20"/>
        <v/>
      </c>
    </row>
    <row r="661" spans="1:27" x14ac:dyDescent="0.4">
      <c r="A661" t="str">
        <f t="shared" si="21"/>
        <v/>
      </c>
      <c r="AA661" t="str">
        <f t="shared" si="20"/>
        <v/>
      </c>
    </row>
    <row r="662" spans="1:27" x14ac:dyDescent="0.4">
      <c r="A662" t="str">
        <f t="shared" si="21"/>
        <v/>
      </c>
      <c r="AA662" t="str">
        <f t="shared" si="20"/>
        <v/>
      </c>
    </row>
    <row r="663" spans="1:27" x14ac:dyDescent="0.4">
      <c r="A663" t="str">
        <f t="shared" si="21"/>
        <v/>
      </c>
      <c r="AA663" t="str">
        <f t="shared" si="20"/>
        <v/>
      </c>
    </row>
    <row r="664" spans="1:27" x14ac:dyDescent="0.4">
      <c r="A664" t="str">
        <f t="shared" si="21"/>
        <v/>
      </c>
      <c r="AA664" t="str">
        <f t="shared" si="20"/>
        <v/>
      </c>
    </row>
    <row r="665" spans="1:27" x14ac:dyDescent="0.4">
      <c r="A665" t="str">
        <f t="shared" si="21"/>
        <v/>
      </c>
      <c r="AA665" t="str">
        <f t="shared" si="20"/>
        <v/>
      </c>
    </row>
    <row r="666" spans="1:27" x14ac:dyDescent="0.4">
      <c r="A666" t="str">
        <f t="shared" si="21"/>
        <v/>
      </c>
      <c r="AA666" t="str">
        <f t="shared" si="20"/>
        <v/>
      </c>
    </row>
    <row r="667" spans="1:27" x14ac:dyDescent="0.4">
      <c r="A667" t="str">
        <f t="shared" si="21"/>
        <v/>
      </c>
      <c r="AA667" t="str">
        <f t="shared" si="20"/>
        <v/>
      </c>
    </row>
    <row r="668" spans="1:27" x14ac:dyDescent="0.4">
      <c r="A668" t="str">
        <f t="shared" si="21"/>
        <v/>
      </c>
      <c r="AA668" t="str">
        <f t="shared" si="20"/>
        <v/>
      </c>
    </row>
    <row r="669" spans="1:27" x14ac:dyDescent="0.4">
      <c r="A669" t="str">
        <f t="shared" si="21"/>
        <v/>
      </c>
      <c r="AA669" t="str">
        <f t="shared" si="20"/>
        <v/>
      </c>
    </row>
    <row r="670" spans="1:27" x14ac:dyDescent="0.4">
      <c r="A670" t="str">
        <f t="shared" si="21"/>
        <v/>
      </c>
      <c r="AA670" t="str">
        <f t="shared" si="20"/>
        <v/>
      </c>
    </row>
    <row r="671" spans="1:27" x14ac:dyDescent="0.4">
      <c r="A671" t="str">
        <f t="shared" si="21"/>
        <v/>
      </c>
      <c r="AA671" t="str">
        <f t="shared" si="20"/>
        <v/>
      </c>
    </row>
    <row r="672" spans="1:27" x14ac:dyDescent="0.4">
      <c r="A672" t="str">
        <f t="shared" si="21"/>
        <v/>
      </c>
      <c r="AA672" t="str">
        <f t="shared" si="20"/>
        <v/>
      </c>
    </row>
    <row r="673" spans="1:27" x14ac:dyDescent="0.4">
      <c r="A673" t="str">
        <f t="shared" si="21"/>
        <v/>
      </c>
      <c r="AA673" t="str">
        <f t="shared" si="20"/>
        <v/>
      </c>
    </row>
    <row r="674" spans="1:27" x14ac:dyDescent="0.4">
      <c r="A674" t="str">
        <f t="shared" si="21"/>
        <v/>
      </c>
      <c r="AA674" t="str">
        <f t="shared" si="20"/>
        <v/>
      </c>
    </row>
    <row r="675" spans="1:27" x14ac:dyDescent="0.4">
      <c r="A675" t="str">
        <f t="shared" si="21"/>
        <v/>
      </c>
      <c r="AA675" t="str">
        <f t="shared" si="20"/>
        <v/>
      </c>
    </row>
    <row r="676" spans="1:27" x14ac:dyDescent="0.4">
      <c r="A676" t="str">
        <f t="shared" si="21"/>
        <v/>
      </c>
      <c r="AA676" t="str">
        <f t="shared" si="20"/>
        <v/>
      </c>
    </row>
    <row r="677" spans="1:27" x14ac:dyDescent="0.4">
      <c r="A677" t="str">
        <f t="shared" si="21"/>
        <v/>
      </c>
      <c r="AA677" t="str">
        <f t="shared" si="20"/>
        <v/>
      </c>
    </row>
    <row r="678" spans="1:27" x14ac:dyDescent="0.4">
      <c r="A678" t="str">
        <f t="shared" si="21"/>
        <v/>
      </c>
      <c r="AA678" t="str">
        <f t="shared" si="20"/>
        <v/>
      </c>
    </row>
    <row r="679" spans="1:27" x14ac:dyDescent="0.4">
      <c r="A679" t="str">
        <f t="shared" si="21"/>
        <v/>
      </c>
      <c r="AA679" t="str">
        <f t="shared" si="20"/>
        <v/>
      </c>
    </row>
    <row r="680" spans="1:27" x14ac:dyDescent="0.4">
      <c r="A680" t="str">
        <f t="shared" si="21"/>
        <v/>
      </c>
      <c r="AA680" t="str">
        <f t="shared" si="20"/>
        <v/>
      </c>
    </row>
    <row r="681" spans="1:27" x14ac:dyDescent="0.4">
      <c r="A681" t="str">
        <f t="shared" si="21"/>
        <v/>
      </c>
      <c r="AA681" t="str">
        <f t="shared" si="20"/>
        <v/>
      </c>
    </row>
    <row r="682" spans="1:27" x14ac:dyDescent="0.4">
      <c r="A682" t="str">
        <f t="shared" si="21"/>
        <v/>
      </c>
      <c r="AA682" t="str">
        <f t="shared" si="20"/>
        <v/>
      </c>
    </row>
    <row r="683" spans="1:27" x14ac:dyDescent="0.4">
      <c r="A683" t="str">
        <f t="shared" si="21"/>
        <v/>
      </c>
      <c r="AA683" t="str">
        <f t="shared" si="20"/>
        <v/>
      </c>
    </row>
    <row r="684" spans="1:27" x14ac:dyDescent="0.4">
      <c r="A684" t="str">
        <f t="shared" si="21"/>
        <v/>
      </c>
      <c r="AA684" t="str">
        <f t="shared" si="20"/>
        <v/>
      </c>
    </row>
    <row r="685" spans="1:27" x14ac:dyDescent="0.4">
      <c r="A685" t="str">
        <f t="shared" si="21"/>
        <v/>
      </c>
      <c r="AA685" t="str">
        <f t="shared" si="20"/>
        <v/>
      </c>
    </row>
    <row r="686" spans="1:27" x14ac:dyDescent="0.4">
      <c r="A686" t="str">
        <f t="shared" si="21"/>
        <v/>
      </c>
      <c r="AA686" t="str">
        <f t="shared" si="20"/>
        <v/>
      </c>
    </row>
    <row r="687" spans="1:27" x14ac:dyDescent="0.4">
      <c r="A687" t="str">
        <f t="shared" si="21"/>
        <v/>
      </c>
      <c r="AA687" t="str">
        <f t="shared" si="20"/>
        <v/>
      </c>
    </row>
    <row r="688" spans="1:27" x14ac:dyDescent="0.4">
      <c r="A688" t="str">
        <f t="shared" si="21"/>
        <v/>
      </c>
      <c r="AA688" t="str">
        <f t="shared" si="20"/>
        <v/>
      </c>
    </row>
    <row r="689" spans="1:27" x14ac:dyDescent="0.4">
      <c r="A689" t="str">
        <f t="shared" si="21"/>
        <v/>
      </c>
      <c r="AA689" t="str">
        <f t="shared" si="20"/>
        <v/>
      </c>
    </row>
    <row r="690" spans="1:27" x14ac:dyDescent="0.4">
      <c r="A690" t="str">
        <f t="shared" si="21"/>
        <v/>
      </c>
      <c r="AA690" t="str">
        <f t="shared" si="20"/>
        <v/>
      </c>
    </row>
    <row r="691" spans="1:27" x14ac:dyDescent="0.4">
      <c r="A691" t="str">
        <f t="shared" si="21"/>
        <v/>
      </c>
      <c r="AA691" t="str">
        <f t="shared" si="20"/>
        <v/>
      </c>
    </row>
    <row r="692" spans="1:27" x14ac:dyDescent="0.4">
      <c r="A692" t="str">
        <f t="shared" si="21"/>
        <v/>
      </c>
      <c r="AA692" t="str">
        <f t="shared" si="20"/>
        <v/>
      </c>
    </row>
    <row r="693" spans="1:27" x14ac:dyDescent="0.4">
      <c r="A693" t="str">
        <f t="shared" si="21"/>
        <v/>
      </c>
      <c r="AA693" t="str">
        <f t="shared" si="20"/>
        <v/>
      </c>
    </row>
    <row r="694" spans="1:27" x14ac:dyDescent="0.4">
      <c r="A694" t="str">
        <f t="shared" si="21"/>
        <v/>
      </c>
      <c r="AA694" t="str">
        <f t="shared" si="20"/>
        <v/>
      </c>
    </row>
    <row r="695" spans="1:27" x14ac:dyDescent="0.4">
      <c r="A695" t="str">
        <f t="shared" si="21"/>
        <v/>
      </c>
      <c r="AA695" t="str">
        <f t="shared" si="20"/>
        <v/>
      </c>
    </row>
    <row r="696" spans="1:27" x14ac:dyDescent="0.4">
      <c r="A696" t="str">
        <f t="shared" si="21"/>
        <v/>
      </c>
      <c r="AA696" t="str">
        <f t="shared" si="20"/>
        <v/>
      </c>
    </row>
    <row r="697" spans="1:27" x14ac:dyDescent="0.4">
      <c r="A697" t="str">
        <f t="shared" si="21"/>
        <v/>
      </c>
      <c r="AA697" t="str">
        <f t="shared" si="20"/>
        <v/>
      </c>
    </row>
    <row r="698" spans="1:27" x14ac:dyDescent="0.4">
      <c r="A698" t="str">
        <f t="shared" si="21"/>
        <v/>
      </c>
      <c r="AA698" t="str">
        <f t="shared" si="20"/>
        <v/>
      </c>
    </row>
    <row r="699" spans="1:27" x14ac:dyDescent="0.4">
      <c r="A699" t="str">
        <f t="shared" si="21"/>
        <v/>
      </c>
      <c r="AA699" t="str">
        <f t="shared" si="20"/>
        <v/>
      </c>
    </row>
    <row r="700" spans="1:27" x14ac:dyDescent="0.4">
      <c r="A700" t="str">
        <f t="shared" si="21"/>
        <v/>
      </c>
      <c r="AA700" t="str">
        <f t="shared" si="20"/>
        <v/>
      </c>
    </row>
    <row r="701" spans="1:27" x14ac:dyDescent="0.4">
      <c r="A701" t="str">
        <f t="shared" si="21"/>
        <v/>
      </c>
      <c r="AA701" t="str">
        <f t="shared" si="20"/>
        <v/>
      </c>
    </row>
    <row r="702" spans="1:27" x14ac:dyDescent="0.4">
      <c r="A702" t="str">
        <f t="shared" si="21"/>
        <v/>
      </c>
      <c r="AA702" t="str">
        <f t="shared" si="20"/>
        <v/>
      </c>
    </row>
    <row r="703" spans="1:27" x14ac:dyDescent="0.4">
      <c r="A703" t="str">
        <f t="shared" si="21"/>
        <v/>
      </c>
      <c r="AA703" t="str">
        <f t="shared" si="20"/>
        <v/>
      </c>
    </row>
    <row r="704" spans="1:27" x14ac:dyDescent="0.4">
      <c r="A704" t="str">
        <f t="shared" si="21"/>
        <v/>
      </c>
      <c r="AA704" t="str">
        <f t="shared" si="20"/>
        <v/>
      </c>
    </row>
    <row r="705" spans="1:27" x14ac:dyDescent="0.4">
      <c r="A705" t="str">
        <f t="shared" si="21"/>
        <v/>
      </c>
      <c r="AA705" t="str">
        <f t="shared" si="20"/>
        <v/>
      </c>
    </row>
    <row r="706" spans="1:27" x14ac:dyDescent="0.4">
      <c r="A706" t="str">
        <f t="shared" si="21"/>
        <v/>
      </c>
      <c r="AA706" t="str">
        <f t="shared" si="20"/>
        <v/>
      </c>
    </row>
    <row r="707" spans="1:27" x14ac:dyDescent="0.4">
      <c r="A707" t="str">
        <f t="shared" si="21"/>
        <v/>
      </c>
      <c r="AA707" t="str">
        <f t="shared" si="20"/>
        <v/>
      </c>
    </row>
    <row r="708" spans="1:27" x14ac:dyDescent="0.4">
      <c r="A708" t="str">
        <f t="shared" si="21"/>
        <v/>
      </c>
      <c r="AA708" t="str">
        <f t="shared" si="20"/>
        <v/>
      </c>
    </row>
    <row r="709" spans="1:27" x14ac:dyDescent="0.4">
      <c r="A709" t="str">
        <f t="shared" si="21"/>
        <v/>
      </c>
      <c r="AA709" t="str">
        <f t="shared" ref="AA709:AA772" si="22">AB709&amp;AC709</f>
        <v/>
      </c>
    </row>
    <row r="710" spans="1:27" x14ac:dyDescent="0.4">
      <c r="A710" t="str">
        <f t="shared" si="21"/>
        <v/>
      </c>
      <c r="AA710" t="str">
        <f t="shared" si="22"/>
        <v/>
      </c>
    </row>
    <row r="711" spans="1:27" x14ac:dyDescent="0.4">
      <c r="A711" t="str">
        <f t="shared" ref="A711:A774" si="23">RIGHT(B711,12)</f>
        <v/>
      </c>
      <c r="AA711" t="str">
        <f t="shared" si="22"/>
        <v/>
      </c>
    </row>
    <row r="712" spans="1:27" x14ac:dyDescent="0.4">
      <c r="A712" t="str">
        <f t="shared" si="23"/>
        <v/>
      </c>
      <c r="AA712" t="str">
        <f t="shared" si="22"/>
        <v/>
      </c>
    </row>
    <row r="713" spans="1:27" x14ac:dyDescent="0.4">
      <c r="A713" t="str">
        <f t="shared" si="23"/>
        <v/>
      </c>
      <c r="AA713" t="str">
        <f t="shared" si="22"/>
        <v/>
      </c>
    </row>
    <row r="714" spans="1:27" x14ac:dyDescent="0.4">
      <c r="A714" t="str">
        <f t="shared" si="23"/>
        <v/>
      </c>
      <c r="AA714" t="str">
        <f t="shared" si="22"/>
        <v/>
      </c>
    </row>
    <row r="715" spans="1:27" x14ac:dyDescent="0.4">
      <c r="A715" t="str">
        <f t="shared" si="23"/>
        <v/>
      </c>
      <c r="AA715" t="str">
        <f t="shared" si="22"/>
        <v/>
      </c>
    </row>
    <row r="716" spans="1:27" x14ac:dyDescent="0.4">
      <c r="A716" t="str">
        <f t="shared" si="23"/>
        <v/>
      </c>
      <c r="AA716" t="str">
        <f t="shared" si="22"/>
        <v/>
      </c>
    </row>
    <row r="717" spans="1:27" x14ac:dyDescent="0.4">
      <c r="A717" t="str">
        <f t="shared" si="23"/>
        <v/>
      </c>
      <c r="AA717" t="str">
        <f t="shared" si="22"/>
        <v/>
      </c>
    </row>
    <row r="718" spans="1:27" x14ac:dyDescent="0.4">
      <c r="A718" t="str">
        <f t="shared" si="23"/>
        <v/>
      </c>
      <c r="AA718" t="str">
        <f t="shared" si="22"/>
        <v/>
      </c>
    </row>
    <row r="719" spans="1:27" x14ac:dyDescent="0.4">
      <c r="A719" t="str">
        <f t="shared" si="23"/>
        <v/>
      </c>
      <c r="AA719" t="str">
        <f t="shared" si="22"/>
        <v/>
      </c>
    </row>
    <row r="720" spans="1:27" x14ac:dyDescent="0.4">
      <c r="A720" t="str">
        <f t="shared" si="23"/>
        <v/>
      </c>
      <c r="AA720" t="str">
        <f t="shared" si="22"/>
        <v/>
      </c>
    </row>
    <row r="721" spans="1:27" x14ac:dyDescent="0.4">
      <c r="A721" t="str">
        <f t="shared" si="23"/>
        <v/>
      </c>
      <c r="AA721" t="str">
        <f t="shared" si="22"/>
        <v/>
      </c>
    </row>
    <row r="722" spans="1:27" x14ac:dyDescent="0.4">
      <c r="A722" t="str">
        <f t="shared" si="23"/>
        <v/>
      </c>
      <c r="AA722" t="str">
        <f t="shared" si="22"/>
        <v/>
      </c>
    </row>
    <row r="723" spans="1:27" x14ac:dyDescent="0.4">
      <c r="A723" t="str">
        <f t="shared" si="23"/>
        <v/>
      </c>
      <c r="AA723" t="str">
        <f t="shared" si="22"/>
        <v/>
      </c>
    </row>
    <row r="724" spans="1:27" x14ac:dyDescent="0.4">
      <c r="A724" t="str">
        <f t="shared" si="23"/>
        <v/>
      </c>
      <c r="AA724" t="str">
        <f t="shared" si="22"/>
        <v/>
      </c>
    </row>
    <row r="725" spans="1:27" x14ac:dyDescent="0.4">
      <c r="A725" t="str">
        <f t="shared" si="23"/>
        <v/>
      </c>
      <c r="AA725" t="str">
        <f t="shared" si="22"/>
        <v/>
      </c>
    </row>
    <row r="726" spans="1:27" x14ac:dyDescent="0.4">
      <c r="A726" t="str">
        <f t="shared" si="23"/>
        <v/>
      </c>
      <c r="AA726" t="str">
        <f t="shared" si="22"/>
        <v/>
      </c>
    </row>
    <row r="727" spans="1:27" x14ac:dyDescent="0.4">
      <c r="A727" t="str">
        <f t="shared" si="23"/>
        <v/>
      </c>
      <c r="AA727" t="str">
        <f t="shared" si="22"/>
        <v/>
      </c>
    </row>
    <row r="728" spans="1:27" x14ac:dyDescent="0.4">
      <c r="A728" t="str">
        <f t="shared" si="23"/>
        <v/>
      </c>
      <c r="AA728" t="str">
        <f t="shared" si="22"/>
        <v/>
      </c>
    </row>
    <row r="729" spans="1:27" x14ac:dyDescent="0.4">
      <c r="A729" t="str">
        <f t="shared" si="23"/>
        <v/>
      </c>
      <c r="AA729" t="str">
        <f t="shared" si="22"/>
        <v/>
      </c>
    </row>
    <row r="730" spans="1:27" x14ac:dyDescent="0.4">
      <c r="A730" t="str">
        <f t="shared" si="23"/>
        <v/>
      </c>
      <c r="AA730" t="str">
        <f t="shared" si="22"/>
        <v/>
      </c>
    </row>
    <row r="731" spans="1:27" x14ac:dyDescent="0.4">
      <c r="A731" t="str">
        <f t="shared" si="23"/>
        <v/>
      </c>
      <c r="AA731" t="str">
        <f t="shared" si="22"/>
        <v/>
      </c>
    </row>
    <row r="732" spans="1:27" x14ac:dyDescent="0.4">
      <c r="A732" t="str">
        <f t="shared" si="23"/>
        <v/>
      </c>
      <c r="AA732" t="str">
        <f t="shared" si="22"/>
        <v/>
      </c>
    </row>
    <row r="733" spans="1:27" x14ac:dyDescent="0.4">
      <c r="A733" t="str">
        <f t="shared" si="23"/>
        <v/>
      </c>
      <c r="AA733" t="str">
        <f t="shared" si="22"/>
        <v/>
      </c>
    </row>
    <row r="734" spans="1:27" x14ac:dyDescent="0.4">
      <c r="A734" t="str">
        <f t="shared" si="23"/>
        <v/>
      </c>
      <c r="AA734" t="str">
        <f t="shared" si="22"/>
        <v/>
      </c>
    </row>
    <row r="735" spans="1:27" x14ac:dyDescent="0.4">
      <c r="A735" t="str">
        <f t="shared" si="23"/>
        <v/>
      </c>
      <c r="AA735" t="str">
        <f t="shared" si="22"/>
        <v/>
      </c>
    </row>
    <row r="736" spans="1:27" x14ac:dyDescent="0.4">
      <c r="A736" t="str">
        <f t="shared" si="23"/>
        <v/>
      </c>
      <c r="AA736" t="str">
        <f t="shared" si="22"/>
        <v/>
      </c>
    </row>
    <row r="737" spans="1:27" x14ac:dyDescent="0.4">
      <c r="A737" t="str">
        <f t="shared" si="23"/>
        <v/>
      </c>
      <c r="AA737" t="str">
        <f t="shared" si="22"/>
        <v/>
      </c>
    </row>
    <row r="738" spans="1:27" x14ac:dyDescent="0.4">
      <c r="A738" t="str">
        <f t="shared" si="23"/>
        <v/>
      </c>
      <c r="AA738" t="str">
        <f t="shared" si="22"/>
        <v/>
      </c>
    </row>
    <row r="739" spans="1:27" x14ac:dyDescent="0.4">
      <c r="A739" t="str">
        <f t="shared" si="23"/>
        <v/>
      </c>
      <c r="AA739" t="str">
        <f t="shared" si="22"/>
        <v/>
      </c>
    </row>
    <row r="740" spans="1:27" x14ac:dyDescent="0.4">
      <c r="A740" t="str">
        <f t="shared" si="23"/>
        <v/>
      </c>
      <c r="AA740" t="str">
        <f t="shared" si="22"/>
        <v/>
      </c>
    </row>
    <row r="741" spans="1:27" x14ac:dyDescent="0.4">
      <c r="A741" t="str">
        <f t="shared" si="23"/>
        <v/>
      </c>
      <c r="AA741" t="str">
        <f t="shared" si="22"/>
        <v/>
      </c>
    </row>
    <row r="742" spans="1:27" x14ac:dyDescent="0.4">
      <c r="A742" t="str">
        <f t="shared" si="23"/>
        <v/>
      </c>
      <c r="AA742" t="str">
        <f t="shared" si="22"/>
        <v/>
      </c>
    </row>
    <row r="743" spans="1:27" x14ac:dyDescent="0.4">
      <c r="A743" t="str">
        <f t="shared" si="23"/>
        <v/>
      </c>
      <c r="AA743" t="str">
        <f t="shared" si="22"/>
        <v/>
      </c>
    </row>
    <row r="744" spans="1:27" x14ac:dyDescent="0.4">
      <c r="A744" t="str">
        <f t="shared" si="23"/>
        <v/>
      </c>
      <c r="AA744" t="str">
        <f t="shared" si="22"/>
        <v/>
      </c>
    </row>
    <row r="745" spans="1:27" x14ac:dyDescent="0.4">
      <c r="A745" t="str">
        <f t="shared" si="23"/>
        <v/>
      </c>
      <c r="AA745" t="str">
        <f t="shared" si="22"/>
        <v/>
      </c>
    </row>
    <row r="746" spans="1:27" x14ac:dyDescent="0.4">
      <c r="A746" t="str">
        <f t="shared" si="23"/>
        <v/>
      </c>
      <c r="AA746" t="str">
        <f t="shared" si="22"/>
        <v/>
      </c>
    </row>
    <row r="747" spans="1:27" x14ac:dyDescent="0.4">
      <c r="A747" t="str">
        <f t="shared" si="23"/>
        <v/>
      </c>
      <c r="AA747" t="str">
        <f t="shared" si="22"/>
        <v/>
      </c>
    </row>
    <row r="748" spans="1:27" x14ac:dyDescent="0.4">
      <c r="A748" t="str">
        <f t="shared" si="23"/>
        <v/>
      </c>
      <c r="AA748" t="str">
        <f t="shared" si="22"/>
        <v/>
      </c>
    </row>
    <row r="749" spans="1:27" x14ac:dyDescent="0.4">
      <c r="A749" t="str">
        <f t="shared" si="23"/>
        <v/>
      </c>
      <c r="AA749" t="str">
        <f t="shared" si="22"/>
        <v/>
      </c>
    </row>
    <row r="750" spans="1:27" x14ac:dyDescent="0.4">
      <c r="A750" t="str">
        <f t="shared" si="23"/>
        <v/>
      </c>
      <c r="AA750" t="str">
        <f t="shared" si="22"/>
        <v/>
      </c>
    </row>
    <row r="751" spans="1:27" x14ac:dyDescent="0.4">
      <c r="A751" t="str">
        <f t="shared" si="23"/>
        <v/>
      </c>
      <c r="AA751" t="str">
        <f t="shared" si="22"/>
        <v/>
      </c>
    </row>
    <row r="752" spans="1:27" x14ac:dyDescent="0.4">
      <c r="A752" t="str">
        <f t="shared" si="23"/>
        <v/>
      </c>
      <c r="AA752" t="str">
        <f t="shared" si="22"/>
        <v/>
      </c>
    </row>
    <row r="753" spans="1:27" x14ac:dyDescent="0.4">
      <c r="A753" t="str">
        <f t="shared" si="23"/>
        <v/>
      </c>
      <c r="AA753" t="str">
        <f t="shared" si="22"/>
        <v/>
      </c>
    </row>
    <row r="754" spans="1:27" x14ac:dyDescent="0.4">
      <c r="A754" t="str">
        <f t="shared" si="23"/>
        <v/>
      </c>
      <c r="AA754" t="str">
        <f t="shared" si="22"/>
        <v/>
      </c>
    </row>
    <row r="755" spans="1:27" x14ac:dyDescent="0.4">
      <c r="A755" t="str">
        <f t="shared" si="23"/>
        <v/>
      </c>
      <c r="AA755" t="str">
        <f t="shared" si="22"/>
        <v/>
      </c>
    </row>
    <row r="756" spans="1:27" x14ac:dyDescent="0.4">
      <c r="A756" t="str">
        <f t="shared" si="23"/>
        <v/>
      </c>
      <c r="AA756" t="str">
        <f t="shared" si="22"/>
        <v/>
      </c>
    </row>
    <row r="757" spans="1:27" x14ac:dyDescent="0.4">
      <c r="A757" t="str">
        <f t="shared" si="23"/>
        <v/>
      </c>
      <c r="AA757" t="str">
        <f t="shared" si="22"/>
        <v/>
      </c>
    </row>
    <row r="758" spans="1:27" x14ac:dyDescent="0.4">
      <c r="A758" t="str">
        <f t="shared" si="23"/>
        <v/>
      </c>
      <c r="AA758" t="str">
        <f t="shared" si="22"/>
        <v/>
      </c>
    </row>
    <row r="759" spans="1:27" x14ac:dyDescent="0.4">
      <c r="A759" t="str">
        <f t="shared" si="23"/>
        <v/>
      </c>
      <c r="AA759" t="str">
        <f t="shared" si="22"/>
        <v/>
      </c>
    </row>
    <row r="760" spans="1:27" x14ac:dyDescent="0.4">
      <c r="A760" t="str">
        <f t="shared" si="23"/>
        <v/>
      </c>
      <c r="AA760" t="str">
        <f t="shared" si="22"/>
        <v/>
      </c>
    </row>
    <row r="761" spans="1:27" x14ac:dyDescent="0.4">
      <c r="A761" t="str">
        <f t="shared" si="23"/>
        <v/>
      </c>
      <c r="AA761" t="str">
        <f t="shared" si="22"/>
        <v/>
      </c>
    </row>
    <row r="762" spans="1:27" x14ac:dyDescent="0.4">
      <c r="A762" t="str">
        <f t="shared" si="23"/>
        <v/>
      </c>
      <c r="AA762" t="str">
        <f t="shared" si="22"/>
        <v/>
      </c>
    </row>
    <row r="763" spans="1:27" x14ac:dyDescent="0.4">
      <c r="A763" t="str">
        <f t="shared" si="23"/>
        <v/>
      </c>
      <c r="AA763" t="str">
        <f t="shared" si="22"/>
        <v/>
      </c>
    </row>
    <row r="764" spans="1:27" x14ac:dyDescent="0.4">
      <c r="A764" t="str">
        <f t="shared" si="23"/>
        <v/>
      </c>
      <c r="AA764" t="str">
        <f t="shared" si="22"/>
        <v/>
      </c>
    </row>
    <row r="765" spans="1:27" x14ac:dyDescent="0.4">
      <c r="A765" t="str">
        <f t="shared" si="23"/>
        <v/>
      </c>
      <c r="AA765" t="str">
        <f t="shared" si="22"/>
        <v/>
      </c>
    </row>
    <row r="766" spans="1:27" x14ac:dyDescent="0.4">
      <c r="A766" t="str">
        <f t="shared" si="23"/>
        <v/>
      </c>
      <c r="AA766" t="str">
        <f t="shared" si="22"/>
        <v/>
      </c>
    </row>
    <row r="767" spans="1:27" x14ac:dyDescent="0.4">
      <c r="A767" t="str">
        <f t="shared" si="23"/>
        <v/>
      </c>
      <c r="AA767" t="str">
        <f t="shared" si="22"/>
        <v/>
      </c>
    </row>
    <row r="768" spans="1:27" x14ac:dyDescent="0.4">
      <c r="A768" t="str">
        <f t="shared" si="23"/>
        <v/>
      </c>
      <c r="AA768" t="str">
        <f t="shared" si="22"/>
        <v/>
      </c>
    </row>
    <row r="769" spans="1:27" x14ac:dyDescent="0.4">
      <c r="A769" t="str">
        <f t="shared" si="23"/>
        <v/>
      </c>
      <c r="AA769" t="str">
        <f t="shared" si="22"/>
        <v/>
      </c>
    </row>
    <row r="770" spans="1:27" x14ac:dyDescent="0.4">
      <c r="A770" t="str">
        <f t="shared" si="23"/>
        <v/>
      </c>
      <c r="AA770" t="str">
        <f t="shared" si="22"/>
        <v/>
      </c>
    </row>
    <row r="771" spans="1:27" x14ac:dyDescent="0.4">
      <c r="A771" t="str">
        <f t="shared" si="23"/>
        <v/>
      </c>
      <c r="AA771" t="str">
        <f t="shared" si="22"/>
        <v/>
      </c>
    </row>
    <row r="772" spans="1:27" x14ac:dyDescent="0.4">
      <c r="A772" t="str">
        <f t="shared" si="23"/>
        <v/>
      </c>
      <c r="AA772" t="str">
        <f t="shared" si="22"/>
        <v/>
      </c>
    </row>
    <row r="773" spans="1:27" x14ac:dyDescent="0.4">
      <c r="A773" t="str">
        <f t="shared" si="23"/>
        <v/>
      </c>
      <c r="AA773" t="str">
        <f t="shared" ref="AA773:AA836" si="24">AB773&amp;AC773</f>
        <v/>
      </c>
    </row>
    <row r="774" spans="1:27" x14ac:dyDescent="0.4">
      <c r="A774" t="str">
        <f t="shared" si="23"/>
        <v/>
      </c>
      <c r="AA774" t="str">
        <f t="shared" si="24"/>
        <v/>
      </c>
    </row>
    <row r="775" spans="1:27" x14ac:dyDescent="0.4">
      <c r="A775" t="str">
        <f t="shared" ref="A775:A838" si="25">RIGHT(B775,12)</f>
        <v/>
      </c>
      <c r="AA775" t="str">
        <f t="shared" si="24"/>
        <v/>
      </c>
    </row>
    <row r="776" spans="1:27" x14ac:dyDescent="0.4">
      <c r="A776" t="str">
        <f t="shared" si="25"/>
        <v/>
      </c>
      <c r="AA776" t="str">
        <f t="shared" si="24"/>
        <v/>
      </c>
    </row>
    <row r="777" spans="1:27" x14ac:dyDescent="0.4">
      <c r="A777" t="str">
        <f t="shared" si="25"/>
        <v/>
      </c>
      <c r="AA777" t="str">
        <f t="shared" si="24"/>
        <v/>
      </c>
    </row>
    <row r="778" spans="1:27" x14ac:dyDescent="0.4">
      <c r="A778" t="str">
        <f t="shared" si="25"/>
        <v/>
      </c>
      <c r="AA778" t="str">
        <f t="shared" si="24"/>
        <v/>
      </c>
    </row>
    <row r="779" spans="1:27" x14ac:dyDescent="0.4">
      <c r="A779" t="str">
        <f t="shared" si="25"/>
        <v/>
      </c>
      <c r="AA779" t="str">
        <f t="shared" si="24"/>
        <v/>
      </c>
    </row>
    <row r="780" spans="1:27" x14ac:dyDescent="0.4">
      <c r="A780" t="str">
        <f t="shared" si="25"/>
        <v/>
      </c>
      <c r="AA780" t="str">
        <f t="shared" si="24"/>
        <v/>
      </c>
    </row>
    <row r="781" spans="1:27" x14ac:dyDescent="0.4">
      <c r="A781" t="str">
        <f t="shared" si="25"/>
        <v/>
      </c>
      <c r="AA781" t="str">
        <f t="shared" si="24"/>
        <v/>
      </c>
    </row>
    <row r="782" spans="1:27" x14ac:dyDescent="0.4">
      <c r="A782" t="str">
        <f t="shared" si="25"/>
        <v/>
      </c>
      <c r="AA782" t="str">
        <f t="shared" si="24"/>
        <v/>
      </c>
    </row>
    <row r="783" spans="1:27" x14ac:dyDescent="0.4">
      <c r="A783" t="str">
        <f t="shared" si="25"/>
        <v/>
      </c>
      <c r="AA783" t="str">
        <f t="shared" si="24"/>
        <v/>
      </c>
    </row>
    <row r="784" spans="1:27" x14ac:dyDescent="0.4">
      <c r="A784" t="str">
        <f t="shared" si="25"/>
        <v/>
      </c>
      <c r="AA784" t="str">
        <f t="shared" si="24"/>
        <v/>
      </c>
    </row>
    <row r="785" spans="1:27" x14ac:dyDescent="0.4">
      <c r="A785" t="str">
        <f t="shared" si="25"/>
        <v/>
      </c>
      <c r="AA785" t="str">
        <f t="shared" si="24"/>
        <v/>
      </c>
    </row>
    <row r="786" spans="1:27" x14ac:dyDescent="0.4">
      <c r="A786" t="str">
        <f t="shared" si="25"/>
        <v/>
      </c>
      <c r="AA786" t="str">
        <f t="shared" si="24"/>
        <v/>
      </c>
    </row>
    <row r="787" spans="1:27" x14ac:dyDescent="0.4">
      <c r="A787" t="str">
        <f t="shared" si="25"/>
        <v/>
      </c>
      <c r="AA787" t="str">
        <f t="shared" si="24"/>
        <v/>
      </c>
    </row>
    <row r="788" spans="1:27" x14ac:dyDescent="0.4">
      <c r="A788" t="str">
        <f t="shared" si="25"/>
        <v/>
      </c>
      <c r="AA788" t="str">
        <f t="shared" si="24"/>
        <v/>
      </c>
    </row>
    <row r="789" spans="1:27" x14ac:dyDescent="0.4">
      <c r="A789" t="str">
        <f t="shared" si="25"/>
        <v/>
      </c>
      <c r="AA789" t="str">
        <f t="shared" si="24"/>
        <v/>
      </c>
    </row>
    <row r="790" spans="1:27" x14ac:dyDescent="0.4">
      <c r="A790" t="str">
        <f t="shared" si="25"/>
        <v/>
      </c>
      <c r="AA790" t="str">
        <f t="shared" si="24"/>
        <v/>
      </c>
    </row>
    <row r="791" spans="1:27" x14ac:dyDescent="0.4">
      <c r="A791" t="str">
        <f t="shared" si="25"/>
        <v/>
      </c>
      <c r="AA791" t="str">
        <f t="shared" si="24"/>
        <v/>
      </c>
    </row>
    <row r="792" spans="1:27" x14ac:dyDescent="0.4">
      <c r="A792" t="str">
        <f t="shared" si="25"/>
        <v/>
      </c>
      <c r="AA792" t="str">
        <f t="shared" si="24"/>
        <v/>
      </c>
    </row>
    <row r="793" spans="1:27" x14ac:dyDescent="0.4">
      <c r="A793" t="str">
        <f t="shared" si="25"/>
        <v/>
      </c>
      <c r="AA793" t="str">
        <f t="shared" si="24"/>
        <v/>
      </c>
    </row>
    <row r="794" spans="1:27" x14ac:dyDescent="0.4">
      <c r="A794" t="str">
        <f t="shared" si="25"/>
        <v/>
      </c>
      <c r="AA794" t="str">
        <f t="shared" si="24"/>
        <v/>
      </c>
    </row>
    <row r="795" spans="1:27" x14ac:dyDescent="0.4">
      <c r="A795" t="str">
        <f t="shared" si="25"/>
        <v/>
      </c>
      <c r="AA795" t="str">
        <f t="shared" si="24"/>
        <v/>
      </c>
    </row>
    <row r="796" spans="1:27" x14ac:dyDescent="0.4">
      <c r="A796" t="str">
        <f t="shared" si="25"/>
        <v/>
      </c>
      <c r="AA796" t="str">
        <f t="shared" si="24"/>
        <v/>
      </c>
    </row>
    <row r="797" spans="1:27" x14ac:dyDescent="0.4">
      <c r="A797" t="str">
        <f t="shared" si="25"/>
        <v/>
      </c>
      <c r="AA797" t="str">
        <f t="shared" si="24"/>
        <v/>
      </c>
    </row>
    <row r="798" spans="1:27" x14ac:dyDescent="0.4">
      <c r="A798" t="str">
        <f t="shared" si="25"/>
        <v/>
      </c>
      <c r="AA798" t="str">
        <f t="shared" si="24"/>
        <v/>
      </c>
    </row>
    <row r="799" spans="1:27" x14ac:dyDescent="0.4">
      <c r="A799" t="str">
        <f t="shared" si="25"/>
        <v/>
      </c>
      <c r="AA799" t="str">
        <f t="shared" si="24"/>
        <v/>
      </c>
    </row>
    <row r="800" spans="1:27" x14ac:dyDescent="0.4">
      <c r="A800" t="str">
        <f t="shared" si="25"/>
        <v/>
      </c>
      <c r="AA800" t="str">
        <f t="shared" si="24"/>
        <v/>
      </c>
    </row>
    <row r="801" spans="1:27" x14ac:dyDescent="0.4">
      <c r="A801" t="str">
        <f t="shared" si="25"/>
        <v/>
      </c>
      <c r="AA801" t="str">
        <f t="shared" si="24"/>
        <v/>
      </c>
    </row>
    <row r="802" spans="1:27" x14ac:dyDescent="0.4">
      <c r="A802" t="str">
        <f t="shared" si="25"/>
        <v/>
      </c>
      <c r="AA802" t="str">
        <f t="shared" si="24"/>
        <v/>
      </c>
    </row>
    <row r="803" spans="1:27" x14ac:dyDescent="0.4">
      <c r="A803" t="str">
        <f t="shared" si="25"/>
        <v/>
      </c>
      <c r="AA803" t="str">
        <f t="shared" si="24"/>
        <v/>
      </c>
    </row>
    <row r="804" spans="1:27" x14ac:dyDescent="0.4">
      <c r="A804" t="str">
        <f t="shared" si="25"/>
        <v/>
      </c>
      <c r="AA804" t="str">
        <f t="shared" si="24"/>
        <v/>
      </c>
    </row>
    <row r="805" spans="1:27" x14ac:dyDescent="0.4">
      <c r="A805" t="str">
        <f t="shared" si="25"/>
        <v/>
      </c>
      <c r="AA805" t="str">
        <f t="shared" si="24"/>
        <v/>
      </c>
    </row>
    <row r="806" spans="1:27" x14ac:dyDescent="0.4">
      <c r="A806" t="str">
        <f t="shared" si="25"/>
        <v/>
      </c>
      <c r="AA806" t="str">
        <f t="shared" si="24"/>
        <v/>
      </c>
    </row>
    <row r="807" spans="1:27" x14ac:dyDescent="0.4">
      <c r="A807" t="str">
        <f t="shared" si="25"/>
        <v/>
      </c>
      <c r="AA807" t="str">
        <f t="shared" si="24"/>
        <v/>
      </c>
    </row>
    <row r="808" spans="1:27" x14ac:dyDescent="0.4">
      <c r="A808" t="str">
        <f t="shared" si="25"/>
        <v/>
      </c>
      <c r="AA808" t="str">
        <f t="shared" si="24"/>
        <v/>
      </c>
    </row>
    <row r="809" spans="1:27" x14ac:dyDescent="0.4">
      <c r="A809" t="str">
        <f t="shared" si="25"/>
        <v/>
      </c>
      <c r="AA809" t="str">
        <f t="shared" si="24"/>
        <v/>
      </c>
    </row>
    <row r="810" spans="1:27" x14ac:dyDescent="0.4">
      <c r="A810" t="str">
        <f t="shared" si="25"/>
        <v/>
      </c>
      <c r="AA810" t="str">
        <f t="shared" si="24"/>
        <v/>
      </c>
    </row>
    <row r="811" spans="1:27" x14ac:dyDescent="0.4">
      <c r="A811" t="str">
        <f t="shared" si="25"/>
        <v/>
      </c>
      <c r="AA811" t="str">
        <f t="shared" si="24"/>
        <v/>
      </c>
    </row>
    <row r="812" spans="1:27" x14ac:dyDescent="0.4">
      <c r="A812" t="str">
        <f t="shared" si="25"/>
        <v/>
      </c>
      <c r="AA812" t="str">
        <f t="shared" si="24"/>
        <v/>
      </c>
    </row>
    <row r="813" spans="1:27" x14ac:dyDescent="0.4">
      <c r="A813" t="str">
        <f t="shared" si="25"/>
        <v/>
      </c>
      <c r="AA813" t="str">
        <f t="shared" si="24"/>
        <v/>
      </c>
    </row>
    <row r="814" spans="1:27" x14ac:dyDescent="0.4">
      <c r="A814" t="str">
        <f t="shared" si="25"/>
        <v/>
      </c>
      <c r="AA814" t="str">
        <f t="shared" si="24"/>
        <v/>
      </c>
    </row>
    <row r="815" spans="1:27" x14ac:dyDescent="0.4">
      <c r="A815" t="str">
        <f t="shared" si="25"/>
        <v/>
      </c>
      <c r="AA815" t="str">
        <f t="shared" si="24"/>
        <v/>
      </c>
    </row>
    <row r="816" spans="1:27" x14ac:dyDescent="0.4">
      <c r="A816" t="str">
        <f t="shared" si="25"/>
        <v/>
      </c>
      <c r="AA816" t="str">
        <f t="shared" si="24"/>
        <v/>
      </c>
    </row>
    <row r="817" spans="1:27" x14ac:dyDescent="0.4">
      <c r="A817" t="str">
        <f t="shared" si="25"/>
        <v/>
      </c>
      <c r="AA817" t="str">
        <f t="shared" si="24"/>
        <v/>
      </c>
    </row>
    <row r="818" spans="1:27" x14ac:dyDescent="0.4">
      <c r="A818" t="str">
        <f t="shared" si="25"/>
        <v/>
      </c>
      <c r="AA818" t="str">
        <f t="shared" si="24"/>
        <v/>
      </c>
    </row>
    <row r="819" spans="1:27" x14ac:dyDescent="0.4">
      <c r="A819" t="str">
        <f t="shared" si="25"/>
        <v/>
      </c>
      <c r="AA819" t="str">
        <f t="shared" si="24"/>
        <v/>
      </c>
    </row>
    <row r="820" spans="1:27" x14ac:dyDescent="0.4">
      <c r="A820" t="str">
        <f t="shared" si="25"/>
        <v/>
      </c>
      <c r="AA820" t="str">
        <f t="shared" si="24"/>
        <v/>
      </c>
    </row>
    <row r="821" spans="1:27" x14ac:dyDescent="0.4">
      <c r="A821" t="str">
        <f t="shared" si="25"/>
        <v/>
      </c>
      <c r="AA821" t="str">
        <f t="shared" si="24"/>
        <v/>
      </c>
    </row>
    <row r="822" spans="1:27" x14ac:dyDescent="0.4">
      <c r="A822" t="str">
        <f t="shared" si="25"/>
        <v/>
      </c>
      <c r="AA822" t="str">
        <f t="shared" si="24"/>
        <v/>
      </c>
    </row>
    <row r="823" spans="1:27" x14ac:dyDescent="0.4">
      <c r="A823" t="str">
        <f t="shared" si="25"/>
        <v/>
      </c>
      <c r="AA823" t="str">
        <f t="shared" si="24"/>
        <v/>
      </c>
    </row>
    <row r="824" spans="1:27" x14ac:dyDescent="0.4">
      <c r="A824" t="str">
        <f t="shared" si="25"/>
        <v/>
      </c>
      <c r="AA824" t="str">
        <f t="shared" si="24"/>
        <v/>
      </c>
    </row>
    <row r="825" spans="1:27" x14ac:dyDescent="0.4">
      <c r="A825" t="str">
        <f t="shared" si="25"/>
        <v/>
      </c>
      <c r="AA825" t="str">
        <f t="shared" si="24"/>
        <v/>
      </c>
    </row>
    <row r="826" spans="1:27" x14ac:dyDescent="0.4">
      <c r="A826" t="str">
        <f t="shared" si="25"/>
        <v/>
      </c>
      <c r="AA826" t="str">
        <f t="shared" si="24"/>
        <v/>
      </c>
    </row>
    <row r="827" spans="1:27" x14ac:dyDescent="0.4">
      <c r="A827" t="str">
        <f t="shared" si="25"/>
        <v/>
      </c>
      <c r="AA827" t="str">
        <f t="shared" si="24"/>
        <v/>
      </c>
    </row>
    <row r="828" spans="1:27" x14ac:dyDescent="0.4">
      <c r="A828" t="str">
        <f t="shared" si="25"/>
        <v/>
      </c>
      <c r="AA828" t="str">
        <f t="shared" si="24"/>
        <v/>
      </c>
    </row>
    <row r="829" spans="1:27" x14ac:dyDescent="0.4">
      <c r="A829" t="str">
        <f t="shared" si="25"/>
        <v/>
      </c>
      <c r="AA829" t="str">
        <f t="shared" si="24"/>
        <v/>
      </c>
    </row>
    <row r="830" spans="1:27" x14ac:dyDescent="0.4">
      <c r="A830" t="str">
        <f t="shared" si="25"/>
        <v/>
      </c>
      <c r="AA830" t="str">
        <f t="shared" si="24"/>
        <v/>
      </c>
    </row>
    <row r="831" spans="1:27" x14ac:dyDescent="0.4">
      <c r="A831" t="str">
        <f t="shared" si="25"/>
        <v/>
      </c>
      <c r="AA831" t="str">
        <f t="shared" si="24"/>
        <v/>
      </c>
    </row>
    <row r="832" spans="1:27" x14ac:dyDescent="0.4">
      <c r="A832" t="str">
        <f t="shared" si="25"/>
        <v/>
      </c>
      <c r="AA832" t="str">
        <f t="shared" si="24"/>
        <v/>
      </c>
    </row>
    <row r="833" spans="1:27" x14ac:dyDescent="0.4">
      <c r="A833" t="str">
        <f t="shared" si="25"/>
        <v/>
      </c>
      <c r="AA833" t="str">
        <f t="shared" si="24"/>
        <v/>
      </c>
    </row>
    <row r="834" spans="1:27" x14ac:dyDescent="0.4">
      <c r="A834" t="str">
        <f t="shared" si="25"/>
        <v/>
      </c>
      <c r="AA834" t="str">
        <f t="shared" si="24"/>
        <v/>
      </c>
    </row>
    <row r="835" spans="1:27" x14ac:dyDescent="0.4">
      <c r="A835" t="str">
        <f t="shared" si="25"/>
        <v/>
      </c>
      <c r="AA835" t="str">
        <f t="shared" si="24"/>
        <v/>
      </c>
    </row>
    <row r="836" spans="1:27" x14ac:dyDescent="0.4">
      <c r="A836" t="str">
        <f t="shared" si="25"/>
        <v/>
      </c>
      <c r="AA836" t="str">
        <f t="shared" si="24"/>
        <v/>
      </c>
    </row>
    <row r="837" spans="1:27" x14ac:dyDescent="0.4">
      <c r="A837" t="str">
        <f t="shared" si="25"/>
        <v/>
      </c>
      <c r="AA837" t="str">
        <f t="shared" ref="AA837:AA900" si="26">AB837&amp;AC837</f>
        <v/>
      </c>
    </row>
    <row r="838" spans="1:27" x14ac:dyDescent="0.4">
      <c r="A838" t="str">
        <f t="shared" si="25"/>
        <v/>
      </c>
      <c r="AA838" t="str">
        <f t="shared" si="26"/>
        <v/>
      </c>
    </row>
    <row r="839" spans="1:27" x14ac:dyDescent="0.4">
      <c r="A839" t="str">
        <f t="shared" ref="A839:A902" si="27">RIGHT(B839,12)</f>
        <v/>
      </c>
      <c r="AA839" t="str">
        <f t="shared" si="26"/>
        <v/>
      </c>
    </row>
    <row r="840" spans="1:27" x14ac:dyDescent="0.4">
      <c r="A840" t="str">
        <f t="shared" si="27"/>
        <v/>
      </c>
      <c r="AA840" t="str">
        <f t="shared" si="26"/>
        <v/>
      </c>
    </row>
    <row r="841" spans="1:27" x14ac:dyDescent="0.4">
      <c r="A841" t="str">
        <f t="shared" si="27"/>
        <v/>
      </c>
      <c r="AA841" t="str">
        <f t="shared" si="26"/>
        <v/>
      </c>
    </row>
    <row r="842" spans="1:27" x14ac:dyDescent="0.4">
      <c r="A842" t="str">
        <f t="shared" si="27"/>
        <v/>
      </c>
      <c r="AA842" t="str">
        <f t="shared" si="26"/>
        <v/>
      </c>
    </row>
    <row r="843" spans="1:27" x14ac:dyDescent="0.4">
      <c r="A843" t="str">
        <f t="shared" si="27"/>
        <v/>
      </c>
      <c r="AA843" t="str">
        <f t="shared" si="26"/>
        <v/>
      </c>
    </row>
    <row r="844" spans="1:27" x14ac:dyDescent="0.4">
      <c r="A844" t="str">
        <f t="shared" si="27"/>
        <v/>
      </c>
      <c r="AA844" t="str">
        <f t="shared" si="26"/>
        <v/>
      </c>
    </row>
    <row r="845" spans="1:27" x14ac:dyDescent="0.4">
      <c r="A845" t="str">
        <f t="shared" si="27"/>
        <v/>
      </c>
      <c r="AA845" t="str">
        <f t="shared" si="26"/>
        <v/>
      </c>
    </row>
    <row r="846" spans="1:27" x14ac:dyDescent="0.4">
      <c r="A846" t="str">
        <f t="shared" si="27"/>
        <v/>
      </c>
      <c r="AA846" t="str">
        <f t="shared" si="26"/>
        <v/>
      </c>
    </row>
    <row r="847" spans="1:27" x14ac:dyDescent="0.4">
      <c r="A847" t="str">
        <f t="shared" si="27"/>
        <v/>
      </c>
      <c r="AA847" t="str">
        <f t="shared" si="26"/>
        <v/>
      </c>
    </row>
    <row r="848" spans="1:27" x14ac:dyDescent="0.4">
      <c r="A848" t="str">
        <f t="shared" si="27"/>
        <v/>
      </c>
      <c r="AA848" t="str">
        <f t="shared" si="26"/>
        <v/>
      </c>
    </row>
    <row r="849" spans="1:27" x14ac:dyDescent="0.4">
      <c r="A849" t="str">
        <f t="shared" si="27"/>
        <v/>
      </c>
      <c r="AA849" t="str">
        <f t="shared" si="26"/>
        <v/>
      </c>
    </row>
    <row r="850" spans="1:27" x14ac:dyDescent="0.4">
      <c r="A850" t="str">
        <f t="shared" si="27"/>
        <v/>
      </c>
      <c r="AA850" t="str">
        <f t="shared" si="26"/>
        <v/>
      </c>
    </row>
    <row r="851" spans="1:27" x14ac:dyDescent="0.4">
      <c r="A851" t="str">
        <f t="shared" si="27"/>
        <v/>
      </c>
      <c r="AA851" t="str">
        <f t="shared" si="26"/>
        <v/>
      </c>
    </row>
    <row r="852" spans="1:27" x14ac:dyDescent="0.4">
      <c r="A852" t="str">
        <f t="shared" si="27"/>
        <v/>
      </c>
      <c r="AA852" t="str">
        <f t="shared" si="26"/>
        <v/>
      </c>
    </row>
    <row r="853" spans="1:27" x14ac:dyDescent="0.4">
      <c r="A853" t="str">
        <f t="shared" si="27"/>
        <v/>
      </c>
      <c r="AA853" t="str">
        <f t="shared" si="26"/>
        <v/>
      </c>
    </row>
    <row r="854" spans="1:27" x14ac:dyDescent="0.4">
      <c r="A854" t="str">
        <f t="shared" si="27"/>
        <v/>
      </c>
      <c r="AA854" t="str">
        <f t="shared" si="26"/>
        <v/>
      </c>
    </row>
    <row r="855" spans="1:27" x14ac:dyDescent="0.4">
      <c r="A855" t="str">
        <f t="shared" si="27"/>
        <v/>
      </c>
      <c r="AA855" t="str">
        <f t="shared" si="26"/>
        <v/>
      </c>
    </row>
    <row r="856" spans="1:27" x14ac:dyDescent="0.4">
      <c r="A856" t="str">
        <f t="shared" si="27"/>
        <v/>
      </c>
      <c r="AA856" t="str">
        <f t="shared" si="26"/>
        <v/>
      </c>
    </row>
    <row r="857" spans="1:27" x14ac:dyDescent="0.4">
      <c r="A857" t="str">
        <f t="shared" si="27"/>
        <v/>
      </c>
      <c r="AA857" t="str">
        <f t="shared" si="26"/>
        <v/>
      </c>
    </row>
    <row r="858" spans="1:27" x14ac:dyDescent="0.4">
      <c r="A858" t="str">
        <f t="shared" si="27"/>
        <v/>
      </c>
      <c r="AA858" t="str">
        <f t="shared" si="26"/>
        <v/>
      </c>
    </row>
    <row r="859" spans="1:27" x14ac:dyDescent="0.4">
      <c r="A859" t="str">
        <f t="shared" si="27"/>
        <v/>
      </c>
      <c r="J859" s="27"/>
      <c r="AA859" t="str">
        <f t="shared" si="26"/>
        <v/>
      </c>
    </row>
    <row r="860" spans="1:27" x14ac:dyDescent="0.4">
      <c r="A860" t="str">
        <f t="shared" si="27"/>
        <v/>
      </c>
      <c r="AA860" t="str">
        <f t="shared" si="26"/>
        <v/>
      </c>
    </row>
    <row r="861" spans="1:27" x14ac:dyDescent="0.4">
      <c r="A861" t="str">
        <f t="shared" si="27"/>
        <v/>
      </c>
      <c r="AA861" t="str">
        <f t="shared" si="26"/>
        <v/>
      </c>
    </row>
    <row r="862" spans="1:27" x14ac:dyDescent="0.4">
      <c r="A862" t="str">
        <f t="shared" si="27"/>
        <v/>
      </c>
      <c r="AA862" t="str">
        <f t="shared" si="26"/>
        <v/>
      </c>
    </row>
    <row r="863" spans="1:27" x14ac:dyDescent="0.4">
      <c r="A863" t="str">
        <f t="shared" si="27"/>
        <v/>
      </c>
      <c r="AA863" t="str">
        <f t="shared" si="26"/>
        <v/>
      </c>
    </row>
    <row r="864" spans="1:27" x14ac:dyDescent="0.4">
      <c r="A864" t="str">
        <f t="shared" si="27"/>
        <v/>
      </c>
      <c r="AA864" t="str">
        <f t="shared" si="26"/>
        <v/>
      </c>
    </row>
    <row r="865" spans="1:27" x14ac:dyDescent="0.4">
      <c r="A865" t="str">
        <f t="shared" si="27"/>
        <v/>
      </c>
      <c r="AA865" t="str">
        <f t="shared" si="26"/>
        <v/>
      </c>
    </row>
    <row r="866" spans="1:27" x14ac:dyDescent="0.4">
      <c r="A866" t="str">
        <f t="shared" si="27"/>
        <v/>
      </c>
      <c r="AA866" t="str">
        <f t="shared" si="26"/>
        <v/>
      </c>
    </row>
    <row r="867" spans="1:27" x14ac:dyDescent="0.4">
      <c r="A867" t="str">
        <f t="shared" si="27"/>
        <v/>
      </c>
      <c r="AA867" t="str">
        <f t="shared" si="26"/>
        <v/>
      </c>
    </row>
    <row r="868" spans="1:27" x14ac:dyDescent="0.4">
      <c r="A868" t="str">
        <f t="shared" si="27"/>
        <v/>
      </c>
      <c r="AA868" t="str">
        <f t="shared" si="26"/>
        <v/>
      </c>
    </row>
    <row r="869" spans="1:27" x14ac:dyDescent="0.4">
      <c r="A869" t="str">
        <f t="shared" si="27"/>
        <v/>
      </c>
      <c r="AA869" t="str">
        <f t="shared" si="26"/>
        <v/>
      </c>
    </row>
    <row r="870" spans="1:27" x14ac:dyDescent="0.4">
      <c r="A870" t="str">
        <f t="shared" si="27"/>
        <v/>
      </c>
      <c r="AA870" t="str">
        <f t="shared" si="26"/>
        <v/>
      </c>
    </row>
    <row r="871" spans="1:27" x14ac:dyDescent="0.4">
      <c r="A871" t="str">
        <f t="shared" si="27"/>
        <v/>
      </c>
      <c r="AA871" t="str">
        <f t="shared" si="26"/>
        <v/>
      </c>
    </row>
    <row r="872" spans="1:27" x14ac:dyDescent="0.4">
      <c r="A872" t="str">
        <f t="shared" si="27"/>
        <v/>
      </c>
      <c r="AA872" t="str">
        <f t="shared" si="26"/>
        <v/>
      </c>
    </row>
    <row r="873" spans="1:27" x14ac:dyDescent="0.4">
      <c r="A873" t="str">
        <f t="shared" si="27"/>
        <v/>
      </c>
      <c r="AA873" t="str">
        <f t="shared" si="26"/>
        <v/>
      </c>
    </row>
    <row r="874" spans="1:27" x14ac:dyDescent="0.4">
      <c r="A874" t="str">
        <f t="shared" si="27"/>
        <v/>
      </c>
      <c r="AA874" t="str">
        <f t="shared" si="26"/>
        <v/>
      </c>
    </row>
    <row r="875" spans="1:27" x14ac:dyDescent="0.4">
      <c r="A875" t="str">
        <f t="shared" si="27"/>
        <v/>
      </c>
      <c r="AA875" t="str">
        <f t="shared" si="26"/>
        <v/>
      </c>
    </row>
    <row r="876" spans="1:27" x14ac:dyDescent="0.4">
      <c r="A876" t="str">
        <f t="shared" si="27"/>
        <v/>
      </c>
      <c r="AA876" t="str">
        <f t="shared" si="26"/>
        <v/>
      </c>
    </row>
    <row r="877" spans="1:27" x14ac:dyDescent="0.4">
      <c r="A877" t="str">
        <f t="shared" si="27"/>
        <v/>
      </c>
      <c r="AA877" t="str">
        <f t="shared" si="26"/>
        <v/>
      </c>
    </row>
    <row r="878" spans="1:27" x14ac:dyDescent="0.4">
      <c r="A878" t="str">
        <f t="shared" si="27"/>
        <v/>
      </c>
      <c r="AA878" t="str">
        <f t="shared" si="26"/>
        <v/>
      </c>
    </row>
    <row r="879" spans="1:27" x14ac:dyDescent="0.4">
      <c r="A879" t="str">
        <f t="shared" si="27"/>
        <v/>
      </c>
      <c r="AA879" t="str">
        <f t="shared" si="26"/>
        <v/>
      </c>
    </row>
    <row r="880" spans="1:27" x14ac:dyDescent="0.4">
      <c r="A880" t="str">
        <f t="shared" si="27"/>
        <v/>
      </c>
      <c r="AA880" t="str">
        <f t="shared" si="26"/>
        <v/>
      </c>
    </row>
    <row r="881" spans="1:27" x14ac:dyDescent="0.4">
      <c r="A881" t="str">
        <f t="shared" si="27"/>
        <v/>
      </c>
      <c r="AA881" t="str">
        <f t="shared" si="26"/>
        <v/>
      </c>
    </row>
    <row r="882" spans="1:27" x14ac:dyDescent="0.4">
      <c r="A882" t="str">
        <f t="shared" si="27"/>
        <v/>
      </c>
      <c r="AA882" t="str">
        <f t="shared" si="26"/>
        <v/>
      </c>
    </row>
    <row r="883" spans="1:27" x14ac:dyDescent="0.4">
      <c r="A883" t="str">
        <f t="shared" si="27"/>
        <v/>
      </c>
      <c r="AA883" t="str">
        <f t="shared" si="26"/>
        <v/>
      </c>
    </row>
    <row r="884" spans="1:27" x14ac:dyDescent="0.4">
      <c r="A884" t="str">
        <f t="shared" si="27"/>
        <v/>
      </c>
      <c r="AA884" t="str">
        <f t="shared" si="26"/>
        <v/>
      </c>
    </row>
    <row r="885" spans="1:27" x14ac:dyDescent="0.4">
      <c r="A885" t="str">
        <f t="shared" si="27"/>
        <v/>
      </c>
      <c r="AA885" t="str">
        <f t="shared" si="26"/>
        <v/>
      </c>
    </row>
    <row r="886" spans="1:27" x14ac:dyDescent="0.4">
      <c r="A886" t="str">
        <f t="shared" si="27"/>
        <v/>
      </c>
      <c r="AA886" t="str">
        <f t="shared" si="26"/>
        <v/>
      </c>
    </row>
    <row r="887" spans="1:27" x14ac:dyDescent="0.4">
      <c r="A887" t="str">
        <f t="shared" si="27"/>
        <v/>
      </c>
      <c r="AA887" t="str">
        <f t="shared" si="26"/>
        <v/>
      </c>
    </row>
    <row r="888" spans="1:27" x14ac:dyDescent="0.4">
      <c r="A888" t="str">
        <f t="shared" si="27"/>
        <v/>
      </c>
      <c r="AA888" t="str">
        <f t="shared" si="26"/>
        <v/>
      </c>
    </row>
    <row r="889" spans="1:27" x14ac:dyDescent="0.4">
      <c r="A889" t="str">
        <f t="shared" si="27"/>
        <v/>
      </c>
      <c r="AA889" t="str">
        <f t="shared" si="26"/>
        <v/>
      </c>
    </row>
    <row r="890" spans="1:27" x14ac:dyDescent="0.4">
      <c r="A890" t="str">
        <f t="shared" si="27"/>
        <v/>
      </c>
      <c r="AA890" t="str">
        <f t="shared" si="26"/>
        <v/>
      </c>
    </row>
    <row r="891" spans="1:27" x14ac:dyDescent="0.4">
      <c r="A891" t="str">
        <f t="shared" si="27"/>
        <v/>
      </c>
      <c r="AA891" t="str">
        <f t="shared" si="26"/>
        <v/>
      </c>
    </row>
    <row r="892" spans="1:27" x14ac:dyDescent="0.4">
      <c r="A892" t="str">
        <f t="shared" si="27"/>
        <v/>
      </c>
      <c r="AA892" t="str">
        <f t="shared" si="26"/>
        <v/>
      </c>
    </row>
    <row r="893" spans="1:27" x14ac:dyDescent="0.4">
      <c r="A893" t="str">
        <f t="shared" si="27"/>
        <v/>
      </c>
      <c r="AA893" t="str">
        <f t="shared" si="26"/>
        <v/>
      </c>
    </row>
    <row r="894" spans="1:27" x14ac:dyDescent="0.4">
      <c r="A894" t="str">
        <f t="shared" si="27"/>
        <v/>
      </c>
      <c r="AA894" t="str">
        <f t="shared" si="26"/>
        <v/>
      </c>
    </row>
    <row r="895" spans="1:27" x14ac:dyDescent="0.4">
      <c r="A895" t="str">
        <f t="shared" si="27"/>
        <v/>
      </c>
      <c r="AA895" t="str">
        <f t="shared" si="26"/>
        <v/>
      </c>
    </row>
    <row r="896" spans="1:27" x14ac:dyDescent="0.4">
      <c r="A896" t="str">
        <f t="shared" si="27"/>
        <v/>
      </c>
      <c r="AA896" t="str">
        <f t="shared" si="26"/>
        <v/>
      </c>
    </row>
    <row r="897" spans="1:27" x14ac:dyDescent="0.4">
      <c r="A897" t="str">
        <f t="shared" si="27"/>
        <v/>
      </c>
      <c r="AA897" t="str">
        <f t="shared" si="26"/>
        <v/>
      </c>
    </row>
    <row r="898" spans="1:27" x14ac:dyDescent="0.4">
      <c r="A898" t="str">
        <f t="shared" si="27"/>
        <v/>
      </c>
      <c r="AA898" t="str">
        <f t="shared" si="26"/>
        <v/>
      </c>
    </row>
    <row r="899" spans="1:27" x14ac:dyDescent="0.4">
      <c r="A899" t="str">
        <f t="shared" si="27"/>
        <v/>
      </c>
      <c r="AA899" t="str">
        <f t="shared" si="26"/>
        <v/>
      </c>
    </row>
    <row r="900" spans="1:27" x14ac:dyDescent="0.4">
      <c r="A900" t="str">
        <f t="shared" si="27"/>
        <v/>
      </c>
      <c r="AA900" t="str">
        <f t="shared" si="26"/>
        <v/>
      </c>
    </row>
    <row r="901" spans="1:27" x14ac:dyDescent="0.4">
      <c r="A901" t="str">
        <f t="shared" si="27"/>
        <v/>
      </c>
      <c r="AA901" t="str">
        <f t="shared" ref="AA901:AA964" si="28">AB901&amp;AC901</f>
        <v/>
      </c>
    </row>
    <row r="902" spans="1:27" x14ac:dyDescent="0.4">
      <c r="A902" t="str">
        <f t="shared" si="27"/>
        <v/>
      </c>
      <c r="AA902" t="str">
        <f t="shared" si="28"/>
        <v/>
      </c>
    </row>
    <row r="903" spans="1:27" x14ac:dyDescent="0.4">
      <c r="A903" t="str">
        <f t="shared" ref="A903:A966" si="29">RIGHT(B903,12)</f>
        <v/>
      </c>
      <c r="AA903" t="str">
        <f t="shared" si="28"/>
        <v/>
      </c>
    </row>
    <row r="904" spans="1:27" x14ac:dyDescent="0.4">
      <c r="A904" t="str">
        <f t="shared" si="29"/>
        <v/>
      </c>
      <c r="AA904" t="str">
        <f t="shared" si="28"/>
        <v/>
      </c>
    </row>
    <row r="905" spans="1:27" x14ac:dyDescent="0.4">
      <c r="A905" t="str">
        <f t="shared" si="29"/>
        <v/>
      </c>
      <c r="AA905" t="str">
        <f t="shared" si="28"/>
        <v/>
      </c>
    </row>
    <row r="906" spans="1:27" x14ac:dyDescent="0.4">
      <c r="A906" t="str">
        <f t="shared" si="29"/>
        <v/>
      </c>
      <c r="AA906" t="str">
        <f t="shared" si="28"/>
        <v/>
      </c>
    </row>
    <row r="907" spans="1:27" x14ac:dyDescent="0.4">
      <c r="A907" t="str">
        <f t="shared" si="29"/>
        <v/>
      </c>
      <c r="AA907" t="str">
        <f t="shared" si="28"/>
        <v/>
      </c>
    </row>
    <row r="908" spans="1:27" x14ac:dyDescent="0.4">
      <c r="A908" t="str">
        <f t="shared" si="29"/>
        <v/>
      </c>
      <c r="AA908" t="str">
        <f t="shared" si="28"/>
        <v/>
      </c>
    </row>
    <row r="909" spans="1:27" x14ac:dyDescent="0.4">
      <c r="A909" t="str">
        <f t="shared" si="29"/>
        <v/>
      </c>
      <c r="AA909" t="str">
        <f t="shared" si="28"/>
        <v/>
      </c>
    </row>
    <row r="910" spans="1:27" x14ac:dyDescent="0.4">
      <c r="A910" t="str">
        <f t="shared" si="29"/>
        <v/>
      </c>
      <c r="AA910" t="str">
        <f t="shared" si="28"/>
        <v/>
      </c>
    </row>
    <row r="911" spans="1:27" x14ac:dyDescent="0.4">
      <c r="A911" t="str">
        <f t="shared" si="29"/>
        <v/>
      </c>
      <c r="AA911" t="str">
        <f t="shared" si="28"/>
        <v/>
      </c>
    </row>
    <row r="912" spans="1:27" x14ac:dyDescent="0.4">
      <c r="A912" t="str">
        <f t="shared" si="29"/>
        <v/>
      </c>
      <c r="AA912" t="str">
        <f t="shared" si="28"/>
        <v/>
      </c>
    </row>
    <row r="913" spans="1:27" x14ac:dyDescent="0.4">
      <c r="A913" t="str">
        <f t="shared" si="29"/>
        <v/>
      </c>
      <c r="AA913" t="str">
        <f t="shared" si="28"/>
        <v/>
      </c>
    </row>
    <row r="914" spans="1:27" x14ac:dyDescent="0.4">
      <c r="A914" t="str">
        <f t="shared" si="29"/>
        <v/>
      </c>
      <c r="AA914" t="str">
        <f t="shared" si="28"/>
        <v/>
      </c>
    </row>
    <row r="915" spans="1:27" x14ac:dyDescent="0.4">
      <c r="A915" t="str">
        <f t="shared" si="29"/>
        <v/>
      </c>
      <c r="AA915" t="str">
        <f t="shared" si="28"/>
        <v/>
      </c>
    </row>
    <row r="916" spans="1:27" x14ac:dyDescent="0.4">
      <c r="A916" t="str">
        <f t="shared" si="29"/>
        <v/>
      </c>
      <c r="AA916" t="str">
        <f t="shared" si="28"/>
        <v/>
      </c>
    </row>
    <row r="917" spans="1:27" x14ac:dyDescent="0.4">
      <c r="A917" t="str">
        <f t="shared" si="29"/>
        <v/>
      </c>
      <c r="AA917" t="str">
        <f t="shared" si="28"/>
        <v/>
      </c>
    </row>
    <row r="918" spans="1:27" x14ac:dyDescent="0.4">
      <c r="A918" t="str">
        <f t="shared" si="29"/>
        <v/>
      </c>
      <c r="AA918" t="str">
        <f t="shared" si="28"/>
        <v/>
      </c>
    </row>
    <row r="919" spans="1:27" x14ac:dyDescent="0.4">
      <c r="A919" t="str">
        <f t="shared" si="29"/>
        <v/>
      </c>
      <c r="AA919" t="str">
        <f t="shared" si="28"/>
        <v/>
      </c>
    </row>
    <row r="920" spans="1:27" x14ac:dyDescent="0.4">
      <c r="A920" t="str">
        <f t="shared" si="29"/>
        <v/>
      </c>
      <c r="AA920" t="str">
        <f t="shared" si="28"/>
        <v/>
      </c>
    </row>
    <row r="921" spans="1:27" x14ac:dyDescent="0.4">
      <c r="A921" t="str">
        <f t="shared" si="29"/>
        <v/>
      </c>
      <c r="AA921" t="str">
        <f t="shared" si="28"/>
        <v/>
      </c>
    </row>
    <row r="922" spans="1:27" x14ac:dyDescent="0.4">
      <c r="A922" t="str">
        <f t="shared" si="29"/>
        <v/>
      </c>
      <c r="AA922" t="str">
        <f t="shared" si="28"/>
        <v/>
      </c>
    </row>
    <row r="923" spans="1:27" x14ac:dyDescent="0.4">
      <c r="A923" t="str">
        <f t="shared" si="29"/>
        <v/>
      </c>
      <c r="AA923" t="str">
        <f t="shared" si="28"/>
        <v/>
      </c>
    </row>
    <row r="924" spans="1:27" x14ac:dyDescent="0.4">
      <c r="A924" t="str">
        <f t="shared" si="29"/>
        <v/>
      </c>
      <c r="AA924" t="str">
        <f t="shared" si="28"/>
        <v/>
      </c>
    </row>
    <row r="925" spans="1:27" x14ac:dyDescent="0.4">
      <c r="A925" t="str">
        <f t="shared" si="29"/>
        <v/>
      </c>
      <c r="AA925" t="str">
        <f t="shared" si="28"/>
        <v/>
      </c>
    </row>
    <row r="926" spans="1:27" x14ac:dyDescent="0.4">
      <c r="A926" t="str">
        <f t="shared" si="29"/>
        <v/>
      </c>
      <c r="AA926" t="str">
        <f t="shared" si="28"/>
        <v/>
      </c>
    </row>
    <row r="927" spans="1:27" x14ac:dyDescent="0.4">
      <c r="A927" t="str">
        <f t="shared" si="29"/>
        <v/>
      </c>
      <c r="AA927" t="str">
        <f t="shared" si="28"/>
        <v/>
      </c>
    </row>
    <row r="928" spans="1:27" x14ac:dyDescent="0.4">
      <c r="A928" t="str">
        <f t="shared" si="29"/>
        <v/>
      </c>
      <c r="AA928" t="str">
        <f t="shared" si="28"/>
        <v/>
      </c>
    </row>
    <row r="929" spans="1:27" x14ac:dyDescent="0.4">
      <c r="A929" t="str">
        <f t="shared" si="29"/>
        <v/>
      </c>
      <c r="AA929" t="str">
        <f t="shared" si="28"/>
        <v/>
      </c>
    </row>
    <row r="930" spans="1:27" x14ac:dyDescent="0.4">
      <c r="A930" t="str">
        <f t="shared" si="29"/>
        <v/>
      </c>
      <c r="AA930" t="str">
        <f t="shared" si="28"/>
        <v/>
      </c>
    </row>
    <row r="931" spans="1:27" x14ac:dyDescent="0.4">
      <c r="A931" t="str">
        <f t="shared" si="29"/>
        <v/>
      </c>
      <c r="AA931" t="str">
        <f t="shared" si="28"/>
        <v/>
      </c>
    </row>
    <row r="932" spans="1:27" x14ac:dyDescent="0.4">
      <c r="A932" t="str">
        <f t="shared" si="29"/>
        <v/>
      </c>
      <c r="AA932" t="str">
        <f t="shared" si="28"/>
        <v/>
      </c>
    </row>
    <row r="933" spans="1:27" x14ac:dyDescent="0.4">
      <c r="A933" t="str">
        <f t="shared" si="29"/>
        <v/>
      </c>
      <c r="AA933" t="str">
        <f t="shared" si="28"/>
        <v/>
      </c>
    </row>
    <row r="934" spans="1:27" x14ac:dyDescent="0.4">
      <c r="A934" t="str">
        <f t="shared" si="29"/>
        <v/>
      </c>
      <c r="AA934" t="str">
        <f t="shared" si="28"/>
        <v/>
      </c>
    </row>
    <row r="935" spans="1:27" x14ac:dyDescent="0.4">
      <c r="A935" t="str">
        <f t="shared" si="29"/>
        <v/>
      </c>
      <c r="AA935" t="str">
        <f t="shared" si="28"/>
        <v/>
      </c>
    </row>
    <row r="936" spans="1:27" x14ac:dyDescent="0.4">
      <c r="A936" t="str">
        <f t="shared" si="29"/>
        <v/>
      </c>
      <c r="AA936" t="str">
        <f t="shared" si="28"/>
        <v/>
      </c>
    </row>
    <row r="937" spans="1:27" x14ac:dyDescent="0.4">
      <c r="A937" t="str">
        <f t="shared" si="29"/>
        <v/>
      </c>
      <c r="AA937" t="str">
        <f t="shared" si="28"/>
        <v/>
      </c>
    </row>
    <row r="938" spans="1:27" x14ac:dyDescent="0.4">
      <c r="A938" t="str">
        <f t="shared" si="29"/>
        <v/>
      </c>
      <c r="AA938" t="str">
        <f t="shared" si="28"/>
        <v/>
      </c>
    </row>
    <row r="939" spans="1:27" x14ac:dyDescent="0.4">
      <c r="A939" t="str">
        <f t="shared" si="29"/>
        <v/>
      </c>
      <c r="AA939" t="str">
        <f t="shared" si="28"/>
        <v/>
      </c>
    </row>
    <row r="940" spans="1:27" x14ac:dyDescent="0.4">
      <c r="A940" t="str">
        <f t="shared" si="29"/>
        <v/>
      </c>
      <c r="AA940" t="str">
        <f t="shared" si="28"/>
        <v/>
      </c>
    </row>
    <row r="941" spans="1:27" x14ac:dyDescent="0.4">
      <c r="A941" t="str">
        <f t="shared" si="29"/>
        <v/>
      </c>
      <c r="AA941" t="str">
        <f t="shared" si="28"/>
        <v/>
      </c>
    </row>
    <row r="942" spans="1:27" x14ac:dyDescent="0.4">
      <c r="A942" t="str">
        <f t="shared" si="29"/>
        <v/>
      </c>
      <c r="AA942" t="str">
        <f t="shared" si="28"/>
        <v/>
      </c>
    </row>
    <row r="943" spans="1:27" x14ac:dyDescent="0.4">
      <c r="A943" t="str">
        <f t="shared" si="29"/>
        <v/>
      </c>
      <c r="AA943" t="str">
        <f t="shared" si="28"/>
        <v/>
      </c>
    </row>
    <row r="944" spans="1:27" x14ac:dyDescent="0.4">
      <c r="A944" t="str">
        <f t="shared" si="29"/>
        <v/>
      </c>
      <c r="AA944" t="str">
        <f t="shared" si="28"/>
        <v/>
      </c>
    </row>
    <row r="945" spans="1:27" x14ac:dyDescent="0.4">
      <c r="A945" t="str">
        <f t="shared" si="29"/>
        <v/>
      </c>
      <c r="AA945" t="str">
        <f t="shared" si="28"/>
        <v/>
      </c>
    </row>
    <row r="946" spans="1:27" x14ac:dyDescent="0.4">
      <c r="A946" t="str">
        <f t="shared" si="29"/>
        <v/>
      </c>
      <c r="AA946" t="str">
        <f t="shared" si="28"/>
        <v/>
      </c>
    </row>
    <row r="947" spans="1:27" x14ac:dyDescent="0.4">
      <c r="A947" t="str">
        <f t="shared" si="29"/>
        <v/>
      </c>
      <c r="AA947" t="str">
        <f t="shared" si="28"/>
        <v/>
      </c>
    </row>
    <row r="948" spans="1:27" x14ac:dyDescent="0.4">
      <c r="A948" t="str">
        <f t="shared" si="29"/>
        <v/>
      </c>
      <c r="AA948" t="str">
        <f t="shared" si="28"/>
        <v/>
      </c>
    </row>
    <row r="949" spans="1:27" x14ac:dyDescent="0.4">
      <c r="A949" t="str">
        <f t="shared" si="29"/>
        <v/>
      </c>
      <c r="AA949" t="str">
        <f t="shared" si="28"/>
        <v/>
      </c>
    </row>
    <row r="950" spans="1:27" x14ac:dyDescent="0.4">
      <c r="A950" t="str">
        <f t="shared" si="29"/>
        <v/>
      </c>
      <c r="AA950" t="str">
        <f t="shared" si="28"/>
        <v/>
      </c>
    </row>
    <row r="951" spans="1:27" x14ac:dyDescent="0.4">
      <c r="A951" t="str">
        <f t="shared" si="29"/>
        <v/>
      </c>
      <c r="AA951" t="str">
        <f t="shared" si="28"/>
        <v/>
      </c>
    </row>
    <row r="952" spans="1:27" x14ac:dyDescent="0.4">
      <c r="A952" t="str">
        <f t="shared" si="29"/>
        <v/>
      </c>
      <c r="AA952" t="str">
        <f t="shared" si="28"/>
        <v/>
      </c>
    </row>
    <row r="953" spans="1:27" x14ac:dyDescent="0.4">
      <c r="A953" t="str">
        <f t="shared" si="29"/>
        <v/>
      </c>
      <c r="AA953" t="str">
        <f t="shared" si="28"/>
        <v/>
      </c>
    </row>
    <row r="954" spans="1:27" x14ac:dyDescent="0.4">
      <c r="A954" t="str">
        <f t="shared" si="29"/>
        <v/>
      </c>
      <c r="AA954" t="str">
        <f t="shared" si="28"/>
        <v/>
      </c>
    </row>
    <row r="955" spans="1:27" x14ac:dyDescent="0.4">
      <c r="A955" t="str">
        <f t="shared" si="29"/>
        <v/>
      </c>
      <c r="AA955" t="str">
        <f t="shared" si="28"/>
        <v/>
      </c>
    </row>
    <row r="956" spans="1:27" x14ac:dyDescent="0.4">
      <c r="A956" t="str">
        <f t="shared" si="29"/>
        <v/>
      </c>
      <c r="AA956" t="str">
        <f t="shared" si="28"/>
        <v/>
      </c>
    </row>
    <row r="957" spans="1:27" x14ac:dyDescent="0.4">
      <c r="A957" t="str">
        <f t="shared" si="29"/>
        <v/>
      </c>
      <c r="AA957" t="str">
        <f t="shared" si="28"/>
        <v/>
      </c>
    </row>
    <row r="958" spans="1:27" x14ac:dyDescent="0.4">
      <c r="A958" t="str">
        <f t="shared" si="29"/>
        <v/>
      </c>
      <c r="AA958" t="str">
        <f t="shared" si="28"/>
        <v/>
      </c>
    </row>
    <row r="959" spans="1:27" x14ac:dyDescent="0.4">
      <c r="A959" t="str">
        <f t="shared" si="29"/>
        <v/>
      </c>
      <c r="AA959" t="str">
        <f t="shared" si="28"/>
        <v/>
      </c>
    </row>
    <row r="960" spans="1:27" x14ac:dyDescent="0.4">
      <c r="A960" t="str">
        <f t="shared" si="29"/>
        <v/>
      </c>
      <c r="AA960" t="str">
        <f t="shared" si="28"/>
        <v/>
      </c>
    </row>
    <row r="961" spans="1:27" x14ac:dyDescent="0.4">
      <c r="A961" t="str">
        <f t="shared" si="29"/>
        <v/>
      </c>
      <c r="AA961" t="str">
        <f t="shared" si="28"/>
        <v/>
      </c>
    </row>
    <row r="962" spans="1:27" x14ac:dyDescent="0.4">
      <c r="A962" t="str">
        <f t="shared" si="29"/>
        <v/>
      </c>
      <c r="AA962" t="str">
        <f t="shared" si="28"/>
        <v/>
      </c>
    </row>
    <row r="963" spans="1:27" x14ac:dyDescent="0.4">
      <c r="A963" t="str">
        <f t="shared" si="29"/>
        <v/>
      </c>
      <c r="AA963" t="str">
        <f t="shared" si="28"/>
        <v/>
      </c>
    </row>
    <row r="964" spans="1:27" x14ac:dyDescent="0.4">
      <c r="A964" t="str">
        <f t="shared" si="29"/>
        <v/>
      </c>
      <c r="AA964" t="str">
        <f t="shared" si="28"/>
        <v/>
      </c>
    </row>
    <row r="965" spans="1:27" x14ac:dyDescent="0.4">
      <c r="A965" t="str">
        <f t="shared" si="29"/>
        <v/>
      </c>
      <c r="AA965" t="str">
        <f t="shared" ref="AA965:AA1010" si="30">AB965&amp;AC965</f>
        <v/>
      </c>
    </row>
    <row r="966" spans="1:27" x14ac:dyDescent="0.4">
      <c r="A966" t="str">
        <f t="shared" si="29"/>
        <v/>
      </c>
      <c r="AA966" t="str">
        <f t="shared" si="30"/>
        <v/>
      </c>
    </row>
    <row r="967" spans="1:27" x14ac:dyDescent="0.4">
      <c r="A967" t="str">
        <f t="shared" ref="A967:A1030" si="31">RIGHT(B967,12)</f>
        <v/>
      </c>
      <c r="AA967" t="str">
        <f t="shared" si="30"/>
        <v/>
      </c>
    </row>
    <row r="968" spans="1:27" x14ac:dyDescent="0.4">
      <c r="A968" t="str">
        <f t="shared" si="31"/>
        <v/>
      </c>
      <c r="AA968" t="str">
        <f t="shared" si="30"/>
        <v/>
      </c>
    </row>
    <row r="969" spans="1:27" x14ac:dyDescent="0.4">
      <c r="A969" t="str">
        <f t="shared" si="31"/>
        <v/>
      </c>
      <c r="AA969" t="str">
        <f t="shared" si="30"/>
        <v/>
      </c>
    </row>
    <row r="970" spans="1:27" x14ac:dyDescent="0.4">
      <c r="A970" t="str">
        <f t="shared" si="31"/>
        <v/>
      </c>
      <c r="AA970" t="str">
        <f t="shared" si="30"/>
        <v/>
      </c>
    </row>
    <row r="971" spans="1:27" x14ac:dyDescent="0.4">
      <c r="A971" t="str">
        <f t="shared" si="31"/>
        <v/>
      </c>
      <c r="AA971" t="str">
        <f t="shared" si="30"/>
        <v/>
      </c>
    </row>
    <row r="972" spans="1:27" x14ac:dyDescent="0.4">
      <c r="A972" t="str">
        <f t="shared" si="31"/>
        <v/>
      </c>
      <c r="AA972" t="str">
        <f t="shared" si="30"/>
        <v/>
      </c>
    </row>
    <row r="973" spans="1:27" x14ac:dyDescent="0.4">
      <c r="A973" t="str">
        <f t="shared" si="31"/>
        <v/>
      </c>
      <c r="AA973" t="str">
        <f t="shared" si="30"/>
        <v/>
      </c>
    </row>
    <row r="974" spans="1:27" x14ac:dyDescent="0.4">
      <c r="A974" t="str">
        <f t="shared" si="31"/>
        <v/>
      </c>
      <c r="AA974" t="str">
        <f t="shared" si="30"/>
        <v/>
      </c>
    </row>
    <row r="975" spans="1:27" x14ac:dyDescent="0.4">
      <c r="A975" t="str">
        <f t="shared" si="31"/>
        <v/>
      </c>
      <c r="AA975" t="str">
        <f t="shared" si="30"/>
        <v/>
      </c>
    </row>
    <row r="976" spans="1:27" x14ac:dyDescent="0.4">
      <c r="A976" t="str">
        <f t="shared" si="31"/>
        <v/>
      </c>
      <c r="AA976" t="str">
        <f t="shared" si="30"/>
        <v/>
      </c>
    </row>
    <row r="977" spans="1:27" x14ac:dyDescent="0.4">
      <c r="A977" t="str">
        <f t="shared" si="31"/>
        <v/>
      </c>
      <c r="AA977" t="str">
        <f t="shared" si="30"/>
        <v/>
      </c>
    </row>
    <row r="978" spans="1:27" x14ac:dyDescent="0.4">
      <c r="A978" t="str">
        <f t="shared" si="31"/>
        <v/>
      </c>
      <c r="AA978" t="str">
        <f t="shared" si="30"/>
        <v/>
      </c>
    </row>
    <row r="979" spans="1:27" x14ac:dyDescent="0.4">
      <c r="A979" t="str">
        <f t="shared" si="31"/>
        <v/>
      </c>
      <c r="AA979" t="str">
        <f t="shared" si="30"/>
        <v/>
      </c>
    </row>
    <row r="980" spans="1:27" x14ac:dyDescent="0.4">
      <c r="A980" t="str">
        <f t="shared" si="31"/>
        <v/>
      </c>
      <c r="AA980" t="str">
        <f t="shared" si="30"/>
        <v/>
      </c>
    </row>
    <row r="981" spans="1:27" x14ac:dyDescent="0.4">
      <c r="A981" t="str">
        <f t="shared" si="31"/>
        <v/>
      </c>
      <c r="AA981" t="str">
        <f t="shared" si="30"/>
        <v/>
      </c>
    </row>
    <row r="982" spans="1:27" x14ac:dyDescent="0.4">
      <c r="A982" t="str">
        <f t="shared" si="31"/>
        <v/>
      </c>
      <c r="AA982" t="str">
        <f t="shared" si="30"/>
        <v/>
      </c>
    </row>
    <row r="983" spans="1:27" x14ac:dyDescent="0.4">
      <c r="A983" t="str">
        <f t="shared" si="31"/>
        <v/>
      </c>
      <c r="AA983" t="str">
        <f t="shared" si="30"/>
        <v/>
      </c>
    </row>
    <row r="984" spans="1:27" x14ac:dyDescent="0.4">
      <c r="A984" t="str">
        <f t="shared" si="31"/>
        <v/>
      </c>
      <c r="AA984" t="str">
        <f t="shared" si="30"/>
        <v/>
      </c>
    </row>
    <row r="985" spans="1:27" x14ac:dyDescent="0.4">
      <c r="A985" t="str">
        <f t="shared" si="31"/>
        <v/>
      </c>
      <c r="AA985" t="str">
        <f t="shared" si="30"/>
        <v/>
      </c>
    </row>
    <row r="986" spans="1:27" x14ac:dyDescent="0.4">
      <c r="A986" t="str">
        <f t="shared" si="31"/>
        <v/>
      </c>
      <c r="AA986" t="str">
        <f t="shared" si="30"/>
        <v/>
      </c>
    </row>
    <row r="987" spans="1:27" x14ac:dyDescent="0.4">
      <c r="A987" t="str">
        <f t="shared" si="31"/>
        <v/>
      </c>
      <c r="AA987" t="str">
        <f t="shared" si="30"/>
        <v/>
      </c>
    </row>
    <row r="988" spans="1:27" x14ac:dyDescent="0.4">
      <c r="A988" t="str">
        <f t="shared" si="31"/>
        <v/>
      </c>
      <c r="AA988" t="str">
        <f t="shared" si="30"/>
        <v/>
      </c>
    </row>
    <row r="989" spans="1:27" x14ac:dyDescent="0.4">
      <c r="A989" t="str">
        <f t="shared" si="31"/>
        <v/>
      </c>
      <c r="AA989" t="str">
        <f t="shared" si="30"/>
        <v/>
      </c>
    </row>
    <row r="990" spans="1:27" x14ac:dyDescent="0.4">
      <c r="A990" t="str">
        <f t="shared" si="31"/>
        <v/>
      </c>
      <c r="AA990" t="str">
        <f t="shared" si="30"/>
        <v/>
      </c>
    </row>
    <row r="991" spans="1:27" x14ac:dyDescent="0.4">
      <c r="A991" t="str">
        <f t="shared" si="31"/>
        <v/>
      </c>
      <c r="AA991" t="str">
        <f t="shared" si="30"/>
        <v/>
      </c>
    </row>
    <row r="992" spans="1:27" x14ac:dyDescent="0.4">
      <c r="A992" t="str">
        <f t="shared" si="31"/>
        <v/>
      </c>
      <c r="AA992" t="str">
        <f t="shared" si="30"/>
        <v/>
      </c>
    </row>
    <row r="993" spans="1:27" x14ac:dyDescent="0.4">
      <c r="A993" t="str">
        <f t="shared" si="31"/>
        <v/>
      </c>
      <c r="AA993" t="str">
        <f t="shared" si="30"/>
        <v/>
      </c>
    </row>
    <row r="994" spans="1:27" x14ac:dyDescent="0.4">
      <c r="A994" t="str">
        <f t="shared" si="31"/>
        <v/>
      </c>
      <c r="AA994" t="str">
        <f t="shared" si="30"/>
        <v/>
      </c>
    </row>
    <row r="995" spans="1:27" x14ac:dyDescent="0.4">
      <c r="A995" t="str">
        <f t="shared" si="31"/>
        <v/>
      </c>
      <c r="AA995" t="str">
        <f t="shared" si="30"/>
        <v/>
      </c>
    </row>
    <row r="996" spans="1:27" x14ac:dyDescent="0.4">
      <c r="A996" t="str">
        <f t="shared" si="31"/>
        <v/>
      </c>
      <c r="AA996" t="str">
        <f t="shared" si="30"/>
        <v/>
      </c>
    </row>
    <row r="997" spans="1:27" x14ac:dyDescent="0.4">
      <c r="A997" t="str">
        <f t="shared" si="31"/>
        <v/>
      </c>
      <c r="AA997" t="str">
        <f t="shared" si="30"/>
        <v/>
      </c>
    </row>
    <row r="998" spans="1:27" x14ac:dyDescent="0.4">
      <c r="A998" t="str">
        <f t="shared" si="31"/>
        <v/>
      </c>
      <c r="AA998" t="str">
        <f t="shared" si="30"/>
        <v/>
      </c>
    </row>
    <row r="999" spans="1:27" x14ac:dyDescent="0.4">
      <c r="A999" t="str">
        <f t="shared" si="31"/>
        <v/>
      </c>
      <c r="AA999" t="str">
        <f t="shared" si="30"/>
        <v/>
      </c>
    </row>
    <row r="1000" spans="1:27" x14ac:dyDescent="0.4">
      <c r="A1000" t="str">
        <f t="shared" si="31"/>
        <v/>
      </c>
      <c r="AA1000" t="str">
        <f t="shared" si="30"/>
        <v/>
      </c>
    </row>
    <row r="1001" spans="1:27" x14ac:dyDescent="0.4">
      <c r="A1001" t="str">
        <f t="shared" si="31"/>
        <v/>
      </c>
      <c r="AA1001" t="str">
        <f t="shared" si="30"/>
        <v/>
      </c>
    </row>
    <row r="1002" spans="1:27" x14ac:dyDescent="0.4">
      <c r="A1002" t="str">
        <f t="shared" si="31"/>
        <v/>
      </c>
      <c r="AA1002" t="str">
        <f t="shared" si="30"/>
        <v/>
      </c>
    </row>
    <row r="1003" spans="1:27" x14ac:dyDescent="0.4">
      <c r="A1003" t="str">
        <f t="shared" si="31"/>
        <v/>
      </c>
      <c r="AA1003" t="str">
        <f t="shared" si="30"/>
        <v/>
      </c>
    </row>
    <row r="1004" spans="1:27" x14ac:dyDescent="0.4">
      <c r="A1004" t="str">
        <f t="shared" si="31"/>
        <v/>
      </c>
      <c r="AA1004" t="str">
        <f t="shared" si="30"/>
        <v/>
      </c>
    </row>
    <row r="1005" spans="1:27" x14ac:dyDescent="0.4">
      <c r="A1005" t="str">
        <f t="shared" si="31"/>
        <v/>
      </c>
      <c r="AA1005" t="str">
        <f t="shared" si="30"/>
        <v/>
      </c>
    </row>
    <row r="1006" spans="1:27" x14ac:dyDescent="0.4">
      <c r="A1006" t="str">
        <f t="shared" si="31"/>
        <v/>
      </c>
      <c r="AA1006" t="str">
        <f t="shared" si="30"/>
        <v/>
      </c>
    </row>
    <row r="1007" spans="1:27" x14ac:dyDescent="0.4">
      <c r="A1007" t="str">
        <f t="shared" si="31"/>
        <v/>
      </c>
      <c r="AA1007" t="str">
        <f t="shared" si="30"/>
        <v/>
      </c>
    </row>
    <row r="1008" spans="1:27" x14ac:dyDescent="0.4">
      <c r="A1008" t="str">
        <f t="shared" si="31"/>
        <v/>
      </c>
      <c r="AA1008" t="str">
        <f t="shared" si="30"/>
        <v/>
      </c>
    </row>
    <row r="1009" spans="1:27" x14ac:dyDescent="0.4">
      <c r="A1009" t="str">
        <f t="shared" si="31"/>
        <v/>
      </c>
      <c r="AA1009" t="str">
        <f t="shared" si="30"/>
        <v/>
      </c>
    </row>
    <row r="1010" spans="1:27" x14ac:dyDescent="0.4">
      <c r="A1010" t="str">
        <f t="shared" si="31"/>
        <v/>
      </c>
      <c r="AA1010" t="str">
        <f t="shared" si="30"/>
        <v/>
      </c>
    </row>
    <row r="1011" spans="1:27" x14ac:dyDescent="0.4">
      <c r="A1011" t="str">
        <f t="shared" si="31"/>
        <v/>
      </c>
    </row>
    <row r="1012" spans="1:27" x14ac:dyDescent="0.4">
      <c r="A1012" t="str">
        <f t="shared" si="31"/>
        <v/>
      </c>
    </row>
    <row r="1013" spans="1:27" x14ac:dyDescent="0.4">
      <c r="A1013" t="str">
        <f t="shared" si="31"/>
        <v/>
      </c>
    </row>
    <row r="1014" spans="1:27" x14ac:dyDescent="0.4">
      <c r="A1014" t="str">
        <f t="shared" si="31"/>
        <v/>
      </c>
    </row>
    <row r="1015" spans="1:27" x14ac:dyDescent="0.4">
      <c r="A1015" t="str">
        <f t="shared" si="31"/>
        <v/>
      </c>
    </row>
    <row r="1016" spans="1:27" x14ac:dyDescent="0.4">
      <c r="A1016" t="str">
        <f t="shared" si="31"/>
        <v/>
      </c>
    </row>
    <row r="1017" spans="1:27" x14ac:dyDescent="0.4">
      <c r="A1017" t="str">
        <f t="shared" si="31"/>
        <v/>
      </c>
    </row>
    <row r="1018" spans="1:27" x14ac:dyDescent="0.4">
      <c r="A1018" t="str">
        <f t="shared" si="31"/>
        <v/>
      </c>
    </row>
    <row r="1019" spans="1:27" x14ac:dyDescent="0.4">
      <c r="A1019" t="str">
        <f t="shared" si="31"/>
        <v/>
      </c>
    </row>
    <row r="1020" spans="1:27" x14ac:dyDescent="0.4">
      <c r="A1020" t="str">
        <f t="shared" si="31"/>
        <v/>
      </c>
    </row>
    <row r="1021" spans="1:27" x14ac:dyDescent="0.4">
      <c r="A1021" t="str">
        <f t="shared" si="31"/>
        <v/>
      </c>
    </row>
    <row r="1022" spans="1:27" x14ac:dyDescent="0.4">
      <c r="A1022" t="str">
        <f t="shared" si="31"/>
        <v/>
      </c>
    </row>
    <row r="1023" spans="1:27" x14ac:dyDescent="0.4">
      <c r="A1023" t="str">
        <f t="shared" si="31"/>
        <v/>
      </c>
    </row>
    <row r="1024" spans="1:27" x14ac:dyDescent="0.4">
      <c r="A1024" t="str">
        <f t="shared" si="31"/>
        <v/>
      </c>
    </row>
    <row r="1025" spans="1:1" x14ac:dyDescent="0.4">
      <c r="A1025" t="str">
        <f t="shared" si="31"/>
        <v/>
      </c>
    </row>
    <row r="1026" spans="1:1" x14ac:dyDescent="0.4">
      <c r="A1026" t="str">
        <f t="shared" si="31"/>
        <v/>
      </c>
    </row>
    <row r="1027" spans="1:1" x14ac:dyDescent="0.4">
      <c r="A1027" t="str">
        <f t="shared" si="31"/>
        <v/>
      </c>
    </row>
    <row r="1028" spans="1:1" x14ac:dyDescent="0.4">
      <c r="A1028" t="str">
        <f t="shared" si="31"/>
        <v/>
      </c>
    </row>
    <row r="1029" spans="1:1" x14ac:dyDescent="0.4">
      <c r="A1029" t="str">
        <f t="shared" si="31"/>
        <v/>
      </c>
    </row>
    <row r="1030" spans="1:1" x14ac:dyDescent="0.4">
      <c r="A1030" t="str">
        <f t="shared" si="31"/>
        <v/>
      </c>
    </row>
    <row r="1031" spans="1:1" x14ac:dyDescent="0.4">
      <c r="A1031" t="str">
        <f t="shared" ref="A1031:A1094" si="32">RIGHT(B1031,12)</f>
        <v/>
      </c>
    </row>
    <row r="1032" spans="1:1" x14ac:dyDescent="0.4">
      <c r="A1032" t="str">
        <f t="shared" si="32"/>
        <v/>
      </c>
    </row>
    <row r="1033" spans="1:1" x14ac:dyDescent="0.4">
      <c r="A1033" t="str">
        <f t="shared" si="32"/>
        <v/>
      </c>
    </row>
    <row r="1034" spans="1:1" x14ac:dyDescent="0.4">
      <c r="A1034" t="str">
        <f t="shared" si="32"/>
        <v/>
      </c>
    </row>
    <row r="1035" spans="1:1" x14ac:dyDescent="0.4">
      <c r="A1035" t="str">
        <f t="shared" si="32"/>
        <v/>
      </c>
    </row>
    <row r="1036" spans="1:1" x14ac:dyDescent="0.4">
      <c r="A1036" t="str">
        <f t="shared" si="32"/>
        <v/>
      </c>
    </row>
    <row r="1037" spans="1:1" x14ac:dyDescent="0.4">
      <c r="A1037" t="str">
        <f t="shared" si="32"/>
        <v/>
      </c>
    </row>
    <row r="1038" spans="1:1" x14ac:dyDescent="0.4">
      <c r="A1038" t="str">
        <f t="shared" si="32"/>
        <v/>
      </c>
    </row>
    <row r="1039" spans="1:1" x14ac:dyDescent="0.4">
      <c r="A1039" t="str">
        <f t="shared" si="32"/>
        <v/>
      </c>
    </row>
    <row r="1040" spans="1:1" x14ac:dyDescent="0.4">
      <c r="A1040" t="str">
        <f t="shared" si="32"/>
        <v/>
      </c>
    </row>
    <row r="1041" spans="1:1" x14ac:dyDescent="0.4">
      <c r="A1041" t="str">
        <f t="shared" si="32"/>
        <v/>
      </c>
    </row>
    <row r="1042" spans="1:1" x14ac:dyDescent="0.4">
      <c r="A1042" t="str">
        <f t="shared" si="32"/>
        <v/>
      </c>
    </row>
    <row r="1043" spans="1:1" x14ac:dyDescent="0.4">
      <c r="A1043" t="str">
        <f t="shared" si="32"/>
        <v/>
      </c>
    </row>
    <row r="1044" spans="1:1" x14ac:dyDescent="0.4">
      <c r="A1044" t="str">
        <f t="shared" si="32"/>
        <v/>
      </c>
    </row>
    <row r="1045" spans="1:1" x14ac:dyDescent="0.4">
      <c r="A1045" t="str">
        <f t="shared" si="32"/>
        <v/>
      </c>
    </row>
    <row r="1046" spans="1:1" x14ac:dyDescent="0.4">
      <c r="A1046" t="str">
        <f t="shared" si="32"/>
        <v/>
      </c>
    </row>
    <row r="1047" spans="1:1" x14ac:dyDescent="0.4">
      <c r="A1047" t="str">
        <f t="shared" si="32"/>
        <v/>
      </c>
    </row>
    <row r="1048" spans="1:1" x14ac:dyDescent="0.4">
      <c r="A1048" t="str">
        <f t="shared" si="32"/>
        <v/>
      </c>
    </row>
    <row r="1049" spans="1:1" x14ac:dyDescent="0.4">
      <c r="A1049" t="str">
        <f t="shared" si="32"/>
        <v/>
      </c>
    </row>
    <row r="1050" spans="1:1" x14ac:dyDescent="0.4">
      <c r="A1050" t="str">
        <f t="shared" si="32"/>
        <v/>
      </c>
    </row>
    <row r="1051" spans="1:1" x14ac:dyDescent="0.4">
      <c r="A1051" t="str">
        <f t="shared" si="32"/>
        <v/>
      </c>
    </row>
    <row r="1052" spans="1:1" x14ac:dyDescent="0.4">
      <c r="A1052" t="str">
        <f t="shared" si="32"/>
        <v/>
      </c>
    </row>
    <row r="1053" spans="1:1" x14ac:dyDescent="0.4">
      <c r="A1053" t="str">
        <f t="shared" si="32"/>
        <v/>
      </c>
    </row>
    <row r="1054" spans="1:1" x14ac:dyDescent="0.4">
      <c r="A1054" t="str">
        <f t="shared" si="32"/>
        <v/>
      </c>
    </row>
    <row r="1055" spans="1:1" x14ac:dyDescent="0.4">
      <c r="A1055" t="str">
        <f t="shared" si="32"/>
        <v/>
      </c>
    </row>
    <row r="1056" spans="1:1" x14ac:dyDescent="0.4">
      <c r="A1056" t="str">
        <f t="shared" si="32"/>
        <v/>
      </c>
    </row>
    <row r="1057" spans="1:1" x14ac:dyDescent="0.4">
      <c r="A1057" t="str">
        <f t="shared" si="32"/>
        <v/>
      </c>
    </row>
    <row r="1058" spans="1:1" x14ac:dyDescent="0.4">
      <c r="A1058" t="str">
        <f t="shared" si="32"/>
        <v/>
      </c>
    </row>
    <row r="1059" spans="1:1" x14ac:dyDescent="0.4">
      <c r="A1059" t="str">
        <f t="shared" si="32"/>
        <v/>
      </c>
    </row>
    <row r="1060" spans="1:1" x14ac:dyDescent="0.4">
      <c r="A1060" t="str">
        <f t="shared" si="32"/>
        <v/>
      </c>
    </row>
    <row r="1061" spans="1:1" x14ac:dyDescent="0.4">
      <c r="A1061" t="str">
        <f t="shared" si="32"/>
        <v/>
      </c>
    </row>
    <row r="1062" spans="1:1" x14ac:dyDescent="0.4">
      <c r="A1062" t="str">
        <f t="shared" si="32"/>
        <v/>
      </c>
    </row>
    <row r="1063" spans="1:1" x14ac:dyDescent="0.4">
      <c r="A1063" t="str">
        <f t="shared" si="32"/>
        <v/>
      </c>
    </row>
    <row r="1064" spans="1:1" x14ac:dyDescent="0.4">
      <c r="A1064" t="str">
        <f t="shared" si="32"/>
        <v/>
      </c>
    </row>
    <row r="1065" spans="1:1" x14ac:dyDescent="0.4">
      <c r="A1065" t="str">
        <f t="shared" si="32"/>
        <v/>
      </c>
    </row>
    <row r="1066" spans="1:1" x14ac:dyDescent="0.4">
      <c r="A1066" t="str">
        <f t="shared" si="32"/>
        <v/>
      </c>
    </row>
    <row r="1067" spans="1:1" x14ac:dyDescent="0.4">
      <c r="A1067" t="str">
        <f t="shared" si="32"/>
        <v/>
      </c>
    </row>
    <row r="1068" spans="1:1" x14ac:dyDescent="0.4">
      <c r="A1068" t="str">
        <f t="shared" si="32"/>
        <v/>
      </c>
    </row>
    <row r="1069" spans="1:1" x14ac:dyDescent="0.4">
      <c r="A1069" t="str">
        <f t="shared" si="32"/>
        <v/>
      </c>
    </row>
    <row r="1070" spans="1:1" x14ac:dyDescent="0.4">
      <c r="A1070" t="str">
        <f t="shared" si="32"/>
        <v/>
      </c>
    </row>
    <row r="1071" spans="1:1" x14ac:dyDescent="0.4">
      <c r="A1071" t="str">
        <f t="shared" si="32"/>
        <v/>
      </c>
    </row>
    <row r="1072" spans="1:1" x14ac:dyDescent="0.4">
      <c r="A1072" t="str">
        <f t="shared" si="32"/>
        <v/>
      </c>
    </row>
    <row r="1073" spans="1:1" x14ac:dyDescent="0.4">
      <c r="A1073" t="str">
        <f t="shared" si="32"/>
        <v/>
      </c>
    </row>
    <row r="1074" spans="1:1" x14ac:dyDescent="0.4">
      <c r="A1074" t="str">
        <f t="shared" si="32"/>
        <v/>
      </c>
    </row>
    <row r="1075" spans="1:1" x14ac:dyDescent="0.4">
      <c r="A1075" t="str">
        <f t="shared" si="32"/>
        <v/>
      </c>
    </row>
    <row r="1076" spans="1:1" x14ac:dyDescent="0.4">
      <c r="A1076" t="str">
        <f t="shared" si="32"/>
        <v/>
      </c>
    </row>
    <row r="1077" spans="1:1" x14ac:dyDescent="0.4">
      <c r="A1077" t="str">
        <f t="shared" si="32"/>
        <v/>
      </c>
    </row>
    <row r="1078" spans="1:1" x14ac:dyDescent="0.4">
      <c r="A1078" t="str">
        <f t="shared" si="32"/>
        <v/>
      </c>
    </row>
    <row r="1079" spans="1:1" x14ac:dyDescent="0.4">
      <c r="A1079" t="str">
        <f t="shared" si="32"/>
        <v/>
      </c>
    </row>
    <row r="1080" spans="1:1" x14ac:dyDescent="0.4">
      <c r="A1080" t="str">
        <f t="shared" si="32"/>
        <v/>
      </c>
    </row>
    <row r="1081" spans="1:1" x14ac:dyDescent="0.4">
      <c r="A1081" t="str">
        <f t="shared" si="32"/>
        <v/>
      </c>
    </row>
    <row r="1082" spans="1:1" x14ac:dyDescent="0.4">
      <c r="A1082" t="str">
        <f t="shared" si="32"/>
        <v/>
      </c>
    </row>
    <row r="1083" spans="1:1" x14ac:dyDescent="0.4">
      <c r="A1083" t="str">
        <f t="shared" si="32"/>
        <v/>
      </c>
    </row>
    <row r="1084" spans="1:1" x14ac:dyDescent="0.4">
      <c r="A1084" t="str">
        <f t="shared" si="32"/>
        <v/>
      </c>
    </row>
    <row r="1085" spans="1:1" x14ac:dyDescent="0.4">
      <c r="A1085" t="str">
        <f t="shared" si="32"/>
        <v/>
      </c>
    </row>
    <row r="1086" spans="1:1" x14ac:dyDescent="0.4">
      <c r="A1086" t="str">
        <f t="shared" si="32"/>
        <v/>
      </c>
    </row>
    <row r="1087" spans="1:1" x14ac:dyDescent="0.4">
      <c r="A1087" t="str">
        <f t="shared" si="32"/>
        <v/>
      </c>
    </row>
    <row r="1088" spans="1:1" x14ac:dyDescent="0.4">
      <c r="A1088" t="str">
        <f t="shared" si="32"/>
        <v/>
      </c>
    </row>
    <row r="1089" spans="1:1" x14ac:dyDescent="0.4">
      <c r="A1089" t="str">
        <f t="shared" si="32"/>
        <v/>
      </c>
    </row>
    <row r="1090" spans="1:1" x14ac:dyDescent="0.4">
      <c r="A1090" t="str">
        <f t="shared" si="32"/>
        <v/>
      </c>
    </row>
    <row r="1091" spans="1:1" x14ac:dyDescent="0.4">
      <c r="A1091" t="str">
        <f t="shared" si="32"/>
        <v/>
      </c>
    </row>
    <row r="1092" spans="1:1" x14ac:dyDescent="0.4">
      <c r="A1092" t="str">
        <f t="shared" si="32"/>
        <v/>
      </c>
    </row>
    <row r="1093" spans="1:1" x14ac:dyDescent="0.4">
      <c r="A1093" t="str">
        <f t="shared" si="32"/>
        <v/>
      </c>
    </row>
    <row r="1094" spans="1:1" x14ac:dyDescent="0.4">
      <c r="A1094" t="str">
        <f t="shared" si="32"/>
        <v/>
      </c>
    </row>
    <row r="1095" spans="1:1" x14ac:dyDescent="0.4">
      <c r="A1095" t="str">
        <f t="shared" ref="A1095:A1158" si="33">RIGHT(B1095,12)</f>
        <v/>
      </c>
    </row>
    <row r="1096" spans="1:1" x14ac:dyDescent="0.4">
      <c r="A1096" t="str">
        <f t="shared" si="33"/>
        <v/>
      </c>
    </row>
    <row r="1097" spans="1:1" x14ac:dyDescent="0.4">
      <c r="A1097" t="str">
        <f t="shared" si="33"/>
        <v/>
      </c>
    </row>
    <row r="1098" spans="1:1" x14ac:dyDescent="0.4">
      <c r="A1098" t="str">
        <f t="shared" si="33"/>
        <v/>
      </c>
    </row>
    <row r="1099" spans="1:1" x14ac:dyDescent="0.4">
      <c r="A1099" t="str">
        <f t="shared" si="33"/>
        <v/>
      </c>
    </row>
    <row r="1100" spans="1:1" x14ac:dyDescent="0.4">
      <c r="A1100" t="str">
        <f t="shared" si="33"/>
        <v/>
      </c>
    </row>
    <row r="1101" spans="1:1" x14ac:dyDescent="0.4">
      <c r="A1101" t="str">
        <f t="shared" si="33"/>
        <v/>
      </c>
    </row>
    <row r="1102" spans="1:1" x14ac:dyDescent="0.4">
      <c r="A1102" t="str">
        <f t="shared" si="33"/>
        <v/>
      </c>
    </row>
    <row r="1103" spans="1:1" x14ac:dyDescent="0.4">
      <c r="A1103" t="str">
        <f t="shared" si="33"/>
        <v/>
      </c>
    </row>
    <row r="1104" spans="1:1" x14ac:dyDescent="0.4">
      <c r="A1104" t="str">
        <f t="shared" si="33"/>
        <v/>
      </c>
    </row>
    <row r="1105" spans="1:1" x14ac:dyDescent="0.4">
      <c r="A1105" t="str">
        <f t="shared" si="33"/>
        <v/>
      </c>
    </row>
    <row r="1106" spans="1:1" x14ac:dyDescent="0.4">
      <c r="A1106" t="str">
        <f t="shared" si="33"/>
        <v/>
      </c>
    </row>
    <row r="1107" spans="1:1" x14ac:dyDescent="0.4">
      <c r="A1107" t="str">
        <f t="shared" si="33"/>
        <v/>
      </c>
    </row>
    <row r="1108" spans="1:1" x14ac:dyDescent="0.4">
      <c r="A1108" t="str">
        <f t="shared" si="33"/>
        <v/>
      </c>
    </row>
    <row r="1109" spans="1:1" x14ac:dyDescent="0.4">
      <c r="A1109" t="str">
        <f t="shared" si="33"/>
        <v/>
      </c>
    </row>
    <row r="1110" spans="1:1" x14ac:dyDescent="0.4">
      <c r="A1110" t="str">
        <f t="shared" si="33"/>
        <v/>
      </c>
    </row>
    <row r="1111" spans="1:1" x14ac:dyDescent="0.4">
      <c r="A1111" t="str">
        <f t="shared" si="33"/>
        <v/>
      </c>
    </row>
    <row r="1112" spans="1:1" x14ac:dyDescent="0.4">
      <c r="A1112" t="str">
        <f t="shared" si="33"/>
        <v/>
      </c>
    </row>
    <row r="1113" spans="1:1" x14ac:dyDescent="0.4">
      <c r="A1113" t="str">
        <f t="shared" si="33"/>
        <v/>
      </c>
    </row>
    <row r="1114" spans="1:1" x14ac:dyDescent="0.4">
      <c r="A1114" t="str">
        <f t="shared" si="33"/>
        <v/>
      </c>
    </row>
    <row r="1115" spans="1:1" x14ac:dyDescent="0.4">
      <c r="A1115" t="str">
        <f t="shared" si="33"/>
        <v/>
      </c>
    </row>
    <row r="1116" spans="1:1" x14ac:dyDescent="0.4">
      <c r="A1116" t="str">
        <f t="shared" si="33"/>
        <v/>
      </c>
    </row>
    <row r="1117" spans="1:1" x14ac:dyDescent="0.4">
      <c r="A1117" t="str">
        <f t="shared" si="33"/>
        <v/>
      </c>
    </row>
    <row r="1118" spans="1:1" x14ac:dyDescent="0.4">
      <c r="A1118" t="str">
        <f t="shared" si="33"/>
        <v/>
      </c>
    </row>
    <row r="1119" spans="1:1" x14ac:dyDescent="0.4">
      <c r="A1119" t="str">
        <f t="shared" si="33"/>
        <v/>
      </c>
    </row>
    <row r="1120" spans="1:1" x14ac:dyDescent="0.4">
      <c r="A1120" t="str">
        <f t="shared" si="33"/>
        <v/>
      </c>
    </row>
    <row r="1121" spans="1:1" x14ac:dyDescent="0.4">
      <c r="A1121" t="str">
        <f t="shared" si="33"/>
        <v/>
      </c>
    </row>
    <row r="1122" spans="1:1" x14ac:dyDescent="0.4">
      <c r="A1122" t="str">
        <f t="shared" si="33"/>
        <v/>
      </c>
    </row>
    <row r="1123" spans="1:1" x14ac:dyDescent="0.4">
      <c r="A1123" t="str">
        <f t="shared" si="33"/>
        <v/>
      </c>
    </row>
    <row r="1124" spans="1:1" x14ac:dyDescent="0.4">
      <c r="A1124" t="str">
        <f t="shared" si="33"/>
        <v/>
      </c>
    </row>
    <row r="1125" spans="1:1" x14ac:dyDescent="0.4">
      <c r="A1125" t="str">
        <f t="shared" si="33"/>
        <v/>
      </c>
    </row>
    <row r="1126" spans="1:1" x14ac:dyDescent="0.4">
      <c r="A1126" t="str">
        <f t="shared" si="33"/>
        <v/>
      </c>
    </row>
    <row r="1127" spans="1:1" x14ac:dyDescent="0.4">
      <c r="A1127" t="str">
        <f t="shared" si="33"/>
        <v/>
      </c>
    </row>
    <row r="1128" spans="1:1" x14ac:dyDescent="0.4">
      <c r="A1128" t="str">
        <f t="shared" si="33"/>
        <v/>
      </c>
    </row>
    <row r="1129" spans="1:1" x14ac:dyDescent="0.4">
      <c r="A1129" t="str">
        <f t="shared" si="33"/>
        <v/>
      </c>
    </row>
    <row r="1130" spans="1:1" x14ac:dyDescent="0.4">
      <c r="A1130" t="str">
        <f t="shared" si="33"/>
        <v/>
      </c>
    </row>
    <row r="1131" spans="1:1" x14ac:dyDescent="0.4">
      <c r="A1131" t="str">
        <f t="shared" si="33"/>
        <v/>
      </c>
    </row>
    <row r="1132" spans="1:1" x14ac:dyDescent="0.4">
      <c r="A1132" t="str">
        <f t="shared" si="33"/>
        <v/>
      </c>
    </row>
    <row r="1133" spans="1:1" x14ac:dyDescent="0.4">
      <c r="A1133" t="str">
        <f t="shared" si="33"/>
        <v/>
      </c>
    </row>
    <row r="1134" spans="1:1" x14ac:dyDescent="0.4">
      <c r="A1134" t="str">
        <f t="shared" si="33"/>
        <v/>
      </c>
    </row>
    <row r="1135" spans="1:1" x14ac:dyDescent="0.4">
      <c r="A1135" t="str">
        <f t="shared" si="33"/>
        <v/>
      </c>
    </row>
    <row r="1136" spans="1:1" x14ac:dyDescent="0.4">
      <c r="A1136" t="str">
        <f t="shared" si="33"/>
        <v/>
      </c>
    </row>
    <row r="1137" spans="1:1" x14ac:dyDescent="0.4">
      <c r="A1137" t="str">
        <f t="shared" si="33"/>
        <v/>
      </c>
    </row>
    <row r="1138" spans="1:1" x14ac:dyDescent="0.4">
      <c r="A1138" t="str">
        <f t="shared" si="33"/>
        <v/>
      </c>
    </row>
    <row r="1139" spans="1:1" x14ac:dyDescent="0.4">
      <c r="A1139" t="str">
        <f t="shared" si="33"/>
        <v/>
      </c>
    </row>
    <row r="1140" spans="1:1" x14ac:dyDescent="0.4">
      <c r="A1140" t="str">
        <f t="shared" si="33"/>
        <v/>
      </c>
    </row>
    <row r="1141" spans="1:1" x14ac:dyDescent="0.4">
      <c r="A1141" t="str">
        <f t="shared" si="33"/>
        <v/>
      </c>
    </row>
    <row r="1142" spans="1:1" x14ac:dyDescent="0.4">
      <c r="A1142" t="str">
        <f t="shared" si="33"/>
        <v/>
      </c>
    </row>
    <row r="1143" spans="1:1" x14ac:dyDescent="0.4">
      <c r="A1143" t="str">
        <f t="shared" si="33"/>
        <v/>
      </c>
    </row>
    <row r="1144" spans="1:1" x14ac:dyDescent="0.4">
      <c r="A1144" t="str">
        <f t="shared" si="33"/>
        <v/>
      </c>
    </row>
    <row r="1145" spans="1:1" x14ac:dyDescent="0.4">
      <c r="A1145" t="str">
        <f t="shared" si="33"/>
        <v/>
      </c>
    </row>
    <row r="1146" spans="1:1" x14ac:dyDescent="0.4">
      <c r="A1146" t="str">
        <f t="shared" si="33"/>
        <v/>
      </c>
    </row>
    <row r="1147" spans="1:1" x14ac:dyDescent="0.4">
      <c r="A1147" t="str">
        <f t="shared" si="33"/>
        <v/>
      </c>
    </row>
    <row r="1148" spans="1:1" x14ac:dyDescent="0.4">
      <c r="A1148" t="str">
        <f t="shared" si="33"/>
        <v/>
      </c>
    </row>
    <row r="1149" spans="1:1" x14ac:dyDescent="0.4">
      <c r="A1149" t="str">
        <f t="shared" si="33"/>
        <v/>
      </c>
    </row>
    <row r="1150" spans="1:1" x14ac:dyDescent="0.4">
      <c r="A1150" t="str">
        <f t="shared" si="33"/>
        <v/>
      </c>
    </row>
    <row r="1151" spans="1:1" x14ac:dyDescent="0.4">
      <c r="A1151" t="str">
        <f t="shared" si="33"/>
        <v/>
      </c>
    </row>
    <row r="1152" spans="1:1" x14ac:dyDescent="0.4">
      <c r="A1152" t="str">
        <f t="shared" si="33"/>
        <v/>
      </c>
    </row>
    <row r="1153" spans="1:1" x14ac:dyDescent="0.4">
      <c r="A1153" t="str">
        <f t="shared" si="33"/>
        <v/>
      </c>
    </row>
    <row r="1154" spans="1:1" x14ac:dyDescent="0.4">
      <c r="A1154" t="str">
        <f t="shared" si="33"/>
        <v/>
      </c>
    </row>
    <row r="1155" spans="1:1" x14ac:dyDescent="0.4">
      <c r="A1155" t="str">
        <f t="shared" si="33"/>
        <v/>
      </c>
    </row>
    <row r="1156" spans="1:1" x14ac:dyDescent="0.4">
      <c r="A1156" t="str">
        <f t="shared" si="33"/>
        <v/>
      </c>
    </row>
    <row r="1157" spans="1:1" x14ac:dyDescent="0.4">
      <c r="A1157" t="str">
        <f t="shared" si="33"/>
        <v/>
      </c>
    </row>
    <row r="1158" spans="1:1" x14ac:dyDescent="0.4">
      <c r="A1158" t="str">
        <f t="shared" si="33"/>
        <v/>
      </c>
    </row>
    <row r="1159" spans="1:1" x14ac:dyDescent="0.4">
      <c r="A1159" t="str">
        <f t="shared" ref="A1159:A1222" si="34">RIGHT(B1159,12)</f>
        <v/>
      </c>
    </row>
    <row r="1160" spans="1:1" x14ac:dyDescent="0.4">
      <c r="A1160" t="str">
        <f t="shared" si="34"/>
        <v/>
      </c>
    </row>
    <row r="1161" spans="1:1" x14ac:dyDescent="0.4">
      <c r="A1161" t="str">
        <f t="shared" si="34"/>
        <v/>
      </c>
    </row>
    <row r="1162" spans="1:1" x14ac:dyDescent="0.4">
      <c r="A1162" t="str">
        <f t="shared" si="34"/>
        <v/>
      </c>
    </row>
    <row r="1163" spans="1:1" x14ac:dyDescent="0.4">
      <c r="A1163" t="str">
        <f t="shared" si="34"/>
        <v/>
      </c>
    </row>
    <row r="1164" spans="1:1" x14ac:dyDescent="0.4">
      <c r="A1164" t="str">
        <f t="shared" si="34"/>
        <v/>
      </c>
    </row>
    <row r="1165" spans="1:1" x14ac:dyDescent="0.4">
      <c r="A1165" t="str">
        <f t="shared" si="34"/>
        <v/>
      </c>
    </row>
    <row r="1166" spans="1:1" x14ac:dyDescent="0.4">
      <c r="A1166" t="str">
        <f t="shared" si="34"/>
        <v/>
      </c>
    </row>
    <row r="1167" spans="1:1" x14ac:dyDescent="0.4">
      <c r="A1167" t="str">
        <f t="shared" si="34"/>
        <v/>
      </c>
    </row>
    <row r="1168" spans="1:1" x14ac:dyDescent="0.4">
      <c r="A1168" t="str">
        <f t="shared" si="34"/>
        <v/>
      </c>
    </row>
    <row r="1169" spans="1:1" x14ac:dyDescent="0.4">
      <c r="A1169" t="str">
        <f t="shared" si="34"/>
        <v/>
      </c>
    </row>
    <row r="1170" spans="1:1" x14ac:dyDescent="0.4">
      <c r="A1170" t="str">
        <f t="shared" si="34"/>
        <v/>
      </c>
    </row>
    <row r="1171" spans="1:1" x14ac:dyDescent="0.4">
      <c r="A1171" t="str">
        <f t="shared" si="34"/>
        <v/>
      </c>
    </row>
    <row r="1172" spans="1:1" x14ac:dyDescent="0.4">
      <c r="A1172" t="str">
        <f t="shared" si="34"/>
        <v/>
      </c>
    </row>
    <row r="1173" spans="1:1" x14ac:dyDescent="0.4">
      <c r="A1173" t="str">
        <f t="shared" si="34"/>
        <v/>
      </c>
    </row>
    <row r="1174" spans="1:1" x14ac:dyDescent="0.4">
      <c r="A1174" t="str">
        <f t="shared" si="34"/>
        <v/>
      </c>
    </row>
    <row r="1175" spans="1:1" x14ac:dyDescent="0.4">
      <c r="A1175" t="str">
        <f t="shared" si="34"/>
        <v/>
      </c>
    </row>
    <row r="1176" spans="1:1" x14ac:dyDescent="0.4">
      <c r="A1176" t="str">
        <f t="shared" si="34"/>
        <v/>
      </c>
    </row>
    <row r="1177" spans="1:1" x14ac:dyDescent="0.4">
      <c r="A1177" t="str">
        <f t="shared" si="34"/>
        <v/>
      </c>
    </row>
    <row r="1178" spans="1:1" x14ac:dyDescent="0.4">
      <c r="A1178" t="str">
        <f t="shared" si="34"/>
        <v/>
      </c>
    </row>
    <row r="1179" spans="1:1" x14ac:dyDescent="0.4">
      <c r="A1179" t="str">
        <f t="shared" si="34"/>
        <v/>
      </c>
    </row>
    <row r="1180" spans="1:1" x14ac:dyDescent="0.4">
      <c r="A1180" t="str">
        <f t="shared" si="34"/>
        <v/>
      </c>
    </row>
    <row r="1181" spans="1:1" x14ac:dyDescent="0.4">
      <c r="A1181" t="str">
        <f t="shared" si="34"/>
        <v/>
      </c>
    </row>
    <row r="1182" spans="1:1" x14ac:dyDescent="0.4">
      <c r="A1182" t="str">
        <f t="shared" si="34"/>
        <v/>
      </c>
    </row>
    <row r="1183" spans="1:1" x14ac:dyDescent="0.4">
      <c r="A1183" t="str">
        <f t="shared" si="34"/>
        <v/>
      </c>
    </row>
    <row r="1184" spans="1:1" x14ac:dyDescent="0.4">
      <c r="A1184" t="str">
        <f t="shared" si="34"/>
        <v/>
      </c>
    </row>
    <row r="1185" spans="1:1" x14ac:dyDescent="0.4">
      <c r="A1185" t="str">
        <f t="shared" si="34"/>
        <v/>
      </c>
    </row>
    <row r="1186" spans="1:1" x14ac:dyDescent="0.4">
      <c r="A1186" t="str">
        <f t="shared" si="34"/>
        <v/>
      </c>
    </row>
    <row r="1187" spans="1:1" x14ac:dyDescent="0.4">
      <c r="A1187" t="str">
        <f t="shared" si="34"/>
        <v/>
      </c>
    </row>
    <row r="1188" spans="1:1" x14ac:dyDescent="0.4">
      <c r="A1188" t="str">
        <f t="shared" si="34"/>
        <v/>
      </c>
    </row>
    <row r="1189" spans="1:1" x14ac:dyDescent="0.4">
      <c r="A1189" t="str">
        <f t="shared" si="34"/>
        <v/>
      </c>
    </row>
    <row r="1190" spans="1:1" x14ac:dyDescent="0.4">
      <c r="A1190" t="str">
        <f t="shared" si="34"/>
        <v/>
      </c>
    </row>
    <row r="1191" spans="1:1" x14ac:dyDescent="0.4">
      <c r="A1191" t="str">
        <f t="shared" si="34"/>
        <v/>
      </c>
    </row>
    <row r="1192" spans="1:1" x14ac:dyDescent="0.4">
      <c r="A1192" t="str">
        <f t="shared" si="34"/>
        <v/>
      </c>
    </row>
    <row r="1193" spans="1:1" x14ac:dyDescent="0.4">
      <c r="A1193" t="str">
        <f t="shared" si="34"/>
        <v/>
      </c>
    </row>
    <row r="1194" spans="1:1" x14ac:dyDescent="0.4">
      <c r="A1194" t="str">
        <f t="shared" si="34"/>
        <v/>
      </c>
    </row>
    <row r="1195" spans="1:1" x14ac:dyDescent="0.4">
      <c r="A1195" t="str">
        <f t="shared" si="34"/>
        <v/>
      </c>
    </row>
    <row r="1196" spans="1:1" x14ac:dyDescent="0.4">
      <c r="A1196" t="str">
        <f t="shared" si="34"/>
        <v/>
      </c>
    </row>
    <row r="1197" spans="1:1" x14ac:dyDescent="0.4">
      <c r="A1197" t="str">
        <f t="shared" si="34"/>
        <v/>
      </c>
    </row>
    <row r="1198" spans="1:1" x14ac:dyDescent="0.4">
      <c r="A1198" t="str">
        <f t="shared" si="34"/>
        <v/>
      </c>
    </row>
    <row r="1199" spans="1:1" x14ac:dyDescent="0.4">
      <c r="A1199" t="str">
        <f t="shared" si="34"/>
        <v/>
      </c>
    </row>
    <row r="1200" spans="1:1" x14ac:dyDescent="0.4">
      <c r="A1200" t="str">
        <f t="shared" si="34"/>
        <v/>
      </c>
    </row>
    <row r="1201" spans="1:1" x14ac:dyDescent="0.4">
      <c r="A1201" t="str">
        <f t="shared" si="34"/>
        <v/>
      </c>
    </row>
    <row r="1202" spans="1:1" x14ac:dyDescent="0.4">
      <c r="A1202" t="str">
        <f t="shared" si="34"/>
        <v/>
      </c>
    </row>
    <row r="1203" spans="1:1" x14ac:dyDescent="0.4">
      <c r="A1203" t="str">
        <f t="shared" si="34"/>
        <v/>
      </c>
    </row>
    <row r="1204" spans="1:1" x14ac:dyDescent="0.4">
      <c r="A1204" t="str">
        <f t="shared" si="34"/>
        <v/>
      </c>
    </row>
    <row r="1205" spans="1:1" x14ac:dyDescent="0.4">
      <c r="A1205" t="str">
        <f t="shared" si="34"/>
        <v/>
      </c>
    </row>
    <row r="1206" spans="1:1" x14ac:dyDescent="0.4">
      <c r="A1206" t="str">
        <f t="shared" si="34"/>
        <v/>
      </c>
    </row>
    <row r="1207" spans="1:1" x14ac:dyDescent="0.4">
      <c r="A1207" t="str">
        <f t="shared" si="34"/>
        <v/>
      </c>
    </row>
    <row r="1208" spans="1:1" x14ac:dyDescent="0.4">
      <c r="A1208" t="str">
        <f t="shared" si="34"/>
        <v/>
      </c>
    </row>
    <row r="1209" spans="1:1" x14ac:dyDescent="0.4">
      <c r="A1209" t="str">
        <f t="shared" si="34"/>
        <v/>
      </c>
    </row>
    <row r="1210" spans="1:1" x14ac:dyDescent="0.4">
      <c r="A1210" t="str">
        <f t="shared" si="34"/>
        <v/>
      </c>
    </row>
    <row r="1211" spans="1:1" x14ac:dyDescent="0.4">
      <c r="A1211" t="str">
        <f t="shared" si="34"/>
        <v/>
      </c>
    </row>
    <row r="1212" spans="1:1" x14ac:dyDescent="0.4">
      <c r="A1212" t="str">
        <f t="shared" si="34"/>
        <v/>
      </c>
    </row>
    <row r="1213" spans="1:1" x14ac:dyDescent="0.4">
      <c r="A1213" t="str">
        <f t="shared" si="34"/>
        <v/>
      </c>
    </row>
    <row r="1214" spans="1:1" x14ac:dyDescent="0.4">
      <c r="A1214" t="str">
        <f t="shared" si="34"/>
        <v/>
      </c>
    </row>
    <row r="1215" spans="1:1" x14ac:dyDescent="0.4">
      <c r="A1215" t="str">
        <f t="shared" si="34"/>
        <v/>
      </c>
    </row>
    <row r="1216" spans="1:1" x14ac:dyDescent="0.4">
      <c r="A1216" t="str">
        <f t="shared" si="34"/>
        <v/>
      </c>
    </row>
    <row r="1217" spans="1:1" x14ac:dyDescent="0.4">
      <c r="A1217" t="str">
        <f t="shared" si="34"/>
        <v/>
      </c>
    </row>
    <row r="1218" spans="1:1" x14ac:dyDescent="0.4">
      <c r="A1218" t="str">
        <f t="shared" si="34"/>
        <v/>
      </c>
    </row>
    <row r="1219" spans="1:1" x14ac:dyDescent="0.4">
      <c r="A1219" t="str">
        <f t="shared" si="34"/>
        <v/>
      </c>
    </row>
    <row r="1220" spans="1:1" x14ac:dyDescent="0.4">
      <c r="A1220" t="str">
        <f t="shared" si="34"/>
        <v/>
      </c>
    </row>
    <row r="1221" spans="1:1" x14ac:dyDescent="0.4">
      <c r="A1221" t="str">
        <f t="shared" si="34"/>
        <v/>
      </c>
    </row>
    <row r="1222" spans="1:1" x14ac:dyDescent="0.4">
      <c r="A1222" t="str">
        <f t="shared" si="34"/>
        <v/>
      </c>
    </row>
    <row r="1223" spans="1:1" x14ac:dyDescent="0.4">
      <c r="A1223" t="str">
        <f t="shared" ref="A1223:A1286" si="35">RIGHT(B1223,12)</f>
        <v/>
      </c>
    </row>
    <row r="1224" spans="1:1" x14ac:dyDescent="0.4">
      <c r="A1224" t="str">
        <f t="shared" si="35"/>
        <v/>
      </c>
    </row>
    <row r="1225" spans="1:1" x14ac:dyDescent="0.4">
      <c r="A1225" t="str">
        <f t="shared" si="35"/>
        <v/>
      </c>
    </row>
    <row r="1226" spans="1:1" x14ac:dyDescent="0.4">
      <c r="A1226" t="str">
        <f t="shared" si="35"/>
        <v/>
      </c>
    </row>
    <row r="1227" spans="1:1" x14ac:dyDescent="0.4">
      <c r="A1227" t="str">
        <f t="shared" si="35"/>
        <v/>
      </c>
    </row>
    <row r="1228" spans="1:1" x14ac:dyDescent="0.4">
      <c r="A1228" t="str">
        <f t="shared" si="35"/>
        <v/>
      </c>
    </row>
    <row r="1229" spans="1:1" x14ac:dyDescent="0.4">
      <c r="A1229" t="str">
        <f t="shared" si="35"/>
        <v/>
      </c>
    </row>
    <row r="1230" spans="1:1" x14ac:dyDescent="0.4">
      <c r="A1230" t="str">
        <f t="shared" si="35"/>
        <v/>
      </c>
    </row>
    <row r="1231" spans="1:1" x14ac:dyDescent="0.4">
      <c r="A1231" t="str">
        <f t="shared" si="35"/>
        <v/>
      </c>
    </row>
    <row r="1232" spans="1:1" x14ac:dyDescent="0.4">
      <c r="A1232" t="str">
        <f t="shared" si="35"/>
        <v/>
      </c>
    </row>
    <row r="1233" spans="1:1" x14ac:dyDescent="0.4">
      <c r="A1233" t="str">
        <f t="shared" si="35"/>
        <v/>
      </c>
    </row>
    <row r="1234" spans="1:1" x14ac:dyDescent="0.4">
      <c r="A1234" t="str">
        <f t="shared" si="35"/>
        <v/>
      </c>
    </row>
    <row r="1235" spans="1:1" x14ac:dyDescent="0.4">
      <c r="A1235" t="str">
        <f t="shared" si="35"/>
        <v/>
      </c>
    </row>
    <row r="1236" spans="1:1" x14ac:dyDescent="0.4">
      <c r="A1236" t="str">
        <f t="shared" si="35"/>
        <v/>
      </c>
    </row>
    <row r="1237" spans="1:1" x14ac:dyDescent="0.4">
      <c r="A1237" t="str">
        <f t="shared" si="35"/>
        <v/>
      </c>
    </row>
    <row r="1238" spans="1:1" x14ac:dyDescent="0.4">
      <c r="A1238" t="str">
        <f t="shared" si="35"/>
        <v/>
      </c>
    </row>
    <row r="1239" spans="1:1" x14ac:dyDescent="0.4">
      <c r="A1239" t="str">
        <f t="shared" si="35"/>
        <v/>
      </c>
    </row>
    <row r="1240" spans="1:1" x14ac:dyDescent="0.4">
      <c r="A1240" t="str">
        <f t="shared" si="35"/>
        <v/>
      </c>
    </row>
    <row r="1241" spans="1:1" x14ac:dyDescent="0.4">
      <c r="A1241" t="str">
        <f t="shared" si="35"/>
        <v/>
      </c>
    </row>
    <row r="1242" spans="1:1" x14ac:dyDescent="0.4">
      <c r="A1242" t="str">
        <f t="shared" si="35"/>
        <v/>
      </c>
    </row>
    <row r="1243" spans="1:1" x14ac:dyDescent="0.4">
      <c r="A1243" t="str">
        <f t="shared" si="35"/>
        <v/>
      </c>
    </row>
    <row r="1244" spans="1:1" x14ac:dyDescent="0.4">
      <c r="A1244" t="str">
        <f t="shared" si="35"/>
        <v/>
      </c>
    </row>
    <row r="1245" spans="1:1" x14ac:dyDescent="0.4">
      <c r="A1245" t="str">
        <f t="shared" si="35"/>
        <v/>
      </c>
    </row>
    <row r="1246" spans="1:1" x14ac:dyDescent="0.4">
      <c r="A1246" t="str">
        <f t="shared" si="35"/>
        <v/>
      </c>
    </row>
    <row r="1247" spans="1:1" x14ac:dyDescent="0.4">
      <c r="A1247" t="str">
        <f t="shared" si="35"/>
        <v/>
      </c>
    </row>
    <row r="1248" spans="1:1" x14ac:dyDescent="0.4">
      <c r="A1248" t="str">
        <f t="shared" si="35"/>
        <v/>
      </c>
    </row>
    <row r="1249" spans="1:1" x14ac:dyDescent="0.4">
      <c r="A1249" t="str">
        <f t="shared" si="35"/>
        <v/>
      </c>
    </row>
    <row r="1250" spans="1:1" x14ac:dyDescent="0.4">
      <c r="A1250" t="str">
        <f t="shared" si="35"/>
        <v/>
      </c>
    </row>
    <row r="1251" spans="1:1" x14ac:dyDescent="0.4">
      <c r="A1251" t="str">
        <f t="shared" si="35"/>
        <v/>
      </c>
    </row>
    <row r="1252" spans="1:1" x14ac:dyDescent="0.4">
      <c r="A1252" t="str">
        <f t="shared" si="35"/>
        <v/>
      </c>
    </row>
    <row r="1253" spans="1:1" x14ac:dyDescent="0.4">
      <c r="A1253" t="str">
        <f t="shared" si="35"/>
        <v/>
      </c>
    </row>
    <row r="1254" spans="1:1" x14ac:dyDescent="0.4">
      <c r="A1254" t="str">
        <f t="shared" si="35"/>
        <v/>
      </c>
    </row>
    <row r="1255" spans="1:1" x14ac:dyDescent="0.4">
      <c r="A1255" t="str">
        <f t="shared" si="35"/>
        <v/>
      </c>
    </row>
    <row r="1256" spans="1:1" x14ac:dyDescent="0.4">
      <c r="A1256" t="str">
        <f t="shared" si="35"/>
        <v/>
      </c>
    </row>
    <row r="1257" spans="1:1" x14ac:dyDescent="0.4">
      <c r="A1257" t="str">
        <f t="shared" si="35"/>
        <v/>
      </c>
    </row>
    <row r="1258" spans="1:1" x14ac:dyDescent="0.4">
      <c r="A1258" t="str">
        <f t="shared" si="35"/>
        <v/>
      </c>
    </row>
    <row r="1259" spans="1:1" x14ac:dyDescent="0.4">
      <c r="A1259" t="str">
        <f t="shared" si="35"/>
        <v/>
      </c>
    </row>
    <row r="1260" spans="1:1" x14ac:dyDescent="0.4">
      <c r="A1260" t="str">
        <f t="shared" si="35"/>
        <v/>
      </c>
    </row>
    <row r="1261" spans="1:1" x14ac:dyDescent="0.4">
      <c r="A1261" t="str">
        <f t="shared" si="35"/>
        <v/>
      </c>
    </row>
    <row r="1262" spans="1:1" x14ac:dyDescent="0.4">
      <c r="A1262" t="str">
        <f t="shared" si="35"/>
        <v/>
      </c>
    </row>
    <row r="1263" spans="1:1" x14ac:dyDescent="0.4">
      <c r="A1263" t="str">
        <f t="shared" si="35"/>
        <v/>
      </c>
    </row>
    <row r="1264" spans="1:1" x14ac:dyDescent="0.4">
      <c r="A1264" t="str">
        <f t="shared" si="35"/>
        <v/>
      </c>
    </row>
    <row r="1265" spans="1:1" x14ac:dyDescent="0.4">
      <c r="A1265" t="str">
        <f t="shared" si="35"/>
        <v/>
      </c>
    </row>
    <row r="1266" spans="1:1" x14ac:dyDescent="0.4">
      <c r="A1266" t="str">
        <f t="shared" si="35"/>
        <v/>
      </c>
    </row>
    <row r="1267" spans="1:1" x14ac:dyDescent="0.4">
      <c r="A1267" t="str">
        <f t="shared" si="35"/>
        <v/>
      </c>
    </row>
    <row r="1268" spans="1:1" x14ac:dyDescent="0.4">
      <c r="A1268" t="str">
        <f t="shared" si="35"/>
        <v/>
      </c>
    </row>
    <row r="1269" spans="1:1" x14ac:dyDescent="0.4">
      <c r="A1269" t="str">
        <f t="shared" si="35"/>
        <v/>
      </c>
    </row>
    <row r="1270" spans="1:1" x14ac:dyDescent="0.4">
      <c r="A1270" t="str">
        <f t="shared" si="35"/>
        <v/>
      </c>
    </row>
    <row r="1271" spans="1:1" x14ac:dyDescent="0.4">
      <c r="A1271" t="str">
        <f t="shared" si="35"/>
        <v/>
      </c>
    </row>
    <row r="1272" spans="1:1" x14ac:dyDescent="0.4">
      <c r="A1272" t="str">
        <f t="shared" si="35"/>
        <v/>
      </c>
    </row>
    <row r="1273" spans="1:1" x14ac:dyDescent="0.4">
      <c r="A1273" t="str">
        <f t="shared" si="35"/>
        <v/>
      </c>
    </row>
    <row r="1274" spans="1:1" x14ac:dyDescent="0.4">
      <c r="A1274" t="str">
        <f t="shared" si="35"/>
        <v/>
      </c>
    </row>
    <row r="1275" spans="1:1" x14ac:dyDescent="0.4">
      <c r="A1275" t="str">
        <f t="shared" si="35"/>
        <v/>
      </c>
    </row>
    <row r="1276" spans="1:1" x14ac:dyDescent="0.4">
      <c r="A1276" t="str">
        <f t="shared" si="35"/>
        <v/>
      </c>
    </row>
    <row r="1277" spans="1:1" x14ac:dyDescent="0.4">
      <c r="A1277" t="str">
        <f t="shared" si="35"/>
        <v/>
      </c>
    </row>
    <row r="1278" spans="1:1" x14ac:dyDescent="0.4">
      <c r="A1278" t="str">
        <f t="shared" si="35"/>
        <v/>
      </c>
    </row>
    <row r="1279" spans="1:1" x14ac:dyDescent="0.4">
      <c r="A1279" t="str">
        <f t="shared" si="35"/>
        <v/>
      </c>
    </row>
    <row r="1280" spans="1:1" x14ac:dyDescent="0.4">
      <c r="A1280" t="str">
        <f t="shared" si="35"/>
        <v/>
      </c>
    </row>
    <row r="1281" spans="1:1" x14ac:dyDescent="0.4">
      <c r="A1281" t="str">
        <f t="shared" si="35"/>
        <v/>
      </c>
    </row>
    <row r="1282" spans="1:1" x14ac:dyDescent="0.4">
      <c r="A1282" t="str">
        <f t="shared" si="35"/>
        <v/>
      </c>
    </row>
    <row r="1283" spans="1:1" x14ac:dyDescent="0.4">
      <c r="A1283" t="str">
        <f t="shared" si="35"/>
        <v/>
      </c>
    </row>
    <row r="1284" spans="1:1" x14ac:dyDescent="0.4">
      <c r="A1284" t="str">
        <f t="shared" si="35"/>
        <v/>
      </c>
    </row>
    <row r="1285" spans="1:1" x14ac:dyDescent="0.4">
      <c r="A1285" t="str">
        <f t="shared" si="35"/>
        <v/>
      </c>
    </row>
    <row r="1286" spans="1:1" x14ac:dyDescent="0.4">
      <c r="A1286" t="str">
        <f t="shared" si="35"/>
        <v/>
      </c>
    </row>
    <row r="1287" spans="1:1" x14ac:dyDescent="0.4">
      <c r="A1287" t="str">
        <f t="shared" ref="A1287:A1350" si="36">RIGHT(B1287,12)</f>
        <v/>
      </c>
    </row>
    <row r="1288" spans="1:1" x14ac:dyDescent="0.4">
      <c r="A1288" t="str">
        <f t="shared" si="36"/>
        <v/>
      </c>
    </row>
    <row r="1289" spans="1:1" x14ac:dyDescent="0.4">
      <c r="A1289" t="str">
        <f t="shared" si="36"/>
        <v/>
      </c>
    </row>
    <row r="1290" spans="1:1" x14ac:dyDescent="0.4">
      <c r="A1290" t="str">
        <f t="shared" si="36"/>
        <v/>
      </c>
    </row>
    <row r="1291" spans="1:1" x14ac:dyDescent="0.4">
      <c r="A1291" t="str">
        <f t="shared" si="36"/>
        <v/>
      </c>
    </row>
    <row r="1292" spans="1:1" x14ac:dyDescent="0.4">
      <c r="A1292" t="str">
        <f t="shared" si="36"/>
        <v/>
      </c>
    </row>
    <row r="1293" spans="1:1" x14ac:dyDescent="0.4">
      <c r="A1293" t="str">
        <f t="shared" si="36"/>
        <v/>
      </c>
    </row>
    <row r="1294" spans="1:1" x14ac:dyDescent="0.4">
      <c r="A1294" t="str">
        <f t="shared" si="36"/>
        <v/>
      </c>
    </row>
    <row r="1295" spans="1:1" x14ac:dyDescent="0.4">
      <c r="A1295" t="str">
        <f t="shared" si="36"/>
        <v/>
      </c>
    </row>
    <row r="1296" spans="1:1" x14ac:dyDescent="0.4">
      <c r="A1296" t="str">
        <f t="shared" si="36"/>
        <v/>
      </c>
    </row>
    <row r="1297" spans="1:1" x14ac:dyDescent="0.4">
      <c r="A1297" t="str">
        <f t="shared" si="36"/>
        <v/>
      </c>
    </row>
    <row r="1298" spans="1:1" x14ac:dyDescent="0.4">
      <c r="A1298" t="str">
        <f t="shared" si="36"/>
        <v/>
      </c>
    </row>
    <row r="1299" spans="1:1" x14ac:dyDescent="0.4">
      <c r="A1299" t="str">
        <f t="shared" si="36"/>
        <v/>
      </c>
    </row>
    <row r="1300" spans="1:1" x14ac:dyDescent="0.4">
      <c r="A1300" t="str">
        <f t="shared" si="36"/>
        <v/>
      </c>
    </row>
    <row r="1301" spans="1:1" x14ac:dyDescent="0.4">
      <c r="A1301" t="str">
        <f t="shared" si="36"/>
        <v/>
      </c>
    </row>
    <row r="1302" spans="1:1" x14ac:dyDescent="0.4">
      <c r="A1302" t="str">
        <f t="shared" si="36"/>
        <v/>
      </c>
    </row>
    <row r="1303" spans="1:1" x14ac:dyDescent="0.4">
      <c r="A1303" t="str">
        <f t="shared" si="36"/>
        <v/>
      </c>
    </row>
    <row r="1304" spans="1:1" x14ac:dyDescent="0.4">
      <c r="A1304" t="str">
        <f t="shared" si="36"/>
        <v/>
      </c>
    </row>
    <row r="1305" spans="1:1" x14ac:dyDescent="0.4">
      <c r="A1305" t="str">
        <f t="shared" si="36"/>
        <v/>
      </c>
    </row>
    <row r="1306" spans="1:1" x14ac:dyDescent="0.4">
      <c r="A1306" t="str">
        <f t="shared" si="36"/>
        <v/>
      </c>
    </row>
    <row r="1307" spans="1:1" x14ac:dyDescent="0.4">
      <c r="A1307" t="str">
        <f t="shared" si="36"/>
        <v/>
      </c>
    </row>
    <row r="1308" spans="1:1" x14ac:dyDescent="0.4">
      <c r="A1308" t="str">
        <f t="shared" si="36"/>
        <v/>
      </c>
    </row>
    <row r="1309" spans="1:1" x14ac:dyDescent="0.4">
      <c r="A1309" t="str">
        <f t="shared" si="36"/>
        <v/>
      </c>
    </row>
    <row r="1310" spans="1:1" x14ac:dyDescent="0.4">
      <c r="A1310" t="str">
        <f t="shared" si="36"/>
        <v/>
      </c>
    </row>
    <row r="1311" spans="1:1" x14ac:dyDescent="0.4">
      <c r="A1311" t="str">
        <f t="shared" si="36"/>
        <v/>
      </c>
    </row>
    <row r="1312" spans="1:1" x14ac:dyDescent="0.4">
      <c r="A1312" t="str">
        <f t="shared" si="36"/>
        <v/>
      </c>
    </row>
    <row r="1313" spans="1:1" x14ac:dyDescent="0.4">
      <c r="A1313" t="str">
        <f t="shared" si="36"/>
        <v/>
      </c>
    </row>
    <row r="1314" spans="1:1" x14ac:dyDescent="0.4">
      <c r="A1314" t="str">
        <f t="shared" si="36"/>
        <v/>
      </c>
    </row>
    <row r="1315" spans="1:1" x14ac:dyDescent="0.4">
      <c r="A1315" t="str">
        <f t="shared" si="36"/>
        <v/>
      </c>
    </row>
    <row r="1316" spans="1:1" x14ac:dyDescent="0.4">
      <c r="A1316" t="str">
        <f t="shared" si="36"/>
        <v/>
      </c>
    </row>
    <row r="1317" spans="1:1" x14ac:dyDescent="0.4">
      <c r="A1317" t="str">
        <f t="shared" si="36"/>
        <v/>
      </c>
    </row>
    <row r="1318" spans="1:1" x14ac:dyDescent="0.4">
      <c r="A1318" t="str">
        <f t="shared" si="36"/>
        <v/>
      </c>
    </row>
    <row r="1319" spans="1:1" x14ac:dyDescent="0.4">
      <c r="A1319" t="str">
        <f t="shared" si="36"/>
        <v/>
      </c>
    </row>
    <row r="1320" spans="1:1" x14ac:dyDescent="0.4">
      <c r="A1320" t="str">
        <f t="shared" si="36"/>
        <v/>
      </c>
    </row>
    <row r="1321" spans="1:1" x14ac:dyDescent="0.4">
      <c r="A1321" t="str">
        <f t="shared" si="36"/>
        <v/>
      </c>
    </row>
    <row r="1322" spans="1:1" x14ac:dyDescent="0.4">
      <c r="A1322" t="str">
        <f t="shared" si="36"/>
        <v/>
      </c>
    </row>
    <row r="1323" spans="1:1" x14ac:dyDescent="0.4">
      <c r="A1323" t="str">
        <f t="shared" si="36"/>
        <v/>
      </c>
    </row>
    <row r="1324" spans="1:1" x14ac:dyDescent="0.4">
      <c r="A1324" t="str">
        <f t="shared" si="36"/>
        <v/>
      </c>
    </row>
    <row r="1325" spans="1:1" x14ac:dyDescent="0.4">
      <c r="A1325" t="str">
        <f t="shared" si="36"/>
        <v/>
      </c>
    </row>
    <row r="1326" spans="1:1" x14ac:dyDescent="0.4">
      <c r="A1326" t="str">
        <f t="shared" si="36"/>
        <v/>
      </c>
    </row>
    <row r="1327" spans="1:1" x14ac:dyDescent="0.4">
      <c r="A1327" t="str">
        <f t="shared" si="36"/>
        <v/>
      </c>
    </row>
    <row r="1328" spans="1:1" x14ac:dyDescent="0.4">
      <c r="A1328" t="str">
        <f t="shared" si="36"/>
        <v/>
      </c>
    </row>
    <row r="1329" spans="1:1" x14ac:dyDescent="0.4">
      <c r="A1329" t="str">
        <f t="shared" si="36"/>
        <v/>
      </c>
    </row>
    <row r="1330" spans="1:1" x14ac:dyDescent="0.4">
      <c r="A1330" t="str">
        <f t="shared" si="36"/>
        <v/>
      </c>
    </row>
    <row r="1331" spans="1:1" x14ac:dyDescent="0.4">
      <c r="A1331" t="str">
        <f t="shared" si="36"/>
        <v/>
      </c>
    </row>
    <row r="1332" spans="1:1" x14ac:dyDescent="0.4">
      <c r="A1332" t="str">
        <f t="shared" si="36"/>
        <v/>
      </c>
    </row>
    <row r="1333" spans="1:1" x14ac:dyDescent="0.4">
      <c r="A1333" t="str">
        <f t="shared" si="36"/>
        <v/>
      </c>
    </row>
    <row r="1334" spans="1:1" x14ac:dyDescent="0.4">
      <c r="A1334" t="str">
        <f t="shared" si="36"/>
        <v/>
      </c>
    </row>
    <row r="1335" spans="1:1" x14ac:dyDescent="0.4">
      <c r="A1335" t="str">
        <f t="shared" si="36"/>
        <v/>
      </c>
    </row>
    <row r="1336" spans="1:1" x14ac:dyDescent="0.4">
      <c r="A1336" t="str">
        <f t="shared" si="36"/>
        <v/>
      </c>
    </row>
    <row r="1337" spans="1:1" x14ac:dyDescent="0.4">
      <c r="A1337" t="str">
        <f t="shared" si="36"/>
        <v/>
      </c>
    </row>
    <row r="1338" spans="1:1" x14ac:dyDescent="0.4">
      <c r="A1338" t="str">
        <f t="shared" si="36"/>
        <v/>
      </c>
    </row>
    <row r="1339" spans="1:1" x14ac:dyDescent="0.4">
      <c r="A1339" t="str">
        <f t="shared" si="36"/>
        <v/>
      </c>
    </row>
    <row r="1340" spans="1:1" x14ac:dyDescent="0.4">
      <c r="A1340" t="str">
        <f t="shared" si="36"/>
        <v/>
      </c>
    </row>
    <row r="1341" spans="1:1" x14ac:dyDescent="0.4">
      <c r="A1341" t="str">
        <f t="shared" si="36"/>
        <v/>
      </c>
    </row>
    <row r="1342" spans="1:1" x14ac:dyDescent="0.4">
      <c r="A1342" t="str">
        <f t="shared" si="36"/>
        <v/>
      </c>
    </row>
    <row r="1343" spans="1:1" x14ac:dyDescent="0.4">
      <c r="A1343" t="str">
        <f t="shared" si="36"/>
        <v/>
      </c>
    </row>
    <row r="1344" spans="1:1" x14ac:dyDescent="0.4">
      <c r="A1344" t="str">
        <f t="shared" si="36"/>
        <v/>
      </c>
    </row>
    <row r="1345" spans="1:1" x14ac:dyDescent="0.4">
      <c r="A1345" t="str">
        <f t="shared" si="36"/>
        <v/>
      </c>
    </row>
    <row r="1346" spans="1:1" x14ac:dyDescent="0.4">
      <c r="A1346" t="str">
        <f t="shared" si="36"/>
        <v/>
      </c>
    </row>
    <row r="1347" spans="1:1" x14ac:dyDescent="0.4">
      <c r="A1347" t="str">
        <f t="shared" si="36"/>
        <v/>
      </c>
    </row>
    <row r="1348" spans="1:1" x14ac:dyDescent="0.4">
      <c r="A1348" t="str">
        <f t="shared" si="36"/>
        <v/>
      </c>
    </row>
    <row r="1349" spans="1:1" x14ac:dyDescent="0.4">
      <c r="A1349" t="str">
        <f t="shared" si="36"/>
        <v/>
      </c>
    </row>
    <row r="1350" spans="1:1" x14ac:dyDescent="0.4">
      <c r="A1350" t="str">
        <f t="shared" si="36"/>
        <v/>
      </c>
    </row>
    <row r="1351" spans="1:1" x14ac:dyDescent="0.4">
      <c r="A1351" t="str">
        <f t="shared" ref="A1351:A1414" si="37">RIGHT(B1351,12)</f>
        <v/>
      </c>
    </row>
    <row r="1352" spans="1:1" x14ac:dyDescent="0.4">
      <c r="A1352" t="str">
        <f t="shared" si="37"/>
        <v/>
      </c>
    </row>
    <row r="1353" spans="1:1" x14ac:dyDescent="0.4">
      <c r="A1353" t="str">
        <f t="shared" si="37"/>
        <v/>
      </c>
    </row>
    <row r="1354" spans="1:1" x14ac:dyDescent="0.4">
      <c r="A1354" t="str">
        <f t="shared" si="37"/>
        <v/>
      </c>
    </row>
    <row r="1355" spans="1:1" x14ac:dyDescent="0.4">
      <c r="A1355" t="str">
        <f t="shared" si="37"/>
        <v/>
      </c>
    </row>
    <row r="1356" spans="1:1" x14ac:dyDescent="0.4">
      <c r="A1356" t="str">
        <f t="shared" si="37"/>
        <v/>
      </c>
    </row>
    <row r="1357" spans="1:1" x14ac:dyDescent="0.4">
      <c r="A1357" t="str">
        <f t="shared" si="37"/>
        <v/>
      </c>
    </row>
    <row r="1358" spans="1:1" x14ac:dyDescent="0.4">
      <c r="A1358" t="str">
        <f t="shared" si="37"/>
        <v/>
      </c>
    </row>
    <row r="1359" spans="1:1" x14ac:dyDescent="0.4">
      <c r="A1359" t="str">
        <f t="shared" si="37"/>
        <v/>
      </c>
    </row>
    <row r="1360" spans="1:1" x14ac:dyDescent="0.4">
      <c r="A1360" t="str">
        <f t="shared" si="37"/>
        <v/>
      </c>
    </row>
    <row r="1361" spans="1:1" x14ac:dyDescent="0.4">
      <c r="A1361" t="str">
        <f t="shared" si="37"/>
        <v/>
      </c>
    </row>
    <row r="1362" spans="1:1" x14ac:dyDescent="0.4">
      <c r="A1362" t="str">
        <f t="shared" si="37"/>
        <v/>
      </c>
    </row>
    <row r="1363" spans="1:1" x14ac:dyDescent="0.4">
      <c r="A1363" t="str">
        <f t="shared" si="37"/>
        <v/>
      </c>
    </row>
    <row r="1364" spans="1:1" x14ac:dyDescent="0.4">
      <c r="A1364" t="str">
        <f t="shared" si="37"/>
        <v/>
      </c>
    </row>
    <row r="1365" spans="1:1" x14ac:dyDescent="0.4">
      <c r="A1365" t="str">
        <f t="shared" si="37"/>
        <v/>
      </c>
    </row>
    <row r="1366" spans="1:1" x14ac:dyDescent="0.4">
      <c r="A1366" t="str">
        <f t="shared" si="37"/>
        <v/>
      </c>
    </row>
    <row r="1367" spans="1:1" x14ac:dyDescent="0.4">
      <c r="A1367" t="str">
        <f t="shared" si="37"/>
        <v/>
      </c>
    </row>
    <row r="1368" spans="1:1" x14ac:dyDescent="0.4">
      <c r="A1368" t="str">
        <f t="shared" si="37"/>
        <v/>
      </c>
    </row>
    <row r="1369" spans="1:1" x14ac:dyDescent="0.4">
      <c r="A1369" t="str">
        <f t="shared" si="37"/>
        <v/>
      </c>
    </row>
    <row r="1370" spans="1:1" x14ac:dyDescent="0.4">
      <c r="A1370" t="str">
        <f t="shared" si="37"/>
        <v/>
      </c>
    </row>
    <row r="1371" spans="1:1" x14ac:dyDescent="0.4">
      <c r="A1371" t="str">
        <f t="shared" si="37"/>
        <v/>
      </c>
    </row>
    <row r="1372" spans="1:1" x14ac:dyDescent="0.4">
      <c r="A1372" t="str">
        <f t="shared" si="37"/>
        <v/>
      </c>
    </row>
    <row r="1373" spans="1:1" x14ac:dyDescent="0.4">
      <c r="A1373" t="str">
        <f t="shared" si="37"/>
        <v/>
      </c>
    </row>
    <row r="1374" spans="1:1" x14ac:dyDescent="0.4">
      <c r="A1374" t="str">
        <f t="shared" si="37"/>
        <v/>
      </c>
    </row>
    <row r="1375" spans="1:1" x14ac:dyDescent="0.4">
      <c r="A1375" t="str">
        <f t="shared" si="37"/>
        <v/>
      </c>
    </row>
    <row r="1376" spans="1:1" x14ac:dyDescent="0.4">
      <c r="A1376" t="str">
        <f t="shared" si="37"/>
        <v/>
      </c>
    </row>
    <row r="1377" spans="1:1" x14ac:dyDescent="0.4">
      <c r="A1377" t="str">
        <f t="shared" si="37"/>
        <v/>
      </c>
    </row>
    <row r="1378" spans="1:1" x14ac:dyDescent="0.4">
      <c r="A1378" t="str">
        <f t="shared" si="37"/>
        <v/>
      </c>
    </row>
    <row r="1379" spans="1:1" x14ac:dyDescent="0.4">
      <c r="A1379" t="str">
        <f t="shared" si="37"/>
        <v/>
      </c>
    </row>
    <row r="1380" spans="1:1" x14ac:dyDescent="0.4">
      <c r="A1380" t="str">
        <f t="shared" si="37"/>
        <v/>
      </c>
    </row>
    <row r="1381" spans="1:1" x14ac:dyDescent="0.4">
      <c r="A1381" t="str">
        <f t="shared" si="37"/>
        <v/>
      </c>
    </row>
    <row r="1382" spans="1:1" x14ac:dyDescent="0.4">
      <c r="A1382" t="str">
        <f t="shared" si="37"/>
        <v/>
      </c>
    </row>
    <row r="1383" spans="1:1" x14ac:dyDescent="0.4">
      <c r="A1383" t="str">
        <f t="shared" si="37"/>
        <v/>
      </c>
    </row>
    <row r="1384" spans="1:1" x14ac:dyDescent="0.4">
      <c r="A1384" t="str">
        <f t="shared" si="37"/>
        <v/>
      </c>
    </row>
    <row r="1385" spans="1:1" x14ac:dyDescent="0.4">
      <c r="A1385" t="str">
        <f t="shared" si="37"/>
        <v/>
      </c>
    </row>
    <row r="1386" spans="1:1" x14ac:dyDescent="0.4">
      <c r="A1386" t="str">
        <f t="shared" si="37"/>
        <v/>
      </c>
    </row>
    <row r="1387" spans="1:1" x14ac:dyDescent="0.4">
      <c r="A1387" t="str">
        <f t="shared" si="37"/>
        <v/>
      </c>
    </row>
    <row r="1388" spans="1:1" x14ac:dyDescent="0.4">
      <c r="A1388" t="str">
        <f t="shared" si="37"/>
        <v/>
      </c>
    </row>
    <row r="1389" spans="1:1" x14ac:dyDescent="0.4">
      <c r="A1389" t="str">
        <f t="shared" si="37"/>
        <v/>
      </c>
    </row>
    <row r="1390" spans="1:1" x14ac:dyDescent="0.4">
      <c r="A1390" t="str">
        <f t="shared" si="37"/>
        <v/>
      </c>
    </row>
    <row r="1391" spans="1:1" x14ac:dyDescent="0.4">
      <c r="A1391" t="str">
        <f t="shared" si="37"/>
        <v/>
      </c>
    </row>
    <row r="1392" spans="1:1" x14ac:dyDescent="0.4">
      <c r="A1392" t="str">
        <f t="shared" si="37"/>
        <v/>
      </c>
    </row>
    <row r="1393" spans="1:1" x14ac:dyDescent="0.4">
      <c r="A1393" t="str">
        <f t="shared" si="37"/>
        <v/>
      </c>
    </row>
    <row r="1394" spans="1:1" x14ac:dyDescent="0.4">
      <c r="A1394" t="str">
        <f t="shared" si="37"/>
        <v/>
      </c>
    </row>
    <row r="1395" spans="1:1" x14ac:dyDescent="0.4">
      <c r="A1395" t="str">
        <f t="shared" si="37"/>
        <v/>
      </c>
    </row>
    <row r="1396" spans="1:1" x14ac:dyDescent="0.4">
      <c r="A1396" t="str">
        <f t="shared" si="37"/>
        <v/>
      </c>
    </row>
    <row r="1397" spans="1:1" x14ac:dyDescent="0.4">
      <c r="A1397" t="str">
        <f t="shared" si="37"/>
        <v/>
      </c>
    </row>
    <row r="1398" spans="1:1" x14ac:dyDescent="0.4">
      <c r="A1398" t="str">
        <f t="shared" si="37"/>
        <v/>
      </c>
    </row>
    <row r="1399" spans="1:1" x14ac:dyDescent="0.4">
      <c r="A1399" t="str">
        <f t="shared" si="37"/>
        <v/>
      </c>
    </row>
    <row r="1400" spans="1:1" x14ac:dyDescent="0.4">
      <c r="A1400" t="str">
        <f t="shared" si="37"/>
        <v/>
      </c>
    </row>
    <row r="1401" spans="1:1" x14ac:dyDescent="0.4">
      <c r="A1401" t="str">
        <f t="shared" si="37"/>
        <v/>
      </c>
    </row>
    <row r="1402" spans="1:1" x14ac:dyDescent="0.4">
      <c r="A1402" t="str">
        <f t="shared" si="37"/>
        <v/>
      </c>
    </row>
    <row r="1403" spans="1:1" x14ac:dyDescent="0.4">
      <c r="A1403" t="str">
        <f t="shared" si="37"/>
        <v/>
      </c>
    </row>
    <row r="1404" spans="1:1" x14ac:dyDescent="0.4">
      <c r="A1404" t="str">
        <f t="shared" si="37"/>
        <v/>
      </c>
    </row>
    <row r="1405" spans="1:1" x14ac:dyDescent="0.4">
      <c r="A1405" t="str">
        <f t="shared" si="37"/>
        <v/>
      </c>
    </row>
    <row r="1406" spans="1:1" x14ac:dyDescent="0.4">
      <c r="A1406" t="str">
        <f t="shared" si="37"/>
        <v/>
      </c>
    </row>
    <row r="1407" spans="1:1" x14ac:dyDescent="0.4">
      <c r="A1407" t="str">
        <f t="shared" si="37"/>
        <v/>
      </c>
    </row>
    <row r="1408" spans="1:1" x14ac:dyDescent="0.4">
      <c r="A1408" t="str">
        <f t="shared" si="37"/>
        <v/>
      </c>
    </row>
    <row r="1409" spans="1:1" x14ac:dyDescent="0.4">
      <c r="A1409" t="str">
        <f t="shared" si="37"/>
        <v/>
      </c>
    </row>
    <row r="1410" spans="1:1" x14ac:dyDescent="0.4">
      <c r="A1410" t="str">
        <f t="shared" si="37"/>
        <v/>
      </c>
    </row>
    <row r="1411" spans="1:1" x14ac:dyDescent="0.4">
      <c r="A1411" t="str">
        <f t="shared" si="37"/>
        <v/>
      </c>
    </row>
    <row r="1412" spans="1:1" x14ac:dyDescent="0.4">
      <c r="A1412" t="str">
        <f t="shared" si="37"/>
        <v/>
      </c>
    </row>
    <row r="1413" spans="1:1" x14ac:dyDescent="0.4">
      <c r="A1413" t="str">
        <f t="shared" si="37"/>
        <v/>
      </c>
    </row>
    <row r="1414" spans="1:1" x14ac:dyDescent="0.4">
      <c r="A1414" t="str">
        <f t="shared" si="37"/>
        <v/>
      </c>
    </row>
    <row r="1415" spans="1:1" x14ac:dyDescent="0.4">
      <c r="A1415" t="str">
        <f t="shared" ref="A1415:A1478" si="38">RIGHT(B1415,12)</f>
        <v/>
      </c>
    </row>
    <row r="1416" spans="1:1" x14ac:dyDescent="0.4">
      <c r="A1416" t="str">
        <f t="shared" si="38"/>
        <v/>
      </c>
    </row>
    <row r="1417" spans="1:1" x14ac:dyDescent="0.4">
      <c r="A1417" t="str">
        <f t="shared" si="38"/>
        <v/>
      </c>
    </row>
    <row r="1418" spans="1:1" x14ac:dyDescent="0.4">
      <c r="A1418" t="str">
        <f t="shared" si="38"/>
        <v/>
      </c>
    </row>
    <row r="1419" spans="1:1" x14ac:dyDescent="0.4">
      <c r="A1419" t="str">
        <f t="shared" si="38"/>
        <v/>
      </c>
    </row>
    <row r="1420" spans="1:1" x14ac:dyDescent="0.4">
      <c r="A1420" t="str">
        <f t="shared" si="38"/>
        <v/>
      </c>
    </row>
    <row r="1421" spans="1:1" x14ac:dyDescent="0.4">
      <c r="A1421" t="str">
        <f t="shared" si="38"/>
        <v/>
      </c>
    </row>
    <row r="1422" spans="1:1" x14ac:dyDescent="0.4">
      <c r="A1422" t="str">
        <f t="shared" si="38"/>
        <v/>
      </c>
    </row>
    <row r="1423" spans="1:1" x14ac:dyDescent="0.4">
      <c r="A1423" t="str">
        <f t="shared" si="38"/>
        <v/>
      </c>
    </row>
    <row r="1424" spans="1:1" x14ac:dyDescent="0.4">
      <c r="A1424" t="str">
        <f t="shared" si="38"/>
        <v/>
      </c>
    </row>
    <row r="1425" spans="1:1" x14ac:dyDescent="0.4">
      <c r="A1425" t="str">
        <f t="shared" si="38"/>
        <v/>
      </c>
    </row>
    <row r="1426" spans="1:1" x14ac:dyDescent="0.4">
      <c r="A1426" t="str">
        <f t="shared" si="38"/>
        <v/>
      </c>
    </row>
    <row r="1427" spans="1:1" x14ac:dyDescent="0.4">
      <c r="A1427" t="str">
        <f t="shared" si="38"/>
        <v/>
      </c>
    </row>
    <row r="1428" spans="1:1" x14ac:dyDescent="0.4">
      <c r="A1428" t="str">
        <f t="shared" si="38"/>
        <v/>
      </c>
    </row>
    <row r="1429" spans="1:1" x14ac:dyDescent="0.4">
      <c r="A1429" t="str">
        <f t="shared" si="38"/>
        <v/>
      </c>
    </row>
    <row r="1430" spans="1:1" x14ac:dyDescent="0.4">
      <c r="A1430" t="str">
        <f t="shared" si="38"/>
        <v/>
      </c>
    </row>
    <row r="1431" spans="1:1" x14ac:dyDescent="0.4">
      <c r="A1431" t="str">
        <f t="shared" si="38"/>
        <v/>
      </c>
    </row>
    <row r="1432" spans="1:1" x14ac:dyDescent="0.4">
      <c r="A1432" t="str">
        <f t="shared" si="38"/>
        <v/>
      </c>
    </row>
    <row r="1433" spans="1:1" x14ac:dyDescent="0.4">
      <c r="A1433" t="str">
        <f t="shared" si="38"/>
        <v/>
      </c>
    </row>
    <row r="1434" spans="1:1" x14ac:dyDescent="0.4">
      <c r="A1434" t="str">
        <f t="shared" si="38"/>
        <v/>
      </c>
    </row>
    <row r="1435" spans="1:1" x14ac:dyDescent="0.4">
      <c r="A1435" t="str">
        <f t="shared" si="38"/>
        <v/>
      </c>
    </row>
    <row r="1436" spans="1:1" x14ac:dyDescent="0.4">
      <c r="A1436" t="str">
        <f t="shared" si="38"/>
        <v/>
      </c>
    </row>
    <row r="1437" spans="1:1" x14ac:dyDescent="0.4">
      <c r="A1437" t="str">
        <f t="shared" si="38"/>
        <v/>
      </c>
    </row>
    <row r="1438" spans="1:1" x14ac:dyDescent="0.4">
      <c r="A1438" t="str">
        <f t="shared" si="38"/>
        <v/>
      </c>
    </row>
    <row r="1439" spans="1:1" x14ac:dyDescent="0.4">
      <c r="A1439" t="str">
        <f t="shared" si="38"/>
        <v/>
      </c>
    </row>
    <row r="1440" spans="1:1" x14ac:dyDescent="0.4">
      <c r="A1440" t="str">
        <f t="shared" si="38"/>
        <v/>
      </c>
    </row>
    <row r="1441" spans="1:1" x14ac:dyDescent="0.4">
      <c r="A1441" t="str">
        <f t="shared" si="38"/>
        <v/>
      </c>
    </row>
    <row r="1442" spans="1:1" x14ac:dyDescent="0.4">
      <c r="A1442" t="str">
        <f t="shared" si="38"/>
        <v/>
      </c>
    </row>
    <row r="1443" spans="1:1" x14ac:dyDescent="0.4">
      <c r="A1443" t="str">
        <f t="shared" si="38"/>
        <v/>
      </c>
    </row>
    <row r="1444" spans="1:1" x14ac:dyDescent="0.4">
      <c r="A1444" t="str">
        <f t="shared" si="38"/>
        <v/>
      </c>
    </row>
    <row r="1445" spans="1:1" x14ac:dyDescent="0.4">
      <c r="A1445" t="str">
        <f t="shared" si="38"/>
        <v/>
      </c>
    </row>
    <row r="1446" spans="1:1" x14ac:dyDescent="0.4">
      <c r="A1446" t="str">
        <f t="shared" si="38"/>
        <v/>
      </c>
    </row>
    <row r="1447" spans="1:1" x14ac:dyDescent="0.4">
      <c r="A1447" t="str">
        <f t="shared" si="38"/>
        <v/>
      </c>
    </row>
    <row r="1448" spans="1:1" x14ac:dyDescent="0.4">
      <c r="A1448" t="str">
        <f t="shared" si="38"/>
        <v/>
      </c>
    </row>
    <row r="1449" spans="1:1" x14ac:dyDescent="0.4">
      <c r="A1449" t="str">
        <f t="shared" si="38"/>
        <v/>
      </c>
    </row>
    <row r="1450" spans="1:1" x14ac:dyDescent="0.4">
      <c r="A1450" t="str">
        <f t="shared" si="38"/>
        <v/>
      </c>
    </row>
    <row r="1451" spans="1:1" x14ac:dyDescent="0.4">
      <c r="A1451" t="str">
        <f t="shared" si="38"/>
        <v/>
      </c>
    </row>
    <row r="1452" spans="1:1" x14ac:dyDescent="0.4">
      <c r="A1452" t="str">
        <f t="shared" si="38"/>
        <v/>
      </c>
    </row>
    <row r="1453" spans="1:1" x14ac:dyDescent="0.4">
      <c r="A1453" t="str">
        <f t="shared" si="38"/>
        <v/>
      </c>
    </row>
    <row r="1454" spans="1:1" x14ac:dyDescent="0.4">
      <c r="A1454" t="str">
        <f t="shared" si="38"/>
        <v/>
      </c>
    </row>
    <row r="1455" spans="1:1" x14ac:dyDescent="0.4">
      <c r="A1455" t="str">
        <f t="shared" si="38"/>
        <v/>
      </c>
    </row>
    <row r="1456" spans="1:1" x14ac:dyDescent="0.4">
      <c r="A1456" t="str">
        <f t="shared" si="38"/>
        <v/>
      </c>
    </row>
    <row r="1457" spans="1:1" x14ac:dyDescent="0.4">
      <c r="A1457" t="str">
        <f t="shared" si="38"/>
        <v/>
      </c>
    </row>
    <row r="1458" spans="1:1" x14ac:dyDescent="0.4">
      <c r="A1458" t="str">
        <f t="shared" si="38"/>
        <v/>
      </c>
    </row>
    <row r="1459" spans="1:1" x14ac:dyDescent="0.4">
      <c r="A1459" t="str">
        <f t="shared" si="38"/>
        <v/>
      </c>
    </row>
    <row r="1460" spans="1:1" x14ac:dyDescent="0.4">
      <c r="A1460" t="str">
        <f t="shared" si="38"/>
        <v/>
      </c>
    </row>
    <row r="1461" spans="1:1" x14ac:dyDescent="0.4">
      <c r="A1461" t="str">
        <f t="shared" si="38"/>
        <v/>
      </c>
    </row>
    <row r="1462" spans="1:1" x14ac:dyDescent="0.4">
      <c r="A1462" t="str">
        <f t="shared" si="38"/>
        <v/>
      </c>
    </row>
    <row r="1463" spans="1:1" x14ac:dyDescent="0.4">
      <c r="A1463" t="str">
        <f t="shared" si="38"/>
        <v/>
      </c>
    </row>
    <row r="1464" spans="1:1" x14ac:dyDescent="0.4">
      <c r="A1464" t="str">
        <f t="shared" si="38"/>
        <v/>
      </c>
    </row>
    <row r="1465" spans="1:1" x14ac:dyDescent="0.4">
      <c r="A1465" t="str">
        <f t="shared" si="38"/>
        <v/>
      </c>
    </row>
    <row r="1466" spans="1:1" x14ac:dyDescent="0.4">
      <c r="A1466" t="str">
        <f t="shared" si="38"/>
        <v/>
      </c>
    </row>
    <row r="1467" spans="1:1" x14ac:dyDescent="0.4">
      <c r="A1467" t="str">
        <f t="shared" si="38"/>
        <v/>
      </c>
    </row>
    <row r="1468" spans="1:1" x14ac:dyDescent="0.4">
      <c r="A1468" t="str">
        <f t="shared" si="38"/>
        <v/>
      </c>
    </row>
    <row r="1469" spans="1:1" x14ac:dyDescent="0.4">
      <c r="A1469" t="str">
        <f t="shared" si="38"/>
        <v/>
      </c>
    </row>
    <row r="1470" spans="1:1" x14ac:dyDescent="0.4">
      <c r="A1470" t="str">
        <f t="shared" si="38"/>
        <v/>
      </c>
    </row>
    <row r="1471" spans="1:1" x14ac:dyDescent="0.4">
      <c r="A1471" t="str">
        <f t="shared" si="38"/>
        <v/>
      </c>
    </row>
    <row r="1472" spans="1:1" x14ac:dyDescent="0.4">
      <c r="A1472" t="str">
        <f t="shared" si="38"/>
        <v/>
      </c>
    </row>
    <row r="1473" spans="1:1" x14ac:dyDescent="0.4">
      <c r="A1473" t="str">
        <f t="shared" si="38"/>
        <v/>
      </c>
    </row>
    <row r="1474" spans="1:1" x14ac:dyDescent="0.4">
      <c r="A1474" t="str">
        <f t="shared" si="38"/>
        <v/>
      </c>
    </row>
    <row r="1475" spans="1:1" x14ac:dyDescent="0.4">
      <c r="A1475" t="str">
        <f t="shared" si="38"/>
        <v/>
      </c>
    </row>
    <row r="1476" spans="1:1" x14ac:dyDescent="0.4">
      <c r="A1476" t="str">
        <f t="shared" si="38"/>
        <v/>
      </c>
    </row>
    <row r="1477" spans="1:1" x14ac:dyDescent="0.4">
      <c r="A1477" t="str">
        <f t="shared" si="38"/>
        <v/>
      </c>
    </row>
    <row r="1478" spans="1:1" x14ac:dyDescent="0.4">
      <c r="A1478" t="str">
        <f t="shared" si="38"/>
        <v/>
      </c>
    </row>
    <row r="1479" spans="1:1" x14ac:dyDescent="0.4">
      <c r="A1479" t="str">
        <f t="shared" ref="A1479:A1542" si="39">RIGHT(B1479,12)</f>
        <v/>
      </c>
    </row>
    <row r="1480" spans="1:1" x14ac:dyDescent="0.4">
      <c r="A1480" t="str">
        <f t="shared" si="39"/>
        <v/>
      </c>
    </row>
    <row r="1481" spans="1:1" x14ac:dyDescent="0.4">
      <c r="A1481" t="str">
        <f t="shared" si="39"/>
        <v/>
      </c>
    </row>
    <row r="1482" spans="1:1" x14ac:dyDescent="0.4">
      <c r="A1482" t="str">
        <f t="shared" si="39"/>
        <v/>
      </c>
    </row>
    <row r="1483" spans="1:1" x14ac:dyDescent="0.4">
      <c r="A1483" t="str">
        <f t="shared" si="39"/>
        <v/>
      </c>
    </row>
    <row r="1484" spans="1:1" x14ac:dyDescent="0.4">
      <c r="A1484" t="str">
        <f t="shared" si="39"/>
        <v/>
      </c>
    </row>
    <row r="1485" spans="1:1" x14ac:dyDescent="0.4">
      <c r="A1485" t="str">
        <f t="shared" si="39"/>
        <v/>
      </c>
    </row>
    <row r="1486" spans="1:1" x14ac:dyDescent="0.4">
      <c r="A1486" t="str">
        <f t="shared" si="39"/>
        <v/>
      </c>
    </row>
    <row r="1487" spans="1:1" x14ac:dyDescent="0.4">
      <c r="A1487" t="str">
        <f t="shared" si="39"/>
        <v/>
      </c>
    </row>
    <row r="1488" spans="1:1" x14ac:dyDescent="0.4">
      <c r="A1488" t="str">
        <f t="shared" si="39"/>
        <v/>
      </c>
    </row>
    <row r="1489" spans="1:1" x14ac:dyDescent="0.4">
      <c r="A1489" t="str">
        <f t="shared" si="39"/>
        <v/>
      </c>
    </row>
    <row r="1490" spans="1:1" x14ac:dyDescent="0.4">
      <c r="A1490" t="str">
        <f t="shared" si="39"/>
        <v/>
      </c>
    </row>
    <row r="1491" spans="1:1" x14ac:dyDescent="0.4">
      <c r="A1491" t="str">
        <f t="shared" si="39"/>
        <v/>
      </c>
    </row>
    <row r="1492" spans="1:1" x14ac:dyDescent="0.4">
      <c r="A1492" t="str">
        <f t="shared" si="39"/>
        <v/>
      </c>
    </row>
    <row r="1493" spans="1:1" x14ac:dyDescent="0.4">
      <c r="A1493" t="str">
        <f t="shared" si="39"/>
        <v/>
      </c>
    </row>
    <row r="1494" spans="1:1" x14ac:dyDescent="0.4">
      <c r="A1494" t="str">
        <f t="shared" si="39"/>
        <v/>
      </c>
    </row>
    <row r="1495" spans="1:1" x14ac:dyDescent="0.4">
      <c r="A1495" t="str">
        <f t="shared" si="39"/>
        <v/>
      </c>
    </row>
    <row r="1496" spans="1:1" x14ac:dyDescent="0.4">
      <c r="A1496" t="str">
        <f t="shared" si="39"/>
        <v/>
      </c>
    </row>
    <row r="1497" spans="1:1" x14ac:dyDescent="0.4">
      <c r="A1497" t="str">
        <f t="shared" si="39"/>
        <v/>
      </c>
    </row>
    <row r="1498" spans="1:1" x14ac:dyDescent="0.4">
      <c r="A1498" t="str">
        <f t="shared" si="39"/>
        <v/>
      </c>
    </row>
    <row r="1499" spans="1:1" x14ac:dyDescent="0.4">
      <c r="A1499" t="str">
        <f t="shared" si="39"/>
        <v/>
      </c>
    </row>
    <row r="1500" spans="1:1" x14ac:dyDescent="0.4">
      <c r="A1500" t="str">
        <f t="shared" si="39"/>
        <v/>
      </c>
    </row>
    <row r="1501" spans="1:1" x14ac:dyDescent="0.4">
      <c r="A1501" t="str">
        <f t="shared" si="39"/>
        <v/>
      </c>
    </row>
    <row r="1502" spans="1:1" x14ac:dyDescent="0.4">
      <c r="A1502" t="str">
        <f t="shared" si="39"/>
        <v/>
      </c>
    </row>
    <row r="1503" spans="1:1" x14ac:dyDescent="0.4">
      <c r="A1503" t="str">
        <f t="shared" si="39"/>
        <v/>
      </c>
    </row>
    <row r="1504" spans="1:1" x14ac:dyDescent="0.4">
      <c r="A1504" t="str">
        <f t="shared" si="39"/>
        <v/>
      </c>
    </row>
    <row r="1505" spans="1:1" x14ac:dyDescent="0.4">
      <c r="A1505" t="str">
        <f t="shared" si="39"/>
        <v/>
      </c>
    </row>
    <row r="1506" spans="1:1" x14ac:dyDescent="0.4">
      <c r="A1506" t="str">
        <f t="shared" si="39"/>
        <v/>
      </c>
    </row>
    <row r="1507" spans="1:1" x14ac:dyDescent="0.4">
      <c r="A1507" t="str">
        <f t="shared" si="39"/>
        <v/>
      </c>
    </row>
    <row r="1508" spans="1:1" x14ac:dyDescent="0.4">
      <c r="A1508" t="str">
        <f t="shared" si="39"/>
        <v/>
      </c>
    </row>
    <row r="1509" spans="1:1" x14ac:dyDescent="0.4">
      <c r="A1509" t="str">
        <f t="shared" si="39"/>
        <v/>
      </c>
    </row>
    <row r="1510" spans="1:1" x14ac:dyDescent="0.4">
      <c r="A1510" t="str">
        <f t="shared" si="39"/>
        <v/>
      </c>
    </row>
    <row r="1511" spans="1:1" x14ac:dyDescent="0.4">
      <c r="A1511" t="str">
        <f t="shared" si="39"/>
        <v/>
      </c>
    </row>
    <row r="1512" spans="1:1" x14ac:dyDescent="0.4">
      <c r="A1512" t="str">
        <f t="shared" si="39"/>
        <v/>
      </c>
    </row>
    <row r="1513" spans="1:1" x14ac:dyDescent="0.4">
      <c r="A1513" t="str">
        <f t="shared" si="39"/>
        <v/>
      </c>
    </row>
    <row r="1514" spans="1:1" x14ac:dyDescent="0.4">
      <c r="A1514" t="str">
        <f t="shared" si="39"/>
        <v/>
      </c>
    </row>
    <row r="1515" spans="1:1" x14ac:dyDescent="0.4">
      <c r="A1515" t="str">
        <f t="shared" si="39"/>
        <v/>
      </c>
    </row>
    <row r="1516" spans="1:1" x14ac:dyDescent="0.4">
      <c r="A1516" t="str">
        <f t="shared" si="39"/>
        <v/>
      </c>
    </row>
    <row r="1517" spans="1:1" x14ac:dyDescent="0.4">
      <c r="A1517" t="str">
        <f t="shared" si="39"/>
        <v/>
      </c>
    </row>
    <row r="1518" spans="1:1" x14ac:dyDescent="0.4">
      <c r="A1518" t="str">
        <f t="shared" si="39"/>
        <v/>
      </c>
    </row>
    <row r="1519" spans="1:1" x14ac:dyDescent="0.4">
      <c r="A1519" t="str">
        <f t="shared" si="39"/>
        <v/>
      </c>
    </row>
    <row r="1520" spans="1:1" x14ac:dyDescent="0.4">
      <c r="A1520" t="str">
        <f t="shared" si="39"/>
        <v/>
      </c>
    </row>
    <row r="1521" spans="1:1" x14ac:dyDescent="0.4">
      <c r="A1521" t="str">
        <f t="shared" si="39"/>
        <v/>
      </c>
    </row>
    <row r="1522" spans="1:1" x14ac:dyDescent="0.4">
      <c r="A1522" t="str">
        <f t="shared" si="39"/>
        <v/>
      </c>
    </row>
    <row r="1523" spans="1:1" x14ac:dyDescent="0.4">
      <c r="A1523" t="str">
        <f t="shared" si="39"/>
        <v/>
      </c>
    </row>
    <row r="1524" spans="1:1" x14ac:dyDescent="0.4">
      <c r="A1524" t="str">
        <f t="shared" si="39"/>
        <v/>
      </c>
    </row>
    <row r="1525" spans="1:1" x14ac:dyDescent="0.4">
      <c r="A1525" t="str">
        <f t="shared" si="39"/>
        <v/>
      </c>
    </row>
    <row r="1526" spans="1:1" x14ac:dyDescent="0.4">
      <c r="A1526" t="str">
        <f t="shared" si="39"/>
        <v/>
      </c>
    </row>
    <row r="1527" spans="1:1" x14ac:dyDescent="0.4">
      <c r="A1527" t="str">
        <f t="shared" si="39"/>
        <v/>
      </c>
    </row>
    <row r="1528" spans="1:1" x14ac:dyDescent="0.4">
      <c r="A1528" t="str">
        <f t="shared" si="39"/>
        <v/>
      </c>
    </row>
    <row r="1529" spans="1:1" x14ac:dyDescent="0.4">
      <c r="A1529" t="str">
        <f t="shared" si="39"/>
        <v/>
      </c>
    </row>
    <row r="1530" spans="1:1" x14ac:dyDescent="0.4">
      <c r="A1530" t="str">
        <f t="shared" si="39"/>
        <v/>
      </c>
    </row>
    <row r="1531" spans="1:1" x14ac:dyDescent="0.4">
      <c r="A1531" t="str">
        <f t="shared" si="39"/>
        <v/>
      </c>
    </row>
    <row r="1532" spans="1:1" x14ac:dyDescent="0.4">
      <c r="A1532" t="str">
        <f t="shared" si="39"/>
        <v/>
      </c>
    </row>
    <row r="1533" spans="1:1" x14ac:dyDescent="0.4">
      <c r="A1533" t="str">
        <f t="shared" si="39"/>
        <v/>
      </c>
    </row>
    <row r="1534" spans="1:1" x14ac:dyDescent="0.4">
      <c r="A1534" t="str">
        <f t="shared" si="39"/>
        <v/>
      </c>
    </row>
    <row r="1535" spans="1:1" x14ac:dyDescent="0.4">
      <c r="A1535" t="str">
        <f t="shared" si="39"/>
        <v/>
      </c>
    </row>
    <row r="1536" spans="1:1" x14ac:dyDescent="0.4">
      <c r="A1536" t="str">
        <f t="shared" si="39"/>
        <v/>
      </c>
    </row>
    <row r="1537" spans="1:1" x14ac:dyDescent="0.4">
      <c r="A1537" t="str">
        <f t="shared" si="39"/>
        <v/>
      </c>
    </row>
    <row r="1538" spans="1:1" x14ac:dyDescent="0.4">
      <c r="A1538" t="str">
        <f t="shared" si="39"/>
        <v/>
      </c>
    </row>
    <row r="1539" spans="1:1" x14ac:dyDescent="0.4">
      <c r="A1539" t="str">
        <f t="shared" si="39"/>
        <v/>
      </c>
    </row>
    <row r="1540" spans="1:1" x14ac:dyDescent="0.4">
      <c r="A1540" t="str">
        <f t="shared" si="39"/>
        <v/>
      </c>
    </row>
    <row r="1541" spans="1:1" x14ac:dyDescent="0.4">
      <c r="A1541" t="str">
        <f t="shared" si="39"/>
        <v/>
      </c>
    </row>
    <row r="1542" spans="1:1" x14ac:dyDescent="0.4">
      <c r="A1542" t="str">
        <f t="shared" si="39"/>
        <v/>
      </c>
    </row>
    <row r="1543" spans="1:1" x14ac:dyDescent="0.4">
      <c r="A1543" t="str">
        <f t="shared" ref="A1543:A1606" si="40">RIGHT(B1543,12)</f>
        <v/>
      </c>
    </row>
    <row r="1544" spans="1:1" x14ac:dyDescent="0.4">
      <c r="A1544" t="str">
        <f t="shared" si="40"/>
        <v/>
      </c>
    </row>
    <row r="1545" spans="1:1" x14ac:dyDescent="0.4">
      <c r="A1545" t="str">
        <f t="shared" si="40"/>
        <v/>
      </c>
    </row>
    <row r="1546" spans="1:1" x14ac:dyDescent="0.4">
      <c r="A1546" t="str">
        <f t="shared" si="40"/>
        <v/>
      </c>
    </row>
    <row r="1547" spans="1:1" x14ac:dyDescent="0.4">
      <c r="A1547" t="str">
        <f t="shared" si="40"/>
        <v/>
      </c>
    </row>
    <row r="1548" spans="1:1" x14ac:dyDescent="0.4">
      <c r="A1548" t="str">
        <f t="shared" si="40"/>
        <v/>
      </c>
    </row>
    <row r="1549" spans="1:1" x14ac:dyDescent="0.4">
      <c r="A1549" t="str">
        <f t="shared" si="40"/>
        <v/>
      </c>
    </row>
    <row r="1550" spans="1:1" x14ac:dyDescent="0.4">
      <c r="A1550" t="str">
        <f t="shared" si="40"/>
        <v/>
      </c>
    </row>
    <row r="1551" spans="1:1" x14ac:dyDescent="0.4">
      <c r="A1551" t="str">
        <f t="shared" si="40"/>
        <v/>
      </c>
    </row>
    <row r="1552" spans="1:1" x14ac:dyDescent="0.4">
      <c r="A1552" t="str">
        <f t="shared" si="40"/>
        <v/>
      </c>
    </row>
    <row r="1553" spans="1:1" x14ac:dyDescent="0.4">
      <c r="A1553" t="str">
        <f t="shared" si="40"/>
        <v/>
      </c>
    </row>
    <row r="1554" spans="1:1" x14ac:dyDescent="0.4">
      <c r="A1554" t="str">
        <f t="shared" si="40"/>
        <v/>
      </c>
    </row>
    <row r="1555" spans="1:1" x14ac:dyDescent="0.4">
      <c r="A1555" t="str">
        <f t="shared" si="40"/>
        <v/>
      </c>
    </row>
    <row r="1556" spans="1:1" x14ac:dyDescent="0.4">
      <c r="A1556" t="str">
        <f t="shared" si="40"/>
        <v/>
      </c>
    </row>
    <row r="1557" spans="1:1" x14ac:dyDescent="0.4">
      <c r="A1557" t="str">
        <f t="shared" si="40"/>
        <v/>
      </c>
    </row>
    <row r="1558" spans="1:1" x14ac:dyDescent="0.4">
      <c r="A1558" t="str">
        <f t="shared" si="40"/>
        <v/>
      </c>
    </row>
    <row r="1559" spans="1:1" x14ac:dyDescent="0.4">
      <c r="A1559" t="str">
        <f t="shared" si="40"/>
        <v/>
      </c>
    </row>
    <row r="1560" spans="1:1" x14ac:dyDescent="0.4">
      <c r="A1560" t="str">
        <f t="shared" si="40"/>
        <v/>
      </c>
    </row>
    <row r="1561" spans="1:1" x14ac:dyDescent="0.4">
      <c r="A1561" t="str">
        <f t="shared" si="40"/>
        <v/>
      </c>
    </row>
    <row r="1562" spans="1:1" x14ac:dyDescent="0.4">
      <c r="A1562" t="str">
        <f t="shared" si="40"/>
        <v/>
      </c>
    </row>
    <row r="1563" spans="1:1" x14ac:dyDescent="0.4">
      <c r="A1563" t="str">
        <f t="shared" si="40"/>
        <v/>
      </c>
    </row>
    <row r="1564" spans="1:1" x14ac:dyDescent="0.4">
      <c r="A1564" t="str">
        <f t="shared" si="40"/>
        <v/>
      </c>
    </row>
    <row r="1565" spans="1:1" x14ac:dyDescent="0.4">
      <c r="A1565" t="str">
        <f t="shared" si="40"/>
        <v/>
      </c>
    </row>
    <row r="1566" spans="1:1" x14ac:dyDescent="0.4">
      <c r="A1566" t="str">
        <f t="shared" si="40"/>
        <v/>
      </c>
    </row>
    <row r="1567" spans="1:1" x14ac:dyDescent="0.4">
      <c r="A1567" t="str">
        <f t="shared" si="40"/>
        <v/>
      </c>
    </row>
    <row r="1568" spans="1:1" x14ac:dyDescent="0.4">
      <c r="A1568" t="str">
        <f t="shared" si="40"/>
        <v/>
      </c>
    </row>
    <row r="1569" spans="1:1" x14ac:dyDescent="0.4">
      <c r="A1569" t="str">
        <f t="shared" si="40"/>
        <v/>
      </c>
    </row>
    <row r="1570" spans="1:1" x14ac:dyDescent="0.4">
      <c r="A1570" t="str">
        <f t="shared" si="40"/>
        <v/>
      </c>
    </row>
    <row r="1571" spans="1:1" x14ac:dyDescent="0.4">
      <c r="A1571" t="str">
        <f t="shared" si="40"/>
        <v/>
      </c>
    </row>
    <row r="1572" spans="1:1" x14ac:dyDescent="0.4">
      <c r="A1572" t="str">
        <f t="shared" si="40"/>
        <v/>
      </c>
    </row>
    <row r="1573" spans="1:1" x14ac:dyDescent="0.4">
      <c r="A1573" t="str">
        <f t="shared" si="40"/>
        <v/>
      </c>
    </row>
    <row r="1574" spans="1:1" x14ac:dyDescent="0.4">
      <c r="A1574" t="str">
        <f t="shared" si="40"/>
        <v/>
      </c>
    </row>
    <row r="1575" spans="1:1" x14ac:dyDescent="0.4">
      <c r="A1575" t="str">
        <f t="shared" si="40"/>
        <v/>
      </c>
    </row>
    <row r="1576" spans="1:1" x14ac:dyDescent="0.4">
      <c r="A1576" t="str">
        <f t="shared" si="40"/>
        <v/>
      </c>
    </row>
    <row r="1577" spans="1:1" x14ac:dyDescent="0.4">
      <c r="A1577" t="str">
        <f t="shared" si="40"/>
        <v/>
      </c>
    </row>
    <row r="1578" spans="1:1" x14ac:dyDescent="0.4">
      <c r="A1578" t="str">
        <f t="shared" si="40"/>
        <v/>
      </c>
    </row>
    <row r="1579" spans="1:1" x14ac:dyDescent="0.4">
      <c r="A1579" t="str">
        <f t="shared" si="40"/>
        <v/>
      </c>
    </row>
    <row r="1580" spans="1:1" x14ac:dyDescent="0.4">
      <c r="A1580" t="str">
        <f t="shared" si="40"/>
        <v/>
      </c>
    </row>
    <row r="1581" spans="1:1" x14ac:dyDescent="0.4">
      <c r="A1581" t="str">
        <f t="shared" si="40"/>
        <v/>
      </c>
    </row>
    <row r="1582" spans="1:1" x14ac:dyDescent="0.4">
      <c r="A1582" t="str">
        <f t="shared" si="40"/>
        <v/>
      </c>
    </row>
    <row r="1583" spans="1:1" x14ac:dyDescent="0.4">
      <c r="A1583" t="str">
        <f t="shared" si="40"/>
        <v/>
      </c>
    </row>
    <row r="1584" spans="1:1" x14ac:dyDescent="0.4">
      <c r="A1584" t="str">
        <f t="shared" si="40"/>
        <v/>
      </c>
    </row>
    <row r="1585" spans="1:1" x14ac:dyDescent="0.4">
      <c r="A1585" t="str">
        <f t="shared" si="40"/>
        <v/>
      </c>
    </row>
    <row r="1586" spans="1:1" x14ac:dyDescent="0.4">
      <c r="A1586" t="str">
        <f t="shared" si="40"/>
        <v/>
      </c>
    </row>
    <row r="1587" spans="1:1" x14ac:dyDescent="0.4">
      <c r="A1587" t="str">
        <f t="shared" si="40"/>
        <v/>
      </c>
    </row>
    <row r="1588" spans="1:1" x14ac:dyDescent="0.4">
      <c r="A1588" t="str">
        <f t="shared" si="40"/>
        <v/>
      </c>
    </row>
    <row r="1589" spans="1:1" x14ac:dyDescent="0.4">
      <c r="A1589" t="str">
        <f t="shared" si="40"/>
        <v/>
      </c>
    </row>
    <row r="1590" spans="1:1" x14ac:dyDescent="0.4">
      <c r="A1590" t="str">
        <f t="shared" si="40"/>
        <v/>
      </c>
    </row>
    <row r="1591" spans="1:1" x14ac:dyDescent="0.4">
      <c r="A1591" t="str">
        <f t="shared" si="40"/>
        <v/>
      </c>
    </row>
    <row r="1592" spans="1:1" x14ac:dyDescent="0.4">
      <c r="A1592" t="str">
        <f t="shared" si="40"/>
        <v/>
      </c>
    </row>
    <row r="1593" spans="1:1" x14ac:dyDescent="0.4">
      <c r="A1593" t="str">
        <f t="shared" si="40"/>
        <v/>
      </c>
    </row>
    <row r="1594" spans="1:1" x14ac:dyDescent="0.4">
      <c r="A1594" t="str">
        <f t="shared" si="40"/>
        <v/>
      </c>
    </row>
    <row r="1595" spans="1:1" x14ac:dyDescent="0.4">
      <c r="A1595" t="str">
        <f t="shared" si="40"/>
        <v/>
      </c>
    </row>
    <row r="1596" spans="1:1" x14ac:dyDescent="0.4">
      <c r="A1596" t="str">
        <f t="shared" si="40"/>
        <v/>
      </c>
    </row>
    <row r="1597" spans="1:1" x14ac:dyDescent="0.4">
      <c r="A1597" t="str">
        <f t="shared" si="40"/>
        <v/>
      </c>
    </row>
    <row r="1598" spans="1:1" x14ac:dyDescent="0.4">
      <c r="A1598" t="str">
        <f t="shared" si="40"/>
        <v/>
      </c>
    </row>
    <row r="1599" spans="1:1" x14ac:dyDescent="0.4">
      <c r="A1599" t="str">
        <f t="shared" si="40"/>
        <v/>
      </c>
    </row>
    <row r="1600" spans="1:1" x14ac:dyDescent="0.4">
      <c r="A1600" t="str">
        <f t="shared" si="40"/>
        <v/>
      </c>
    </row>
    <row r="1601" spans="1:1" x14ac:dyDescent="0.4">
      <c r="A1601" t="str">
        <f t="shared" si="40"/>
        <v/>
      </c>
    </row>
    <row r="1602" spans="1:1" x14ac:dyDescent="0.4">
      <c r="A1602" t="str">
        <f t="shared" si="40"/>
        <v/>
      </c>
    </row>
    <row r="1603" spans="1:1" x14ac:dyDescent="0.4">
      <c r="A1603" t="str">
        <f t="shared" si="40"/>
        <v/>
      </c>
    </row>
    <row r="1604" spans="1:1" x14ac:dyDescent="0.4">
      <c r="A1604" t="str">
        <f t="shared" si="40"/>
        <v/>
      </c>
    </row>
    <row r="1605" spans="1:1" x14ac:dyDescent="0.4">
      <c r="A1605" t="str">
        <f t="shared" si="40"/>
        <v/>
      </c>
    </row>
    <row r="1606" spans="1:1" x14ac:dyDescent="0.4">
      <c r="A1606" t="str">
        <f t="shared" si="40"/>
        <v/>
      </c>
    </row>
    <row r="1607" spans="1:1" x14ac:dyDescent="0.4">
      <c r="A1607" t="str">
        <f t="shared" ref="A1607:A1670" si="41">RIGHT(B1607,12)</f>
        <v/>
      </c>
    </row>
    <row r="1608" spans="1:1" x14ac:dyDescent="0.4">
      <c r="A1608" t="str">
        <f t="shared" si="41"/>
        <v/>
      </c>
    </row>
    <row r="1609" spans="1:1" x14ac:dyDescent="0.4">
      <c r="A1609" t="str">
        <f t="shared" si="41"/>
        <v/>
      </c>
    </row>
    <row r="1610" spans="1:1" x14ac:dyDescent="0.4">
      <c r="A1610" t="str">
        <f t="shared" si="41"/>
        <v/>
      </c>
    </row>
    <row r="1611" spans="1:1" x14ac:dyDescent="0.4">
      <c r="A1611" t="str">
        <f t="shared" si="41"/>
        <v/>
      </c>
    </row>
    <row r="1612" spans="1:1" x14ac:dyDescent="0.4">
      <c r="A1612" t="str">
        <f t="shared" si="41"/>
        <v/>
      </c>
    </row>
    <row r="1613" spans="1:1" x14ac:dyDescent="0.4">
      <c r="A1613" t="str">
        <f t="shared" si="41"/>
        <v/>
      </c>
    </row>
    <row r="1614" spans="1:1" x14ac:dyDescent="0.4">
      <c r="A1614" t="str">
        <f t="shared" si="41"/>
        <v/>
      </c>
    </row>
    <row r="1615" spans="1:1" x14ac:dyDescent="0.4">
      <c r="A1615" t="str">
        <f t="shared" si="41"/>
        <v/>
      </c>
    </row>
    <row r="1616" spans="1:1" x14ac:dyDescent="0.4">
      <c r="A1616" t="str">
        <f t="shared" si="41"/>
        <v/>
      </c>
    </row>
    <row r="1617" spans="1:1" x14ac:dyDescent="0.4">
      <c r="A1617" t="str">
        <f t="shared" si="41"/>
        <v/>
      </c>
    </row>
    <row r="1618" spans="1:1" x14ac:dyDescent="0.4">
      <c r="A1618" t="str">
        <f t="shared" si="41"/>
        <v/>
      </c>
    </row>
    <row r="1619" spans="1:1" x14ac:dyDescent="0.4">
      <c r="A1619" t="str">
        <f t="shared" si="41"/>
        <v/>
      </c>
    </row>
    <row r="1620" spans="1:1" x14ac:dyDescent="0.4">
      <c r="A1620" t="str">
        <f t="shared" si="41"/>
        <v/>
      </c>
    </row>
    <row r="1621" spans="1:1" x14ac:dyDescent="0.4">
      <c r="A1621" t="str">
        <f t="shared" si="41"/>
        <v/>
      </c>
    </row>
    <row r="1622" spans="1:1" x14ac:dyDescent="0.4">
      <c r="A1622" t="str">
        <f t="shared" si="41"/>
        <v/>
      </c>
    </row>
    <row r="1623" spans="1:1" x14ac:dyDescent="0.4">
      <c r="A1623" t="str">
        <f t="shared" si="41"/>
        <v/>
      </c>
    </row>
    <row r="1624" spans="1:1" x14ac:dyDescent="0.4">
      <c r="A1624" t="str">
        <f t="shared" si="41"/>
        <v/>
      </c>
    </row>
    <row r="1625" spans="1:1" x14ac:dyDescent="0.4">
      <c r="A1625" t="str">
        <f t="shared" si="41"/>
        <v/>
      </c>
    </row>
    <row r="1626" spans="1:1" x14ac:dyDescent="0.4">
      <c r="A1626" t="str">
        <f t="shared" si="41"/>
        <v/>
      </c>
    </row>
    <row r="1627" spans="1:1" x14ac:dyDescent="0.4">
      <c r="A1627" t="str">
        <f t="shared" si="41"/>
        <v/>
      </c>
    </row>
    <row r="1628" spans="1:1" x14ac:dyDescent="0.4">
      <c r="A1628" t="str">
        <f t="shared" si="41"/>
        <v/>
      </c>
    </row>
    <row r="1629" spans="1:1" x14ac:dyDescent="0.4">
      <c r="A1629" t="str">
        <f t="shared" si="41"/>
        <v/>
      </c>
    </row>
    <row r="1630" spans="1:1" x14ac:dyDescent="0.4">
      <c r="A1630" t="str">
        <f t="shared" si="41"/>
        <v/>
      </c>
    </row>
    <row r="1631" spans="1:1" x14ac:dyDescent="0.4">
      <c r="A1631" t="str">
        <f t="shared" si="41"/>
        <v/>
      </c>
    </row>
    <row r="1632" spans="1:1" x14ac:dyDescent="0.4">
      <c r="A1632" t="str">
        <f t="shared" si="41"/>
        <v/>
      </c>
    </row>
    <row r="1633" spans="1:1" x14ac:dyDescent="0.4">
      <c r="A1633" t="str">
        <f t="shared" si="41"/>
        <v/>
      </c>
    </row>
    <row r="1634" spans="1:1" x14ac:dyDescent="0.4">
      <c r="A1634" t="str">
        <f t="shared" si="41"/>
        <v/>
      </c>
    </row>
    <row r="1635" spans="1:1" x14ac:dyDescent="0.4">
      <c r="A1635" t="str">
        <f t="shared" si="41"/>
        <v/>
      </c>
    </row>
    <row r="1636" spans="1:1" x14ac:dyDescent="0.4">
      <c r="A1636" t="str">
        <f t="shared" si="41"/>
        <v/>
      </c>
    </row>
    <row r="1637" spans="1:1" x14ac:dyDescent="0.4">
      <c r="A1637" t="str">
        <f t="shared" si="41"/>
        <v/>
      </c>
    </row>
    <row r="1638" spans="1:1" x14ac:dyDescent="0.4">
      <c r="A1638" t="str">
        <f t="shared" si="41"/>
        <v/>
      </c>
    </row>
    <row r="1639" spans="1:1" x14ac:dyDescent="0.4">
      <c r="A1639" t="str">
        <f t="shared" si="41"/>
        <v/>
      </c>
    </row>
    <row r="1640" spans="1:1" x14ac:dyDescent="0.4">
      <c r="A1640" t="str">
        <f t="shared" si="41"/>
        <v/>
      </c>
    </row>
    <row r="1641" spans="1:1" x14ac:dyDescent="0.4">
      <c r="A1641" t="str">
        <f t="shared" si="41"/>
        <v/>
      </c>
    </row>
    <row r="1642" spans="1:1" x14ac:dyDescent="0.4">
      <c r="A1642" t="str">
        <f t="shared" si="41"/>
        <v/>
      </c>
    </row>
    <row r="1643" spans="1:1" x14ac:dyDescent="0.4">
      <c r="A1643" t="str">
        <f t="shared" si="41"/>
        <v/>
      </c>
    </row>
    <row r="1644" spans="1:1" x14ac:dyDescent="0.4">
      <c r="A1644" t="str">
        <f t="shared" si="41"/>
        <v/>
      </c>
    </row>
    <row r="1645" spans="1:1" x14ac:dyDescent="0.4">
      <c r="A1645" t="str">
        <f t="shared" si="41"/>
        <v/>
      </c>
    </row>
    <row r="1646" spans="1:1" x14ac:dyDescent="0.4">
      <c r="A1646" t="str">
        <f t="shared" si="41"/>
        <v/>
      </c>
    </row>
    <row r="1647" spans="1:1" x14ac:dyDescent="0.4">
      <c r="A1647" t="str">
        <f t="shared" si="41"/>
        <v/>
      </c>
    </row>
    <row r="1648" spans="1:1" x14ac:dyDescent="0.4">
      <c r="A1648" t="str">
        <f t="shared" si="41"/>
        <v/>
      </c>
    </row>
    <row r="1649" spans="1:1" x14ac:dyDescent="0.4">
      <c r="A1649" t="str">
        <f t="shared" si="41"/>
        <v/>
      </c>
    </row>
    <row r="1650" spans="1:1" x14ac:dyDescent="0.4">
      <c r="A1650" t="str">
        <f t="shared" si="41"/>
        <v/>
      </c>
    </row>
    <row r="1651" spans="1:1" x14ac:dyDescent="0.4">
      <c r="A1651" t="str">
        <f t="shared" si="41"/>
        <v/>
      </c>
    </row>
    <row r="1652" spans="1:1" x14ac:dyDescent="0.4">
      <c r="A1652" t="str">
        <f t="shared" si="41"/>
        <v/>
      </c>
    </row>
    <row r="1653" spans="1:1" x14ac:dyDescent="0.4">
      <c r="A1653" t="str">
        <f t="shared" si="41"/>
        <v/>
      </c>
    </row>
    <row r="1654" spans="1:1" x14ac:dyDescent="0.4">
      <c r="A1654" t="str">
        <f t="shared" si="41"/>
        <v/>
      </c>
    </row>
    <row r="1655" spans="1:1" x14ac:dyDescent="0.4">
      <c r="A1655" t="str">
        <f t="shared" si="41"/>
        <v/>
      </c>
    </row>
    <row r="1656" spans="1:1" x14ac:dyDescent="0.4">
      <c r="A1656" t="str">
        <f t="shared" si="41"/>
        <v/>
      </c>
    </row>
    <row r="1657" spans="1:1" x14ac:dyDescent="0.4">
      <c r="A1657" t="str">
        <f t="shared" si="41"/>
        <v/>
      </c>
    </row>
    <row r="1658" spans="1:1" x14ac:dyDescent="0.4">
      <c r="A1658" t="str">
        <f t="shared" si="41"/>
        <v/>
      </c>
    </row>
    <row r="1659" spans="1:1" x14ac:dyDescent="0.4">
      <c r="A1659" t="str">
        <f t="shared" si="41"/>
        <v/>
      </c>
    </row>
    <row r="1660" spans="1:1" x14ac:dyDescent="0.4">
      <c r="A1660" t="str">
        <f t="shared" si="41"/>
        <v/>
      </c>
    </row>
    <row r="1661" spans="1:1" x14ac:dyDescent="0.4">
      <c r="A1661" t="str">
        <f t="shared" si="41"/>
        <v/>
      </c>
    </row>
    <row r="1662" spans="1:1" x14ac:dyDescent="0.4">
      <c r="A1662" t="str">
        <f t="shared" si="41"/>
        <v/>
      </c>
    </row>
    <row r="1663" spans="1:1" x14ac:dyDescent="0.4">
      <c r="A1663" t="str">
        <f t="shared" si="41"/>
        <v/>
      </c>
    </row>
    <row r="1664" spans="1:1" x14ac:dyDescent="0.4">
      <c r="A1664" t="str">
        <f t="shared" si="41"/>
        <v/>
      </c>
    </row>
    <row r="1665" spans="1:1" x14ac:dyDescent="0.4">
      <c r="A1665" t="str">
        <f t="shared" si="41"/>
        <v/>
      </c>
    </row>
    <row r="1666" spans="1:1" x14ac:dyDescent="0.4">
      <c r="A1666" t="str">
        <f t="shared" si="41"/>
        <v/>
      </c>
    </row>
    <row r="1667" spans="1:1" x14ac:dyDescent="0.4">
      <c r="A1667" t="str">
        <f t="shared" si="41"/>
        <v/>
      </c>
    </row>
    <row r="1668" spans="1:1" x14ac:dyDescent="0.4">
      <c r="A1668" t="str">
        <f t="shared" si="41"/>
        <v/>
      </c>
    </row>
    <row r="1669" spans="1:1" x14ac:dyDescent="0.4">
      <c r="A1669" t="str">
        <f t="shared" si="41"/>
        <v/>
      </c>
    </row>
    <row r="1670" spans="1:1" x14ac:dyDescent="0.4">
      <c r="A1670" t="str">
        <f t="shared" si="41"/>
        <v/>
      </c>
    </row>
    <row r="1671" spans="1:1" x14ac:dyDescent="0.4">
      <c r="A1671" t="str">
        <f t="shared" ref="A1671:A1734" si="42">RIGHT(B1671,12)</f>
        <v/>
      </c>
    </row>
    <row r="1672" spans="1:1" x14ac:dyDescent="0.4">
      <c r="A1672" t="str">
        <f t="shared" si="42"/>
        <v/>
      </c>
    </row>
    <row r="1673" spans="1:1" x14ac:dyDescent="0.4">
      <c r="A1673" t="str">
        <f t="shared" si="42"/>
        <v/>
      </c>
    </row>
    <row r="1674" spans="1:1" x14ac:dyDescent="0.4">
      <c r="A1674" t="str">
        <f t="shared" si="42"/>
        <v/>
      </c>
    </row>
    <row r="1675" spans="1:1" x14ac:dyDescent="0.4">
      <c r="A1675" t="str">
        <f t="shared" si="42"/>
        <v/>
      </c>
    </row>
    <row r="1676" spans="1:1" x14ac:dyDescent="0.4">
      <c r="A1676" t="str">
        <f t="shared" si="42"/>
        <v/>
      </c>
    </row>
    <row r="1677" spans="1:1" x14ac:dyDescent="0.4">
      <c r="A1677" t="str">
        <f t="shared" si="42"/>
        <v/>
      </c>
    </row>
    <row r="1678" spans="1:1" x14ac:dyDescent="0.4">
      <c r="A1678" t="str">
        <f t="shared" si="42"/>
        <v/>
      </c>
    </row>
    <row r="1679" spans="1:1" x14ac:dyDescent="0.4">
      <c r="A1679" t="str">
        <f t="shared" si="42"/>
        <v/>
      </c>
    </row>
    <row r="1680" spans="1:1" x14ac:dyDescent="0.4">
      <c r="A1680" t="str">
        <f t="shared" si="42"/>
        <v/>
      </c>
    </row>
    <row r="1681" spans="1:1" x14ac:dyDescent="0.4">
      <c r="A1681" t="str">
        <f t="shared" si="42"/>
        <v/>
      </c>
    </row>
    <row r="1682" spans="1:1" x14ac:dyDescent="0.4">
      <c r="A1682" t="str">
        <f t="shared" si="42"/>
        <v/>
      </c>
    </row>
    <row r="1683" spans="1:1" x14ac:dyDescent="0.4">
      <c r="A1683" t="str">
        <f t="shared" si="42"/>
        <v/>
      </c>
    </row>
    <row r="1684" spans="1:1" x14ac:dyDescent="0.4">
      <c r="A1684" t="str">
        <f t="shared" si="42"/>
        <v/>
      </c>
    </row>
    <row r="1685" spans="1:1" x14ac:dyDescent="0.4">
      <c r="A1685" t="str">
        <f t="shared" si="42"/>
        <v/>
      </c>
    </row>
    <row r="1686" spans="1:1" x14ac:dyDescent="0.4">
      <c r="A1686" t="str">
        <f t="shared" si="42"/>
        <v/>
      </c>
    </row>
    <row r="1687" spans="1:1" x14ac:dyDescent="0.4">
      <c r="A1687" t="str">
        <f t="shared" si="42"/>
        <v/>
      </c>
    </row>
    <row r="1688" spans="1:1" x14ac:dyDescent="0.4">
      <c r="A1688" t="str">
        <f t="shared" si="42"/>
        <v/>
      </c>
    </row>
    <row r="1689" spans="1:1" x14ac:dyDescent="0.4">
      <c r="A1689" t="str">
        <f t="shared" si="42"/>
        <v/>
      </c>
    </row>
    <row r="1690" spans="1:1" x14ac:dyDescent="0.4">
      <c r="A1690" t="str">
        <f t="shared" si="42"/>
        <v/>
      </c>
    </row>
    <row r="1691" spans="1:1" x14ac:dyDescent="0.4">
      <c r="A1691" t="str">
        <f t="shared" si="42"/>
        <v/>
      </c>
    </row>
    <row r="1692" spans="1:1" x14ac:dyDescent="0.4">
      <c r="A1692" t="str">
        <f t="shared" si="42"/>
        <v/>
      </c>
    </row>
    <row r="1693" spans="1:1" x14ac:dyDescent="0.4">
      <c r="A1693" t="str">
        <f t="shared" si="42"/>
        <v/>
      </c>
    </row>
    <row r="1694" spans="1:1" x14ac:dyDescent="0.4">
      <c r="A1694" t="str">
        <f t="shared" si="42"/>
        <v/>
      </c>
    </row>
    <row r="1695" spans="1:1" x14ac:dyDescent="0.4">
      <c r="A1695" t="str">
        <f t="shared" si="42"/>
        <v/>
      </c>
    </row>
    <row r="1696" spans="1:1" x14ac:dyDescent="0.4">
      <c r="A1696" t="str">
        <f t="shared" si="42"/>
        <v/>
      </c>
    </row>
    <row r="1697" spans="1:1" x14ac:dyDescent="0.4">
      <c r="A1697" t="str">
        <f t="shared" si="42"/>
        <v/>
      </c>
    </row>
    <row r="1698" spans="1:1" x14ac:dyDescent="0.4">
      <c r="A1698" t="str">
        <f t="shared" si="42"/>
        <v/>
      </c>
    </row>
    <row r="1699" spans="1:1" x14ac:dyDescent="0.4">
      <c r="A1699" t="str">
        <f t="shared" si="42"/>
        <v/>
      </c>
    </row>
    <row r="1700" spans="1:1" x14ac:dyDescent="0.4">
      <c r="A1700" t="str">
        <f t="shared" si="42"/>
        <v/>
      </c>
    </row>
    <row r="1701" spans="1:1" x14ac:dyDescent="0.4">
      <c r="A1701" t="str">
        <f t="shared" si="42"/>
        <v/>
      </c>
    </row>
    <row r="1702" spans="1:1" x14ac:dyDescent="0.4">
      <c r="A1702" t="str">
        <f t="shared" si="42"/>
        <v/>
      </c>
    </row>
    <row r="1703" spans="1:1" x14ac:dyDescent="0.4">
      <c r="A1703" t="str">
        <f t="shared" si="42"/>
        <v/>
      </c>
    </row>
    <row r="1704" spans="1:1" x14ac:dyDescent="0.4">
      <c r="A1704" t="str">
        <f t="shared" si="42"/>
        <v/>
      </c>
    </row>
    <row r="1705" spans="1:1" x14ac:dyDescent="0.4">
      <c r="A1705" t="str">
        <f t="shared" si="42"/>
        <v/>
      </c>
    </row>
    <row r="1706" spans="1:1" x14ac:dyDescent="0.4">
      <c r="A1706" t="str">
        <f t="shared" si="42"/>
        <v/>
      </c>
    </row>
    <row r="1707" spans="1:1" x14ac:dyDescent="0.4">
      <c r="A1707" t="str">
        <f t="shared" si="42"/>
        <v/>
      </c>
    </row>
    <row r="1708" spans="1:1" x14ac:dyDescent="0.4">
      <c r="A1708" t="str">
        <f t="shared" si="42"/>
        <v/>
      </c>
    </row>
    <row r="1709" spans="1:1" x14ac:dyDescent="0.4">
      <c r="A1709" t="str">
        <f t="shared" si="42"/>
        <v/>
      </c>
    </row>
    <row r="1710" spans="1:1" x14ac:dyDescent="0.4">
      <c r="A1710" t="str">
        <f t="shared" si="42"/>
        <v/>
      </c>
    </row>
    <row r="1711" spans="1:1" x14ac:dyDescent="0.4">
      <c r="A1711" t="str">
        <f t="shared" si="42"/>
        <v/>
      </c>
    </row>
    <row r="1712" spans="1:1" x14ac:dyDescent="0.4">
      <c r="A1712" t="str">
        <f t="shared" si="42"/>
        <v/>
      </c>
    </row>
    <row r="1713" spans="1:1" x14ac:dyDescent="0.4">
      <c r="A1713" t="str">
        <f t="shared" si="42"/>
        <v/>
      </c>
    </row>
    <row r="1714" spans="1:1" x14ac:dyDescent="0.4">
      <c r="A1714" t="str">
        <f t="shared" si="42"/>
        <v/>
      </c>
    </row>
    <row r="1715" spans="1:1" x14ac:dyDescent="0.4">
      <c r="A1715" t="str">
        <f t="shared" si="42"/>
        <v/>
      </c>
    </row>
    <row r="1716" spans="1:1" x14ac:dyDescent="0.4">
      <c r="A1716" t="str">
        <f t="shared" si="42"/>
        <v/>
      </c>
    </row>
    <row r="1717" spans="1:1" x14ac:dyDescent="0.4">
      <c r="A1717" t="str">
        <f t="shared" si="42"/>
        <v/>
      </c>
    </row>
    <row r="1718" spans="1:1" x14ac:dyDescent="0.4">
      <c r="A1718" t="str">
        <f t="shared" si="42"/>
        <v/>
      </c>
    </row>
    <row r="1719" spans="1:1" x14ac:dyDescent="0.4">
      <c r="A1719" t="str">
        <f t="shared" si="42"/>
        <v/>
      </c>
    </row>
    <row r="1720" spans="1:1" x14ac:dyDescent="0.4">
      <c r="A1720" t="str">
        <f t="shared" si="42"/>
        <v/>
      </c>
    </row>
    <row r="1721" spans="1:1" x14ac:dyDescent="0.4">
      <c r="A1721" t="str">
        <f t="shared" si="42"/>
        <v/>
      </c>
    </row>
    <row r="1722" spans="1:1" x14ac:dyDescent="0.4">
      <c r="A1722" t="str">
        <f t="shared" si="42"/>
        <v/>
      </c>
    </row>
    <row r="1723" spans="1:1" x14ac:dyDescent="0.4">
      <c r="A1723" t="str">
        <f t="shared" si="42"/>
        <v/>
      </c>
    </row>
    <row r="1724" spans="1:1" x14ac:dyDescent="0.4">
      <c r="A1724" t="str">
        <f t="shared" si="42"/>
        <v/>
      </c>
    </row>
    <row r="1725" spans="1:1" x14ac:dyDescent="0.4">
      <c r="A1725" t="str">
        <f t="shared" si="42"/>
        <v/>
      </c>
    </row>
    <row r="1726" spans="1:1" x14ac:dyDescent="0.4">
      <c r="A1726" t="str">
        <f t="shared" si="42"/>
        <v/>
      </c>
    </row>
    <row r="1727" spans="1:1" x14ac:dyDescent="0.4">
      <c r="A1727" t="str">
        <f t="shared" si="42"/>
        <v/>
      </c>
    </row>
    <row r="1728" spans="1:1" x14ac:dyDescent="0.4">
      <c r="A1728" t="str">
        <f t="shared" si="42"/>
        <v/>
      </c>
    </row>
    <row r="1729" spans="1:1" x14ac:dyDescent="0.4">
      <c r="A1729" t="str">
        <f t="shared" si="42"/>
        <v/>
      </c>
    </row>
    <row r="1730" spans="1:1" x14ac:dyDescent="0.4">
      <c r="A1730" t="str">
        <f t="shared" si="42"/>
        <v/>
      </c>
    </row>
    <row r="1731" spans="1:1" x14ac:dyDescent="0.4">
      <c r="A1731" t="str">
        <f t="shared" si="42"/>
        <v/>
      </c>
    </row>
    <row r="1732" spans="1:1" x14ac:dyDescent="0.4">
      <c r="A1732" t="str">
        <f t="shared" si="42"/>
        <v/>
      </c>
    </row>
    <row r="1733" spans="1:1" x14ac:dyDescent="0.4">
      <c r="A1733" t="str">
        <f t="shared" si="42"/>
        <v/>
      </c>
    </row>
    <row r="1734" spans="1:1" x14ac:dyDescent="0.4">
      <c r="A1734" t="str">
        <f t="shared" si="42"/>
        <v/>
      </c>
    </row>
    <row r="1735" spans="1:1" x14ac:dyDescent="0.4">
      <c r="A1735" t="str">
        <f t="shared" ref="A1735:A1798" si="43">RIGHT(B1735,12)</f>
        <v/>
      </c>
    </row>
    <row r="1736" spans="1:1" x14ac:dyDescent="0.4">
      <c r="A1736" t="str">
        <f t="shared" si="43"/>
        <v/>
      </c>
    </row>
    <row r="1737" spans="1:1" x14ac:dyDescent="0.4">
      <c r="A1737" t="str">
        <f t="shared" si="43"/>
        <v/>
      </c>
    </row>
    <row r="1738" spans="1:1" x14ac:dyDescent="0.4">
      <c r="A1738" t="str">
        <f t="shared" si="43"/>
        <v/>
      </c>
    </row>
    <row r="1739" spans="1:1" x14ac:dyDescent="0.4">
      <c r="A1739" t="str">
        <f t="shared" si="43"/>
        <v/>
      </c>
    </row>
    <row r="1740" spans="1:1" x14ac:dyDescent="0.4">
      <c r="A1740" t="str">
        <f t="shared" si="43"/>
        <v/>
      </c>
    </row>
    <row r="1741" spans="1:1" x14ac:dyDescent="0.4">
      <c r="A1741" t="str">
        <f t="shared" si="43"/>
        <v/>
      </c>
    </row>
    <row r="1742" spans="1:1" x14ac:dyDescent="0.4">
      <c r="A1742" t="str">
        <f t="shared" si="43"/>
        <v/>
      </c>
    </row>
    <row r="1743" spans="1:1" x14ac:dyDescent="0.4">
      <c r="A1743" t="str">
        <f t="shared" si="43"/>
        <v/>
      </c>
    </row>
    <row r="1744" spans="1:1" x14ac:dyDescent="0.4">
      <c r="A1744" t="str">
        <f t="shared" si="43"/>
        <v/>
      </c>
    </row>
    <row r="1745" spans="1:1" x14ac:dyDescent="0.4">
      <c r="A1745" t="str">
        <f t="shared" si="43"/>
        <v/>
      </c>
    </row>
    <row r="1746" spans="1:1" x14ac:dyDescent="0.4">
      <c r="A1746" t="str">
        <f t="shared" si="43"/>
        <v/>
      </c>
    </row>
    <row r="1747" spans="1:1" x14ac:dyDescent="0.4">
      <c r="A1747" t="str">
        <f t="shared" si="43"/>
        <v/>
      </c>
    </row>
    <row r="1748" spans="1:1" x14ac:dyDescent="0.4">
      <c r="A1748" t="str">
        <f t="shared" si="43"/>
        <v/>
      </c>
    </row>
    <row r="1749" spans="1:1" x14ac:dyDescent="0.4">
      <c r="A1749" t="str">
        <f t="shared" si="43"/>
        <v/>
      </c>
    </row>
    <row r="1750" spans="1:1" x14ac:dyDescent="0.4">
      <c r="A1750" t="str">
        <f t="shared" si="43"/>
        <v/>
      </c>
    </row>
    <row r="1751" spans="1:1" x14ac:dyDescent="0.4">
      <c r="A1751" t="str">
        <f t="shared" si="43"/>
        <v/>
      </c>
    </row>
    <row r="1752" spans="1:1" x14ac:dyDescent="0.4">
      <c r="A1752" t="str">
        <f t="shared" si="43"/>
        <v/>
      </c>
    </row>
    <row r="1753" spans="1:1" x14ac:dyDescent="0.4">
      <c r="A1753" t="str">
        <f t="shared" si="43"/>
        <v/>
      </c>
    </row>
    <row r="1754" spans="1:1" x14ac:dyDescent="0.4">
      <c r="A1754" t="str">
        <f t="shared" si="43"/>
        <v/>
      </c>
    </row>
    <row r="1755" spans="1:1" x14ac:dyDescent="0.4">
      <c r="A1755" t="str">
        <f t="shared" si="43"/>
        <v/>
      </c>
    </row>
    <row r="1756" spans="1:1" x14ac:dyDescent="0.4">
      <c r="A1756" t="str">
        <f t="shared" si="43"/>
        <v/>
      </c>
    </row>
    <row r="1757" spans="1:1" x14ac:dyDescent="0.4">
      <c r="A1757" t="str">
        <f t="shared" si="43"/>
        <v/>
      </c>
    </row>
    <row r="1758" spans="1:1" x14ac:dyDescent="0.4">
      <c r="A1758" t="str">
        <f t="shared" si="43"/>
        <v/>
      </c>
    </row>
    <row r="1759" spans="1:1" x14ac:dyDescent="0.4">
      <c r="A1759" t="str">
        <f t="shared" si="43"/>
        <v/>
      </c>
    </row>
    <row r="1760" spans="1:1" x14ac:dyDescent="0.4">
      <c r="A1760" t="str">
        <f t="shared" si="43"/>
        <v/>
      </c>
    </row>
    <row r="1761" spans="1:1" x14ac:dyDescent="0.4">
      <c r="A1761" t="str">
        <f t="shared" si="43"/>
        <v/>
      </c>
    </row>
    <row r="1762" spans="1:1" x14ac:dyDescent="0.4">
      <c r="A1762" t="str">
        <f t="shared" si="43"/>
        <v/>
      </c>
    </row>
    <row r="1763" spans="1:1" x14ac:dyDescent="0.4">
      <c r="A1763" t="str">
        <f t="shared" si="43"/>
        <v/>
      </c>
    </row>
    <row r="1764" spans="1:1" x14ac:dyDescent="0.4">
      <c r="A1764" t="str">
        <f t="shared" si="43"/>
        <v/>
      </c>
    </row>
    <row r="1765" spans="1:1" x14ac:dyDescent="0.4">
      <c r="A1765" t="str">
        <f t="shared" si="43"/>
        <v/>
      </c>
    </row>
    <row r="1766" spans="1:1" x14ac:dyDescent="0.4">
      <c r="A1766" t="str">
        <f t="shared" si="43"/>
        <v/>
      </c>
    </row>
    <row r="1767" spans="1:1" x14ac:dyDescent="0.4">
      <c r="A1767" t="str">
        <f t="shared" si="43"/>
        <v/>
      </c>
    </row>
    <row r="1768" spans="1:1" x14ac:dyDescent="0.4">
      <c r="A1768" t="str">
        <f t="shared" si="43"/>
        <v/>
      </c>
    </row>
    <row r="1769" spans="1:1" x14ac:dyDescent="0.4">
      <c r="A1769" t="str">
        <f t="shared" si="43"/>
        <v/>
      </c>
    </row>
    <row r="1770" spans="1:1" x14ac:dyDescent="0.4">
      <c r="A1770" t="str">
        <f t="shared" si="43"/>
        <v/>
      </c>
    </row>
    <row r="1771" spans="1:1" x14ac:dyDescent="0.4">
      <c r="A1771" t="str">
        <f t="shared" si="43"/>
        <v/>
      </c>
    </row>
    <row r="1772" spans="1:1" x14ac:dyDescent="0.4">
      <c r="A1772" t="str">
        <f t="shared" si="43"/>
        <v/>
      </c>
    </row>
    <row r="1773" spans="1:1" x14ac:dyDescent="0.4">
      <c r="A1773" t="str">
        <f t="shared" si="43"/>
        <v/>
      </c>
    </row>
    <row r="1774" spans="1:1" x14ac:dyDescent="0.4">
      <c r="A1774" t="str">
        <f t="shared" si="43"/>
        <v/>
      </c>
    </row>
    <row r="1775" spans="1:1" x14ac:dyDescent="0.4">
      <c r="A1775" t="str">
        <f t="shared" si="43"/>
        <v/>
      </c>
    </row>
    <row r="1776" spans="1:1" x14ac:dyDescent="0.4">
      <c r="A1776" t="str">
        <f t="shared" si="43"/>
        <v/>
      </c>
    </row>
    <row r="1777" spans="1:1" x14ac:dyDescent="0.4">
      <c r="A1777" t="str">
        <f t="shared" si="43"/>
        <v/>
      </c>
    </row>
    <row r="1778" spans="1:1" x14ac:dyDescent="0.4">
      <c r="A1778" t="str">
        <f t="shared" si="43"/>
        <v/>
      </c>
    </row>
    <row r="1779" spans="1:1" x14ac:dyDescent="0.4">
      <c r="A1779" t="str">
        <f t="shared" si="43"/>
        <v/>
      </c>
    </row>
    <row r="1780" spans="1:1" x14ac:dyDescent="0.4">
      <c r="A1780" t="str">
        <f t="shared" si="43"/>
        <v/>
      </c>
    </row>
    <row r="1781" spans="1:1" x14ac:dyDescent="0.4">
      <c r="A1781" t="str">
        <f t="shared" si="43"/>
        <v/>
      </c>
    </row>
    <row r="1782" spans="1:1" x14ac:dyDescent="0.4">
      <c r="A1782" t="str">
        <f t="shared" si="43"/>
        <v/>
      </c>
    </row>
    <row r="1783" spans="1:1" x14ac:dyDescent="0.4">
      <c r="A1783" t="str">
        <f t="shared" si="43"/>
        <v/>
      </c>
    </row>
    <row r="1784" spans="1:1" x14ac:dyDescent="0.4">
      <c r="A1784" t="str">
        <f t="shared" si="43"/>
        <v/>
      </c>
    </row>
    <row r="1785" spans="1:1" x14ac:dyDescent="0.4">
      <c r="A1785" t="str">
        <f t="shared" si="43"/>
        <v/>
      </c>
    </row>
    <row r="1786" spans="1:1" x14ac:dyDescent="0.4">
      <c r="A1786" t="str">
        <f t="shared" si="43"/>
        <v/>
      </c>
    </row>
    <row r="1787" spans="1:1" x14ac:dyDescent="0.4">
      <c r="A1787" t="str">
        <f t="shared" si="43"/>
        <v/>
      </c>
    </row>
    <row r="1788" spans="1:1" x14ac:dyDescent="0.4">
      <c r="A1788" t="str">
        <f t="shared" si="43"/>
        <v/>
      </c>
    </row>
    <row r="1789" spans="1:1" x14ac:dyDescent="0.4">
      <c r="A1789" t="str">
        <f t="shared" si="43"/>
        <v/>
      </c>
    </row>
    <row r="1790" spans="1:1" x14ac:dyDescent="0.4">
      <c r="A1790" t="str">
        <f t="shared" si="43"/>
        <v/>
      </c>
    </row>
    <row r="1791" spans="1:1" x14ac:dyDescent="0.4">
      <c r="A1791" t="str">
        <f t="shared" si="43"/>
        <v/>
      </c>
    </row>
    <row r="1792" spans="1:1" x14ac:dyDescent="0.4">
      <c r="A1792" t="str">
        <f t="shared" si="43"/>
        <v/>
      </c>
    </row>
    <row r="1793" spans="1:1" x14ac:dyDescent="0.4">
      <c r="A1793" t="str">
        <f t="shared" si="43"/>
        <v/>
      </c>
    </row>
    <row r="1794" spans="1:1" x14ac:dyDescent="0.4">
      <c r="A1794" t="str">
        <f t="shared" si="43"/>
        <v/>
      </c>
    </row>
    <row r="1795" spans="1:1" x14ac:dyDescent="0.4">
      <c r="A1795" t="str">
        <f t="shared" si="43"/>
        <v/>
      </c>
    </row>
    <row r="1796" spans="1:1" x14ac:dyDescent="0.4">
      <c r="A1796" t="str">
        <f t="shared" si="43"/>
        <v/>
      </c>
    </row>
    <row r="1797" spans="1:1" x14ac:dyDescent="0.4">
      <c r="A1797" t="str">
        <f t="shared" si="43"/>
        <v/>
      </c>
    </row>
    <row r="1798" spans="1:1" x14ac:dyDescent="0.4">
      <c r="A1798" t="str">
        <f t="shared" si="43"/>
        <v/>
      </c>
    </row>
    <row r="1799" spans="1:1" x14ac:dyDescent="0.4">
      <c r="A1799" t="str">
        <f t="shared" ref="A1799:A1862" si="44">RIGHT(B1799,12)</f>
        <v/>
      </c>
    </row>
    <row r="1800" spans="1:1" x14ac:dyDescent="0.4">
      <c r="A1800" t="str">
        <f t="shared" si="44"/>
        <v/>
      </c>
    </row>
    <row r="1801" spans="1:1" x14ac:dyDescent="0.4">
      <c r="A1801" t="str">
        <f t="shared" si="44"/>
        <v/>
      </c>
    </row>
    <row r="1802" spans="1:1" x14ac:dyDescent="0.4">
      <c r="A1802" t="str">
        <f t="shared" si="44"/>
        <v/>
      </c>
    </row>
    <row r="1803" spans="1:1" x14ac:dyDescent="0.4">
      <c r="A1803" t="str">
        <f t="shared" si="44"/>
        <v/>
      </c>
    </row>
    <row r="1804" spans="1:1" x14ac:dyDescent="0.4">
      <c r="A1804" t="str">
        <f t="shared" si="44"/>
        <v/>
      </c>
    </row>
    <row r="1805" spans="1:1" x14ac:dyDescent="0.4">
      <c r="A1805" t="str">
        <f t="shared" si="44"/>
        <v/>
      </c>
    </row>
    <row r="1806" spans="1:1" x14ac:dyDescent="0.4">
      <c r="A1806" t="str">
        <f t="shared" si="44"/>
        <v/>
      </c>
    </row>
    <row r="1807" spans="1:1" x14ac:dyDescent="0.4">
      <c r="A1807" t="str">
        <f t="shared" si="44"/>
        <v/>
      </c>
    </row>
    <row r="1808" spans="1:1" x14ac:dyDescent="0.4">
      <c r="A1808" t="str">
        <f t="shared" si="44"/>
        <v/>
      </c>
    </row>
    <row r="1809" spans="1:1" x14ac:dyDescent="0.4">
      <c r="A1809" t="str">
        <f t="shared" si="44"/>
        <v/>
      </c>
    </row>
    <row r="1810" spans="1:1" x14ac:dyDescent="0.4">
      <c r="A1810" t="str">
        <f t="shared" si="44"/>
        <v/>
      </c>
    </row>
    <row r="1811" spans="1:1" x14ac:dyDescent="0.4">
      <c r="A1811" t="str">
        <f t="shared" si="44"/>
        <v/>
      </c>
    </row>
    <row r="1812" spans="1:1" x14ac:dyDescent="0.4">
      <c r="A1812" t="str">
        <f t="shared" si="44"/>
        <v/>
      </c>
    </row>
    <row r="1813" spans="1:1" x14ac:dyDescent="0.4">
      <c r="A1813" t="str">
        <f t="shared" si="44"/>
        <v/>
      </c>
    </row>
    <row r="1814" spans="1:1" x14ac:dyDescent="0.4">
      <c r="A1814" t="str">
        <f t="shared" si="44"/>
        <v/>
      </c>
    </row>
    <row r="1815" spans="1:1" x14ac:dyDescent="0.4">
      <c r="A1815" t="str">
        <f t="shared" si="44"/>
        <v/>
      </c>
    </row>
    <row r="1816" spans="1:1" x14ac:dyDescent="0.4">
      <c r="A1816" t="str">
        <f t="shared" si="44"/>
        <v/>
      </c>
    </row>
    <row r="1817" spans="1:1" x14ac:dyDescent="0.4">
      <c r="A1817" t="str">
        <f t="shared" si="44"/>
        <v/>
      </c>
    </row>
    <row r="1818" spans="1:1" x14ac:dyDescent="0.4">
      <c r="A1818" t="str">
        <f t="shared" si="44"/>
        <v/>
      </c>
    </row>
    <row r="1819" spans="1:1" x14ac:dyDescent="0.4">
      <c r="A1819" t="str">
        <f t="shared" si="44"/>
        <v/>
      </c>
    </row>
    <row r="1820" spans="1:1" x14ac:dyDescent="0.4">
      <c r="A1820" t="str">
        <f t="shared" si="44"/>
        <v/>
      </c>
    </row>
    <row r="1821" spans="1:1" x14ac:dyDescent="0.4">
      <c r="A1821" t="str">
        <f t="shared" si="44"/>
        <v/>
      </c>
    </row>
    <row r="1822" spans="1:1" x14ac:dyDescent="0.4">
      <c r="A1822" t="str">
        <f t="shared" si="44"/>
        <v/>
      </c>
    </row>
    <row r="1823" spans="1:1" x14ac:dyDescent="0.4">
      <c r="A1823" t="str">
        <f t="shared" si="44"/>
        <v/>
      </c>
    </row>
    <row r="1824" spans="1:1" x14ac:dyDescent="0.4">
      <c r="A1824" t="str">
        <f t="shared" si="44"/>
        <v/>
      </c>
    </row>
    <row r="1825" spans="1:1" x14ac:dyDescent="0.4">
      <c r="A1825" t="str">
        <f t="shared" si="44"/>
        <v/>
      </c>
    </row>
    <row r="1826" spans="1:1" x14ac:dyDescent="0.4">
      <c r="A1826" t="str">
        <f t="shared" si="44"/>
        <v/>
      </c>
    </row>
    <row r="1827" spans="1:1" x14ac:dyDescent="0.4">
      <c r="A1827" t="str">
        <f t="shared" si="44"/>
        <v/>
      </c>
    </row>
    <row r="1828" spans="1:1" x14ac:dyDescent="0.4">
      <c r="A1828" t="str">
        <f t="shared" si="44"/>
        <v/>
      </c>
    </row>
    <row r="1829" spans="1:1" x14ac:dyDescent="0.4">
      <c r="A1829" t="str">
        <f t="shared" si="44"/>
        <v/>
      </c>
    </row>
    <row r="1830" spans="1:1" x14ac:dyDescent="0.4">
      <c r="A1830" t="str">
        <f t="shared" si="44"/>
        <v/>
      </c>
    </row>
    <row r="1831" spans="1:1" x14ac:dyDescent="0.4">
      <c r="A1831" t="str">
        <f t="shared" si="44"/>
        <v/>
      </c>
    </row>
    <row r="1832" spans="1:1" x14ac:dyDescent="0.4">
      <c r="A1832" t="str">
        <f t="shared" si="44"/>
        <v/>
      </c>
    </row>
    <row r="1833" spans="1:1" x14ac:dyDescent="0.4">
      <c r="A1833" t="str">
        <f t="shared" si="44"/>
        <v/>
      </c>
    </row>
    <row r="1834" spans="1:1" x14ac:dyDescent="0.4">
      <c r="A1834" t="str">
        <f t="shared" si="44"/>
        <v/>
      </c>
    </row>
    <row r="1835" spans="1:1" x14ac:dyDescent="0.4">
      <c r="A1835" t="str">
        <f t="shared" si="44"/>
        <v/>
      </c>
    </row>
    <row r="1836" spans="1:1" x14ac:dyDescent="0.4">
      <c r="A1836" t="str">
        <f t="shared" si="44"/>
        <v/>
      </c>
    </row>
    <row r="1837" spans="1:1" x14ac:dyDescent="0.4">
      <c r="A1837" t="str">
        <f t="shared" si="44"/>
        <v/>
      </c>
    </row>
    <row r="1838" spans="1:1" x14ac:dyDescent="0.4">
      <c r="A1838" t="str">
        <f t="shared" si="44"/>
        <v/>
      </c>
    </row>
    <row r="1839" spans="1:1" x14ac:dyDescent="0.4">
      <c r="A1839" t="str">
        <f t="shared" si="44"/>
        <v/>
      </c>
    </row>
    <row r="1840" spans="1:1" x14ac:dyDescent="0.4">
      <c r="A1840" t="str">
        <f t="shared" si="44"/>
        <v/>
      </c>
    </row>
    <row r="1841" spans="1:1" x14ac:dyDescent="0.4">
      <c r="A1841" t="str">
        <f t="shared" si="44"/>
        <v/>
      </c>
    </row>
    <row r="1842" spans="1:1" x14ac:dyDescent="0.4">
      <c r="A1842" t="str">
        <f t="shared" si="44"/>
        <v/>
      </c>
    </row>
    <row r="1843" spans="1:1" x14ac:dyDescent="0.4">
      <c r="A1843" t="str">
        <f t="shared" si="44"/>
        <v/>
      </c>
    </row>
    <row r="1844" spans="1:1" x14ac:dyDescent="0.4">
      <c r="A1844" t="str">
        <f t="shared" si="44"/>
        <v/>
      </c>
    </row>
    <row r="1845" spans="1:1" x14ac:dyDescent="0.4">
      <c r="A1845" t="str">
        <f t="shared" si="44"/>
        <v/>
      </c>
    </row>
    <row r="1846" spans="1:1" x14ac:dyDescent="0.4">
      <c r="A1846" t="str">
        <f t="shared" si="44"/>
        <v/>
      </c>
    </row>
    <row r="1847" spans="1:1" x14ac:dyDescent="0.4">
      <c r="A1847" t="str">
        <f t="shared" si="44"/>
        <v/>
      </c>
    </row>
    <row r="1848" spans="1:1" x14ac:dyDescent="0.4">
      <c r="A1848" t="str">
        <f t="shared" si="44"/>
        <v/>
      </c>
    </row>
    <row r="1849" spans="1:1" x14ac:dyDescent="0.4">
      <c r="A1849" t="str">
        <f t="shared" si="44"/>
        <v/>
      </c>
    </row>
    <row r="1850" spans="1:1" x14ac:dyDescent="0.4">
      <c r="A1850" t="str">
        <f t="shared" si="44"/>
        <v/>
      </c>
    </row>
    <row r="1851" spans="1:1" x14ac:dyDescent="0.4">
      <c r="A1851" t="str">
        <f t="shared" si="44"/>
        <v/>
      </c>
    </row>
    <row r="1852" spans="1:1" x14ac:dyDescent="0.4">
      <c r="A1852" t="str">
        <f t="shared" si="44"/>
        <v/>
      </c>
    </row>
    <row r="1853" spans="1:1" x14ac:dyDescent="0.4">
      <c r="A1853" t="str">
        <f t="shared" si="44"/>
        <v/>
      </c>
    </row>
    <row r="1854" spans="1:1" x14ac:dyDescent="0.4">
      <c r="A1854" t="str">
        <f t="shared" si="44"/>
        <v/>
      </c>
    </row>
    <row r="1855" spans="1:1" x14ac:dyDescent="0.4">
      <c r="A1855" t="str">
        <f t="shared" si="44"/>
        <v/>
      </c>
    </row>
    <row r="1856" spans="1:1" x14ac:dyDescent="0.4">
      <c r="A1856" t="str">
        <f t="shared" si="44"/>
        <v/>
      </c>
    </row>
    <row r="1857" spans="1:1" x14ac:dyDescent="0.4">
      <c r="A1857" t="str">
        <f t="shared" si="44"/>
        <v/>
      </c>
    </row>
    <row r="1858" spans="1:1" x14ac:dyDescent="0.4">
      <c r="A1858" t="str">
        <f t="shared" si="44"/>
        <v/>
      </c>
    </row>
    <row r="1859" spans="1:1" x14ac:dyDescent="0.4">
      <c r="A1859" t="str">
        <f t="shared" si="44"/>
        <v/>
      </c>
    </row>
    <row r="1860" spans="1:1" x14ac:dyDescent="0.4">
      <c r="A1860" t="str">
        <f t="shared" si="44"/>
        <v/>
      </c>
    </row>
    <row r="1861" spans="1:1" x14ac:dyDescent="0.4">
      <c r="A1861" t="str">
        <f t="shared" si="44"/>
        <v/>
      </c>
    </row>
    <row r="1862" spans="1:1" x14ac:dyDescent="0.4">
      <c r="A1862" t="str">
        <f t="shared" si="44"/>
        <v/>
      </c>
    </row>
    <row r="1863" spans="1:1" x14ac:dyDescent="0.4">
      <c r="A1863" t="str">
        <f t="shared" ref="A1863:A1926" si="45">RIGHT(B1863,12)</f>
        <v/>
      </c>
    </row>
    <row r="1864" spans="1:1" x14ac:dyDescent="0.4">
      <c r="A1864" t="str">
        <f t="shared" si="45"/>
        <v/>
      </c>
    </row>
    <row r="1865" spans="1:1" x14ac:dyDescent="0.4">
      <c r="A1865" t="str">
        <f t="shared" si="45"/>
        <v/>
      </c>
    </row>
    <row r="1866" spans="1:1" x14ac:dyDescent="0.4">
      <c r="A1866" t="str">
        <f t="shared" si="45"/>
        <v/>
      </c>
    </row>
    <row r="1867" spans="1:1" x14ac:dyDescent="0.4">
      <c r="A1867" t="str">
        <f t="shared" si="45"/>
        <v/>
      </c>
    </row>
    <row r="1868" spans="1:1" x14ac:dyDescent="0.4">
      <c r="A1868" t="str">
        <f t="shared" si="45"/>
        <v/>
      </c>
    </row>
    <row r="1869" spans="1:1" x14ac:dyDescent="0.4">
      <c r="A1869" t="str">
        <f t="shared" si="45"/>
        <v/>
      </c>
    </row>
    <row r="1870" spans="1:1" x14ac:dyDescent="0.4">
      <c r="A1870" t="str">
        <f t="shared" si="45"/>
        <v/>
      </c>
    </row>
    <row r="1871" spans="1:1" x14ac:dyDescent="0.4">
      <c r="A1871" t="str">
        <f t="shared" si="45"/>
        <v/>
      </c>
    </row>
    <row r="1872" spans="1:1" x14ac:dyDescent="0.4">
      <c r="A1872" t="str">
        <f t="shared" si="45"/>
        <v/>
      </c>
    </row>
    <row r="1873" spans="1:1" x14ac:dyDescent="0.4">
      <c r="A1873" t="str">
        <f t="shared" si="45"/>
        <v/>
      </c>
    </row>
    <row r="1874" spans="1:1" x14ac:dyDescent="0.4">
      <c r="A1874" t="str">
        <f t="shared" si="45"/>
        <v/>
      </c>
    </row>
    <row r="1875" spans="1:1" x14ac:dyDescent="0.4">
      <c r="A1875" t="str">
        <f t="shared" si="45"/>
        <v/>
      </c>
    </row>
    <row r="1876" spans="1:1" x14ac:dyDescent="0.4">
      <c r="A1876" t="str">
        <f t="shared" si="45"/>
        <v/>
      </c>
    </row>
    <row r="1877" spans="1:1" x14ac:dyDescent="0.4">
      <c r="A1877" t="str">
        <f t="shared" si="45"/>
        <v/>
      </c>
    </row>
    <row r="1878" spans="1:1" x14ac:dyDescent="0.4">
      <c r="A1878" t="str">
        <f t="shared" si="45"/>
        <v/>
      </c>
    </row>
    <row r="1879" spans="1:1" x14ac:dyDescent="0.4">
      <c r="A1879" t="str">
        <f t="shared" si="45"/>
        <v/>
      </c>
    </row>
    <row r="1880" spans="1:1" x14ac:dyDescent="0.4">
      <c r="A1880" t="str">
        <f t="shared" si="45"/>
        <v/>
      </c>
    </row>
    <row r="1881" spans="1:1" x14ac:dyDescent="0.4">
      <c r="A1881" t="str">
        <f t="shared" si="45"/>
        <v/>
      </c>
    </row>
    <row r="1882" spans="1:1" x14ac:dyDescent="0.4">
      <c r="A1882" t="str">
        <f t="shared" si="45"/>
        <v/>
      </c>
    </row>
    <row r="1883" spans="1:1" x14ac:dyDescent="0.4">
      <c r="A1883" t="str">
        <f t="shared" si="45"/>
        <v/>
      </c>
    </row>
    <row r="1884" spans="1:1" x14ac:dyDescent="0.4">
      <c r="A1884" t="str">
        <f t="shared" si="45"/>
        <v/>
      </c>
    </row>
    <row r="1885" spans="1:1" x14ac:dyDescent="0.4">
      <c r="A1885" t="str">
        <f t="shared" si="45"/>
        <v/>
      </c>
    </row>
    <row r="1886" spans="1:1" x14ac:dyDescent="0.4">
      <c r="A1886" t="str">
        <f t="shared" si="45"/>
        <v/>
      </c>
    </row>
    <row r="1887" spans="1:1" x14ac:dyDescent="0.4">
      <c r="A1887" t="str">
        <f t="shared" si="45"/>
        <v/>
      </c>
    </row>
    <row r="1888" spans="1:1" x14ac:dyDescent="0.4">
      <c r="A1888" t="str">
        <f t="shared" si="45"/>
        <v/>
      </c>
    </row>
    <row r="1889" spans="1:1" x14ac:dyDescent="0.4">
      <c r="A1889" t="str">
        <f t="shared" si="45"/>
        <v/>
      </c>
    </row>
    <row r="1890" spans="1:1" x14ac:dyDescent="0.4">
      <c r="A1890" t="str">
        <f t="shared" si="45"/>
        <v/>
      </c>
    </row>
    <row r="1891" spans="1:1" x14ac:dyDescent="0.4">
      <c r="A1891" t="str">
        <f t="shared" si="45"/>
        <v/>
      </c>
    </row>
    <row r="1892" spans="1:1" x14ac:dyDescent="0.4">
      <c r="A1892" t="str">
        <f t="shared" si="45"/>
        <v/>
      </c>
    </row>
    <row r="1893" spans="1:1" x14ac:dyDescent="0.4">
      <c r="A1893" t="str">
        <f t="shared" si="45"/>
        <v/>
      </c>
    </row>
    <row r="1894" spans="1:1" x14ac:dyDescent="0.4">
      <c r="A1894" t="str">
        <f t="shared" si="45"/>
        <v/>
      </c>
    </row>
    <row r="1895" spans="1:1" x14ac:dyDescent="0.4">
      <c r="A1895" t="str">
        <f t="shared" si="45"/>
        <v/>
      </c>
    </row>
    <row r="1896" spans="1:1" x14ac:dyDescent="0.4">
      <c r="A1896" t="str">
        <f t="shared" si="45"/>
        <v/>
      </c>
    </row>
    <row r="1897" spans="1:1" x14ac:dyDescent="0.4">
      <c r="A1897" t="str">
        <f t="shared" si="45"/>
        <v/>
      </c>
    </row>
    <row r="1898" spans="1:1" x14ac:dyDescent="0.4">
      <c r="A1898" t="str">
        <f t="shared" si="45"/>
        <v/>
      </c>
    </row>
    <row r="1899" spans="1:1" x14ac:dyDescent="0.4">
      <c r="A1899" t="str">
        <f t="shared" si="45"/>
        <v/>
      </c>
    </row>
    <row r="1900" spans="1:1" x14ac:dyDescent="0.4">
      <c r="A1900" t="str">
        <f t="shared" si="45"/>
        <v/>
      </c>
    </row>
    <row r="1901" spans="1:1" x14ac:dyDescent="0.4">
      <c r="A1901" t="str">
        <f t="shared" si="45"/>
        <v/>
      </c>
    </row>
    <row r="1902" spans="1:1" x14ac:dyDescent="0.4">
      <c r="A1902" t="str">
        <f t="shared" si="45"/>
        <v/>
      </c>
    </row>
    <row r="1903" spans="1:1" x14ac:dyDescent="0.4">
      <c r="A1903" t="str">
        <f t="shared" si="45"/>
        <v/>
      </c>
    </row>
    <row r="1904" spans="1:1" x14ac:dyDescent="0.4">
      <c r="A1904" t="str">
        <f t="shared" si="45"/>
        <v/>
      </c>
    </row>
    <row r="1905" spans="1:1" x14ac:dyDescent="0.4">
      <c r="A1905" t="str">
        <f t="shared" si="45"/>
        <v/>
      </c>
    </row>
    <row r="1906" spans="1:1" x14ac:dyDescent="0.4">
      <c r="A1906" t="str">
        <f t="shared" si="45"/>
        <v/>
      </c>
    </row>
    <row r="1907" spans="1:1" x14ac:dyDescent="0.4">
      <c r="A1907" t="str">
        <f t="shared" si="45"/>
        <v/>
      </c>
    </row>
    <row r="1908" spans="1:1" x14ac:dyDescent="0.4">
      <c r="A1908" t="str">
        <f t="shared" si="45"/>
        <v/>
      </c>
    </row>
    <row r="1909" spans="1:1" x14ac:dyDescent="0.4">
      <c r="A1909" t="str">
        <f t="shared" si="45"/>
        <v/>
      </c>
    </row>
    <row r="1910" spans="1:1" x14ac:dyDescent="0.4">
      <c r="A1910" t="str">
        <f t="shared" si="45"/>
        <v/>
      </c>
    </row>
    <row r="1911" spans="1:1" x14ac:dyDescent="0.4">
      <c r="A1911" t="str">
        <f t="shared" si="45"/>
        <v/>
      </c>
    </row>
    <row r="1912" spans="1:1" x14ac:dyDescent="0.4">
      <c r="A1912" t="str">
        <f t="shared" si="45"/>
        <v/>
      </c>
    </row>
    <row r="1913" spans="1:1" x14ac:dyDescent="0.4">
      <c r="A1913" t="str">
        <f t="shared" si="45"/>
        <v/>
      </c>
    </row>
    <row r="1914" spans="1:1" x14ac:dyDescent="0.4">
      <c r="A1914" t="str">
        <f t="shared" si="45"/>
        <v/>
      </c>
    </row>
    <row r="1915" spans="1:1" x14ac:dyDescent="0.4">
      <c r="A1915" t="str">
        <f t="shared" si="45"/>
        <v/>
      </c>
    </row>
    <row r="1916" spans="1:1" x14ac:dyDescent="0.4">
      <c r="A1916" t="str">
        <f t="shared" si="45"/>
        <v/>
      </c>
    </row>
    <row r="1917" spans="1:1" x14ac:dyDescent="0.4">
      <c r="A1917" t="str">
        <f t="shared" si="45"/>
        <v/>
      </c>
    </row>
    <row r="1918" spans="1:1" x14ac:dyDescent="0.4">
      <c r="A1918" t="str">
        <f t="shared" si="45"/>
        <v/>
      </c>
    </row>
    <row r="1919" spans="1:1" x14ac:dyDescent="0.4">
      <c r="A1919" t="str">
        <f t="shared" si="45"/>
        <v/>
      </c>
    </row>
    <row r="1920" spans="1:1" x14ac:dyDescent="0.4">
      <c r="A1920" t="str">
        <f t="shared" si="45"/>
        <v/>
      </c>
    </row>
    <row r="1921" spans="1:1" x14ac:dyDescent="0.4">
      <c r="A1921" t="str">
        <f t="shared" si="45"/>
        <v/>
      </c>
    </row>
    <row r="1922" spans="1:1" x14ac:dyDescent="0.4">
      <c r="A1922" t="str">
        <f t="shared" si="45"/>
        <v/>
      </c>
    </row>
    <row r="1923" spans="1:1" x14ac:dyDescent="0.4">
      <c r="A1923" t="str">
        <f t="shared" si="45"/>
        <v/>
      </c>
    </row>
    <row r="1924" spans="1:1" x14ac:dyDescent="0.4">
      <c r="A1924" t="str">
        <f t="shared" si="45"/>
        <v/>
      </c>
    </row>
    <row r="1925" spans="1:1" x14ac:dyDescent="0.4">
      <c r="A1925" t="str">
        <f t="shared" si="45"/>
        <v/>
      </c>
    </row>
    <row r="1926" spans="1:1" x14ac:dyDescent="0.4">
      <c r="A1926" t="str">
        <f t="shared" si="45"/>
        <v/>
      </c>
    </row>
    <row r="1927" spans="1:1" x14ac:dyDescent="0.4">
      <c r="A1927" t="str">
        <f t="shared" ref="A1927:A1990" si="46">RIGHT(B1927,12)</f>
        <v/>
      </c>
    </row>
    <row r="1928" spans="1:1" x14ac:dyDescent="0.4">
      <c r="A1928" t="str">
        <f t="shared" si="46"/>
        <v/>
      </c>
    </row>
    <row r="1929" spans="1:1" x14ac:dyDescent="0.4">
      <c r="A1929" t="str">
        <f t="shared" si="46"/>
        <v/>
      </c>
    </row>
    <row r="1930" spans="1:1" x14ac:dyDescent="0.4">
      <c r="A1930" t="str">
        <f t="shared" si="46"/>
        <v/>
      </c>
    </row>
    <row r="1931" spans="1:1" x14ac:dyDescent="0.4">
      <c r="A1931" t="str">
        <f t="shared" si="46"/>
        <v/>
      </c>
    </row>
    <row r="1932" spans="1:1" x14ac:dyDescent="0.4">
      <c r="A1932" t="str">
        <f t="shared" si="46"/>
        <v/>
      </c>
    </row>
    <row r="1933" spans="1:1" x14ac:dyDescent="0.4">
      <c r="A1933" t="str">
        <f t="shared" si="46"/>
        <v/>
      </c>
    </row>
    <row r="1934" spans="1:1" x14ac:dyDescent="0.4">
      <c r="A1934" t="str">
        <f t="shared" si="46"/>
        <v/>
      </c>
    </row>
    <row r="1935" spans="1:1" x14ac:dyDescent="0.4">
      <c r="A1935" t="str">
        <f t="shared" si="46"/>
        <v/>
      </c>
    </row>
    <row r="1936" spans="1:1" x14ac:dyDescent="0.4">
      <c r="A1936" t="str">
        <f t="shared" si="46"/>
        <v/>
      </c>
    </row>
    <row r="1937" spans="1:1" x14ac:dyDescent="0.4">
      <c r="A1937" t="str">
        <f t="shared" si="46"/>
        <v/>
      </c>
    </row>
    <row r="1938" spans="1:1" x14ac:dyDescent="0.4">
      <c r="A1938" t="str">
        <f t="shared" si="46"/>
        <v/>
      </c>
    </row>
    <row r="1939" spans="1:1" x14ac:dyDescent="0.4">
      <c r="A1939" t="str">
        <f t="shared" si="46"/>
        <v/>
      </c>
    </row>
    <row r="1940" spans="1:1" x14ac:dyDescent="0.4">
      <c r="A1940" t="str">
        <f t="shared" si="46"/>
        <v/>
      </c>
    </row>
    <row r="1941" spans="1:1" x14ac:dyDescent="0.4">
      <c r="A1941" t="str">
        <f t="shared" si="46"/>
        <v/>
      </c>
    </row>
    <row r="1942" spans="1:1" x14ac:dyDescent="0.4">
      <c r="A1942" t="str">
        <f t="shared" si="46"/>
        <v/>
      </c>
    </row>
    <row r="1943" spans="1:1" x14ac:dyDescent="0.4">
      <c r="A1943" t="str">
        <f t="shared" si="46"/>
        <v/>
      </c>
    </row>
    <row r="1944" spans="1:1" x14ac:dyDescent="0.4">
      <c r="A1944" t="str">
        <f t="shared" si="46"/>
        <v/>
      </c>
    </row>
    <row r="1945" spans="1:1" x14ac:dyDescent="0.4">
      <c r="A1945" t="str">
        <f t="shared" si="46"/>
        <v/>
      </c>
    </row>
    <row r="1946" spans="1:1" x14ac:dyDescent="0.4">
      <c r="A1946" t="str">
        <f t="shared" si="46"/>
        <v/>
      </c>
    </row>
    <row r="1947" spans="1:1" x14ac:dyDescent="0.4">
      <c r="A1947" t="str">
        <f t="shared" si="46"/>
        <v/>
      </c>
    </row>
    <row r="1948" spans="1:1" x14ac:dyDescent="0.4">
      <c r="A1948" t="str">
        <f t="shared" si="46"/>
        <v/>
      </c>
    </row>
    <row r="1949" spans="1:1" x14ac:dyDescent="0.4">
      <c r="A1949" t="str">
        <f t="shared" si="46"/>
        <v/>
      </c>
    </row>
    <row r="1950" spans="1:1" x14ac:dyDescent="0.4">
      <c r="A1950" t="str">
        <f t="shared" si="46"/>
        <v/>
      </c>
    </row>
    <row r="1951" spans="1:1" x14ac:dyDescent="0.4">
      <c r="A1951" t="str">
        <f t="shared" si="46"/>
        <v/>
      </c>
    </row>
    <row r="1952" spans="1:1" x14ac:dyDescent="0.4">
      <c r="A1952" t="str">
        <f t="shared" si="46"/>
        <v/>
      </c>
    </row>
    <row r="1953" spans="1:1" x14ac:dyDescent="0.4">
      <c r="A1953" t="str">
        <f t="shared" si="46"/>
        <v/>
      </c>
    </row>
    <row r="1954" spans="1:1" x14ac:dyDescent="0.4">
      <c r="A1954" t="str">
        <f t="shared" si="46"/>
        <v/>
      </c>
    </row>
    <row r="1955" spans="1:1" x14ac:dyDescent="0.4">
      <c r="A1955" t="str">
        <f t="shared" si="46"/>
        <v/>
      </c>
    </row>
    <row r="1956" spans="1:1" x14ac:dyDescent="0.4">
      <c r="A1956" t="str">
        <f t="shared" si="46"/>
        <v/>
      </c>
    </row>
    <row r="1957" spans="1:1" x14ac:dyDescent="0.4">
      <c r="A1957" t="str">
        <f t="shared" si="46"/>
        <v/>
      </c>
    </row>
    <row r="1958" spans="1:1" x14ac:dyDescent="0.4">
      <c r="A1958" t="str">
        <f t="shared" si="46"/>
        <v/>
      </c>
    </row>
    <row r="1959" spans="1:1" x14ac:dyDescent="0.4">
      <c r="A1959" t="str">
        <f t="shared" si="46"/>
        <v/>
      </c>
    </row>
    <row r="1960" spans="1:1" x14ac:dyDescent="0.4">
      <c r="A1960" t="str">
        <f t="shared" si="46"/>
        <v/>
      </c>
    </row>
    <row r="1961" spans="1:1" x14ac:dyDescent="0.4">
      <c r="A1961" t="str">
        <f t="shared" si="46"/>
        <v/>
      </c>
    </row>
    <row r="1962" spans="1:1" x14ac:dyDescent="0.4">
      <c r="A1962" t="str">
        <f t="shared" si="46"/>
        <v/>
      </c>
    </row>
    <row r="1963" spans="1:1" x14ac:dyDescent="0.4">
      <c r="A1963" t="str">
        <f t="shared" si="46"/>
        <v/>
      </c>
    </row>
    <row r="1964" spans="1:1" x14ac:dyDescent="0.4">
      <c r="A1964" t="str">
        <f t="shared" si="46"/>
        <v/>
      </c>
    </row>
    <row r="1965" spans="1:1" x14ac:dyDescent="0.4">
      <c r="A1965" t="str">
        <f t="shared" si="46"/>
        <v/>
      </c>
    </row>
    <row r="1966" spans="1:1" x14ac:dyDescent="0.4">
      <c r="A1966" t="str">
        <f t="shared" si="46"/>
        <v/>
      </c>
    </row>
    <row r="1967" spans="1:1" x14ac:dyDescent="0.4">
      <c r="A1967" t="str">
        <f t="shared" si="46"/>
        <v/>
      </c>
    </row>
    <row r="1968" spans="1:1" x14ac:dyDescent="0.4">
      <c r="A1968" t="str">
        <f t="shared" si="46"/>
        <v/>
      </c>
    </row>
    <row r="1969" spans="1:1" x14ac:dyDescent="0.4">
      <c r="A1969" t="str">
        <f t="shared" si="46"/>
        <v/>
      </c>
    </row>
    <row r="1970" spans="1:1" x14ac:dyDescent="0.4">
      <c r="A1970" t="str">
        <f t="shared" si="46"/>
        <v/>
      </c>
    </row>
    <row r="1971" spans="1:1" x14ac:dyDescent="0.4">
      <c r="A1971" t="str">
        <f t="shared" si="46"/>
        <v/>
      </c>
    </row>
    <row r="1972" spans="1:1" x14ac:dyDescent="0.4">
      <c r="A1972" t="str">
        <f t="shared" si="46"/>
        <v/>
      </c>
    </row>
    <row r="1973" spans="1:1" x14ac:dyDescent="0.4">
      <c r="A1973" t="str">
        <f t="shared" si="46"/>
        <v/>
      </c>
    </row>
    <row r="1974" spans="1:1" x14ac:dyDescent="0.4">
      <c r="A1974" t="str">
        <f t="shared" si="46"/>
        <v/>
      </c>
    </row>
    <row r="1975" spans="1:1" x14ac:dyDescent="0.4">
      <c r="A1975" t="str">
        <f t="shared" si="46"/>
        <v/>
      </c>
    </row>
    <row r="1976" spans="1:1" x14ac:dyDescent="0.4">
      <c r="A1976" t="str">
        <f t="shared" si="46"/>
        <v/>
      </c>
    </row>
    <row r="1977" spans="1:1" x14ac:dyDescent="0.4">
      <c r="A1977" t="str">
        <f t="shared" si="46"/>
        <v/>
      </c>
    </row>
    <row r="1978" spans="1:1" x14ac:dyDescent="0.4">
      <c r="A1978" t="str">
        <f t="shared" si="46"/>
        <v/>
      </c>
    </row>
    <row r="1979" spans="1:1" x14ac:dyDescent="0.4">
      <c r="A1979" t="str">
        <f t="shared" si="46"/>
        <v/>
      </c>
    </row>
    <row r="1980" spans="1:1" x14ac:dyDescent="0.4">
      <c r="A1980" t="str">
        <f t="shared" si="46"/>
        <v/>
      </c>
    </row>
    <row r="1981" spans="1:1" x14ac:dyDescent="0.4">
      <c r="A1981" t="str">
        <f t="shared" si="46"/>
        <v/>
      </c>
    </row>
    <row r="1982" spans="1:1" x14ac:dyDescent="0.4">
      <c r="A1982" t="str">
        <f t="shared" si="46"/>
        <v/>
      </c>
    </row>
    <row r="1983" spans="1:1" x14ac:dyDescent="0.4">
      <c r="A1983" t="str">
        <f t="shared" si="46"/>
        <v/>
      </c>
    </row>
    <row r="1984" spans="1:1" x14ac:dyDescent="0.4">
      <c r="A1984" t="str">
        <f t="shared" si="46"/>
        <v/>
      </c>
    </row>
    <row r="1985" spans="1:1" x14ac:dyDescent="0.4">
      <c r="A1985" t="str">
        <f t="shared" si="46"/>
        <v/>
      </c>
    </row>
    <row r="1986" spans="1:1" x14ac:dyDescent="0.4">
      <c r="A1986" t="str">
        <f t="shared" si="46"/>
        <v/>
      </c>
    </row>
    <row r="1987" spans="1:1" x14ac:dyDescent="0.4">
      <c r="A1987" t="str">
        <f t="shared" si="46"/>
        <v/>
      </c>
    </row>
    <row r="1988" spans="1:1" x14ac:dyDescent="0.4">
      <c r="A1988" t="str">
        <f t="shared" si="46"/>
        <v/>
      </c>
    </row>
    <row r="1989" spans="1:1" x14ac:dyDescent="0.4">
      <c r="A1989" t="str">
        <f t="shared" si="46"/>
        <v/>
      </c>
    </row>
    <row r="1990" spans="1:1" x14ac:dyDescent="0.4">
      <c r="A1990" t="str">
        <f t="shared" si="46"/>
        <v/>
      </c>
    </row>
    <row r="1991" spans="1:1" x14ac:dyDescent="0.4">
      <c r="A1991" t="str">
        <f t="shared" ref="A1991:A2054" si="47">RIGHT(B1991,12)</f>
        <v/>
      </c>
    </row>
    <row r="1992" spans="1:1" x14ac:dyDescent="0.4">
      <c r="A1992" t="str">
        <f t="shared" si="47"/>
        <v/>
      </c>
    </row>
    <row r="1993" spans="1:1" x14ac:dyDescent="0.4">
      <c r="A1993" t="str">
        <f t="shared" si="47"/>
        <v/>
      </c>
    </row>
    <row r="1994" spans="1:1" x14ac:dyDescent="0.4">
      <c r="A1994" t="str">
        <f t="shared" si="47"/>
        <v/>
      </c>
    </row>
    <row r="1995" spans="1:1" x14ac:dyDescent="0.4">
      <c r="A1995" t="str">
        <f t="shared" si="47"/>
        <v/>
      </c>
    </row>
    <row r="1996" spans="1:1" x14ac:dyDescent="0.4">
      <c r="A1996" t="str">
        <f t="shared" si="47"/>
        <v/>
      </c>
    </row>
    <row r="1997" spans="1:1" x14ac:dyDescent="0.4">
      <c r="A1997" t="str">
        <f t="shared" si="47"/>
        <v/>
      </c>
    </row>
    <row r="1998" spans="1:1" x14ac:dyDescent="0.4">
      <c r="A1998" t="str">
        <f t="shared" si="47"/>
        <v/>
      </c>
    </row>
    <row r="1999" spans="1:1" x14ac:dyDescent="0.4">
      <c r="A1999" t="str">
        <f t="shared" si="47"/>
        <v/>
      </c>
    </row>
    <row r="2000" spans="1:1" x14ac:dyDescent="0.4">
      <c r="A2000" t="str">
        <f t="shared" si="47"/>
        <v/>
      </c>
    </row>
    <row r="2001" spans="1:1" x14ac:dyDescent="0.4">
      <c r="A2001" t="str">
        <f t="shared" si="47"/>
        <v/>
      </c>
    </row>
    <row r="2002" spans="1:1" x14ac:dyDescent="0.4">
      <c r="A2002" t="str">
        <f t="shared" si="47"/>
        <v/>
      </c>
    </row>
    <row r="2003" spans="1:1" x14ac:dyDescent="0.4">
      <c r="A2003" t="str">
        <f t="shared" si="47"/>
        <v/>
      </c>
    </row>
    <row r="2004" spans="1:1" x14ac:dyDescent="0.4">
      <c r="A2004" t="str">
        <f t="shared" si="47"/>
        <v/>
      </c>
    </row>
    <row r="2005" spans="1:1" x14ac:dyDescent="0.4">
      <c r="A2005" t="str">
        <f t="shared" si="47"/>
        <v/>
      </c>
    </row>
    <row r="2006" spans="1:1" x14ac:dyDescent="0.4">
      <c r="A2006" t="str">
        <f t="shared" si="47"/>
        <v/>
      </c>
    </row>
    <row r="2007" spans="1:1" x14ac:dyDescent="0.4">
      <c r="A2007" t="str">
        <f t="shared" si="47"/>
        <v/>
      </c>
    </row>
    <row r="2008" spans="1:1" x14ac:dyDescent="0.4">
      <c r="A2008" t="str">
        <f t="shared" si="47"/>
        <v/>
      </c>
    </row>
    <row r="2009" spans="1:1" x14ac:dyDescent="0.4">
      <c r="A2009" t="str">
        <f t="shared" si="47"/>
        <v/>
      </c>
    </row>
    <row r="2010" spans="1:1" x14ac:dyDescent="0.4">
      <c r="A2010" t="str">
        <f t="shared" si="47"/>
        <v/>
      </c>
    </row>
    <row r="2011" spans="1:1" x14ac:dyDescent="0.4">
      <c r="A2011" t="str">
        <f t="shared" si="47"/>
        <v/>
      </c>
    </row>
    <row r="2012" spans="1:1" x14ac:dyDescent="0.4">
      <c r="A2012" t="str">
        <f t="shared" si="47"/>
        <v/>
      </c>
    </row>
    <row r="2013" spans="1:1" x14ac:dyDescent="0.4">
      <c r="A2013" t="str">
        <f t="shared" si="47"/>
        <v/>
      </c>
    </row>
    <row r="2014" spans="1:1" x14ac:dyDescent="0.4">
      <c r="A2014" t="str">
        <f t="shared" si="47"/>
        <v/>
      </c>
    </row>
    <row r="2015" spans="1:1" x14ac:dyDescent="0.4">
      <c r="A2015" t="str">
        <f t="shared" si="47"/>
        <v/>
      </c>
    </row>
    <row r="2016" spans="1:1" x14ac:dyDescent="0.4">
      <c r="A2016" t="str">
        <f t="shared" si="47"/>
        <v/>
      </c>
    </row>
    <row r="2017" spans="1:1" x14ac:dyDescent="0.4">
      <c r="A2017" t="str">
        <f t="shared" si="47"/>
        <v/>
      </c>
    </row>
    <row r="2018" spans="1:1" x14ac:dyDescent="0.4">
      <c r="A2018" t="str">
        <f t="shared" si="47"/>
        <v/>
      </c>
    </row>
    <row r="2019" spans="1:1" x14ac:dyDescent="0.4">
      <c r="A2019" t="str">
        <f t="shared" si="47"/>
        <v/>
      </c>
    </row>
    <row r="2020" spans="1:1" x14ac:dyDescent="0.4">
      <c r="A2020" t="str">
        <f t="shared" si="47"/>
        <v/>
      </c>
    </row>
    <row r="2021" spans="1:1" x14ac:dyDescent="0.4">
      <c r="A2021" t="str">
        <f t="shared" si="47"/>
        <v/>
      </c>
    </row>
    <row r="2022" spans="1:1" x14ac:dyDescent="0.4">
      <c r="A2022" t="str">
        <f t="shared" si="47"/>
        <v/>
      </c>
    </row>
    <row r="2023" spans="1:1" x14ac:dyDescent="0.4">
      <c r="A2023" t="str">
        <f t="shared" si="47"/>
        <v/>
      </c>
    </row>
    <row r="2024" spans="1:1" x14ac:dyDescent="0.4">
      <c r="A2024" t="str">
        <f t="shared" si="47"/>
        <v/>
      </c>
    </row>
    <row r="2025" spans="1:1" x14ac:dyDescent="0.4">
      <c r="A2025" t="str">
        <f t="shared" si="47"/>
        <v/>
      </c>
    </row>
    <row r="2026" spans="1:1" x14ac:dyDescent="0.4">
      <c r="A2026" t="str">
        <f t="shared" si="47"/>
        <v/>
      </c>
    </row>
    <row r="2027" spans="1:1" x14ac:dyDescent="0.4">
      <c r="A2027" t="str">
        <f t="shared" si="47"/>
        <v/>
      </c>
    </row>
    <row r="2028" spans="1:1" x14ac:dyDescent="0.4">
      <c r="A2028" t="str">
        <f t="shared" si="47"/>
        <v/>
      </c>
    </row>
    <row r="2029" spans="1:1" x14ac:dyDescent="0.4">
      <c r="A2029" t="str">
        <f t="shared" si="47"/>
        <v/>
      </c>
    </row>
    <row r="2030" spans="1:1" x14ac:dyDescent="0.4">
      <c r="A2030" t="str">
        <f t="shared" si="47"/>
        <v/>
      </c>
    </row>
    <row r="2031" spans="1:1" x14ac:dyDescent="0.4">
      <c r="A2031" t="str">
        <f t="shared" si="47"/>
        <v/>
      </c>
    </row>
    <row r="2032" spans="1:1" x14ac:dyDescent="0.4">
      <c r="A2032" t="str">
        <f t="shared" si="47"/>
        <v/>
      </c>
    </row>
    <row r="2033" spans="1:1" x14ac:dyDescent="0.4">
      <c r="A2033" t="str">
        <f t="shared" si="47"/>
        <v/>
      </c>
    </row>
    <row r="2034" spans="1:1" x14ac:dyDescent="0.4">
      <c r="A2034" t="str">
        <f t="shared" si="47"/>
        <v/>
      </c>
    </row>
    <row r="2035" spans="1:1" x14ac:dyDescent="0.4">
      <c r="A2035" t="str">
        <f t="shared" si="47"/>
        <v/>
      </c>
    </row>
    <row r="2036" spans="1:1" x14ac:dyDescent="0.4">
      <c r="A2036" t="str">
        <f t="shared" si="47"/>
        <v/>
      </c>
    </row>
    <row r="2037" spans="1:1" x14ac:dyDescent="0.4">
      <c r="A2037" t="str">
        <f t="shared" si="47"/>
        <v/>
      </c>
    </row>
    <row r="2038" spans="1:1" x14ac:dyDescent="0.4">
      <c r="A2038" t="str">
        <f t="shared" si="47"/>
        <v/>
      </c>
    </row>
    <row r="2039" spans="1:1" x14ac:dyDescent="0.4">
      <c r="A2039" t="str">
        <f t="shared" si="47"/>
        <v/>
      </c>
    </row>
    <row r="2040" spans="1:1" x14ac:dyDescent="0.4">
      <c r="A2040" t="str">
        <f t="shared" si="47"/>
        <v/>
      </c>
    </row>
    <row r="2041" spans="1:1" x14ac:dyDescent="0.4">
      <c r="A2041" t="str">
        <f t="shared" si="47"/>
        <v/>
      </c>
    </row>
    <row r="2042" spans="1:1" x14ac:dyDescent="0.4">
      <c r="A2042" t="str">
        <f t="shared" si="47"/>
        <v/>
      </c>
    </row>
    <row r="2043" spans="1:1" x14ac:dyDescent="0.4">
      <c r="A2043" t="str">
        <f t="shared" si="47"/>
        <v/>
      </c>
    </row>
    <row r="2044" spans="1:1" x14ac:dyDescent="0.4">
      <c r="A2044" t="str">
        <f t="shared" si="47"/>
        <v/>
      </c>
    </row>
    <row r="2045" spans="1:1" x14ac:dyDescent="0.4">
      <c r="A2045" t="str">
        <f t="shared" si="47"/>
        <v/>
      </c>
    </row>
    <row r="2046" spans="1:1" x14ac:dyDescent="0.4">
      <c r="A2046" t="str">
        <f t="shared" si="47"/>
        <v/>
      </c>
    </row>
    <row r="2047" spans="1:1" x14ac:dyDescent="0.4">
      <c r="A2047" t="str">
        <f t="shared" si="47"/>
        <v/>
      </c>
    </row>
    <row r="2048" spans="1:1" x14ac:dyDescent="0.4">
      <c r="A2048" t="str">
        <f t="shared" si="47"/>
        <v/>
      </c>
    </row>
    <row r="2049" spans="1:1" x14ac:dyDescent="0.4">
      <c r="A2049" t="str">
        <f t="shared" si="47"/>
        <v/>
      </c>
    </row>
    <row r="2050" spans="1:1" x14ac:dyDescent="0.4">
      <c r="A2050" t="str">
        <f t="shared" si="47"/>
        <v/>
      </c>
    </row>
    <row r="2051" spans="1:1" x14ac:dyDescent="0.4">
      <c r="A2051" t="str">
        <f t="shared" si="47"/>
        <v/>
      </c>
    </row>
    <row r="2052" spans="1:1" x14ac:dyDescent="0.4">
      <c r="A2052" t="str">
        <f t="shared" si="47"/>
        <v/>
      </c>
    </row>
    <row r="2053" spans="1:1" x14ac:dyDescent="0.4">
      <c r="A2053" t="str">
        <f t="shared" si="47"/>
        <v/>
      </c>
    </row>
    <row r="2054" spans="1:1" x14ac:dyDescent="0.4">
      <c r="A2054" t="str">
        <f t="shared" si="47"/>
        <v/>
      </c>
    </row>
    <row r="2055" spans="1:1" x14ac:dyDescent="0.4">
      <c r="A2055" t="str">
        <f t="shared" ref="A2055:A2118" si="48">RIGHT(B2055,12)</f>
        <v/>
      </c>
    </row>
    <row r="2056" spans="1:1" x14ac:dyDescent="0.4">
      <c r="A2056" t="str">
        <f t="shared" si="48"/>
        <v/>
      </c>
    </row>
    <row r="2057" spans="1:1" x14ac:dyDescent="0.4">
      <c r="A2057" t="str">
        <f t="shared" si="48"/>
        <v/>
      </c>
    </row>
    <row r="2058" spans="1:1" x14ac:dyDescent="0.4">
      <c r="A2058" t="str">
        <f t="shared" si="48"/>
        <v/>
      </c>
    </row>
    <row r="2059" spans="1:1" x14ac:dyDescent="0.4">
      <c r="A2059" t="str">
        <f t="shared" si="48"/>
        <v/>
      </c>
    </row>
    <row r="2060" spans="1:1" x14ac:dyDescent="0.4">
      <c r="A2060" t="str">
        <f t="shared" si="48"/>
        <v/>
      </c>
    </row>
    <row r="2061" spans="1:1" x14ac:dyDescent="0.4">
      <c r="A2061" t="str">
        <f t="shared" si="48"/>
        <v/>
      </c>
    </row>
    <row r="2062" spans="1:1" x14ac:dyDescent="0.4">
      <c r="A2062" t="str">
        <f t="shared" si="48"/>
        <v/>
      </c>
    </row>
    <row r="2063" spans="1:1" x14ac:dyDescent="0.4">
      <c r="A2063" t="str">
        <f t="shared" si="48"/>
        <v/>
      </c>
    </row>
    <row r="2064" spans="1:1" x14ac:dyDescent="0.4">
      <c r="A2064" t="str">
        <f t="shared" si="48"/>
        <v/>
      </c>
    </row>
    <row r="2065" spans="1:1" x14ac:dyDescent="0.4">
      <c r="A2065" t="str">
        <f t="shared" si="48"/>
        <v/>
      </c>
    </row>
    <row r="2066" spans="1:1" x14ac:dyDescent="0.4">
      <c r="A2066" t="str">
        <f t="shared" si="48"/>
        <v/>
      </c>
    </row>
    <row r="2067" spans="1:1" x14ac:dyDescent="0.4">
      <c r="A2067" t="str">
        <f t="shared" si="48"/>
        <v/>
      </c>
    </row>
    <row r="2068" spans="1:1" x14ac:dyDescent="0.4">
      <c r="A2068" t="str">
        <f t="shared" si="48"/>
        <v/>
      </c>
    </row>
    <row r="2069" spans="1:1" x14ac:dyDescent="0.4">
      <c r="A2069" t="str">
        <f t="shared" si="48"/>
        <v/>
      </c>
    </row>
    <row r="2070" spans="1:1" x14ac:dyDescent="0.4">
      <c r="A2070" t="str">
        <f t="shared" si="48"/>
        <v/>
      </c>
    </row>
    <row r="2071" spans="1:1" x14ac:dyDescent="0.4">
      <c r="A2071" t="str">
        <f t="shared" si="48"/>
        <v/>
      </c>
    </row>
    <row r="2072" spans="1:1" x14ac:dyDescent="0.4">
      <c r="A2072" t="str">
        <f t="shared" si="48"/>
        <v/>
      </c>
    </row>
    <row r="2073" spans="1:1" x14ac:dyDescent="0.4">
      <c r="A2073" t="str">
        <f t="shared" si="48"/>
        <v/>
      </c>
    </row>
    <row r="2074" spans="1:1" x14ac:dyDescent="0.4">
      <c r="A2074" t="str">
        <f t="shared" si="48"/>
        <v/>
      </c>
    </row>
    <row r="2075" spans="1:1" x14ac:dyDescent="0.4">
      <c r="A2075" t="str">
        <f t="shared" si="48"/>
        <v/>
      </c>
    </row>
    <row r="2076" spans="1:1" x14ac:dyDescent="0.4">
      <c r="A2076" t="str">
        <f t="shared" si="48"/>
        <v/>
      </c>
    </row>
    <row r="2077" spans="1:1" x14ac:dyDescent="0.4">
      <c r="A2077" t="str">
        <f t="shared" si="48"/>
        <v/>
      </c>
    </row>
    <row r="2078" spans="1:1" x14ac:dyDescent="0.4">
      <c r="A2078" t="str">
        <f t="shared" si="48"/>
        <v/>
      </c>
    </row>
    <row r="2079" spans="1:1" x14ac:dyDescent="0.4">
      <c r="A2079" t="str">
        <f t="shared" si="48"/>
        <v/>
      </c>
    </row>
    <row r="2080" spans="1:1" x14ac:dyDescent="0.4">
      <c r="A2080" t="str">
        <f t="shared" si="48"/>
        <v/>
      </c>
    </row>
    <row r="2081" spans="1:1" x14ac:dyDescent="0.4">
      <c r="A2081" t="str">
        <f t="shared" si="48"/>
        <v/>
      </c>
    </row>
    <row r="2082" spans="1:1" x14ac:dyDescent="0.4">
      <c r="A2082" t="str">
        <f t="shared" si="48"/>
        <v/>
      </c>
    </row>
    <row r="2083" spans="1:1" x14ac:dyDescent="0.4">
      <c r="A2083" t="str">
        <f t="shared" si="48"/>
        <v/>
      </c>
    </row>
    <row r="2084" spans="1:1" x14ac:dyDescent="0.4">
      <c r="A2084" t="str">
        <f t="shared" si="48"/>
        <v/>
      </c>
    </row>
    <row r="2085" spans="1:1" x14ac:dyDescent="0.4">
      <c r="A2085" t="str">
        <f t="shared" si="48"/>
        <v/>
      </c>
    </row>
    <row r="2086" spans="1:1" x14ac:dyDescent="0.4">
      <c r="A2086" t="str">
        <f t="shared" si="48"/>
        <v/>
      </c>
    </row>
    <row r="2087" spans="1:1" x14ac:dyDescent="0.4">
      <c r="A2087" t="str">
        <f t="shared" si="48"/>
        <v/>
      </c>
    </row>
    <row r="2088" spans="1:1" x14ac:dyDescent="0.4">
      <c r="A2088" t="str">
        <f t="shared" si="48"/>
        <v/>
      </c>
    </row>
    <row r="2089" spans="1:1" x14ac:dyDescent="0.4">
      <c r="A2089" t="str">
        <f t="shared" si="48"/>
        <v/>
      </c>
    </row>
    <row r="2090" spans="1:1" x14ac:dyDescent="0.4">
      <c r="A2090" t="str">
        <f t="shared" si="48"/>
        <v/>
      </c>
    </row>
    <row r="2091" spans="1:1" x14ac:dyDescent="0.4">
      <c r="A2091" t="str">
        <f t="shared" si="48"/>
        <v/>
      </c>
    </row>
    <row r="2092" spans="1:1" x14ac:dyDescent="0.4">
      <c r="A2092" t="str">
        <f t="shared" si="48"/>
        <v/>
      </c>
    </row>
    <row r="2093" spans="1:1" x14ac:dyDescent="0.4">
      <c r="A2093" t="str">
        <f t="shared" si="48"/>
        <v/>
      </c>
    </row>
    <row r="2094" spans="1:1" x14ac:dyDescent="0.4">
      <c r="A2094" t="str">
        <f t="shared" si="48"/>
        <v/>
      </c>
    </row>
    <row r="2095" spans="1:1" x14ac:dyDescent="0.4">
      <c r="A2095" t="str">
        <f t="shared" si="48"/>
        <v/>
      </c>
    </row>
    <row r="2096" spans="1:1" x14ac:dyDescent="0.4">
      <c r="A2096" t="str">
        <f t="shared" si="48"/>
        <v/>
      </c>
    </row>
    <row r="2097" spans="1:1" x14ac:dyDescent="0.4">
      <c r="A2097" t="str">
        <f t="shared" si="48"/>
        <v/>
      </c>
    </row>
    <row r="2098" spans="1:1" x14ac:dyDescent="0.4">
      <c r="A2098" t="str">
        <f t="shared" si="48"/>
        <v/>
      </c>
    </row>
    <row r="2099" spans="1:1" x14ac:dyDescent="0.4">
      <c r="A2099" t="str">
        <f t="shared" si="48"/>
        <v/>
      </c>
    </row>
    <row r="2100" spans="1:1" x14ac:dyDescent="0.4">
      <c r="A2100" t="str">
        <f t="shared" si="48"/>
        <v/>
      </c>
    </row>
    <row r="2101" spans="1:1" x14ac:dyDescent="0.4">
      <c r="A2101" t="str">
        <f t="shared" si="48"/>
        <v/>
      </c>
    </row>
    <row r="2102" spans="1:1" x14ac:dyDescent="0.4">
      <c r="A2102" t="str">
        <f t="shared" si="48"/>
        <v/>
      </c>
    </row>
    <row r="2103" spans="1:1" x14ac:dyDescent="0.4">
      <c r="A2103" t="str">
        <f t="shared" si="48"/>
        <v/>
      </c>
    </row>
    <row r="2104" spans="1:1" x14ac:dyDescent="0.4">
      <c r="A2104" t="str">
        <f t="shared" si="48"/>
        <v/>
      </c>
    </row>
    <row r="2105" spans="1:1" x14ac:dyDescent="0.4">
      <c r="A2105" t="str">
        <f t="shared" si="48"/>
        <v/>
      </c>
    </row>
    <row r="2106" spans="1:1" x14ac:dyDescent="0.4">
      <c r="A2106" t="str">
        <f t="shared" si="48"/>
        <v/>
      </c>
    </row>
    <row r="2107" spans="1:1" x14ac:dyDescent="0.4">
      <c r="A2107" t="str">
        <f t="shared" si="48"/>
        <v/>
      </c>
    </row>
    <row r="2108" spans="1:1" x14ac:dyDescent="0.4">
      <c r="A2108" t="str">
        <f t="shared" si="48"/>
        <v/>
      </c>
    </row>
    <row r="2109" spans="1:1" x14ac:dyDescent="0.4">
      <c r="A2109" t="str">
        <f t="shared" si="48"/>
        <v/>
      </c>
    </row>
    <row r="2110" spans="1:1" x14ac:dyDescent="0.4">
      <c r="A2110" t="str">
        <f t="shared" si="48"/>
        <v/>
      </c>
    </row>
    <row r="2111" spans="1:1" x14ac:dyDescent="0.4">
      <c r="A2111" t="str">
        <f t="shared" si="48"/>
        <v/>
      </c>
    </row>
    <row r="2112" spans="1:1" x14ac:dyDescent="0.4">
      <c r="A2112" t="str">
        <f t="shared" si="48"/>
        <v/>
      </c>
    </row>
    <row r="2113" spans="1:1" x14ac:dyDescent="0.4">
      <c r="A2113" t="str">
        <f t="shared" si="48"/>
        <v/>
      </c>
    </row>
    <row r="2114" spans="1:1" x14ac:dyDescent="0.4">
      <c r="A2114" t="str">
        <f t="shared" si="48"/>
        <v/>
      </c>
    </row>
    <row r="2115" spans="1:1" x14ac:dyDescent="0.4">
      <c r="A2115" t="str">
        <f t="shared" si="48"/>
        <v/>
      </c>
    </row>
    <row r="2116" spans="1:1" x14ac:dyDescent="0.4">
      <c r="A2116" t="str">
        <f t="shared" si="48"/>
        <v/>
      </c>
    </row>
    <row r="2117" spans="1:1" x14ac:dyDescent="0.4">
      <c r="A2117" t="str">
        <f t="shared" si="48"/>
        <v/>
      </c>
    </row>
    <row r="2118" spans="1:1" x14ac:dyDescent="0.4">
      <c r="A2118" t="str">
        <f t="shared" si="48"/>
        <v/>
      </c>
    </row>
    <row r="2119" spans="1:1" x14ac:dyDescent="0.4">
      <c r="A2119" t="str">
        <f t="shared" ref="A2119:A2182" si="49">RIGHT(B2119,12)</f>
        <v/>
      </c>
    </row>
    <row r="2120" spans="1:1" x14ac:dyDescent="0.4">
      <c r="A2120" t="str">
        <f t="shared" si="49"/>
        <v/>
      </c>
    </row>
    <row r="2121" spans="1:1" x14ac:dyDescent="0.4">
      <c r="A2121" t="str">
        <f t="shared" si="49"/>
        <v/>
      </c>
    </row>
    <row r="2122" spans="1:1" x14ac:dyDescent="0.4">
      <c r="A2122" t="str">
        <f t="shared" si="49"/>
        <v/>
      </c>
    </row>
    <row r="2123" spans="1:1" x14ac:dyDescent="0.4">
      <c r="A2123" t="str">
        <f t="shared" si="49"/>
        <v/>
      </c>
    </row>
    <row r="2124" spans="1:1" x14ac:dyDescent="0.4">
      <c r="A2124" t="str">
        <f t="shared" si="49"/>
        <v/>
      </c>
    </row>
    <row r="2125" spans="1:1" x14ac:dyDescent="0.4">
      <c r="A2125" t="str">
        <f t="shared" si="49"/>
        <v/>
      </c>
    </row>
    <row r="2126" spans="1:1" x14ac:dyDescent="0.4">
      <c r="A2126" t="str">
        <f t="shared" si="49"/>
        <v/>
      </c>
    </row>
    <row r="2127" spans="1:1" x14ac:dyDescent="0.4">
      <c r="A2127" t="str">
        <f t="shared" si="49"/>
        <v/>
      </c>
    </row>
    <row r="2128" spans="1:1" x14ac:dyDescent="0.4">
      <c r="A2128" t="str">
        <f t="shared" si="49"/>
        <v/>
      </c>
    </row>
    <row r="2129" spans="1:1" x14ac:dyDescent="0.4">
      <c r="A2129" t="str">
        <f t="shared" si="49"/>
        <v/>
      </c>
    </row>
    <row r="2130" spans="1:1" x14ac:dyDescent="0.4">
      <c r="A2130" t="str">
        <f t="shared" si="49"/>
        <v/>
      </c>
    </row>
    <row r="2131" spans="1:1" x14ac:dyDescent="0.4">
      <c r="A2131" t="str">
        <f t="shared" si="49"/>
        <v/>
      </c>
    </row>
    <row r="2132" spans="1:1" x14ac:dyDescent="0.4">
      <c r="A2132" t="str">
        <f t="shared" si="49"/>
        <v/>
      </c>
    </row>
    <row r="2133" spans="1:1" x14ac:dyDescent="0.4">
      <c r="A2133" t="str">
        <f t="shared" si="49"/>
        <v/>
      </c>
    </row>
    <row r="2134" spans="1:1" x14ac:dyDescent="0.4">
      <c r="A2134" t="str">
        <f t="shared" si="49"/>
        <v/>
      </c>
    </row>
    <row r="2135" spans="1:1" x14ac:dyDescent="0.4">
      <c r="A2135" t="str">
        <f t="shared" si="49"/>
        <v/>
      </c>
    </row>
    <row r="2136" spans="1:1" x14ac:dyDescent="0.4">
      <c r="A2136" t="str">
        <f t="shared" si="49"/>
        <v/>
      </c>
    </row>
    <row r="2137" spans="1:1" x14ac:dyDescent="0.4">
      <c r="A2137" t="str">
        <f t="shared" si="49"/>
        <v/>
      </c>
    </row>
    <row r="2138" spans="1:1" x14ac:dyDescent="0.4">
      <c r="A2138" t="str">
        <f t="shared" si="49"/>
        <v/>
      </c>
    </row>
    <row r="2139" spans="1:1" x14ac:dyDescent="0.4">
      <c r="A2139" t="str">
        <f t="shared" si="49"/>
        <v/>
      </c>
    </row>
    <row r="2140" spans="1:1" x14ac:dyDescent="0.4">
      <c r="A2140" t="str">
        <f t="shared" si="49"/>
        <v/>
      </c>
    </row>
    <row r="2141" spans="1:1" x14ac:dyDescent="0.4">
      <c r="A2141" t="str">
        <f t="shared" si="49"/>
        <v/>
      </c>
    </row>
    <row r="2142" spans="1:1" x14ac:dyDescent="0.4">
      <c r="A2142" t="str">
        <f t="shared" si="49"/>
        <v/>
      </c>
    </row>
    <row r="2143" spans="1:1" x14ac:dyDescent="0.4">
      <c r="A2143" t="str">
        <f t="shared" si="49"/>
        <v/>
      </c>
    </row>
    <row r="2144" spans="1:1" x14ac:dyDescent="0.4">
      <c r="A2144" t="str">
        <f t="shared" si="49"/>
        <v/>
      </c>
    </row>
    <row r="2145" spans="1:1" x14ac:dyDescent="0.4">
      <c r="A2145" t="str">
        <f t="shared" si="49"/>
        <v/>
      </c>
    </row>
    <row r="2146" spans="1:1" x14ac:dyDescent="0.4">
      <c r="A2146" t="str">
        <f t="shared" si="49"/>
        <v/>
      </c>
    </row>
    <row r="2147" spans="1:1" x14ac:dyDescent="0.4">
      <c r="A2147" t="str">
        <f t="shared" si="49"/>
        <v/>
      </c>
    </row>
    <row r="2148" spans="1:1" x14ac:dyDescent="0.4">
      <c r="A2148" t="str">
        <f t="shared" si="49"/>
        <v/>
      </c>
    </row>
    <row r="2149" spans="1:1" x14ac:dyDescent="0.4">
      <c r="A2149" t="str">
        <f t="shared" si="49"/>
        <v/>
      </c>
    </row>
    <row r="2150" spans="1:1" x14ac:dyDescent="0.4">
      <c r="A2150" t="str">
        <f t="shared" si="49"/>
        <v/>
      </c>
    </row>
    <row r="2151" spans="1:1" x14ac:dyDescent="0.4">
      <c r="A2151" t="str">
        <f t="shared" si="49"/>
        <v/>
      </c>
    </row>
    <row r="2152" spans="1:1" x14ac:dyDescent="0.4">
      <c r="A2152" t="str">
        <f t="shared" si="49"/>
        <v/>
      </c>
    </row>
    <row r="2153" spans="1:1" x14ac:dyDescent="0.4">
      <c r="A2153" t="str">
        <f t="shared" si="49"/>
        <v/>
      </c>
    </row>
    <row r="2154" spans="1:1" x14ac:dyDescent="0.4">
      <c r="A2154" t="str">
        <f t="shared" si="49"/>
        <v/>
      </c>
    </row>
    <row r="2155" spans="1:1" x14ac:dyDescent="0.4">
      <c r="A2155" t="str">
        <f t="shared" si="49"/>
        <v/>
      </c>
    </row>
    <row r="2156" spans="1:1" x14ac:dyDescent="0.4">
      <c r="A2156" t="str">
        <f t="shared" si="49"/>
        <v/>
      </c>
    </row>
    <row r="2157" spans="1:1" x14ac:dyDescent="0.4">
      <c r="A2157" t="str">
        <f t="shared" si="49"/>
        <v/>
      </c>
    </row>
    <row r="2158" spans="1:1" x14ac:dyDescent="0.4">
      <c r="A2158" t="str">
        <f t="shared" si="49"/>
        <v/>
      </c>
    </row>
    <row r="2159" spans="1:1" x14ac:dyDescent="0.4">
      <c r="A2159" t="str">
        <f t="shared" si="49"/>
        <v/>
      </c>
    </row>
    <row r="2160" spans="1:1" x14ac:dyDescent="0.4">
      <c r="A2160" t="str">
        <f t="shared" si="49"/>
        <v/>
      </c>
    </row>
    <row r="2161" spans="1:1" x14ac:dyDescent="0.4">
      <c r="A2161" t="str">
        <f t="shared" si="49"/>
        <v/>
      </c>
    </row>
    <row r="2162" spans="1:1" x14ac:dyDescent="0.4">
      <c r="A2162" t="str">
        <f t="shared" si="49"/>
        <v/>
      </c>
    </row>
    <row r="2163" spans="1:1" x14ac:dyDescent="0.4">
      <c r="A2163" t="str">
        <f t="shared" si="49"/>
        <v/>
      </c>
    </row>
    <row r="2164" spans="1:1" x14ac:dyDescent="0.4">
      <c r="A2164" t="str">
        <f t="shared" si="49"/>
        <v/>
      </c>
    </row>
    <row r="2165" spans="1:1" x14ac:dyDescent="0.4">
      <c r="A2165" t="str">
        <f t="shared" si="49"/>
        <v/>
      </c>
    </row>
    <row r="2166" spans="1:1" x14ac:dyDescent="0.4">
      <c r="A2166" t="str">
        <f t="shared" si="49"/>
        <v/>
      </c>
    </row>
    <row r="2167" spans="1:1" x14ac:dyDescent="0.4">
      <c r="A2167" t="str">
        <f t="shared" si="49"/>
        <v/>
      </c>
    </row>
    <row r="2168" spans="1:1" x14ac:dyDescent="0.4">
      <c r="A2168" t="str">
        <f t="shared" si="49"/>
        <v/>
      </c>
    </row>
    <row r="2169" spans="1:1" x14ac:dyDescent="0.4">
      <c r="A2169" t="str">
        <f t="shared" si="49"/>
        <v/>
      </c>
    </row>
    <row r="2170" spans="1:1" x14ac:dyDescent="0.4">
      <c r="A2170" t="str">
        <f t="shared" si="49"/>
        <v/>
      </c>
    </row>
    <row r="2171" spans="1:1" x14ac:dyDescent="0.4">
      <c r="A2171" t="str">
        <f t="shared" si="49"/>
        <v/>
      </c>
    </row>
    <row r="2172" spans="1:1" x14ac:dyDescent="0.4">
      <c r="A2172" t="str">
        <f t="shared" si="49"/>
        <v/>
      </c>
    </row>
    <row r="2173" spans="1:1" x14ac:dyDescent="0.4">
      <c r="A2173" t="str">
        <f t="shared" si="49"/>
        <v/>
      </c>
    </row>
    <row r="2174" spans="1:1" x14ac:dyDescent="0.4">
      <c r="A2174" t="str">
        <f t="shared" si="49"/>
        <v/>
      </c>
    </row>
    <row r="2175" spans="1:1" x14ac:dyDescent="0.4">
      <c r="A2175" t="str">
        <f t="shared" si="49"/>
        <v/>
      </c>
    </row>
    <row r="2176" spans="1:1" x14ac:dyDescent="0.4">
      <c r="A2176" t="str">
        <f t="shared" si="49"/>
        <v/>
      </c>
    </row>
    <row r="2177" spans="1:1" x14ac:dyDescent="0.4">
      <c r="A2177" t="str">
        <f t="shared" si="49"/>
        <v/>
      </c>
    </row>
    <row r="2178" spans="1:1" x14ac:dyDescent="0.4">
      <c r="A2178" t="str">
        <f t="shared" si="49"/>
        <v/>
      </c>
    </row>
    <row r="2179" spans="1:1" x14ac:dyDescent="0.4">
      <c r="A2179" t="str">
        <f t="shared" si="49"/>
        <v/>
      </c>
    </row>
    <row r="2180" spans="1:1" x14ac:dyDescent="0.4">
      <c r="A2180" t="str">
        <f t="shared" si="49"/>
        <v/>
      </c>
    </row>
    <row r="2181" spans="1:1" x14ac:dyDescent="0.4">
      <c r="A2181" t="str">
        <f t="shared" si="49"/>
        <v/>
      </c>
    </row>
    <row r="2182" spans="1:1" x14ac:dyDescent="0.4">
      <c r="A2182" t="str">
        <f t="shared" si="49"/>
        <v/>
      </c>
    </row>
    <row r="2183" spans="1:1" x14ac:dyDescent="0.4">
      <c r="A2183" t="str">
        <f t="shared" ref="A2183:A2246" si="50">RIGHT(B2183,12)</f>
        <v/>
      </c>
    </row>
    <row r="2184" spans="1:1" x14ac:dyDescent="0.4">
      <c r="A2184" t="str">
        <f t="shared" si="50"/>
        <v/>
      </c>
    </row>
    <row r="2185" spans="1:1" x14ac:dyDescent="0.4">
      <c r="A2185" t="str">
        <f t="shared" si="50"/>
        <v/>
      </c>
    </row>
    <row r="2186" spans="1:1" x14ac:dyDescent="0.4">
      <c r="A2186" t="str">
        <f t="shared" si="50"/>
        <v/>
      </c>
    </row>
    <row r="2187" spans="1:1" x14ac:dyDescent="0.4">
      <c r="A2187" t="str">
        <f t="shared" si="50"/>
        <v/>
      </c>
    </row>
    <row r="2188" spans="1:1" x14ac:dyDescent="0.4">
      <c r="A2188" t="str">
        <f t="shared" si="50"/>
        <v/>
      </c>
    </row>
    <row r="2189" spans="1:1" x14ac:dyDescent="0.4">
      <c r="A2189" t="str">
        <f t="shared" si="50"/>
        <v/>
      </c>
    </row>
    <row r="2190" spans="1:1" x14ac:dyDescent="0.4">
      <c r="A2190" t="str">
        <f t="shared" si="50"/>
        <v/>
      </c>
    </row>
    <row r="2191" spans="1:1" x14ac:dyDescent="0.4">
      <c r="A2191" t="str">
        <f t="shared" si="50"/>
        <v/>
      </c>
    </row>
    <row r="2192" spans="1:1" x14ac:dyDescent="0.4">
      <c r="A2192" t="str">
        <f t="shared" si="50"/>
        <v/>
      </c>
    </row>
    <row r="2193" spans="1:1" x14ac:dyDescent="0.4">
      <c r="A2193" t="str">
        <f t="shared" si="50"/>
        <v/>
      </c>
    </row>
    <row r="2194" spans="1:1" x14ac:dyDescent="0.4">
      <c r="A2194" t="str">
        <f t="shared" si="50"/>
        <v/>
      </c>
    </row>
    <row r="2195" spans="1:1" x14ac:dyDescent="0.4">
      <c r="A2195" t="str">
        <f t="shared" si="50"/>
        <v/>
      </c>
    </row>
    <row r="2196" spans="1:1" x14ac:dyDescent="0.4">
      <c r="A2196" t="str">
        <f t="shared" si="50"/>
        <v/>
      </c>
    </row>
    <row r="2197" spans="1:1" x14ac:dyDescent="0.4">
      <c r="A2197" t="str">
        <f t="shared" si="50"/>
        <v/>
      </c>
    </row>
    <row r="2198" spans="1:1" x14ac:dyDescent="0.4">
      <c r="A2198" t="str">
        <f t="shared" si="50"/>
        <v/>
      </c>
    </row>
    <row r="2199" spans="1:1" x14ac:dyDescent="0.4">
      <c r="A2199" t="str">
        <f t="shared" si="50"/>
        <v/>
      </c>
    </row>
    <row r="2200" spans="1:1" x14ac:dyDescent="0.4">
      <c r="A2200" t="str">
        <f t="shared" si="50"/>
        <v/>
      </c>
    </row>
    <row r="2201" spans="1:1" x14ac:dyDescent="0.4">
      <c r="A2201" t="str">
        <f t="shared" si="50"/>
        <v/>
      </c>
    </row>
    <row r="2202" spans="1:1" x14ac:dyDescent="0.4">
      <c r="A2202" t="str">
        <f t="shared" si="50"/>
        <v/>
      </c>
    </row>
    <row r="2203" spans="1:1" x14ac:dyDescent="0.4">
      <c r="A2203" t="str">
        <f t="shared" si="50"/>
        <v/>
      </c>
    </row>
    <row r="2204" spans="1:1" x14ac:dyDescent="0.4">
      <c r="A2204" t="str">
        <f t="shared" si="50"/>
        <v/>
      </c>
    </row>
    <row r="2205" spans="1:1" x14ac:dyDescent="0.4">
      <c r="A2205" t="str">
        <f t="shared" si="50"/>
        <v/>
      </c>
    </row>
    <row r="2206" spans="1:1" x14ac:dyDescent="0.4">
      <c r="A2206" t="str">
        <f t="shared" si="50"/>
        <v/>
      </c>
    </row>
    <row r="2207" spans="1:1" x14ac:dyDescent="0.4">
      <c r="A2207" t="str">
        <f t="shared" si="50"/>
        <v/>
      </c>
    </row>
    <row r="2208" spans="1:1" x14ac:dyDescent="0.4">
      <c r="A2208" t="str">
        <f t="shared" si="50"/>
        <v/>
      </c>
    </row>
    <row r="2209" spans="1:1" x14ac:dyDescent="0.4">
      <c r="A2209" t="str">
        <f t="shared" si="50"/>
        <v/>
      </c>
    </row>
    <row r="2210" spans="1:1" x14ac:dyDescent="0.4">
      <c r="A2210" t="str">
        <f t="shared" si="50"/>
        <v/>
      </c>
    </row>
    <row r="2211" spans="1:1" x14ac:dyDescent="0.4">
      <c r="A2211" t="str">
        <f t="shared" si="50"/>
        <v/>
      </c>
    </row>
    <row r="2212" spans="1:1" x14ac:dyDescent="0.4">
      <c r="A2212" t="str">
        <f t="shared" si="50"/>
        <v/>
      </c>
    </row>
    <row r="2213" spans="1:1" x14ac:dyDescent="0.4">
      <c r="A2213" t="str">
        <f t="shared" si="50"/>
        <v/>
      </c>
    </row>
    <row r="2214" spans="1:1" x14ac:dyDescent="0.4">
      <c r="A2214" t="str">
        <f t="shared" si="50"/>
        <v/>
      </c>
    </row>
    <row r="2215" spans="1:1" x14ac:dyDescent="0.4">
      <c r="A2215" t="str">
        <f t="shared" si="50"/>
        <v/>
      </c>
    </row>
    <row r="2216" spans="1:1" x14ac:dyDescent="0.4">
      <c r="A2216" t="str">
        <f t="shared" si="50"/>
        <v/>
      </c>
    </row>
    <row r="2217" spans="1:1" x14ac:dyDescent="0.4">
      <c r="A2217" t="str">
        <f t="shared" si="50"/>
        <v/>
      </c>
    </row>
    <row r="2218" spans="1:1" x14ac:dyDescent="0.4">
      <c r="A2218" t="str">
        <f t="shared" si="50"/>
        <v/>
      </c>
    </row>
    <row r="2219" spans="1:1" x14ac:dyDescent="0.4">
      <c r="A2219" t="str">
        <f t="shared" si="50"/>
        <v/>
      </c>
    </row>
    <row r="2220" spans="1:1" x14ac:dyDescent="0.4">
      <c r="A2220" t="str">
        <f t="shared" si="50"/>
        <v/>
      </c>
    </row>
    <row r="2221" spans="1:1" x14ac:dyDescent="0.4">
      <c r="A2221" t="str">
        <f t="shared" si="50"/>
        <v/>
      </c>
    </row>
    <row r="2222" spans="1:1" x14ac:dyDescent="0.4">
      <c r="A2222" t="str">
        <f t="shared" si="50"/>
        <v/>
      </c>
    </row>
    <row r="2223" spans="1:1" x14ac:dyDescent="0.4">
      <c r="A2223" t="str">
        <f t="shared" si="50"/>
        <v/>
      </c>
    </row>
    <row r="2224" spans="1:1" x14ac:dyDescent="0.4">
      <c r="A2224" t="str">
        <f t="shared" si="50"/>
        <v/>
      </c>
    </row>
    <row r="2225" spans="1:1" x14ac:dyDescent="0.4">
      <c r="A2225" t="str">
        <f t="shared" si="50"/>
        <v/>
      </c>
    </row>
    <row r="2226" spans="1:1" x14ac:dyDescent="0.4">
      <c r="A2226" t="str">
        <f t="shared" si="50"/>
        <v/>
      </c>
    </row>
    <row r="2227" spans="1:1" x14ac:dyDescent="0.4">
      <c r="A2227" t="str">
        <f t="shared" si="50"/>
        <v/>
      </c>
    </row>
    <row r="2228" spans="1:1" x14ac:dyDescent="0.4">
      <c r="A2228" t="str">
        <f t="shared" si="50"/>
        <v/>
      </c>
    </row>
    <row r="2229" spans="1:1" x14ac:dyDescent="0.4">
      <c r="A2229" t="str">
        <f t="shared" si="50"/>
        <v/>
      </c>
    </row>
    <row r="2230" spans="1:1" x14ac:dyDescent="0.4">
      <c r="A2230" t="str">
        <f t="shared" si="50"/>
        <v/>
      </c>
    </row>
    <row r="2231" spans="1:1" x14ac:dyDescent="0.4">
      <c r="A2231" t="str">
        <f t="shared" si="50"/>
        <v/>
      </c>
    </row>
    <row r="2232" spans="1:1" x14ac:dyDescent="0.4">
      <c r="A2232" t="str">
        <f t="shared" si="50"/>
        <v/>
      </c>
    </row>
    <row r="2233" spans="1:1" x14ac:dyDescent="0.4">
      <c r="A2233" t="str">
        <f t="shared" si="50"/>
        <v/>
      </c>
    </row>
    <row r="2234" spans="1:1" x14ac:dyDescent="0.4">
      <c r="A2234" t="str">
        <f t="shared" si="50"/>
        <v/>
      </c>
    </row>
    <row r="2235" spans="1:1" x14ac:dyDescent="0.4">
      <c r="A2235" t="str">
        <f t="shared" si="50"/>
        <v/>
      </c>
    </row>
    <row r="2236" spans="1:1" x14ac:dyDescent="0.4">
      <c r="A2236" t="str">
        <f t="shared" si="50"/>
        <v/>
      </c>
    </row>
    <row r="2237" spans="1:1" x14ac:dyDescent="0.4">
      <c r="A2237" t="str">
        <f t="shared" si="50"/>
        <v/>
      </c>
    </row>
    <row r="2238" spans="1:1" x14ac:dyDescent="0.4">
      <c r="A2238" t="str">
        <f t="shared" si="50"/>
        <v/>
      </c>
    </row>
    <row r="2239" spans="1:1" x14ac:dyDescent="0.4">
      <c r="A2239" t="str">
        <f t="shared" si="50"/>
        <v/>
      </c>
    </row>
    <row r="2240" spans="1:1" x14ac:dyDescent="0.4">
      <c r="A2240" t="str">
        <f t="shared" si="50"/>
        <v/>
      </c>
    </row>
    <row r="2241" spans="1:1" x14ac:dyDescent="0.4">
      <c r="A2241" t="str">
        <f t="shared" si="50"/>
        <v/>
      </c>
    </row>
    <row r="2242" spans="1:1" x14ac:dyDescent="0.4">
      <c r="A2242" t="str">
        <f t="shared" si="50"/>
        <v/>
      </c>
    </row>
    <row r="2243" spans="1:1" x14ac:dyDescent="0.4">
      <c r="A2243" t="str">
        <f t="shared" si="50"/>
        <v/>
      </c>
    </row>
    <row r="2244" spans="1:1" x14ac:dyDescent="0.4">
      <c r="A2244" t="str">
        <f t="shared" si="50"/>
        <v/>
      </c>
    </row>
    <row r="2245" spans="1:1" x14ac:dyDescent="0.4">
      <c r="A2245" t="str">
        <f t="shared" si="50"/>
        <v/>
      </c>
    </row>
    <row r="2246" spans="1:1" x14ac:dyDescent="0.4">
      <c r="A2246" t="str">
        <f t="shared" si="50"/>
        <v/>
      </c>
    </row>
    <row r="2247" spans="1:1" x14ac:dyDescent="0.4">
      <c r="A2247" t="str">
        <f t="shared" ref="A2247:A2310" si="51">RIGHT(B2247,12)</f>
        <v/>
      </c>
    </row>
    <row r="2248" spans="1:1" x14ac:dyDescent="0.4">
      <c r="A2248" t="str">
        <f t="shared" si="51"/>
        <v/>
      </c>
    </row>
    <row r="2249" spans="1:1" x14ac:dyDescent="0.4">
      <c r="A2249" t="str">
        <f t="shared" si="51"/>
        <v/>
      </c>
    </row>
    <row r="2250" spans="1:1" x14ac:dyDescent="0.4">
      <c r="A2250" t="str">
        <f t="shared" si="51"/>
        <v/>
      </c>
    </row>
    <row r="2251" spans="1:1" x14ac:dyDescent="0.4">
      <c r="A2251" t="str">
        <f t="shared" si="51"/>
        <v/>
      </c>
    </row>
    <row r="2252" spans="1:1" x14ac:dyDescent="0.4">
      <c r="A2252" t="str">
        <f t="shared" si="51"/>
        <v/>
      </c>
    </row>
    <row r="2253" spans="1:1" x14ac:dyDescent="0.4">
      <c r="A2253" t="str">
        <f t="shared" si="51"/>
        <v/>
      </c>
    </row>
    <row r="2254" spans="1:1" x14ac:dyDescent="0.4">
      <c r="A2254" t="str">
        <f t="shared" si="51"/>
        <v/>
      </c>
    </row>
    <row r="2255" spans="1:1" x14ac:dyDescent="0.4">
      <c r="A2255" t="str">
        <f t="shared" si="51"/>
        <v/>
      </c>
    </row>
    <row r="2256" spans="1:1" x14ac:dyDescent="0.4">
      <c r="A2256" t="str">
        <f t="shared" si="51"/>
        <v/>
      </c>
    </row>
    <row r="2257" spans="1:1" x14ac:dyDescent="0.4">
      <c r="A2257" t="str">
        <f t="shared" si="51"/>
        <v/>
      </c>
    </row>
    <row r="2258" spans="1:1" x14ac:dyDescent="0.4">
      <c r="A2258" t="str">
        <f t="shared" si="51"/>
        <v/>
      </c>
    </row>
    <row r="2259" spans="1:1" x14ac:dyDescent="0.4">
      <c r="A2259" t="str">
        <f t="shared" si="51"/>
        <v/>
      </c>
    </row>
    <row r="2260" spans="1:1" x14ac:dyDescent="0.4">
      <c r="A2260" t="str">
        <f t="shared" si="51"/>
        <v/>
      </c>
    </row>
    <row r="2261" spans="1:1" x14ac:dyDescent="0.4">
      <c r="A2261" t="str">
        <f t="shared" si="51"/>
        <v/>
      </c>
    </row>
    <row r="2262" spans="1:1" x14ac:dyDescent="0.4">
      <c r="A2262" t="str">
        <f t="shared" si="51"/>
        <v/>
      </c>
    </row>
    <row r="2263" spans="1:1" x14ac:dyDescent="0.4">
      <c r="A2263" t="str">
        <f t="shared" si="51"/>
        <v/>
      </c>
    </row>
    <row r="2264" spans="1:1" x14ac:dyDescent="0.4">
      <c r="A2264" t="str">
        <f t="shared" si="51"/>
        <v/>
      </c>
    </row>
    <row r="2265" spans="1:1" x14ac:dyDescent="0.4">
      <c r="A2265" t="str">
        <f t="shared" si="51"/>
        <v/>
      </c>
    </row>
    <row r="2266" spans="1:1" x14ac:dyDescent="0.4">
      <c r="A2266" t="str">
        <f t="shared" si="51"/>
        <v/>
      </c>
    </row>
    <row r="2267" spans="1:1" x14ac:dyDescent="0.4">
      <c r="A2267" t="str">
        <f t="shared" si="51"/>
        <v/>
      </c>
    </row>
    <row r="2268" spans="1:1" x14ac:dyDescent="0.4">
      <c r="A2268" t="str">
        <f t="shared" si="51"/>
        <v/>
      </c>
    </row>
    <row r="2269" spans="1:1" x14ac:dyDescent="0.4">
      <c r="A2269" t="str">
        <f t="shared" si="51"/>
        <v/>
      </c>
    </row>
    <row r="2270" spans="1:1" x14ac:dyDescent="0.4">
      <c r="A2270" t="str">
        <f t="shared" si="51"/>
        <v/>
      </c>
    </row>
    <row r="2271" spans="1:1" x14ac:dyDescent="0.4">
      <c r="A2271" t="str">
        <f t="shared" si="51"/>
        <v/>
      </c>
    </row>
    <row r="2272" spans="1:1" x14ac:dyDescent="0.4">
      <c r="A2272" t="str">
        <f t="shared" si="51"/>
        <v/>
      </c>
    </row>
    <row r="2273" spans="1:1" x14ac:dyDescent="0.4">
      <c r="A2273" t="str">
        <f t="shared" si="51"/>
        <v/>
      </c>
    </row>
    <row r="2274" spans="1:1" x14ac:dyDescent="0.4">
      <c r="A2274" t="str">
        <f t="shared" si="51"/>
        <v/>
      </c>
    </row>
    <row r="2275" spans="1:1" x14ac:dyDescent="0.4">
      <c r="A2275" t="str">
        <f t="shared" si="51"/>
        <v/>
      </c>
    </row>
    <row r="2276" spans="1:1" x14ac:dyDescent="0.4">
      <c r="A2276" t="str">
        <f t="shared" si="51"/>
        <v/>
      </c>
    </row>
    <row r="2277" spans="1:1" x14ac:dyDescent="0.4">
      <c r="A2277" t="str">
        <f t="shared" si="51"/>
        <v/>
      </c>
    </row>
    <row r="2278" spans="1:1" x14ac:dyDescent="0.4">
      <c r="A2278" t="str">
        <f t="shared" si="51"/>
        <v/>
      </c>
    </row>
    <row r="2279" spans="1:1" x14ac:dyDescent="0.4">
      <c r="A2279" t="str">
        <f t="shared" si="51"/>
        <v/>
      </c>
    </row>
    <row r="2280" spans="1:1" x14ac:dyDescent="0.4">
      <c r="A2280" t="str">
        <f t="shared" si="51"/>
        <v/>
      </c>
    </row>
    <row r="2281" spans="1:1" x14ac:dyDescent="0.4">
      <c r="A2281" t="str">
        <f t="shared" si="51"/>
        <v/>
      </c>
    </row>
    <row r="2282" spans="1:1" x14ac:dyDescent="0.4">
      <c r="A2282" t="str">
        <f t="shared" si="51"/>
        <v/>
      </c>
    </row>
    <row r="2283" spans="1:1" x14ac:dyDescent="0.4">
      <c r="A2283" t="str">
        <f t="shared" si="51"/>
        <v/>
      </c>
    </row>
    <row r="2284" spans="1:1" x14ac:dyDescent="0.4">
      <c r="A2284" t="str">
        <f t="shared" si="51"/>
        <v/>
      </c>
    </row>
    <row r="2285" spans="1:1" x14ac:dyDescent="0.4">
      <c r="A2285" t="str">
        <f t="shared" si="51"/>
        <v/>
      </c>
    </row>
    <row r="2286" spans="1:1" x14ac:dyDescent="0.4">
      <c r="A2286" t="str">
        <f t="shared" si="51"/>
        <v/>
      </c>
    </row>
    <row r="2287" spans="1:1" x14ac:dyDescent="0.4">
      <c r="A2287" t="str">
        <f t="shared" si="51"/>
        <v/>
      </c>
    </row>
    <row r="2288" spans="1:1" x14ac:dyDescent="0.4">
      <c r="A2288" t="str">
        <f t="shared" si="51"/>
        <v/>
      </c>
    </row>
    <row r="2289" spans="1:1" x14ac:dyDescent="0.4">
      <c r="A2289" t="str">
        <f t="shared" si="51"/>
        <v/>
      </c>
    </row>
    <row r="2290" spans="1:1" x14ac:dyDescent="0.4">
      <c r="A2290" t="str">
        <f t="shared" si="51"/>
        <v/>
      </c>
    </row>
    <row r="2291" spans="1:1" x14ac:dyDescent="0.4">
      <c r="A2291" t="str">
        <f t="shared" si="51"/>
        <v/>
      </c>
    </row>
    <row r="2292" spans="1:1" x14ac:dyDescent="0.4">
      <c r="A2292" t="str">
        <f t="shared" si="51"/>
        <v/>
      </c>
    </row>
    <row r="2293" spans="1:1" x14ac:dyDescent="0.4">
      <c r="A2293" t="str">
        <f t="shared" si="51"/>
        <v/>
      </c>
    </row>
    <row r="2294" spans="1:1" x14ac:dyDescent="0.4">
      <c r="A2294" t="str">
        <f t="shared" si="51"/>
        <v/>
      </c>
    </row>
    <row r="2295" spans="1:1" x14ac:dyDescent="0.4">
      <c r="A2295" t="str">
        <f t="shared" si="51"/>
        <v/>
      </c>
    </row>
    <row r="2296" spans="1:1" x14ac:dyDescent="0.4">
      <c r="A2296" t="str">
        <f t="shared" si="51"/>
        <v/>
      </c>
    </row>
    <row r="2297" spans="1:1" x14ac:dyDescent="0.4">
      <c r="A2297" t="str">
        <f t="shared" si="51"/>
        <v/>
      </c>
    </row>
    <row r="2298" spans="1:1" x14ac:dyDescent="0.4">
      <c r="A2298" t="str">
        <f t="shared" si="51"/>
        <v/>
      </c>
    </row>
    <row r="2299" spans="1:1" x14ac:dyDescent="0.4">
      <c r="A2299" t="str">
        <f t="shared" si="51"/>
        <v/>
      </c>
    </row>
    <row r="2300" spans="1:1" x14ac:dyDescent="0.4">
      <c r="A2300" t="str">
        <f t="shared" si="51"/>
        <v/>
      </c>
    </row>
    <row r="2301" spans="1:1" x14ac:dyDescent="0.4">
      <c r="A2301" t="str">
        <f t="shared" si="51"/>
        <v/>
      </c>
    </row>
    <row r="2302" spans="1:1" x14ac:dyDescent="0.4">
      <c r="A2302" t="str">
        <f t="shared" si="51"/>
        <v/>
      </c>
    </row>
    <row r="2303" spans="1:1" x14ac:dyDescent="0.4">
      <c r="A2303" t="str">
        <f t="shared" si="51"/>
        <v/>
      </c>
    </row>
    <row r="2304" spans="1:1" x14ac:dyDescent="0.4">
      <c r="A2304" t="str">
        <f t="shared" si="51"/>
        <v/>
      </c>
    </row>
    <row r="2305" spans="1:1" x14ac:dyDescent="0.4">
      <c r="A2305" t="str">
        <f t="shared" si="51"/>
        <v/>
      </c>
    </row>
    <row r="2306" spans="1:1" x14ac:dyDescent="0.4">
      <c r="A2306" t="str">
        <f t="shared" si="51"/>
        <v/>
      </c>
    </row>
    <row r="2307" spans="1:1" x14ac:dyDescent="0.4">
      <c r="A2307" t="str">
        <f t="shared" si="51"/>
        <v/>
      </c>
    </row>
    <row r="2308" spans="1:1" x14ac:dyDescent="0.4">
      <c r="A2308" t="str">
        <f t="shared" si="51"/>
        <v/>
      </c>
    </row>
    <row r="2309" spans="1:1" x14ac:dyDescent="0.4">
      <c r="A2309" t="str">
        <f t="shared" si="51"/>
        <v/>
      </c>
    </row>
    <row r="2310" spans="1:1" x14ac:dyDescent="0.4">
      <c r="A2310" t="str">
        <f t="shared" si="51"/>
        <v/>
      </c>
    </row>
    <row r="2311" spans="1:1" x14ac:dyDescent="0.4">
      <c r="A2311" t="str">
        <f t="shared" ref="A2311:A2374" si="52">RIGHT(B2311,12)</f>
        <v/>
      </c>
    </row>
    <row r="2312" spans="1:1" x14ac:dyDescent="0.4">
      <c r="A2312" t="str">
        <f t="shared" si="52"/>
        <v/>
      </c>
    </row>
    <row r="2313" spans="1:1" x14ac:dyDescent="0.4">
      <c r="A2313" t="str">
        <f t="shared" si="52"/>
        <v/>
      </c>
    </row>
    <row r="2314" spans="1:1" x14ac:dyDescent="0.4">
      <c r="A2314" t="str">
        <f t="shared" si="52"/>
        <v/>
      </c>
    </row>
    <row r="2315" spans="1:1" x14ac:dyDescent="0.4">
      <c r="A2315" t="str">
        <f t="shared" si="52"/>
        <v/>
      </c>
    </row>
    <row r="2316" spans="1:1" x14ac:dyDescent="0.4">
      <c r="A2316" t="str">
        <f t="shared" si="52"/>
        <v/>
      </c>
    </row>
    <row r="2317" spans="1:1" x14ac:dyDescent="0.4">
      <c r="A2317" t="str">
        <f t="shared" si="52"/>
        <v/>
      </c>
    </row>
    <row r="2318" spans="1:1" x14ac:dyDescent="0.4">
      <c r="A2318" t="str">
        <f t="shared" si="52"/>
        <v/>
      </c>
    </row>
    <row r="2319" spans="1:1" x14ac:dyDescent="0.4">
      <c r="A2319" t="str">
        <f t="shared" si="52"/>
        <v/>
      </c>
    </row>
    <row r="2320" spans="1:1" x14ac:dyDescent="0.4">
      <c r="A2320" t="str">
        <f t="shared" si="52"/>
        <v/>
      </c>
    </row>
    <row r="2321" spans="1:1" x14ac:dyDescent="0.4">
      <c r="A2321" t="str">
        <f t="shared" si="52"/>
        <v/>
      </c>
    </row>
    <row r="2322" spans="1:1" x14ac:dyDescent="0.4">
      <c r="A2322" t="str">
        <f t="shared" si="52"/>
        <v/>
      </c>
    </row>
    <row r="2323" spans="1:1" x14ac:dyDescent="0.4">
      <c r="A2323" t="str">
        <f t="shared" si="52"/>
        <v/>
      </c>
    </row>
    <row r="2324" spans="1:1" x14ac:dyDescent="0.4">
      <c r="A2324" t="str">
        <f t="shared" si="52"/>
        <v/>
      </c>
    </row>
    <row r="2325" spans="1:1" x14ac:dyDescent="0.4">
      <c r="A2325" t="str">
        <f t="shared" si="52"/>
        <v/>
      </c>
    </row>
    <row r="2326" spans="1:1" x14ac:dyDescent="0.4">
      <c r="A2326" t="str">
        <f t="shared" si="52"/>
        <v/>
      </c>
    </row>
    <row r="2327" spans="1:1" x14ac:dyDescent="0.4">
      <c r="A2327" t="str">
        <f t="shared" si="52"/>
        <v/>
      </c>
    </row>
    <row r="2328" spans="1:1" x14ac:dyDescent="0.4">
      <c r="A2328" t="str">
        <f t="shared" si="52"/>
        <v/>
      </c>
    </row>
    <row r="2329" spans="1:1" x14ac:dyDescent="0.4">
      <c r="A2329" t="str">
        <f t="shared" si="52"/>
        <v/>
      </c>
    </row>
    <row r="2330" spans="1:1" x14ac:dyDescent="0.4">
      <c r="A2330" t="str">
        <f t="shared" si="52"/>
        <v/>
      </c>
    </row>
    <row r="2331" spans="1:1" x14ac:dyDescent="0.4">
      <c r="A2331" t="str">
        <f t="shared" si="52"/>
        <v/>
      </c>
    </row>
    <row r="2332" spans="1:1" x14ac:dyDescent="0.4">
      <c r="A2332" t="str">
        <f t="shared" si="52"/>
        <v/>
      </c>
    </row>
    <row r="2333" spans="1:1" x14ac:dyDescent="0.4">
      <c r="A2333" t="str">
        <f t="shared" si="52"/>
        <v/>
      </c>
    </row>
    <row r="2334" spans="1:1" x14ac:dyDescent="0.4">
      <c r="A2334" t="str">
        <f t="shared" si="52"/>
        <v/>
      </c>
    </row>
    <row r="2335" spans="1:1" x14ac:dyDescent="0.4">
      <c r="A2335" t="str">
        <f t="shared" si="52"/>
        <v/>
      </c>
    </row>
    <row r="2336" spans="1:1" x14ac:dyDescent="0.4">
      <c r="A2336" t="str">
        <f t="shared" si="52"/>
        <v/>
      </c>
    </row>
    <row r="2337" spans="1:1" x14ac:dyDescent="0.4">
      <c r="A2337" t="str">
        <f t="shared" si="52"/>
        <v/>
      </c>
    </row>
    <row r="2338" spans="1:1" x14ac:dyDescent="0.4">
      <c r="A2338" t="str">
        <f t="shared" si="52"/>
        <v/>
      </c>
    </row>
    <row r="2339" spans="1:1" x14ac:dyDescent="0.4">
      <c r="A2339" t="str">
        <f t="shared" si="52"/>
        <v/>
      </c>
    </row>
    <row r="2340" spans="1:1" x14ac:dyDescent="0.4">
      <c r="A2340" t="str">
        <f t="shared" si="52"/>
        <v/>
      </c>
    </row>
    <row r="2341" spans="1:1" x14ac:dyDescent="0.4">
      <c r="A2341" t="str">
        <f t="shared" si="52"/>
        <v/>
      </c>
    </row>
    <row r="2342" spans="1:1" x14ac:dyDescent="0.4">
      <c r="A2342" t="str">
        <f t="shared" si="52"/>
        <v/>
      </c>
    </row>
    <row r="2343" spans="1:1" x14ac:dyDescent="0.4">
      <c r="A2343" t="str">
        <f t="shared" si="52"/>
        <v/>
      </c>
    </row>
    <row r="2344" spans="1:1" x14ac:dyDescent="0.4">
      <c r="A2344" t="str">
        <f t="shared" si="52"/>
        <v/>
      </c>
    </row>
    <row r="2345" spans="1:1" x14ac:dyDescent="0.4">
      <c r="A2345" t="str">
        <f t="shared" si="52"/>
        <v/>
      </c>
    </row>
    <row r="2346" spans="1:1" x14ac:dyDescent="0.4">
      <c r="A2346" t="str">
        <f t="shared" si="52"/>
        <v/>
      </c>
    </row>
    <row r="2347" spans="1:1" x14ac:dyDescent="0.4">
      <c r="A2347" t="str">
        <f t="shared" si="52"/>
        <v/>
      </c>
    </row>
    <row r="2348" spans="1:1" x14ac:dyDescent="0.4">
      <c r="A2348" t="str">
        <f t="shared" si="52"/>
        <v/>
      </c>
    </row>
    <row r="2349" spans="1:1" x14ac:dyDescent="0.4">
      <c r="A2349" t="str">
        <f t="shared" si="52"/>
        <v/>
      </c>
    </row>
    <row r="2350" spans="1:1" x14ac:dyDescent="0.4">
      <c r="A2350" t="str">
        <f t="shared" si="52"/>
        <v/>
      </c>
    </row>
    <row r="2351" spans="1:1" x14ac:dyDescent="0.4">
      <c r="A2351" t="str">
        <f t="shared" si="52"/>
        <v/>
      </c>
    </row>
    <row r="2352" spans="1:1" x14ac:dyDescent="0.4">
      <c r="A2352" t="str">
        <f t="shared" si="52"/>
        <v/>
      </c>
    </row>
    <row r="2353" spans="1:1" x14ac:dyDescent="0.4">
      <c r="A2353" t="str">
        <f t="shared" si="52"/>
        <v/>
      </c>
    </row>
    <row r="2354" spans="1:1" x14ac:dyDescent="0.4">
      <c r="A2354" t="str">
        <f t="shared" si="52"/>
        <v/>
      </c>
    </row>
    <row r="2355" spans="1:1" x14ac:dyDescent="0.4">
      <c r="A2355" t="str">
        <f t="shared" si="52"/>
        <v/>
      </c>
    </row>
    <row r="2356" spans="1:1" x14ac:dyDescent="0.4">
      <c r="A2356" t="str">
        <f t="shared" si="52"/>
        <v/>
      </c>
    </row>
    <row r="2357" spans="1:1" x14ac:dyDescent="0.4">
      <c r="A2357" t="str">
        <f t="shared" si="52"/>
        <v/>
      </c>
    </row>
    <row r="2358" spans="1:1" x14ac:dyDescent="0.4">
      <c r="A2358" t="str">
        <f t="shared" si="52"/>
        <v/>
      </c>
    </row>
    <row r="2359" spans="1:1" x14ac:dyDescent="0.4">
      <c r="A2359" t="str">
        <f t="shared" si="52"/>
        <v/>
      </c>
    </row>
    <row r="2360" spans="1:1" x14ac:dyDescent="0.4">
      <c r="A2360" t="str">
        <f t="shared" si="52"/>
        <v/>
      </c>
    </row>
    <row r="2361" spans="1:1" x14ac:dyDescent="0.4">
      <c r="A2361" t="str">
        <f t="shared" si="52"/>
        <v/>
      </c>
    </row>
    <row r="2362" spans="1:1" x14ac:dyDescent="0.4">
      <c r="A2362" t="str">
        <f t="shared" si="52"/>
        <v/>
      </c>
    </row>
    <row r="2363" spans="1:1" x14ac:dyDescent="0.4">
      <c r="A2363" t="str">
        <f t="shared" si="52"/>
        <v/>
      </c>
    </row>
    <row r="2364" spans="1:1" x14ac:dyDescent="0.4">
      <c r="A2364" t="str">
        <f t="shared" si="52"/>
        <v/>
      </c>
    </row>
    <row r="2365" spans="1:1" x14ac:dyDescent="0.4">
      <c r="A2365" t="str">
        <f t="shared" si="52"/>
        <v/>
      </c>
    </row>
    <row r="2366" spans="1:1" x14ac:dyDescent="0.4">
      <c r="A2366" t="str">
        <f t="shared" si="52"/>
        <v/>
      </c>
    </row>
    <row r="2367" spans="1:1" x14ac:dyDescent="0.4">
      <c r="A2367" t="str">
        <f t="shared" si="52"/>
        <v/>
      </c>
    </row>
    <row r="2368" spans="1:1" x14ac:dyDescent="0.4">
      <c r="A2368" t="str">
        <f t="shared" si="52"/>
        <v/>
      </c>
    </row>
    <row r="2369" spans="1:1" x14ac:dyDescent="0.4">
      <c r="A2369" t="str">
        <f t="shared" si="52"/>
        <v/>
      </c>
    </row>
    <row r="2370" spans="1:1" x14ac:dyDescent="0.4">
      <c r="A2370" t="str">
        <f t="shared" si="52"/>
        <v/>
      </c>
    </row>
    <row r="2371" spans="1:1" x14ac:dyDescent="0.4">
      <c r="A2371" t="str">
        <f t="shared" si="52"/>
        <v/>
      </c>
    </row>
    <row r="2372" spans="1:1" x14ac:dyDescent="0.4">
      <c r="A2372" t="str">
        <f t="shared" si="52"/>
        <v/>
      </c>
    </row>
    <row r="2373" spans="1:1" x14ac:dyDescent="0.4">
      <c r="A2373" t="str">
        <f t="shared" si="52"/>
        <v/>
      </c>
    </row>
    <row r="2374" spans="1:1" x14ac:dyDescent="0.4">
      <c r="A2374" t="str">
        <f t="shared" si="52"/>
        <v/>
      </c>
    </row>
    <row r="2375" spans="1:1" x14ac:dyDescent="0.4">
      <c r="A2375" t="str">
        <f t="shared" ref="A2375:A2438" si="53">RIGHT(B2375,12)</f>
        <v/>
      </c>
    </row>
    <row r="2376" spans="1:1" x14ac:dyDescent="0.4">
      <c r="A2376" t="str">
        <f t="shared" si="53"/>
        <v/>
      </c>
    </row>
    <row r="2377" spans="1:1" x14ac:dyDescent="0.4">
      <c r="A2377" t="str">
        <f t="shared" si="53"/>
        <v/>
      </c>
    </row>
    <row r="2378" spans="1:1" x14ac:dyDescent="0.4">
      <c r="A2378" t="str">
        <f t="shared" si="53"/>
        <v/>
      </c>
    </row>
    <row r="2379" spans="1:1" x14ac:dyDescent="0.4">
      <c r="A2379" t="str">
        <f t="shared" si="53"/>
        <v/>
      </c>
    </row>
    <row r="2380" spans="1:1" x14ac:dyDescent="0.4">
      <c r="A2380" t="str">
        <f t="shared" si="53"/>
        <v/>
      </c>
    </row>
    <row r="2381" spans="1:1" x14ac:dyDescent="0.4">
      <c r="A2381" t="str">
        <f t="shared" si="53"/>
        <v/>
      </c>
    </row>
    <row r="2382" spans="1:1" x14ac:dyDescent="0.4">
      <c r="A2382" t="str">
        <f t="shared" si="53"/>
        <v/>
      </c>
    </row>
    <row r="2383" spans="1:1" x14ac:dyDescent="0.4">
      <c r="A2383" t="str">
        <f t="shared" si="53"/>
        <v/>
      </c>
    </row>
    <row r="2384" spans="1:1" x14ac:dyDescent="0.4">
      <c r="A2384" t="str">
        <f t="shared" si="53"/>
        <v/>
      </c>
    </row>
    <row r="2385" spans="1:1" x14ac:dyDescent="0.4">
      <c r="A2385" t="str">
        <f t="shared" si="53"/>
        <v/>
      </c>
    </row>
    <row r="2386" spans="1:1" x14ac:dyDescent="0.4">
      <c r="A2386" t="str">
        <f t="shared" si="53"/>
        <v/>
      </c>
    </row>
    <row r="2387" spans="1:1" x14ac:dyDescent="0.4">
      <c r="A2387" t="str">
        <f t="shared" si="53"/>
        <v/>
      </c>
    </row>
    <row r="2388" spans="1:1" x14ac:dyDescent="0.4">
      <c r="A2388" t="str">
        <f t="shared" si="53"/>
        <v/>
      </c>
    </row>
    <row r="2389" spans="1:1" x14ac:dyDescent="0.4">
      <c r="A2389" t="str">
        <f t="shared" si="53"/>
        <v/>
      </c>
    </row>
    <row r="2390" spans="1:1" x14ac:dyDescent="0.4">
      <c r="A2390" t="str">
        <f t="shared" si="53"/>
        <v/>
      </c>
    </row>
    <row r="2391" spans="1:1" x14ac:dyDescent="0.4">
      <c r="A2391" t="str">
        <f t="shared" si="53"/>
        <v/>
      </c>
    </row>
    <row r="2392" spans="1:1" x14ac:dyDescent="0.4">
      <c r="A2392" t="str">
        <f t="shared" si="53"/>
        <v/>
      </c>
    </row>
    <row r="2393" spans="1:1" x14ac:dyDescent="0.4">
      <c r="A2393" t="str">
        <f t="shared" si="53"/>
        <v/>
      </c>
    </row>
    <row r="2394" spans="1:1" x14ac:dyDescent="0.4">
      <c r="A2394" t="str">
        <f t="shared" si="53"/>
        <v/>
      </c>
    </row>
    <row r="2395" spans="1:1" x14ac:dyDescent="0.4">
      <c r="A2395" t="str">
        <f t="shared" si="53"/>
        <v/>
      </c>
    </row>
    <row r="2396" spans="1:1" x14ac:dyDescent="0.4">
      <c r="A2396" t="str">
        <f t="shared" si="53"/>
        <v/>
      </c>
    </row>
    <row r="2397" spans="1:1" x14ac:dyDescent="0.4">
      <c r="A2397" t="str">
        <f t="shared" si="53"/>
        <v/>
      </c>
    </row>
    <row r="2398" spans="1:1" x14ac:dyDescent="0.4">
      <c r="A2398" t="str">
        <f t="shared" si="53"/>
        <v/>
      </c>
    </row>
    <row r="2399" spans="1:1" x14ac:dyDescent="0.4">
      <c r="A2399" t="str">
        <f t="shared" si="53"/>
        <v/>
      </c>
    </row>
    <row r="2400" spans="1:1" x14ac:dyDescent="0.4">
      <c r="A2400" t="str">
        <f t="shared" si="53"/>
        <v/>
      </c>
    </row>
    <row r="2401" spans="1:1" x14ac:dyDescent="0.4">
      <c r="A2401" t="str">
        <f t="shared" si="53"/>
        <v/>
      </c>
    </row>
    <row r="2402" spans="1:1" x14ac:dyDescent="0.4">
      <c r="A2402" t="str">
        <f t="shared" si="53"/>
        <v/>
      </c>
    </row>
    <row r="2403" spans="1:1" x14ac:dyDescent="0.4">
      <c r="A2403" t="str">
        <f t="shared" si="53"/>
        <v/>
      </c>
    </row>
    <row r="2404" spans="1:1" x14ac:dyDescent="0.4">
      <c r="A2404" t="str">
        <f t="shared" si="53"/>
        <v/>
      </c>
    </row>
    <row r="2405" spans="1:1" x14ac:dyDescent="0.4">
      <c r="A2405" t="str">
        <f t="shared" si="53"/>
        <v/>
      </c>
    </row>
    <row r="2406" spans="1:1" x14ac:dyDescent="0.4">
      <c r="A2406" t="str">
        <f t="shared" si="53"/>
        <v/>
      </c>
    </row>
    <row r="2407" spans="1:1" x14ac:dyDescent="0.4">
      <c r="A2407" t="str">
        <f t="shared" si="53"/>
        <v/>
      </c>
    </row>
    <row r="2408" spans="1:1" x14ac:dyDescent="0.4">
      <c r="A2408" t="str">
        <f t="shared" si="53"/>
        <v/>
      </c>
    </row>
    <row r="2409" spans="1:1" x14ac:dyDescent="0.4">
      <c r="A2409" t="str">
        <f t="shared" si="53"/>
        <v/>
      </c>
    </row>
    <row r="2410" spans="1:1" x14ac:dyDescent="0.4">
      <c r="A2410" t="str">
        <f t="shared" si="53"/>
        <v/>
      </c>
    </row>
    <row r="2411" spans="1:1" x14ac:dyDescent="0.4">
      <c r="A2411" t="str">
        <f t="shared" si="53"/>
        <v/>
      </c>
    </row>
    <row r="2412" spans="1:1" x14ac:dyDescent="0.4">
      <c r="A2412" t="str">
        <f t="shared" si="53"/>
        <v/>
      </c>
    </row>
    <row r="2413" spans="1:1" x14ac:dyDescent="0.4">
      <c r="A2413" t="str">
        <f t="shared" si="53"/>
        <v/>
      </c>
    </row>
    <row r="2414" spans="1:1" x14ac:dyDescent="0.4">
      <c r="A2414" t="str">
        <f t="shared" si="53"/>
        <v/>
      </c>
    </row>
    <row r="2415" spans="1:1" x14ac:dyDescent="0.4">
      <c r="A2415" t="str">
        <f t="shared" si="53"/>
        <v/>
      </c>
    </row>
    <row r="2416" spans="1:1" x14ac:dyDescent="0.4">
      <c r="A2416" t="str">
        <f t="shared" si="53"/>
        <v/>
      </c>
    </row>
    <row r="2417" spans="1:1" x14ac:dyDescent="0.4">
      <c r="A2417" t="str">
        <f t="shared" si="53"/>
        <v/>
      </c>
    </row>
    <row r="2418" spans="1:1" x14ac:dyDescent="0.4">
      <c r="A2418" t="str">
        <f t="shared" si="53"/>
        <v/>
      </c>
    </row>
    <row r="2419" spans="1:1" x14ac:dyDescent="0.4">
      <c r="A2419" t="str">
        <f t="shared" si="53"/>
        <v/>
      </c>
    </row>
    <row r="2420" spans="1:1" x14ac:dyDescent="0.4">
      <c r="A2420" t="str">
        <f t="shared" si="53"/>
        <v/>
      </c>
    </row>
    <row r="2421" spans="1:1" x14ac:dyDescent="0.4">
      <c r="A2421" t="str">
        <f t="shared" si="53"/>
        <v/>
      </c>
    </row>
    <row r="2422" spans="1:1" x14ac:dyDescent="0.4">
      <c r="A2422" t="str">
        <f t="shared" si="53"/>
        <v/>
      </c>
    </row>
    <row r="2423" spans="1:1" x14ac:dyDescent="0.4">
      <c r="A2423" t="str">
        <f t="shared" si="53"/>
        <v/>
      </c>
    </row>
    <row r="2424" spans="1:1" x14ac:dyDescent="0.4">
      <c r="A2424" t="str">
        <f t="shared" si="53"/>
        <v/>
      </c>
    </row>
    <row r="2425" spans="1:1" x14ac:dyDescent="0.4">
      <c r="A2425" t="str">
        <f t="shared" si="53"/>
        <v/>
      </c>
    </row>
    <row r="2426" spans="1:1" x14ac:dyDescent="0.4">
      <c r="A2426" t="str">
        <f t="shared" si="53"/>
        <v/>
      </c>
    </row>
    <row r="2427" spans="1:1" x14ac:dyDescent="0.4">
      <c r="A2427" t="str">
        <f t="shared" si="53"/>
        <v/>
      </c>
    </row>
    <row r="2428" spans="1:1" x14ac:dyDescent="0.4">
      <c r="A2428" t="str">
        <f t="shared" si="53"/>
        <v/>
      </c>
    </row>
    <row r="2429" spans="1:1" x14ac:dyDescent="0.4">
      <c r="A2429" t="str">
        <f t="shared" si="53"/>
        <v/>
      </c>
    </row>
    <row r="2430" spans="1:1" x14ac:dyDescent="0.4">
      <c r="A2430" t="str">
        <f t="shared" si="53"/>
        <v/>
      </c>
    </row>
    <row r="2431" spans="1:1" x14ac:dyDescent="0.4">
      <c r="A2431" t="str">
        <f t="shared" si="53"/>
        <v/>
      </c>
    </row>
    <row r="2432" spans="1:1" x14ac:dyDescent="0.4">
      <c r="A2432" t="str">
        <f t="shared" si="53"/>
        <v/>
      </c>
    </row>
    <row r="2433" spans="1:1" x14ac:dyDescent="0.4">
      <c r="A2433" t="str">
        <f t="shared" si="53"/>
        <v/>
      </c>
    </row>
    <row r="2434" spans="1:1" x14ac:dyDescent="0.4">
      <c r="A2434" t="str">
        <f t="shared" si="53"/>
        <v/>
      </c>
    </row>
    <row r="2435" spans="1:1" x14ac:dyDescent="0.4">
      <c r="A2435" t="str">
        <f t="shared" si="53"/>
        <v/>
      </c>
    </row>
    <row r="2436" spans="1:1" x14ac:dyDescent="0.4">
      <c r="A2436" t="str">
        <f t="shared" si="53"/>
        <v/>
      </c>
    </row>
    <row r="2437" spans="1:1" x14ac:dyDescent="0.4">
      <c r="A2437" t="str">
        <f t="shared" si="53"/>
        <v/>
      </c>
    </row>
    <row r="2438" spans="1:1" x14ac:dyDescent="0.4">
      <c r="A2438" t="str">
        <f t="shared" si="53"/>
        <v/>
      </c>
    </row>
    <row r="2439" spans="1:1" x14ac:dyDescent="0.4">
      <c r="A2439" t="str">
        <f t="shared" ref="A2439:A2502" si="54">RIGHT(B2439,12)</f>
        <v/>
      </c>
    </row>
    <row r="2440" spans="1:1" x14ac:dyDescent="0.4">
      <c r="A2440" t="str">
        <f t="shared" si="54"/>
        <v/>
      </c>
    </row>
    <row r="2441" spans="1:1" x14ac:dyDescent="0.4">
      <c r="A2441" t="str">
        <f t="shared" si="54"/>
        <v/>
      </c>
    </row>
    <row r="2442" spans="1:1" x14ac:dyDescent="0.4">
      <c r="A2442" t="str">
        <f t="shared" si="54"/>
        <v/>
      </c>
    </row>
    <row r="2443" spans="1:1" x14ac:dyDescent="0.4">
      <c r="A2443" t="str">
        <f t="shared" si="54"/>
        <v/>
      </c>
    </row>
    <row r="2444" spans="1:1" x14ac:dyDescent="0.4">
      <c r="A2444" t="str">
        <f t="shared" si="54"/>
        <v/>
      </c>
    </row>
    <row r="2445" spans="1:1" x14ac:dyDescent="0.4">
      <c r="A2445" t="str">
        <f t="shared" si="54"/>
        <v/>
      </c>
    </row>
    <row r="2446" spans="1:1" x14ac:dyDescent="0.4">
      <c r="A2446" t="str">
        <f t="shared" si="54"/>
        <v/>
      </c>
    </row>
    <row r="2447" spans="1:1" x14ac:dyDescent="0.4">
      <c r="A2447" t="str">
        <f t="shared" si="54"/>
        <v/>
      </c>
    </row>
    <row r="2448" spans="1:1" x14ac:dyDescent="0.4">
      <c r="A2448" t="str">
        <f t="shared" si="54"/>
        <v/>
      </c>
    </row>
    <row r="2449" spans="1:1" x14ac:dyDescent="0.4">
      <c r="A2449" t="str">
        <f t="shared" si="54"/>
        <v/>
      </c>
    </row>
    <row r="2450" spans="1:1" x14ac:dyDescent="0.4">
      <c r="A2450" t="str">
        <f t="shared" si="54"/>
        <v/>
      </c>
    </row>
    <row r="2451" spans="1:1" x14ac:dyDescent="0.4">
      <c r="A2451" t="str">
        <f t="shared" si="54"/>
        <v/>
      </c>
    </row>
    <row r="2452" spans="1:1" x14ac:dyDescent="0.4">
      <c r="A2452" t="str">
        <f t="shared" si="54"/>
        <v/>
      </c>
    </row>
    <row r="2453" spans="1:1" x14ac:dyDescent="0.4">
      <c r="A2453" t="str">
        <f t="shared" si="54"/>
        <v/>
      </c>
    </row>
    <row r="2454" spans="1:1" x14ac:dyDescent="0.4">
      <c r="A2454" t="str">
        <f t="shared" si="54"/>
        <v/>
      </c>
    </row>
    <row r="2455" spans="1:1" x14ac:dyDescent="0.4">
      <c r="A2455" t="str">
        <f t="shared" si="54"/>
        <v/>
      </c>
    </row>
    <row r="2456" spans="1:1" x14ac:dyDescent="0.4">
      <c r="A2456" t="str">
        <f t="shared" si="54"/>
        <v/>
      </c>
    </row>
    <row r="2457" spans="1:1" x14ac:dyDescent="0.4">
      <c r="A2457" t="str">
        <f t="shared" si="54"/>
        <v/>
      </c>
    </row>
    <row r="2458" spans="1:1" x14ac:dyDescent="0.4">
      <c r="A2458" t="str">
        <f t="shared" si="54"/>
        <v/>
      </c>
    </row>
    <row r="2459" spans="1:1" x14ac:dyDescent="0.4">
      <c r="A2459" t="str">
        <f t="shared" si="54"/>
        <v/>
      </c>
    </row>
    <row r="2460" spans="1:1" x14ac:dyDescent="0.4">
      <c r="A2460" t="str">
        <f t="shared" si="54"/>
        <v/>
      </c>
    </row>
    <row r="2461" spans="1:1" x14ac:dyDescent="0.4">
      <c r="A2461" t="str">
        <f t="shared" si="54"/>
        <v/>
      </c>
    </row>
    <row r="2462" spans="1:1" x14ac:dyDescent="0.4">
      <c r="A2462" t="str">
        <f t="shared" si="54"/>
        <v/>
      </c>
    </row>
    <row r="2463" spans="1:1" x14ac:dyDescent="0.4">
      <c r="A2463" t="str">
        <f t="shared" si="54"/>
        <v/>
      </c>
    </row>
    <row r="2464" spans="1:1" x14ac:dyDescent="0.4">
      <c r="A2464" t="str">
        <f t="shared" si="54"/>
        <v/>
      </c>
    </row>
    <row r="2465" spans="1:1" x14ac:dyDescent="0.4">
      <c r="A2465" t="str">
        <f t="shared" si="54"/>
        <v/>
      </c>
    </row>
    <row r="2466" spans="1:1" x14ac:dyDescent="0.4">
      <c r="A2466" t="str">
        <f t="shared" si="54"/>
        <v/>
      </c>
    </row>
    <row r="2467" spans="1:1" x14ac:dyDescent="0.4">
      <c r="A2467" t="str">
        <f t="shared" si="54"/>
        <v/>
      </c>
    </row>
    <row r="2468" spans="1:1" x14ac:dyDescent="0.4">
      <c r="A2468" t="str">
        <f t="shared" si="54"/>
        <v/>
      </c>
    </row>
    <row r="2469" spans="1:1" x14ac:dyDescent="0.4">
      <c r="A2469" t="str">
        <f t="shared" si="54"/>
        <v/>
      </c>
    </row>
    <row r="2470" spans="1:1" x14ac:dyDescent="0.4">
      <c r="A2470" t="str">
        <f t="shared" si="54"/>
        <v/>
      </c>
    </row>
    <row r="2471" spans="1:1" x14ac:dyDescent="0.4">
      <c r="A2471" t="str">
        <f t="shared" si="54"/>
        <v/>
      </c>
    </row>
    <row r="2472" spans="1:1" x14ac:dyDescent="0.4">
      <c r="A2472" t="str">
        <f t="shared" si="54"/>
        <v/>
      </c>
    </row>
    <row r="2473" spans="1:1" x14ac:dyDescent="0.4">
      <c r="A2473" t="str">
        <f t="shared" si="54"/>
        <v/>
      </c>
    </row>
    <row r="2474" spans="1:1" x14ac:dyDescent="0.4">
      <c r="A2474" t="str">
        <f t="shared" si="54"/>
        <v/>
      </c>
    </row>
    <row r="2475" spans="1:1" x14ac:dyDescent="0.4">
      <c r="A2475" t="str">
        <f t="shared" si="54"/>
        <v/>
      </c>
    </row>
    <row r="2476" spans="1:1" x14ac:dyDescent="0.4">
      <c r="A2476" t="str">
        <f t="shared" si="54"/>
        <v/>
      </c>
    </row>
    <row r="2477" spans="1:1" x14ac:dyDescent="0.4">
      <c r="A2477" t="str">
        <f t="shared" si="54"/>
        <v/>
      </c>
    </row>
    <row r="2478" spans="1:1" x14ac:dyDescent="0.4">
      <c r="A2478" t="str">
        <f t="shared" si="54"/>
        <v/>
      </c>
    </row>
    <row r="2479" spans="1:1" x14ac:dyDescent="0.4">
      <c r="A2479" t="str">
        <f t="shared" si="54"/>
        <v/>
      </c>
    </row>
    <row r="2480" spans="1:1" x14ac:dyDescent="0.4">
      <c r="A2480" t="str">
        <f t="shared" si="54"/>
        <v/>
      </c>
    </row>
    <row r="2481" spans="1:1" x14ac:dyDescent="0.4">
      <c r="A2481" t="str">
        <f t="shared" si="54"/>
        <v/>
      </c>
    </row>
    <row r="2482" spans="1:1" x14ac:dyDescent="0.4">
      <c r="A2482" t="str">
        <f t="shared" si="54"/>
        <v/>
      </c>
    </row>
    <row r="2483" spans="1:1" x14ac:dyDescent="0.4">
      <c r="A2483" t="str">
        <f t="shared" si="54"/>
        <v/>
      </c>
    </row>
    <row r="2484" spans="1:1" x14ac:dyDescent="0.4">
      <c r="A2484" t="str">
        <f t="shared" si="54"/>
        <v/>
      </c>
    </row>
    <row r="2485" spans="1:1" x14ac:dyDescent="0.4">
      <c r="A2485" t="str">
        <f t="shared" si="54"/>
        <v/>
      </c>
    </row>
    <row r="2486" spans="1:1" x14ac:dyDescent="0.4">
      <c r="A2486" t="str">
        <f t="shared" si="54"/>
        <v/>
      </c>
    </row>
    <row r="2487" spans="1:1" x14ac:dyDescent="0.4">
      <c r="A2487" t="str">
        <f t="shared" si="54"/>
        <v/>
      </c>
    </row>
    <row r="2488" spans="1:1" x14ac:dyDescent="0.4">
      <c r="A2488" t="str">
        <f t="shared" si="54"/>
        <v/>
      </c>
    </row>
    <row r="2489" spans="1:1" x14ac:dyDescent="0.4">
      <c r="A2489" t="str">
        <f t="shared" si="54"/>
        <v/>
      </c>
    </row>
    <row r="2490" spans="1:1" x14ac:dyDescent="0.4">
      <c r="A2490" t="str">
        <f t="shared" si="54"/>
        <v/>
      </c>
    </row>
    <row r="2491" spans="1:1" x14ac:dyDescent="0.4">
      <c r="A2491" t="str">
        <f t="shared" si="54"/>
        <v/>
      </c>
    </row>
    <row r="2492" spans="1:1" x14ac:dyDescent="0.4">
      <c r="A2492" t="str">
        <f t="shared" si="54"/>
        <v/>
      </c>
    </row>
    <row r="2493" spans="1:1" x14ac:dyDescent="0.4">
      <c r="A2493" t="str">
        <f t="shared" si="54"/>
        <v/>
      </c>
    </row>
    <row r="2494" spans="1:1" x14ac:dyDescent="0.4">
      <c r="A2494" t="str">
        <f t="shared" si="54"/>
        <v/>
      </c>
    </row>
    <row r="2495" spans="1:1" x14ac:dyDescent="0.4">
      <c r="A2495" t="str">
        <f t="shared" si="54"/>
        <v/>
      </c>
    </row>
    <row r="2496" spans="1:1" x14ac:dyDescent="0.4">
      <c r="A2496" t="str">
        <f t="shared" si="54"/>
        <v/>
      </c>
    </row>
    <row r="2497" spans="1:1" x14ac:dyDescent="0.4">
      <c r="A2497" t="str">
        <f t="shared" si="54"/>
        <v/>
      </c>
    </row>
    <row r="2498" spans="1:1" x14ac:dyDescent="0.4">
      <c r="A2498" t="str">
        <f t="shared" si="54"/>
        <v/>
      </c>
    </row>
    <row r="2499" spans="1:1" x14ac:dyDescent="0.4">
      <c r="A2499" t="str">
        <f t="shared" si="54"/>
        <v/>
      </c>
    </row>
    <row r="2500" spans="1:1" x14ac:dyDescent="0.4">
      <c r="A2500" t="str">
        <f t="shared" si="54"/>
        <v/>
      </c>
    </row>
    <row r="2501" spans="1:1" x14ac:dyDescent="0.4">
      <c r="A2501" t="str">
        <f t="shared" si="54"/>
        <v/>
      </c>
    </row>
    <row r="2502" spans="1:1" x14ac:dyDescent="0.4">
      <c r="A2502" t="str">
        <f t="shared" si="54"/>
        <v/>
      </c>
    </row>
    <row r="2503" spans="1:1" x14ac:dyDescent="0.4">
      <c r="A2503" t="str">
        <f t="shared" ref="A2503:A2566" si="55">RIGHT(B2503,12)</f>
        <v/>
      </c>
    </row>
    <row r="2504" spans="1:1" x14ac:dyDescent="0.4">
      <c r="A2504" t="str">
        <f t="shared" si="55"/>
        <v/>
      </c>
    </row>
    <row r="2505" spans="1:1" x14ac:dyDescent="0.4">
      <c r="A2505" t="str">
        <f t="shared" si="55"/>
        <v/>
      </c>
    </row>
    <row r="2506" spans="1:1" x14ac:dyDescent="0.4">
      <c r="A2506" t="str">
        <f t="shared" si="55"/>
        <v/>
      </c>
    </row>
    <row r="2507" spans="1:1" x14ac:dyDescent="0.4">
      <c r="A2507" t="str">
        <f t="shared" si="55"/>
        <v/>
      </c>
    </row>
    <row r="2508" spans="1:1" x14ac:dyDescent="0.4">
      <c r="A2508" t="str">
        <f t="shared" si="55"/>
        <v/>
      </c>
    </row>
    <row r="2509" spans="1:1" x14ac:dyDescent="0.4">
      <c r="A2509" t="str">
        <f t="shared" si="55"/>
        <v/>
      </c>
    </row>
    <row r="2510" spans="1:1" x14ac:dyDescent="0.4">
      <c r="A2510" t="str">
        <f t="shared" si="55"/>
        <v/>
      </c>
    </row>
    <row r="2511" spans="1:1" x14ac:dyDescent="0.4">
      <c r="A2511" t="str">
        <f t="shared" si="55"/>
        <v/>
      </c>
    </row>
    <row r="2512" spans="1:1" x14ac:dyDescent="0.4">
      <c r="A2512" t="str">
        <f t="shared" si="55"/>
        <v/>
      </c>
    </row>
    <row r="2513" spans="1:1" x14ac:dyDescent="0.4">
      <c r="A2513" t="str">
        <f t="shared" si="55"/>
        <v/>
      </c>
    </row>
    <row r="2514" spans="1:1" x14ac:dyDescent="0.4">
      <c r="A2514" t="str">
        <f t="shared" si="55"/>
        <v/>
      </c>
    </row>
    <row r="2515" spans="1:1" x14ac:dyDescent="0.4">
      <c r="A2515" t="str">
        <f t="shared" si="55"/>
        <v/>
      </c>
    </row>
    <row r="2516" spans="1:1" x14ac:dyDescent="0.4">
      <c r="A2516" t="str">
        <f t="shared" si="55"/>
        <v/>
      </c>
    </row>
    <row r="2517" spans="1:1" x14ac:dyDescent="0.4">
      <c r="A2517" t="str">
        <f t="shared" si="55"/>
        <v/>
      </c>
    </row>
    <row r="2518" spans="1:1" x14ac:dyDescent="0.4">
      <c r="A2518" t="str">
        <f t="shared" si="55"/>
        <v/>
      </c>
    </row>
    <row r="2519" spans="1:1" x14ac:dyDescent="0.4">
      <c r="A2519" t="str">
        <f t="shared" si="55"/>
        <v/>
      </c>
    </row>
    <row r="2520" spans="1:1" x14ac:dyDescent="0.4">
      <c r="A2520" t="str">
        <f t="shared" si="55"/>
        <v/>
      </c>
    </row>
    <row r="2521" spans="1:1" x14ac:dyDescent="0.4">
      <c r="A2521" t="str">
        <f t="shared" si="55"/>
        <v/>
      </c>
    </row>
    <row r="2522" spans="1:1" x14ac:dyDescent="0.4">
      <c r="A2522" t="str">
        <f t="shared" si="55"/>
        <v/>
      </c>
    </row>
    <row r="2523" spans="1:1" x14ac:dyDescent="0.4">
      <c r="A2523" t="str">
        <f t="shared" si="55"/>
        <v/>
      </c>
    </row>
    <row r="2524" spans="1:1" x14ac:dyDescent="0.4">
      <c r="A2524" t="str">
        <f t="shared" si="55"/>
        <v/>
      </c>
    </row>
    <row r="2525" spans="1:1" x14ac:dyDescent="0.4">
      <c r="A2525" t="str">
        <f t="shared" si="55"/>
        <v/>
      </c>
    </row>
    <row r="2526" spans="1:1" x14ac:dyDescent="0.4">
      <c r="A2526" t="str">
        <f t="shared" si="55"/>
        <v/>
      </c>
    </row>
    <row r="2527" spans="1:1" x14ac:dyDescent="0.4">
      <c r="A2527" t="str">
        <f t="shared" si="55"/>
        <v/>
      </c>
    </row>
    <row r="2528" spans="1:1" x14ac:dyDescent="0.4">
      <c r="A2528" t="str">
        <f t="shared" si="55"/>
        <v/>
      </c>
    </row>
    <row r="2529" spans="1:1" x14ac:dyDescent="0.4">
      <c r="A2529" t="str">
        <f t="shared" si="55"/>
        <v/>
      </c>
    </row>
    <row r="2530" spans="1:1" x14ac:dyDescent="0.4">
      <c r="A2530" t="str">
        <f t="shared" si="55"/>
        <v/>
      </c>
    </row>
    <row r="2531" spans="1:1" x14ac:dyDescent="0.4">
      <c r="A2531" t="str">
        <f t="shared" si="55"/>
        <v/>
      </c>
    </row>
    <row r="2532" spans="1:1" x14ac:dyDescent="0.4">
      <c r="A2532" t="str">
        <f t="shared" si="55"/>
        <v/>
      </c>
    </row>
    <row r="2533" spans="1:1" x14ac:dyDescent="0.4">
      <c r="A2533" t="str">
        <f t="shared" si="55"/>
        <v/>
      </c>
    </row>
    <row r="2534" spans="1:1" x14ac:dyDescent="0.4">
      <c r="A2534" t="str">
        <f t="shared" si="55"/>
        <v/>
      </c>
    </row>
    <row r="2535" spans="1:1" x14ac:dyDescent="0.4">
      <c r="A2535" t="str">
        <f t="shared" si="55"/>
        <v/>
      </c>
    </row>
    <row r="2536" spans="1:1" x14ac:dyDescent="0.4">
      <c r="A2536" t="str">
        <f t="shared" si="55"/>
        <v/>
      </c>
    </row>
    <row r="2537" spans="1:1" x14ac:dyDescent="0.4">
      <c r="A2537" t="str">
        <f t="shared" si="55"/>
        <v/>
      </c>
    </row>
    <row r="2538" spans="1:1" x14ac:dyDescent="0.4">
      <c r="A2538" t="str">
        <f t="shared" si="55"/>
        <v/>
      </c>
    </row>
    <row r="2539" spans="1:1" x14ac:dyDescent="0.4">
      <c r="A2539" t="str">
        <f t="shared" si="55"/>
        <v/>
      </c>
    </row>
    <row r="2540" spans="1:1" x14ac:dyDescent="0.4">
      <c r="A2540" t="str">
        <f t="shared" si="55"/>
        <v/>
      </c>
    </row>
    <row r="2541" spans="1:1" x14ac:dyDescent="0.4">
      <c r="A2541" t="str">
        <f t="shared" si="55"/>
        <v/>
      </c>
    </row>
    <row r="2542" spans="1:1" x14ac:dyDescent="0.4">
      <c r="A2542" t="str">
        <f t="shared" si="55"/>
        <v/>
      </c>
    </row>
    <row r="2543" spans="1:1" x14ac:dyDescent="0.4">
      <c r="A2543" t="str">
        <f t="shared" si="55"/>
        <v/>
      </c>
    </row>
    <row r="2544" spans="1:1" x14ac:dyDescent="0.4">
      <c r="A2544" t="str">
        <f t="shared" si="55"/>
        <v/>
      </c>
    </row>
    <row r="2545" spans="1:1" x14ac:dyDescent="0.4">
      <c r="A2545" t="str">
        <f t="shared" si="55"/>
        <v/>
      </c>
    </row>
    <row r="2546" spans="1:1" x14ac:dyDescent="0.4">
      <c r="A2546" t="str">
        <f t="shared" si="55"/>
        <v/>
      </c>
    </row>
    <row r="2547" spans="1:1" x14ac:dyDescent="0.4">
      <c r="A2547" t="str">
        <f t="shared" si="55"/>
        <v/>
      </c>
    </row>
    <row r="2548" spans="1:1" x14ac:dyDescent="0.4">
      <c r="A2548" t="str">
        <f t="shared" si="55"/>
        <v/>
      </c>
    </row>
    <row r="2549" spans="1:1" x14ac:dyDescent="0.4">
      <c r="A2549" t="str">
        <f t="shared" si="55"/>
        <v/>
      </c>
    </row>
    <row r="2550" spans="1:1" x14ac:dyDescent="0.4">
      <c r="A2550" t="str">
        <f t="shared" si="55"/>
        <v/>
      </c>
    </row>
    <row r="2551" spans="1:1" x14ac:dyDescent="0.4">
      <c r="A2551" t="str">
        <f t="shared" si="55"/>
        <v/>
      </c>
    </row>
    <row r="2552" spans="1:1" x14ac:dyDescent="0.4">
      <c r="A2552" t="str">
        <f t="shared" si="55"/>
        <v/>
      </c>
    </row>
    <row r="2553" spans="1:1" x14ac:dyDescent="0.4">
      <c r="A2553" t="str">
        <f t="shared" si="55"/>
        <v/>
      </c>
    </row>
    <row r="2554" spans="1:1" x14ac:dyDescent="0.4">
      <c r="A2554" t="str">
        <f t="shared" si="55"/>
        <v/>
      </c>
    </row>
    <row r="2555" spans="1:1" x14ac:dyDescent="0.4">
      <c r="A2555" t="str">
        <f t="shared" si="55"/>
        <v/>
      </c>
    </row>
    <row r="2556" spans="1:1" x14ac:dyDescent="0.4">
      <c r="A2556" t="str">
        <f t="shared" si="55"/>
        <v/>
      </c>
    </row>
    <row r="2557" spans="1:1" x14ac:dyDescent="0.4">
      <c r="A2557" t="str">
        <f t="shared" si="55"/>
        <v/>
      </c>
    </row>
    <row r="2558" spans="1:1" x14ac:dyDescent="0.4">
      <c r="A2558" t="str">
        <f t="shared" si="55"/>
        <v/>
      </c>
    </row>
    <row r="2559" spans="1:1" x14ac:dyDescent="0.4">
      <c r="A2559" t="str">
        <f t="shared" si="55"/>
        <v/>
      </c>
    </row>
    <row r="2560" spans="1:1" x14ac:dyDescent="0.4">
      <c r="A2560" t="str">
        <f t="shared" si="55"/>
        <v/>
      </c>
    </row>
    <row r="2561" spans="1:1" x14ac:dyDescent="0.4">
      <c r="A2561" t="str">
        <f t="shared" si="55"/>
        <v/>
      </c>
    </row>
    <row r="2562" spans="1:1" x14ac:dyDescent="0.4">
      <c r="A2562" t="str">
        <f t="shared" si="55"/>
        <v/>
      </c>
    </row>
    <row r="2563" spans="1:1" x14ac:dyDescent="0.4">
      <c r="A2563" t="str">
        <f t="shared" si="55"/>
        <v/>
      </c>
    </row>
    <row r="2564" spans="1:1" x14ac:dyDescent="0.4">
      <c r="A2564" t="str">
        <f t="shared" si="55"/>
        <v/>
      </c>
    </row>
    <row r="2565" spans="1:1" x14ac:dyDescent="0.4">
      <c r="A2565" t="str">
        <f t="shared" si="55"/>
        <v/>
      </c>
    </row>
    <row r="2566" spans="1:1" x14ac:dyDescent="0.4">
      <c r="A2566" t="str">
        <f t="shared" si="55"/>
        <v/>
      </c>
    </row>
    <row r="2567" spans="1:1" x14ac:dyDescent="0.4">
      <c r="A2567" t="str">
        <f t="shared" ref="A2567:A2630" si="56">RIGHT(B2567,12)</f>
        <v/>
      </c>
    </row>
    <row r="2568" spans="1:1" x14ac:dyDescent="0.4">
      <c r="A2568" t="str">
        <f t="shared" si="56"/>
        <v/>
      </c>
    </row>
    <row r="2569" spans="1:1" x14ac:dyDescent="0.4">
      <c r="A2569" t="str">
        <f t="shared" si="56"/>
        <v/>
      </c>
    </row>
    <row r="2570" spans="1:1" x14ac:dyDescent="0.4">
      <c r="A2570" t="str">
        <f t="shared" si="56"/>
        <v/>
      </c>
    </row>
    <row r="2571" spans="1:1" x14ac:dyDescent="0.4">
      <c r="A2571" t="str">
        <f t="shared" si="56"/>
        <v/>
      </c>
    </row>
    <row r="2572" spans="1:1" x14ac:dyDescent="0.4">
      <c r="A2572" t="str">
        <f t="shared" si="56"/>
        <v/>
      </c>
    </row>
    <row r="2573" spans="1:1" x14ac:dyDescent="0.4">
      <c r="A2573" t="str">
        <f t="shared" si="56"/>
        <v/>
      </c>
    </row>
    <row r="2574" spans="1:1" x14ac:dyDescent="0.4">
      <c r="A2574" t="str">
        <f t="shared" si="56"/>
        <v/>
      </c>
    </row>
    <row r="2575" spans="1:1" x14ac:dyDescent="0.4">
      <c r="A2575" t="str">
        <f t="shared" si="56"/>
        <v/>
      </c>
    </row>
    <row r="2576" spans="1:1" x14ac:dyDescent="0.4">
      <c r="A2576" t="str">
        <f t="shared" si="56"/>
        <v/>
      </c>
    </row>
    <row r="2577" spans="1:1" x14ac:dyDescent="0.4">
      <c r="A2577" t="str">
        <f t="shared" si="56"/>
        <v/>
      </c>
    </row>
    <row r="2578" spans="1:1" x14ac:dyDescent="0.4">
      <c r="A2578" t="str">
        <f t="shared" si="56"/>
        <v/>
      </c>
    </row>
    <row r="2579" spans="1:1" x14ac:dyDescent="0.4">
      <c r="A2579" t="str">
        <f t="shared" si="56"/>
        <v/>
      </c>
    </row>
    <row r="2580" spans="1:1" x14ac:dyDescent="0.4">
      <c r="A2580" t="str">
        <f t="shared" si="56"/>
        <v/>
      </c>
    </row>
    <row r="2581" spans="1:1" x14ac:dyDescent="0.4">
      <c r="A2581" t="str">
        <f t="shared" si="56"/>
        <v/>
      </c>
    </row>
    <row r="2582" spans="1:1" x14ac:dyDescent="0.4">
      <c r="A2582" t="str">
        <f t="shared" si="56"/>
        <v/>
      </c>
    </row>
    <row r="2583" spans="1:1" x14ac:dyDescent="0.4">
      <c r="A2583" t="str">
        <f t="shared" si="56"/>
        <v/>
      </c>
    </row>
    <row r="2584" spans="1:1" x14ac:dyDescent="0.4">
      <c r="A2584" t="str">
        <f t="shared" si="56"/>
        <v/>
      </c>
    </row>
    <row r="2585" spans="1:1" x14ac:dyDescent="0.4">
      <c r="A2585" t="str">
        <f t="shared" si="56"/>
        <v/>
      </c>
    </row>
    <row r="2586" spans="1:1" x14ac:dyDescent="0.4">
      <c r="A2586" t="str">
        <f t="shared" si="56"/>
        <v/>
      </c>
    </row>
    <row r="2587" spans="1:1" x14ac:dyDescent="0.4">
      <c r="A2587" t="str">
        <f t="shared" si="56"/>
        <v/>
      </c>
    </row>
    <row r="2588" spans="1:1" x14ac:dyDescent="0.4">
      <c r="A2588" t="str">
        <f t="shared" si="56"/>
        <v/>
      </c>
    </row>
    <row r="2589" spans="1:1" x14ac:dyDescent="0.4">
      <c r="A2589" t="str">
        <f t="shared" si="56"/>
        <v/>
      </c>
    </row>
    <row r="2590" spans="1:1" x14ac:dyDescent="0.4">
      <c r="A2590" t="str">
        <f t="shared" si="56"/>
        <v/>
      </c>
    </row>
    <row r="2591" spans="1:1" x14ac:dyDescent="0.4">
      <c r="A2591" t="str">
        <f t="shared" si="56"/>
        <v/>
      </c>
    </row>
    <row r="2592" spans="1:1" x14ac:dyDescent="0.4">
      <c r="A2592" t="str">
        <f t="shared" si="56"/>
        <v/>
      </c>
    </row>
    <row r="2593" spans="1:1" x14ac:dyDescent="0.4">
      <c r="A2593" t="str">
        <f t="shared" si="56"/>
        <v/>
      </c>
    </row>
    <row r="2594" spans="1:1" x14ac:dyDescent="0.4">
      <c r="A2594" t="str">
        <f t="shared" si="56"/>
        <v/>
      </c>
    </row>
    <row r="2595" spans="1:1" x14ac:dyDescent="0.4">
      <c r="A2595" t="str">
        <f t="shared" si="56"/>
        <v/>
      </c>
    </row>
    <row r="2596" spans="1:1" x14ac:dyDescent="0.4">
      <c r="A2596" t="str">
        <f t="shared" si="56"/>
        <v/>
      </c>
    </row>
    <row r="2597" spans="1:1" x14ac:dyDescent="0.4">
      <c r="A2597" t="str">
        <f t="shared" si="56"/>
        <v/>
      </c>
    </row>
    <row r="2598" spans="1:1" x14ac:dyDescent="0.4">
      <c r="A2598" t="str">
        <f t="shared" si="56"/>
        <v/>
      </c>
    </row>
    <row r="2599" spans="1:1" x14ac:dyDescent="0.4">
      <c r="A2599" t="str">
        <f t="shared" si="56"/>
        <v/>
      </c>
    </row>
    <row r="2600" spans="1:1" x14ac:dyDescent="0.4">
      <c r="A2600" t="str">
        <f t="shared" si="56"/>
        <v/>
      </c>
    </row>
    <row r="2601" spans="1:1" x14ac:dyDescent="0.4">
      <c r="A2601" t="str">
        <f t="shared" si="56"/>
        <v/>
      </c>
    </row>
    <row r="2602" spans="1:1" x14ac:dyDescent="0.4">
      <c r="A2602" t="str">
        <f t="shared" si="56"/>
        <v/>
      </c>
    </row>
    <row r="2603" spans="1:1" x14ac:dyDescent="0.4">
      <c r="A2603" t="str">
        <f t="shared" si="56"/>
        <v/>
      </c>
    </row>
    <row r="2604" spans="1:1" x14ac:dyDescent="0.4">
      <c r="A2604" t="str">
        <f t="shared" si="56"/>
        <v/>
      </c>
    </row>
    <row r="2605" spans="1:1" x14ac:dyDescent="0.4">
      <c r="A2605" t="str">
        <f t="shared" si="56"/>
        <v/>
      </c>
    </row>
    <row r="2606" spans="1:1" x14ac:dyDescent="0.4">
      <c r="A2606" t="str">
        <f t="shared" si="56"/>
        <v/>
      </c>
    </row>
    <row r="2607" spans="1:1" x14ac:dyDescent="0.4">
      <c r="A2607" t="str">
        <f t="shared" si="56"/>
        <v/>
      </c>
    </row>
    <row r="2608" spans="1:1" x14ac:dyDescent="0.4">
      <c r="A2608" t="str">
        <f t="shared" si="56"/>
        <v/>
      </c>
    </row>
    <row r="2609" spans="1:1" x14ac:dyDescent="0.4">
      <c r="A2609" t="str">
        <f t="shared" si="56"/>
        <v/>
      </c>
    </row>
    <row r="2610" spans="1:1" x14ac:dyDescent="0.4">
      <c r="A2610" t="str">
        <f t="shared" si="56"/>
        <v/>
      </c>
    </row>
    <row r="2611" spans="1:1" x14ac:dyDescent="0.4">
      <c r="A2611" t="str">
        <f t="shared" si="56"/>
        <v/>
      </c>
    </row>
    <row r="2612" spans="1:1" x14ac:dyDescent="0.4">
      <c r="A2612" t="str">
        <f t="shared" si="56"/>
        <v/>
      </c>
    </row>
    <row r="2613" spans="1:1" x14ac:dyDescent="0.4">
      <c r="A2613" t="str">
        <f t="shared" si="56"/>
        <v/>
      </c>
    </row>
    <row r="2614" spans="1:1" x14ac:dyDescent="0.4">
      <c r="A2614" t="str">
        <f t="shared" si="56"/>
        <v/>
      </c>
    </row>
    <row r="2615" spans="1:1" x14ac:dyDescent="0.4">
      <c r="A2615" t="str">
        <f t="shared" si="56"/>
        <v/>
      </c>
    </row>
    <row r="2616" spans="1:1" x14ac:dyDescent="0.4">
      <c r="A2616" t="str">
        <f t="shared" si="56"/>
        <v/>
      </c>
    </row>
    <row r="2617" spans="1:1" x14ac:dyDescent="0.4">
      <c r="A2617" t="str">
        <f t="shared" si="56"/>
        <v/>
      </c>
    </row>
    <row r="2618" spans="1:1" x14ac:dyDescent="0.4">
      <c r="A2618" t="str">
        <f t="shared" si="56"/>
        <v/>
      </c>
    </row>
    <row r="2619" spans="1:1" x14ac:dyDescent="0.4">
      <c r="A2619" t="str">
        <f t="shared" si="56"/>
        <v/>
      </c>
    </row>
    <row r="2620" spans="1:1" x14ac:dyDescent="0.4">
      <c r="A2620" t="str">
        <f t="shared" si="56"/>
        <v/>
      </c>
    </row>
    <row r="2621" spans="1:1" x14ac:dyDescent="0.4">
      <c r="A2621" t="str">
        <f t="shared" si="56"/>
        <v/>
      </c>
    </row>
    <row r="2622" spans="1:1" x14ac:dyDescent="0.4">
      <c r="A2622" t="str">
        <f t="shared" si="56"/>
        <v/>
      </c>
    </row>
    <row r="2623" spans="1:1" x14ac:dyDescent="0.4">
      <c r="A2623" t="str">
        <f t="shared" si="56"/>
        <v/>
      </c>
    </row>
    <row r="2624" spans="1:1" x14ac:dyDescent="0.4">
      <c r="A2624" t="str">
        <f t="shared" si="56"/>
        <v/>
      </c>
    </row>
    <row r="2625" spans="1:1" x14ac:dyDescent="0.4">
      <c r="A2625" t="str">
        <f t="shared" si="56"/>
        <v/>
      </c>
    </row>
    <row r="2626" spans="1:1" x14ac:dyDescent="0.4">
      <c r="A2626" t="str">
        <f t="shared" si="56"/>
        <v/>
      </c>
    </row>
    <row r="2627" spans="1:1" x14ac:dyDescent="0.4">
      <c r="A2627" t="str">
        <f t="shared" si="56"/>
        <v/>
      </c>
    </row>
    <row r="2628" spans="1:1" x14ac:dyDescent="0.4">
      <c r="A2628" t="str">
        <f t="shared" si="56"/>
        <v/>
      </c>
    </row>
    <row r="2629" spans="1:1" x14ac:dyDescent="0.4">
      <c r="A2629" t="str">
        <f t="shared" si="56"/>
        <v/>
      </c>
    </row>
    <row r="2630" spans="1:1" x14ac:dyDescent="0.4">
      <c r="A2630" t="str">
        <f t="shared" si="56"/>
        <v/>
      </c>
    </row>
    <row r="2631" spans="1:1" x14ac:dyDescent="0.4">
      <c r="A2631" t="str">
        <f t="shared" ref="A2631:A2694" si="57">RIGHT(B2631,12)</f>
        <v/>
      </c>
    </row>
    <row r="2632" spans="1:1" x14ac:dyDescent="0.4">
      <c r="A2632" t="str">
        <f t="shared" si="57"/>
        <v/>
      </c>
    </row>
    <row r="2633" spans="1:1" x14ac:dyDescent="0.4">
      <c r="A2633" t="str">
        <f t="shared" si="57"/>
        <v/>
      </c>
    </row>
    <row r="2634" spans="1:1" x14ac:dyDescent="0.4">
      <c r="A2634" t="str">
        <f t="shared" si="57"/>
        <v/>
      </c>
    </row>
    <row r="2635" spans="1:1" x14ac:dyDescent="0.4">
      <c r="A2635" t="str">
        <f t="shared" si="57"/>
        <v/>
      </c>
    </row>
    <row r="2636" spans="1:1" x14ac:dyDescent="0.4">
      <c r="A2636" t="str">
        <f t="shared" si="57"/>
        <v/>
      </c>
    </row>
    <row r="2637" spans="1:1" x14ac:dyDescent="0.4">
      <c r="A2637" t="str">
        <f t="shared" si="57"/>
        <v/>
      </c>
    </row>
    <row r="2638" spans="1:1" x14ac:dyDescent="0.4">
      <c r="A2638" t="str">
        <f t="shared" si="57"/>
        <v/>
      </c>
    </row>
    <row r="2639" spans="1:1" x14ac:dyDescent="0.4">
      <c r="A2639" t="str">
        <f t="shared" si="57"/>
        <v/>
      </c>
    </row>
    <row r="2640" spans="1:1" x14ac:dyDescent="0.4">
      <c r="A2640" t="str">
        <f t="shared" si="57"/>
        <v/>
      </c>
    </row>
    <row r="2641" spans="1:1" x14ac:dyDescent="0.4">
      <c r="A2641" t="str">
        <f t="shared" si="57"/>
        <v/>
      </c>
    </row>
    <row r="2642" spans="1:1" x14ac:dyDescent="0.4">
      <c r="A2642" t="str">
        <f t="shared" si="57"/>
        <v/>
      </c>
    </row>
    <row r="2643" spans="1:1" x14ac:dyDescent="0.4">
      <c r="A2643" t="str">
        <f t="shared" si="57"/>
        <v/>
      </c>
    </row>
    <row r="2644" spans="1:1" x14ac:dyDescent="0.4">
      <c r="A2644" t="str">
        <f t="shared" si="57"/>
        <v/>
      </c>
    </row>
    <row r="2645" spans="1:1" x14ac:dyDescent="0.4">
      <c r="A2645" t="str">
        <f t="shared" si="57"/>
        <v/>
      </c>
    </row>
    <row r="2646" spans="1:1" x14ac:dyDescent="0.4">
      <c r="A2646" t="str">
        <f t="shared" si="57"/>
        <v/>
      </c>
    </row>
    <row r="2647" spans="1:1" x14ac:dyDescent="0.4">
      <c r="A2647" t="str">
        <f t="shared" si="57"/>
        <v/>
      </c>
    </row>
    <row r="2648" spans="1:1" x14ac:dyDescent="0.4">
      <c r="A2648" t="str">
        <f t="shared" si="57"/>
        <v/>
      </c>
    </row>
    <row r="2649" spans="1:1" x14ac:dyDescent="0.4">
      <c r="A2649" t="str">
        <f t="shared" si="57"/>
        <v/>
      </c>
    </row>
    <row r="2650" spans="1:1" x14ac:dyDescent="0.4">
      <c r="A2650" t="str">
        <f t="shared" si="57"/>
        <v/>
      </c>
    </row>
    <row r="2651" spans="1:1" x14ac:dyDescent="0.4">
      <c r="A2651" t="str">
        <f t="shared" si="57"/>
        <v/>
      </c>
    </row>
    <row r="2652" spans="1:1" x14ac:dyDescent="0.4">
      <c r="A2652" t="str">
        <f t="shared" si="57"/>
        <v/>
      </c>
    </row>
    <row r="2653" spans="1:1" x14ac:dyDescent="0.4">
      <c r="A2653" t="str">
        <f t="shared" si="57"/>
        <v/>
      </c>
    </row>
    <row r="2654" spans="1:1" x14ac:dyDescent="0.4">
      <c r="A2654" t="str">
        <f t="shared" si="57"/>
        <v/>
      </c>
    </row>
    <row r="2655" spans="1:1" x14ac:dyDescent="0.4">
      <c r="A2655" t="str">
        <f t="shared" si="57"/>
        <v/>
      </c>
    </row>
    <row r="2656" spans="1:1" x14ac:dyDescent="0.4">
      <c r="A2656" t="str">
        <f t="shared" si="57"/>
        <v/>
      </c>
    </row>
    <row r="2657" spans="1:1" x14ac:dyDescent="0.4">
      <c r="A2657" t="str">
        <f t="shared" si="57"/>
        <v/>
      </c>
    </row>
    <row r="2658" spans="1:1" x14ac:dyDescent="0.4">
      <c r="A2658" t="str">
        <f t="shared" si="57"/>
        <v/>
      </c>
    </row>
    <row r="2659" spans="1:1" x14ac:dyDescent="0.4">
      <c r="A2659" t="str">
        <f t="shared" si="57"/>
        <v/>
      </c>
    </row>
    <row r="2660" spans="1:1" x14ac:dyDescent="0.4">
      <c r="A2660" t="str">
        <f t="shared" si="57"/>
        <v/>
      </c>
    </row>
    <row r="2661" spans="1:1" x14ac:dyDescent="0.4">
      <c r="A2661" t="str">
        <f t="shared" si="57"/>
        <v/>
      </c>
    </row>
    <row r="2662" spans="1:1" x14ac:dyDescent="0.4">
      <c r="A2662" t="str">
        <f t="shared" si="57"/>
        <v/>
      </c>
    </row>
    <row r="2663" spans="1:1" x14ac:dyDescent="0.4">
      <c r="A2663" t="str">
        <f t="shared" si="57"/>
        <v/>
      </c>
    </row>
    <row r="2664" spans="1:1" x14ac:dyDescent="0.4">
      <c r="A2664" t="str">
        <f t="shared" si="57"/>
        <v/>
      </c>
    </row>
    <row r="2665" spans="1:1" x14ac:dyDescent="0.4">
      <c r="A2665" t="str">
        <f t="shared" si="57"/>
        <v/>
      </c>
    </row>
    <row r="2666" spans="1:1" x14ac:dyDescent="0.4">
      <c r="A2666" t="str">
        <f t="shared" si="57"/>
        <v/>
      </c>
    </row>
    <row r="2667" spans="1:1" x14ac:dyDescent="0.4">
      <c r="A2667" t="str">
        <f t="shared" si="57"/>
        <v/>
      </c>
    </row>
    <row r="2668" spans="1:1" x14ac:dyDescent="0.4">
      <c r="A2668" t="str">
        <f t="shared" si="57"/>
        <v/>
      </c>
    </row>
    <row r="2669" spans="1:1" x14ac:dyDescent="0.4">
      <c r="A2669" t="str">
        <f t="shared" si="57"/>
        <v/>
      </c>
    </row>
    <row r="2670" spans="1:1" x14ac:dyDescent="0.4">
      <c r="A2670" t="str">
        <f t="shared" si="57"/>
        <v/>
      </c>
    </row>
    <row r="2671" spans="1:1" x14ac:dyDescent="0.4">
      <c r="A2671" t="str">
        <f t="shared" si="57"/>
        <v/>
      </c>
    </row>
    <row r="2672" spans="1:1" x14ac:dyDescent="0.4">
      <c r="A2672" t="str">
        <f t="shared" si="57"/>
        <v/>
      </c>
    </row>
    <row r="2673" spans="1:1" x14ac:dyDescent="0.4">
      <c r="A2673" t="str">
        <f t="shared" si="57"/>
        <v/>
      </c>
    </row>
    <row r="2674" spans="1:1" x14ac:dyDescent="0.4">
      <c r="A2674" t="str">
        <f t="shared" si="57"/>
        <v/>
      </c>
    </row>
    <row r="2675" spans="1:1" x14ac:dyDescent="0.4">
      <c r="A2675" t="str">
        <f t="shared" si="57"/>
        <v/>
      </c>
    </row>
    <row r="2676" spans="1:1" x14ac:dyDescent="0.4">
      <c r="A2676" t="str">
        <f t="shared" si="57"/>
        <v/>
      </c>
    </row>
    <row r="2677" spans="1:1" x14ac:dyDescent="0.4">
      <c r="A2677" t="str">
        <f t="shared" si="57"/>
        <v/>
      </c>
    </row>
    <row r="2678" spans="1:1" x14ac:dyDescent="0.4">
      <c r="A2678" t="str">
        <f t="shared" si="57"/>
        <v/>
      </c>
    </row>
    <row r="2679" spans="1:1" x14ac:dyDescent="0.4">
      <c r="A2679" t="str">
        <f t="shared" si="57"/>
        <v/>
      </c>
    </row>
    <row r="2680" spans="1:1" x14ac:dyDescent="0.4">
      <c r="A2680" t="str">
        <f t="shared" si="57"/>
        <v/>
      </c>
    </row>
    <row r="2681" spans="1:1" x14ac:dyDescent="0.4">
      <c r="A2681" t="str">
        <f t="shared" si="57"/>
        <v/>
      </c>
    </row>
    <row r="2682" spans="1:1" x14ac:dyDescent="0.4">
      <c r="A2682" t="str">
        <f t="shared" si="57"/>
        <v/>
      </c>
    </row>
    <row r="2683" spans="1:1" x14ac:dyDescent="0.4">
      <c r="A2683" t="str">
        <f t="shared" si="57"/>
        <v/>
      </c>
    </row>
    <row r="2684" spans="1:1" x14ac:dyDescent="0.4">
      <c r="A2684" t="str">
        <f t="shared" si="57"/>
        <v/>
      </c>
    </row>
    <row r="2685" spans="1:1" x14ac:dyDescent="0.4">
      <c r="A2685" t="str">
        <f t="shared" si="57"/>
        <v/>
      </c>
    </row>
    <row r="2686" spans="1:1" x14ac:dyDescent="0.4">
      <c r="A2686" t="str">
        <f t="shared" si="57"/>
        <v/>
      </c>
    </row>
    <row r="2687" spans="1:1" x14ac:dyDescent="0.4">
      <c r="A2687" t="str">
        <f t="shared" si="57"/>
        <v/>
      </c>
    </row>
    <row r="2688" spans="1:1" x14ac:dyDescent="0.4">
      <c r="A2688" t="str">
        <f t="shared" si="57"/>
        <v/>
      </c>
    </row>
    <row r="2689" spans="1:1" x14ac:dyDescent="0.4">
      <c r="A2689" t="str">
        <f t="shared" si="57"/>
        <v/>
      </c>
    </row>
    <row r="2690" spans="1:1" x14ac:dyDescent="0.4">
      <c r="A2690" t="str">
        <f t="shared" si="57"/>
        <v/>
      </c>
    </row>
    <row r="2691" spans="1:1" x14ac:dyDescent="0.4">
      <c r="A2691" t="str">
        <f t="shared" si="57"/>
        <v/>
      </c>
    </row>
    <row r="2692" spans="1:1" x14ac:dyDescent="0.4">
      <c r="A2692" t="str">
        <f t="shared" si="57"/>
        <v/>
      </c>
    </row>
    <row r="2693" spans="1:1" x14ac:dyDescent="0.4">
      <c r="A2693" t="str">
        <f t="shared" si="57"/>
        <v/>
      </c>
    </row>
    <row r="2694" spans="1:1" x14ac:dyDescent="0.4">
      <c r="A2694" t="str">
        <f t="shared" si="57"/>
        <v/>
      </c>
    </row>
    <row r="2695" spans="1:1" x14ac:dyDescent="0.4">
      <c r="A2695" t="str">
        <f t="shared" ref="A2695:A2758" si="58">RIGHT(B2695,12)</f>
        <v/>
      </c>
    </row>
    <row r="2696" spans="1:1" x14ac:dyDescent="0.4">
      <c r="A2696" t="str">
        <f t="shared" si="58"/>
        <v/>
      </c>
    </row>
    <row r="2697" spans="1:1" x14ac:dyDescent="0.4">
      <c r="A2697" t="str">
        <f t="shared" si="58"/>
        <v/>
      </c>
    </row>
    <row r="2698" spans="1:1" x14ac:dyDescent="0.4">
      <c r="A2698" t="str">
        <f t="shared" si="58"/>
        <v/>
      </c>
    </row>
    <row r="2699" spans="1:1" x14ac:dyDescent="0.4">
      <c r="A2699" t="str">
        <f t="shared" si="58"/>
        <v/>
      </c>
    </row>
    <row r="2700" spans="1:1" x14ac:dyDescent="0.4">
      <c r="A2700" t="str">
        <f t="shared" si="58"/>
        <v/>
      </c>
    </row>
    <row r="2701" spans="1:1" x14ac:dyDescent="0.4">
      <c r="A2701" t="str">
        <f t="shared" si="58"/>
        <v/>
      </c>
    </row>
    <row r="2702" spans="1:1" x14ac:dyDescent="0.4">
      <c r="A2702" t="str">
        <f t="shared" si="58"/>
        <v/>
      </c>
    </row>
    <row r="2703" spans="1:1" x14ac:dyDescent="0.4">
      <c r="A2703" t="str">
        <f t="shared" si="58"/>
        <v/>
      </c>
    </row>
    <row r="2704" spans="1:1" x14ac:dyDescent="0.4">
      <c r="A2704" t="str">
        <f t="shared" si="58"/>
        <v/>
      </c>
    </row>
    <row r="2705" spans="1:1" x14ac:dyDescent="0.4">
      <c r="A2705" t="str">
        <f t="shared" si="58"/>
        <v/>
      </c>
    </row>
    <row r="2706" spans="1:1" x14ac:dyDescent="0.4">
      <c r="A2706" t="str">
        <f t="shared" si="58"/>
        <v/>
      </c>
    </row>
    <row r="2707" spans="1:1" x14ac:dyDescent="0.4">
      <c r="A2707" t="str">
        <f t="shared" si="58"/>
        <v/>
      </c>
    </row>
    <row r="2708" spans="1:1" x14ac:dyDescent="0.4">
      <c r="A2708" t="str">
        <f t="shared" si="58"/>
        <v/>
      </c>
    </row>
    <row r="2709" spans="1:1" x14ac:dyDescent="0.4">
      <c r="A2709" t="str">
        <f t="shared" si="58"/>
        <v/>
      </c>
    </row>
    <row r="2710" spans="1:1" x14ac:dyDescent="0.4">
      <c r="A2710" t="str">
        <f t="shared" si="58"/>
        <v/>
      </c>
    </row>
    <row r="2711" spans="1:1" x14ac:dyDescent="0.4">
      <c r="A2711" t="str">
        <f t="shared" si="58"/>
        <v/>
      </c>
    </row>
    <row r="2712" spans="1:1" x14ac:dyDescent="0.4">
      <c r="A2712" t="str">
        <f t="shared" si="58"/>
        <v/>
      </c>
    </row>
    <row r="2713" spans="1:1" x14ac:dyDescent="0.4">
      <c r="A2713" t="str">
        <f t="shared" si="58"/>
        <v/>
      </c>
    </row>
    <row r="2714" spans="1:1" x14ac:dyDescent="0.4">
      <c r="A2714" t="str">
        <f t="shared" si="58"/>
        <v/>
      </c>
    </row>
    <row r="2715" spans="1:1" x14ac:dyDescent="0.4">
      <c r="A2715" t="str">
        <f t="shared" si="58"/>
        <v/>
      </c>
    </row>
    <row r="2716" spans="1:1" x14ac:dyDescent="0.4">
      <c r="A2716" t="str">
        <f t="shared" si="58"/>
        <v/>
      </c>
    </row>
    <row r="2717" spans="1:1" x14ac:dyDescent="0.4">
      <c r="A2717" t="str">
        <f t="shared" si="58"/>
        <v/>
      </c>
    </row>
    <row r="2718" spans="1:1" x14ac:dyDescent="0.4">
      <c r="A2718" t="str">
        <f t="shared" si="58"/>
        <v/>
      </c>
    </row>
    <row r="2719" spans="1:1" x14ac:dyDescent="0.4">
      <c r="A2719" t="str">
        <f t="shared" si="58"/>
        <v/>
      </c>
    </row>
    <row r="2720" spans="1:1" x14ac:dyDescent="0.4">
      <c r="A2720" t="str">
        <f t="shared" si="58"/>
        <v/>
      </c>
    </row>
    <row r="2721" spans="1:1" x14ac:dyDescent="0.4">
      <c r="A2721" t="str">
        <f t="shared" si="58"/>
        <v/>
      </c>
    </row>
    <row r="2722" spans="1:1" x14ac:dyDescent="0.4">
      <c r="A2722" t="str">
        <f t="shared" si="58"/>
        <v/>
      </c>
    </row>
    <row r="2723" spans="1:1" x14ac:dyDescent="0.4">
      <c r="A2723" t="str">
        <f t="shared" si="58"/>
        <v/>
      </c>
    </row>
    <row r="2724" spans="1:1" x14ac:dyDescent="0.4">
      <c r="A2724" t="str">
        <f t="shared" si="58"/>
        <v/>
      </c>
    </row>
    <row r="2725" spans="1:1" x14ac:dyDescent="0.4">
      <c r="A2725" t="str">
        <f t="shared" si="58"/>
        <v/>
      </c>
    </row>
    <row r="2726" spans="1:1" x14ac:dyDescent="0.4">
      <c r="A2726" t="str">
        <f t="shared" si="58"/>
        <v/>
      </c>
    </row>
    <row r="2727" spans="1:1" x14ac:dyDescent="0.4">
      <c r="A2727" t="str">
        <f t="shared" si="58"/>
        <v/>
      </c>
    </row>
    <row r="2728" spans="1:1" x14ac:dyDescent="0.4">
      <c r="A2728" t="str">
        <f t="shared" si="58"/>
        <v/>
      </c>
    </row>
    <row r="2729" spans="1:1" x14ac:dyDescent="0.4">
      <c r="A2729" t="str">
        <f t="shared" si="58"/>
        <v/>
      </c>
    </row>
    <row r="2730" spans="1:1" x14ac:dyDescent="0.4">
      <c r="A2730" t="str">
        <f t="shared" si="58"/>
        <v/>
      </c>
    </row>
    <row r="2731" spans="1:1" x14ac:dyDescent="0.4">
      <c r="A2731" t="str">
        <f t="shared" si="58"/>
        <v/>
      </c>
    </row>
    <row r="2732" spans="1:1" x14ac:dyDescent="0.4">
      <c r="A2732" t="str">
        <f t="shared" si="58"/>
        <v/>
      </c>
    </row>
    <row r="2733" spans="1:1" x14ac:dyDescent="0.4">
      <c r="A2733" t="str">
        <f t="shared" si="58"/>
        <v/>
      </c>
    </row>
    <row r="2734" spans="1:1" x14ac:dyDescent="0.4">
      <c r="A2734" t="str">
        <f t="shared" si="58"/>
        <v/>
      </c>
    </row>
    <row r="2735" spans="1:1" x14ac:dyDescent="0.4">
      <c r="A2735" t="str">
        <f t="shared" si="58"/>
        <v/>
      </c>
    </row>
    <row r="2736" spans="1:1" x14ac:dyDescent="0.4">
      <c r="A2736" t="str">
        <f t="shared" si="58"/>
        <v/>
      </c>
    </row>
    <row r="2737" spans="1:1" x14ac:dyDescent="0.4">
      <c r="A2737" t="str">
        <f t="shared" si="58"/>
        <v/>
      </c>
    </row>
    <row r="2738" spans="1:1" x14ac:dyDescent="0.4">
      <c r="A2738" t="str">
        <f t="shared" si="58"/>
        <v/>
      </c>
    </row>
    <row r="2739" spans="1:1" x14ac:dyDescent="0.4">
      <c r="A2739" t="str">
        <f t="shared" si="58"/>
        <v/>
      </c>
    </row>
    <row r="2740" spans="1:1" x14ac:dyDescent="0.4">
      <c r="A2740" t="str">
        <f t="shared" si="58"/>
        <v/>
      </c>
    </row>
    <row r="2741" spans="1:1" x14ac:dyDescent="0.4">
      <c r="A2741" t="str">
        <f t="shared" si="58"/>
        <v/>
      </c>
    </row>
    <row r="2742" spans="1:1" x14ac:dyDescent="0.4">
      <c r="A2742" t="str">
        <f t="shared" si="58"/>
        <v/>
      </c>
    </row>
    <row r="2743" spans="1:1" x14ac:dyDescent="0.4">
      <c r="A2743" t="str">
        <f t="shared" si="58"/>
        <v/>
      </c>
    </row>
    <row r="2744" spans="1:1" x14ac:dyDescent="0.4">
      <c r="A2744" t="str">
        <f t="shared" si="58"/>
        <v/>
      </c>
    </row>
    <row r="2745" spans="1:1" x14ac:dyDescent="0.4">
      <c r="A2745" t="str">
        <f t="shared" si="58"/>
        <v/>
      </c>
    </row>
    <row r="2746" spans="1:1" x14ac:dyDescent="0.4">
      <c r="A2746" t="str">
        <f t="shared" si="58"/>
        <v/>
      </c>
    </row>
    <row r="2747" spans="1:1" x14ac:dyDescent="0.4">
      <c r="A2747" t="str">
        <f t="shared" si="58"/>
        <v/>
      </c>
    </row>
    <row r="2748" spans="1:1" x14ac:dyDescent="0.4">
      <c r="A2748" t="str">
        <f t="shared" si="58"/>
        <v/>
      </c>
    </row>
    <row r="2749" spans="1:1" x14ac:dyDescent="0.4">
      <c r="A2749" t="str">
        <f t="shared" si="58"/>
        <v/>
      </c>
    </row>
    <row r="2750" spans="1:1" x14ac:dyDescent="0.4">
      <c r="A2750" t="str">
        <f t="shared" si="58"/>
        <v/>
      </c>
    </row>
    <row r="2751" spans="1:1" x14ac:dyDescent="0.4">
      <c r="A2751" t="str">
        <f t="shared" si="58"/>
        <v/>
      </c>
    </row>
    <row r="2752" spans="1:1" x14ac:dyDescent="0.4">
      <c r="A2752" t="str">
        <f t="shared" si="58"/>
        <v/>
      </c>
    </row>
    <row r="2753" spans="1:1" x14ac:dyDescent="0.4">
      <c r="A2753" t="str">
        <f t="shared" si="58"/>
        <v/>
      </c>
    </row>
    <row r="2754" spans="1:1" x14ac:dyDescent="0.4">
      <c r="A2754" t="str">
        <f t="shared" si="58"/>
        <v/>
      </c>
    </row>
    <row r="2755" spans="1:1" x14ac:dyDescent="0.4">
      <c r="A2755" t="str">
        <f t="shared" si="58"/>
        <v/>
      </c>
    </row>
    <row r="2756" spans="1:1" x14ac:dyDescent="0.4">
      <c r="A2756" t="str">
        <f t="shared" si="58"/>
        <v/>
      </c>
    </row>
    <row r="2757" spans="1:1" x14ac:dyDescent="0.4">
      <c r="A2757" t="str">
        <f t="shared" si="58"/>
        <v/>
      </c>
    </row>
    <row r="2758" spans="1:1" x14ac:dyDescent="0.4">
      <c r="A2758" t="str">
        <f t="shared" si="58"/>
        <v/>
      </c>
    </row>
    <row r="2759" spans="1:1" x14ac:dyDescent="0.4">
      <c r="A2759" t="str">
        <f t="shared" ref="A2759:A2822" si="59">RIGHT(B2759,12)</f>
        <v/>
      </c>
    </row>
    <row r="2760" spans="1:1" x14ac:dyDescent="0.4">
      <c r="A2760" t="str">
        <f t="shared" si="59"/>
        <v/>
      </c>
    </row>
    <row r="2761" spans="1:1" x14ac:dyDescent="0.4">
      <c r="A2761" t="str">
        <f t="shared" si="59"/>
        <v/>
      </c>
    </row>
    <row r="2762" spans="1:1" x14ac:dyDescent="0.4">
      <c r="A2762" t="str">
        <f t="shared" si="59"/>
        <v/>
      </c>
    </row>
    <row r="2763" spans="1:1" x14ac:dyDescent="0.4">
      <c r="A2763" t="str">
        <f t="shared" si="59"/>
        <v/>
      </c>
    </row>
    <row r="2764" spans="1:1" x14ac:dyDescent="0.4">
      <c r="A2764" t="str">
        <f t="shared" si="59"/>
        <v/>
      </c>
    </row>
    <row r="2765" spans="1:1" x14ac:dyDescent="0.4">
      <c r="A2765" t="str">
        <f t="shared" si="59"/>
        <v/>
      </c>
    </row>
    <row r="2766" spans="1:1" x14ac:dyDescent="0.4">
      <c r="A2766" t="str">
        <f t="shared" si="59"/>
        <v/>
      </c>
    </row>
    <row r="2767" spans="1:1" x14ac:dyDescent="0.4">
      <c r="A2767" t="str">
        <f t="shared" si="59"/>
        <v/>
      </c>
    </row>
    <row r="2768" spans="1:1" x14ac:dyDescent="0.4">
      <c r="A2768" t="str">
        <f t="shared" si="59"/>
        <v/>
      </c>
    </row>
    <row r="2769" spans="1:1" x14ac:dyDescent="0.4">
      <c r="A2769" t="str">
        <f t="shared" si="59"/>
        <v/>
      </c>
    </row>
    <row r="2770" spans="1:1" x14ac:dyDescent="0.4">
      <c r="A2770" t="str">
        <f t="shared" si="59"/>
        <v/>
      </c>
    </row>
    <row r="2771" spans="1:1" x14ac:dyDescent="0.4">
      <c r="A2771" t="str">
        <f t="shared" si="59"/>
        <v/>
      </c>
    </row>
    <row r="2772" spans="1:1" x14ac:dyDescent="0.4">
      <c r="A2772" t="str">
        <f t="shared" si="59"/>
        <v/>
      </c>
    </row>
    <row r="2773" spans="1:1" x14ac:dyDescent="0.4">
      <c r="A2773" t="str">
        <f t="shared" si="59"/>
        <v/>
      </c>
    </row>
    <row r="2774" spans="1:1" x14ac:dyDescent="0.4">
      <c r="A2774" t="str">
        <f t="shared" si="59"/>
        <v/>
      </c>
    </row>
    <row r="2775" spans="1:1" x14ac:dyDescent="0.4">
      <c r="A2775" t="str">
        <f t="shared" si="59"/>
        <v/>
      </c>
    </row>
    <row r="2776" spans="1:1" x14ac:dyDescent="0.4">
      <c r="A2776" t="str">
        <f t="shared" si="59"/>
        <v/>
      </c>
    </row>
    <row r="2777" spans="1:1" x14ac:dyDescent="0.4">
      <c r="A2777" t="str">
        <f t="shared" si="59"/>
        <v/>
      </c>
    </row>
    <row r="2778" spans="1:1" x14ac:dyDescent="0.4">
      <c r="A2778" t="str">
        <f t="shared" si="59"/>
        <v/>
      </c>
    </row>
    <row r="2779" spans="1:1" x14ac:dyDescent="0.4">
      <c r="A2779" t="str">
        <f t="shared" si="59"/>
        <v/>
      </c>
    </row>
    <row r="2780" spans="1:1" x14ac:dyDescent="0.4">
      <c r="A2780" t="str">
        <f t="shared" si="59"/>
        <v/>
      </c>
    </row>
    <row r="2781" spans="1:1" x14ac:dyDescent="0.4">
      <c r="A2781" t="str">
        <f t="shared" si="59"/>
        <v/>
      </c>
    </row>
    <row r="2782" spans="1:1" x14ac:dyDescent="0.4">
      <c r="A2782" t="str">
        <f t="shared" si="59"/>
        <v/>
      </c>
    </row>
    <row r="2783" spans="1:1" x14ac:dyDescent="0.4">
      <c r="A2783" t="str">
        <f t="shared" si="59"/>
        <v/>
      </c>
    </row>
    <row r="2784" spans="1:1" x14ac:dyDescent="0.4">
      <c r="A2784" t="str">
        <f t="shared" si="59"/>
        <v/>
      </c>
    </row>
    <row r="2785" spans="1:1" x14ac:dyDescent="0.4">
      <c r="A2785" t="str">
        <f t="shared" si="59"/>
        <v/>
      </c>
    </row>
    <row r="2786" spans="1:1" x14ac:dyDescent="0.4">
      <c r="A2786" t="str">
        <f t="shared" si="59"/>
        <v/>
      </c>
    </row>
    <row r="2787" spans="1:1" x14ac:dyDescent="0.4">
      <c r="A2787" t="str">
        <f t="shared" si="59"/>
        <v/>
      </c>
    </row>
    <row r="2788" spans="1:1" x14ac:dyDescent="0.4">
      <c r="A2788" t="str">
        <f t="shared" si="59"/>
        <v/>
      </c>
    </row>
    <row r="2789" spans="1:1" x14ac:dyDescent="0.4">
      <c r="A2789" t="str">
        <f t="shared" si="59"/>
        <v/>
      </c>
    </row>
    <row r="2790" spans="1:1" x14ac:dyDescent="0.4">
      <c r="A2790" t="str">
        <f t="shared" si="59"/>
        <v/>
      </c>
    </row>
    <row r="2791" spans="1:1" x14ac:dyDescent="0.4">
      <c r="A2791" t="str">
        <f t="shared" si="59"/>
        <v/>
      </c>
    </row>
    <row r="2792" spans="1:1" x14ac:dyDescent="0.4">
      <c r="A2792" t="str">
        <f t="shared" si="59"/>
        <v/>
      </c>
    </row>
    <row r="2793" spans="1:1" x14ac:dyDescent="0.4">
      <c r="A2793" t="str">
        <f t="shared" si="59"/>
        <v/>
      </c>
    </row>
    <row r="2794" spans="1:1" x14ac:dyDescent="0.4">
      <c r="A2794" t="str">
        <f t="shared" si="59"/>
        <v/>
      </c>
    </row>
    <row r="2795" spans="1:1" x14ac:dyDescent="0.4">
      <c r="A2795" t="str">
        <f t="shared" si="59"/>
        <v/>
      </c>
    </row>
    <row r="2796" spans="1:1" x14ac:dyDescent="0.4">
      <c r="A2796" t="str">
        <f t="shared" si="59"/>
        <v/>
      </c>
    </row>
    <row r="2797" spans="1:1" x14ac:dyDescent="0.4">
      <c r="A2797" t="str">
        <f t="shared" si="59"/>
        <v/>
      </c>
    </row>
    <row r="2798" spans="1:1" x14ac:dyDescent="0.4">
      <c r="A2798" t="str">
        <f t="shared" si="59"/>
        <v/>
      </c>
    </row>
    <row r="2799" spans="1:1" x14ac:dyDescent="0.4">
      <c r="A2799" t="str">
        <f t="shared" si="59"/>
        <v/>
      </c>
    </row>
    <row r="2800" spans="1:1" x14ac:dyDescent="0.4">
      <c r="A2800" t="str">
        <f t="shared" si="59"/>
        <v/>
      </c>
    </row>
    <row r="2801" spans="1:1" x14ac:dyDescent="0.4">
      <c r="A2801" t="str">
        <f t="shared" si="59"/>
        <v/>
      </c>
    </row>
    <row r="2802" spans="1:1" x14ac:dyDescent="0.4">
      <c r="A2802" t="str">
        <f t="shared" si="59"/>
        <v/>
      </c>
    </row>
    <row r="2803" spans="1:1" x14ac:dyDescent="0.4">
      <c r="A2803" t="str">
        <f t="shared" si="59"/>
        <v/>
      </c>
    </row>
    <row r="2804" spans="1:1" x14ac:dyDescent="0.4">
      <c r="A2804" t="str">
        <f t="shared" si="59"/>
        <v/>
      </c>
    </row>
    <row r="2805" spans="1:1" x14ac:dyDescent="0.4">
      <c r="A2805" t="str">
        <f t="shared" si="59"/>
        <v/>
      </c>
    </row>
    <row r="2806" spans="1:1" x14ac:dyDescent="0.4">
      <c r="A2806" t="str">
        <f t="shared" si="59"/>
        <v/>
      </c>
    </row>
    <row r="2807" spans="1:1" x14ac:dyDescent="0.4">
      <c r="A2807" t="str">
        <f t="shared" si="59"/>
        <v/>
      </c>
    </row>
    <row r="2808" spans="1:1" x14ac:dyDescent="0.4">
      <c r="A2808" t="str">
        <f t="shared" si="59"/>
        <v/>
      </c>
    </row>
    <row r="2809" spans="1:1" x14ac:dyDescent="0.4">
      <c r="A2809" t="str">
        <f t="shared" si="59"/>
        <v/>
      </c>
    </row>
    <row r="2810" spans="1:1" x14ac:dyDescent="0.4">
      <c r="A2810" t="str">
        <f t="shared" si="59"/>
        <v/>
      </c>
    </row>
    <row r="2811" spans="1:1" x14ac:dyDescent="0.4">
      <c r="A2811" t="str">
        <f t="shared" si="59"/>
        <v/>
      </c>
    </row>
    <row r="2812" spans="1:1" x14ac:dyDescent="0.4">
      <c r="A2812" t="str">
        <f t="shared" si="59"/>
        <v/>
      </c>
    </row>
    <row r="2813" spans="1:1" x14ac:dyDescent="0.4">
      <c r="A2813" t="str">
        <f t="shared" si="59"/>
        <v/>
      </c>
    </row>
    <row r="2814" spans="1:1" x14ac:dyDescent="0.4">
      <c r="A2814" t="str">
        <f t="shared" si="59"/>
        <v/>
      </c>
    </row>
    <row r="2815" spans="1:1" x14ac:dyDescent="0.4">
      <c r="A2815" t="str">
        <f t="shared" si="59"/>
        <v/>
      </c>
    </row>
    <row r="2816" spans="1:1" x14ac:dyDescent="0.4">
      <c r="A2816" t="str">
        <f t="shared" si="59"/>
        <v/>
      </c>
    </row>
    <row r="2817" spans="1:1" x14ac:dyDescent="0.4">
      <c r="A2817" t="str">
        <f t="shared" si="59"/>
        <v/>
      </c>
    </row>
    <row r="2818" spans="1:1" x14ac:dyDescent="0.4">
      <c r="A2818" t="str">
        <f t="shared" si="59"/>
        <v/>
      </c>
    </row>
    <row r="2819" spans="1:1" x14ac:dyDescent="0.4">
      <c r="A2819" t="str">
        <f t="shared" si="59"/>
        <v/>
      </c>
    </row>
    <row r="2820" spans="1:1" x14ac:dyDescent="0.4">
      <c r="A2820" t="str">
        <f t="shared" si="59"/>
        <v/>
      </c>
    </row>
    <row r="2821" spans="1:1" x14ac:dyDescent="0.4">
      <c r="A2821" t="str">
        <f t="shared" si="59"/>
        <v/>
      </c>
    </row>
    <row r="2822" spans="1:1" x14ac:dyDescent="0.4">
      <c r="A2822" t="str">
        <f t="shared" si="59"/>
        <v/>
      </c>
    </row>
    <row r="2823" spans="1:1" x14ac:dyDescent="0.4">
      <c r="A2823" t="str">
        <f t="shared" ref="A2823:A2886" si="60">RIGHT(B2823,12)</f>
        <v/>
      </c>
    </row>
    <row r="2824" spans="1:1" x14ac:dyDescent="0.4">
      <c r="A2824" t="str">
        <f t="shared" si="60"/>
        <v/>
      </c>
    </row>
    <row r="2825" spans="1:1" x14ac:dyDescent="0.4">
      <c r="A2825" t="str">
        <f t="shared" si="60"/>
        <v/>
      </c>
    </row>
    <row r="2826" spans="1:1" x14ac:dyDescent="0.4">
      <c r="A2826" t="str">
        <f t="shared" si="60"/>
        <v/>
      </c>
    </row>
    <row r="2827" spans="1:1" x14ac:dyDescent="0.4">
      <c r="A2827" t="str">
        <f t="shared" si="60"/>
        <v/>
      </c>
    </row>
    <row r="2828" spans="1:1" x14ac:dyDescent="0.4">
      <c r="A2828" t="str">
        <f t="shared" si="60"/>
        <v/>
      </c>
    </row>
    <row r="2829" spans="1:1" x14ac:dyDescent="0.4">
      <c r="A2829" t="str">
        <f t="shared" si="60"/>
        <v/>
      </c>
    </row>
    <row r="2830" spans="1:1" x14ac:dyDescent="0.4">
      <c r="A2830" t="str">
        <f t="shared" si="60"/>
        <v/>
      </c>
    </row>
    <row r="2831" spans="1:1" x14ac:dyDescent="0.4">
      <c r="A2831" t="str">
        <f t="shared" si="60"/>
        <v/>
      </c>
    </row>
    <row r="2832" spans="1:1" x14ac:dyDescent="0.4">
      <c r="A2832" t="str">
        <f t="shared" si="60"/>
        <v/>
      </c>
    </row>
    <row r="2833" spans="1:1" x14ac:dyDescent="0.4">
      <c r="A2833" t="str">
        <f t="shared" si="60"/>
        <v/>
      </c>
    </row>
    <row r="2834" spans="1:1" x14ac:dyDescent="0.4">
      <c r="A2834" t="str">
        <f t="shared" si="60"/>
        <v/>
      </c>
    </row>
    <row r="2835" spans="1:1" x14ac:dyDescent="0.4">
      <c r="A2835" t="str">
        <f t="shared" si="60"/>
        <v/>
      </c>
    </row>
    <row r="2836" spans="1:1" x14ac:dyDescent="0.4">
      <c r="A2836" t="str">
        <f t="shared" si="60"/>
        <v/>
      </c>
    </row>
    <row r="2837" spans="1:1" x14ac:dyDescent="0.4">
      <c r="A2837" t="str">
        <f t="shared" si="60"/>
        <v/>
      </c>
    </row>
    <row r="2838" spans="1:1" x14ac:dyDescent="0.4">
      <c r="A2838" t="str">
        <f t="shared" si="60"/>
        <v/>
      </c>
    </row>
    <row r="2839" spans="1:1" x14ac:dyDescent="0.4">
      <c r="A2839" t="str">
        <f t="shared" si="60"/>
        <v/>
      </c>
    </row>
    <row r="2840" spans="1:1" x14ac:dyDescent="0.4">
      <c r="A2840" t="str">
        <f t="shared" si="60"/>
        <v/>
      </c>
    </row>
    <row r="2841" spans="1:1" x14ac:dyDescent="0.4">
      <c r="A2841" t="str">
        <f t="shared" si="60"/>
        <v/>
      </c>
    </row>
    <row r="2842" spans="1:1" x14ac:dyDescent="0.4">
      <c r="A2842" t="str">
        <f t="shared" si="60"/>
        <v/>
      </c>
    </row>
    <row r="2843" spans="1:1" x14ac:dyDescent="0.4">
      <c r="A2843" t="str">
        <f t="shared" si="60"/>
        <v/>
      </c>
    </row>
    <row r="2844" spans="1:1" x14ac:dyDescent="0.4">
      <c r="A2844" t="str">
        <f t="shared" si="60"/>
        <v/>
      </c>
    </row>
    <row r="2845" spans="1:1" x14ac:dyDescent="0.4">
      <c r="A2845" t="str">
        <f t="shared" si="60"/>
        <v/>
      </c>
    </row>
    <row r="2846" spans="1:1" x14ac:dyDescent="0.4">
      <c r="A2846" t="str">
        <f t="shared" si="60"/>
        <v/>
      </c>
    </row>
    <row r="2847" spans="1:1" x14ac:dyDescent="0.4">
      <c r="A2847" t="str">
        <f t="shared" si="60"/>
        <v/>
      </c>
    </row>
    <row r="2848" spans="1:1" x14ac:dyDescent="0.4">
      <c r="A2848" t="str">
        <f t="shared" si="60"/>
        <v/>
      </c>
    </row>
    <row r="2849" spans="1:1" x14ac:dyDescent="0.4">
      <c r="A2849" t="str">
        <f t="shared" si="60"/>
        <v/>
      </c>
    </row>
    <row r="2850" spans="1:1" x14ac:dyDescent="0.4">
      <c r="A2850" t="str">
        <f t="shared" si="60"/>
        <v/>
      </c>
    </row>
    <row r="2851" spans="1:1" x14ac:dyDescent="0.4">
      <c r="A2851" t="str">
        <f t="shared" si="60"/>
        <v/>
      </c>
    </row>
    <row r="2852" spans="1:1" x14ac:dyDescent="0.4">
      <c r="A2852" t="str">
        <f t="shared" si="60"/>
        <v/>
      </c>
    </row>
    <row r="2853" spans="1:1" x14ac:dyDescent="0.4">
      <c r="A2853" t="str">
        <f t="shared" si="60"/>
        <v/>
      </c>
    </row>
    <row r="2854" spans="1:1" x14ac:dyDescent="0.4">
      <c r="A2854" t="str">
        <f t="shared" si="60"/>
        <v/>
      </c>
    </row>
    <row r="2855" spans="1:1" x14ac:dyDescent="0.4">
      <c r="A2855" t="str">
        <f t="shared" si="60"/>
        <v/>
      </c>
    </row>
    <row r="2856" spans="1:1" x14ac:dyDescent="0.4">
      <c r="A2856" t="str">
        <f t="shared" si="60"/>
        <v/>
      </c>
    </row>
    <row r="2857" spans="1:1" x14ac:dyDescent="0.4">
      <c r="A2857" t="str">
        <f t="shared" si="60"/>
        <v/>
      </c>
    </row>
    <row r="2858" spans="1:1" x14ac:dyDescent="0.4">
      <c r="A2858" t="str">
        <f t="shared" si="60"/>
        <v/>
      </c>
    </row>
    <row r="2859" spans="1:1" x14ac:dyDescent="0.4">
      <c r="A2859" t="str">
        <f t="shared" si="60"/>
        <v/>
      </c>
    </row>
    <row r="2860" spans="1:1" x14ac:dyDescent="0.4">
      <c r="A2860" t="str">
        <f t="shared" si="60"/>
        <v/>
      </c>
    </row>
    <row r="2861" spans="1:1" x14ac:dyDescent="0.4">
      <c r="A2861" t="str">
        <f t="shared" si="60"/>
        <v/>
      </c>
    </row>
    <row r="2862" spans="1:1" x14ac:dyDescent="0.4">
      <c r="A2862" t="str">
        <f t="shared" si="60"/>
        <v/>
      </c>
    </row>
    <row r="2863" spans="1:1" x14ac:dyDescent="0.4">
      <c r="A2863" t="str">
        <f t="shared" si="60"/>
        <v/>
      </c>
    </row>
    <row r="2864" spans="1:1" x14ac:dyDescent="0.4">
      <c r="A2864" t="str">
        <f t="shared" si="60"/>
        <v/>
      </c>
    </row>
    <row r="2865" spans="1:1" x14ac:dyDescent="0.4">
      <c r="A2865" t="str">
        <f t="shared" si="60"/>
        <v/>
      </c>
    </row>
    <row r="2866" spans="1:1" x14ac:dyDescent="0.4">
      <c r="A2866" t="str">
        <f t="shared" si="60"/>
        <v/>
      </c>
    </row>
    <row r="2867" spans="1:1" x14ac:dyDescent="0.4">
      <c r="A2867" t="str">
        <f t="shared" si="60"/>
        <v/>
      </c>
    </row>
    <row r="2868" spans="1:1" x14ac:dyDescent="0.4">
      <c r="A2868" t="str">
        <f t="shared" si="60"/>
        <v/>
      </c>
    </row>
    <row r="2869" spans="1:1" x14ac:dyDescent="0.4">
      <c r="A2869" t="str">
        <f t="shared" si="60"/>
        <v/>
      </c>
    </row>
    <row r="2870" spans="1:1" x14ac:dyDescent="0.4">
      <c r="A2870" t="str">
        <f t="shared" si="60"/>
        <v/>
      </c>
    </row>
    <row r="2871" spans="1:1" x14ac:dyDescent="0.4">
      <c r="A2871" t="str">
        <f t="shared" si="60"/>
        <v/>
      </c>
    </row>
    <row r="2872" spans="1:1" x14ac:dyDescent="0.4">
      <c r="A2872" t="str">
        <f t="shared" si="60"/>
        <v/>
      </c>
    </row>
    <row r="2873" spans="1:1" x14ac:dyDescent="0.4">
      <c r="A2873" t="str">
        <f t="shared" si="60"/>
        <v/>
      </c>
    </row>
    <row r="2874" spans="1:1" x14ac:dyDescent="0.4">
      <c r="A2874" t="str">
        <f t="shared" si="60"/>
        <v/>
      </c>
    </row>
    <row r="2875" spans="1:1" x14ac:dyDescent="0.4">
      <c r="A2875" t="str">
        <f t="shared" si="60"/>
        <v/>
      </c>
    </row>
    <row r="2876" spans="1:1" x14ac:dyDescent="0.4">
      <c r="A2876" t="str">
        <f t="shared" si="60"/>
        <v/>
      </c>
    </row>
    <row r="2877" spans="1:1" x14ac:dyDescent="0.4">
      <c r="A2877" t="str">
        <f t="shared" si="60"/>
        <v/>
      </c>
    </row>
    <row r="2878" spans="1:1" x14ac:dyDescent="0.4">
      <c r="A2878" t="str">
        <f t="shared" si="60"/>
        <v/>
      </c>
    </row>
    <row r="2879" spans="1:1" x14ac:dyDescent="0.4">
      <c r="A2879" t="str">
        <f t="shared" si="60"/>
        <v/>
      </c>
    </row>
    <row r="2880" spans="1:1" x14ac:dyDescent="0.4">
      <c r="A2880" t="str">
        <f t="shared" si="60"/>
        <v/>
      </c>
    </row>
    <row r="2881" spans="1:1" x14ac:dyDescent="0.4">
      <c r="A2881" t="str">
        <f t="shared" si="60"/>
        <v/>
      </c>
    </row>
    <row r="2882" spans="1:1" x14ac:dyDescent="0.4">
      <c r="A2882" t="str">
        <f t="shared" si="60"/>
        <v/>
      </c>
    </row>
    <row r="2883" spans="1:1" x14ac:dyDescent="0.4">
      <c r="A2883" t="str">
        <f t="shared" si="60"/>
        <v/>
      </c>
    </row>
    <row r="2884" spans="1:1" x14ac:dyDescent="0.4">
      <c r="A2884" t="str">
        <f t="shared" si="60"/>
        <v/>
      </c>
    </row>
    <row r="2885" spans="1:1" x14ac:dyDescent="0.4">
      <c r="A2885" t="str">
        <f t="shared" si="60"/>
        <v/>
      </c>
    </row>
    <row r="2886" spans="1:1" x14ac:dyDescent="0.4">
      <c r="A2886" t="str">
        <f t="shared" si="60"/>
        <v/>
      </c>
    </row>
    <row r="2887" spans="1:1" x14ac:dyDescent="0.4">
      <c r="A2887" t="str">
        <f t="shared" ref="A2887:A2950" si="61">RIGHT(B2887,12)</f>
        <v/>
      </c>
    </row>
    <row r="2888" spans="1:1" x14ac:dyDescent="0.4">
      <c r="A2888" t="str">
        <f t="shared" si="61"/>
        <v/>
      </c>
    </row>
    <row r="2889" spans="1:1" x14ac:dyDescent="0.4">
      <c r="A2889" t="str">
        <f t="shared" si="61"/>
        <v/>
      </c>
    </row>
    <row r="2890" spans="1:1" x14ac:dyDescent="0.4">
      <c r="A2890" t="str">
        <f t="shared" si="61"/>
        <v/>
      </c>
    </row>
    <row r="2891" spans="1:1" x14ac:dyDescent="0.4">
      <c r="A2891" t="str">
        <f t="shared" si="61"/>
        <v/>
      </c>
    </row>
    <row r="2892" spans="1:1" x14ac:dyDescent="0.4">
      <c r="A2892" t="str">
        <f t="shared" si="61"/>
        <v/>
      </c>
    </row>
    <row r="2893" spans="1:1" x14ac:dyDescent="0.4">
      <c r="A2893" t="str">
        <f t="shared" si="61"/>
        <v/>
      </c>
    </row>
    <row r="2894" spans="1:1" x14ac:dyDescent="0.4">
      <c r="A2894" t="str">
        <f t="shared" si="61"/>
        <v/>
      </c>
    </row>
    <row r="2895" spans="1:1" x14ac:dyDescent="0.4">
      <c r="A2895" t="str">
        <f t="shared" si="61"/>
        <v/>
      </c>
    </row>
    <row r="2896" spans="1:1" x14ac:dyDescent="0.4">
      <c r="A2896" t="str">
        <f t="shared" si="61"/>
        <v/>
      </c>
    </row>
    <row r="2897" spans="1:1" x14ac:dyDescent="0.4">
      <c r="A2897" t="str">
        <f t="shared" si="61"/>
        <v/>
      </c>
    </row>
    <row r="2898" spans="1:1" x14ac:dyDescent="0.4">
      <c r="A2898" t="str">
        <f t="shared" si="61"/>
        <v/>
      </c>
    </row>
    <row r="2899" spans="1:1" x14ac:dyDescent="0.4">
      <c r="A2899" t="str">
        <f t="shared" si="61"/>
        <v/>
      </c>
    </row>
    <row r="2900" spans="1:1" x14ac:dyDescent="0.4">
      <c r="A2900" t="str">
        <f t="shared" si="61"/>
        <v/>
      </c>
    </row>
    <row r="2901" spans="1:1" x14ac:dyDescent="0.4">
      <c r="A2901" t="str">
        <f t="shared" si="61"/>
        <v/>
      </c>
    </row>
    <row r="2902" spans="1:1" x14ac:dyDescent="0.4">
      <c r="A2902" t="str">
        <f t="shared" si="61"/>
        <v/>
      </c>
    </row>
    <row r="2903" spans="1:1" x14ac:dyDescent="0.4">
      <c r="A2903" t="str">
        <f t="shared" si="61"/>
        <v/>
      </c>
    </row>
    <row r="2904" spans="1:1" x14ac:dyDescent="0.4">
      <c r="A2904" t="str">
        <f t="shared" si="61"/>
        <v/>
      </c>
    </row>
    <row r="2905" spans="1:1" x14ac:dyDescent="0.4">
      <c r="A2905" t="str">
        <f t="shared" si="61"/>
        <v/>
      </c>
    </row>
    <row r="2906" spans="1:1" x14ac:dyDescent="0.4">
      <c r="A2906" t="str">
        <f t="shared" si="61"/>
        <v/>
      </c>
    </row>
    <row r="2907" spans="1:1" x14ac:dyDescent="0.4">
      <c r="A2907" t="str">
        <f t="shared" si="61"/>
        <v/>
      </c>
    </row>
    <row r="2908" spans="1:1" x14ac:dyDescent="0.4">
      <c r="A2908" t="str">
        <f t="shared" si="61"/>
        <v/>
      </c>
    </row>
    <row r="2909" spans="1:1" x14ac:dyDescent="0.4">
      <c r="A2909" t="str">
        <f t="shared" si="61"/>
        <v/>
      </c>
    </row>
    <row r="2910" spans="1:1" x14ac:dyDescent="0.4">
      <c r="A2910" t="str">
        <f t="shared" si="61"/>
        <v/>
      </c>
    </row>
    <row r="2911" spans="1:1" x14ac:dyDescent="0.4">
      <c r="A2911" t="str">
        <f t="shared" si="61"/>
        <v/>
      </c>
    </row>
    <row r="2912" spans="1:1" x14ac:dyDescent="0.4">
      <c r="A2912" t="str">
        <f t="shared" si="61"/>
        <v/>
      </c>
    </row>
    <row r="2913" spans="1:1" x14ac:dyDescent="0.4">
      <c r="A2913" t="str">
        <f t="shared" si="61"/>
        <v/>
      </c>
    </row>
    <row r="2914" spans="1:1" x14ac:dyDescent="0.4">
      <c r="A2914" t="str">
        <f t="shared" si="61"/>
        <v/>
      </c>
    </row>
    <row r="2915" spans="1:1" x14ac:dyDescent="0.4">
      <c r="A2915" t="str">
        <f t="shared" si="61"/>
        <v/>
      </c>
    </row>
    <row r="2916" spans="1:1" x14ac:dyDescent="0.4">
      <c r="A2916" t="str">
        <f t="shared" si="61"/>
        <v/>
      </c>
    </row>
    <row r="2917" spans="1:1" x14ac:dyDescent="0.4">
      <c r="A2917" t="str">
        <f t="shared" si="61"/>
        <v/>
      </c>
    </row>
    <row r="2918" spans="1:1" x14ac:dyDescent="0.4">
      <c r="A2918" t="str">
        <f t="shared" si="61"/>
        <v/>
      </c>
    </row>
    <row r="2919" spans="1:1" x14ac:dyDescent="0.4">
      <c r="A2919" t="str">
        <f t="shared" si="61"/>
        <v/>
      </c>
    </row>
    <row r="2920" spans="1:1" x14ac:dyDescent="0.4">
      <c r="A2920" t="str">
        <f t="shared" si="61"/>
        <v/>
      </c>
    </row>
    <row r="2921" spans="1:1" x14ac:dyDescent="0.4">
      <c r="A2921" t="str">
        <f t="shared" si="61"/>
        <v/>
      </c>
    </row>
    <row r="2922" spans="1:1" x14ac:dyDescent="0.4">
      <c r="A2922" t="str">
        <f t="shared" si="61"/>
        <v/>
      </c>
    </row>
    <row r="2923" spans="1:1" x14ac:dyDescent="0.4">
      <c r="A2923" t="str">
        <f t="shared" si="61"/>
        <v/>
      </c>
    </row>
    <row r="2924" spans="1:1" x14ac:dyDescent="0.4">
      <c r="A2924" t="str">
        <f t="shared" si="61"/>
        <v/>
      </c>
    </row>
    <row r="2925" spans="1:1" x14ac:dyDescent="0.4">
      <c r="A2925" t="str">
        <f t="shared" si="61"/>
        <v/>
      </c>
    </row>
    <row r="2926" spans="1:1" x14ac:dyDescent="0.4">
      <c r="A2926" t="str">
        <f t="shared" si="61"/>
        <v/>
      </c>
    </row>
    <row r="2927" spans="1:1" x14ac:dyDescent="0.4">
      <c r="A2927" t="str">
        <f t="shared" si="61"/>
        <v/>
      </c>
    </row>
    <row r="2928" spans="1:1" x14ac:dyDescent="0.4">
      <c r="A2928" t="str">
        <f t="shared" si="61"/>
        <v/>
      </c>
    </row>
    <row r="2929" spans="1:1" x14ac:dyDescent="0.4">
      <c r="A2929" t="str">
        <f t="shared" si="61"/>
        <v/>
      </c>
    </row>
    <row r="2930" spans="1:1" x14ac:dyDescent="0.4">
      <c r="A2930" t="str">
        <f t="shared" si="61"/>
        <v/>
      </c>
    </row>
    <row r="2931" spans="1:1" x14ac:dyDescent="0.4">
      <c r="A2931" t="str">
        <f t="shared" si="61"/>
        <v/>
      </c>
    </row>
    <row r="2932" spans="1:1" x14ac:dyDescent="0.4">
      <c r="A2932" t="str">
        <f t="shared" si="61"/>
        <v/>
      </c>
    </row>
    <row r="2933" spans="1:1" x14ac:dyDescent="0.4">
      <c r="A2933" t="str">
        <f t="shared" si="61"/>
        <v/>
      </c>
    </row>
    <row r="2934" spans="1:1" x14ac:dyDescent="0.4">
      <c r="A2934" t="str">
        <f t="shared" si="61"/>
        <v/>
      </c>
    </row>
    <row r="2935" spans="1:1" x14ac:dyDescent="0.4">
      <c r="A2935" t="str">
        <f t="shared" si="61"/>
        <v/>
      </c>
    </row>
    <row r="2936" spans="1:1" x14ac:dyDescent="0.4">
      <c r="A2936" t="str">
        <f t="shared" si="61"/>
        <v/>
      </c>
    </row>
    <row r="2937" spans="1:1" x14ac:dyDescent="0.4">
      <c r="A2937" t="str">
        <f t="shared" si="61"/>
        <v/>
      </c>
    </row>
    <row r="2938" spans="1:1" x14ac:dyDescent="0.4">
      <c r="A2938" t="str">
        <f t="shared" si="61"/>
        <v/>
      </c>
    </row>
    <row r="2939" spans="1:1" x14ac:dyDescent="0.4">
      <c r="A2939" t="str">
        <f t="shared" si="61"/>
        <v/>
      </c>
    </row>
    <row r="2940" spans="1:1" x14ac:dyDescent="0.4">
      <c r="A2940" t="str">
        <f t="shared" si="61"/>
        <v/>
      </c>
    </row>
    <row r="2941" spans="1:1" x14ac:dyDescent="0.4">
      <c r="A2941" t="str">
        <f t="shared" si="61"/>
        <v/>
      </c>
    </row>
    <row r="2942" spans="1:1" x14ac:dyDescent="0.4">
      <c r="A2942" t="str">
        <f t="shared" si="61"/>
        <v/>
      </c>
    </row>
    <row r="2943" spans="1:1" x14ac:dyDescent="0.4">
      <c r="A2943" t="str">
        <f t="shared" si="61"/>
        <v/>
      </c>
    </row>
    <row r="2944" spans="1:1" x14ac:dyDescent="0.4">
      <c r="A2944" t="str">
        <f t="shared" si="61"/>
        <v/>
      </c>
    </row>
    <row r="2945" spans="1:1" x14ac:dyDescent="0.4">
      <c r="A2945" t="str">
        <f t="shared" si="61"/>
        <v/>
      </c>
    </row>
    <row r="2946" spans="1:1" x14ac:dyDescent="0.4">
      <c r="A2946" t="str">
        <f t="shared" si="61"/>
        <v/>
      </c>
    </row>
    <row r="2947" spans="1:1" x14ac:dyDescent="0.4">
      <c r="A2947" t="str">
        <f t="shared" si="61"/>
        <v/>
      </c>
    </row>
    <row r="2948" spans="1:1" x14ac:dyDescent="0.4">
      <c r="A2948" t="str">
        <f t="shared" si="61"/>
        <v/>
      </c>
    </row>
    <row r="2949" spans="1:1" x14ac:dyDescent="0.4">
      <c r="A2949" t="str">
        <f t="shared" si="61"/>
        <v/>
      </c>
    </row>
    <row r="2950" spans="1:1" x14ac:dyDescent="0.4">
      <c r="A2950" t="str">
        <f t="shared" si="61"/>
        <v/>
      </c>
    </row>
    <row r="2951" spans="1:1" x14ac:dyDescent="0.4">
      <c r="A2951" t="str">
        <f t="shared" ref="A2951:A3014" si="62">RIGHT(B2951,12)</f>
        <v/>
      </c>
    </row>
    <row r="2952" spans="1:1" x14ac:dyDescent="0.4">
      <c r="A2952" t="str">
        <f t="shared" si="62"/>
        <v/>
      </c>
    </row>
    <row r="2953" spans="1:1" x14ac:dyDescent="0.4">
      <c r="A2953" t="str">
        <f t="shared" si="62"/>
        <v/>
      </c>
    </row>
    <row r="2954" spans="1:1" x14ac:dyDescent="0.4">
      <c r="A2954" t="str">
        <f t="shared" si="62"/>
        <v/>
      </c>
    </row>
    <row r="2955" spans="1:1" x14ac:dyDescent="0.4">
      <c r="A2955" t="str">
        <f t="shared" si="62"/>
        <v/>
      </c>
    </row>
    <row r="2956" spans="1:1" x14ac:dyDescent="0.4">
      <c r="A2956" t="str">
        <f t="shared" si="62"/>
        <v/>
      </c>
    </row>
    <row r="2957" spans="1:1" x14ac:dyDescent="0.4">
      <c r="A2957" t="str">
        <f t="shared" si="62"/>
        <v/>
      </c>
    </row>
    <row r="2958" spans="1:1" x14ac:dyDescent="0.4">
      <c r="A2958" t="str">
        <f t="shared" si="62"/>
        <v/>
      </c>
    </row>
    <row r="2959" spans="1:1" x14ac:dyDescent="0.4">
      <c r="A2959" t="str">
        <f t="shared" si="62"/>
        <v/>
      </c>
    </row>
    <row r="2960" spans="1:1" x14ac:dyDescent="0.4">
      <c r="A2960" t="str">
        <f t="shared" si="62"/>
        <v/>
      </c>
    </row>
    <row r="2961" spans="1:1" x14ac:dyDescent="0.4">
      <c r="A2961" t="str">
        <f t="shared" si="62"/>
        <v/>
      </c>
    </row>
    <row r="2962" spans="1:1" x14ac:dyDescent="0.4">
      <c r="A2962" t="str">
        <f t="shared" si="62"/>
        <v/>
      </c>
    </row>
    <row r="2963" spans="1:1" x14ac:dyDescent="0.4">
      <c r="A2963" t="str">
        <f t="shared" si="62"/>
        <v/>
      </c>
    </row>
    <row r="2964" spans="1:1" x14ac:dyDescent="0.4">
      <c r="A2964" t="str">
        <f t="shared" si="62"/>
        <v/>
      </c>
    </row>
    <row r="2965" spans="1:1" x14ac:dyDescent="0.4">
      <c r="A2965" t="str">
        <f t="shared" si="62"/>
        <v/>
      </c>
    </row>
    <row r="2966" spans="1:1" x14ac:dyDescent="0.4">
      <c r="A2966" t="str">
        <f t="shared" si="62"/>
        <v/>
      </c>
    </row>
    <row r="2967" spans="1:1" x14ac:dyDescent="0.4">
      <c r="A2967" t="str">
        <f t="shared" si="62"/>
        <v/>
      </c>
    </row>
    <row r="2968" spans="1:1" x14ac:dyDescent="0.4">
      <c r="A2968" t="str">
        <f t="shared" si="62"/>
        <v/>
      </c>
    </row>
    <row r="2969" spans="1:1" x14ac:dyDescent="0.4">
      <c r="A2969" t="str">
        <f t="shared" si="62"/>
        <v/>
      </c>
    </row>
    <row r="2970" spans="1:1" x14ac:dyDescent="0.4">
      <c r="A2970" t="str">
        <f t="shared" si="62"/>
        <v/>
      </c>
    </row>
    <row r="2971" spans="1:1" x14ac:dyDescent="0.4">
      <c r="A2971" t="str">
        <f t="shared" si="62"/>
        <v/>
      </c>
    </row>
    <row r="2972" spans="1:1" x14ac:dyDescent="0.4">
      <c r="A2972" t="str">
        <f t="shared" si="62"/>
        <v/>
      </c>
    </row>
    <row r="2973" spans="1:1" x14ac:dyDescent="0.4">
      <c r="A2973" t="str">
        <f t="shared" si="62"/>
        <v/>
      </c>
    </row>
    <row r="2974" spans="1:1" x14ac:dyDescent="0.4">
      <c r="A2974" t="str">
        <f t="shared" si="62"/>
        <v/>
      </c>
    </row>
    <row r="2975" spans="1:1" x14ac:dyDescent="0.4">
      <c r="A2975" t="str">
        <f t="shared" si="62"/>
        <v/>
      </c>
    </row>
    <row r="2976" spans="1:1" x14ac:dyDescent="0.4">
      <c r="A2976" t="str">
        <f t="shared" si="62"/>
        <v/>
      </c>
    </row>
    <row r="2977" spans="1:1" x14ac:dyDescent="0.4">
      <c r="A2977" t="str">
        <f t="shared" si="62"/>
        <v/>
      </c>
    </row>
    <row r="2978" spans="1:1" x14ac:dyDescent="0.4">
      <c r="A2978" t="str">
        <f t="shared" si="62"/>
        <v/>
      </c>
    </row>
    <row r="2979" spans="1:1" x14ac:dyDescent="0.4">
      <c r="A2979" t="str">
        <f t="shared" si="62"/>
        <v/>
      </c>
    </row>
    <row r="2980" spans="1:1" x14ac:dyDescent="0.4">
      <c r="A2980" t="str">
        <f t="shared" si="62"/>
        <v/>
      </c>
    </row>
    <row r="2981" spans="1:1" x14ac:dyDescent="0.4">
      <c r="A2981" t="str">
        <f t="shared" si="62"/>
        <v/>
      </c>
    </row>
    <row r="2982" spans="1:1" x14ac:dyDescent="0.4">
      <c r="A2982" t="str">
        <f t="shared" si="62"/>
        <v/>
      </c>
    </row>
    <row r="2983" spans="1:1" x14ac:dyDescent="0.4">
      <c r="A2983" t="str">
        <f t="shared" si="62"/>
        <v/>
      </c>
    </row>
    <row r="2984" spans="1:1" x14ac:dyDescent="0.4">
      <c r="A2984" t="str">
        <f t="shared" si="62"/>
        <v/>
      </c>
    </row>
    <row r="2985" spans="1:1" x14ac:dyDescent="0.4">
      <c r="A2985" t="str">
        <f t="shared" si="62"/>
        <v/>
      </c>
    </row>
    <row r="2986" spans="1:1" x14ac:dyDescent="0.4">
      <c r="A2986" t="str">
        <f t="shared" si="62"/>
        <v/>
      </c>
    </row>
    <row r="2987" spans="1:1" x14ac:dyDescent="0.4">
      <c r="A2987" t="str">
        <f t="shared" si="62"/>
        <v/>
      </c>
    </row>
    <row r="2988" spans="1:1" x14ac:dyDescent="0.4">
      <c r="A2988" t="str">
        <f t="shared" si="62"/>
        <v/>
      </c>
    </row>
    <row r="2989" spans="1:1" x14ac:dyDescent="0.4">
      <c r="A2989" t="str">
        <f t="shared" si="62"/>
        <v/>
      </c>
    </row>
    <row r="2990" spans="1:1" x14ac:dyDescent="0.4">
      <c r="A2990" t="str">
        <f t="shared" si="62"/>
        <v/>
      </c>
    </row>
    <row r="2991" spans="1:1" x14ac:dyDescent="0.4">
      <c r="A2991" t="str">
        <f t="shared" si="62"/>
        <v/>
      </c>
    </row>
    <row r="2992" spans="1:1" x14ac:dyDescent="0.4">
      <c r="A2992" t="str">
        <f t="shared" si="62"/>
        <v/>
      </c>
    </row>
    <row r="2993" spans="1:1" x14ac:dyDescent="0.4">
      <c r="A2993" t="str">
        <f t="shared" si="62"/>
        <v/>
      </c>
    </row>
    <row r="2994" spans="1:1" x14ac:dyDescent="0.4">
      <c r="A2994" t="str">
        <f t="shared" si="62"/>
        <v/>
      </c>
    </row>
    <row r="2995" spans="1:1" x14ac:dyDescent="0.4">
      <c r="A2995" t="str">
        <f t="shared" si="62"/>
        <v/>
      </c>
    </row>
    <row r="2996" spans="1:1" x14ac:dyDescent="0.4">
      <c r="A2996" t="str">
        <f t="shared" si="62"/>
        <v/>
      </c>
    </row>
    <row r="2997" spans="1:1" x14ac:dyDescent="0.4">
      <c r="A2997" t="str">
        <f t="shared" si="62"/>
        <v/>
      </c>
    </row>
    <row r="2998" spans="1:1" x14ac:dyDescent="0.4">
      <c r="A2998" t="str">
        <f t="shared" si="62"/>
        <v/>
      </c>
    </row>
    <row r="2999" spans="1:1" x14ac:dyDescent="0.4">
      <c r="A2999" t="str">
        <f t="shared" si="62"/>
        <v/>
      </c>
    </row>
    <row r="3000" spans="1:1" x14ac:dyDescent="0.4">
      <c r="A3000" t="str">
        <f t="shared" si="62"/>
        <v/>
      </c>
    </row>
    <row r="3001" spans="1:1" x14ac:dyDescent="0.4">
      <c r="A3001" t="str">
        <f t="shared" si="62"/>
        <v/>
      </c>
    </row>
    <row r="3002" spans="1:1" x14ac:dyDescent="0.4">
      <c r="A3002" t="str">
        <f t="shared" si="62"/>
        <v/>
      </c>
    </row>
    <row r="3003" spans="1:1" x14ac:dyDescent="0.4">
      <c r="A3003" t="str">
        <f t="shared" si="62"/>
        <v/>
      </c>
    </row>
    <row r="3004" spans="1:1" x14ac:dyDescent="0.4">
      <c r="A3004" t="str">
        <f t="shared" si="62"/>
        <v/>
      </c>
    </row>
    <row r="3005" spans="1:1" x14ac:dyDescent="0.4">
      <c r="A3005" t="str">
        <f t="shared" si="62"/>
        <v/>
      </c>
    </row>
    <row r="3006" spans="1:1" x14ac:dyDescent="0.4">
      <c r="A3006" t="str">
        <f t="shared" si="62"/>
        <v/>
      </c>
    </row>
    <row r="3007" spans="1:1" x14ac:dyDescent="0.4">
      <c r="A3007" t="str">
        <f t="shared" si="62"/>
        <v/>
      </c>
    </row>
    <row r="3008" spans="1:1" x14ac:dyDescent="0.4">
      <c r="A3008" t="str">
        <f t="shared" si="62"/>
        <v/>
      </c>
    </row>
    <row r="3009" spans="1:1" x14ac:dyDescent="0.4">
      <c r="A3009" t="str">
        <f t="shared" si="62"/>
        <v/>
      </c>
    </row>
    <row r="3010" spans="1:1" x14ac:dyDescent="0.4">
      <c r="A3010" t="str">
        <f t="shared" si="62"/>
        <v/>
      </c>
    </row>
    <row r="3011" spans="1:1" x14ac:dyDescent="0.4">
      <c r="A3011" t="str">
        <f t="shared" si="62"/>
        <v/>
      </c>
    </row>
    <row r="3012" spans="1:1" x14ac:dyDescent="0.4">
      <c r="A3012" t="str">
        <f t="shared" si="62"/>
        <v/>
      </c>
    </row>
    <row r="3013" spans="1:1" x14ac:dyDescent="0.4">
      <c r="A3013" t="str">
        <f t="shared" si="62"/>
        <v/>
      </c>
    </row>
    <row r="3014" spans="1:1" x14ac:dyDescent="0.4">
      <c r="A3014" t="str">
        <f t="shared" si="62"/>
        <v/>
      </c>
    </row>
    <row r="3015" spans="1:1" x14ac:dyDescent="0.4">
      <c r="A3015" t="str">
        <f t="shared" ref="A3015:A3078" si="63">RIGHT(B3015,12)</f>
        <v/>
      </c>
    </row>
    <row r="3016" spans="1:1" x14ac:dyDescent="0.4">
      <c r="A3016" t="str">
        <f t="shared" si="63"/>
        <v/>
      </c>
    </row>
    <row r="3017" spans="1:1" x14ac:dyDescent="0.4">
      <c r="A3017" t="str">
        <f t="shared" si="63"/>
        <v/>
      </c>
    </row>
    <row r="3018" spans="1:1" x14ac:dyDescent="0.4">
      <c r="A3018" t="str">
        <f t="shared" si="63"/>
        <v/>
      </c>
    </row>
    <row r="3019" spans="1:1" x14ac:dyDescent="0.4">
      <c r="A3019" t="str">
        <f t="shared" si="63"/>
        <v/>
      </c>
    </row>
    <row r="3020" spans="1:1" x14ac:dyDescent="0.4">
      <c r="A3020" t="str">
        <f t="shared" si="63"/>
        <v/>
      </c>
    </row>
    <row r="3021" spans="1:1" x14ac:dyDescent="0.4">
      <c r="A3021" t="str">
        <f t="shared" si="63"/>
        <v/>
      </c>
    </row>
    <row r="3022" spans="1:1" x14ac:dyDescent="0.4">
      <c r="A3022" t="str">
        <f t="shared" si="63"/>
        <v/>
      </c>
    </row>
    <row r="3023" spans="1:1" x14ac:dyDescent="0.4">
      <c r="A3023" t="str">
        <f t="shared" si="63"/>
        <v/>
      </c>
    </row>
    <row r="3024" spans="1:1" x14ac:dyDescent="0.4">
      <c r="A3024" t="str">
        <f t="shared" si="63"/>
        <v/>
      </c>
    </row>
    <row r="3025" spans="1:1" x14ac:dyDescent="0.4">
      <c r="A3025" t="str">
        <f t="shared" si="63"/>
        <v/>
      </c>
    </row>
    <row r="3026" spans="1:1" x14ac:dyDescent="0.4">
      <c r="A3026" t="str">
        <f t="shared" si="63"/>
        <v/>
      </c>
    </row>
    <row r="3027" spans="1:1" x14ac:dyDescent="0.4">
      <c r="A3027" t="str">
        <f t="shared" si="63"/>
        <v/>
      </c>
    </row>
    <row r="3028" spans="1:1" x14ac:dyDescent="0.4">
      <c r="A3028" t="str">
        <f t="shared" si="63"/>
        <v/>
      </c>
    </row>
    <row r="3029" spans="1:1" x14ac:dyDescent="0.4">
      <c r="A3029" t="str">
        <f t="shared" si="63"/>
        <v/>
      </c>
    </row>
    <row r="3030" spans="1:1" x14ac:dyDescent="0.4">
      <c r="A3030" t="str">
        <f t="shared" si="63"/>
        <v/>
      </c>
    </row>
    <row r="3031" spans="1:1" x14ac:dyDescent="0.4">
      <c r="A3031" t="str">
        <f t="shared" si="63"/>
        <v/>
      </c>
    </row>
    <row r="3032" spans="1:1" x14ac:dyDescent="0.4">
      <c r="A3032" t="str">
        <f t="shared" si="63"/>
        <v/>
      </c>
    </row>
    <row r="3033" spans="1:1" x14ac:dyDescent="0.4">
      <c r="A3033" t="str">
        <f t="shared" si="63"/>
        <v/>
      </c>
    </row>
    <row r="3034" spans="1:1" x14ac:dyDescent="0.4">
      <c r="A3034" t="str">
        <f t="shared" si="63"/>
        <v/>
      </c>
    </row>
    <row r="3035" spans="1:1" x14ac:dyDescent="0.4">
      <c r="A3035" t="str">
        <f t="shared" si="63"/>
        <v/>
      </c>
    </row>
    <row r="3036" spans="1:1" x14ac:dyDescent="0.4">
      <c r="A3036" t="str">
        <f t="shared" si="63"/>
        <v/>
      </c>
    </row>
    <row r="3037" spans="1:1" x14ac:dyDescent="0.4">
      <c r="A3037" t="str">
        <f t="shared" si="63"/>
        <v/>
      </c>
    </row>
    <row r="3038" spans="1:1" x14ac:dyDescent="0.4">
      <c r="A3038" t="str">
        <f t="shared" si="63"/>
        <v/>
      </c>
    </row>
    <row r="3039" spans="1:1" x14ac:dyDescent="0.4">
      <c r="A3039" t="str">
        <f t="shared" si="63"/>
        <v/>
      </c>
    </row>
    <row r="3040" spans="1:1" x14ac:dyDescent="0.4">
      <c r="A3040" t="str">
        <f t="shared" si="63"/>
        <v/>
      </c>
    </row>
    <row r="3041" spans="1:1" x14ac:dyDescent="0.4">
      <c r="A3041" t="str">
        <f t="shared" si="63"/>
        <v/>
      </c>
    </row>
    <row r="3042" spans="1:1" x14ac:dyDescent="0.4">
      <c r="A3042" t="str">
        <f t="shared" si="63"/>
        <v/>
      </c>
    </row>
    <row r="3043" spans="1:1" x14ac:dyDescent="0.4">
      <c r="A3043" t="str">
        <f t="shared" si="63"/>
        <v/>
      </c>
    </row>
    <row r="3044" spans="1:1" x14ac:dyDescent="0.4">
      <c r="A3044" t="str">
        <f t="shared" si="63"/>
        <v/>
      </c>
    </row>
    <row r="3045" spans="1:1" x14ac:dyDescent="0.4">
      <c r="A3045" t="str">
        <f t="shared" si="63"/>
        <v/>
      </c>
    </row>
    <row r="3046" spans="1:1" x14ac:dyDescent="0.4">
      <c r="A3046" t="str">
        <f t="shared" si="63"/>
        <v/>
      </c>
    </row>
    <row r="3047" spans="1:1" x14ac:dyDescent="0.4">
      <c r="A3047" t="str">
        <f t="shared" si="63"/>
        <v/>
      </c>
    </row>
    <row r="3048" spans="1:1" x14ac:dyDescent="0.4">
      <c r="A3048" t="str">
        <f t="shared" si="63"/>
        <v/>
      </c>
    </row>
    <row r="3049" spans="1:1" x14ac:dyDescent="0.4">
      <c r="A3049" t="str">
        <f t="shared" si="63"/>
        <v/>
      </c>
    </row>
    <row r="3050" spans="1:1" x14ac:dyDescent="0.4">
      <c r="A3050" t="str">
        <f t="shared" si="63"/>
        <v/>
      </c>
    </row>
    <row r="3051" spans="1:1" x14ac:dyDescent="0.4">
      <c r="A3051" t="str">
        <f t="shared" si="63"/>
        <v/>
      </c>
    </row>
    <row r="3052" spans="1:1" x14ac:dyDescent="0.4">
      <c r="A3052" t="str">
        <f t="shared" si="63"/>
        <v/>
      </c>
    </row>
    <row r="3053" spans="1:1" x14ac:dyDescent="0.4">
      <c r="A3053" t="str">
        <f t="shared" si="63"/>
        <v/>
      </c>
    </row>
    <row r="3054" spans="1:1" x14ac:dyDescent="0.4">
      <c r="A3054" t="str">
        <f t="shared" si="63"/>
        <v/>
      </c>
    </row>
    <row r="3055" spans="1:1" x14ac:dyDescent="0.4">
      <c r="A3055" t="str">
        <f t="shared" si="63"/>
        <v/>
      </c>
    </row>
    <row r="3056" spans="1:1" x14ac:dyDescent="0.4">
      <c r="A3056" t="str">
        <f t="shared" si="63"/>
        <v/>
      </c>
    </row>
    <row r="3057" spans="1:1" x14ac:dyDescent="0.4">
      <c r="A3057" t="str">
        <f t="shared" si="63"/>
        <v/>
      </c>
    </row>
    <row r="3058" spans="1:1" x14ac:dyDescent="0.4">
      <c r="A3058" t="str">
        <f t="shared" si="63"/>
        <v/>
      </c>
    </row>
    <row r="3059" spans="1:1" x14ac:dyDescent="0.4">
      <c r="A3059" t="str">
        <f t="shared" si="63"/>
        <v/>
      </c>
    </row>
    <row r="3060" spans="1:1" x14ac:dyDescent="0.4">
      <c r="A3060" t="str">
        <f t="shared" si="63"/>
        <v/>
      </c>
    </row>
    <row r="3061" spans="1:1" x14ac:dyDescent="0.4">
      <c r="A3061" t="str">
        <f t="shared" si="63"/>
        <v/>
      </c>
    </row>
    <row r="3062" spans="1:1" x14ac:dyDescent="0.4">
      <c r="A3062" t="str">
        <f t="shared" si="63"/>
        <v/>
      </c>
    </row>
    <row r="3063" spans="1:1" x14ac:dyDescent="0.4">
      <c r="A3063" t="str">
        <f t="shared" si="63"/>
        <v/>
      </c>
    </row>
    <row r="3064" spans="1:1" x14ac:dyDescent="0.4">
      <c r="A3064" t="str">
        <f t="shared" si="63"/>
        <v/>
      </c>
    </row>
    <row r="3065" spans="1:1" x14ac:dyDescent="0.4">
      <c r="A3065" t="str">
        <f t="shared" si="63"/>
        <v/>
      </c>
    </row>
    <row r="3066" spans="1:1" x14ac:dyDescent="0.4">
      <c r="A3066" t="str">
        <f t="shared" si="63"/>
        <v/>
      </c>
    </row>
    <row r="3067" spans="1:1" x14ac:dyDescent="0.4">
      <c r="A3067" t="str">
        <f t="shared" si="63"/>
        <v/>
      </c>
    </row>
    <row r="3068" spans="1:1" x14ac:dyDescent="0.4">
      <c r="A3068" t="str">
        <f t="shared" si="63"/>
        <v/>
      </c>
    </row>
    <row r="3069" spans="1:1" x14ac:dyDescent="0.4">
      <c r="A3069" t="str">
        <f t="shared" si="63"/>
        <v/>
      </c>
    </row>
    <row r="3070" spans="1:1" x14ac:dyDescent="0.4">
      <c r="A3070" t="str">
        <f t="shared" si="63"/>
        <v/>
      </c>
    </row>
    <row r="3071" spans="1:1" x14ac:dyDescent="0.4">
      <c r="A3071" t="str">
        <f t="shared" si="63"/>
        <v/>
      </c>
    </row>
    <row r="3072" spans="1:1" x14ac:dyDescent="0.4">
      <c r="A3072" t="str">
        <f t="shared" si="63"/>
        <v/>
      </c>
    </row>
    <row r="3073" spans="1:1" x14ac:dyDescent="0.4">
      <c r="A3073" t="str">
        <f t="shared" si="63"/>
        <v/>
      </c>
    </row>
    <row r="3074" spans="1:1" x14ac:dyDescent="0.4">
      <c r="A3074" t="str">
        <f t="shared" si="63"/>
        <v/>
      </c>
    </row>
    <row r="3075" spans="1:1" x14ac:dyDescent="0.4">
      <c r="A3075" t="str">
        <f t="shared" si="63"/>
        <v/>
      </c>
    </row>
    <row r="3076" spans="1:1" x14ac:dyDescent="0.4">
      <c r="A3076" t="str">
        <f t="shared" si="63"/>
        <v/>
      </c>
    </row>
    <row r="3077" spans="1:1" x14ac:dyDescent="0.4">
      <c r="A3077" t="str">
        <f t="shared" si="63"/>
        <v/>
      </c>
    </row>
    <row r="3078" spans="1:1" x14ac:dyDescent="0.4">
      <c r="A3078" t="str">
        <f t="shared" si="63"/>
        <v/>
      </c>
    </row>
    <row r="3079" spans="1:1" x14ac:dyDescent="0.4">
      <c r="A3079" t="str">
        <f t="shared" ref="A3079:A3142" si="64">RIGHT(B3079,12)</f>
        <v/>
      </c>
    </row>
    <row r="3080" spans="1:1" x14ac:dyDescent="0.4">
      <c r="A3080" t="str">
        <f t="shared" si="64"/>
        <v/>
      </c>
    </row>
    <row r="3081" spans="1:1" x14ac:dyDescent="0.4">
      <c r="A3081" t="str">
        <f t="shared" si="64"/>
        <v/>
      </c>
    </row>
    <row r="3082" spans="1:1" x14ac:dyDescent="0.4">
      <c r="A3082" t="str">
        <f t="shared" si="64"/>
        <v/>
      </c>
    </row>
    <row r="3083" spans="1:1" x14ac:dyDescent="0.4">
      <c r="A3083" t="str">
        <f t="shared" si="64"/>
        <v/>
      </c>
    </row>
    <row r="3084" spans="1:1" x14ac:dyDescent="0.4">
      <c r="A3084" t="str">
        <f t="shared" si="64"/>
        <v/>
      </c>
    </row>
    <row r="3085" spans="1:1" x14ac:dyDescent="0.4">
      <c r="A3085" t="str">
        <f t="shared" si="64"/>
        <v/>
      </c>
    </row>
    <row r="3086" spans="1:1" x14ac:dyDescent="0.4">
      <c r="A3086" t="str">
        <f t="shared" si="64"/>
        <v/>
      </c>
    </row>
    <row r="3087" spans="1:1" x14ac:dyDescent="0.4">
      <c r="A3087" t="str">
        <f t="shared" si="64"/>
        <v/>
      </c>
    </row>
    <row r="3088" spans="1:1" x14ac:dyDescent="0.4">
      <c r="A3088" t="str">
        <f t="shared" si="64"/>
        <v/>
      </c>
    </row>
    <row r="3089" spans="1:1" x14ac:dyDescent="0.4">
      <c r="A3089" t="str">
        <f t="shared" si="64"/>
        <v/>
      </c>
    </row>
    <row r="3090" spans="1:1" x14ac:dyDescent="0.4">
      <c r="A3090" t="str">
        <f t="shared" si="64"/>
        <v/>
      </c>
    </row>
    <row r="3091" spans="1:1" x14ac:dyDescent="0.4">
      <c r="A3091" t="str">
        <f t="shared" si="64"/>
        <v/>
      </c>
    </row>
    <row r="3092" spans="1:1" x14ac:dyDescent="0.4">
      <c r="A3092" t="str">
        <f t="shared" si="64"/>
        <v/>
      </c>
    </row>
    <row r="3093" spans="1:1" x14ac:dyDescent="0.4">
      <c r="A3093" t="str">
        <f t="shared" si="64"/>
        <v/>
      </c>
    </row>
    <row r="3094" spans="1:1" x14ac:dyDescent="0.4">
      <c r="A3094" t="str">
        <f t="shared" si="64"/>
        <v/>
      </c>
    </row>
    <row r="3095" spans="1:1" x14ac:dyDescent="0.4">
      <c r="A3095" t="str">
        <f t="shared" si="64"/>
        <v/>
      </c>
    </row>
    <row r="3096" spans="1:1" x14ac:dyDescent="0.4">
      <c r="A3096" t="str">
        <f t="shared" si="64"/>
        <v/>
      </c>
    </row>
    <row r="3097" spans="1:1" x14ac:dyDescent="0.4">
      <c r="A3097" t="str">
        <f t="shared" si="64"/>
        <v/>
      </c>
    </row>
    <row r="3098" spans="1:1" x14ac:dyDescent="0.4">
      <c r="A3098" t="str">
        <f t="shared" si="64"/>
        <v/>
      </c>
    </row>
    <row r="3099" spans="1:1" x14ac:dyDescent="0.4">
      <c r="A3099" t="str">
        <f t="shared" si="64"/>
        <v/>
      </c>
    </row>
    <row r="3100" spans="1:1" x14ac:dyDescent="0.4">
      <c r="A3100" t="str">
        <f t="shared" si="64"/>
        <v/>
      </c>
    </row>
    <row r="3101" spans="1:1" x14ac:dyDescent="0.4">
      <c r="A3101" t="str">
        <f t="shared" si="64"/>
        <v/>
      </c>
    </row>
    <row r="3102" spans="1:1" x14ac:dyDescent="0.4">
      <c r="A3102" t="str">
        <f t="shared" si="64"/>
        <v/>
      </c>
    </row>
    <row r="3103" spans="1:1" x14ac:dyDescent="0.4">
      <c r="A3103" t="str">
        <f t="shared" si="64"/>
        <v/>
      </c>
    </row>
    <row r="3104" spans="1:1" x14ac:dyDescent="0.4">
      <c r="A3104" t="str">
        <f t="shared" si="64"/>
        <v/>
      </c>
    </row>
    <row r="3105" spans="1:1" x14ac:dyDescent="0.4">
      <c r="A3105" t="str">
        <f t="shared" si="64"/>
        <v/>
      </c>
    </row>
    <row r="3106" spans="1:1" x14ac:dyDescent="0.4">
      <c r="A3106" t="str">
        <f t="shared" si="64"/>
        <v/>
      </c>
    </row>
    <row r="3107" spans="1:1" x14ac:dyDescent="0.4">
      <c r="A3107" t="str">
        <f t="shared" si="64"/>
        <v/>
      </c>
    </row>
    <row r="3108" spans="1:1" x14ac:dyDescent="0.4">
      <c r="A3108" t="str">
        <f t="shared" si="64"/>
        <v/>
      </c>
    </row>
    <row r="3109" spans="1:1" x14ac:dyDescent="0.4">
      <c r="A3109" t="str">
        <f t="shared" si="64"/>
        <v/>
      </c>
    </row>
    <row r="3110" spans="1:1" x14ac:dyDescent="0.4">
      <c r="A3110" t="str">
        <f t="shared" si="64"/>
        <v/>
      </c>
    </row>
    <row r="3111" spans="1:1" x14ac:dyDescent="0.4">
      <c r="A3111" t="str">
        <f t="shared" si="64"/>
        <v/>
      </c>
    </row>
    <row r="3112" spans="1:1" x14ac:dyDescent="0.4">
      <c r="A3112" t="str">
        <f t="shared" si="64"/>
        <v/>
      </c>
    </row>
    <row r="3113" spans="1:1" x14ac:dyDescent="0.4">
      <c r="A3113" t="str">
        <f t="shared" si="64"/>
        <v/>
      </c>
    </row>
    <row r="3114" spans="1:1" x14ac:dyDescent="0.4">
      <c r="A3114" t="str">
        <f t="shared" si="64"/>
        <v/>
      </c>
    </row>
    <row r="3115" spans="1:1" x14ac:dyDescent="0.4">
      <c r="A3115" t="str">
        <f t="shared" si="64"/>
        <v/>
      </c>
    </row>
    <row r="3116" spans="1:1" x14ac:dyDescent="0.4">
      <c r="A3116" t="str">
        <f t="shared" si="64"/>
        <v/>
      </c>
    </row>
    <row r="3117" spans="1:1" x14ac:dyDescent="0.4">
      <c r="A3117" t="str">
        <f t="shared" si="64"/>
        <v/>
      </c>
    </row>
    <row r="3118" spans="1:1" x14ac:dyDescent="0.4">
      <c r="A3118" t="str">
        <f t="shared" si="64"/>
        <v/>
      </c>
    </row>
    <row r="3119" spans="1:1" x14ac:dyDescent="0.4">
      <c r="A3119" t="str">
        <f t="shared" si="64"/>
        <v/>
      </c>
    </row>
    <row r="3120" spans="1:1" x14ac:dyDescent="0.4">
      <c r="A3120" t="str">
        <f t="shared" si="64"/>
        <v/>
      </c>
    </row>
    <row r="3121" spans="1:1" x14ac:dyDescent="0.4">
      <c r="A3121" t="str">
        <f t="shared" si="64"/>
        <v/>
      </c>
    </row>
    <row r="3122" spans="1:1" x14ac:dyDescent="0.4">
      <c r="A3122" t="str">
        <f t="shared" si="64"/>
        <v/>
      </c>
    </row>
    <row r="3123" spans="1:1" x14ac:dyDescent="0.4">
      <c r="A3123" t="str">
        <f t="shared" si="64"/>
        <v/>
      </c>
    </row>
    <row r="3124" spans="1:1" x14ac:dyDescent="0.4">
      <c r="A3124" t="str">
        <f t="shared" si="64"/>
        <v/>
      </c>
    </row>
    <row r="3125" spans="1:1" x14ac:dyDescent="0.4">
      <c r="A3125" t="str">
        <f t="shared" si="64"/>
        <v/>
      </c>
    </row>
    <row r="3126" spans="1:1" x14ac:dyDescent="0.4">
      <c r="A3126" t="str">
        <f t="shared" si="64"/>
        <v/>
      </c>
    </row>
    <row r="3127" spans="1:1" x14ac:dyDescent="0.4">
      <c r="A3127" t="str">
        <f t="shared" si="64"/>
        <v/>
      </c>
    </row>
    <row r="3128" spans="1:1" x14ac:dyDescent="0.4">
      <c r="A3128" t="str">
        <f t="shared" si="64"/>
        <v/>
      </c>
    </row>
    <row r="3129" spans="1:1" x14ac:dyDescent="0.4">
      <c r="A3129" t="str">
        <f t="shared" si="64"/>
        <v/>
      </c>
    </row>
    <row r="3130" spans="1:1" x14ac:dyDescent="0.4">
      <c r="A3130" t="str">
        <f t="shared" si="64"/>
        <v/>
      </c>
    </row>
    <row r="3131" spans="1:1" x14ac:dyDescent="0.4">
      <c r="A3131" t="str">
        <f t="shared" si="64"/>
        <v/>
      </c>
    </row>
    <row r="3132" spans="1:1" x14ac:dyDescent="0.4">
      <c r="A3132" t="str">
        <f t="shared" si="64"/>
        <v/>
      </c>
    </row>
    <row r="3133" spans="1:1" x14ac:dyDescent="0.4">
      <c r="A3133" t="str">
        <f t="shared" si="64"/>
        <v/>
      </c>
    </row>
    <row r="3134" spans="1:1" x14ac:dyDescent="0.4">
      <c r="A3134" t="str">
        <f t="shared" si="64"/>
        <v/>
      </c>
    </row>
    <row r="3135" spans="1:1" x14ac:dyDescent="0.4">
      <c r="A3135" t="str">
        <f t="shared" si="64"/>
        <v/>
      </c>
    </row>
    <row r="3136" spans="1:1" x14ac:dyDescent="0.4">
      <c r="A3136" t="str">
        <f t="shared" si="64"/>
        <v/>
      </c>
    </row>
    <row r="3137" spans="1:1" x14ac:dyDescent="0.4">
      <c r="A3137" t="str">
        <f t="shared" si="64"/>
        <v/>
      </c>
    </row>
    <row r="3138" spans="1:1" x14ac:dyDescent="0.4">
      <c r="A3138" t="str">
        <f t="shared" si="64"/>
        <v/>
      </c>
    </row>
    <row r="3139" spans="1:1" x14ac:dyDescent="0.4">
      <c r="A3139" t="str">
        <f t="shared" si="64"/>
        <v/>
      </c>
    </row>
    <row r="3140" spans="1:1" x14ac:dyDescent="0.4">
      <c r="A3140" t="str">
        <f t="shared" si="64"/>
        <v/>
      </c>
    </row>
    <row r="3141" spans="1:1" x14ac:dyDescent="0.4">
      <c r="A3141" t="str">
        <f t="shared" si="64"/>
        <v/>
      </c>
    </row>
    <row r="3142" spans="1:1" x14ac:dyDescent="0.4">
      <c r="A3142" t="str">
        <f t="shared" si="64"/>
        <v/>
      </c>
    </row>
    <row r="3143" spans="1:1" x14ac:dyDescent="0.4">
      <c r="A3143" t="str">
        <f t="shared" ref="A3143:A3206" si="65">RIGHT(B3143,12)</f>
        <v/>
      </c>
    </row>
    <row r="3144" spans="1:1" x14ac:dyDescent="0.4">
      <c r="A3144" t="str">
        <f t="shared" si="65"/>
        <v/>
      </c>
    </row>
    <row r="3145" spans="1:1" x14ac:dyDescent="0.4">
      <c r="A3145" t="str">
        <f t="shared" si="65"/>
        <v/>
      </c>
    </row>
    <row r="3146" spans="1:1" x14ac:dyDescent="0.4">
      <c r="A3146" t="str">
        <f t="shared" si="65"/>
        <v/>
      </c>
    </row>
    <row r="3147" spans="1:1" x14ac:dyDescent="0.4">
      <c r="A3147" t="str">
        <f t="shared" si="65"/>
        <v/>
      </c>
    </row>
    <row r="3148" spans="1:1" x14ac:dyDescent="0.4">
      <c r="A3148" t="str">
        <f t="shared" si="65"/>
        <v/>
      </c>
    </row>
    <row r="3149" spans="1:1" x14ac:dyDescent="0.4">
      <c r="A3149" t="str">
        <f t="shared" si="65"/>
        <v/>
      </c>
    </row>
    <row r="3150" spans="1:1" x14ac:dyDescent="0.4">
      <c r="A3150" t="str">
        <f t="shared" si="65"/>
        <v/>
      </c>
    </row>
    <row r="3151" spans="1:1" x14ac:dyDescent="0.4">
      <c r="A3151" t="str">
        <f t="shared" si="65"/>
        <v/>
      </c>
    </row>
    <row r="3152" spans="1:1" x14ac:dyDescent="0.4">
      <c r="A3152" t="str">
        <f t="shared" si="65"/>
        <v/>
      </c>
    </row>
    <row r="3153" spans="1:1" x14ac:dyDescent="0.4">
      <c r="A3153" t="str">
        <f t="shared" si="65"/>
        <v/>
      </c>
    </row>
    <row r="3154" spans="1:1" x14ac:dyDescent="0.4">
      <c r="A3154" t="str">
        <f t="shared" si="65"/>
        <v/>
      </c>
    </row>
    <row r="3155" spans="1:1" x14ac:dyDescent="0.4">
      <c r="A3155" t="str">
        <f t="shared" si="65"/>
        <v/>
      </c>
    </row>
    <row r="3156" spans="1:1" x14ac:dyDescent="0.4">
      <c r="A3156" t="str">
        <f t="shared" si="65"/>
        <v/>
      </c>
    </row>
    <row r="3157" spans="1:1" x14ac:dyDescent="0.4">
      <c r="A3157" t="str">
        <f t="shared" si="65"/>
        <v/>
      </c>
    </row>
    <row r="3158" spans="1:1" x14ac:dyDescent="0.4">
      <c r="A3158" t="str">
        <f t="shared" si="65"/>
        <v/>
      </c>
    </row>
    <row r="3159" spans="1:1" x14ac:dyDescent="0.4">
      <c r="A3159" t="str">
        <f t="shared" si="65"/>
        <v/>
      </c>
    </row>
    <row r="3160" spans="1:1" x14ac:dyDescent="0.4">
      <c r="A3160" t="str">
        <f t="shared" si="65"/>
        <v/>
      </c>
    </row>
    <row r="3161" spans="1:1" x14ac:dyDescent="0.4">
      <c r="A3161" t="str">
        <f t="shared" si="65"/>
        <v/>
      </c>
    </row>
    <row r="3162" spans="1:1" x14ac:dyDescent="0.4">
      <c r="A3162" t="str">
        <f t="shared" si="65"/>
        <v/>
      </c>
    </row>
    <row r="3163" spans="1:1" x14ac:dyDescent="0.4">
      <c r="A3163" t="str">
        <f t="shared" si="65"/>
        <v/>
      </c>
    </row>
    <row r="3164" spans="1:1" x14ac:dyDescent="0.4">
      <c r="A3164" t="str">
        <f t="shared" si="65"/>
        <v/>
      </c>
    </row>
    <row r="3165" spans="1:1" x14ac:dyDescent="0.4">
      <c r="A3165" t="str">
        <f t="shared" si="65"/>
        <v/>
      </c>
    </row>
    <row r="3166" spans="1:1" x14ac:dyDescent="0.4">
      <c r="A3166" t="str">
        <f t="shared" si="65"/>
        <v/>
      </c>
    </row>
    <row r="3167" spans="1:1" x14ac:dyDescent="0.4">
      <c r="A3167" t="str">
        <f t="shared" si="65"/>
        <v/>
      </c>
    </row>
    <row r="3168" spans="1:1" x14ac:dyDescent="0.4">
      <c r="A3168" t="str">
        <f t="shared" si="65"/>
        <v/>
      </c>
    </row>
    <row r="3169" spans="1:1" x14ac:dyDescent="0.4">
      <c r="A3169" t="str">
        <f t="shared" si="65"/>
        <v/>
      </c>
    </row>
    <row r="3170" spans="1:1" x14ac:dyDescent="0.4">
      <c r="A3170" t="str">
        <f t="shared" si="65"/>
        <v/>
      </c>
    </row>
    <row r="3171" spans="1:1" x14ac:dyDescent="0.4">
      <c r="A3171" t="str">
        <f t="shared" si="65"/>
        <v/>
      </c>
    </row>
    <row r="3172" spans="1:1" x14ac:dyDescent="0.4">
      <c r="A3172" t="str">
        <f t="shared" si="65"/>
        <v/>
      </c>
    </row>
    <row r="3173" spans="1:1" x14ac:dyDescent="0.4">
      <c r="A3173" t="str">
        <f t="shared" si="65"/>
        <v/>
      </c>
    </row>
    <row r="3174" spans="1:1" x14ac:dyDescent="0.4">
      <c r="A3174" t="str">
        <f t="shared" si="65"/>
        <v/>
      </c>
    </row>
    <row r="3175" spans="1:1" x14ac:dyDescent="0.4">
      <c r="A3175" t="str">
        <f t="shared" si="65"/>
        <v/>
      </c>
    </row>
    <row r="3176" spans="1:1" x14ac:dyDescent="0.4">
      <c r="A3176" t="str">
        <f t="shared" si="65"/>
        <v/>
      </c>
    </row>
    <row r="3177" spans="1:1" x14ac:dyDescent="0.4">
      <c r="A3177" t="str">
        <f t="shared" si="65"/>
        <v/>
      </c>
    </row>
    <row r="3178" spans="1:1" x14ac:dyDescent="0.4">
      <c r="A3178" t="str">
        <f t="shared" si="65"/>
        <v/>
      </c>
    </row>
    <row r="3179" spans="1:1" x14ac:dyDescent="0.4">
      <c r="A3179" t="str">
        <f t="shared" si="65"/>
        <v/>
      </c>
    </row>
    <row r="3180" spans="1:1" x14ac:dyDescent="0.4">
      <c r="A3180" t="str">
        <f t="shared" si="65"/>
        <v/>
      </c>
    </row>
    <row r="3181" spans="1:1" x14ac:dyDescent="0.4">
      <c r="A3181" t="str">
        <f t="shared" si="65"/>
        <v/>
      </c>
    </row>
    <row r="3182" spans="1:1" x14ac:dyDescent="0.4">
      <c r="A3182" t="str">
        <f t="shared" si="65"/>
        <v/>
      </c>
    </row>
    <row r="3183" spans="1:1" x14ac:dyDescent="0.4">
      <c r="A3183" t="str">
        <f t="shared" si="65"/>
        <v/>
      </c>
    </row>
    <row r="3184" spans="1:1" x14ac:dyDescent="0.4">
      <c r="A3184" t="str">
        <f t="shared" si="65"/>
        <v/>
      </c>
    </row>
    <row r="3185" spans="1:1" x14ac:dyDescent="0.4">
      <c r="A3185" t="str">
        <f t="shared" si="65"/>
        <v/>
      </c>
    </row>
    <row r="3186" spans="1:1" x14ac:dyDescent="0.4">
      <c r="A3186" t="str">
        <f t="shared" si="65"/>
        <v/>
      </c>
    </row>
    <row r="3187" spans="1:1" x14ac:dyDescent="0.4">
      <c r="A3187" t="str">
        <f t="shared" si="65"/>
        <v/>
      </c>
    </row>
    <row r="3188" spans="1:1" x14ac:dyDescent="0.4">
      <c r="A3188" t="str">
        <f t="shared" si="65"/>
        <v/>
      </c>
    </row>
    <row r="3189" spans="1:1" x14ac:dyDescent="0.4">
      <c r="A3189" t="str">
        <f t="shared" si="65"/>
        <v/>
      </c>
    </row>
    <row r="3190" spans="1:1" x14ac:dyDescent="0.4">
      <c r="A3190" t="str">
        <f t="shared" si="65"/>
        <v/>
      </c>
    </row>
    <row r="3191" spans="1:1" x14ac:dyDescent="0.4">
      <c r="A3191" t="str">
        <f t="shared" si="65"/>
        <v/>
      </c>
    </row>
    <row r="3192" spans="1:1" x14ac:dyDescent="0.4">
      <c r="A3192" t="str">
        <f t="shared" si="65"/>
        <v/>
      </c>
    </row>
    <row r="3193" spans="1:1" x14ac:dyDescent="0.4">
      <c r="A3193" t="str">
        <f t="shared" si="65"/>
        <v/>
      </c>
    </row>
    <row r="3194" spans="1:1" x14ac:dyDescent="0.4">
      <c r="A3194" t="str">
        <f t="shared" si="65"/>
        <v/>
      </c>
    </row>
    <row r="3195" spans="1:1" x14ac:dyDescent="0.4">
      <c r="A3195" t="str">
        <f t="shared" si="65"/>
        <v/>
      </c>
    </row>
    <row r="3196" spans="1:1" x14ac:dyDescent="0.4">
      <c r="A3196" t="str">
        <f t="shared" si="65"/>
        <v/>
      </c>
    </row>
    <row r="3197" spans="1:1" x14ac:dyDescent="0.4">
      <c r="A3197" t="str">
        <f t="shared" si="65"/>
        <v/>
      </c>
    </row>
    <row r="3198" spans="1:1" x14ac:dyDescent="0.4">
      <c r="A3198" t="str">
        <f t="shared" si="65"/>
        <v/>
      </c>
    </row>
    <row r="3199" spans="1:1" x14ac:dyDescent="0.4">
      <c r="A3199" t="str">
        <f t="shared" si="65"/>
        <v/>
      </c>
    </row>
    <row r="3200" spans="1:1" x14ac:dyDescent="0.4">
      <c r="A3200" t="str">
        <f t="shared" si="65"/>
        <v/>
      </c>
    </row>
    <row r="3201" spans="1:1" x14ac:dyDescent="0.4">
      <c r="A3201" t="str">
        <f t="shared" si="65"/>
        <v/>
      </c>
    </row>
    <row r="3202" spans="1:1" x14ac:dyDescent="0.4">
      <c r="A3202" t="str">
        <f t="shared" si="65"/>
        <v/>
      </c>
    </row>
    <row r="3203" spans="1:1" x14ac:dyDescent="0.4">
      <c r="A3203" t="str">
        <f t="shared" si="65"/>
        <v/>
      </c>
    </row>
    <row r="3204" spans="1:1" x14ac:dyDescent="0.4">
      <c r="A3204" t="str">
        <f t="shared" si="65"/>
        <v/>
      </c>
    </row>
    <row r="3205" spans="1:1" x14ac:dyDescent="0.4">
      <c r="A3205" t="str">
        <f t="shared" si="65"/>
        <v/>
      </c>
    </row>
    <row r="3206" spans="1:1" x14ac:dyDescent="0.4">
      <c r="A3206" t="str">
        <f t="shared" si="65"/>
        <v/>
      </c>
    </row>
    <row r="3207" spans="1:1" x14ac:dyDescent="0.4">
      <c r="A3207" t="str">
        <f t="shared" ref="A3207:A3270" si="66">RIGHT(B3207,12)</f>
        <v/>
      </c>
    </row>
    <row r="3208" spans="1:1" x14ac:dyDescent="0.4">
      <c r="A3208" t="str">
        <f t="shared" si="66"/>
        <v/>
      </c>
    </row>
    <row r="3209" spans="1:1" x14ac:dyDescent="0.4">
      <c r="A3209" t="str">
        <f t="shared" si="66"/>
        <v/>
      </c>
    </row>
    <row r="3210" spans="1:1" x14ac:dyDescent="0.4">
      <c r="A3210" t="str">
        <f t="shared" si="66"/>
        <v/>
      </c>
    </row>
    <row r="3211" spans="1:1" x14ac:dyDescent="0.4">
      <c r="A3211" t="str">
        <f t="shared" si="66"/>
        <v/>
      </c>
    </row>
    <row r="3212" spans="1:1" x14ac:dyDescent="0.4">
      <c r="A3212" t="str">
        <f t="shared" si="66"/>
        <v/>
      </c>
    </row>
    <row r="3213" spans="1:1" x14ac:dyDescent="0.4">
      <c r="A3213" t="str">
        <f t="shared" si="66"/>
        <v/>
      </c>
    </row>
    <row r="3214" spans="1:1" x14ac:dyDescent="0.4">
      <c r="A3214" t="str">
        <f t="shared" si="66"/>
        <v/>
      </c>
    </row>
    <row r="3215" spans="1:1" x14ac:dyDescent="0.4">
      <c r="A3215" t="str">
        <f t="shared" si="66"/>
        <v/>
      </c>
    </row>
    <row r="3216" spans="1:1" x14ac:dyDescent="0.4">
      <c r="A3216" t="str">
        <f t="shared" si="66"/>
        <v/>
      </c>
    </row>
    <row r="3217" spans="1:1" x14ac:dyDescent="0.4">
      <c r="A3217" t="str">
        <f t="shared" si="66"/>
        <v/>
      </c>
    </row>
    <row r="3218" spans="1:1" x14ac:dyDescent="0.4">
      <c r="A3218" t="str">
        <f t="shared" si="66"/>
        <v/>
      </c>
    </row>
    <row r="3219" spans="1:1" x14ac:dyDescent="0.4">
      <c r="A3219" t="str">
        <f t="shared" si="66"/>
        <v/>
      </c>
    </row>
    <row r="3220" spans="1:1" x14ac:dyDescent="0.4">
      <c r="A3220" t="str">
        <f t="shared" si="66"/>
        <v/>
      </c>
    </row>
    <row r="3221" spans="1:1" x14ac:dyDescent="0.4">
      <c r="A3221" t="str">
        <f t="shared" si="66"/>
        <v/>
      </c>
    </row>
    <row r="3222" spans="1:1" x14ac:dyDescent="0.4">
      <c r="A3222" t="str">
        <f t="shared" si="66"/>
        <v/>
      </c>
    </row>
    <row r="3223" spans="1:1" x14ac:dyDescent="0.4">
      <c r="A3223" t="str">
        <f t="shared" si="66"/>
        <v/>
      </c>
    </row>
    <row r="3224" spans="1:1" x14ac:dyDescent="0.4">
      <c r="A3224" t="str">
        <f t="shared" si="66"/>
        <v/>
      </c>
    </row>
    <row r="3225" spans="1:1" x14ac:dyDescent="0.4">
      <c r="A3225" t="str">
        <f t="shared" si="66"/>
        <v/>
      </c>
    </row>
    <row r="3226" spans="1:1" x14ac:dyDescent="0.4">
      <c r="A3226" t="str">
        <f t="shared" si="66"/>
        <v/>
      </c>
    </row>
    <row r="3227" spans="1:1" x14ac:dyDescent="0.4">
      <c r="A3227" t="str">
        <f t="shared" si="66"/>
        <v/>
      </c>
    </row>
    <row r="3228" spans="1:1" x14ac:dyDescent="0.4">
      <c r="A3228" t="str">
        <f t="shared" si="66"/>
        <v/>
      </c>
    </row>
    <row r="3229" spans="1:1" x14ac:dyDescent="0.4">
      <c r="A3229" t="str">
        <f t="shared" si="66"/>
        <v/>
      </c>
    </row>
    <row r="3230" spans="1:1" x14ac:dyDescent="0.4">
      <c r="A3230" t="str">
        <f t="shared" si="66"/>
        <v/>
      </c>
    </row>
    <row r="3231" spans="1:1" x14ac:dyDescent="0.4">
      <c r="A3231" t="str">
        <f t="shared" si="66"/>
        <v/>
      </c>
    </row>
    <row r="3232" spans="1:1" x14ac:dyDescent="0.4">
      <c r="A3232" t="str">
        <f t="shared" si="66"/>
        <v/>
      </c>
    </row>
    <row r="3233" spans="1:1" x14ac:dyDescent="0.4">
      <c r="A3233" t="str">
        <f t="shared" si="66"/>
        <v/>
      </c>
    </row>
    <row r="3234" spans="1:1" x14ac:dyDescent="0.4">
      <c r="A3234" t="str">
        <f t="shared" si="66"/>
        <v/>
      </c>
    </row>
    <row r="3235" spans="1:1" x14ac:dyDescent="0.4">
      <c r="A3235" t="str">
        <f t="shared" si="66"/>
        <v/>
      </c>
    </row>
    <row r="3236" spans="1:1" x14ac:dyDescent="0.4">
      <c r="A3236" t="str">
        <f t="shared" si="66"/>
        <v/>
      </c>
    </row>
    <row r="3237" spans="1:1" x14ac:dyDescent="0.4">
      <c r="A3237" t="str">
        <f t="shared" si="66"/>
        <v/>
      </c>
    </row>
    <row r="3238" spans="1:1" x14ac:dyDescent="0.4">
      <c r="A3238" t="str">
        <f t="shared" si="66"/>
        <v/>
      </c>
    </row>
    <row r="3239" spans="1:1" x14ac:dyDescent="0.4">
      <c r="A3239" t="str">
        <f t="shared" si="66"/>
        <v/>
      </c>
    </row>
    <row r="3240" spans="1:1" x14ac:dyDescent="0.4">
      <c r="A3240" t="str">
        <f t="shared" si="66"/>
        <v/>
      </c>
    </row>
    <row r="3241" spans="1:1" x14ac:dyDescent="0.4">
      <c r="A3241" t="str">
        <f t="shared" si="66"/>
        <v/>
      </c>
    </row>
    <row r="3242" spans="1:1" x14ac:dyDescent="0.4">
      <c r="A3242" t="str">
        <f t="shared" si="66"/>
        <v/>
      </c>
    </row>
    <row r="3243" spans="1:1" x14ac:dyDescent="0.4">
      <c r="A3243" t="str">
        <f t="shared" si="66"/>
        <v/>
      </c>
    </row>
    <row r="3244" spans="1:1" x14ac:dyDescent="0.4">
      <c r="A3244" t="str">
        <f t="shared" si="66"/>
        <v/>
      </c>
    </row>
    <row r="3245" spans="1:1" x14ac:dyDescent="0.4">
      <c r="A3245" t="str">
        <f t="shared" si="66"/>
        <v/>
      </c>
    </row>
    <row r="3246" spans="1:1" x14ac:dyDescent="0.4">
      <c r="A3246" t="str">
        <f t="shared" si="66"/>
        <v/>
      </c>
    </row>
    <row r="3247" spans="1:1" x14ac:dyDescent="0.4">
      <c r="A3247" t="str">
        <f t="shared" si="66"/>
        <v/>
      </c>
    </row>
    <row r="3248" spans="1:1" x14ac:dyDescent="0.4">
      <c r="A3248" t="str">
        <f t="shared" si="66"/>
        <v/>
      </c>
    </row>
    <row r="3249" spans="1:1" x14ac:dyDescent="0.4">
      <c r="A3249" t="str">
        <f t="shared" si="66"/>
        <v/>
      </c>
    </row>
    <row r="3250" spans="1:1" x14ac:dyDescent="0.4">
      <c r="A3250" t="str">
        <f t="shared" si="66"/>
        <v/>
      </c>
    </row>
    <row r="3251" spans="1:1" x14ac:dyDescent="0.4">
      <c r="A3251" t="str">
        <f t="shared" si="66"/>
        <v/>
      </c>
    </row>
    <row r="3252" spans="1:1" x14ac:dyDescent="0.4">
      <c r="A3252" t="str">
        <f t="shared" si="66"/>
        <v/>
      </c>
    </row>
    <row r="3253" spans="1:1" x14ac:dyDescent="0.4">
      <c r="A3253" t="str">
        <f t="shared" si="66"/>
        <v/>
      </c>
    </row>
    <row r="3254" spans="1:1" x14ac:dyDescent="0.4">
      <c r="A3254" t="str">
        <f t="shared" si="66"/>
        <v/>
      </c>
    </row>
    <row r="3255" spans="1:1" x14ac:dyDescent="0.4">
      <c r="A3255" t="str">
        <f t="shared" si="66"/>
        <v/>
      </c>
    </row>
    <row r="3256" spans="1:1" x14ac:dyDescent="0.4">
      <c r="A3256" t="str">
        <f t="shared" si="66"/>
        <v/>
      </c>
    </row>
    <row r="3257" spans="1:1" x14ac:dyDescent="0.4">
      <c r="A3257" t="str">
        <f t="shared" si="66"/>
        <v/>
      </c>
    </row>
    <row r="3258" spans="1:1" x14ac:dyDescent="0.4">
      <c r="A3258" t="str">
        <f t="shared" si="66"/>
        <v/>
      </c>
    </row>
    <row r="3259" spans="1:1" x14ac:dyDescent="0.4">
      <c r="A3259" t="str">
        <f t="shared" si="66"/>
        <v/>
      </c>
    </row>
    <row r="3260" spans="1:1" x14ac:dyDescent="0.4">
      <c r="A3260" t="str">
        <f t="shared" si="66"/>
        <v/>
      </c>
    </row>
    <row r="3261" spans="1:1" x14ac:dyDescent="0.4">
      <c r="A3261" t="str">
        <f t="shared" si="66"/>
        <v/>
      </c>
    </row>
    <row r="3262" spans="1:1" x14ac:dyDescent="0.4">
      <c r="A3262" t="str">
        <f t="shared" si="66"/>
        <v/>
      </c>
    </row>
    <row r="3263" spans="1:1" x14ac:dyDescent="0.4">
      <c r="A3263" t="str">
        <f t="shared" si="66"/>
        <v/>
      </c>
    </row>
    <row r="3264" spans="1:1" x14ac:dyDescent="0.4">
      <c r="A3264" t="str">
        <f t="shared" si="66"/>
        <v/>
      </c>
    </row>
    <row r="3265" spans="1:1" x14ac:dyDescent="0.4">
      <c r="A3265" t="str">
        <f t="shared" si="66"/>
        <v/>
      </c>
    </row>
    <row r="3266" spans="1:1" x14ac:dyDescent="0.4">
      <c r="A3266" t="str">
        <f t="shared" si="66"/>
        <v/>
      </c>
    </row>
    <row r="3267" spans="1:1" x14ac:dyDescent="0.4">
      <c r="A3267" t="str">
        <f t="shared" si="66"/>
        <v/>
      </c>
    </row>
    <row r="3268" spans="1:1" x14ac:dyDescent="0.4">
      <c r="A3268" t="str">
        <f t="shared" si="66"/>
        <v/>
      </c>
    </row>
    <row r="3269" spans="1:1" x14ac:dyDescent="0.4">
      <c r="A3269" t="str">
        <f t="shared" si="66"/>
        <v/>
      </c>
    </row>
    <row r="3270" spans="1:1" x14ac:dyDescent="0.4">
      <c r="A3270" t="str">
        <f t="shared" si="66"/>
        <v/>
      </c>
    </row>
    <row r="3271" spans="1:1" x14ac:dyDescent="0.4">
      <c r="A3271" t="str">
        <f t="shared" ref="A3271:A3334" si="67">RIGHT(B3271,12)</f>
        <v/>
      </c>
    </row>
    <row r="3272" spans="1:1" x14ac:dyDescent="0.4">
      <c r="A3272" t="str">
        <f t="shared" si="67"/>
        <v/>
      </c>
    </row>
    <row r="3273" spans="1:1" x14ac:dyDescent="0.4">
      <c r="A3273" t="str">
        <f t="shared" si="67"/>
        <v/>
      </c>
    </row>
    <row r="3274" spans="1:1" x14ac:dyDescent="0.4">
      <c r="A3274" t="str">
        <f t="shared" si="67"/>
        <v/>
      </c>
    </row>
    <row r="3275" spans="1:1" x14ac:dyDescent="0.4">
      <c r="A3275" t="str">
        <f t="shared" si="67"/>
        <v/>
      </c>
    </row>
    <row r="3276" spans="1:1" x14ac:dyDescent="0.4">
      <c r="A3276" t="str">
        <f t="shared" si="67"/>
        <v/>
      </c>
    </row>
    <row r="3277" spans="1:1" x14ac:dyDescent="0.4">
      <c r="A3277" t="str">
        <f t="shared" si="67"/>
        <v/>
      </c>
    </row>
    <row r="3278" spans="1:1" x14ac:dyDescent="0.4">
      <c r="A3278" t="str">
        <f t="shared" si="67"/>
        <v/>
      </c>
    </row>
    <row r="3279" spans="1:1" x14ac:dyDescent="0.4">
      <c r="A3279" t="str">
        <f t="shared" si="67"/>
        <v/>
      </c>
    </row>
    <row r="3280" spans="1:1" x14ac:dyDescent="0.4">
      <c r="A3280" t="str">
        <f t="shared" si="67"/>
        <v/>
      </c>
    </row>
    <row r="3281" spans="1:1" x14ac:dyDescent="0.4">
      <c r="A3281" t="str">
        <f t="shared" si="67"/>
        <v/>
      </c>
    </row>
    <row r="3282" spans="1:1" x14ac:dyDescent="0.4">
      <c r="A3282" t="str">
        <f t="shared" si="67"/>
        <v/>
      </c>
    </row>
    <row r="3283" spans="1:1" x14ac:dyDescent="0.4">
      <c r="A3283" t="str">
        <f t="shared" si="67"/>
        <v/>
      </c>
    </row>
    <row r="3284" spans="1:1" x14ac:dyDescent="0.4">
      <c r="A3284" t="str">
        <f t="shared" si="67"/>
        <v/>
      </c>
    </row>
    <row r="3285" spans="1:1" x14ac:dyDescent="0.4">
      <c r="A3285" t="str">
        <f t="shared" si="67"/>
        <v/>
      </c>
    </row>
    <row r="3286" spans="1:1" x14ac:dyDescent="0.4">
      <c r="A3286" t="str">
        <f t="shared" si="67"/>
        <v/>
      </c>
    </row>
    <row r="3287" spans="1:1" x14ac:dyDescent="0.4">
      <c r="A3287" t="str">
        <f t="shared" si="67"/>
        <v/>
      </c>
    </row>
    <row r="3288" spans="1:1" x14ac:dyDescent="0.4">
      <c r="A3288" t="str">
        <f t="shared" si="67"/>
        <v/>
      </c>
    </row>
    <row r="3289" spans="1:1" x14ac:dyDescent="0.4">
      <c r="A3289" t="str">
        <f t="shared" si="67"/>
        <v/>
      </c>
    </row>
    <row r="3290" spans="1:1" x14ac:dyDescent="0.4">
      <c r="A3290" t="str">
        <f t="shared" si="67"/>
        <v/>
      </c>
    </row>
    <row r="3291" spans="1:1" x14ac:dyDescent="0.4">
      <c r="A3291" t="str">
        <f t="shared" si="67"/>
        <v/>
      </c>
    </row>
    <row r="3292" spans="1:1" x14ac:dyDescent="0.4">
      <c r="A3292" t="str">
        <f t="shared" si="67"/>
        <v/>
      </c>
    </row>
    <row r="3293" spans="1:1" x14ac:dyDescent="0.4">
      <c r="A3293" t="str">
        <f t="shared" si="67"/>
        <v/>
      </c>
    </row>
    <row r="3294" spans="1:1" x14ac:dyDescent="0.4">
      <c r="A3294" t="str">
        <f t="shared" si="67"/>
        <v/>
      </c>
    </row>
    <row r="3295" spans="1:1" x14ac:dyDescent="0.4">
      <c r="A3295" t="str">
        <f t="shared" si="67"/>
        <v/>
      </c>
    </row>
    <row r="3296" spans="1:1" x14ac:dyDescent="0.4">
      <c r="A3296" t="str">
        <f t="shared" si="67"/>
        <v/>
      </c>
    </row>
    <row r="3297" spans="1:1" x14ac:dyDescent="0.4">
      <c r="A3297" t="str">
        <f t="shared" si="67"/>
        <v/>
      </c>
    </row>
    <row r="3298" spans="1:1" x14ac:dyDescent="0.4">
      <c r="A3298" t="str">
        <f t="shared" si="67"/>
        <v/>
      </c>
    </row>
    <row r="3299" spans="1:1" x14ac:dyDescent="0.4">
      <c r="A3299" t="str">
        <f t="shared" si="67"/>
        <v/>
      </c>
    </row>
    <row r="3300" spans="1:1" x14ac:dyDescent="0.4">
      <c r="A3300" t="str">
        <f t="shared" si="67"/>
        <v/>
      </c>
    </row>
    <row r="3301" spans="1:1" x14ac:dyDescent="0.4">
      <c r="A3301" t="str">
        <f t="shared" si="67"/>
        <v/>
      </c>
    </row>
    <row r="3302" spans="1:1" x14ac:dyDescent="0.4">
      <c r="A3302" t="str">
        <f t="shared" si="67"/>
        <v/>
      </c>
    </row>
    <row r="3303" spans="1:1" x14ac:dyDescent="0.4">
      <c r="A3303" t="str">
        <f t="shared" si="67"/>
        <v/>
      </c>
    </row>
    <row r="3304" spans="1:1" x14ac:dyDescent="0.4">
      <c r="A3304" t="str">
        <f t="shared" si="67"/>
        <v/>
      </c>
    </row>
    <row r="3305" spans="1:1" x14ac:dyDescent="0.4">
      <c r="A3305" t="str">
        <f t="shared" si="67"/>
        <v/>
      </c>
    </row>
    <row r="3306" spans="1:1" x14ac:dyDescent="0.4">
      <c r="A3306" t="str">
        <f t="shared" si="67"/>
        <v/>
      </c>
    </row>
    <row r="3307" spans="1:1" x14ac:dyDescent="0.4">
      <c r="A3307" t="str">
        <f t="shared" si="67"/>
        <v/>
      </c>
    </row>
    <row r="3308" spans="1:1" x14ac:dyDescent="0.4">
      <c r="A3308" t="str">
        <f t="shared" si="67"/>
        <v/>
      </c>
    </row>
    <row r="3309" spans="1:1" x14ac:dyDescent="0.4">
      <c r="A3309" t="str">
        <f t="shared" si="67"/>
        <v/>
      </c>
    </row>
    <row r="3310" spans="1:1" x14ac:dyDescent="0.4">
      <c r="A3310" t="str">
        <f t="shared" si="67"/>
        <v/>
      </c>
    </row>
    <row r="3311" spans="1:1" x14ac:dyDescent="0.4">
      <c r="A3311" t="str">
        <f t="shared" si="67"/>
        <v/>
      </c>
    </row>
    <row r="3312" spans="1:1" x14ac:dyDescent="0.4">
      <c r="A3312" t="str">
        <f t="shared" si="67"/>
        <v/>
      </c>
    </row>
    <row r="3313" spans="1:1" x14ac:dyDescent="0.4">
      <c r="A3313" t="str">
        <f t="shared" si="67"/>
        <v/>
      </c>
    </row>
    <row r="3314" spans="1:1" x14ac:dyDescent="0.4">
      <c r="A3314" t="str">
        <f t="shared" si="67"/>
        <v/>
      </c>
    </row>
    <row r="3315" spans="1:1" x14ac:dyDescent="0.4">
      <c r="A3315" t="str">
        <f t="shared" si="67"/>
        <v/>
      </c>
    </row>
    <row r="3316" spans="1:1" x14ac:dyDescent="0.4">
      <c r="A3316" t="str">
        <f t="shared" si="67"/>
        <v/>
      </c>
    </row>
    <row r="3317" spans="1:1" x14ac:dyDescent="0.4">
      <c r="A3317" t="str">
        <f t="shared" si="67"/>
        <v/>
      </c>
    </row>
    <row r="3318" spans="1:1" x14ac:dyDescent="0.4">
      <c r="A3318" t="str">
        <f t="shared" si="67"/>
        <v/>
      </c>
    </row>
    <row r="3319" spans="1:1" x14ac:dyDescent="0.4">
      <c r="A3319" t="str">
        <f t="shared" si="67"/>
        <v/>
      </c>
    </row>
    <row r="3320" spans="1:1" x14ac:dyDescent="0.4">
      <c r="A3320" t="str">
        <f t="shared" si="67"/>
        <v/>
      </c>
    </row>
    <row r="3321" spans="1:1" x14ac:dyDescent="0.4">
      <c r="A3321" t="str">
        <f t="shared" si="67"/>
        <v/>
      </c>
    </row>
    <row r="3322" spans="1:1" x14ac:dyDescent="0.4">
      <c r="A3322" t="str">
        <f t="shared" si="67"/>
        <v/>
      </c>
    </row>
    <row r="3323" spans="1:1" x14ac:dyDescent="0.4">
      <c r="A3323" t="str">
        <f t="shared" si="67"/>
        <v/>
      </c>
    </row>
    <row r="3324" spans="1:1" x14ac:dyDescent="0.4">
      <c r="A3324" t="str">
        <f t="shared" si="67"/>
        <v/>
      </c>
    </row>
    <row r="3325" spans="1:1" x14ac:dyDescent="0.4">
      <c r="A3325" t="str">
        <f t="shared" si="67"/>
        <v/>
      </c>
    </row>
    <row r="3326" spans="1:1" x14ac:dyDescent="0.4">
      <c r="A3326" t="str">
        <f t="shared" si="67"/>
        <v/>
      </c>
    </row>
    <row r="3327" spans="1:1" x14ac:dyDescent="0.4">
      <c r="A3327" t="str">
        <f t="shared" si="67"/>
        <v/>
      </c>
    </row>
    <row r="3328" spans="1:1" x14ac:dyDescent="0.4">
      <c r="A3328" t="str">
        <f t="shared" si="67"/>
        <v/>
      </c>
    </row>
    <row r="3329" spans="1:1" x14ac:dyDescent="0.4">
      <c r="A3329" t="str">
        <f t="shared" si="67"/>
        <v/>
      </c>
    </row>
    <row r="3330" spans="1:1" x14ac:dyDescent="0.4">
      <c r="A3330" t="str">
        <f t="shared" si="67"/>
        <v/>
      </c>
    </row>
    <row r="3331" spans="1:1" x14ac:dyDescent="0.4">
      <c r="A3331" t="str">
        <f t="shared" si="67"/>
        <v/>
      </c>
    </row>
    <row r="3332" spans="1:1" x14ac:dyDescent="0.4">
      <c r="A3332" t="str">
        <f t="shared" si="67"/>
        <v/>
      </c>
    </row>
    <row r="3333" spans="1:1" x14ac:dyDescent="0.4">
      <c r="A3333" t="str">
        <f t="shared" si="67"/>
        <v/>
      </c>
    </row>
    <row r="3334" spans="1:1" x14ac:dyDescent="0.4">
      <c r="A3334" t="str">
        <f t="shared" si="67"/>
        <v/>
      </c>
    </row>
    <row r="3335" spans="1:1" x14ac:dyDescent="0.4">
      <c r="A3335" t="str">
        <f t="shared" ref="A3335:A3398" si="68">RIGHT(B3335,12)</f>
        <v/>
      </c>
    </row>
    <row r="3336" spans="1:1" x14ac:dyDescent="0.4">
      <c r="A3336" t="str">
        <f t="shared" si="68"/>
        <v/>
      </c>
    </row>
    <row r="3337" spans="1:1" x14ac:dyDescent="0.4">
      <c r="A3337" t="str">
        <f t="shared" si="68"/>
        <v/>
      </c>
    </row>
    <row r="3338" spans="1:1" x14ac:dyDescent="0.4">
      <c r="A3338" t="str">
        <f t="shared" si="68"/>
        <v/>
      </c>
    </row>
    <row r="3339" spans="1:1" x14ac:dyDescent="0.4">
      <c r="A3339" t="str">
        <f t="shared" si="68"/>
        <v/>
      </c>
    </row>
    <row r="3340" spans="1:1" x14ac:dyDescent="0.4">
      <c r="A3340" t="str">
        <f t="shared" si="68"/>
        <v/>
      </c>
    </row>
    <row r="3341" spans="1:1" x14ac:dyDescent="0.4">
      <c r="A3341" t="str">
        <f t="shared" si="68"/>
        <v/>
      </c>
    </row>
    <row r="3342" spans="1:1" x14ac:dyDescent="0.4">
      <c r="A3342" t="str">
        <f t="shared" si="68"/>
        <v/>
      </c>
    </row>
    <row r="3343" spans="1:1" x14ac:dyDescent="0.4">
      <c r="A3343" t="str">
        <f t="shared" si="68"/>
        <v/>
      </c>
    </row>
    <row r="3344" spans="1:1" x14ac:dyDescent="0.4">
      <c r="A3344" t="str">
        <f t="shared" si="68"/>
        <v/>
      </c>
    </row>
    <row r="3345" spans="1:1" x14ac:dyDescent="0.4">
      <c r="A3345" t="str">
        <f t="shared" si="68"/>
        <v/>
      </c>
    </row>
    <row r="3346" spans="1:1" x14ac:dyDescent="0.4">
      <c r="A3346" t="str">
        <f t="shared" si="68"/>
        <v/>
      </c>
    </row>
    <row r="3347" spans="1:1" x14ac:dyDescent="0.4">
      <c r="A3347" t="str">
        <f t="shared" si="68"/>
        <v/>
      </c>
    </row>
    <row r="3348" spans="1:1" x14ac:dyDescent="0.4">
      <c r="A3348" t="str">
        <f t="shared" si="68"/>
        <v/>
      </c>
    </row>
    <row r="3349" spans="1:1" x14ac:dyDescent="0.4">
      <c r="A3349" t="str">
        <f t="shared" si="68"/>
        <v/>
      </c>
    </row>
    <row r="3350" spans="1:1" x14ac:dyDescent="0.4">
      <c r="A3350" t="str">
        <f t="shared" si="68"/>
        <v/>
      </c>
    </row>
    <row r="3351" spans="1:1" x14ac:dyDescent="0.4">
      <c r="A3351" t="str">
        <f t="shared" si="68"/>
        <v/>
      </c>
    </row>
    <row r="3352" spans="1:1" x14ac:dyDescent="0.4">
      <c r="A3352" t="str">
        <f t="shared" si="68"/>
        <v/>
      </c>
    </row>
    <row r="3353" spans="1:1" x14ac:dyDescent="0.4">
      <c r="A3353" t="str">
        <f t="shared" si="68"/>
        <v/>
      </c>
    </row>
    <row r="3354" spans="1:1" x14ac:dyDescent="0.4">
      <c r="A3354" t="str">
        <f t="shared" si="68"/>
        <v/>
      </c>
    </row>
    <row r="3355" spans="1:1" x14ac:dyDescent="0.4">
      <c r="A3355" t="str">
        <f t="shared" si="68"/>
        <v/>
      </c>
    </row>
    <row r="3356" spans="1:1" x14ac:dyDescent="0.4">
      <c r="A3356" t="str">
        <f t="shared" si="68"/>
        <v/>
      </c>
    </row>
    <row r="3357" spans="1:1" x14ac:dyDescent="0.4">
      <c r="A3357" t="str">
        <f t="shared" si="68"/>
        <v/>
      </c>
    </row>
    <row r="3358" spans="1:1" x14ac:dyDescent="0.4">
      <c r="A3358" t="str">
        <f t="shared" si="68"/>
        <v/>
      </c>
    </row>
    <row r="3359" spans="1:1" x14ac:dyDescent="0.4">
      <c r="A3359" t="str">
        <f t="shared" si="68"/>
        <v/>
      </c>
    </row>
    <row r="3360" spans="1:1" x14ac:dyDescent="0.4">
      <c r="A3360" t="str">
        <f t="shared" si="68"/>
        <v/>
      </c>
    </row>
    <row r="3361" spans="1:1" x14ac:dyDescent="0.4">
      <c r="A3361" t="str">
        <f t="shared" si="68"/>
        <v/>
      </c>
    </row>
    <row r="3362" spans="1:1" x14ac:dyDescent="0.4">
      <c r="A3362" t="str">
        <f t="shared" si="68"/>
        <v/>
      </c>
    </row>
    <row r="3363" spans="1:1" x14ac:dyDescent="0.4">
      <c r="A3363" t="str">
        <f t="shared" si="68"/>
        <v/>
      </c>
    </row>
    <row r="3364" spans="1:1" x14ac:dyDescent="0.4">
      <c r="A3364" t="str">
        <f t="shared" si="68"/>
        <v/>
      </c>
    </row>
    <row r="3365" spans="1:1" x14ac:dyDescent="0.4">
      <c r="A3365" t="str">
        <f t="shared" si="68"/>
        <v/>
      </c>
    </row>
    <row r="3366" spans="1:1" x14ac:dyDescent="0.4">
      <c r="A3366" t="str">
        <f t="shared" si="68"/>
        <v/>
      </c>
    </row>
    <row r="3367" spans="1:1" x14ac:dyDescent="0.4">
      <c r="A3367" t="str">
        <f t="shared" si="68"/>
        <v/>
      </c>
    </row>
    <row r="3368" spans="1:1" x14ac:dyDescent="0.4">
      <c r="A3368" t="str">
        <f t="shared" si="68"/>
        <v/>
      </c>
    </row>
    <row r="3369" spans="1:1" x14ac:dyDescent="0.4">
      <c r="A3369" t="str">
        <f t="shared" si="68"/>
        <v/>
      </c>
    </row>
    <row r="3370" spans="1:1" x14ac:dyDescent="0.4">
      <c r="A3370" t="str">
        <f t="shared" si="68"/>
        <v/>
      </c>
    </row>
    <row r="3371" spans="1:1" x14ac:dyDescent="0.4">
      <c r="A3371" t="str">
        <f t="shared" si="68"/>
        <v/>
      </c>
    </row>
    <row r="3372" spans="1:1" x14ac:dyDescent="0.4">
      <c r="A3372" t="str">
        <f t="shared" si="68"/>
        <v/>
      </c>
    </row>
    <row r="3373" spans="1:1" x14ac:dyDescent="0.4">
      <c r="A3373" t="str">
        <f t="shared" si="68"/>
        <v/>
      </c>
    </row>
    <row r="3374" spans="1:1" x14ac:dyDescent="0.4">
      <c r="A3374" t="str">
        <f t="shared" si="68"/>
        <v/>
      </c>
    </row>
    <row r="3375" spans="1:1" x14ac:dyDescent="0.4">
      <c r="A3375" t="str">
        <f t="shared" si="68"/>
        <v/>
      </c>
    </row>
    <row r="3376" spans="1:1" x14ac:dyDescent="0.4">
      <c r="A3376" t="str">
        <f t="shared" si="68"/>
        <v/>
      </c>
    </row>
    <row r="3377" spans="1:1" x14ac:dyDescent="0.4">
      <c r="A3377" t="str">
        <f t="shared" si="68"/>
        <v/>
      </c>
    </row>
    <row r="3378" spans="1:1" x14ac:dyDescent="0.4">
      <c r="A3378" t="str">
        <f t="shared" si="68"/>
        <v/>
      </c>
    </row>
    <row r="3379" spans="1:1" x14ac:dyDescent="0.4">
      <c r="A3379" t="str">
        <f t="shared" si="68"/>
        <v/>
      </c>
    </row>
    <row r="3380" spans="1:1" x14ac:dyDescent="0.4">
      <c r="A3380" t="str">
        <f t="shared" si="68"/>
        <v/>
      </c>
    </row>
    <row r="3381" spans="1:1" x14ac:dyDescent="0.4">
      <c r="A3381" t="str">
        <f t="shared" si="68"/>
        <v/>
      </c>
    </row>
    <row r="3382" spans="1:1" x14ac:dyDescent="0.4">
      <c r="A3382" t="str">
        <f t="shared" si="68"/>
        <v/>
      </c>
    </row>
    <row r="3383" spans="1:1" x14ac:dyDescent="0.4">
      <c r="A3383" t="str">
        <f t="shared" si="68"/>
        <v/>
      </c>
    </row>
    <row r="3384" spans="1:1" x14ac:dyDescent="0.4">
      <c r="A3384" t="str">
        <f t="shared" si="68"/>
        <v/>
      </c>
    </row>
    <row r="3385" spans="1:1" x14ac:dyDescent="0.4">
      <c r="A3385" t="str">
        <f t="shared" si="68"/>
        <v/>
      </c>
    </row>
    <row r="3386" spans="1:1" x14ac:dyDescent="0.4">
      <c r="A3386" t="str">
        <f t="shared" si="68"/>
        <v/>
      </c>
    </row>
    <row r="3387" spans="1:1" x14ac:dyDescent="0.4">
      <c r="A3387" t="str">
        <f t="shared" si="68"/>
        <v/>
      </c>
    </row>
    <row r="3388" spans="1:1" x14ac:dyDescent="0.4">
      <c r="A3388" t="str">
        <f t="shared" si="68"/>
        <v/>
      </c>
    </row>
    <row r="3389" spans="1:1" x14ac:dyDescent="0.4">
      <c r="A3389" t="str">
        <f t="shared" si="68"/>
        <v/>
      </c>
    </row>
    <row r="3390" spans="1:1" x14ac:dyDescent="0.4">
      <c r="A3390" t="str">
        <f t="shared" si="68"/>
        <v/>
      </c>
    </row>
    <row r="3391" spans="1:1" x14ac:dyDescent="0.4">
      <c r="A3391" t="str">
        <f t="shared" si="68"/>
        <v/>
      </c>
    </row>
    <row r="3392" spans="1:1" x14ac:dyDescent="0.4">
      <c r="A3392" t="str">
        <f t="shared" si="68"/>
        <v/>
      </c>
    </row>
    <row r="3393" spans="1:1" x14ac:dyDescent="0.4">
      <c r="A3393" t="str">
        <f t="shared" si="68"/>
        <v/>
      </c>
    </row>
    <row r="3394" spans="1:1" x14ac:dyDescent="0.4">
      <c r="A3394" t="str">
        <f t="shared" si="68"/>
        <v/>
      </c>
    </row>
    <row r="3395" spans="1:1" x14ac:dyDescent="0.4">
      <c r="A3395" t="str">
        <f t="shared" si="68"/>
        <v/>
      </c>
    </row>
    <row r="3396" spans="1:1" x14ac:dyDescent="0.4">
      <c r="A3396" t="str">
        <f t="shared" si="68"/>
        <v/>
      </c>
    </row>
    <row r="3397" spans="1:1" x14ac:dyDescent="0.4">
      <c r="A3397" t="str">
        <f t="shared" si="68"/>
        <v/>
      </c>
    </row>
    <row r="3398" spans="1:1" x14ac:dyDescent="0.4">
      <c r="A3398" t="str">
        <f t="shared" si="68"/>
        <v/>
      </c>
    </row>
    <row r="3399" spans="1:1" x14ac:dyDescent="0.4">
      <c r="A3399" t="str">
        <f t="shared" ref="A3399:A3462" si="69">RIGHT(B3399,12)</f>
        <v/>
      </c>
    </row>
    <row r="3400" spans="1:1" x14ac:dyDescent="0.4">
      <c r="A3400" t="str">
        <f t="shared" si="69"/>
        <v/>
      </c>
    </row>
    <row r="3401" spans="1:1" x14ac:dyDescent="0.4">
      <c r="A3401" t="str">
        <f t="shared" si="69"/>
        <v/>
      </c>
    </row>
    <row r="3402" spans="1:1" x14ac:dyDescent="0.4">
      <c r="A3402" t="str">
        <f t="shared" si="69"/>
        <v/>
      </c>
    </row>
    <row r="3403" spans="1:1" x14ac:dyDescent="0.4">
      <c r="A3403" t="str">
        <f t="shared" si="69"/>
        <v/>
      </c>
    </row>
    <row r="3404" spans="1:1" x14ac:dyDescent="0.4">
      <c r="A3404" t="str">
        <f t="shared" si="69"/>
        <v/>
      </c>
    </row>
    <row r="3405" spans="1:1" x14ac:dyDescent="0.4">
      <c r="A3405" t="str">
        <f t="shared" si="69"/>
        <v/>
      </c>
    </row>
    <row r="3406" spans="1:1" x14ac:dyDescent="0.4">
      <c r="A3406" t="str">
        <f t="shared" si="69"/>
        <v/>
      </c>
    </row>
    <row r="3407" spans="1:1" x14ac:dyDescent="0.4">
      <c r="A3407" t="str">
        <f t="shared" si="69"/>
        <v/>
      </c>
    </row>
    <row r="3408" spans="1:1" x14ac:dyDescent="0.4">
      <c r="A3408" t="str">
        <f t="shared" si="69"/>
        <v/>
      </c>
    </row>
    <row r="3409" spans="1:1" x14ac:dyDescent="0.4">
      <c r="A3409" t="str">
        <f t="shared" si="69"/>
        <v/>
      </c>
    </row>
    <row r="3410" spans="1:1" x14ac:dyDescent="0.4">
      <c r="A3410" t="str">
        <f t="shared" si="69"/>
        <v/>
      </c>
    </row>
    <row r="3411" spans="1:1" x14ac:dyDescent="0.4">
      <c r="A3411" t="str">
        <f t="shared" si="69"/>
        <v/>
      </c>
    </row>
    <row r="3412" spans="1:1" x14ac:dyDescent="0.4">
      <c r="A3412" t="str">
        <f t="shared" si="69"/>
        <v/>
      </c>
    </row>
    <row r="3413" spans="1:1" x14ac:dyDescent="0.4">
      <c r="A3413" t="str">
        <f t="shared" si="69"/>
        <v/>
      </c>
    </row>
    <row r="3414" spans="1:1" x14ac:dyDescent="0.4">
      <c r="A3414" t="str">
        <f t="shared" si="69"/>
        <v/>
      </c>
    </row>
    <row r="3415" spans="1:1" x14ac:dyDescent="0.4">
      <c r="A3415" t="str">
        <f t="shared" si="69"/>
        <v/>
      </c>
    </row>
    <row r="3416" spans="1:1" x14ac:dyDescent="0.4">
      <c r="A3416" t="str">
        <f t="shared" si="69"/>
        <v/>
      </c>
    </row>
    <row r="3417" spans="1:1" x14ac:dyDescent="0.4">
      <c r="A3417" t="str">
        <f t="shared" si="69"/>
        <v/>
      </c>
    </row>
    <row r="3418" spans="1:1" x14ac:dyDescent="0.4">
      <c r="A3418" t="str">
        <f t="shared" si="69"/>
        <v/>
      </c>
    </row>
    <row r="3419" spans="1:1" x14ac:dyDescent="0.4">
      <c r="A3419" t="str">
        <f t="shared" si="69"/>
        <v/>
      </c>
    </row>
    <row r="3420" spans="1:1" x14ac:dyDescent="0.4">
      <c r="A3420" t="str">
        <f t="shared" si="69"/>
        <v/>
      </c>
    </row>
    <row r="3421" spans="1:1" x14ac:dyDescent="0.4">
      <c r="A3421" t="str">
        <f t="shared" si="69"/>
        <v/>
      </c>
    </row>
    <row r="3422" spans="1:1" x14ac:dyDescent="0.4">
      <c r="A3422" t="str">
        <f t="shared" si="69"/>
        <v/>
      </c>
    </row>
    <row r="3423" spans="1:1" x14ac:dyDescent="0.4">
      <c r="A3423" t="str">
        <f t="shared" si="69"/>
        <v/>
      </c>
    </row>
    <row r="3424" spans="1:1" x14ac:dyDescent="0.4">
      <c r="A3424" t="str">
        <f t="shared" si="69"/>
        <v/>
      </c>
    </row>
    <row r="3425" spans="1:1" x14ac:dyDescent="0.4">
      <c r="A3425" t="str">
        <f t="shared" si="69"/>
        <v/>
      </c>
    </row>
    <row r="3426" spans="1:1" x14ac:dyDescent="0.4">
      <c r="A3426" t="str">
        <f t="shared" si="69"/>
        <v/>
      </c>
    </row>
    <row r="3427" spans="1:1" x14ac:dyDescent="0.4">
      <c r="A3427" t="str">
        <f t="shared" si="69"/>
        <v/>
      </c>
    </row>
    <row r="3428" spans="1:1" x14ac:dyDescent="0.4">
      <c r="A3428" t="str">
        <f t="shared" si="69"/>
        <v/>
      </c>
    </row>
    <row r="3429" spans="1:1" x14ac:dyDescent="0.4">
      <c r="A3429" t="str">
        <f t="shared" si="69"/>
        <v/>
      </c>
    </row>
    <row r="3430" spans="1:1" x14ac:dyDescent="0.4">
      <c r="A3430" t="str">
        <f t="shared" si="69"/>
        <v/>
      </c>
    </row>
    <row r="3431" spans="1:1" x14ac:dyDescent="0.4">
      <c r="A3431" t="str">
        <f t="shared" si="69"/>
        <v/>
      </c>
    </row>
    <row r="3432" spans="1:1" x14ac:dyDescent="0.4">
      <c r="A3432" t="str">
        <f t="shared" si="69"/>
        <v/>
      </c>
    </row>
    <row r="3433" spans="1:1" x14ac:dyDescent="0.4">
      <c r="A3433" t="str">
        <f t="shared" si="69"/>
        <v/>
      </c>
    </row>
    <row r="3434" spans="1:1" x14ac:dyDescent="0.4">
      <c r="A3434" t="str">
        <f t="shared" si="69"/>
        <v/>
      </c>
    </row>
    <row r="3435" spans="1:1" x14ac:dyDescent="0.4">
      <c r="A3435" t="str">
        <f t="shared" si="69"/>
        <v/>
      </c>
    </row>
    <row r="3436" spans="1:1" x14ac:dyDescent="0.4">
      <c r="A3436" t="str">
        <f t="shared" si="69"/>
        <v/>
      </c>
    </row>
    <row r="3437" spans="1:1" x14ac:dyDescent="0.4">
      <c r="A3437" t="str">
        <f t="shared" si="69"/>
        <v/>
      </c>
    </row>
    <row r="3438" spans="1:1" x14ac:dyDescent="0.4">
      <c r="A3438" t="str">
        <f t="shared" si="69"/>
        <v/>
      </c>
    </row>
    <row r="3439" spans="1:1" x14ac:dyDescent="0.4">
      <c r="A3439" t="str">
        <f t="shared" si="69"/>
        <v/>
      </c>
    </row>
    <row r="3440" spans="1:1" x14ac:dyDescent="0.4">
      <c r="A3440" t="str">
        <f t="shared" si="69"/>
        <v/>
      </c>
    </row>
    <row r="3441" spans="1:1" x14ac:dyDescent="0.4">
      <c r="A3441" t="str">
        <f t="shared" si="69"/>
        <v/>
      </c>
    </row>
    <row r="3442" spans="1:1" x14ac:dyDescent="0.4">
      <c r="A3442" t="str">
        <f t="shared" si="69"/>
        <v/>
      </c>
    </row>
    <row r="3443" spans="1:1" x14ac:dyDescent="0.4">
      <c r="A3443" t="str">
        <f t="shared" si="69"/>
        <v/>
      </c>
    </row>
    <row r="3444" spans="1:1" x14ac:dyDescent="0.4">
      <c r="A3444" t="str">
        <f t="shared" si="69"/>
        <v/>
      </c>
    </row>
    <row r="3445" spans="1:1" x14ac:dyDescent="0.4">
      <c r="A3445" t="str">
        <f t="shared" si="69"/>
        <v/>
      </c>
    </row>
    <row r="3446" spans="1:1" x14ac:dyDescent="0.4">
      <c r="A3446" t="str">
        <f t="shared" si="69"/>
        <v/>
      </c>
    </row>
    <row r="3447" spans="1:1" x14ac:dyDescent="0.4">
      <c r="A3447" t="str">
        <f t="shared" si="69"/>
        <v/>
      </c>
    </row>
    <row r="3448" spans="1:1" x14ac:dyDescent="0.4">
      <c r="A3448" t="str">
        <f t="shared" si="69"/>
        <v/>
      </c>
    </row>
    <row r="3449" spans="1:1" x14ac:dyDescent="0.4">
      <c r="A3449" t="str">
        <f t="shared" si="69"/>
        <v/>
      </c>
    </row>
    <row r="3450" spans="1:1" x14ac:dyDescent="0.4">
      <c r="A3450" t="str">
        <f t="shared" si="69"/>
        <v/>
      </c>
    </row>
    <row r="3451" spans="1:1" x14ac:dyDescent="0.4">
      <c r="A3451" t="str">
        <f t="shared" si="69"/>
        <v/>
      </c>
    </row>
    <row r="3452" spans="1:1" x14ac:dyDescent="0.4">
      <c r="A3452" t="str">
        <f t="shared" si="69"/>
        <v/>
      </c>
    </row>
    <row r="3453" spans="1:1" x14ac:dyDescent="0.4">
      <c r="A3453" t="str">
        <f t="shared" si="69"/>
        <v/>
      </c>
    </row>
    <row r="3454" spans="1:1" x14ac:dyDescent="0.4">
      <c r="A3454" t="str">
        <f t="shared" si="69"/>
        <v/>
      </c>
    </row>
    <row r="3455" spans="1:1" x14ac:dyDescent="0.4">
      <c r="A3455" t="str">
        <f t="shared" si="69"/>
        <v/>
      </c>
    </row>
    <row r="3456" spans="1:1" x14ac:dyDescent="0.4">
      <c r="A3456" t="str">
        <f t="shared" si="69"/>
        <v/>
      </c>
    </row>
    <row r="3457" spans="1:1" x14ac:dyDescent="0.4">
      <c r="A3457" t="str">
        <f t="shared" si="69"/>
        <v/>
      </c>
    </row>
    <row r="3458" spans="1:1" x14ac:dyDescent="0.4">
      <c r="A3458" t="str">
        <f t="shared" si="69"/>
        <v/>
      </c>
    </row>
    <row r="3459" spans="1:1" x14ac:dyDescent="0.4">
      <c r="A3459" t="str">
        <f t="shared" si="69"/>
        <v/>
      </c>
    </row>
    <row r="3460" spans="1:1" x14ac:dyDescent="0.4">
      <c r="A3460" t="str">
        <f t="shared" si="69"/>
        <v/>
      </c>
    </row>
    <row r="3461" spans="1:1" x14ac:dyDescent="0.4">
      <c r="A3461" t="str">
        <f t="shared" si="69"/>
        <v/>
      </c>
    </row>
    <row r="3462" spans="1:1" x14ac:dyDescent="0.4">
      <c r="A3462" t="str">
        <f t="shared" si="69"/>
        <v/>
      </c>
    </row>
    <row r="3463" spans="1:1" x14ac:dyDescent="0.4">
      <c r="A3463" t="str">
        <f t="shared" ref="A3463:A3526" si="70">RIGHT(B3463,12)</f>
        <v/>
      </c>
    </row>
    <row r="3464" spans="1:1" x14ac:dyDescent="0.4">
      <c r="A3464" t="str">
        <f t="shared" si="70"/>
        <v/>
      </c>
    </row>
    <row r="3465" spans="1:1" x14ac:dyDescent="0.4">
      <c r="A3465" t="str">
        <f t="shared" si="70"/>
        <v/>
      </c>
    </row>
    <row r="3466" spans="1:1" x14ac:dyDescent="0.4">
      <c r="A3466" t="str">
        <f t="shared" si="70"/>
        <v/>
      </c>
    </row>
    <row r="3467" spans="1:1" x14ac:dyDescent="0.4">
      <c r="A3467" t="str">
        <f t="shared" si="70"/>
        <v/>
      </c>
    </row>
    <row r="3468" spans="1:1" x14ac:dyDescent="0.4">
      <c r="A3468" t="str">
        <f t="shared" si="70"/>
        <v/>
      </c>
    </row>
    <row r="3469" spans="1:1" x14ac:dyDescent="0.4">
      <c r="A3469" t="str">
        <f t="shared" si="70"/>
        <v/>
      </c>
    </row>
    <row r="3470" spans="1:1" x14ac:dyDescent="0.4">
      <c r="A3470" t="str">
        <f t="shared" si="70"/>
        <v/>
      </c>
    </row>
    <row r="3471" spans="1:1" x14ac:dyDescent="0.4">
      <c r="A3471" t="str">
        <f t="shared" si="70"/>
        <v/>
      </c>
    </row>
    <row r="3472" spans="1:1" x14ac:dyDescent="0.4">
      <c r="A3472" t="str">
        <f t="shared" si="70"/>
        <v/>
      </c>
    </row>
    <row r="3473" spans="1:1" x14ac:dyDescent="0.4">
      <c r="A3473" t="str">
        <f t="shared" si="70"/>
        <v/>
      </c>
    </row>
    <row r="3474" spans="1:1" x14ac:dyDescent="0.4">
      <c r="A3474" t="str">
        <f t="shared" si="70"/>
        <v/>
      </c>
    </row>
    <row r="3475" spans="1:1" x14ac:dyDescent="0.4">
      <c r="A3475" t="str">
        <f t="shared" si="70"/>
        <v/>
      </c>
    </row>
    <row r="3476" spans="1:1" x14ac:dyDescent="0.4">
      <c r="A3476" t="str">
        <f t="shared" si="70"/>
        <v/>
      </c>
    </row>
    <row r="3477" spans="1:1" x14ac:dyDescent="0.4">
      <c r="A3477" t="str">
        <f t="shared" si="70"/>
        <v/>
      </c>
    </row>
    <row r="3478" spans="1:1" x14ac:dyDescent="0.4">
      <c r="A3478" t="str">
        <f t="shared" si="70"/>
        <v/>
      </c>
    </row>
    <row r="3479" spans="1:1" x14ac:dyDescent="0.4">
      <c r="A3479" t="str">
        <f t="shared" si="70"/>
        <v/>
      </c>
    </row>
    <row r="3480" spans="1:1" x14ac:dyDescent="0.4">
      <c r="A3480" t="str">
        <f t="shared" si="70"/>
        <v/>
      </c>
    </row>
    <row r="3481" spans="1:1" x14ac:dyDescent="0.4">
      <c r="A3481" t="str">
        <f t="shared" si="70"/>
        <v/>
      </c>
    </row>
    <row r="3482" spans="1:1" x14ac:dyDescent="0.4">
      <c r="A3482" t="str">
        <f t="shared" si="70"/>
        <v/>
      </c>
    </row>
    <row r="3483" spans="1:1" x14ac:dyDescent="0.4">
      <c r="A3483" t="str">
        <f t="shared" si="70"/>
        <v/>
      </c>
    </row>
    <row r="3484" spans="1:1" x14ac:dyDescent="0.4">
      <c r="A3484" t="str">
        <f t="shared" si="70"/>
        <v/>
      </c>
    </row>
    <row r="3485" spans="1:1" x14ac:dyDescent="0.4">
      <c r="A3485" t="str">
        <f t="shared" si="70"/>
        <v/>
      </c>
    </row>
    <row r="3486" spans="1:1" x14ac:dyDescent="0.4">
      <c r="A3486" t="str">
        <f t="shared" si="70"/>
        <v/>
      </c>
    </row>
    <row r="3487" spans="1:1" x14ac:dyDescent="0.4">
      <c r="A3487" t="str">
        <f t="shared" si="70"/>
        <v/>
      </c>
    </row>
    <row r="3488" spans="1:1" x14ac:dyDescent="0.4">
      <c r="A3488" t="str">
        <f t="shared" si="70"/>
        <v/>
      </c>
    </row>
    <row r="3489" spans="1:1" x14ac:dyDescent="0.4">
      <c r="A3489" t="str">
        <f t="shared" si="70"/>
        <v/>
      </c>
    </row>
    <row r="3490" spans="1:1" x14ac:dyDescent="0.4">
      <c r="A3490" t="str">
        <f t="shared" si="70"/>
        <v/>
      </c>
    </row>
    <row r="3491" spans="1:1" x14ac:dyDescent="0.4">
      <c r="A3491" t="str">
        <f t="shared" si="70"/>
        <v/>
      </c>
    </row>
    <row r="3492" spans="1:1" x14ac:dyDescent="0.4">
      <c r="A3492" t="str">
        <f t="shared" si="70"/>
        <v/>
      </c>
    </row>
    <row r="3493" spans="1:1" x14ac:dyDescent="0.4">
      <c r="A3493" t="str">
        <f t="shared" si="70"/>
        <v/>
      </c>
    </row>
    <row r="3494" spans="1:1" x14ac:dyDescent="0.4">
      <c r="A3494" t="str">
        <f t="shared" si="70"/>
        <v/>
      </c>
    </row>
    <row r="3495" spans="1:1" x14ac:dyDescent="0.4">
      <c r="A3495" t="str">
        <f t="shared" si="70"/>
        <v/>
      </c>
    </row>
    <row r="3496" spans="1:1" x14ac:dyDescent="0.4">
      <c r="A3496" t="str">
        <f t="shared" si="70"/>
        <v/>
      </c>
    </row>
    <row r="3497" spans="1:1" x14ac:dyDescent="0.4">
      <c r="A3497" t="str">
        <f t="shared" si="70"/>
        <v/>
      </c>
    </row>
    <row r="3498" spans="1:1" x14ac:dyDescent="0.4">
      <c r="A3498" t="str">
        <f t="shared" si="70"/>
        <v/>
      </c>
    </row>
    <row r="3499" spans="1:1" x14ac:dyDescent="0.4">
      <c r="A3499" t="str">
        <f t="shared" si="70"/>
        <v/>
      </c>
    </row>
    <row r="3500" spans="1:1" x14ac:dyDescent="0.4">
      <c r="A3500" t="str">
        <f t="shared" si="70"/>
        <v/>
      </c>
    </row>
    <row r="3501" spans="1:1" x14ac:dyDescent="0.4">
      <c r="A3501" t="str">
        <f t="shared" si="70"/>
        <v/>
      </c>
    </row>
    <row r="3502" spans="1:1" x14ac:dyDescent="0.4">
      <c r="A3502" t="str">
        <f t="shared" si="70"/>
        <v/>
      </c>
    </row>
    <row r="3503" spans="1:1" x14ac:dyDescent="0.4">
      <c r="A3503" t="str">
        <f t="shared" si="70"/>
        <v/>
      </c>
    </row>
    <row r="3504" spans="1:1" x14ac:dyDescent="0.4">
      <c r="A3504" t="str">
        <f t="shared" si="70"/>
        <v/>
      </c>
    </row>
    <row r="3505" spans="1:1" x14ac:dyDescent="0.4">
      <c r="A3505" t="str">
        <f t="shared" si="70"/>
        <v/>
      </c>
    </row>
    <row r="3506" spans="1:1" x14ac:dyDescent="0.4">
      <c r="A3506" t="str">
        <f t="shared" si="70"/>
        <v/>
      </c>
    </row>
    <row r="3507" spans="1:1" x14ac:dyDescent="0.4">
      <c r="A3507" t="str">
        <f t="shared" si="70"/>
        <v/>
      </c>
    </row>
    <row r="3508" spans="1:1" x14ac:dyDescent="0.4">
      <c r="A3508" t="str">
        <f t="shared" si="70"/>
        <v/>
      </c>
    </row>
    <row r="3509" spans="1:1" x14ac:dyDescent="0.4">
      <c r="A3509" t="str">
        <f t="shared" si="70"/>
        <v/>
      </c>
    </row>
    <row r="3510" spans="1:1" x14ac:dyDescent="0.4">
      <c r="A3510" t="str">
        <f t="shared" si="70"/>
        <v/>
      </c>
    </row>
    <row r="3511" spans="1:1" x14ac:dyDescent="0.4">
      <c r="A3511" t="str">
        <f t="shared" si="70"/>
        <v/>
      </c>
    </row>
    <row r="3512" spans="1:1" x14ac:dyDescent="0.4">
      <c r="A3512" t="str">
        <f t="shared" si="70"/>
        <v/>
      </c>
    </row>
    <row r="3513" spans="1:1" x14ac:dyDescent="0.4">
      <c r="A3513" t="str">
        <f t="shared" si="70"/>
        <v/>
      </c>
    </row>
    <row r="3514" spans="1:1" x14ac:dyDescent="0.4">
      <c r="A3514" t="str">
        <f t="shared" si="70"/>
        <v/>
      </c>
    </row>
    <row r="3515" spans="1:1" x14ac:dyDescent="0.4">
      <c r="A3515" t="str">
        <f t="shared" si="70"/>
        <v/>
      </c>
    </row>
    <row r="3516" spans="1:1" x14ac:dyDescent="0.4">
      <c r="A3516" t="str">
        <f t="shared" si="70"/>
        <v/>
      </c>
    </row>
    <row r="3517" spans="1:1" x14ac:dyDescent="0.4">
      <c r="A3517" t="str">
        <f t="shared" si="70"/>
        <v/>
      </c>
    </row>
    <row r="3518" spans="1:1" x14ac:dyDescent="0.4">
      <c r="A3518" t="str">
        <f t="shared" si="70"/>
        <v/>
      </c>
    </row>
    <row r="3519" spans="1:1" x14ac:dyDescent="0.4">
      <c r="A3519" t="str">
        <f t="shared" si="70"/>
        <v/>
      </c>
    </row>
    <row r="3520" spans="1:1" x14ac:dyDescent="0.4">
      <c r="A3520" t="str">
        <f t="shared" si="70"/>
        <v/>
      </c>
    </row>
    <row r="3521" spans="1:1" x14ac:dyDescent="0.4">
      <c r="A3521" t="str">
        <f t="shared" si="70"/>
        <v/>
      </c>
    </row>
    <row r="3522" spans="1:1" x14ac:dyDescent="0.4">
      <c r="A3522" t="str">
        <f t="shared" si="70"/>
        <v/>
      </c>
    </row>
    <row r="3523" spans="1:1" x14ac:dyDescent="0.4">
      <c r="A3523" t="str">
        <f t="shared" si="70"/>
        <v/>
      </c>
    </row>
    <row r="3524" spans="1:1" x14ac:dyDescent="0.4">
      <c r="A3524" t="str">
        <f t="shared" si="70"/>
        <v/>
      </c>
    </row>
    <row r="3525" spans="1:1" x14ac:dyDescent="0.4">
      <c r="A3525" t="str">
        <f t="shared" si="70"/>
        <v/>
      </c>
    </row>
    <row r="3526" spans="1:1" x14ac:dyDescent="0.4">
      <c r="A3526" t="str">
        <f t="shared" si="70"/>
        <v/>
      </c>
    </row>
    <row r="3527" spans="1:1" x14ac:dyDescent="0.4">
      <c r="A3527" t="str">
        <f t="shared" ref="A3527:A3590" si="71">RIGHT(B3527,12)</f>
        <v/>
      </c>
    </row>
    <row r="3528" spans="1:1" x14ac:dyDescent="0.4">
      <c r="A3528" t="str">
        <f t="shared" si="71"/>
        <v/>
      </c>
    </row>
    <row r="3529" spans="1:1" x14ac:dyDescent="0.4">
      <c r="A3529" t="str">
        <f t="shared" si="71"/>
        <v/>
      </c>
    </row>
    <row r="3530" spans="1:1" x14ac:dyDescent="0.4">
      <c r="A3530" t="str">
        <f t="shared" si="71"/>
        <v/>
      </c>
    </row>
    <row r="3531" spans="1:1" x14ac:dyDescent="0.4">
      <c r="A3531" t="str">
        <f t="shared" si="71"/>
        <v/>
      </c>
    </row>
    <row r="3532" spans="1:1" x14ac:dyDescent="0.4">
      <c r="A3532" t="str">
        <f t="shared" si="71"/>
        <v/>
      </c>
    </row>
    <row r="3533" spans="1:1" x14ac:dyDescent="0.4">
      <c r="A3533" t="str">
        <f t="shared" si="71"/>
        <v/>
      </c>
    </row>
    <row r="3534" spans="1:1" x14ac:dyDescent="0.4">
      <c r="A3534" t="str">
        <f t="shared" si="71"/>
        <v/>
      </c>
    </row>
    <row r="3535" spans="1:1" x14ac:dyDescent="0.4">
      <c r="A3535" t="str">
        <f t="shared" si="71"/>
        <v/>
      </c>
    </row>
    <row r="3536" spans="1:1" x14ac:dyDescent="0.4">
      <c r="A3536" t="str">
        <f t="shared" si="71"/>
        <v/>
      </c>
    </row>
    <row r="3537" spans="1:1" x14ac:dyDescent="0.4">
      <c r="A3537" t="str">
        <f t="shared" si="71"/>
        <v/>
      </c>
    </row>
    <row r="3538" spans="1:1" x14ac:dyDescent="0.4">
      <c r="A3538" t="str">
        <f t="shared" si="71"/>
        <v/>
      </c>
    </row>
    <row r="3539" spans="1:1" x14ac:dyDescent="0.4">
      <c r="A3539" t="str">
        <f t="shared" si="71"/>
        <v/>
      </c>
    </row>
    <row r="3540" spans="1:1" x14ac:dyDescent="0.4">
      <c r="A3540" t="str">
        <f t="shared" si="71"/>
        <v/>
      </c>
    </row>
    <row r="3541" spans="1:1" x14ac:dyDescent="0.4">
      <c r="A3541" t="str">
        <f t="shared" si="71"/>
        <v/>
      </c>
    </row>
    <row r="3542" spans="1:1" x14ac:dyDescent="0.4">
      <c r="A3542" t="str">
        <f t="shared" si="71"/>
        <v/>
      </c>
    </row>
    <row r="3543" spans="1:1" x14ac:dyDescent="0.4">
      <c r="A3543" t="str">
        <f t="shared" si="71"/>
        <v/>
      </c>
    </row>
    <row r="3544" spans="1:1" x14ac:dyDescent="0.4">
      <c r="A3544" t="str">
        <f t="shared" si="71"/>
        <v/>
      </c>
    </row>
    <row r="3545" spans="1:1" x14ac:dyDescent="0.4">
      <c r="A3545" t="str">
        <f t="shared" si="71"/>
        <v/>
      </c>
    </row>
    <row r="3546" spans="1:1" x14ac:dyDescent="0.4">
      <c r="A3546" t="str">
        <f t="shared" si="71"/>
        <v/>
      </c>
    </row>
    <row r="3547" spans="1:1" x14ac:dyDescent="0.4">
      <c r="A3547" t="str">
        <f t="shared" si="71"/>
        <v/>
      </c>
    </row>
    <row r="3548" spans="1:1" x14ac:dyDescent="0.4">
      <c r="A3548" t="str">
        <f t="shared" si="71"/>
        <v/>
      </c>
    </row>
    <row r="3549" spans="1:1" x14ac:dyDescent="0.4">
      <c r="A3549" t="str">
        <f t="shared" si="71"/>
        <v/>
      </c>
    </row>
    <row r="3550" spans="1:1" x14ac:dyDescent="0.4">
      <c r="A3550" t="str">
        <f t="shared" si="71"/>
        <v/>
      </c>
    </row>
    <row r="3551" spans="1:1" x14ac:dyDescent="0.4">
      <c r="A3551" t="str">
        <f t="shared" si="71"/>
        <v/>
      </c>
    </row>
    <row r="3552" spans="1:1" x14ac:dyDescent="0.4">
      <c r="A3552" t="str">
        <f t="shared" si="71"/>
        <v/>
      </c>
    </row>
    <row r="3553" spans="1:1" x14ac:dyDescent="0.4">
      <c r="A3553" t="str">
        <f t="shared" si="71"/>
        <v/>
      </c>
    </row>
    <row r="3554" spans="1:1" x14ac:dyDescent="0.4">
      <c r="A3554" t="str">
        <f t="shared" si="71"/>
        <v/>
      </c>
    </row>
    <row r="3555" spans="1:1" x14ac:dyDescent="0.4">
      <c r="A3555" t="str">
        <f t="shared" si="71"/>
        <v/>
      </c>
    </row>
    <row r="3556" spans="1:1" x14ac:dyDescent="0.4">
      <c r="A3556" t="str">
        <f t="shared" si="71"/>
        <v/>
      </c>
    </row>
    <row r="3557" spans="1:1" x14ac:dyDescent="0.4">
      <c r="A3557" t="str">
        <f t="shared" si="71"/>
        <v/>
      </c>
    </row>
    <row r="3558" spans="1:1" x14ac:dyDescent="0.4">
      <c r="A3558" t="str">
        <f t="shared" si="71"/>
        <v/>
      </c>
    </row>
    <row r="3559" spans="1:1" x14ac:dyDescent="0.4">
      <c r="A3559" t="str">
        <f t="shared" si="71"/>
        <v/>
      </c>
    </row>
    <row r="3560" spans="1:1" x14ac:dyDescent="0.4">
      <c r="A3560" t="str">
        <f t="shared" si="71"/>
        <v/>
      </c>
    </row>
    <row r="3561" spans="1:1" x14ac:dyDescent="0.4">
      <c r="A3561" t="str">
        <f t="shared" si="71"/>
        <v/>
      </c>
    </row>
    <row r="3562" spans="1:1" x14ac:dyDescent="0.4">
      <c r="A3562" t="str">
        <f t="shared" si="71"/>
        <v/>
      </c>
    </row>
    <row r="3563" spans="1:1" x14ac:dyDescent="0.4">
      <c r="A3563" t="str">
        <f t="shared" si="71"/>
        <v/>
      </c>
    </row>
    <row r="3564" spans="1:1" x14ac:dyDescent="0.4">
      <c r="A3564" t="str">
        <f t="shared" si="71"/>
        <v/>
      </c>
    </row>
    <row r="3565" spans="1:1" x14ac:dyDescent="0.4">
      <c r="A3565" t="str">
        <f t="shared" si="71"/>
        <v/>
      </c>
    </row>
    <row r="3566" spans="1:1" x14ac:dyDescent="0.4">
      <c r="A3566" t="str">
        <f t="shared" si="71"/>
        <v/>
      </c>
    </row>
    <row r="3567" spans="1:1" x14ac:dyDescent="0.4">
      <c r="A3567" t="str">
        <f t="shared" si="71"/>
        <v/>
      </c>
    </row>
    <row r="3568" spans="1:1" x14ac:dyDescent="0.4">
      <c r="A3568" t="str">
        <f t="shared" si="71"/>
        <v/>
      </c>
    </row>
    <row r="3569" spans="1:1" x14ac:dyDescent="0.4">
      <c r="A3569" t="str">
        <f t="shared" si="71"/>
        <v/>
      </c>
    </row>
    <row r="3570" spans="1:1" x14ac:dyDescent="0.4">
      <c r="A3570" t="str">
        <f t="shared" si="71"/>
        <v/>
      </c>
    </row>
    <row r="3571" spans="1:1" x14ac:dyDescent="0.4">
      <c r="A3571" t="str">
        <f t="shared" si="71"/>
        <v/>
      </c>
    </row>
    <row r="3572" spans="1:1" x14ac:dyDescent="0.4">
      <c r="A3572" t="str">
        <f t="shared" si="71"/>
        <v/>
      </c>
    </row>
    <row r="3573" spans="1:1" x14ac:dyDescent="0.4">
      <c r="A3573" t="str">
        <f t="shared" si="71"/>
        <v/>
      </c>
    </row>
    <row r="3574" spans="1:1" x14ac:dyDescent="0.4">
      <c r="A3574" t="str">
        <f t="shared" si="71"/>
        <v/>
      </c>
    </row>
    <row r="3575" spans="1:1" x14ac:dyDescent="0.4">
      <c r="A3575" t="str">
        <f t="shared" si="71"/>
        <v/>
      </c>
    </row>
    <row r="3576" spans="1:1" x14ac:dyDescent="0.4">
      <c r="A3576" t="str">
        <f t="shared" si="71"/>
        <v/>
      </c>
    </row>
    <row r="3577" spans="1:1" x14ac:dyDescent="0.4">
      <c r="A3577" t="str">
        <f t="shared" si="71"/>
        <v/>
      </c>
    </row>
    <row r="3578" spans="1:1" x14ac:dyDescent="0.4">
      <c r="A3578" t="str">
        <f t="shared" si="71"/>
        <v/>
      </c>
    </row>
    <row r="3579" spans="1:1" x14ac:dyDescent="0.4">
      <c r="A3579" t="str">
        <f t="shared" si="71"/>
        <v/>
      </c>
    </row>
    <row r="3580" spans="1:1" x14ac:dyDescent="0.4">
      <c r="A3580" t="str">
        <f t="shared" si="71"/>
        <v/>
      </c>
    </row>
    <row r="3581" spans="1:1" x14ac:dyDescent="0.4">
      <c r="A3581" t="str">
        <f t="shared" si="71"/>
        <v/>
      </c>
    </row>
    <row r="3582" spans="1:1" x14ac:dyDescent="0.4">
      <c r="A3582" t="str">
        <f t="shared" si="71"/>
        <v/>
      </c>
    </row>
    <row r="3583" spans="1:1" x14ac:dyDescent="0.4">
      <c r="A3583" t="str">
        <f t="shared" si="71"/>
        <v/>
      </c>
    </row>
    <row r="3584" spans="1:1" x14ac:dyDescent="0.4">
      <c r="A3584" t="str">
        <f t="shared" si="71"/>
        <v/>
      </c>
    </row>
    <row r="3585" spans="1:1" x14ac:dyDescent="0.4">
      <c r="A3585" t="str">
        <f t="shared" si="71"/>
        <v/>
      </c>
    </row>
    <row r="3586" spans="1:1" x14ac:dyDescent="0.4">
      <c r="A3586" t="str">
        <f t="shared" si="71"/>
        <v/>
      </c>
    </row>
    <row r="3587" spans="1:1" x14ac:dyDescent="0.4">
      <c r="A3587" t="str">
        <f t="shared" si="71"/>
        <v/>
      </c>
    </row>
    <row r="3588" spans="1:1" x14ac:dyDescent="0.4">
      <c r="A3588" t="str">
        <f t="shared" si="71"/>
        <v/>
      </c>
    </row>
    <row r="3589" spans="1:1" x14ac:dyDescent="0.4">
      <c r="A3589" t="str">
        <f t="shared" si="71"/>
        <v/>
      </c>
    </row>
    <row r="3590" spans="1:1" x14ac:dyDescent="0.4">
      <c r="A3590" t="str">
        <f t="shared" si="71"/>
        <v/>
      </c>
    </row>
    <row r="3591" spans="1:1" x14ac:dyDescent="0.4">
      <c r="A3591" t="str">
        <f t="shared" ref="A3591:A3651" si="72">RIGHT(B3591,12)</f>
        <v/>
      </c>
    </row>
    <row r="3592" spans="1:1" x14ac:dyDescent="0.4">
      <c r="A3592" t="str">
        <f t="shared" si="72"/>
        <v/>
      </c>
    </row>
    <row r="3593" spans="1:1" x14ac:dyDescent="0.4">
      <c r="A3593" t="str">
        <f t="shared" si="72"/>
        <v/>
      </c>
    </row>
    <row r="3594" spans="1:1" x14ac:dyDescent="0.4">
      <c r="A3594" t="str">
        <f t="shared" si="72"/>
        <v/>
      </c>
    </row>
    <row r="3595" spans="1:1" x14ac:dyDescent="0.4">
      <c r="A3595" t="str">
        <f t="shared" si="72"/>
        <v/>
      </c>
    </row>
    <row r="3596" spans="1:1" x14ac:dyDescent="0.4">
      <c r="A3596" t="str">
        <f t="shared" si="72"/>
        <v/>
      </c>
    </row>
    <row r="3597" spans="1:1" x14ac:dyDescent="0.4">
      <c r="A3597" t="str">
        <f t="shared" si="72"/>
        <v/>
      </c>
    </row>
    <row r="3598" spans="1:1" x14ac:dyDescent="0.4">
      <c r="A3598" t="str">
        <f t="shared" si="72"/>
        <v/>
      </c>
    </row>
    <row r="3599" spans="1:1" x14ac:dyDescent="0.4">
      <c r="A3599" t="str">
        <f t="shared" si="72"/>
        <v/>
      </c>
    </row>
    <row r="3600" spans="1:1" x14ac:dyDescent="0.4">
      <c r="A3600" t="str">
        <f t="shared" si="72"/>
        <v/>
      </c>
    </row>
    <row r="3601" spans="1:1" x14ac:dyDescent="0.4">
      <c r="A3601" t="str">
        <f t="shared" si="72"/>
        <v/>
      </c>
    </row>
    <row r="3602" spans="1:1" x14ac:dyDescent="0.4">
      <c r="A3602" t="str">
        <f t="shared" si="72"/>
        <v/>
      </c>
    </row>
    <row r="3603" spans="1:1" x14ac:dyDescent="0.4">
      <c r="A3603" t="str">
        <f t="shared" si="72"/>
        <v/>
      </c>
    </row>
    <row r="3604" spans="1:1" x14ac:dyDescent="0.4">
      <c r="A3604" t="str">
        <f t="shared" si="72"/>
        <v/>
      </c>
    </row>
    <row r="3605" spans="1:1" x14ac:dyDescent="0.4">
      <c r="A3605" t="str">
        <f t="shared" si="72"/>
        <v/>
      </c>
    </row>
    <row r="3606" spans="1:1" x14ac:dyDescent="0.4">
      <c r="A3606" t="str">
        <f t="shared" si="72"/>
        <v/>
      </c>
    </row>
    <row r="3607" spans="1:1" x14ac:dyDescent="0.4">
      <c r="A3607" t="str">
        <f t="shared" si="72"/>
        <v/>
      </c>
    </row>
    <row r="3608" spans="1:1" x14ac:dyDescent="0.4">
      <c r="A3608" t="str">
        <f t="shared" si="72"/>
        <v/>
      </c>
    </row>
    <row r="3609" spans="1:1" x14ac:dyDescent="0.4">
      <c r="A3609" t="str">
        <f t="shared" si="72"/>
        <v/>
      </c>
    </row>
    <row r="3610" spans="1:1" x14ac:dyDescent="0.4">
      <c r="A3610" t="str">
        <f t="shared" si="72"/>
        <v/>
      </c>
    </row>
    <row r="3611" spans="1:1" x14ac:dyDescent="0.4">
      <c r="A3611" t="str">
        <f t="shared" si="72"/>
        <v/>
      </c>
    </row>
    <row r="3612" spans="1:1" x14ac:dyDescent="0.4">
      <c r="A3612" t="str">
        <f t="shared" si="72"/>
        <v/>
      </c>
    </row>
    <row r="3613" spans="1:1" x14ac:dyDescent="0.4">
      <c r="A3613" t="str">
        <f t="shared" si="72"/>
        <v/>
      </c>
    </row>
    <row r="3614" spans="1:1" x14ac:dyDescent="0.4">
      <c r="A3614" t="str">
        <f t="shared" si="72"/>
        <v/>
      </c>
    </row>
    <row r="3615" spans="1:1" x14ac:dyDescent="0.4">
      <c r="A3615" t="str">
        <f t="shared" si="72"/>
        <v/>
      </c>
    </row>
    <row r="3616" spans="1:1" x14ac:dyDescent="0.4">
      <c r="A3616" t="str">
        <f t="shared" si="72"/>
        <v/>
      </c>
    </row>
    <row r="3617" spans="1:1" x14ac:dyDescent="0.4">
      <c r="A3617" t="str">
        <f t="shared" si="72"/>
        <v/>
      </c>
    </row>
    <row r="3618" spans="1:1" x14ac:dyDescent="0.4">
      <c r="A3618" t="str">
        <f t="shared" si="72"/>
        <v/>
      </c>
    </row>
    <row r="3619" spans="1:1" x14ac:dyDescent="0.4">
      <c r="A3619" t="str">
        <f t="shared" si="72"/>
        <v/>
      </c>
    </row>
    <row r="3620" spans="1:1" x14ac:dyDescent="0.4">
      <c r="A3620" t="str">
        <f t="shared" si="72"/>
        <v/>
      </c>
    </row>
    <row r="3621" spans="1:1" x14ac:dyDescent="0.4">
      <c r="A3621" t="str">
        <f t="shared" si="72"/>
        <v/>
      </c>
    </row>
    <row r="3622" spans="1:1" x14ac:dyDescent="0.4">
      <c r="A3622" t="str">
        <f t="shared" si="72"/>
        <v/>
      </c>
    </row>
    <row r="3623" spans="1:1" x14ac:dyDescent="0.4">
      <c r="A3623" t="str">
        <f t="shared" si="72"/>
        <v/>
      </c>
    </row>
    <row r="3624" spans="1:1" x14ac:dyDescent="0.4">
      <c r="A3624" t="str">
        <f t="shared" si="72"/>
        <v/>
      </c>
    </row>
    <row r="3625" spans="1:1" x14ac:dyDescent="0.4">
      <c r="A3625" t="str">
        <f t="shared" si="72"/>
        <v/>
      </c>
    </row>
    <row r="3626" spans="1:1" x14ac:dyDescent="0.4">
      <c r="A3626" t="str">
        <f t="shared" si="72"/>
        <v/>
      </c>
    </row>
    <row r="3627" spans="1:1" x14ac:dyDescent="0.4">
      <c r="A3627" t="str">
        <f t="shared" si="72"/>
        <v/>
      </c>
    </row>
    <row r="3628" spans="1:1" x14ac:dyDescent="0.4">
      <c r="A3628" t="str">
        <f t="shared" si="72"/>
        <v/>
      </c>
    </row>
    <row r="3629" spans="1:1" x14ac:dyDescent="0.4">
      <c r="A3629" t="str">
        <f t="shared" si="72"/>
        <v/>
      </c>
    </row>
    <row r="3630" spans="1:1" x14ac:dyDescent="0.4">
      <c r="A3630" t="str">
        <f t="shared" si="72"/>
        <v/>
      </c>
    </row>
    <row r="3631" spans="1:1" x14ac:dyDescent="0.4">
      <c r="A3631" t="str">
        <f t="shared" si="72"/>
        <v/>
      </c>
    </row>
    <row r="3632" spans="1:1" x14ac:dyDescent="0.4">
      <c r="A3632" t="str">
        <f t="shared" si="72"/>
        <v/>
      </c>
    </row>
    <row r="3633" spans="1:1" x14ac:dyDescent="0.4">
      <c r="A3633" t="str">
        <f t="shared" si="72"/>
        <v/>
      </c>
    </row>
    <row r="3634" spans="1:1" x14ac:dyDescent="0.4">
      <c r="A3634" t="str">
        <f t="shared" si="72"/>
        <v/>
      </c>
    </row>
    <row r="3635" spans="1:1" x14ac:dyDescent="0.4">
      <c r="A3635" t="str">
        <f t="shared" si="72"/>
        <v/>
      </c>
    </row>
    <row r="3636" spans="1:1" x14ac:dyDescent="0.4">
      <c r="A3636" t="str">
        <f t="shared" si="72"/>
        <v/>
      </c>
    </row>
    <row r="3637" spans="1:1" x14ac:dyDescent="0.4">
      <c r="A3637" t="str">
        <f t="shared" si="72"/>
        <v/>
      </c>
    </row>
    <row r="3638" spans="1:1" x14ac:dyDescent="0.4">
      <c r="A3638" t="str">
        <f t="shared" si="72"/>
        <v/>
      </c>
    </row>
    <row r="3639" spans="1:1" x14ac:dyDescent="0.4">
      <c r="A3639" t="str">
        <f t="shared" si="72"/>
        <v/>
      </c>
    </row>
    <row r="3640" spans="1:1" x14ac:dyDescent="0.4">
      <c r="A3640" t="str">
        <f t="shared" si="72"/>
        <v/>
      </c>
    </row>
    <row r="3641" spans="1:1" x14ac:dyDescent="0.4">
      <c r="A3641" t="str">
        <f t="shared" si="72"/>
        <v/>
      </c>
    </row>
    <row r="3642" spans="1:1" x14ac:dyDescent="0.4">
      <c r="A3642" t="str">
        <f t="shared" si="72"/>
        <v/>
      </c>
    </row>
    <row r="3643" spans="1:1" x14ac:dyDescent="0.4">
      <c r="A3643" t="str">
        <f t="shared" si="72"/>
        <v/>
      </c>
    </row>
    <row r="3644" spans="1:1" x14ac:dyDescent="0.4">
      <c r="A3644" t="str">
        <f t="shared" si="72"/>
        <v/>
      </c>
    </row>
    <row r="3645" spans="1:1" x14ac:dyDescent="0.4">
      <c r="A3645" t="str">
        <f t="shared" si="72"/>
        <v/>
      </c>
    </row>
    <row r="3646" spans="1:1" x14ac:dyDescent="0.4">
      <c r="A3646" t="str">
        <f t="shared" si="72"/>
        <v/>
      </c>
    </row>
    <row r="3647" spans="1:1" x14ac:dyDescent="0.4">
      <c r="A3647" t="str">
        <f t="shared" si="72"/>
        <v/>
      </c>
    </row>
    <row r="3648" spans="1:1" x14ac:dyDescent="0.4">
      <c r="A3648" t="str">
        <f t="shared" si="72"/>
        <v/>
      </c>
    </row>
    <row r="3649" spans="1:1" x14ac:dyDescent="0.4">
      <c r="A3649" t="str">
        <f t="shared" si="72"/>
        <v/>
      </c>
    </row>
    <row r="3650" spans="1:1" x14ac:dyDescent="0.4">
      <c r="A3650" t="str">
        <f t="shared" si="72"/>
        <v/>
      </c>
    </row>
    <row r="3651" spans="1:1" x14ac:dyDescent="0.4">
      <c r="A3651" t="str">
        <f t="shared" si="72"/>
        <v/>
      </c>
    </row>
  </sheetData>
  <sortState xmlns:xlrd2="http://schemas.microsoft.com/office/spreadsheetml/2017/richdata2" ref="B5:J144">
    <sortCondition descending="1" ref="B5:B144"/>
  </sortState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351019-DF05-4095-9831-400A1C3B466F}">
  <sheetPr codeName="Planilha1"/>
  <dimension ref="B1:U2600"/>
  <sheetViews>
    <sheetView showGridLines="0" tabSelected="1" zoomScale="80" zoomScaleNormal="80" workbookViewId="0">
      <pane xSplit="8" ySplit="11" topLeftCell="I12" activePane="bottomRight" state="frozen"/>
      <selection pane="topRight" activeCell="I1" sqref="I1"/>
      <selection pane="bottomLeft" activeCell="A12" sqref="A12"/>
      <selection pane="bottomRight" activeCell="J14" sqref="J14"/>
    </sheetView>
  </sheetViews>
  <sheetFormatPr defaultColWidth="8.84375" defaultRowHeight="14.6" x14ac:dyDescent="0.4"/>
  <cols>
    <col min="1" max="1" width="4" style="11" customWidth="1"/>
    <col min="2" max="2" width="31" style="11" customWidth="1"/>
    <col min="3" max="3" width="15.69140625" style="15" bestFit="1" customWidth="1"/>
    <col min="4" max="4" width="21.69140625" style="15" bestFit="1" customWidth="1"/>
    <col min="5" max="5" width="2.69140625" style="11" customWidth="1"/>
    <col min="6" max="6" width="4.69140625" style="11" customWidth="1"/>
    <col min="7" max="7" width="3.53515625" style="11" customWidth="1"/>
    <col min="8" max="8" width="1.69140625" style="11" customWidth="1"/>
    <col min="9" max="9" width="16.3046875" style="12" customWidth="1"/>
    <col min="10" max="10" width="18.69140625" style="11" customWidth="1"/>
    <col min="11" max="11" width="55.84375" style="11" customWidth="1"/>
    <col min="12" max="12" width="18.07421875" style="11" customWidth="1"/>
    <col min="13" max="13" width="13.53515625" style="11" bestFit="1" customWidth="1"/>
    <col min="14" max="14" width="13.07421875" style="11" bestFit="1" customWidth="1"/>
    <col min="15" max="15" width="12" style="11" bestFit="1" customWidth="1"/>
    <col min="16" max="16" width="6.53515625" style="11" bestFit="1" customWidth="1"/>
    <col min="17" max="17" width="10.69140625" style="11" bestFit="1" customWidth="1"/>
    <col min="18" max="18" width="8.84375" style="11"/>
    <col min="19" max="19" width="53.84375" style="11" bestFit="1" customWidth="1"/>
    <col min="20" max="16384" width="8.84375" style="11"/>
  </cols>
  <sheetData>
    <row r="1" spans="2:21" x14ac:dyDescent="0.4">
      <c r="U1" s="37" t="s">
        <v>5</v>
      </c>
    </row>
    <row r="2" spans="2:21" x14ac:dyDescent="0.4">
      <c r="G2" s="25"/>
      <c r="U2" s="37" t="str">
        <f>IF(LEN(K6)=44,"S","N")</f>
        <v>N</v>
      </c>
    </row>
    <row r="3" spans="2:21" x14ac:dyDescent="0.4">
      <c r="B3" s="4" t="s">
        <v>0</v>
      </c>
      <c r="C3" s="10" t="str">
        <f ca="1">TEXT(TODAY(),"dd-mm-aaaa")</f>
        <v>10-04-2026</v>
      </c>
    </row>
    <row r="4" spans="2:21" ht="20.6" x14ac:dyDescent="0.55000000000000004">
      <c r="B4" s="4" t="s">
        <v>1</v>
      </c>
      <c r="C4" s="41" t="s">
        <v>40</v>
      </c>
      <c r="E4" s="12"/>
      <c r="K4" s="21" t="s">
        <v>28</v>
      </c>
    </row>
    <row r="5" spans="2:21" x14ac:dyDescent="0.4">
      <c r="C5" s="13">
        <v>1</v>
      </c>
      <c r="E5" s="12"/>
    </row>
    <row r="6" spans="2:21" x14ac:dyDescent="0.4">
      <c r="B6" s="9" t="s">
        <v>20</v>
      </c>
      <c r="C6" s="14">
        <f>COUNTIF(D9:D601,"FINALIZADO")/COUNTIF(C9:C601,"&lt;&gt;")</f>
        <v>0</v>
      </c>
      <c r="K6" s="40" t="s">
        <v>41</v>
      </c>
    </row>
    <row r="7" spans="2:21" x14ac:dyDescent="0.4">
      <c r="F7" s="9" t="s">
        <v>36</v>
      </c>
      <c r="G7" s="9" t="s">
        <v>37</v>
      </c>
    </row>
    <row r="8" spans="2:21" x14ac:dyDescent="0.4">
      <c r="B8" s="4" t="s">
        <v>2</v>
      </c>
      <c r="C8" s="9" t="s">
        <v>3</v>
      </c>
      <c r="D8" s="9" t="s">
        <v>4</v>
      </c>
      <c r="I8" s="38" t="s">
        <v>5</v>
      </c>
      <c r="J8" s="9" t="s">
        <v>2</v>
      </c>
      <c r="K8" s="9"/>
      <c r="L8" s="9"/>
      <c r="M8" s="9"/>
      <c r="N8" s="9"/>
      <c r="O8" s="9" t="s">
        <v>35</v>
      </c>
      <c r="P8" s="9"/>
      <c r="Q8" s="9" t="s">
        <v>31</v>
      </c>
    </row>
    <row r="9" spans="2:21" x14ac:dyDescent="0.4">
      <c r="B9" s="11" t="s">
        <v>78</v>
      </c>
      <c r="C9" s="39" t="s">
        <v>188</v>
      </c>
      <c r="D9" s="15" t="str">
        <f>IF(B9&lt;&gt;"",IF(_xlfn.IFNA(VLOOKUP(B9&amp;C9,SUPORTE!AA:AA,1,0),"NÃO INICIADO")="NÃO INICIADO",IF(B9&amp;C9=$J$9&amp;$I$12,"EM PROCESSO","NÃO INICIADO"),VLOOKUP(B9&amp;C9,SUPORTE!AA:AF,6,0)),"")</f>
        <v>NÃO INICIADO</v>
      </c>
      <c r="F9" s="25"/>
      <c r="G9" s="25"/>
      <c r="I9" s="26"/>
      <c r="J9" s="18"/>
      <c r="K9" s="19"/>
      <c r="L9" s="19"/>
      <c r="M9" s="18"/>
      <c r="N9" s="18"/>
      <c r="O9" s="18"/>
      <c r="P9" s="18"/>
      <c r="Q9" s="20">
        <f>COUNTIF(P12:P411,"AT")</f>
        <v>0</v>
      </c>
    </row>
    <row r="10" spans="2:21" x14ac:dyDescent="0.4">
      <c r="B10" s="11" t="s">
        <v>78</v>
      </c>
      <c r="C10" s="39" t="s">
        <v>182</v>
      </c>
      <c r="D10" s="15" t="str">
        <f>IF(B10&lt;&gt;"",IF(_xlfn.IFNA(VLOOKUP(B10&amp;C10,SUPORTE!AA:AA,1,0),"NÃO INICIADO")="NÃO INICIADO",IF(B10&amp;C10=$J$9&amp;$I$12,"EM PROCESSO","NÃO INICIADO"),VLOOKUP(B10&amp;C10,SUPORTE!AA:AF,6,0)),"")</f>
        <v>NÃO INICIADO</v>
      </c>
      <c r="F10" s="25"/>
      <c r="G10" s="25"/>
    </row>
    <row r="11" spans="2:21" x14ac:dyDescent="0.4">
      <c r="B11" s="11" t="s">
        <v>78</v>
      </c>
      <c r="C11" s="39" t="s">
        <v>180</v>
      </c>
      <c r="D11" s="15" t="str">
        <f>IF(B11&lt;&gt;"",IF(_xlfn.IFNA(VLOOKUP(B11&amp;C11,SUPORTE!AA:AA,1,0),"NÃO INICIADO")="NÃO INICIADO",IF(B11&amp;C11=$J$9&amp;$I$12,"EM PROCESSO","NÃO INICIADO"),VLOOKUP(B11&amp;C11,SUPORTE!AA:AF,6,0)),"")</f>
        <v>NÃO INICIADO</v>
      </c>
      <c r="F11" s="25"/>
      <c r="G11" s="25"/>
      <c r="I11" s="38" t="s">
        <v>23</v>
      </c>
      <c r="J11" s="9" t="s">
        <v>2</v>
      </c>
      <c r="K11" s="9" t="s">
        <v>7</v>
      </c>
      <c r="L11" s="9" t="s">
        <v>6</v>
      </c>
      <c r="M11" s="9" t="s">
        <v>8</v>
      </c>
      <c r="N11" s="9" t="s">
        <v>9</v>
      </c>
      <c r="O11" s="9" t="s">
        <v>10</v>
      </c>
      <c r="P11" s="9" t="s">
        <v>11</v>
      </c>
      <c r="Q11" s="9" t="s">
        <v>12</v>
      </c>
    </row>
    <row r="12" spans="2:21" ht="15.9" x14ac:dyDescent="0.45">
      <c r="B12" s="11" t="s">
        <v>78</v>
      </c>
      <c r="C12" s="39" t="s">
        <v>178</v>
      </c>
      <c r="D12" s="15" t="str">
        <f>IF(B12&lt;&gt;"",IF(_xlfn.IFNA(VLOOKUP(B12&amp;C12,SUPORTE!AA:AA,1,0),"NÃO INICIADO")="NÃO INICIADO",IF(B12&amp;C12=$J$9&amp;$I$12,"EM PROCESSO","NÃO INICIADO"),VLOOKUP(B12&amp;C12,SUPORTE!AA:AF,6,0)),"")</f>
        <v>NÃO INICIADO</v>
      </c>
      <c r="F12" s="25"/>
      <c r="G12" s="25"/>
      <c r="I12" s="45"/>
      <c r="J12" s="2"/>
      <c r="K12" s="28"/>
      <c r="L12" s="29"/>
      <c r="M12" s="30"/>
      <c r="N12" s="31"/>
      <c r="O12" s="31" t="str">
        <f>IF(K12&lt;&gt;"",COUNTIFS(SUPORTE!$Q$5:$Q$5900,MENU!$M12,SUPORTE!$R$5:$R$5900,MENU!$I$9),"")</f>
        <v/>
      </c>
      <c r="P12" s="31" t="str">
        <f>IF(L12&lt;&gt;"",IF(Q12&lt;&gt;0,"AT","OK"),"")</f>
        <v/>
      </c>
      <c r="Q12" s="31" t="str">
        <f>IF(L12&lt;&gt;"",N12-O12,"")</f>
        <v/>
      </c>
    </row>
    <row r="13" spans="2:21" ht="15.9" x14ac:dyDescent="0.45">
      <c r="B13" s="11" t="s">
        <v>78</v>
      </c>
      <c r="C13" s="39" t="s">
        <v>176</v>
      </c>
      <c r="D13" s="15" t="str">
        <f>IF(B13&lt;&gt;"",IF(_xlfn.IFNA(VLOOKUP(B13&amp;C13,SUPORTE!AA:AA,1,0),"NÃO INICIADO")="NÃO INICIADO",IF(B13&amp;C13=$J$9&amp;$I$12,"EM PROCESSO","NÃO INICIADO"),VLOOKUP(B13&amp;C13,SUPORTE!AA:AF,6,0)),"")</f>
        <v>NÃO INICIADO</v>
      </c>
      <c r="F13" s="25"/>
      <c r="G13" s="25"/>
      <c r="I13" s="44"/>
      <c r="J13" s="32"/>
      <c r="K13" s="33"/>
      <c r="L13" s="34"/>
      <c r="M13" s="35"/>
      <c r="N13" s="36"/>
      <c r="O13" s="36" t="str">
        <f>IF(K13&lt;&gt;"",COUNTIFS(SUPORTE!$Q$5:$Q$2900,MENU!$M13,SUPORTE!$R$5:$R$2900,MENU!$I$9),"")</f>
        <v/>
      </c>
      <c r="P13" s="36" t="str">
        <f t="shared" ref="P13:P28" si="0">IF(L13&lt;&gt;"",IF(Q13&lt;&gt;0,"AT","OK"),"")</f>
        <v/>
      </c>
      <c r="Q13" s="36" t="str">
        <f t="shared" ref="Q13:Q28" si="1">IF(L13&lt;&gt;"",N13-O13,"")</f>
        <v/>
      </c>
    </row>
    <row r="14" spans="2:21" ht="15.9" x14ac:dyDescent="0.45">
      <c r="B14" s="11" t="s">
        <v>78</v>
      </c>
      <c r="C14" s="39" t="s">
        <v>174</v>
      </c>
      <c r="D14" s="15" t="str">
        <f>IF(B14&lt;&gt;"",IF(_xlfn.IFNA(VLOOKUP(B14&amp;C14,SUPORTE!AA:AA,1,0),"NÃO INICIADO")="NÃO INICIADO",IF(B14&amp;C14=$J$9&amp;$I$12,"EM PROCESSO","NÃO INICIADO"),VLOOKUP(B14&amp;C14,SUPORTE!AA:AF,6,0)),"")</f>
        <v>NÃO INICIADO</v>
      </c>
      <c r="F14" s="25"/>
      <c r="G14" s="25"/>
      <c r="I14" s="44"/>
      <c r="J14" s="32"/>
      <c r="K14" s="33"/>
      <c r="L14" s="34"/>
      <c r="M14" s="35"/>
      <c r="N14" s="36"/>
      <c r="O14" s="36" t="str">
        <f>IF(K14&lt;&gt;"",COUNTIFS(SUPORTE!$Q$5:$Q$2900,MENU!$M14,SUPORTE!$R$5:$R$2900,MENU!$I$9),"")</f>
        <v/>
      </c>
      <c r="P14" s="36" t="str">
        <f t="shared" si="0"/>
        <v/>
      </c>
      <c r="Q14" s="36" t="str">
        <f t="shared" si="1"/>
        <v/>
      </c>
    </row>
    <row r="15" spans="2:21" ht="15.9" x14ac:dyDescent="0.45">
      <c r="B15" s="11" t="s">
        <v>78</v>
      </c>
      <c r="C15" s="39" t="s">
        <v>172</v>
      </c>
      <c r="D15" s="15" t="str">
        <f>IF(B15&lt;&gt;"",IF(_xlfn.IFNA(VLOOKUP(B15&amp;C15,SUPORTE!AA:AA,1,0),"NÃO INICIADO")="NÃO INICIADO",IF(B15&amp;C15=$J$9&amp;$I$12,"EM PROCESSO","NÃO INICIADO"),VLOOKUP(B15&amp;C15,SUPORTE!AA:AF,6,0)),"")</f>
        <v>NÃO INICIADO</v>
      </c>
      <c r="F15" s="25"/>
      <c r="G15" s="25"/>
      <c r="I15" s="44"/>
      <c r="J15" s="32"/>
      <c r="K15" s="33"/>
      <c r="L15" s="34"/>
      <c r="M15" s="35"/>
      <c r="N15" s="36"/>
      <c r="O15" s="36" t="str">
        <f>IF(K15&lt;&gt;"",COUNTIFS(SUPORTE!$Q$5:$Q$2900,MENU!$M15,SUPORTE!$R$5:$R$2900,MENU!$I$9),"")</f>
        <v/>
      </c>
      <c r="P15" s="36" t="str">
        <f t="shared" si="0"/>
        <v/>
      </c>
      <c r="Q15" s="36" t="str">
        <f t="shared" si="1"/>
        <v/>
      </c>
    </row>
    <row r="16" spans="2:21" ht="15.9" x14ac:dyDescent="0.45">
      <c r="B16" s="11" t="s">
        <v>78</v>
      </c>
      <c r="C16" s="39" t="s">
        <v>168</v>
      </c>
      <c r="D16" s="15" t="str">
        <f>IF(B16&lt;&gt;"",IF(_xlfn.IFNA(VLOOKUP(B16&amp;C16,SUPORTE!AA:AA,1,0),"NÃO INICIADO")="NÃO INICIADO",IF(B16&amp;C16=$J$9&amp;$I$12,"EM PROCESSO","NÃO INICIADO"),VLOOKUP(B16&amp;C16,SUPORTE!AA:AF,6,0)),"")</f>
        <v>NÃO INICIADO</v>
      </c>
      <c r="I16" s="44"/>
      <c r="J16" s="32"/>
      <c r="K16" s="33"/>
      <c r="L16" s="34"/>
      <c r="M16" s="35"/>
      <c r="N16" s="36"/>
      <c r="O16" s="36" t="str">
        <f>IF(K16&lt;&gt;"",COUNTIFS(SUPORTE!$Q$5:$Q$2900,MENU!$M16,SUPORTE!$R$5:$R$2900,MENU!$I$9),"")</f>
        <v/>
      </c>
      <c r="P16" s="36" t="str">
        <f t="shared" si="0"/>
        <v/>
      </c>
      <c r="Q16" s="36" t="str">
        <f t="shared" si="1"/>
        <v/>
      </c>
    </row>
    <row r="17" spans="2:17" ht="15.9" x14ac:dyDescent="0.45">
      <c r="B17" s="11" t="s">
        <v>78</v>
      </c>
      <c r="C17" s="39" t="s">
        <v>162</v>
      </c>
      <c r="D17" s="15" t="str">
        <f>IF(B17&lt;&gt;"",IF(_xlfn.IFNA(VLOOKUP(B17&amp;C17,SUPORTE!AA:AA,1,0),"NÃO INICIADO")="NÃO INICIADO",IF(B17&amp;C17=$J$9&amp;$I$12,"EM PROCESSO","NÃO INICIADO"),VLOOKUP(B17&amp;C17,SUPORTE!AA:AF,6,0)),"")</f>
        <v>NÃO INICIADO</v>
      </c>
      <c r="I17" s="44"/>
      <c r="J17" s="32"/>
      <c r="K17" s="33"/>
      <c r="L17" s="34"/>
      <c r="M17" s="35"/>
      <c r="N17" s="36"/>
      <c r="O17" s="36" t="str">
        <f>IF(K17&lt;&gt;"",COUNTIFS(SUPORTE!$Q$5:$Q$2900,MENU!$M17,SUPORTE!$R$5:$R$2900,MENU!$I$9),"")</f>
        <v/>
      </c>
      <c r="P17" s="36" t="str">
        <f t="shared" si="0"/>
        <v/>
      </c>
      <c r="Q17" s="36" t="str">
        <f t="shared" si="1"/>
        <v/>
      </c>
    </row>
    <row r="18" spans="2:17" ht="15.9" x14ac:dyDescent="0.45">
      <c r="B18" s="11" t="s">
        <v>78</v>
      </c>
      <c r="C18" s="39" t="s">
        <v>160</v>
      </c>
      <c r="D18" s="15" t="str">
        <f>IF(B18&lt;&gt;"",IF(_xlfn.IFNA(VLOOKUP(B18&amp;C18,SUPORTE!AA:AA,1,0),"NÃO INICIADO")="NÃO INICIADO",IF(B18&amp;C18=$J$9&amp;$I$12,"EM PROCESSO","NÃO INICIADO"),VLOOKUP(B18&amp;C18,SUPORTE!AA:AF,6,0)),"")</f>
        <v>NÃO INICIADO</v>
      </c>
      <c r="I18" s="44"/>
      <c r="J18" s="32"/>
      <c r="K18" s="33"/>
      <c r="L18" s="34"/>
      <c r="M18" s="35"/>
      <c r="N18" s="36"/>
      <c r="O18" s="36" t="str">
        <f>IF(K18&lt;&gt;"",COUNTIFS(SUPORTE!$Q$5:$Q$2900,MENU!$M18,SUPORTE!$R$5:$R$2900,MENU!$I$9),"")</f>
        <v/>
      </c>
      <c r="P18" s="36" t="str">
        <f t="shared" si="0"/>
        <v/>
      </c>
      <c r="Q18" s="36" t="str">
        <f t="shared" si="1"/>
        <v/>
      </c>
    </row>
    <row r="19" spans="2:17" ht="15.9" x14ac:dyDescent="0.45">
      <c r="B19" s="11" t="s">
        <v>78</v>
      </c>
      <c r="C19" s="39" t="s">
        <v>156</v>
      </c>
      <c r="D19" s="15" t="str">
        <f>IF(B19&lt;&gt;"",IF(_xlfn.IFNA(VLOOKUP(B19&amp;C19,SUPORTE!AA:AA,1,0),"NÃO INICIADO")="NÃO INICIADO",IF(B19&amp;C19=$J$9&amp;$I$12,"EM PROCESSO","NÃO INICIADO"),VLOOKUP(B19&amp;C19,SUPORTE!AA:AF,6,0)),"")</f>
        <v>NÃO INICIADO</v>
      </c>
      <c r="I19" s="44"/>
      <c r="J19" s="32"/>
      <c r="K19" s="33"/>
      <c r="L19" s="34"/>
      <c r="M19" s="35"/>
      <c r="N19" s="36"/>
      <c r="O19" s="36" t="str">
        <f>IF(K19&lt;&gt;"",COUNTIFS(SUPORTE!$Q$5:$Q$2900,MENU!$M19,SUPORTE!$R$5:$R$2900,MENU!$I$9),"")</f>
        <v/>
      </c>
      <c r="P19" s="36" t="str">
        <f t="shared" si="0"/>
        <v/>
      </c>
      <c r="Q19" s="36" t="str">
        <f t="shared" si="1"/>
        <v/>
      </c>
    </row>
    <row r="20" spans="2:17" ht="15.9" x14ac:dyDescent="0.45">
      <c r="B20" s="11" t="s">
        <v>78</v>
      </c>
      <c r="C20" s="39" t="s">
        <v>151</v>
      </c>
      <c r="D20" s="15" t="str">
        <f>IF(B20&lt;&gt;"",IF(_xlfn.IFNA(VLOOKUP(B20&amp;C20,SUPORTE!AA:AA,1,0),"NÃO INICIADO")="NÃO INICIADO",IF(B20&amp;C20=$J$9&amp;$I$12,"EM PROCESSO","NÃO INICIADO"),VLOOKUP(B20&amp;C20,SUPORTE!AA:AF,6,0)),"")</f>
        <v>NÃO INICIADO</v>
      </c>
      <c r="I20" s="44"/>
      <c r="J20" s="32"/>
      <c r="K20" s="33"/>
      <c r="L20" s="34"/>
      <c r="M20" s="35"/>
      <c r="N20" s="36"/>
      <c r="O20" s="36" t="str">
        <f>IF(K20&lt;&gt;"",COUNTIFS(SUPORTE!$Q$5:$Q$2900,MENU!$M20,SUPORTE!$R$5:$R$2900,MENU!$I$9),"")</f>
        <v/>
      </c>
      <c r="P20" s="36" t="str">
        <f t="shared" si="0"/>
        <v/>
      </c>
      <c r="Q20" s="36" t="str">
        <f t="shared" si="1"/>
        <v/>
      </c>
    </row>
    <row r="21" spans="2:17" ht="15.9" x14ac:dyDescent="0.45">
      <c r="B21" s="11" t="s">
        <v>78</v>
      </c>
      <c r="C21" s="39" t="s">
        <v>143</v>
      </c>
      <c r="D21" s="15" t="str">
        <f>IF(B21&lt;&gt;"",IF(_xlfn.IFNA(VLOOKUP(B21&amp;C21,SUPORTE!AA:AA,1,0),"NÃO INICIADO")="NÃO INICIADO",IF(B21&amp;C21=$J$9&amp;$I$12,"EM PROCESSO","NÃO INICIADO"),VLOOKUP(B21&amp;C21,SUPORTE!AA:AF,6,0)),"")</f>
        <v>NÃO INICIADO</v>
      </c>
      <c r="I21" s="44"/>
      <c r="J21" s="32"/>
      <c r="K21" s="33"/>
      <c r="L21" s="34"/>
      <c r="M21" s="35"/>
      <c r="N21" s="36"/>
      <c r="O21" s="36" t="str">
        <f>IF(K21&lt;&gt;"",COUNTIFS(SUPORTE!$Q$5:$Q$2900,MENU!$M21,SUPORTE!$R$5:$R$2900,MENU!$I$9),"")</f>
        <v/>
      </c>
      <c r="P21" s="36" t="str">
        <f t="shared" si="0"/>
        <v/>
      </c>
      <c r="Q21" s="36" t="str">
        <f t="shared" si="1"/>
        <v/>
      </c>
    </row>
    <row r="22" spans="2:17" ht="15.9" x14ac:dyDescent="0.45">
      <c r="B22" s="11" t="s">
        <v>78</v>
      </c>
      <c r="C22" s="39" t="s">
        <v>137</v>
      </c>
      <c r="D22" s="15" t="str">
        <f>IF(B22&lt;&gt;"",IF(_xlfn.IFNA(VLOOKUP(B22&amp;C22,SUPORTE!AA:AA,1,0),"NÃO INICIADO")="NÃO INICIADO",IF(B22&amp;C22=$J$9&amp;$I$12,"EM PROCESSO","NÃO INICIADO"),VLOOKUP(B22&amp;C22,SUPORTE!AA:AF,6,0)),"")</f>
        <v>NÃO INICIADO</v>
      </c>
      <c r="I22" s="44"/>
      <c r="J22" s="32"/>
      <c r="K22" s="33"/>
      <c r="L22" s="34"/>
      <c r="M22" s="35"/>
      <c r="N22" s="36"/>
      <c r="O22" s="36" t="str">
        <f>IF(K22&lt;&gt;"",COUNTIFS(SUPORTE!$Q$5:$Q$2900,MENU!$M22,SUPORTE!$R$5:$R$2900,MENU!$I$9),"")</f>
        <v/>
      </c>
      <c r="P22" s="36" t="str">
        <f t="shared" si="0"/>
        <v/>
      </c>
      <c r="Q22" s="36" t="str">
        <f t="shared" si="1"/>
        <v/>
      </c>
    </row>
    <row r="23" spans="2:17" ht="15.9" x14ac:dyDescent="0.45">
      <c r="B23" s="11" t="s">
        <v>78</v>
      </c>
      <c r="C23" s="39" t="s">
        <v>127</v>
      </c>
      <c r="D23" s="15" t="str">
        <f>IF(B23&lt;&gt;"",IF(_xlfn.IFNA(VLOOKUP(B23&amp;C23,SUPORTE!AA:AA,1,0),"NÃO INICIADO")="NÃO INICIADO",IF(B23&amp;C23=$J$9&amp;$I$12,"EM PROCESSO","NÃO INICIADO"),VLOOKUP(B23&amp;C23,SUPORTE!AA:AF,6,0)),"")</f>
        <v>NÃO INICIADO</v>
      </c>
      <c r="I23" s="44"/>
      <c r="J23" s="32"/>
      <c r="K23" s="33"/>
      <c r="L23" s="34"/>
      <c r="M23" s="35"/>
      <c r="N23" s="36"/>
      <c r="O23" s="36" t="str">
        <f>IF(K23&lt;&gt;"",COUNTIFS(SUPORTE!$Q$5:$Q$2900,MENU!$M23,SUPORTE!$R$5:$R$2900,MENU!$I$9),"")</f>
        <v/>
      </c>
      <c r="P23" s="36" t="str">
        <f t="shared" si="0"/>
        <v/>
      </c>
      <c r="Q23" s="36" t="str">
        <f t="shared" si="1"/>
        <v/>
      </c>
    </row>
    <row r="24" spans="2:17" ht="15.9" x14ac:dyDescent="0.45">
      <c r="B24" s="11" t="s">
        <v>78</v>
      </c>
      <c r="C24" s="39" t="s">
        <v>119</v>
      </c>
      <c r="D24" s="15" t="str">
        <f>IF(B24&lt;&gt;"",IF(_xlfn.IFNA(VLOOKUP(B24&amp;C24,SUPORTE!AA:AA,1,0),"NÃO INICIADO")="NÃO INICIADO",IF(B24&amp;C24=$J$9&amp;$I$12,"EM PROCESSO","NÃO INICIADO"),VLOOKUP(B24&amp;C24,SUPORTE!AA:AF,6,0)),"")</f>
        <v>NÃO INICIADO</v>
      </c>
      <c r="I24" s="44"/>
      <c r="J24" s="32"/>
      <c r="K24" s="33"/>
      <c r="L24" s="34"/>
      <c r="M24" s="35"/>
      <c r="N24" s="36"/>
      <c r="O24" s="36" t="str">
        <f>IF(K24&lt;&gt;"",COUNTIFS(SUPORTE!$Q$5:$Q$2900,MENU!$M24,SUPORTE!$R$5:$R$2900,MENU!$I$9),"")</f>
        <v/>
      </c>
      <c r="P24" s="36" t="str">
        <f t="shared" si="0"/>
        <v/>
      </c>
      <c r="Q24" s="36" t="str">
        <f t="shared" si="1"/>
        <v/>
      </c>
    </row>
    <row r="25" spans="2:17" ht="15.9" x14ac:dyDescent="0.45">
      <c r="B25" s="11" t="s">
        <v>78</v>
      </c>
      <c r="C25" s="39" t="s">
        <v>111</v>
      </c>
      <c r="D25" s="15" t="str">
        <f>IF(B25&lt;&gt;"",IF(_xlfn.IFNA(VLOOKUP(B25&amp;C25,SUPORTE!AA:AA,1,0),"NÃO INICIADO")="NÃO INICIADO",IF(B25&amp;C25=$J$9&amp;$I$12,"EM PROCESSO","NÃO INICIADO"),VLOOKUP(B25&amp;C25,SUPORTE!AA:AF,6,0)),"")</f>
        <v>NÃO INICIADO</v>
      </c>
      <c r="I25" s="44"/>
      <c r="J25" s="32"/>
      <c r="K25" s="33"/>
      <c r="L25" s="34"/>
      <c r="M25" s="35"/>
      <c r="N25" s="36"/>
      <c r="O25" s="36" t="str">
        <f>IF(K25&lt;&gt;"",COUNTIFS(SUPORTE!$Q$5:$Q$2900,MENU!$M25,SUPORTE!$R$5:$R$2900,MENU!$I$9),"")</f>
        <v/>
      </c>
      <c r="P25" s="36" t="str">
        <f t="shared" si="0"/>
        <v/>
      </c>
      <c r="Q25" s="36" t="str">
        <f t="shared" si="1"/>
        <v/>
      </c>
    </row>
    <row r="26" spans="2:17" ht="15.9" x14ac:dyDescent="0.45">
      <c r="B26" s="11" t="s">
        <v>78</v>
      </c>
      <c r="C26" s="39" t="s">
        <v>109</v>
      </c>
      <c r="D26" s="15" t="str">
        <f>IF(B26&lt;&gt;"",IF(_xlfn.IFNA(VLOOKUP(B26&amp;C26,SUPORTE!AA:AA,1,0),"NÃO INICIADO")="NÃO INICIADO",IF(B26&amp;C26=$J$9&amp;$I$12,"EM PROCESSO","NÃO INICIADO"),VLOOKUP(B26&amp;C26,SUPORTE!AA:AF,6,0)),"")</f>
        <v>NÃO INICIADO</v>
      </c>
      <c r="I26" s="44"/>
      <c r="J26" s="32"/>
      <c r="K26" s="33"/>
      <c r="L26" s="34"/>
      <c r="M26" s="35"/>
      <c r="N26" s="36"/>
      <c r="O26" s="36" t="str">
        <f>IF(K26&lt;&gt;"",COUNTIFS(SUPORTE!$Q$5:$Q$2900,MENU!$M26,SUPORTE!$R$5:$R$2900,MENU!$I$9),"")</f>
        <v/>
      </c>
      <c r="P26" s="36" t="str">
        <f t="shared" si="0"/>
        <v/>
      </c>
      <c r="Q26" s="36" t="str">
        <f t="shared" si="1"/>
        <v/>
      </c>
    </row>
    <row r="27" spans="2:17" ht="15.9" x14ac:dyDescent="0.45">
      <c r="B27" s="11" t="s">
        <v>78</v>
      </c>
      <c r="C27" s="39" t="s">
        <v>95</v>
      </c>
      <c r="D27" s="15" t="str">
        <f>IF(B27&lt;&gt;"",IF(_xlfn.IFNA(VLOOKUP(B27&amp;C27,SUPORTE!AA:AA,1,0),"NÃO INICIADO")="NÃO INICIADO",IF(B27&amp;C27=$J$9&amp;$I$12,"EM PROCESSO","NÃO INICIADO"),VLOOKUP(B27&amp;C27,SUPORTE!AA:AF,6,0)),"")</f>
        <v>NÃO INICIADO</v>
      </c>
      <c r="I27" s="44"/>
      <c r="J27" s="32"/>
      <c r="K27" s="33"/>
      <c r="L27" s="34"/>
      <c r="M27" s="35"/>
      <c r="N27" s="36"/>
      <c r="O27" s="36" t="str">
        <f>IF(K27&lt;&gt;"",COUNTIFS(SUPORTE!$Q$5:$Q$2900,MENU!$M27,SUPORTE!$R$5:$R$2900,MENU!$I$9),"")</f>
        <v/>
      </c>
      <c r="P27" s="36" t="str">
        <f t="shared" si="0"/>
        <v/>
      </c>
      <c r="Q27" s="36" t="str">
        <f t="shared" si="1"/>
        <v/>
      </c>
    </row>
    <row r="28" spans="2:17" ht="15.9" x14ac:dyDescent="0.45">
      <c r="B28" s="11" t="s">
        <v>78</v>
      </c>
      <c r="C28" s="39" t="s">
        <v>86</v>
      </c>
      <c r="D28" s="15" t="str">
        <f>IF(B28&lt;&gt;"",IF(_xlfn.IFNA(VLOOKUP(B28&amp;C28,SUPORTE!AA:AA,1,0),"NÃO INICIADO")="NÃO INICIADO",IF(B28&amp;C28=$J$9&amp;$I$12,"EM PROCESSO","NÃO INICIADO"),VLOOKUP(B28&amp;C28,SUPORTE!AA:AF,6,0)),"")</f>
        <v>NÃO INICIADO</v>
      </c>
      <c r="I28" s="44"/>
      <c r="J28" s="32"/>
      <c r="K28" s="33"/>
      <c r="L28" s="34"/>
      <c r="M28" s="35"/>
      <c r="N28" s="36"/>
      <c r="O28" s="36" t="str">
        <f>IF(K28&lt;&gt;"",COUNTIFS(SUPORTE!$Q$5:$Q$2900,MENU!$M28,SUPORTE!$R$5:$R$2900,MENU!$I$9),"")</f>
        <v/>
      </c>
      <c r="P28" s="36" t="str">
        <f t="shared" si="0"/>
        <v/>
      </c>
      <c r="Q28" s="36" t="str">
        <f t="shared" si="1"/>
        <v/>
      </c>
    </row>
    <row r="29" spans="2:17" ht="15.9" x14ac:dyDescent="0.45">
      <c r="B29" s="11" t="s">
        <v>78</v>
      </c>
      <c r="C29" s="39" t="s">
        <v>79</v>
      </c>
      <c r="D29" s="15" t="str">
        <f>IF(B29&lt;&gt;"",IF(_xlfn.IFNA(VLOOKUP(B29&amp;C29,SUPORTE!AA:AA,1,0),"NÃO INICIADO")="NÃO INICIADO",IF(B29&amp;C29=$J$9&amp;$I$12,"EM PROCESSO","NÃO INICIADO"),VLOOKUP(B29&amp;C29,SUPORTE!AA:AF,6,0)),"")</f>
        <v>NÃO INICIADO</v>
      </c>
      <c r="I29" s="44"/>
      <c r="J29" s="32"/>
      <c r="K29" s="33"/>
      <c r="L29" s="34"/>
      <c r="M29" s="35"/>
      <c r="N29" s="36"/>
      <c r="O29" s="36" t="str">
        <f>IF(K29&lt;&gt;"",COUNTIFS(SUPORTE!$Q$5:$Q$2900,MENU!$M29,SUPORTE!$R$5:$R$2900,MENU!$I$9),"")</f>
        <v/>
      </c>
      <c r="P29" s="36" t="str">
        <f t="shared" ref="P29:P33" si="2">IF(L29&lt;&gt;"",IF(Q29&lt;&gt;0,"AT","OK"),"")</f>
        <v/>
      </c>
      <c r="Q29" s="36" t="str">
        <f t="shared" ref="Q29:Q33" si="3">IF(L29&lt;&gt;"",N29-O29,"")</f>
        <v/>
      </c>
    </row>
    <row r="30" spans="2:17" ht="15.9" x14ac:dyDescent="0.45">
      <c r="B30" s="11" t="s">
        <v>55</v>
      </c>
      <c r="C30" s="39" t="s">
        <v>74</v>
      </c>
      <c r="D30" s="15" t="str">
        <f>IF(B30&lt;&gt;"",IF(_xlfn.IFNA(VLOOKUP(B30&amp;C30,SUPORTE!AA:AA,1,0),"NÃO INICIADO")="NÃO INICIADO",IF(B30&amp;C30=$J$9&amp;$I$12,"EM PROCESSO","NÃO INICIADO"),VLOOKUP(B30&amp;C30,SUPORTE!AA:AF,6,0)),"")</f>
        <v>NÃO INICIADO</v>
      </c>
      <c r="I30" s="44"/>
      <c r="J30" s="32"/>
      <c r="K30" s="33"/>
      <c r="L30" s="34"/>
      <c r="M30" s="35"/>
      <c r="N30" s="36"/>
      <c r="O30" s="36" t="str">
        <f>IF(K30&lt;&gt;"",COUNTIFS(SUPORTE!$Q$5:$Q$2900,MENU!$M30,SUPORTE!$R$5:$R$2900,MENU!$I$9),"")</f>
        <v/>
      </c>
      <c r="P30" s="36" t="str">
        <f t="shared" si="2"/>
        <v/>
      </c>
      <c r="Q30" s="36" t="str">
        <f t="shared" si="3"/>
        <v/>
      </c>
    </row>
    <row r="31" spans="2:17" ht="15.9" x14ac:dyDescent="0.45">
      <c r="B31" s="11" t="s">
        <v>55</v>
      </c>
      <c r="C31" s="39" t="s">
        <v>65</v>
      </c>
      <c r="D31" s="15" t="str">
        <f>IF(B31&lt;&gt;"",IF(_xlfn.IFNA(VLOOKUP(B31&amp;C31,SUPORTE!AA:AA,1,0),"NÃO INICIADO")="NÃO INICIADO",IF(B31&amp;C31=$J$9&amp;$I$12,"EM PROCESSO","NÃO INICIADO"),VLOOKUP(B31&amp;C31,SUPORTE!AA:AF,6,0)),"")</f>
        <v>NÃO INICIADO</v>
      </c>
      <c r="I31" s="44"/>
      <c r="J31" s="32"/>
      <c r="K31" s="33"/>
      <c r="L31" s="34"/>
      <c r="M31" s="35"/>
      <c r="N31" s="36"/>
      <c r="O31" s="36" t="str">
        <f>IF(K31&lt;&gt;"",COUNTIFS(SUPORTE!$Q$5:$Q$2900,MENU!$M31,SUPORTE!$R$5:$R$2900,MENU!$I$9),"")</f>
        <v/>
      </c>
      <c r="P31" s="36" t="str">
        <f t="shared" si="2"/>
        <v/>
      </c>
      <c r="Q31" s="36" t="str">
        <f t="shared" si="3"/>
        <v/>
      </c>
    </row>
    <row r="32" spans="2:17" ht="15.9" x14ac:dyDescent="0.45">
      <c r="B32" s="11" t="s">
        <v>55</v>
      </c>
      <c r="C32" s="39" t="s">
        <v>61</v>
      </c>
      <c r="D32" s="15" t="str">
        <f>IF(B32&lt;&gt;"",IF(_xlfn.IFNA(VLOOKUP(B32&amp;C32,SUPORTE!AA:AA,1,0),"NÃO INICIADO")="NÃO INICIADO",IF(B32&amp;C32=$J$9&amp;$I$12,"EM PROCESSO","NÃO INICIADO"),VLOOKUP(B32&amp;C32,SUPORTE!AA:AF,6,0)),"")</f>
        <v>NÃO INICIADO</v>
      </c>
      <c r="I32" s="44"/>
      <c r="J32" s="32"/>
      <c r="K32" s="33"/>
      <c r="L32" s="34"/>
      <c r="M32" s="35"/>
      <c r="N32" s="36"/>
      <c r="O32" s="36" t="str">
        <f>IF(K32&lt;&gt;"",COUNTIFS(SUPORTE!$Q$5:$Q$2900,MENU!$M32,SUPORTE!$R$5:$R$2900,MENU!$I$9),"")</f>
        <v/>
      </c>
      <c r="P32" s="36" t="str">
        <f t="shared" si="2"/>
        <v/>
      </c>
      <c r="Q32" s="36" t="str">
        <f t="shared" si="3"/>
        <v/>
      </c>
    </row>
    <row r="33" spans="2:17" ht="15.9" x14ac:dyDescent="0.45">
      <c r="B33" s="11" t="s">
        <v>55</v>
      </c>
      <c r="C33" s="39" t="s">
        <v>56</v>
      </c>
      <c r="D33" s="15" t="str">
        <f>IF(B33&lt;&gt;"",IF(_xlfn.IFNA(VLOOKUP(B33&amp;C33,SUPORTE!AA:AA,1,0),"NÃO INICIADO")="NÃO INICIADO",IF(B33&amp;C33=$J$9&amp;$I$12,"EM PROCESSO","NÃO INICIADO"),VLOOKUP(B33&amp;C33,SUPORTE!AA:AF,6,0)),"")</f>
        <v>NÃO INICIADO</v>
      </c>
      <c r="I33" s="44"/>
      <c r="J33" s="32"/>
      <c r="K33" s="33"/>
      <c r="L33" s="34"/>
      <c r="M33" s="35"/>
      <c r="N33" s="36"/>
      <c r="O33" s="36" t="str">
        <f>IF(K33&lt;&gt;"",COUNTIFS(SUPORTE!$Q$5:$Q$2900,MENU!$M33,SUPORTE!$R$5:$R$2900,MENU!$I$9),"")</f>
        <v/>
      </c>
      <c r="P33" s="36" t="str">
        <f t="shared" si="2"/>
        <v/>
      </c>
      <c r="Q33" s="36" t="str">
        <f t="shared" si="3"/>
        <v/>
      </c>
    </row>
    <row r="34" spans="2:17" ht="15.9" x14ac:dyDescent="0.45">
      <c r="B34" s="11" t="s">
        <v>78</v>
      </c>
      <c r="C34" s="39" t="s">
        <v>192</v>
      </c>
      <c r="D34" s="15" t="str">
        <f>IF(B34&lt;&gt;"",IF(_xlfn.IFNA(VLOOKUP(B34&amp;C34,SUPORTE!AA:AA,1,0),"NÃO INICIADO")="NÃO INICIADO",IF(B34&amp;C34=$J$9&amp;$I$12,"EM PROCESSO","NÃO INICIADO"),VLOOKUP(B34&amp;C34,SUPORTE!AA:AF,6,0)),"")</f>
        <v>NÃO INICIADO</v>
      </c>
      <c r="F34" s="25"/>
      <c r="G34" s="25"/>
      <c r="I34" s="44"/>
      <c r="J34" s="32"/>
      <c r="K34" s="33"/>
      <c r="L34" s="34"/>
      <c r="M34" s="35"/>
      <c r="N34" s="36"/>
      <c r="O34" s="36" t="str">
        <f>IF(K34&lt;&gt;"",COUNTIFS(SUPORTE!$Q$5:$Q$2900,MENU!$M34,SUPORTE!$R$5:$R$2900,MENU!$I$9),"")</f>
        <v/>
      </c>
      <c r="P34" s="36" t="str">
        <f t="shared" ref="P34:P41" si="4">IF(L34&lt;&gt;"",IF(Q34&lt;&gt;0,"AT","OK"),"")</f>
        <v/>
      </c>
      <c r="Q34" s="36" t="str">
        <f t="shared" ref="Q34:Q41" si="5">IF(L34&lt;&gt;"",N34-O34,"")</f>
        <v/>
      </c>
    </row>
    <row r="35" spans="2:17" ht="15.9" x14ac:dyDescent="0.45">
      <c r="C35" s="39"/>
      <c r="D35" s="15" t="str">
        <f>IF(B35&lt;&gt;"",IF(_xlfn.IFNA(VLOOKUP(B35&amp;C35,SUPORTE!AA:AA,1,0),"NÃO INICIADO")="NÃO INICIADO",IF(B35&amp;C35=$J$9&amp;$I$12,"EM PROCESSO","NÃO INICIADO"),VLOOKUP(B35&amp;C35,SUPORTE!AA:AF,6,0)),"")</f>
        <v/>
      </c>
      <c r="F35" s="25"/>
      <c r="G35" s="25"/>
      <c r="I35" s="44"/>
      <c r="J35" s="32"/>
      <c r="K35" s="33"/>
      <c r="L35" s="34"/>
      <c r="M35" s="35"/>
      <c r="N35" s="36"/>
      <c r="O35" s="36" t="str">
        <f>IF(K35&lt;&gt;"",COUNTIFS(SUPORTE!$Q$5:$Q$2900,MENU!$M35,SUPORTE!$R$5:$R$2900,MENU!$I$9),"")</f>
        <v/>
      </c>
      <c r="P35" s="36" t="str">
        <f t="shared" si="4"/>
        <v/>
      </c>
      <c r="Q35" s="36" t="str">
        <f t="shared" si="5"/>
        <v/>
      </c>
    </row>
    <row r="36" spans="2:17" ht="15.9" x14ac:dyDescent="0.45">
      <c r="C36" s="39"/>
      <c r="D36" s="15" t="str">
        <f>IF(B36&lt;&gt;"",IF(_xlfn.IFNA(VLOOKUP(B36&amp;C36,SUPORTE!AA:AA,1,0),"NÃO INICIADO")="NÃO INICIADO",IF(B36&amp;C36=$J$9&amp;$I$12,"EM PROCESSO","NÃO INICIADO"),VLOOKUP(B36&amp;C36,SUPORTE!AA:AF,6,0)),"")</f>
        <v/>
      </c>
      <c r="F36" s="25"/>
      <c r="G36" s="25"/>
      <c r="I36" s="44"/>
      <c r="J36" s="32"/>
      <c r="K36" s="33"/>
      <c r="L36" s="34"/>
      <c r="M36" s="35"/>
      <c r="N36" s="36"/>
      <c r="O36" s="36" t="str">
        <f>IF(K36&lt;&gt;"",COUNTIFS(SUPORTE!$Q$5:$Q$2900,MENU!$M36,SUPORTE!$R$5:$R$2900,MENU!$I$9),"")</f>
        <v/>
      </c>
      <c r="P36" s="36" t="str">
        <f t="shared" si="4"/>
        <v/>
      </c>
      <c r="Q36" s="36" t="str">
        <f t="shared" si="5"/>
        <v/>
      </c>
    </row>
    <row r="37" spans="2:17" ht="15.9" x14ac:dyDescent="0.45">
      <c r="C37" s="39"/>
      <c r="D37" s="15" t="str">
        <f>IF(B37&lt;&gt;"",IF(_xlfn.IFNA(VLOOKUP(B37&amp;C37,SUPORTE!AA:AA,1,0),"NÃO INICIADO")="NÃO INICIADO",IF(B37&amp;C37=$J$9&amp;$I$12,"EM PROCESSO","NÃO INICIADO"),VLOOKUP(B37&amp;C37,SUPORTE!AA:AF,6,0)),"")</f>
        <v/>
      </c>
      <c r="I37" s="44"/>
      <c r="J37" s="32"/>
      <c r="K37" s="33"/>
      <c r="L37" s="34"/>
      <c r="M37" s="35"/>
      <c r="N37" s="36"/>
      <c r="O37" s="36" t="str">
        <f>IF(K37&lt;&gt;"",COUNTIFS(SUPORTE!$Q$5:$Q$2900,MENU!$M37,SUPORTE!$R$5:$R$2900,MENU!$I$9),"")</f>
        <v/>
      </c>
      <c r="P37" s="36" t="str">
        <f t="shared" si="4"/>
        <v/>
      </c>
      <c r="Q37" s="36" t="str">
        <f t="shared" si="5"/>
        <v/>
      </c>
    </row>
    <row r="38" spans="2:17" ht="15.9" x14ac:dyDescent="0.45">
      <c r="C38" s="39"/>
      <c r="D38" s="15" t="str">
        <f>IF(B38&lt;&gt;"",IF(_xlfn.IFNA(VLOOKUP(B38&amp;C38,SUPORTE!AA:AA,1,0),"NÃO INICIADO")="NÃO INICIADO",IF(B38&amp;C38=$J$9&amp;$I$12,"EM PROCESSO","NÃO INICIADO"),VLOOKUP(B38&amp;C38,SUPORTE!AA:AF,6,0)),"")</f>
        <v/>
      </c>
      <c r="I38" s="44"/>
      <c r="J38" s="32"/>
      <c r="K38" s="33"/>
      <c r="L38" s="34"/>
      <c r="M38" s="35"/>
      <c r="N38" s="36"/>
      <c r="O38" s="36" t="str">
        <f>IF(K38&lt;&gt;"",COUNTIFS(SUPORTE!$Q$5:$Q$2900,MENU!$M38,SUPORTE!$R$5:$R$2900,MENU!$I$9),"")</f>
        <v/>
      </c>
      <c r="P38" s="36" t="str">
        <f t="shared" si="4"/>
        <v/>
      </c>
      <c r="Q38" s="36" t="str">
        <f t="shared" si="5"/>
        <v/>
      </c>
    </row>
    <row r="39" spans="2:17" ht="15.9" x14ac:dyDescent="0.45">
      <c r="C39" s="39"/>
      <c r="D39" s="15" t="str">
        <f>IF(B39&lt;&gt;"",IF(_xlfn.IFNA(VLOOKUP(B39&amp;C39,SUPORTE!AA:AA,1,0),"NÃO INICIADO")="NÃO INICIADO",IF(B39&amp;C39=$J$9&amp;$I$12,"EM PROCESSO","NÃO INICIADO"),VLOOKUP(B39&amp;C39,SUPORTE!AA:AF,6,0)),"")</f>
        <v/>
      </c>
      <c r="I39" s="44"/>
      <c r="J39" s="32"/>
      <c r="K39" s="33"/>
      <c r="L39" s="34"/>
      <c r="M39" s="35"/>
      <c r="N39" s="36"/>
      <c r="O39" s="36" t="str">
        <f>IF(K39&lt;&gt;"",COUNTIFS(SUPORTE!$Q$5:$Q$2900,MENU!$M39,SUPORTE!$R$5:$R$2900,MENU!$I$9),"")</f>
        <v/>
      </c>
      <c r="P39" s="36" t="str">
        <f t="shared" si="4"/>
        <v/>
      </c>
      <c r="Q39" s="36" t="str">
        <f t="shared" si="5"/>
        <v/>
      </c>
    </row>
    <row r="40" spans="2:17" ht="15.9" x14ac:dyDescent="0.45">
      <c r="C40" s="39"/>
      <c r="D40" s="15" t="str">
        <f>IF(B40&lt;&gt;"",IF(_xlfn.IFNA(VLOOKUP(B40&amp;C40,SUPORTE!AA:AA,1,0),"NÃO INICIADO")="NÃO INICIADO",IF(B40&amp;C40=$J$9&amp;$I$12,"EM PROCESSO","NÃO INICIADO"),VLOOKUP(B40&amp;C40,SUPORTE!AA:AF,6,0)),"")</f>
        <v/>
      </c>
      <c r="I40" s="44"/>
      <c r="J40" s="32"/>
      <c r="K40" s="33"/>
      <c r="L40" s="34"/>
      <c r="M40" s="35"/>
      <c r="N40" s="36"/>
      <c r="O40" s="36" t="str">
        <f>IF(K40&lt;&gt;"",COUNTIFS(SUPORTE!$Q$5:$Q$2900,MENU!$M40,SUPORTE!$R$5:$R$2900,MENU!$I$9),"")</f>
        <v/>
      </c>
      <c r="P40" s="36" t="str">
        <f t="shared" si="4"/>
        <v/>
      </c>
      <c r="Q40" s="36" t="str">
        <f t="shared" si="5"/>
        <v/>
      </c>
    </row>
    <row r="41" spans="2:17" ht="15.9" x14ac:dyDescent="0.45">
      <c r="C41" s="39"/>
      <c r="D41" s="15" t="str">
        <f>IF(B41&lt;&gt;"",IF(_xlfn.IFNA(VLOOKUP(B41&amp;C41,SUPORTE!AA:AA,1,0),"NÃO INICIADO")="NÃO INICIADO",IF(B41&amp;C41=$J$9&amp;$I$12,"EM PROCESSO","NÃO INICIADO"),VLOOKUP(B41&amp;C41,SUPORTE!AA:AF,6,0)),"")</f>
        <v/>
      </c>
      <c r="I41" s="44"/>
      <c r="J41" s="32"/>
      <c r="K41" s="33"/>
      <c r="L41" s="34"/>
      <c r="M41" s="35"/>
      <c r="N41" s="36"/>
      <c r="O41" s="36" t="str">
        <f>IF(K41&lt;&gt;"",COUNTIFS(SUPORTE!$Q$5:$Q$2900,MENU!$M41,SUPORTE!$R$5:$R$2900,MENU!$I$9),"")</f>
        <v/>
      </c>
      <c r="P41" s="36" t="str">
        <f t="shared" si="4"/>
        <v/>
      </c>
      <c r="Q41" s="36" t="str">
        <f t="shared" si="5"/>
        <v/>
      </c>
    </row>
    <row r="42" spans="2:17" ht="15.9" x14ac:dyDescent="0.45">
      <c r="C42" s="39"/>
      <c r="D42" s="15" t="str">
        <f>IF(B42&lt;&gt;"",IF(_xlfn.IFNA(VLOOKUP(B42&amp;C42,SUPORTE!AA:AA,1,0),"NÃO INICIADO")="NÃO INICIADO",IF(B42&amp;C42=$J$9&amp;$I$12,"EM PROCESSO","NÃO INICIADO"),VLOOKUP(B42&amp;C42,SUPORTE!AA:AF,6,0)),"")</f>
        <v/>
      </c>
      <c r="I42" s="44"/>
      <c r="J42" s="32"/>
      <c r="K42" s="33"/>
      <c r="L42" s="34"/>
      <c r="M42" s="35"/>
      <c r="N42" s="36"/>
      <c r="O42" s="36" t="str">
        <f>IF(K42&lt;&gt;"",COUNTIFS(SUPORTE!$Q$5:$Q$2900,MENU!$M42,SUPORTE!$R$5:$R$2900,MENU!$I$9),"")</f>
        <v/>
      </c>
      <c r="P42" s="36" t="str">
        <f t="shared" ref="P42:P105" si="6">IF(L42&lt;&gt;"",IF(Q42&lt;&gt;0,"AT","OK"),"")</f>
        <v/>
      </c>
      <c r="Q42" s="36" t="str">
        <f t="shared" ref="Q42:Q105" si="7">IF(L42&lt;&gt;"",N42-O42,"")</f>
        <v/>
      </c>
    </row>
    <row r="43" spans="2:17" ht="15.9" x14ac:dyDescent="0.45">
      <c r="C43" s="39"/>
      <c r="D43" s="15" t="str">
        <f>IF(B43&lt;&gt;"",IF(_xlfn.IFNA(VLOOKUP(B43&amp;C43,SUPORTE!AA:AA,1,0),"NÃO INICIADO")="NÃO INICIADO",IF(B43&amp;C43=$J$9&amp;$I$12,"EM PROCESSO","NÃO INICIADO"),VLOOKUP(B43&amp;C43,SUPORTE!AA:AF,6,0)),"")</f>
        <v/>
      </c>
      <c r="I43" s="44"/>
      <c r="J43" s="32"/>
      <c r="K43" s="33"/>
      <c r="L43" s="34"/>
      <c r="M43" s="35"/>
      <c r="N43" s="36"/>
      <c r="O43" s="36" t="str">
        <f>IF(K43&lt;&gt;"",COUNTIFS(SUPORTE!$Q$5:$Q$2900,MENU!$M43,SUPORTE!$R$5:$R$2900,MENU!$I$9),"")</f>
        <v/>
      </c>
      <c r="P43" s="36" t="str">
        <f t="shared" si="6"/>
        <v/>
      </c>
      <c r="Q43" s="36" t="str">
        <f t="shared" si="7"/>
        <v/>
      </c>
    </row>
    <row r="44" spans="2:17" ht="15.9" x14ac:dyDescent="0.45">
      <c r="C44" s="39"/>
      <c r="D44" s="15" t="str">
        <f>IF(B44&lt;&gt;"",IF(_xlfn.IFNA(VLOOKUP(B44&amp;C44,SUPORTE!AA:AA,1,0),"NÃO INICIADO")="NÃO INICIADO",IF(B44&amp;C44=$J$9&amp;$I$12,"EM PROCESSO","NÃO INICIADO"),VLOOKUP(B44&amp;C44,SUPORTE!AA:AF,6,0)),"")</f>
        <v/>
      </c>
      <c r="I44" s="44"/>
      <c r="J44" s="32"/>
      <c r="K44" s="33"/>
      <c r="L44" s="34"/>
      <c r="M44" s="35"/>
      <c r="N44" s="36"/>
      <c r="O44" s="36" t="str">
        <f>IF(K44&lt;&gt;"",COUNTIFS(SUPORTE!$Q$5:$Q$2900,MENU!$M44,SUPORTE!$R$5:$R$2900,MENU!$I$9),"")</f>
        <v/>
      </c>
      <c r="P44" s="36" t="str">
        <f t="shared" si="6"/>
        <v/>
      </c>
      <c r="Q44" s="36" t="str">
        <f t="shared" si="7"/>
        <v/>
      </c>
    </row>
    <row r="45" spans="2:17" ht="15.9" x14ac:dyDescent="0.45">
      <c r="C45" s="39"/>
      <c r="D45" s="15" t="str">
        <f>IF(B45&lt;&gt;"",IF(_xlfn.IFNA(VLOOKUP(B45&amp;C45,SUPORTE!AA:AA,1,0),"NÃO INICIADO")="NÃO INICIADO",IF(B45&amp;C45=$J$9&amp;$I$12,"EM PROCESSO","NÃO INICIADO"),VLOOKUP(B45&amp;C45,SUPORTE!AA:AF,6,0)),"")</f>
        <v/>
      </c>
      <c r="I45" s="44"/>
      <c r="J45" s="32"/>
      <c r="K45" s="33"/>
      <c r="L45" s="34"/>
      <c r="M45" s="35"/>
      <c r="N45" s="36"/>
      <c r="O45" s="36" t="str">
        <f>IF(K45&lt;&gt;"",COUNTIFS(SUPORTE!$Q$5:$Q$2900,MENU!$M45,SUPORTE!$R$5:$R$2900,MENU!$I$9),"")</f>
        <v/>
      </c>
      <c r="P45" s="36" t="str">
        <f t="shared" si="6"/>
        <v/>
      </c>
      <c r="Q45" s="36" t="str">
        <f t="shared" si="7"/>
        <v/>
      </c>
    </row>
    <row r="46" spans="2:17" ht="15.9" x14ac:dyDescent="0.45">
      <c r="C46" s="39"/>
      <c r="D46" s="15" t="str">
        <f>IF(B46&lt;&gt;"",IF(_xlfn.IFNA(VLOOKUP(B46&amp;C46,SUPORTE!AA:AA,1,0),"NÃO INICIADO")="NÃO INICIADO",IF(B46&amp;C46=$J$9&amp;$I$12,"EM PROCESSO","NÃO INICIADO"),VLOOKUP(B46&amp;C46,SUPORTE!AA:AF,6,0)),"")</f>
        <v/>
      </c>
      <c r="I46" s="44"/>
      <c r="J46" s="32"/>
      <c r="K46" s="33"/>
      <c r="L46" s="34"/>
      <c r="M46" s="35"/>
      <c r="N46" s="36"/>
      <c r="O46" s="36" t="str">
        <f>IF(K46&lt;&gt;"",COUNTIFS(SUPORTE!$Q$5:$Q$2900,MENU!$M46,SUPORTE!$R$5:$R$2900,MENU!$I$9),"")</f>
        <v/>
      </c>
      <c r="P46" s="36" t="str">
        <f t="shared" si="6"/>
        <v/>
      </c>
      <c r="Q46" s="36" t="str">
        <f t="shared" si="7"/>
        <v/>
      </c>
    </row>
    <row r="47" spans="2:17" ht="15.9" x14ac:dyDescent="0.45">
      <c r="C47" s="39"/>
      <c r="D47" s="15" t="str">
        <f>IF(B47&lt;&gt;"",IF(_xlfn.IFNA(VLOOKUP(B47&amp;C47,SUPORTE!AA:AA,1,0),"NÃO INICIADO")="NÃO INICIADO",IF(B47&amp;C47=$J$9&amp;$I$12,"EM PROCESSO","NÃO INICIADO"),VLOOKUP(B47&amp;C47,SUPORTE!AA:AF,6,0)),"")</f>
        <v/>
      </c>
      <c r="I47" s="44"/>
      <c r="J47" s="32"/>
      <c r="K47" s="33"/>
      <c r="L47" s="34"/>
      <c r="M47" s="35"/>
      <c r="N47" s="36"/>
      <c r="O47" s="36" t="str">
        <f>IF(K47&lt;&gt;"",COUNTIFS(SUPORTE!$Q$5:$Q$2900,MENU!$M47,SUPORTE!$R$5:$R$2900,MENU!$I$9),"")</f>
        <v/>
      </c>
      <c r="P47" s="36" t="str">
        <f t="shared" si="6"/>
        <v/>
      </c>
      <c r="Q47" s="36" t="str">
        <f t="shared" si="7"/>
        <v/>
      </c>
    </row>
    <row r="48" spans="2:17" ht="15.9" x14ac:dyDescent="0.45">
      <c r="C48" s="39"/>
      <c r="D48" s="15" t="str">
        <f>IF(B48&lt;&gt;"",IF(_xlfn.IFNA(VLOOKUP(B48&amp;C48,SUPORTE!AA:AA,1,0),"NÃO INICIADO")="NÃO INICIADO",IF(B48&amp;C48=$J$9&amp;$I$12,"EM PROCESSO","NÃO INICIADO"),VLOOKUP(B48&amp;C48,SUPORTE!AA:AF,6,0)),"")</f>
        <v/>
      </c>
      <c r="I48" s="44"/>
      <c r="J48" s="32"/>
      <c r="K48" s="33"/>
      <c r="L48" s="34"/>
      <c r="M48" s="35"/>
      <c r="N48" s="36"/>
      <c r="O48" s="36" t="str">
        <f>IF(K48&lt;&gt;"",COUNTIFS(SUPORTE!$Q$5:$Q$2900,MENU!$M48,SUPORTE!$R$5:$R$2900,MENU!$I$9),"")</f>
        <v/>
      </c>
      <c r="P48" s="36" t="str">
        <f t="shared" si="6"/>
        <v/>
      </c>
      <c r="Q48" s="36" t="str">
        <f t="shared" si="7"/>
        <v/>
      </c>
    </row>
    <row r="49" spans="3:17" ht="15.9" x14ac:dyDescent="0.45">
      <c r="C49" s="39"/>
      <c r="D49" s="15" t="str">
        <f>IF(B49&lt;&gt;"",IF(_xlfn.IFNA(VLOOKUP(B49&amp;C49,SUPORTE!AA:AA,1,0),"NÃO INICIADO")="NÃO INICIADO",IF(B49&amp;C49=$J$9&amp;$I$12,"EM PROCESSO","NÃO INICIADO"),VLOOKUP(B49&amp;C49,SUPORTE!AA:AF,6,0)),"")</f>
        <v/>
      </c>
      <c r="I49" s="44"/>
      <c r="J49" s="32"/>
      <c r="K49" s="33"/>
      <c r="L49" s="34"/>
      <c r="M49" s="35"/>
      <c r="N49" s="36"/>
      <c r="O49" s="36" t="str">
        <f>IF(K49&lt;&gt;"",COUNTIFS(SUPORTE!$Q$5:$Q$2900,MENU!$M49,SUPORTE!$R$5:$R$2900,MENU!$I$9),"")</f>
        <v/>
      </c>
      <c r="P49" s="36" t="str">
        <f t="shared" si="6"/>
        <v/>
      </c>
      <c r="Q49" s="36" t="str">
        <f t="shared" si="7"/>
        <v/>
      </c>
    </row>
    <row r="50" spans="3:17" ht="15.9" x14ac:dyDescent="0.45">
      <c r="C50" s="39"/>
      <c r="D50" s="15" t="str">
        <f>IF(B50&lt;&gt;"",IF(_xlfn.IFNA(VLOOKUP(B50&amp;C50,SUPORTE!AA:AA,1,0),"NÃO INICIADO")="NÃO INICIADO",IF(B50&amp;C50=$J$9&amp;$I$12,"EM PROCESSO","NÃO INICIADO"),VLOOKUP(B50&amp;C50,SUPORTE!AA:AF,6,0)),"")</f>
        <v/>
      </c>
      <c r="I50" s="44"/>
      <c r="J50" s="32"/>
      <c r="K50" s="33"/>
      <c r="L50" s="34"/>
      <c r="M50" s="35"/>
      <c r="N50" s="36"/>
      <c r="O50" s="36" t="str">
        <f>IF(K50&lt;&gt;"",COUNTIFS(SUPORTE!$Q$5:$Q$2900,MENU!$M50,SUPORTE!$R$5:$R$2900,MENU!$I$9),"")</f>
        <v/>
      </c>
      <c r="P50" s="36" t="str">
        <f t="shared" si="6"/>
        <v/>
      </c>
      <c r="Q50" s="36" t="str">
        <f t="shared" si="7"/>
        <v/>
      </c>
    </row>
    <row r="51" spans="3:17" ht="15.9" x14ac:dyDescent="0.45">
      <c r="C51" s="39"/>
      <c r="D51" s="15" t="str">
        <f>IF(B51&lt;&gt;"",IF(_xlfn.IFNA(VLOOKUP(B51&amp;C51,SUPORTE!AA:AA,1,0),"NÃO INICIADO")="NÃO INICIADO",IF(B51&amp;C51=$J$9&amp;$I$12,"EM PROCESSO","NÃO INICIADO"),VLOOKUP(B51&amp;C51,SUPORTE!AA:AF,6,0)),"")</f>
        <v/>
      </c>
      <c r="I51" s="44"/>
      <c r="J51" s="32"/>
      <c r="K51" s="33"/>
      <c r="L51" s="34"/>
      <c r="M51" s="35"/>
      <c r="N51" s="36"/>
      <c r="O51" s="36" t="str">
        <f>IF(K51&lt;&gt;"",COUNTIFS(SUPORTE!$Q$5:$Q$2900,MENU!$M51,SUPORTE!$R$5:$R$2900,MENU!$I$9),"")</f>
        <v/>
      </c>
      <c r="P51" s="36" t="str">
        <f t="shared" si="6"/>
        <v/>
      </c>
      <c r="Q51" s="36" t="str">
        <f t="shared" si="7"/>
        <v/>
      </c>
    </row>
    <row r="52" spans="3:17" ht="15.9" x14ac:dyDescent="0.45">
      <c r="C52" s="39"/>
      <c r="D52" s="15" t="str">
        <f>IF(B52&lt;&gt;"",IF(_xlfn.IFNA(VLOOKUP(B52&amp;C52,SUPORTE!AA:AA,1,0),"NÃO INICIADO")="NÃO INICIADO",IF(B52&amp;C52=$J$9&amp;$I$12,"EM PROCESSO","NÃO INICIADO"),VLOOKUP(B52&amp;C52,SUPORTE!AA:AF,6,0)),"")</f>
        <v/>
      </c>
      <c r="F52" s="25"/>
      <c r="I52" s="44"/>
      <c r="J52" s="32"/>
      <c r="K52" s="33"/>
      <c r="L52" s="34"/>
      <c r="M52" s="35"/>
      <c r="N52" s="36"/>
      <c r="O52" s="36" t="str">
        <f>IF(K52&lt;&gt;"",COUNTIFS(SUPORTE!$Q$5:$Q$2900,MENU!$M52,SUPORTE!$R$5:$R$2900,MENU!$I$9),"")</f>
        <v/>
      </c>
      <c r="P52" s="36" t="str">
        <f t="shared" si="6"/>
        <v/>
      </c>
      <c r="Q52" s="36" t="str">
        <f t="shared" si="7"/>
        <v/>
      </c>
    </row>
    <row r="53" spans="3:17" ht="15.9" x14ac:dyDescent="0.45">
      <c r="C53" s="39"/>
      <c r="D53" s="15" t="str">
        <f>IF(B53&lt;&gt;"",IF(_xlfn.IFNA(VLOOKUP(B53&amp;C53,SUPORTE!AA:AA,1,0),"NÃO INICIADO")="NÃO INICIADO",IF(B53&amp;C53=$J$9&amp;$I$12,"EM PROCESSO","NÃO INICIADO"),VLOOKUP(B53&amp;C53,SUPORTE!AA:AF,6,0)),"")</f>
        <v/>
      </c>
      <c r="F53" s="25"/>
      <c r="G53" s="25"/>
      <c r="I53" s="44"/>
      <c r="J53" s="32"/>
      <c r="K53" s="33"/>
      <c r="L53" s="34"/>
      <c r="M53" s="35"/>
      <c r="N53" s="36"/>
      <c r="O53" s="36" t="str">
        <f>IF(K53&lt;&gt;"",COUNTIFS(SUPORTE!$Q$5:$Q$2900,MENU!$M53,SUPORTE!$R$5:$R$2900,MENU!$I$9),"")</f>
        <v/>
      </c>
      <c r="P53" s="36" t="str">
        <f t="shared" si="6"/>
        <v/>
      </c>
      <c r="Q53" s="36" t="str">
        <f t="shared" si="7"/>
        <v/>
      </c>
    </row>
    <row r="54" spans="3:17" ht="15.9" x14ac:dyDescent="0.45">
      <c r="C54" s="39"/>
      <c r="D54" s="15" t="str">
        <f>IF(B54&lt;&gt;"",IF(_xlfn.IFNA(VLOOKUP(B54&amp;C54,SUPORTE!AA:AA,1,0),"NÃO INICIADO")="NÃO INICIADO",IF(B54&amp;C54=$J$9&amp;$I$12,"EM PROCESSO","NÃO INICIADO"),VLOOKUP(B54&amp;C54,SUPORTE!AA:AF,6,0)),"")</f>
        <v/>
      </c>
      <c r="F54" s="25"/>
      <c r="G54" s="25"/>
      <c r="I54" s="44"/>
      <c r="J54" s="32"/>
      <c r="K54" s="33"/>
      <c r="L54" s="34"/>
      <c r="M54" s="35"/>
      <c r="N54" s="36"/>
      <c r="O54" s="36" t="str">
        <f>IF(K54&lt;&gt;"",COUNTIFS(SUPORTE!$Q$5:$Q$2900,MENU!$M54,SUPORTE!$R$5:$R$2900,MENU!$I$9),"")</f>
        <v/>
      </c>
      <c r="P54" s="36" t="str">
        <f t="shared" si="6"/>
        <v/>
      </c>
      <c r="Q54" s="36" t="str">
        <f t="shared" si="7"/>
        <v/>
      </c>
    </row>
    <row r="55" spans="3:17" ht="15.9" x14ac:dyDescent="0.45">
      <c r="C55" s="39"/>
      <c r="D55" s="15" t="str">
        <f>IF(B55&lt;&gt;"",IF(_xlfn.IFNA(VLOOKUP(B55&amp;C55,SUPORTE!AA:AA,1,0),"NÃO INICIADO")="NÃO INICIADO",IF(B55&amp;C55=$J$9&amp;$I$12,"EM PROCESSO","NÃO INICIADO"),VLOOKUP(B55&amp;C55,SUPORTE!AA:AF,6,0)),"")</f>
        <v/>
      </c>
      <c r="F55" s="25"/>
      <c r="G55" s="25"/>
      <c r="I55" s="44"/>
      <c r="J55" s="32"/>
      <c r="K55" s="33"/>
      <c r="L55" s="34"/>
      <c r="M55" s="35"/>
      <c r="N55" s="36"/>
      <c r="O55" s="36" t="str">
        <f>IF(K55&lt;&gt;"",COUNTIFS(SUPORTE!$Q$5:$Q$2900,MENU!$M55,SUPORTE!$R$5:$R$2900,MENU!$I$9),"")</f>
        <v/>
      </c>
      <c r="P55" s="36" t="str">
        <f t="shared" si="6"/>
        <v/>
      </c>
      <c r="Q55" s="36" t="str">
        <f t="shared" si="7"/>
        <v/>
      </c>
    </row>
    <row r="56" spans="3:17" ht="15.9" x14ac:dyDescent="0.45">
      <c r="C56" s="39"/>
      <c r="D56" s="15" t="str">
        <f>IF(B56&lt;&gt;"",IF(_xlfn.IFNA(VLOOKUP(B56&amp;C56,SUPORTE!AA:AA,1,0),"NÃO INICIADO")="NÃO INICIADO",IF(B56&amp;C56=$J$9&amp;$I$12,"EM PROCESSO","NÃO INICIADO"),VLOOKUP(B56&amp;C56,SUPORTE!AA:AF,6,0)),"")</f>
        <v/>
      </c>
      <c r="I56" s="44"/>
      <c r="J56" s="32"/>
      <c r="K56" s="33"/>
      <c r="L56" s="34"/>
      <c r="M56" s="35"/>
      <c r="N56" s="36"/>
      <c r="O56" s="36" t="str">
        <f>IF(K56&lt;&gt;"",COUNTIFS(SUPORTE!$Q$5:$Q$2900,MENU!$M56,SUPORTE!$R$5:$R$2900,MENU!$I$9),"")</f>
        <v/>
      </c>
      <c r="P56" s="36" t="str">
        <f t="shared" si="6"/>
        <v/>
      </c>
      <c r="Q56" s="36" t="str">
        <f t="shared" si="7"/>
        <v/>
      </c>
    </row>
    <row r="57" spans="3:17" ht="15.9" x14ac:dyDescent="0.45">
      <c r="C57" s="39"/>
      <c r="D57" s="15" t="str">
        <f>IF(B57&lt;&gt;"",IF(_xlfn.IFNA(VLOOKUP(B57&amp;C57,SUPORTE!AA:AA,1,0),"NÃO INICIADO")="NÃO INICIADO",IF(B57&amp;C57=$J$9&amp;$I$12,"EM PROCESSO","NÃO INICIADO"),VLOOKUP(B57&amp;C57,SUPORTE!AA:AF,6,0)),"")</f>
        <v/>
      </c>
      <c r="I57" s="44"/>
      <c r="J57" s="32"/>
      <c r="K57" s="33"/>
      <c r="L57" s="34"/>
      <c r="M57" s="35"/>
      <c r="N57" s="36"/>
      <c r="O57" s="36" t="str">
        <f>IF(K57&lt;&gt;"",COUNTIFS(SUPORTE!$Q$5:$Q$2900,MENU!$M57,SUPORTE!$R$5:$R$2900,MENU!$I$9),"")</f>
        <v/>
      </c>
      <c r="P57" s="36" t="str">
        <f t="shared" si="6"/>
        <v/>
      </c>
      <c r="Q57" s="36" t="str">
        <f t="shared" si="7"/>
        <v/>
      </c>
    </row>
    <row r="58" spans="3:17" ht="15.9" x14ac:dyDescent="0.45">
      <c r="C58" s="39"/>
      <c r="D58" s="15" t="str">
        <f>IF(B58&lt;&gt;"",IF(_xlfn.IFNA(VLOOKUP(B58&amp;C58,SUPORTE!AA:AA,1,0),"NÃO INICIADO")="NÃO INICIADO",IF(B58&amp;C58=$J$9&amp;$I$12,"EM PROCESSO","NÃO INICIADO"),VLOOKUP(B58&amp;C58,SUPORTE!AA:AF,6,0)),"")</f>
        <v/>
      </c>
      <c r="I58" s="44"/>
      <c r="J58" s="32"/>
      <c r="K58" s="33"/>
      <c r="L58" s="34"/>
      <c r="M58" s="35"/>
      <c r="N58" s="36"/>
      <c r="O58" s="36" t="str">
        <f>IF(K58&lt;&gt;"",COUNTIFS(SUPORTE!$Q$5:$Q$2900,MENU!$M58,SUPORTE!$R$5:$R$2900,MENU!$I$9),"")</f>
        <v/>
      </c>
      <c r="P58" s="36" t="str">
        <f t="shared" si="6"/>
        <v/>
      </c>
      <c r="Q58" s="36" t="str">
        <f t="shared" si="7"/>
        <v/>
      </c>
    </row>
    <row r="59" spans="3:17" ht="15.9" x14ac:dyDescent="0.45">
      <c r="C59" s="39"/>
      <c r="D59" s="15" t="str">
        <f>IF(B59&lt;&gt;"",IF(_xlfn.IFNA(VLOOKUP(B59&amp;C59,SUPORTE!AA:AA,1,0),"NÃO INICIADO")="NÃO INICIADO",IF(B59&amp;C59=$J$9&amp;$I$12,"EM PROCESSO","NÃO INICIADO"),VLOOKUP(B59&amp;C59,SUPORTE!AA:AF,6,0)),"")</f>
        <v/>
      </c>
      <c r="I59" s="44"/>
      <c r="J59" s="32"/>
      <c r="K59" s="33"/>
      <c r="L59" s="34"/>
      <c r="M59" s="35"/>
      <c r="N59" s="36"/>
      <c r="O59" s="36" t="str">
        <f>IF(K59&lt;&gt;"",COUNTIFS(SUPORTE!$Q$5:$Q$2900,MENU!$M59,SUPORTE!$R$5:$R$2900,MENU!$I$9),"")</f>
        <v/>
      </c>
      <c r="P59" s="36" t="str">
        <f t="shared" si="6"/>
        <v/>
      </c>
      <c r="Q59" s="36" t="str">
        <f t="shared" si="7"/>
        <v/>
      </c>
    </row>
    <row r="60" spans="3:17" ht="15.9" x14ac:dyDescent="0.45">
      <c r="C60" s="39"/>
      <c r="D60" s="15" t="str">
        <f>IF(B60&lt;&gt;"",IF(_xlfn.IFNA(VLOOKUP(B60&amp;C60,SUPORTE!AA:AA,1,0),"NÃO INICIADO")="NÃO INICIADO",IF(B60&amp;C60=$J$9&amp;$I$12,"EM PROCESSO","NÃO INICIADO"),VLOOKUP(B60&amp;C60,SUPORTE!AA:AF,6,0)),"")</f>
        <v/>
      </c>
      <c r="I60" s="44"/>
      <c r="J60" s="32"/>
      <c r="K60" s="33"/>
      <c r="L60" s="34"/>
      <c r="M60" s="35"/>
      <c r="N60" s="36"/>
      <c r="O60" s="36" t="str">
        <f>IF(K60&lt;&gt;"",COUNTIFS(SUPORTE!$Q$5:$Q$2900,MENU!$M60,SUPORTE!$R$5:$R$2900,MENU!$I$9),"")</f>
        <v/>
      </c>
      <c r="P60" s="36" t="str">
        <f t="shared" si="6"/>
        <v/>
      </c>
      <c r="Q60" s="36" t="str">
        <f t="shared" si="7"/>
        <v/>
      </c>
    </row>
    <row r="61" spans="3:17" ht="15.9" x14ac:dyDescent="0.45">
      <c r="C61" s="39"/>
      <c r="D61" s="15" t="str">
        <f>IF(B61&lt;&gt;"",IF(_xlfn.IFNA(VLOOKUP(B61&amp;C61,SUPORTE!AA:AA,1,0),"NÃO INICIADO")="NÃO INICIADO",IF(B61&amp;C61=$J$9&amp;$I$12,"EM PROCESSO","NÃO INICIADO"),VLOOKUP(B61&amp;C61,SUPORTE!AA:AF,6,0)),"")</f>
        <v/>
      </c>
      <c r="I61" s="44"/>
      <c r="J61" s="32"/>
      <c r="K61" s="33"/>
      <c r="L61" s="34"/>
      <c r="M61" s="35"/>
      <c r="N61" s="36"/>
      <c r="O61" s="36" t="str">
        <f>IF(K61&lt;&gt;"",COUNTIFS(SUPORTE!$Q$5:$Q$2900,MENU!$M61,SUPORTE!$R$5:$R$2900,MENU!$I$9),"")</f>
        <v/>
      </c>
      <c r="P61" s="36" t="str">
        <f t="shared" si="6"/>
        <v/>
      </c>
      <c r="Q61" s="36" t="str">
        <f t="shared" si="7"/>
        <v/>
      </c>
    </row>
    <row r="62" spans="3:17" ht="15.9" x14ac:dyDescent="0.45">
      <c r="C62" s="39"/>
      <c r="D62" s="15" t="str">
        <f>IF(B62&lt;&gt;"",IF(_xlfn.IFNA(VLOOKUP(B62&amp;C62,SUPORTE!AA:AA,1,0),"NÃO INICIADO")="NÃO INICIADO",IF(B62&amp;C62=$J$9&amp;$I$12,"EM PROCESSO","NÃO INICIADO"),VLOOKUP(B62&amp;C62,SUPORTE!AA:AF,6,0)),"")</f>
        <v/>
      </c>
      <c r="I62" s="44"/>
      <c r="J62" s="32"/>
      <c r="K62" s="33"/>
      <c r="L62" s="34"/>
      <c r="M62" s="35"/>
      <c r="N62" s="36"/>
      <c r="O62" s="36" t="str">
        <f>IF(K62&lt;&gt;"",COUNTIFS(SUPORTE!$Q$5:$Q$2900,MENU!$M62,SUPORTE!$R$5:$R$2900,MENU!$I$9),"")</f>
        <v/>
      </c>
      <c r="P62" s="36" t="str">
        <f t="shared" si="6"/>
        <v/>
      </c>
      <c r="Q62" s="36" t="str">
        <f t="shared" si="7"/>
        <v/>
      </c>
    </row>
    <row r="63" spans="3:17" ht="15.9" x14ac:dyDescent="0.45">
      <c r="C63" s="39"/>
      <c r="D63" s="15" t="str">
        <f>IF(B63&lt;&gt;"",IF(_xlfn.IFNA(VLOOKUP(B63&amp;C63,SUPORTE!AA:AA,1,0),"NÃO INICIADO")="NÃO INICIADO",IF(B63&amp;C63=$J$9&amp;$I$12,"EM PROCESSO","NÃO INICIADO"),VLOOKUP(B63&amp;C63,SUPORTE!AA:AF,6,0)),"")</f>
        <v/>
      </c>
      <c r="I63" s="44"/>
      <c r="J63" s="32"/>
      <c r="K63" s="33"/>
      <c r="L63" s="34"/>
      <c r="M63" s="35"/>
      <c r="N63" s="36"/>
      <c r="O63" s="36" t="str">
        <f>IF(K63&lt;&gt;"",COUNTIFS(SUPORTE!$Q$5:$Q$2900,MENU!$M63,SUPORTE!$R$5:$R$2900,MENU!$I$9),"")</f>
        <v/>
      </c>
      <c r="P63" s="36" t="str">
        <f t="shared" si="6"/>
        <v/>
      </c>
      <c r="Q63" s="36" t="str">
        <f t="shared" si="7"/>
        <v/>
      </c>
    </row>
    <row r="64" spans="3:17" ht="15.9" x14ac:dyDescent="0.45">
      <c r="C64" s="39"/>
      <c r="D64" s="15" t="str">
        <f>IF(B64&lt;&gt;"",IF(_xlfn.IFNA(VLOOKUP(B64&amp;C64,SUPORTE!AA:AA,1,0),"NÃO INICIADO")="NÃO INICIADO",IF(B64&amp;C64=$J$9&amp;$I$12,"EM PROCESSO","NÃO INICIADO"),VLOOKUP(B64&amp;C64,SUPORTE!AA:AF,6,0)),"")</f>
        <v/>
      </c>
      <c r="I64" s="44"/>
      <c r="J64" s="32"/>
      <c r="K64" s="33"/>
      <c r="L64" s="34"/>
      <c r="M64" s="35"/>
      <c r="N64" s="36"/>
      <c r="O64" s="36" t="str">
        <f>IF(K64&lt;&gt;"",COUNTIFS(SUPORTE!$Q$5:$Q$2900,MENU!$M64,SUPORTE!$R$5:$R$2900,MENU!$I$9),"")</f>
        <v/>
      </c>
      <c r="P64" s="36" t="str">
        <f t="shared" si="6"/>
        <v/>
      </c>
      <c r="Q64" s="36" t="str">
        <f t="shared" si="7"/>
        <v/>
      </c>
    </row>
    <row r="65" spans="3:17" ht="15.9" x14ac:dyDescent="0.45">
      <c r="C65" s="39"/>
      <c r="D65" s="15" t="str">
        <f>IF(B65&lt;&gt;"",IF(_xlfn.IFNA(VLOOKUP(B65&amp;C65,SUPORTE!AA:AA,1,0),"NÃO INICIADO")="NÃO INICIADO",IF(B65&amp;C65=$J$9&amp;$I$12,"EM PROCESSO","NÃO INICIADO"),VLOOKUP(B65&amp;C65,SUPORTE!AA:AF,6,0)),"")</f>
        <v/>
      </c>
      <c r="I65" s="44"/>
      <c r="J65" s="32"/>
      <c r="K65" s="33"/>
      <c r="L65" s="34"/>
      <c r="M65" s="35"/>
      <c r="N65" s="36"/>
      <c r="O65" s="36" t="str">
        <f>IF(K65&lt;&gt;"",COUNTIFS(SUPORTE!$Q$5:$Q$2900,MENU!$M65,SUPORTE!$R$5:$R$2900,MENU!$I$9),"")</f>
        <v/>
      </c>
      <c r="P65" s="36" t="str">
        <f t="shared" si="6"/>
        <v/>
      </c>
      <c r="Q65" s="36" t="str">
        <f t="shared" si="7"/>
        <v/>
      </c>
    </row>
    <row r="66" spans="3:17" ht="15.9" x14ac:dyDescent="0.45">
      <c r="C66" s="39"/>
      <c r="D66" s="15" t="str">
        <f>IF(B66&lt;&gt;"",IF(_xlfn.IFNA(VLOOKUP(B66&amp;C66,SUPORTE!AA:AA,1,0),"NÃO INICIADO")="NÃO INICIADO",IF(B66&amp;C66=$J$9&amp;$I$12,"EM PROCESSO","NÃO INICIADO"),VLOOKUP(B66&amp;C66,SUPORTE!AA:AF,6,0)),"")</f>
        <v/>
      </c>
      <c r="I66" s="44"/>
      <c r="J66" s="32"/>
      <c r="K66" s="33"/>
      <c r="L66" s="34"/>
      <c r="M66" s="35"/>
      <c r="N66" s="36"/>
      <c r="O66" s="36" t="str">
        <f>IF(K66&lt;&gt;"",COUNTIFS(SUPORTE!$Q$5:$Q$2900,MENU!$M66,SUPORTE!$R$5:$R$2900,MENU!$I$9),"")</f>
        <v/>
      </c>
      <c r="P66" s="36" t="str">
        <f t="shared" si="6"/>
        <v/>
      </c>
      <c r="Q66" s="36" t="str">
        <f t="shared" si="7"/>
        <v/>
      </c>
    </row>
    <row r="67" spans="3:17" ht="15.9" x14ac:dyDescent="0.45">
      <c r="C67" s="39"/>
      <c r="D67" s="15" t="str">
        <f>IF(B67&lt;&gt;"",IF(_xlfn.IFNA(VLOOKUP(B67&amp;C67,SUPORTE!AA:AA,1,0),"NÃO INICIADO")="NÃO INICIADO",IF(B67&amp;C67=$J$9&amp;$I$12,"EM PROCESSO","NÃO INICIADO"),VLOOKUP(B67&amp;C67,SUPORTE!AA:AF,6,0)),"")</f>
        <v/>
      </c>
      <c r="I67" s="44"/>
      <c r="J67" s="32"/>
      <c r="K67" s="33"/>
      <c r="L67" s="34"/>
      <c r="M67" s="35"/>
      <c r="N67" s="36"/>
      <c r="O67" s="36" t="str">
        <f>IF(K67&lt;&gt;"",COUNTIFS(SUPORTE!$Q$5:$Q$2900,MENU!$M67,SUPORTE!$R$5:$R$2900,MENU!$I$9),"")</f>
        <v/>
      </c>
      <c r="P67" s="36" t="str">
        <f t="shared" si="6"/>
        <v/>
      </c>
      <c r="Q67" s="36" t="str">
        <f t="shared" si="7"/>
        <v/>
      </c>
    </row>
    <row r="68" spans="3:17" ht="15.9" x14ac:dyDescent="0.45">
      <c r="C68" s="39"/>
      <c r="D68" s="15" t="str">
        <f>IF(B68&lt;&gt;"",IF(_xlfn.IFNA(VLOOKUP(B68&amp;C68,SUPORTE!AA:AA,1,0),"NÃO INICIADO")="NÃO INICIADO",IF(B68&amp;C68=$J$9&amp;$I$12,"EM PROCESSO","NÃO INICIADO"),VLOOKUP(B68&amp;C68,SUPORTE!AA:AF,6,0)),"")</f>
        <v/>
      </c>
      <c r="I68" s="44"/>
      <c r="J68" s="32"/>
      <c r="K68" s="33"/>
      <c r="L68" s="34"/>
      <c r="M68" s="35"/>
      <c r="N68" s="36"/>
      <c r="O68" s="36" t="str">
        <f>IF(K68&lt;&gt;"",COUNTIFS(SUPORTE!$Q$5:$Q$2900,MENU!$M68,SUPORTE!$R$5:$R$2900,MENU!$I$9),"")</f>
        <v/>
      </c>
      <c r="P68" s="36" t="str">
        <f t="shared" si="6"/>
        <v/>
      </c>
      <c r="Q68" s="36" t="str">
        <f t="shared" si="7"/>
        <v/>
      </c>
    </row>
    <row r="69" spans="3:17" ht="15.9" x14ac:dyDescent="0.45">
      <c r="C69" s="39"/>
      <c r="D69" s="15" t="str">
        <f>IF(B69&lt;&gt;"",IF(_xlfn.IFNA(VLOOKUP(B69&amp;C69,SUPORTE!AA:AA,1,0),"NÃO INICIADO")="NÃO INICIADO",IF(B69&amp;C69=$J$9&amp;$I$12,"EM PROCESSO","NÃO INICIADO"),VLOOKUP(B69&amp;C69,SUPORTE!AA:AF,6,0)),"")</f>
        <v/>
      </c>
      <c r="I69" s="44"/>
      <c r="J69" s="32"/>
      <c r="K69" s="33"/>
      <c r="L69" s="34"/>
      <c r="M69" s="35"/>
      <c r="N69" s="36"/>
      <c r="O69" s="36" t="str">
        <f>IF(K69&lt;&gt;"",COUNTIFS(SUPORTE!$Q$5:$Q$2900,MENU!$M69,SUPORTE!$R$5:$R$2900,MENU!$I$9),"")</f>
        <v/>
      </c>
      <c r="P69" s="36" t="str">
        <f t="shared" si="6"/>
        <v/>
      </c>
      <c r="Q69" s="36" t="str">
        <f t="shared" si="7"/>
        <v/>
      </c>
    </row>
    <row r="70" spans="3:17" ht="15.9" x14ac:dyDescent="0.45">
      <c r="C70" s="39"/>
      <c r="D70" s="15" t="str">
        <f>IF(B70&lt;&gt;"",IF(_xlfn.IFNA(VLOOKUP(B70&amp;C70,SUPORTE!AA:AA,1,0),"NÃO INICIADO")="NÃO INICIADO",IF(B70&amp;C70=$J$9&amp;$I$12,"EM PROCESSO","NÃO INICIADO"),VLOOKUP(B70&amp;C70,SUPORTE!AA:AF,6,0)),"")</f>
        <v/>
      </c>
      <c r="I70" s="44"/>
      <c r="J70" s="32"/>
      <c r="K70" s="33"/>
      <c r="L70" s="34"/>
      <c r="M70" s="35"/>
      <c r="N70" s="36"/>
      <c r="O70" s="36" t="str">
        <f>IF(K70&lt;&gt;"",COUNTIFS(SUPORTE!$Q$5:$Q$2900,MENU!$M70,SUPORTE!$R$5:$R$2900,MENU!$I$9),"")</f>
        <v/>
      </c>
      <c r="P70" s="36" t="str">
        <f t="shared" si="6"/>
        <v/>
      </c>
      <c r="Q70" s="36" t="str">
        <f t="shared" si="7"/>
        <v/>
      </c>
    </row>
    <row r="71" spans="3:17" ht="15.9" x14ac:dyDescent="0.45">
      <c r="C71" s="39"/>
      <c r="D71" s="15" t="str">
        <f>IF(B71&lt;&gt;"",IF(_xlfn.IFNA(VLOOKUP(B71&amp;C71,SUPORTE!AA:AA,1,0),"NÃO INICIADO")="NÃO INICIADO",IF(B71&amp;C71=$J$9&amp;$I$12,"EM PROCESSO","NÃO INICIADO"),VLOOKUP(B71&amp;C71,SUPORTE!AA:AF,6,0)),"")</f>
        <v/>
      </c>
      <c r="I71" s="44"/>
      <c r="J71" s="32"/>
      <c r="K71" s="33"/>
      <c r="L71" s="34"/>
      <c r="M71" s="35"/>
      <c r="N71" s="36"/>
      <c r="O71" s="36" t="str">
        <f>IF(K71&lt;&gt;"",COUNTIFS(SUPORTE!$Q$5:$Q$2900,MENU!$M71,SUPORTE!$R$5:$R$2900,MENU!$I$9),"")</f>
        <v/>
      </c>
      <c r="P71" s="36" t="str">
        <f t="shared" si="6"/>
        <v/>
      </c>
      <c r="Q71" s="36" t="str">
        <f t="shared" si="7"/>
        <v/>
      </c>
    </row>
    <row r="72" spans="3:17" ht="15.9" x14ac:dyDescent="0.45">
      <c r="C72" s="39"/>
      <c r="D72" s="15" t="str">
        <f>IF(B72&lt;&gt;"",IF(_xlfn.IFNA(VLOOKUP(B72&amp;C72,SUPORTE!AA:AA,1,0),"NÃO INICIADO")="NÃO INICIADO",IF(B72&amp;C72=$J$9&amp;$I$12,"EM PROCESSO","NÃO INICIADO"),VLOOKUP(B72&amp;C72,SUPORTE!AA:AF,6,0)),"")</f>
        <v/>
      </c>
      <c r="I72" s="44"/>
      <c r="J72" s="32"/>
      <c r="K72" s="33"/>
      <c r="L72" s="34"/>
      <c r="M72" s="35"/>
      <c r="N72" s="36"/>
      <c r="O72" s="36" t="str">
        <f>IF(K72&lt;&gt;"",COUNTIFS(SUPORTE!$Q$5:$Q$2900,MENU!$M72,SUPORTE!$R$5:$R$2900,MENU!$I$9),"")</f>
        <v/>
      </c>
      <c r="P72" s="36" t="str">
        <f t="shared" si="6"/>
        <v/>
      </c>
      <c r="Q72" s="36" t="str">
        <f t="shared" si="7"/>
        <v/>
      </c>
    </row>
    <row r="73" spans="3:17" ht="15.9" x14ac:dyDescent="0.45">
      <c r="C73" s="39"/>
      <c r="D73" s="15" t="str">
        <f>IF(B73&lt;&gt;"",IF(_xlfn.IFNA(VLOOKUP(B73&amp;C73,SUPORTE!AA:AA,1,0),"NÃO INICIADO")="NÃO INICIADO",IF(B73&amp;C73=$J$9&amp;$I$12,"EM PROCESSO","NÃO INICIADO"),VLOOKUP(B73&amp;C73,SUPORTE!AA:AF,6,0)),"")</f>
        <v/>
      </c>
      <c r="I73" s="44"/>
      <c r="J73" s="32"/>
      <c r="K73" s="33"/>
      <c r="L73" s="34"/>
      <c r="M73" s="35"/>
      <c r="N73" s="36"/>
      <c r="O73" s="36" t="str">
        <f>IF(K73&lt;&gt;"",COUNTIFS(SUPORTE!$Q$5:$Q$2900,MENU!$M73,SUPORTE!$R$5:$R$2900,MENU!$I$9),"")</f>
        <v/>
      </c>
      <c r="P73" s="36" t="str">
        <f t="shared" si="6"/>
        <v/>
      </c>
      <c r="Q73" s="36" t="str">
        <f t="shared" si="7"/>
        <v/>
      </c>
    </row>
    <row r="74" spans="3:17" ht="15.9" x14ac:dyDescent="0.45">
      <c r="C74" s="39"/>
      <c r="D74" s="15" t="str">
        <f>IF(B74&lt;&gt;"",IF(_xlfn.IFNA(VLOOKUP(B74&amp;C74,SUPORTE!AA:AA,1,0),"NÃO INICIADO")="NÃO INICIADO",IF(B74&amp;C74=$J$9&amp;$I$12,"EM PROCESSO","NÃO INICIADO"),VLOOKUP(B74&amp;C74,SUPORTE!AA:AF,6,0)),"")</f>
        <v/>
      </c>
      <c r="I74" s="44"/>
      <c r="J74" s="32"/>
      <c r="K74" s="33"/>
      <c r="L74" s="34"/>
      <c r="M74" s="35"/>
      <c r="N74" s="36"/>
      <c r="O74" s="36" t="str">
        <f>IF(K74&lt;&gt;"",COUNTIFS(SUPORTE!$Q$5:$Q$2900,MENU!$M74,SUPORTE!$R$5:$R$2900,MENU!$I$9),"")</f>
        <v/>
      </c>
      <c r="P74" s="36" t="str">
        <f t="shared" si="6"/>
        <v/>
      </c>
      <c r="Q74" s="36" t="str">
        <f t="shared" si="7"/>
        <v/>
      </c>
    </row>
    <row r="75" spans="3:17" ht="15.9" x14ac:dyDescent="0.45">
      <c r="C75" s="39"/>
      <c r="D75" s="15" t="str">
        <f>IF(B75&lt;&gt;"",IF(_xlfn.IFNA(VLOOKUP(B75&amp;C75,SUPORTE!AA:AA,1,0),"NÃO INICIADO")="NÃO INICIADO",IF(B75&amp;C75=$J$9&amp;$I$12,"EM PROCESSO","NÃO INICIADO"),VLOOKUP(B75&amp;C75,SUPORTE!AA:AF,6,0)),"")</f>
        <v/>
      </c>
      <c r="I75" s="44"/>
      <c r="J75" s="32"/>
      <c r="K75" s="33"/>
      <c r="L75" s="34"/>
      <c r="M75" s="35"/>
      <c r="N75" s="36"/>
      <c r="O75" s="36" t="str">
        <f>IF(K75&lt;&gt;"",COUNTIFS(SUPORTE!$Q$5:$Q$2900,MENU!$M75,SUPORTE!$R$5:$R$2900,MENU!$I$9),"")</f>
        <v/>
      </c>
      <c r="P75" s="36" t="str">
        <f t="shared" si="6"/>
        <v/>
      </c>
      <c r="Q75" s="36" t="str">
        <f t="shared" si="7"/>
        <v/>
      </c>
    </row>
    <row r="76" spans="3:17" ht="15.9" x14ac:dyDescent="0.45">
      <c r="D76" s="15" t="str">
        <f>IF(B76&lt;&gt;"",IF(_xlfn.IFNA(VLOOKUP(B76&amp;C76,SUPORTE!AA:AA,1,0),"NÃO INICIADO")="NÃO INICIADO",IF(B76&amp;C76=$J$9&amp;$I$12,"EM PROCESSO","NÃO INICIADO"),VLOOKUP(B76&amp;C76,SUPORTE!AA:AF,6,0)),"")</f>
        <v/>
      </c>
      <c r="I76" s="44"/>
      <c r="J76" s="32"/>
      <c r="K76" s="33"/>
      <c r="L76" s="34"/>
      <c r="M76" s="35"/>
      <c r="N76" s="36"/>
      <c r="O76" s="36" t="str">
        <f>IF(K76&lt;&gt;"",COUNTIFS(SUPORTE!$Q$5:$Q$2900,MENU!$M76,SUPORTE!$R$5:$R$2900,MENU!$I$9),"")</f>
        <v/>
      </c>
      <c r="P76" s="36" t="str">
        <f t="shared" si="6"/>
        <v/>
      </c>
      <c r="Q76" s="36" t="str">
        <f t="shared" si="7"/>
        <v/>
      </c>
    </row>
    <row r="77" spans="3:17" ht="15.9" x14ac:dyDescent="0.45">
      <c r="D77" s="15" t="str">
        <f>IF(B77&lt;&gt;"",IF(_xlfn.IFNA(VLOOKUP(B77&amp;C77,SUPORTE!AA:AA,1,0),"NÃO INICIADO")="NÃO INICIADO",IF(B77&amp;C77=$J$9&amp;$I$12,"EM PROCESSO","NÃO INICIADO"),VLOOKUP(B77&amp;C77,SUPORTE!AA:AF,6,0)),"")</f>
        <v/>
      </c>
      <c r="I77" s="44"/>
      <c r="J77" s="32"/>
      <c r="K77" s="33"/>
      <c r="L77" s="34"/>
      <c r="M77" s="35"/>
      <c r="N77" s="36"/>
      <c r="O77" s="36" t="str">
        <f>IF(K77&lt;&gt;"",COUNTIFS(SUPORTE!$Q$5:$Q$2900,MENU!$M77,SUPORTE!$R$5:$R$2900,MENU!$I$9),"")</f>
        <v/>
      </c>
      <c r="P77" s="36" t="str">
        <f t="shared" si="6"/>
        <v/>
      </c>
      <c r="Q77" s="36" t="str">
        <f t="shared" si="7"/>
        <v/>
      </c>
    </row>
    <row r="78" spans="3:17" ht="15.9" x14ac:dyDescent="0.45">
      <c r="D78" s="15" t="str">
        <f>IF(B78&lt;&gt;"",IF(_xlfn.IFNA(VLOOKUP(B78&amp;C78,SUPORTE!AA:AA,1,0),"NÃO INICIADO")="NÃO INICIADO",IF(B78&amp;C78=$J$9&amp;$I$12,"EM PROCESSO","NÃO INICIADO"),VLOOKUP(B78&amp;C78,SUPORTE!AA:AF,6,0)),"")</f>
        <v/>
      </c>
      <c r="I78" s="44"/>
      <c r="J78" s="32"/>
      <c r="K78" s="33"/>
      <c r="L78" s="34"/>
      <c r="M78" s="35"/>
      <c r="N78" s="36"/>
      <c r="O78" s="36" t="str">
        <f>IF(K78&lt;&gt;"",COUNTIFS(SUPORTE!$Q$5:$Q$2900,MENU!$M78,SUPORTE!$R$5:$R$2900,MENU!$I$9),"")</f>
        <v/>
      </c>
      <c r="P78" s="36" t="str">
        <f t="shared" si="6"/>
        <v/>
      </c>
      <c r="Q78" s="36" t="str">
        <f t="shared" si="7"/>
        <v/>
      </c>
    </row>
    <row r="79" spans="3:17" ht="15.9" x14ac:dyDescent="0.45">
      <c r="D79" s="15" t="str">
        <f>IF(B79&lt;&gt;"",IF(_xlfn.IFNA(VLOOKUP(B79&amp;C79,SUPORTE!AA:AA,1,0),"NÃO INICIADO")="NÃO INICIADO",IF(B79&amp;C79=$J$9&amp;$I$12,"EM PROCESSO","NÃO INICIADO"),VLOOKUP(B79&amp;C79,SUPORTE!AA:AF,6,0)),"")</f>
        <v/>
      </c>
      <c r="I79" s="44"/>
      <c r="J79" s="32"/>
      <c r="K79" s="33"/>
      <c r="L79" s="34"/>
      <c r="M79" s="35"/>
      <c r="N79" s="36"/>
      <c r="O79" s="36" t="str">
        <f>IF(K79&lt;&gt;"",COUNTIFS(SUPORTE!$Q$5:$Q$2900,MENU!$M79,SUPORTE!$R$5:$R$2900,MENU!$I$9),"")</f>
        <v/>
      </c>
      <c r="P79" s="36" t="str">
        <f t="shared" si="6"/>
        <v/>
      </c>
      <c r="Q79" s="36" t="str">
        <f t="shared" si="7"/>
        <v/>
      </c>
    </row>
    <row r="80" spans="3:17" ht="15.9" x14ac:dyDescent="0.45">
      <c r="D80" s="15" t="str">
        <f>IF(B80&lt;&gt;"",IF(_xlfn.IFNA(VLOOKUP(B80&amp;C80,SUPORTE!AA:AA,1,0),"NÃO INICIADO")="NÃO INICIADO",IF(B80&amp;C80=$J$9&amp;$I$12,"EM PROCESSO","NÃO INICIADO"),VLOOKUP(B80&amp;C80,SUPORTE!AA:AF,6,0)),"")</f>
        <v/>
      </c>
      <c r="I80" s="44"/>
      <c r="J80" s="32"/>
      <c r="K80" s="33"/>
      <c r="L80" s="34"/>
      <c r="M80" s="35"/>
      <c r="N80" s="36"/>
      <c r="O80" s="36" t="str">
        <f>IF(K80&lt;&gt;"",COUNTIFS(SUPORTE!$Q$5:$Q$2900,MENU!$M80,SUPORTE!$R$5:$R$2900,MENU!$I$9),"")</f>
        <v/>
      </c>
      <c r="P80" s="36" t="str">
        <f t="shared" si="6"/>
        <v/>
      </c>
      <c r="Q80" s="36" t="str">
        <f t="shared" si="7"/>
        <v/>
      </c>
    </row>
    <row r="81" spans="4:17" ht="15.9" x14ac:dyDescent="0.45">
      <c r="D81" s="15" t="str">
        <f>IF(B81&lt;&gt;"",IF(_xlfn.IFNA(VLOOKUP(B81&amp;C81,SUPORTE!AA:AA,1,0),"NÃO INICIADO")="NÃO INICIADO",IF(B81&amp;C81=$J$9&amp;$I$12,"EM PROCESSO","NÃO INICIADO"),VLOOKUP(B81&amp;C81,SUPORTE!AA:AF,6,0)),"")</f>
        <v/>
      </c>
      <c r="I81" s="44"/>
      <c r="J81" s="32"/>
      <c r="K81" s="33"/>
      <c r="L81" s="34"/>
      <c r="M81" s="35"/>
      <c r="N81" s="36"/>
      <c r="O81" s="36" t="str">
        <f>IF(K81&lt;&gt;"",COUNTIFS(SUPORTE!$Q$5:$Q$2900,MENU!$M81,SUPORTE!$R$5:$R$2900,MENU!$I$9),"")</f>
        <v/>
      </c>
      <c r="P81" s="36" t="str">
        <f t="shared" si="6"/>
        <v/>
      </c>
      <c r="Q81" s="36" t="str">
        <f t="shared" si="7"/>
        <v/>
      </c>
    </row>
    <row r="82" spans="4:17" ht="15.9" x14ac:dyDescent="0.45">
      <c r="D82" s="15" t="str">
        <f>IF(B82&lt;&gt;"",IF(_xlfn.IFNA(VLOOKUP(B82&amp;C82,SUPORTE!AA:AA,1,0),"NÃO INICIADO")="NÃO INICIADO",IF(B82&amp;C82=$J$9&amp;$I$12,"EM PROCESSO","NÃO INICIADO"),VLOOKUP(B82&amp;C82,SUPORTE!AA:AF,6,0)),"")</f>
        <v/>
      </c>
      <c r="I82" s="44"/>
      <c r="J82" s="32"/>
      <c r="K82" s="33"/>
      <c r="L82" s="34"/>
      <c r="M82" s="35"/>
      <c r="N82" s="36"/>
      <c r="O82" s="36" t="str">
        <f>IF(K82&lt;&gt;"",COUNTIFS(SUPORTE!$Q$5:$Q$2900,MENU!$M82,SUPORTE!$R$5:$R$2900,MENU!$I$9),"")</f>
        <v/>
      </c>
      <c r="P82" s="36" t="str">
        <f t="shared" si="6"/>
        <v/>
      </c>
      <c r="Q82" s="36" t="str">
        <f t="shared" si="7"/>
        <v/>
      </c>
    </row>
    <row r="83" spans="4:17" ht="15.9" x14ac:dyDescent="0.45">
      <c r="D83" s="15" t="str">
        <f>IF(B83&lt;&gt;"",IF(_xlfn.IFNA(VLOOKUP(B83&amp;C83,SUPORTE!AA:AA,1,0),"NÃO INICIADO")="NÃO INICIADO",IF(B83&amp;C83=$J$9&amp;$I$12,"EM PROCESSO","NÃO INICIADO"),VLOOKUP(B83&amp;C83,SUPORTE!AA:AF,6,0)),"")</f>
        <v/>
      </c>
      <c r="I83" s="44"/>
      <c r="J83" s="32"/>
      <c r="K83" s="33"/>
      <c r="L83" s="34"/>
      <c r="M83" s="35"/>
      <c r="N83" s="36"/>
      <c r="O83" s="36" t="str">
        <f>IF(K83&lt;&gt;"",COUNTIFS(SUPORTE!$Q$5:$Q$2900,MENU!$M83,SUPORTE!$R$5:$R$2900,MENU!$I$9),"")</f>
        <v/>
      </c>
      <c r="P83" s="36" t="str">
        <f t="shared" si="6"/>
        <v/>
      </c>
      <c r="Q83" s="36" t="str">
        <f t="shared" si="7"/>
        <v/>
      </c>
    </row>
    <row r="84" spans="4:17" ht="15.9" x14ac:dyDescent="0.45">
      <c r="D84" s="15" t="str">
        <f>IF(B84&lt;&gt;"",IF(_xlfn.IFNA(VLOOKUP(B84&amp;C84,SUPORTE!AA:AA,1,0),"NÃO INICIADO")="NÃO INICIADO",IF(B84&amp;C84=$J$9&amp;$I$12,"EM PROCESSO","NÃO INICIADO"),VLOOKUP(B84&amp;C84,SUPORTE!AA:AF,6,0)),"")</f>
        <v/>
      </c>
      <c r="I84" s="44"/>
      <c r="J84" s="32"/>
      <c r="K84" s="33"/>
      <c r="L84" s="34"/>
      <c r="M84" s="35"/>
      <c r="N84" s="36"/>
      <c r="O84" s="36" t="str">
        <f>IF(K84&lt;&gt;"",COUNTIFS(SUPORTE!$Q$5:$Q$2900,MENU!$M84,SUPORTE!$R$5:$R$2900,MENU!$I$9),"")</f>
        <v/>
      </c>
      <c r="P84" s="36" t="str">
        <f t="shared" si="6"/>
        <v/>
      </c>
      <c r="Q84" s="36" t="str">
        <f t="shared" si="7"/>
        <v/>
      </c>
    </row>
    <row r="85" spans="4:17" ht="15.9" x14ac:dyDescent="0.45">
      <c r="D85" s="15" t="str">
        <f>IF(B85&lt;&gt;"",IF(_xlfn.IFNA(VLOOKUP(B85&amp;C85,SUPORTE!AA:AA,1,0),"NÃO INICIADO")="NÃO INICIADO",IF(B85&amp;C85=$J$9&amp;$I$12,"EM PROCESSO","NÃO INICIADO"),VLOOKUP(B85&amp;C85,SUPORTE!AA:AF,6,0)),"")</f>
        <v/>
      </c>
      <c r="I85" s="44"/>
      <c r="J85" s="32"/>
      <c r="K85" s="33"/>
      <c r="L85" s="34"/>
      <c r="M85" s="35"/>
      <c r="N85" s="36"/>
      <c r="O85" s="36" t="str">
        <f>IF(K85&lt;&gt;"",COUNTIFS(SUPORTE!$Q$5:$Q$2900,MENU!$M85,SUPORTE!$R$5:$R$2900,MENU!$I$9),"")</f>
        <v/>
      </c>
      <c r="P85" s="36" t="str">
        <f t="shared" si="6"/>
        <v/>
      </c>
      <c r="Q85" s="36" t="str">
        <f t="shared" si="7"/>
        <v/>
      </c>
    </row>
    <row r="86" spans="4:17" ht="15.9" x14ac:dyDescent="0.45">
      <c r="D86" s="15" t="str">
        <f>IF(B86&lt;&gt;"",IF(_xlfn.IFNA(VLOOKUP(B86&amp;C86,SUPORTE!AA:AA,1,0),"NÃO INICIADO")="NÃO INICIADO",IF(B86&amp;C86=$J$9&amp;$I$12,"EM PROCESSO","NÃO INICIADO"),VLOOKUP(B86&amp;C86,SUPORTE!AA:AF,6,0)),"")</f>
        <v/>
      </c>
      <c r="I86" s="44"/>
      <c r="J86" s="32"/>
      <c r="K86" s="33"/>
      <c r="L86" s="34"/>
      <c r="M86" s="35"/>
      <c r="N86" s="36"/>
      <c r="O86" s="36" t="str">
        <f>IF(K86&lt;&gt;"",COUNTIFS(SUPORTE!$Q$5:$Q$2900,MENU!$M86,SUPORTE!$R$5:$R$2900,MENU!$I$9),"")</f>
        <v/>
      </c>
      <c r="P86" s="36" t="str">
        <f t="shared" si="6"/>
        <v/>
      </c>
      <c r="Q86" s="36" t="str">
        <f t="shared" si="7"/>
        <v/>
      </c>
    </row>
    <row r="87" spans="4:17" ht="15.9" x14ac:dyDescent="0.45">
      <c r="D87" s="15" t="str">
        <f>IF(B87&lt;&gt;"",IF(_xlfn.IFNA(VLOOKUP(B87&amp;C87,SUPORTE!AA:AA,1,0),"NÃO INICIADO")="NÃO INICIADO",IF(B87&amp;C87=$J$9&amp;$I$12,"EM PROCESSO","NÃO INICIADO"),VLOOKUP(B87&amp;C87,SUPORTE!AA:AF,6,0)),"")</f>
        <v/>
      </c>
      <c r="I87" s="44"/>
      <c r="J87" s="32"/>
      <c r="K87" s="33"/>
      <c r="L87" s="34"/>
      <c r="M87" s="35"/>
      <c r="N87" s="36"/>
      <c r="O87" s="36" t="str">
        <f>IF(K87&lt;&gt;"",COUNTIFS(SUPORTE!$Q$5:$Q$2900,MENU!$M87,SUPORTE!$R$5:$R$2900,MENU!$I$9),"")</f>
        <v/>
      </c>
      <c r="P87" s="36" t="str">
        <f t="shared" si="6"/>
        <v/>
      </c>
      <c r="Q87" s="36" t="str">
        <f t="shared" si="7"/>
        <v/>
      </c>
    </row>
    <row r="88" spans="4:17" ht="15.9" x14ac:dyDescent="0.45">
      <c r="D88" s="15" t="str">
        <f>IF(B88&lt;&gt;"",IF(_xlfn.IFNA(VLOOKUP(B88&amp;C88,SUPORTE!AA:AA,1,0),"NÃO INICIADO")="NÃO INICIADO",IF(B88&amp;C88=$J$9&amp;$I$12,"EM PROCESSO","NÃO INICIADO"),VLOOKUP(B88&amp;C88,SUPORTE!AA:AF,6,0)),"")</f>
        <v/>
      </c>
      <c r="I88" s="44"/>
      <c r="J88" s="32"/>
      <c r="K88" s="33"/>
      <c r="L88" s="34"/>
      <c r="M88" s="35"/>
      <c r="N88" s="36"/>
      <c r="O88" s="36" t="str">
        <f>IF(K88&lt;&gt;"",COUNTIFS(SUPORTE!$Q$5:$Q$2900,MENU!$M88,SUPORTE!$R$5:$R$2900,MENU!$I$9),"")</f>
        <v/>
      </c>
      <c r="P88" s="36" t="str">
        <f t="shared" si="6"/>
        <v/>
      </c>
      <c r="Q88" s="36" t="str">
        <f t="shared" si="7"/>
        <v/>
      </c>
    </row>
    <row r="89" spans="4:17" ht="15.9" x14ac:dyDescent="0.45">
      <c r="D89" s="15" t="str">
        <f>IF(B89&lt;&gt;"",IF(_xlfn.IFNA(VLOOKUP(B89&amp;C89,SUPORTE!AA:AA,1,0),"NÃO INICIADO")="NÃO INICIADO",IF(B89&amp;C89=$J$9&amp;$I$12,"EM PROCESSO","NÃO INICIADO"),VLOOKUP(B89&amp;C89,SUPORTE!AA:AF,6,0)),"")</f>
        <v/>
      </c>
      <c r="I89" s="44"/>
      <c r="J89" s="32"/>
      <c r="K89" s="33"/>
      <c r="L89" s="34"/>
      <c r="M89" s="35"/>
      <c r="N89" s="36"/>
      <c r="O89" s="36" t="str">
        <f>IF(K89&lt;&gt;"",COUNTIFS(SUPORTE!$Q$5:$Q$2900,MENU!$M89,SUPORTE!$R$5:$R$2900,MENU!$I$9),"")</f>
        <v/>
      </c>
      <c r="P89" s="36" t="str">
        <f t="shared" si="6"/>
        <v/>
      </c>
      <c r="Q89" s="36" t="str">
        <f t="shared" si="7"/>
        <v/>
      </c>
    </row>
    <row r="90" spans="4:17" ht="15.9" x14ac:dyDescent="0.45">
      <c r="D90" s="15" t="str">
        <f>IF(B90&lt;&gt;"",IF(_xlfn.IFNA(VLOOKUP(B90&amp;C90,SUPORTE!AA:AA,1,0),"NÃO INICIADO")="NÃO INICIADO",IF(B90&amp;C90=$J$9&amp;$I$12,"EM PROCESSO","NÃO INICIADO"),VLOOKUP(B90&amp;C90,SUPORTE!AA:AF,6,0)),"")</f>
        <v/>
      </c>
      <c r="I90" s="44"/>
      <c r="J90" s="32"/>
      <c r="K90" s="33"/>
      <c r="L90" s="34"/>
      <c r="M90" s="35"/>
      <c r="N90" s="36"/>
      <c r="O90" s="36" t="str">
        <f>IF(K90&lt;&gt;"",COUNTIFS(SUPORTE!$Q$5:$Q$2900,MENU!$M90,SUPORTE!$R$5:$R$2900,MENU!$I$9),"")</f>
        <v/>
      </c>
      <c r="P90" s="36" t="str">
        <f t="shared" si="6"/>
        <v/>
      </c>
      <c r="Q90" s="36" t="str">
        <f t="shared" si="7"/>
        <v/>
      </c>
    </row>
    <row r="91" spans="4:17" ht="15.9" x14ac:dyDescent="0.45">
      <c r="D91" s="15" t="str">
        <f>IF(B91&lt;&gt;"",IF(_xlfn.IFNA(VLOOKUP(B91&amp;C91,SUPORTE!AA:AA,1,0),"NÃO INICIADO")="NÃO INICIADO",IF(B91&amp;C91=$J$9&amp;$I$12,"EM PROCESSO","NÃO INICIADO"),VLOOKUP(B91&amp;C91,SUPORTE!AA:AF,6,0)),"")</f>
        <v/>
      </c>
      <c r="I91" s="44"/>
      <c r="J91" s="32"/>
      <c r="K91" s="33"/>
      <c r="L91" s="34"/>
      <c r="M91" s="35"/>
      <c r="N91" s="36"/>
      <c r="O91" s="36" t="str">
        <f>IF(K91&lt;&gt;"",COUNTIFS(SUPORTE!$Q$5:$Q$2900,MENU!$M91,SUPORTE!$R$5:$R$2900,MENU!$I$9),"")</f>
        <v/>
      </c>
      <c r="P91" s="36" t="str">
        <f t="shared" si="6"/>
        <v/>
      </c>
      <c r="Q91" s="36" t="str">
        <f t="shared" si="7"/>
        <v/>
      </c>
    </row>
    <row r="92" spans="4:17" ht="15.9" x14ac:dyDescent="0.45">
      <c r="D92" s="15" t="str">
        <f>IF(B92&lt;&gt;"",IF(_xlfn.IFNA(VLOOKUP(B92&amp;C92,SUPORTE!AA:AA,1,0),"NÃO INICIADO")="NÃO INICIADO",IF(B92&amp;C92=$J$9&amp;$I$12,"EM PROCESSO","NÃO INICIADO"),VLOOKUP(B92&amp;C92,SUPORTE!AA:AF,6,0)),"")</f>
        <v/>
      </c>
      <c r="I92" s="44"/>
      <c r="J92" s="32"/>
      <c r="K92" s="33"/>
      <c r="L92" s="34"/>
      <c r="M92" s="35"/>
      <c r="N92" s="36"/>
      <c r="O92" s="36" t="str">
        <f>IF(K92&lt;&gt;"",COUNTIFS(SUPORTE!$Q$5:$Q$2900,MENU!$M92,SUPORTE!$R$5:$R$2900,MENU!$I$9),"")</f>
        <v/>
      </c>
      <c r="P92" s="36" t="str">
        <f t="shared" si="6"/>
        <v/>
      </c>
      <c r="Q92" s="36" t="str">
        <f t="shared" si="7"/>
        <v/>
      </c>
    </row>
    <row r="93" spans="4:17" ht="15.9" x14ac:dyDescent="0.45">
      <c r="D93" s="15" t="str">
        <f>IF(B93&lt;&gt;"",IF(_xlfn.IFNA(VLOOKUP(B93&amp;C93,SUPORTE!AA:AA,1,0),"NÃO INICIADO")="NÃO INICIADO",IF(B93&amp;C93=$J$9&amp;$I$12,"EM PROCESSO","NÃO INICIADO"),VLOOKUP(B93&amp;C93,SUPORTE!AA:AF,6,0)),"")</f>
        <v/>
      </c>
      <c r="I93" s="44"/>
      <c r="J93" s="32"/>
      <c r="K93" s="33"/>
      <c r="L93" s="34"/>
      <c r="M93" s="35"/>
      <c r="N93" s="36"/>
      <c r="O93" s="36" t="str">
        <f>IF(K93&lt;&gt;"",COUNTIFS(SUPORTE!$Q$5:$Q$2900,MENU!$M93,SUPORTE!$R$5:$R$2900,MENU!$I$9),"")</f>
        <v/>
      </c>
      <c r="P93" s="36" t="str">
        <f t="shared" si="6"/>
        <v/>
      </c>
      <c r="Q93" s="36" t="str">
        <f t="shared" si="7"/>
        <v/>
      </c>
    </row>
    <row r="94" spans="4:17" ht="15.9" x14ac:dyDescent="0.45">
      <c r="D94" s="15" t="str">
        <f>IF(B94&lt;&gt;"",IF(_xlfn.IFNA(VLOOKUP(B94&amp;C94,SUPORTE!AA:AA,1,0),"NÃO INICIADO")="NÃO INICIADO",IF(B94&amp;C94=$J$9&amp;$I$12,"EM PROCESSO","NÃO INICIADO"),VLOOKUP(B94&amp;C94,SUPORTE!AA:AF,6,0)),"")</f>
        <v/>
      </c>
      <c r="I94" s="44"/>
      <c r="J94" s="32"/>
      <c r="K94" s="33"/>
      <c r="L94" s="34"/>
      <c r="M94" s="35"/>
      <c r="N94" s="36"/>
      <c r="O94" s="36" t="str">
        <f>IF(K94&lt;&gt;"",COUNTIFS(SUPORTE!$Q$5:$Q$2900,MENU!$M94,SUPORTE!$R$5:$R$2900,MENU!$I$9),"")</f>
        <v/>
      </c>
      <c r="P94" s="36" t="str">
        <f t="shared" si="6"/>
        <v/>
      </c>
      <c r="Q94" s="36" t="str">
        <f t="shared" si="7"/>
        <v/>
      </c>
    </row>
    <row r="95" spans="4:17" ht="15.9" x14ac:dyDescent="0.45">
      <c r="D95" s="15" t="str">
        <f>IF(B95&lt;&gt;"",IF(_xlfn.IFNA(VLOOKUP(B95&amp;C95,SUPORTE!AA:AA,1,0),"NÃO INICIADO")="NÃO INICIADO",IF(B95&amp;C95=$J$9&amp;$I$12,"EM PROCESSO","NÃO INICIADO"),VLOOKUP(B95&amp;C95,SUPORTE!AA:AF,6,0)),"")</f>
        <v/>
      </c>
      <c r="I95" s="44"/>
      <c r="J95" s="32"/>
      <c r="K95" s="33"/>
      <c r="L95" s="34"/>
      <c r="M95" s="35"/>
      <c r="N95" s="36"/>
      <c r="O95" s="36" t="str">
        <f>IF(K95&lt;&gt;"",COUNTIFS(SUPORTE!$Q$5:$Q$2900,MENU!$M95,SUPORTE!$R$5:$R$2900,MENU!$I$9),"")</f>
        <v/>
      </c>
      <c r="P95" s="36" t="str">
        <f t="shared" si="6"/>
        <v/>
      </c>
      <c r="Q95" s="36" t="str">
        <f t="shared" si="7"/>
        <v/>
      </c>
    </row>
    <row r="96" spans="4:17" ht="15.9" x14ac:dyDescent="0.45">
      <c r="D96" s="15" t="str">
        <f>IF(B96&lt;&gt;"",IF(_xlfn.IFNA(VLOOKUP(B96&amp;C96,SUPORTE!AA:AA,1,0),"NÃO INICIADO")="NÃO INICIADO",IF(B96&amp;C96=$J$9&amp;$I$12,"EM PROCESSO","NÃO INICIADO"),VLOOKUP(B96&amp;C96,SUPORTE!AA:AF,6,0)),"")</f>
        <v/>
      </c>
      <c r="I96" s="44"/>
      <c r="J96" s="32"/>
      <c r="K96" s="33"/>
      <c r="L96" s="34"/>
      <c r="M96" s="35"/>
      <c r="N96" s="36"/>
      <c r="O96" s="36" t="str">
        <f>IF(K96&lt;&gt;"",COUNTIFS(SUPORTE!$Q$5:$Q$2900,MENU!$M96,SUPORTE!$R$5:$R$2900,MENU!$I$9),"")</f>
        <v/>
      </c>
      <c r="P96" s="36" t="str">
        <f t="shared" si="6"/>
        <v/>
      </c>
      <c r="Q96" s="36" t="str">
        <f t="shared" si="7"/>
        <v/>
      </c>
    </row>
    <row r="97" spans="4:17" ht="15.9" x14ac:dyDescent="0.45">
      <c r="D97" s="15" t="str">
        <f>IF(B97&lt;&gt;"",IF(_xlfn.IFNA(VLOOKUP(B97&amp;C97,SUPORTE!AA:AA,1,0),"NÃO INICIADO")="NÃO INICIADO",IF(B97&amp;C97=$J$9&amp;$I$12,"EM PROCESSO","NÃO INICIADO"),VLOOKUP(B97&amp;C97,SUPORTE!AA:AF,6,0)),"")</f>
        <v/>
      </c>
      <c r="I97" s="44"/>
      <c r="J97" s="32"/>
      <c r="K97" s="33"/>
      <c r="L97" s="34"/>
      <c r="M97" s="35"/>
      <c r="N97" s="36"/>
      <c r="O97" s="36" t="str">
        <f>IF(K97&lt;&gt;"",COUNTIFS(SUPORTE!$Q$5:$Q$2900,MENU!$M97,SUPORTE!$R$5:$R$2900,MENU!$I$9),"")</f>
        <v/>
      </c>
      <c r="P97" s="36" t="str">
        <f t="shared" si="6"/>
        <v/>
      </c>
      <c r="Q97" s="36" t="str">
        <f t="shared" si="7"/>
        <v/>
      </c>
    </row>
    <row r="98" spans="4:17" ht="15.9" x14ac:dyDescent="0.45">
      <c r="D98" s="15" t="str">
        <f>IF(B98&lt;&gt;"",IF(_xlfn.IFNA(VLOOKUP(B98&amp;C98,SUPORTE!AA:AA,1,0),"NÃO INICIADO")="NÃO INICIADO",IF(B98&amp;C98=$J$9&amp;$I$12,"EM PROCESSO","NÃO INICIADO"),VLOOKUP(B98&amp;C98,SUPORTE!AA:AF,6,0)),"")</f>
        <v/>
      </c>
      <c r="I98" s="44"/>
      <c r="J98" s="32"/>
      <c r="K98" s="33"/>
      <c r="L98" s="34"/>
      <c r="M98" s="35"/>
      <c r="N98" s="36"/>
      <c r="O98" s="36" t="str">
        <f>IF(K98&lt;&gt;"",COUNTIFS(SUPORTE!$Q$5:$Q$2900,MENU!$M98,SUPORTE!$R$5:$R$2900,MENU!$I$9),"")</f>
        <v/>
      </c>
      <c r="P98" s="36" t="str">
        <f t="shared" si="6"/>
        <v/>
      </c>
      <c r="Q98" s="36" t="str">
        <f t="shared" si="7"/>
        <v/>
      </c>
    </row>
    <row r="99" spans="4:17" ht="15.9" x14ac:dyDescent="0.45">
      <c r="D99" s="15" t="str">
        <f>IF(B99&lt;&gt;"",IF(_xlfn.IFNA(VLOOKUP(B99&amp;C99,SUPORTE!AA:AA,1,0),"NÃO INICIADO")="NÃO INICIADO",IF(B99&amp;C99=$J$9&amp;$I$12,"EM PROCESSO","NÃO INICIADO"),VLOOKUP(B99&amp;C99,SUPORTE!AA:AF,6,0)),"")</f>
        <v/>
      </c>
      <c r="I99" s="44"/>
      <c r="J99" s="32"/>
      <c r="K99" s="33"/>
      <c r="L99" s="34"/>
      <c r="M99" s="35"/>
      <c r="N99" s="36"/>
      <c r="O99" s="36" t="str">
        <f>IF(K99&lt;&gt;"",COUNTIFS(SUPORTE!$Q$5:$Q$2900,MENU!$M99,SUPORTE!$R$5:$R$2900,MENU!$I$9),"")</f>
        <v/>
      </c>
      <c r="P99" s="36" t="str">
        <f t="shared" si="6"/>
        <v/>
      </c>
      <c r="Q99" s="36" t="str">
        <f t="shared" si="7"/>
        <v/>
      </c>
    </row>
    <row r="100" spans="4:17" ht="15.9" x14ac:dyDescent="0.45">
      <c r="D100" s="15" t="str">
        <f>IF(B100&lt;&gt;"",IF(_xlfn.IFNA(VLOOKUP(B100&amp;C100,SUPORTE!AA:AA,1,0),"NÃO INICIADO")="NÃO INICIADO",IF(B100&amp;C100=$J$9&amp;$I$12,"EM PROCESSO","NÃO INICIADO"),VLOOKUP(B100&amp;C100,SUPORTE!AA:AF,6,0)),"")</f>
        <v/>
      </c>
      <c r="I100" s="44"/>
      <c r="J100" s="32"/>
      <c r="K100" s="33"/>
      <c r="L100" s="34"/>
      <c r="M100" s="35"/>
      <c r="N100" s="36"/>
      <c r="O100" s="36" t="str">
        <f>IF(K100&lt;&gt;"",COUNTIFS(SUPORTE!$Q$5:$Q$2900,MENU!$M100,SUPORTE!$R$5:$R$2900,MENU!$I$9),"")</f>
        <v/>
      </c>
      <c r="P100" s="36" t="str">
        <f t="shared" si="6"/>
        <v/>
      </c>
      <c r="Q100" s="36" t="str">
        <f t="shared" si="7"/>
        <v/>
      </c>
    </row>
    <row r="101" spans="4:17" ht="15.9" x14ac:dyDescent="0.45">
      <c r="D101" s="15" t="str">
        <f>IF(B101&lt;&gt;"",IF(_xlfn.IFNA(VLOOKUP(B101&amp;C101,SUPORTE!AA:AA,1,0),"NÃO INICIADO")="NÃO INICIADO",IF(B101&amp;C101=$J$9&amp;$I$12,"EM PROCESSO","NÃO INICIADO"),VLOOKUP(B101&amp;C101,SUPORTE!AA:AF,6,0)),"")</f>
        <v/>
      </c>
      <c r="I101" s="44"/>
      <c r="J101" s="32"/>
      <c r="K101" s="33"/>
      <c r="L101" s="34"/>
      <c r="M101" s="35"/>
      <c r="N101" s="36"/>
      <c r="O101" s="36" t="str">
        <f>IF(K101&lt;&gt;"",COUNTIFS(SUPORTE!$Q$5:$Q$2900,MENU!$M101,SUPORTE!$R$5:$R$2900,MENU!$I$9),"")</f>
        <v/>
      </c>
      <c r="P101" s="36" t="str">
        <f t="shared" si="6"/>
        <v/>
      </c>
      <c r="Q101" s="36" t="str">
        <f t="shared" si="7"/>
        <v/>
      </c>
    </row>
    <row r="102" spans="4:17" ht="15.9" x14ac:dyDescent="0.45">
      <c r="D102" s="15" t="str">
        <f>IF(B102&lt;&gt;"",IF(_xlfn.IFNA(VLOOKUP(B102&amp;C102,SUPORTE!AA:AA,1,0),"NÃO INICIADO")="NÃO INICIADO",IF(B102&amp;C102=$J$9&amp;$I$12,"EM PROCESSO","NÃO INICIADO"),VLOOKUP(B102&amp;C102,SUPORTE!AA:AF,6,0)),"")</f>
        <v/>
      </c>
      <c r="I102" s="44"/>
      <c r="J102" s="32"/>
      <c r="K102" s="33"/>
      <c r="L102" s="34"/>
      <c r="M102" s="35"/>
      <c r="N102" s="36"/>
      <c r="O102" s="36" t="str">
        <f>IF(K102&lt;&gt;"",COUNTIFS(SUPORTE!$Q$5:$Q$2900,MENU!$M102,SUPORTE!$R$5:$R$2900,MENU!$I$9),"")</f>
        <v/>
      </c>
      <c r="P102" s="36" t="str">
        <f t="shared" si="6"/>
        <v/>
      </c>
      <c r="Q102" s="36" t="str">
        <f t="shared" si="7"/>
        <v/>
      </c>
    </row>
    <row r="103" spans="4:17" ht="15.9" x14ac:dyDescent="0.45">
      <c r="D103" s="15" t="str">
        <f>IF(B103&lt;&gt;"",IF(_xlfn.IFNA(VLOOKUP(B103&amp;C103,SUPORTE!AA:AA,1,0),"NÃO INICIADO")="NÃO INICIADO",IF(B103&amp;C103=$J$9&amp;$I$12,"EM PROCESSO","NÃO INICIADO"),VLOOKUP(B103&amp;C103,SUPORTE!AA:AF,6,0)),"")</f>
        <v/>
      </c>
      <c r="I103" s="44"/>
      <c r="J103" s="32"/>
      <c r="K103" s="33"/>
      <c r="L103" s="34"/>
      <c r="M103" s="35"/>
      <c r="N103" s="36"/>
      <c r="O103" s="36" t="str">
        <f>IF(K103&lt;&gt;"",COUNTIFS(SUPORTE!$Q$5:$Q$2900,MENU!$M103,SUPORTE!$R$5:$R$2900,MENU!$I$9),"")</f>
        <v/>
      </c>
      <c r="P103" s="36" t="str">
        <f t="shared" si="6"/>
        <v/>
      </c>
      <c r="Q103" s="36" t="str">
        <f t="shared" si="7"/>
        <v/>
      </c>
    </row>
    <row r="104" spans="4:17" ht="15.9" x14ac:dyDescent="0.45">
      <c r="D104" s="15" t="str">
        <f>IF(B104&lt;&gt;"",IF(_xlfn.IFNA(VLOOKUP(B104&amp;C104,SUPORTE!AA:AA,1,0),"NÃO INICIADO")="NÃO INICIADO",IF(B104&amp;C104=$J$9&amp;$I$12,"EM PROCESSO","NÃO INICIADO"),VLOOKUP(B104&amp;C104,SUPORTE!AA:AF,6,0)),"")</f>
        <v/>
      </c>
      <c r="I104" s="44"/>
      <c r="J104" s="32"/>
      <c r="K104" s="33"/>
      <c r="L104" s="34"/>
      <c r="M104" s="35"/>
      <c r="N104" s="36"/>
      <c r="O104" s="36" t="str">
        <f>IF(K104&lt;&gt;"",COUNTIFS(SUPORTE!$Q$5:$Q$2900,MENU!$M104,SUPORTE!$R$5:$R$2900,MENU!$I$9),"")</f>
        <v/>
      </c>
      <c r="P104" s="36" t="str">
        <f t="shared" si="6"/>
        <v/>
      </c>
      <c r="Q104" s="36" t="str">
        <f t="shared" si="7"/>
        <v/>
      </c>
    </row>
    <row r="105" spans="4:17" ht="15.9" x14ac:dyDescent="0.45">
      <c r="D105" s="15" t="str">
        <f>IF(B105&lt;&gt;"",IF(_xlfn.IFNA(VLOOKUP(B105&amp;C105,SUPORTE!AA:AA,1,0),"NÃO INICIADO")="NÃO INICIADO",IF(B105&amp;C105=$J$9&amp;$I$12,"EM PROCESSO","NÃO INICIADO"),VLOOKUP(B105&amp;C105,SUPORTE!AA:AF,6,0)),"")</f>
        <v/>
      </c>
      <c r="I105" s="44"/>
      <c r="J105" s="32"/>
      <c r="K105" s="33"/>
      <c r="L105" s="34"/>
      <c r="M105" s="35"/>
      <c r="N105" s="36"/>
      <c r="O105" s="36" t="str">
        <f>IF(K105&lt;&gt;"",COUNTIFS(SUPORTE!$Q$5:$Q$2900,MENU!$M105,SUPORTE!$R$5:$R$2900,MENU!$I$9),"")</f>
        <v/>
      </c>
      <c r="P105" s="36" t="str">
        <f t="shared" si="6"/>
        <v/>
      </c>
      <c r="Q105" s="36" t="str">
        <f t="shared" si="7"/>
        <v/>
      </c>
    </row>
    <row r="106" spans="4:17" ht="15.9" x14ac:dyDescent="0.45">
      <c r="D106" s="15" t="str">
        <f>IF(B106&lt;&gt;"",IF(_xlfn.IFNA(VLOOKUP(B106&amp;C106,SUPORTE!AA:AA,1,0),"NÃO INICIADO")="NÃO INICIADO",IF(B106&amp;C106=$J$9&amp;$I$12,"EM PROCESSO","NÃO INICIADO"),VLOOKUP(B106&amp;C106,SUPORTE!AA:AF,6,0)),"")</f>
        <v/>
      </c>
      <c r="I106" s="44"/>
      <c r="J106" s="32"/>
      <c r="K106" s="33"/>
      <c r="L106" s="34"/>
      <c r="M106" s="35"/>
      <c r="N106" s="36"/>
      <c r="O106" s="36" t="str">
        <f>IF(K106&lt;&gt;"",COUNTIFS(SUPORTE!$Q$5:$Q$2900,MENU!$M106,SUPORTE!$R$5:$R$2900,MENU!$I$9),"")</f>
        <v/>
      </c>
      <c r="P106" s="36" t="str">
        <f t="shared" ref="P106:P169" si="8">IF(L106&lt;&gt;"",IF(Q106&lt;&gt;0,"AT","OK"),"")</f>
        <v/>
      </c>
      <c r="Q106" s="36" t="str">
        <f t="shared" ref="Q106:Q169" si="9">IF(L106&lt;&gt;"",N106-O106,"")</f>
        <v/>
      </c>
    </row>
    <row r="107" spans="4:17" ht="15.9" x14ac:dyDescent="0.45">
      <c r="D107" s="15" t="str">
        <f>IF(B107&lt;&gt;"",IF(_xlfn.IFNA(VLOOKUP(B107&amp;C107,SUPORTE!AA:AA,1,0),"NÃO INICIADO")="NÃO INICIADO",IF(B107&amp;C107=$J$9&amp;$I$12,"EM PROCESSO","NÃO INICIADO"),VLOOKUP(B107&amp;C107,SUPORTE!AA:AF,6,0)),"")</f>
        <v/>
      </c>
      <c r="I107" s="44"/>
      <c r="J107" s="32"/>
      <c r="K107" s="33"/>
      <c r="L107" s="34"/>
      <c r="M107" s="35"/>
      <c r="N107" s="36"/>
      <c r="O107" s="36" t="str">
        <f>IF(K107&lt;&gt;"",COUNTIFS(SUPORTE!$Q$5:$Q$2900,MENU!$M107,SUPORTE!$R$5:$R$2900,MENU!$I$9),"")</f>
        <v/>
      </c>
      <c r="P107" s="36" t="str">
        <f t="shared" si="8"/>
        <v/>
      </c>
      <c r="Q107" s="36" t="str">
        <f t="shared" si="9"/>
        <v/>
      </c>
    </row>
    <row r="108" spans="4:17" ht="15.9" x14ac:dyDescent="0.45">
      <c r="D108" s="15" t="str">
        <f>IF(B108&lt;&gt;"",IF(_xlfn.IFNA(VLOOKUP(B108&amp;C108,SUPORTE!AA:AA,1,0),"NÃO INICIADO")="NÃO INICIADO",IF(B108&amp;C108=$J$9&amp;$I$12,"EM PROCESSO","NÃO INICIADO"),VLOOKUP(B108&amp;C108,SUPORTE!AA:AF,6,0)),"")</f>
        <v/>
      </c>
      <c r="I108" s="44"/>
      <c r="J108" s="32"/>
      <c r="K108" s="33"/>
      <c r="L108" s="34"/>
      <c r="M108" s="35"/>
      <c r="N108" s="36"/>
      <c r="O108" s="36" t="str">
        <f>IF(K108&lt;&gt;"",COUNTIFS(SUPORTE!$Q$5:$Q$2900,MENU!$M108,SUPORTE!$R$5:$R$2900,MENU!$I$9),"")</f>
        <v/>
      </c>
      <c r="P108" s="36" t="str">
        <f t="shared" si="8"/>
        <v/>
      </c>
      <c r="Q108" s="36" t="str">
        <f t="shared" si="9"/>
        <v/>
      </c>
    </row>
    <row r="109" spans="4:17" ht="15.9" x14ac:dyDescent="0.45">
      <c r="D109" s="15" t="str">
        <f>IF(B109&lt;&gt;"",IF(_xlfn.IFNA(VLOOKUP(B109&amp;C109,SUPORTE!AA:AA,1,0),"NÃO INICIADO")="NÃO INICIADO",IF(B109&amp;C109=$J$9&amp;$I$12,"EM PROCESSO","NÃO INICIADO"),VLOOKUP(B109&amp;C109,SUPORTE!AA:AF,6,0)),"")</f>
        <v/>
      </c>
      <c r="I109" s="44"/>
      <c r="J109" s="32"/>
      <c r="K109" s="33"/>
      <c r="L109" s="34"/>
      <c r="M109" s="35"/>
      <c r="N109" s="36"/>
      <c r="O109" s="36" t="str">
        <f>IF(K109&lt;&gt;"",COUNTIFS(SUPORTE!$Q$5:$Q$2900,MENU!$M109,SUPORTE!$R$5:$R$2900,MENU!$I$9),"")</f>
        <v/>
      </c>
      <c r="P109" s="36" t="str">
        <f t="shared" si="8"/>
        <v/>
      </c>
      <c r="Q109" s="36" t="str">
        <f t="shared" si="9"/>
        <v/>
      </c>
    </row>
    <row r="110" spans="4:17" ht="15.9" x14ac:dyDescent="0.45">
      <c r="D110" s="15" t="str">
        <f>IF(B110&lt;&gt;"",IF(_xlfn.IFNA(VLOOKUP(B110&amp;C110,SUPORTE!AA:AA,1,0),"NÃO INICIADO")="NÃO INICIADO",IF(B110&amp;C110=$J$9&amp;$I$12,"EM PROCESSO","NÃO INICIADO"),VLOOKUP(B110&amp;C110,SUPORTE!AA:AF,6,0)),"")</f>
        <v/>
      </c>
      <c r="I110" s="44"/>
      <c r="J110" s="32"/>
      <c r="K110" s="33"/>
      <c r="L110" s="34"/>
      <c r="M110" s="35"/>
      <c r="N110" s="36"/>
      <c r="O110" s="36" t="str">
        <f>IF(K110&lt;&gt;"",COUNTIFS(SUPORTE!$Q$5:$Q$2900,MENU!$M110,SUPORTE!$R$5:$R$2900,MENU!$I$9),"")</f>
        <v/>
      </c>
      <c r="P110" s="36" t="str">
        <f t="shared" si="8"/>
        <v/>
      </c>
      <c r="Q110" s="36" t="str">
        <f t="shared" si="9"/>
        <v/>
      </c>
    </row>
    <row r="111" spans="4:17" ht="15.9" x14ac:dyDescent="0.45">
      <c r="D111" s="15" t="str">
        <f>IF(B111&lt;&gt;"",IF(_xlfn.IFNA(VLOOKUP(B111&amp;C111,SUPORTE!AA:AA,1,0),"NÃO INICIADO")="NÃO INICIADO",IF(B111&amp;C111=$J$9&amp;$I$12,"EM PROCESSO","NÃO INICIADO"),VLOOKUP(B111&amp;C111,SUPORTE!AA:AF,6,0)),"")</f>
        <v/>
      </c>
      <c r="I111" s="44"/>
      <c r="J111" s="32"/>
      <c r="K111" s="33"/>
      <c r="L111" s="34"/>
      <c r="M111" s="35"/>
      <c r="N111" s="36"/>
      <c r="O111" s="36" t="str">
        <f>IF(K111&lt;&gt;"",COUNTIFS(SUPORTE!$Q$5:$Q$2900,MENU!$M111,SUPORTE!$R$5:$R$2900,MENU!$I$9),"")</f>
        <v/>
      </c>
      <c r="P111" s="36" t="str">
        <f t="shared" si="8"/>
        <v/>
      </c>
      <c r="Q111" s="36" t="str">
        <f t="shared" si="9"/>
        <v/>
      </c>
    </row>
    <row r="112" spans="4:17" ht="15.9" x14ac:dyDescent="0.45">
      <c r="D112" s="15" t="str">
        <f>IF(B112&lt;&gt;"",IF(_xlfn.IFNA(VLOOKUP(B112&amp;C112,SUPORTE!AA:AA,1,0),"NÃO INICIADO")="NÃO INICIADO",IF(B112&amp;C112=$J$9&amp;$I$12,"EM PROCESSO","NÃO INICIADO"),VLOOKUP(B112&amp;C112,SUPORTE!AA:AF,6,0)),"")</f>
        <v/>
      </c>
      <c r="I112" s="44"/>
      <c r="J112" s="32"/>
      <c r="K112" s="33"/>
      <c r="L112" s="34"/>
      <c r="M112" s="35"/>
      <c r="N112" s="36"/>
      <c r="O112" s="36" t="str">
        <f>IF(K112&lt;&gt;"",COUNTIFS(SUPORTE!$Q$5:$Q$2900,MENU!$M112,SUPORTE!$R$5:$R$2900,MENU!$I$9),"")</f>
        <v/>
      </c>
      <c r="P112" s="36" t="str">
        <f t="shared" si="8"/>
        <v/>
      </c>
      <c r="Q112" s="36" t="str">
        <f t="shared" si="9"/>
        <v/>
      </c>
    </row>
    <row r="113" spans="4:17" ht="15.9" x14ac:dyDescent="0.45">
      <c r="D113" s="15" t="str">
        <f>IF(B113&lt;&gt;"",IF(_xlfn.IFNA(VLOOKUP(B113&amp;C113,SUPORTE!AA:AA,1,0),"NÃO INICIADO")="NÃO INICIADO",IF(B113&amp;C113=$J$9&amp;$I$12,"EM PROCESSO","NÃO INICIADO"),VLOOKUP(B113&amp;C113,SUPORTE!AA:AF,6,0)),"")</f>
        <v/>
      </c>
      <c r="I113" s="44"/>
      <c r="J113" s="32"/>
      <c r="K113" s="33"/>
      <c r="L113" s="34"/>
      <c r="M113" s="35"/>
      <c r="N113" s="36"/>
      <c r="O113" s="36" t="str">
        <f>IF(K113&lt;&gt;"",COUNTIFS(SUPORTE!$Q$5:$Q$2900,MENU!$M113,SUPORTE!$R$5:$R$2900,MENU!$I$9),"")</f>
        <v/>
      </c>
      <c r="P113" s="36" t="str">
        <f t="shared" si="8"/>
        <v/>
      </c>
      <c r="Q113" s="36" t="str">
        <f t="shared" si="9"/>
        <v/>
      </c>
    </row>
    <row r="114" spans="4:17" ht="15.9" x14ac:dyDescent="0.45">
      <c r="D114" s="15" t="str">
        <f>IF(B114&lt;&gt;"",IF(_xlfn.IFNA(VLOOKUP(B114&amp;C114,SUPORTE!AA:AA,1,0),"NÃO INICIADO")="NÃO INICIADO",IF(B114&amp;C114=$J$9&amp;$I$12,"EM PROCESSO","NÃO INICIADO"),VLOOKUP(B114&amp;C114,SUPORTE!AA:AF,6,0)),"")</f>
        <v/>
      </c>
      <c r="I114" s="44"/>
      <c r="J114" s="32"/>
      <c r="K114" s="33"/>
      <c r="L114" s="34"/>
      <c r="M114" s="35"/>
      <c r="N114" s="36"/>
      <c r="O114" s="36" t="str">
        <f>IF(K114&lt;&gt;"",COUNTIFS(SUPORTE!$Q$5:$Q$2900,MENU!$M114,SUPORTE!$R$5:$R$2900,MENU!$I$9),"")</f>
        <v/>
      </c>
      <c r="P114" s="36" t="str">
        <f t="shared" si="8"/>
        <v/>
      </c>
      <c r="Q114" s="36" t="str">
        <f t="shared" si="9"/>
        <v/>
      </c>
    </row>
    <row r="115" spans="4:17" ht="15.9" x14ac:dyDescent="0.45">
      <c r="D115" s="15" t="str">
        <f>IF(B115&lt;&gt;"",IF(_xlfn.IFNA(VLOOKUP(B115&amp;C115,SUPORTE!AA:AA,1,0),"NÃO INICIADO")="NÃO INICIADO",IF(B115&amp;C115=$J$9&amp;$I$12,"EM PROCESSO","NÃO INICIADO"),VLOOKUP(B115&amp;C115,SUPORTE!AA:AF,6,0)),"")</f>
        <v/>
      </c>
      <c r="I115" s="44"/>
      <c r="J115" s="32"/>
      <c r="K115" s="33"/>
      <c r="L115" s="34"/>
      <c r="M115" s="35"/>
      <c r="N115" s="36"/>
      <c r="O115" s="36" t="str">
        <f>IF(K115&lt;&gt;"",COUNTIFS(SUPORTE!$Q$5:$Q$2900,MENU!$M115,SUPORTE!$R$5:$R$2900,MENU!$I$9),"")</f>
        <v/>
      </c>
      <c r="P115" s="36" t="str">
        <f t="shared" si="8"/>
        <v/>
      </c>
      <c r="Q115" s="36" t="str">
        <f t="shared" si="9"/>
        <v/>
      </c>
    </row>
    <row r="116" spans="4:17" ht="15.9" x14ac:dyDescent="0.45">
      <c r="D116" s="15" t="str">
        <f>IF(B116&lt;&gt;"",IF(_xlfn.IFNA(VLOOKUP(B116&amp;C116,SUPORTE!AA:AA,1,0),"NÃO INICIADO")="NÃO INICIADO",IF(B116&amp;C116=$J$9&amp;$I$12,"EM PROCESSO","NÃO INICIADO"),VLOOKUP(B116&amp;C116,SUPORTE!AA:AF,6,0)),"")</f>
        <v/>
      </c>
      <c r="I116" s="44"/>
      <c r="J116" s="32"/>
      <c r="K116" s="33"/>
      <c r="L116" s="34"/>
      <c r="M116" s="35"/>
      <c r="N116" s="36"/>
      <c r="O116" s="36" t="str">
        <f>IF(K116&lt;&gt;"",COUNTIFS(SUPORTE!$Q$5:$Q$2900,MENU!$M116,SUPORTE!$R$5:$R$2900,MENU!$I$9),"")</f>
        <v/>
      </c>
      <c r="P116" s="36" t="str">
        <f t="shared" si="8"/>
        <v/>
      </c>
      <c r="Q116" s="36" t="str">
        <f t="shared" si="9"/>
        <v/>
      </c>
    </row>
    <row r="117" spans="4:17" ht="15.9" x14ac:dyDescent="0.45">
      <c r="D117" s="15" t="str">
        <f>IF(B117&lt;&gt;"",IF(_xlfn.IFNA(VLOOKUP(B117&amp;C117,SUPORTE!AA:AA,1,0),"NÃO INICIADO")="NÃO INICIADO",IF(B117&amp;C117=$J$9&amp;$I$12,"EM PROCESSO","NÃO INICIADO"),VLOOKUP(B117&amp;C117,SUPORTE!AA:AF,6,0)),"")</f>
        <v/>
      </c>
      <c r="I117" s="44"/>
      <c r="J117" s="32"/>
      <c r="K117" s="33"/>
      <c r="L117" s="34"/>
      <c r="M117" s="35"/>
      <c r="N117" s="36"/>
      <c r="O117" s="36" t="str">
        <f>IF(K117&lt;&gt;"",COUNTIFS(SUPORTE!$Q$5:$Q$2900,MENU!$M117,SUPORTE!$R$5:$R$2900,MENU!$I$9),"")</f>
        <v/>
      </c>
      <c r="P117" s="36" t="str">
        <f t="shared" si="8"/>
        <v/>
      </c>
      <c r="Q117" s="36" t="str">
        <f t="shared" si="9"/>
        <v/>
      </c>
    </row>
    <row r="118" spans="4:17" ht="15.9" x14ac:dyDescent="0.45">
      <c r="D118" s="15" t="str">
        <f>IF(B118&lt;&gt;"",IF(_xlfn.IFNA(VLOOKUP(B118&amp;C118,SUPORTE!AA:AA,1,0),"NÃO INICIADO")="NÃO INICIADO",IF(B118&amp;C118=$J$9&amp;$I$12,"EM PROCESSO","NÃO INICIADO"),VLOOKUP(B118&amp;C118,SUPORTE!AA:AF,6,0)),"")</f>
        <v/>
      </c>
      <c r="I118" s="44"/>
      <c r="J118" s="32"/>
      <c r="K118" s="33"/>
      <c r="L118" s="34"/>
      <c r="M118" s="35"/>
      <c r="N118" s="36"/>
      <c r="O118" s="36" t="str">
        <f>IF(K118&lt;&gt;"",COUNTIFS(SUPORTE!$Q$5:$Q$2900,MENU!$M118,SUPORTE!$R$5:$R$2900,MENU!$I$9),"")</f>
        <v/>
      </c>
      <c r="P118" s="36" t="str">
        <f t="shared" si="8"/>
        <v/>
      </c>
      <c r="Q118" s="36" t="str">
        <f t="shared" si="9"/>
        <v/>
      </c>
    </row>
    <row r="119" spans="4:17" ht="15.9" x14ac:dyDescent="0.45">
      <c r="D119" s="15" t="str">
        <f>IF(B119&lt;&gt;"",IF(_xlfn.IFNA(VLOOKUP(B119&amp;C119,SUPORTE!AA:AA,1,0),"NÃO INICIADO")="NÃO INICIADO",IF(B119&amp;C119=$J$9&amp;$I$12,"EM PROCESSO","NÃO INICIADO"),VLOOKUP(B119&amp;C119,SUPORTE!AA:AF,6,0)),"")</f>
        <v/>
      </c>
      <c r="I119" s="44"/>
      <c r="J119" s="32"/>
      <c r="K119" s="33"/>
      <c r="L119" s="34"/>
      <c r="M119" s="35"/>
      <c r="N119" s="36"/>
      <c r="O119" s="36" t="str">
        <f>IF(K119&lt;&gt;"",COUNTIFS(SUPORTE!$Q$5:$Q$2900,MENU!$M119,SUPORTE!$R$5:$R$2900,MENU!$I$9),"")</f>
        <v/>
      </c>
      <c r="P119" s="36" t="str">
        <f t="shared" si="8"/>
        <v/>
      </c>
      <c r="Q119" s="36" t="str">
        <f t="shared" si="9"/>
        <v/>
      </c>
    </row>
    <row r="120" spans="4:17" ht="15.9" x14ac:dyDescent="0.45">
      <c r="D120" s="15" t="str">
        <f>IF(B120&lt;&gt;"",IF(_xlfn.IFNA(VLOOKUP(B120&amp;C120,SUPORTE!AA:AA,1,0),"NÃO INICIADO")="NÃO INICIADO",IF(B120&amp;C120=$J$9&amp;$I$12,"EM PROCESSO","NÃO INICIADO"),VLOOKUP(B120&amp;C120,SUPORTE!AA:AF,6,0)),"")</f>
        <v/>
      </c>
      <c r="I120" s="44"/>
      <c r="J120" s="32"/>
      <c r="K120" s="33"/>
      <c r="L120" s="34"/>
      <c r="M120" s="35"/>
      <c r="N120" s="36"/>
      <c r="O120" s="36" t="str">
        <f>IF(K120&lt;&gt;"",COUNTIFS(SUPORTE!$Q$5:$Q$2900,MENU!$M120,SUPORTE!$R$5:$R$2900,MENU!$I$9),"")</f>
        <v/>
      </c>
      <c r="P120" s="36" t="str">
        <f t="shared" si="8"/>
        <v/>
      </c>
      <c r="Q120" s="36" t="str">
        <f t="shared" si="9"/>
        <v/>
      </c>
    </row>
    <row r="121" spans="4:17" ht="15.9" x14ac:dyDescent="0.45">
      <c r="D121" s="15" t="str">
        <f>IF(B121&lt;&gt;"",IF(_xlfn.IFNA(VLOOKUP(B121&amp;C121,SUPORTE!AA:AA,1,0),"NÃO INICIADO")="NÃO INICIADO",IF(B121&amp;C121=$J$9&amp;$I$12,"EM PROCESSO","NÃO INICIADO"),VLOOKUP(B121&amp;C121,SUPORTE!AA:AF,6,0)),"")</f>
        <v/>
      </c>
      <c r="I121" s="44"/>
      <c r="J121" s="32"/>
      <c r="K121" s="33"/>
      <c r="L121" s="34"/>
      <c r="M121" s="35"/>
      <c r="N121" s="36"/>
      <c r="O121" s="36" t="str">
        <f>IF(K121&lt;&gt;"",COUNTIFS(SUPORTE!$Q$5:$Q$2900,MENU!$M121,SUPORTE!$R$5:$R$2900,MENU!$I$9),"")</f>
        <v/>
      </c>
      <c r="P121" s="36" t="str">
        <f t="shared" si="8"/>
        <v/>
      </c>
      <c r="Q121" s="36" t="str">
        <f t="shared" si="9"/>
        <v/>
      </c>
    </row>
    <row r="122" spans="4:17" ht="15.9" x14ac:dyDescent="0.45">
      <c r="D122" s="15" t="str">
        <f>IF(B122&lt;&gt;"",IF(_xlfn.IFNA(VLOOKUP(B122&amp;C122,SUPORTE!AA:AA,1,0),"NÃO INICIADO")="NÃO INICIADO",IF(B122&amp;C122=$J$9&amp;$I$12,"EM PROCESSO","NÃO INICIADO"),VLOOKUP(B122&amp;C122,SUPORTE!AA:AF,6,0)),"")</f>
        <v/>
      </c>
      <c r="I122" s="44"/>
      <c r="J122" s="32"/>
      <c r="K122" s="33"/>
      <c r="L122" s="34"/>
      <c r="M122" s="35"/>
      <c r="N122" s="36"/>
      <c r="O122" s="36" t="str">
        <f>IF(K122&lt;&gt;"",COUNTIFS(SUPORTE!$Q$5:$Q$2900,MENU!$M122,SUPORTE!$R$5:$R$2900,MENU!$I$9),"")</f>
        <v/>
      </c>
      <c r="P122" s="36" t="str">
        <f t="shared" si="8"/>
        <v/>
      </c>
      <c r="Q122" s="36" t="str">
        <f t="shared" si="9"/>
        <v/>
      </c>
    </row>
    <row r="123" spans="4:17" ht="15.9" x14ac:dyDescent="0.45">
      <c r="D123" s="15" t="str">
        <f>IF(B123&lt;&gt;"",IF(_xlfn.IFNA(VLOOKUP(B123&amp;C123,SUPORTE!AA:AA,1,0),"NÃO INICIADO")="NÃO INICIADO",IF(B123&amp;C123=$J$9&amp;$I$12,"EM PROCESSO","NÃO INICIADO"),VLOOKUP(B123&amp;C123,SUPORTE!AA:AF,6,0)),"")</f>
        <v/>
      </c>
      <c r="I123" s="44"/>
      <c r="J123" s="32"/>
      <c r="K123" s="33"/>
      <c r="L123" s="34"/>
      <c r="M123" s="35"/>
      <c r="N123" s="36"/>
      <c r="O123" s="36" t="str">
        <f>IF(K123&lt;&gt;"",COUNTIFS(SUPORTE!$Q$5:$Q$2900,MENU!$M123,SUPORTE!$R$5:$R$2900,MENU!$I$9),"")</f>
        <v/>
      </c>
      <c r="P123" s="36" t="str">
        <f t="shared" si="8"/>
        <v/>
      </c>
      <c r="Q123" s="36" t="str">
        <f t="shared" si="9"/>
        <v/>
      </c>
    </row>
    <row r="124" spans="4:17" ht="15.9" x14ac:dyDescent="0.45">
      <c r="D124" s="15" t="str">
        <f>IF(B124&lt;&gt;"",IF(_xlfn.IFNA(VLOOKUP(B124&amp;C124,SUPORTE!AA:AA,1,0),"NÃO INICIADO")="NÃO INICIADO",IF(B124&amp;C124=$J$9&amp;$I$12,"EM PROCESSO","NÃO INICIADO"),VLOOKUP(B124&amp;C124,SUPORTE!AA:AF,6,0)),"")</f>
        <v/>
      </c>
      <c r="I124" s="44"/>
      <c r="J124" s="32"/>
      <c r="K124" s="33"/>
      <c r="L124" s="34"/>
      <c r="M124" s="35"/>
      <c r="N124" s="36"/>
      <c r="O124" s="36" t="str">
        <f>IF(K124&lt;&gt;"",COUNTIFS(SUPORTE!$Q$5:$Q$2900,MENU!$M124,SUPORTE!$R$5:$R$2900,MENU!$I$9),"")</f>
        <v/>
      </c>
      <c r="P124" s="36" t="str">
        <f t="shared" si="8"/>
        <v/>
      </c>
      <c r="Q124" s="36" t="str">
        <f t="shared" si="9"/>
        <v/>
      </c>
    </row>
    <row r="125" spans="4:17" ht="15.9" x14ac:dyDescent="0.45">
      <c r="D125" s="15" t="str">
        <f>IF(B125&lt;&gt;"",IF(_xlfn.IFNA(VLOOKUP(B125&amp;C125,SUPORTE!AA:AA,1,0),"NÃO INICIADO")="NÃO INICIADO",IF(B125&amp;C125=$J$9&amp;$I$12,"EM PROCESSO","NÃO INICIADO"),VLOOKUP(B125&amp;C125,SUPORTE!AA:AF,6,0)),"")</f>
        <v/>
      </c>
      <c r="I125" s="44"/>
      <c r="J125" s="32"/>
      <c r="K125" s="33"/>
      <c r="L125" s="34"/>
      <c r="M125" s="35"/>
      <c r="N125" s="36"/>
      <c r="O125" s="36" t="str">
        <f>IF(K125&lt;&gt;"",COUNTIFS(SUPORTE!$Q$5:$Q$2900,MENU!$M125,SUPORTE!$R$5:$R$2900,MENU!$I$9),"")</f>
        <v/>
      </c>
      <c r="P125" s="36" t="str">
        <f t="shared" si="8"/>
        <v/>
      </c>
      <c r="Q125" s="36" t="str">
        <f t="shared" si="9"/>
        <v/>
      </c>
    </row>
    <row r="126" spans="4:17" ht="15.9" x14ac:dyDescent="0.45">
      <c r="D126" s="15" t="str">
        <f>IF(B126&lt;&gt;"",IF(_xlfn.IFNA(VLOOKUP(B126&amp;C126,SUPORTE!AA:AA,1,0),"NÃO INICIADO")="NÃO INICIADO",IF(B126&amp;C126=$J$9&amp;$I$12,"EM PROCESSO","NÃO INICIADO"),VLOOKUP(B126&amp;C126,SUPORTE!AA:AF,6,0)),"")</f>
        <v/>
      </c>
      <c r="I126" s="44"/>
      <c r="J126" s="32"/>
      <c r="K126" s="33"/>
      <c r="L126" s="34"/>
      <c r="M126" s="35"/>
      <c r="N126" s="36"/>
      <c r="O126" s="36" t="str">
        <f>IF(K126&lt;&gt;"",COUNTIFS(SUPORTE!$Q$5:$Q$2900,MENU!$M126,SUPORTE!$R$5:$R$2900,MENU!$I$9),"")</f>
        <v/>
      </c>
      <c r="P126" s="36" t="str">
        <f t="shared" si="8"/>
        <v/>
      </c>
      <c r="Q126" s="36" t="str">
        <f t="shared" si="9"/>
        <v/>
      </c>
    </row>
    <row r="127" spans="4:17" ht="15.9" x14ac:dyDescent="0.45">
      <c r="D127" s="15" t="str">
        <f>IF(B127&lt;&gt;"",IF(_xlfn.IFNA(VLOOKUP(B127&amp;C127,SUPORTE!AA:AA,1,0),"NÃO INICIADO")="NÃO INICIADO",IF(B127&amp;C127=$J$9&amp;$I$12,"EM PROCESSO","NÃO INICIADO"),VLOOKUP(B127&amp;C127,SUPORTE!AA:AF,6,0)),"")</f>
        <v/>
      </c>
      <c r="I127" s="44"/>
      <c r="J127" s="32"/>
      <c r="K127" s="33"/>
      <c r="L127" s="34"/>
      <c r="M127" s="35"/>
      <c r="N127" s="36"/>
      <c r="O127" s="36" t="str">
        <f>IF(K127&lt;&gt;"",COUNTIFS(SUPORTE!$Q$5:$Q$2900,MENU!$M127,SUPORTE!$R$5:$R$2900,MENU!$I$9),"")</f>
        <v/>
      </c>
      <c r="P127" s="36" t="str">
        <f t="shared" si="8"/>
        <v/>
      </c>
      <c r="Q127" s="36" t="str">
        <f t="shared" si="9"/>
        <v/>
      </c>
    </row>
    <row r="128" spans="4:17" ht="15.9" x14ac:dyDescent="0.45">
      <c r="D128" s="15" t="str">
        <f>IF(B128&lt;&gt;"",IF(_xlfn.IFNA(VLOOKUP(B128&amp;C128,SUPORTE!AA:AA,1,0),"NÃO INICIADO")="NÃO INICIADO",IF(B128&amp;C128=$J$9&amp;$I$12,"EM PROCESSO","NÃO INICIADO"),VLOOKUP(B128&amp;C128,SUPORTE!AA:AF,6,0)),"")</f>
        <v/>
      </c>
      <c r="I128" s="44"/>
      <c r="J128" s="32"/>
      <c r="K128" s="33"/>
      <c r="L128" s="34"/>
      <c r="M128" s="35"/>
      <c r="N128" s="36"/>
      <c r="O128" s="36" t="str">
        <f>IF(K128&lt;&gt;"",COUNTIFS(SUPORTE!$Q$5:$Q$2900,MENU!$M128,SUPORTE!$R$5:$R$2900,MENU!$I$9),"")</f>
        <v/>
      </c>
      <c r="P128" s="36" t="str">
        <f t="shared" si="8"/>
        <v/>
      </c>
      <c r="Q128" s="36" t="str">
        <f t="shared" si="9"/>
        <v/>
      </c>
    </row>
    <row r="129" spans="4:17" ht="15.9" x14ac:dyDescent="0.45">
      <c r="D129" s="15" t="str">
        <f>IF(B129&lt;&gt;"",IF(_xlfn.IFNA(VLOOKUP(B129&amp;C129,SUPORTE!AA:AA,1,0),"NÃO INICIADO")="NÃO INICIADO",IF(B129&amp;C129=$J$9&amp;$I$12,"EM PROCESSO","NÃO INICIADO"),VLOOKUP(B129&amp;C129,SUPORTE!AA:AF,6,0)),"")</f>
        <v/>
      </c>
      <c r="I129" s="44"/>
      <c r="J129" s="32"/>
      <c r="K129" s="33"/>
      <c r="L129" s="34"/>
      <c r="M129" s="35"/>
      <c r="N129" s="36"/>
      <c r="O129" s="36" t="str">
        <f>IF(K129&lt;&gt;"",COUNTIFS(SUPORTE!$Q$5:$Q$2900,MENU!$M129,SUPORTE!$R$5:$R$2900,MENU!$I$9),"")</f>
        <v/>
      </c>
      <c r="P129" s="36" t="str">
        <f t="shared" si="8"/>
        <v/>
      </c>
      <c r="Q129" s="36" t="str">
        <f t="shared" si="9"/>
        <v/>
      </c>
    </row>
    <row r="130" spans="4:17" ht="15.9" x14ac:dyDescent="0.45">
      <c r="D130" s="15" t="str">
        <f>IF(B130&lt;&gt;"",IF(_xlfn.IFNA(VLOOKUP(B130&amp;C130,SUPORTE!AA:AA,1,0),"NÃO INICIADO")="NÃO INICIADO",IF(B130&amp;C130=$J$9&amp;$I$12,"EM PROCESSO","NÃO INICIADO"),VLOOKUP(B130&amp;C130,SUPORTE!AA:AF,6,0)),"")</f>
        <v/>
      </c>
      <c r="I130" s="44"/>
      <c r="J130" s="32"/>
      <c r="K130" s="33"/>
      <c r="L130" s="34"/>
      <c r="M130" s="35"/>
      <c r="N130" s="36"/>
      <c r="O130" s="36" t="str">
        <f>IF(K130&lt;&gt;"",COUNTIFS(SUPORTE!$Q$5:$Q$2900,MENU!$M130,SUPORTE!$R$5:$R$2900,MENU!$I$9),"")</f>
        <v/>
      </c>
      <c r="P130" s="36" t="str">
        <f t="shared" si="8"/>
        <v/>
      </c>
      <c r="Q130" s="36" t="str">
        <f t="shared" si="9"/>
        <v/>
      </c>
    </row>
    <row r="131" spans="4:17" ht="15.9" x14ac:dyDescent="0.45">
      <c r="D131" s="15" t="str">
        <f>IF(B131&lt;&gt;"",IF(_xlfn.IFNA(VLOOKUP(B131&amp;C131,SUPORTE!AA:AA,1,0),"NÃO INICIADO")="NÃO INICIADO",IF(B131&amp;C131=$J$9&amp;$I$12,"EM PROCESSO","NÃO INICIADO"),VLOOKUP(B131&amp;C131,SUPORTE!AA:AF,6,0)),"")</f>
        <v/>
      </c>
      <c r="I131" s="44"/>
      <c r="J131" s="32"/>
      <c r="K131" s="33"/>
      <c r="L131" s="34"/>
      <c r="M131" s="35"/>
      <c r="N131" s="36"/>
      <c r="O131" s="36" t="str">
        <f>IF(K131&lt;&gt;"",COUNTIFS(SUPORTE!$Q$5:$Q$2900,MENU!$M131,SUPORTE!$R$5:$R$2900,MENU!$I$9),"")</f>
        <v/>
      </c>
      <c r="P131" s="36" t="str">
        <f t="shared" si="8"/>
        <v/>
      </c>
      <c r="Q131" s="36" t="str">
        <f t="shared" si="9"/>
        <v/>
      </c>
    </row>
    <row r="132" spans="4:17" ht="15.9" x14ac:dyDescent="0.45">
      <c r="D132" s="15" t="str">
        <f>IF(B132&lt;&gt;"",IF(_xlfn.IFNA(VLOOKUP(B132&amp;C132,SUPORTE!AA:AA,1,0),"NÃO INICIADO")="NÃO INICIADO",IF(B132&amp;C132=$J$9&amp;$I$12,"EM PROCESSO","NÃO INICIADO"),VLOOKUP(B132&amp;C132,SUPORTE!AA:AF,6,0)),"")</f>
        <v/>
      </c>
      <c r="I132" s="44"/>
      <c r="J132" s="32"/>
      <c r="K132" s="33"/>
      <c r="L132" s="34"/>
      <c r="M132" s="35"/>
      <c r="N132" s="36"/>
      <c r="O132" s="36" t="str">
        <f>IF(K132&lt;&gt;"",COUNTIFS(SUPORTE!$Q$5:$Q$2900,MENU!$M132,SUPORTE!$R$5:$R$2900,MENU!$I$9),"")</f>
        <v/>
      </c>
      <c r="P132" s="36" t="str">
        <f t="shared" si="8"/>
        <v/>
      </c>
      <c r="Q132" s="36" t="str">
        <f t="shared" si="9"/>
        <v/>
      </c>
    </row>
    <row r="133" spans="4:17" ht="15.9" x14ac:dyDescent="0.45">
      <c r="D133" s="15" t="str">
        <f>IF(B133&lt;&gt;"",IF(_xlfn.IFNA(VLOOKUP(B133&amp;C133,SUPORTE!AA:AA,1,0),"NÃO INICIADO")="NÃO INICIADO",IF(B133&amp;C133=$J$9&amp;$I$12,"EM PROCESSO","NÃO INICIADO"),VLOOKUP(B133&amp;C133,SUPORTE!AA:AF,6,0)),"")</f>
        <v/>
      </c>
      <c r="I133" s="44"/>
      <c r="J133" s="32"/>
      <c r="K133" s="33"/>
      <c r="L133" s="34"/>
      <c r="M133" s="35"/>
      <c r="N133" s="36"/>
      <c r="O133" s="36" t="str">
        <f>IF(K133&lt;&gt;"",COUNTIFS(SUPORTE!$Q$5:$Q$2900,MENU!$M133,SUPORTE!$R$5:$R$2900,MENU!$I$9),"")</f>
        <v/>
      </c>
      <c r="P133" s="36" t="str">
        <f t="shared" si="8"/>
        <v/>
      </c>
      <c r="Q133" s="36" t="str">
        <f t="shared" si="9"/>
        <v/>
      </c>
    </row>
    <row r="134" spans="4:17" ht="15.9" x14ac:dyDescent="0.45">
      <c r="D134" s="15" t="str">
        <f>IF(B134&lt;&gt;"",IF(_xlfn.IFNA(VLOOKUP(B134&amp;C134,SUPORTE!AA:AA,1,0),"NÃO INICIADO")="NÃO INICIADO",IF(B134&amp;C134=$J$9&amp;$I$12,"EM PROCESSO","NÃO INICIADO"),VLOOKUP(B134&amp;C134,SUPORTE!AA:AF,6,0)),"")</f>
        <v/>
      </c>
      <c r="I134" s="44"/>
      <c r="J134" s="32"/>
      <c r="K134" s="33"/>
      <c r="L134" s="34"/>
      <c r="M134" s="35"/>
      <c r="N134" s="36"/>
      <c r="O134" s="36" t="str">
        <f>IF(K134&lt;&gt;"",COUNTIFS(SUPORTE!$Q$5:$Q$2900,MENU!$M134,SUPORTE!$R$5:$R$2900,MENU!$I$9),"")</f>
        <v/>
      </c>
      <c r="P134" s="36" t="str">
        <f t="shared" si="8"/>
        <v/>
      </c>
      <c r="Q134" s="36" t="str">
        <f t="shared" si="9"/>
        <v/>
      </c>
    </row>
    <row r="135" spans="4:17" ht="15.9" x14ac:dyDescent="0.45">
      <c r="D135" s="15" t="str">
        <f>IF(B135&lt;&gt;"",IF(_xlfn.IFNA(VLOOKUP(B135&amp;C135,SUPORTE!AA:AA,1,0),"NÃO INICIADO")="NÃO INICIADO",IF(B135&amp;C135=$J$9&amp;$I$12,"EM PROCESSO","NÃO INICIADO"),VLOOKUP(B135&amp;C135,SUPORTE!AA:AF,6,0)),"")</f>
        <v/>
      </c>
      <c r="I135" s="44"/>
      <c r="J135" s="32"/>
      <c r="K135" s="33"/>
      <c r="L135" s="34"/>
      <c r="M135" s="35"/>
      <c r="N135" s="36"/>
      <c r="O135" s="36" t="str">
        <f>IF(K135&lt;&gt;"",COUNTIFS(SUPORTE!$Q$5:$Q$2900,MENU!$M135,SUPORTE!$R$5:$R$2900,MENU!$I$9),"")</f>
        <v/>
      </c>
      <c r="P135" s="36" t="str">
        <f t="shared" si="8"/>
        <v/>
      </c>
      <c r="Q135" s="36" t="str">
        <f t="shared" si="9"/>
        <v/>
      </c>
    </row>
    <row r="136" spans="4:17" ht="15.9" x14ac:dyDescent="0.45">
      <c r="D136" s="15" t="str">
        <f>IF(B136&lt;&gt;"",IF(_xlfn.IFNA(VLOOKUP(B136&amp;C136,SUPORTE!AA:AA,1,0),"NÃO INICIADO")="NÃO INICIADO",IF(B136&amp;C136=$J$9&amp;$I$12,"EM PROCESSO","NÃO INICIADO"),VLOOKUP(B136&amp;C136,SUPORTE!AA:AF,6,0)),"")</f>
        <v/>
      </c>
      <c r="I136" s="44"/>
      <c r="J136" s="32"/>
      <c r="K136" s="33"/>
      <c r="L136" s="34"/>
      <c r="M136" s="35"/>
      <c r="N136" s="36"/>
      <c r="O136" s="36" t="str">
        <f>IF(K136&lt;&gt;"",COUNTIFS(SUPORTE!$Q$5:$Q$2900,MENU!$M136,SUPORTE!$R$5:$R$2900,MENU!$I$9),"")</f>
        <v/>
      </c>
      <c r="P136" s="36" t="str">
        <f t="shared" si="8"/>
        <v/>
      </c>
      <c r="Q136" s="36" t="str">
        <f t="shared" si="9"/>
        <v/>
      </c>
    </row>
    <row r="137" spans="4:17" ht="15.9" x14ac:dyDescent="0.45">
      <c r="D137" s="15" t="str">
        <f>IF(B137&lt;&gt;"",IF(_xlfn.IFNA(VLOOKUP(B137&amp;C137,SUPORTE!AA:AA,1,0),"NÃO INICIADO")="NÃO INICIADO",IF(B137&amp;C137=$J$9&amp;$I$12,"EM PROCESSO","NÃO INICIADO"),VLOOKUP(B137&amp;C137,SUPORTE!AA:AF,6,0)),"")</f>
        <v/>
      </c>
      <c r="I137" s="44"/>
      <c r="J137" s="32"/>
      <c r="K137" s="33"/>
      <c r="L137" s="34"/>
      <c r="M137" s="35"/>
      <c r="N137" s="36"/>
      <c r="O137" s="36" t="str">
        <f>IF(K137&lt;&gt;"",COUNTIFS(SUPORTE!$Q$5:$Q$2900,MENU!$M137,SUPORTE!$R$5:$R$2900,MENU!$I$9),"")</f>
        <v/>
      </c>
      <c r="P137" s="36" t="str">
        <f t="shared" si="8"/>
        <v/>
      </c>
      <c r="Q137" s="36" t="str">
        <f t="shared" si="9"/>
        <v/>
      </c>
    </row>
    <row r="138" spans="4:17" ht="15.9" x14ac:dyDescent="0.45">
      <c r="D138" s="15" t="str">
        <f>IF(B138&lt;&gt;"",IF(_xlfn.IFNA(VLOOKUP(B138&amp;C138,SUPORTE!AA:AA,1,0),"NÃO INICIADO")="NÃO INICIADO",IF(B138&amp;C138=$J$9&amp;$I$12,"EM PROCESSO","NÃO INICIADO"),VLOOKUP(B138&amp;C138,SUPORTE!AA:AF,6,0)),"")</f>
        <v/>
      </c>
      <c r="I138" s="44"/>
      <c r="J138" s="32"/>
      <c r="K138" s="33"/>
      <c r="L138" s="34"/>
      <c r="M138" s="35"/>
      <c r="N138" s="36"/>
      <c r="O138" s="36" t="str">
        <f>IF(K138&lt;&gt;"",COUNTIFS(SUPORTE!$Q$5:$Q$2900,MENU!$M138,SUPORTE!$R$5:$R$2900,MENU!$I$9),"")</f>
        <v/>
      </c>
      <c r="P138" s="36" t="str">
        <f t="shared" si="8"/>
        <v/>
      </c>
      <c r="Q138" s="36" t="str">
        <f t="shared" si="9"/>
        <v/>
      </c>
    </row>
    <row r="139" spans="4:17" ht="15.9" x14ac:dyDescent="0.45">
      <c r="D139" s="15" t="str">
        <f>IF(B139&lt;&gt;"",IF(_xlfn.IFNA(VLOOKUP(B139&amp;C139,SUPORTE!AA:AA,1,0),"NÃO INICIADO")="NÃO INICIADO",IF(B139&amp;C139=$J$9&amp;$I$12,"EM PROCESSO","NÃO INICIADO"),VLOOKUP(B139&amp;C139,SUPORTE!AA:AF,6,0)),"")</f>
        <v/>
      </c>
      <c r="I139" s="44"/>
      <c r="J139" s="32"/>
      <c r="K139" s="33"/>
      <c r="L139" s="34"/>
      <c r="M139" s="35"/>
      <c r="N139" s="36"/>
      <c r="O139" s="36" t="str">
        <f>IF(K139&lt;&gt;"",COUNTIFS(SUPORTE!$Q$5:$Q$2900,MENU!$M139,SUPORTE!$R$5:$R$2900,MENU!$I$9),"")</f>
        <v/>
      </c>
      <c r="P139" s="36" t="str">
        <f t="shared" si="8"/>
        <v/>
      </c>
      <c r="Q139" s="36" t="str">
        <f t="shared" si="9"/>
        <v/>
      </c>
    </row>
    <row r="140" spans="4:17" ht="15.9" x14ac:dyDescent="0.45">
      <c r="D140" s="15" t="str">
        <f>IF(B140&lt;&gt;"",IF(_xlfn.IFNA(VLOOKUP(B140&amp;C140,SUPORTE!AA:AA,1,0),"NÃO INICIADO")="NÃO INICIADO",IF(B140&amp;C140=$J$9&amp;$I$12,"EM PROCESSO","NÃO INICIADO"),VLOOKUP(B140&amp;C140,SUPORTE!AA:AF,6,0)),"")</f>
        <v/>
      </c>
      <c r="I140" s="44"/>
      <c r="J140" s="32"/>
      <c r="K140" s="33"/>
      <c r="L140" s="34"/>
      <c r="M140" s="35"/>
      <c r="N140" s="36"/>
      <c r="O140" s="36" t="str">
        <f>IF(K140&lt;&gt;"",COUNTIFS(SUPORTE!$Q$5:$Q$2900,MENU!$M140,SUPORTE!$R$5:$R$2900,MENU!$I$9),"")</f>
        <v/>
      </c>
      <c r="P140" s="36" t="str">
        <f t="shared" si="8"/>
        <v/>
      </c>
      <c r="Q140" s="36" t="str">
        <f t="shared" si="9"/>
        <v/>
      </c>
    </row>
    <row r="141" spans="4:17" ht="15.9" x14ac:dyDescent="0.45">
      <c r="D141" s="15" t="str">
        <f>IF(B141&lt;&gt;"",IF(_xlfn.IFNA(VLOOKUP(B141&amp;C141,SUPORTE!AA:AA,1,0),"NÃO INICIADO")="NÃO INICIADO",IF(B141&amp;C141=$J$9&amp;$I$12,"EM PROCESSO","NÃO INICIADO"),VLOOKUP(B141&amp;C141,SUPORTE!AA:AF,6,0)),"")</f>
        <v/>
      </c>
      <c r="I141" s="44"/>
      <c r="J141" s="32"/>
      <c r="K141" s="33"/>
      <c r="L141" s="34"/>
      <c r="M141" s="35"/>
      <c r="N141" s="36"/>
      <c r="O141" s="36" t="str">
        <f>IF(K141&lt;&gt;"",COUNTIFS(SUPORTE!$Q$5:$Q$2900,MENU!$M141,SUPORTE!$R$5:$R$2900,MENU!$I$9),"")</f>
        <v/>
      </c>
      <c r="P141" s="36" t="str">
        <f t="shared" si="8"/>
        <v/>
      </c>
      <c r="Q141" s="36" t="str">
        <f t="shared" si="9"/>
        <v/>
      </c>
    </row>
    <row r="142" spans="4:17" ht="15.9" x14ac:dyDescent="0.45">
      <c r="D142" s="15" t="str">
        <f>IF(B142&lt;&gt;"",IF(_xlfn.IFNA(VLOOKUP(B142&amp;C142,SUPORTE!AA:AA,1,0),"NÃO INICIADO")="NÃO INICIADO",IF(B142&amp;C142=$J$9&amp;$I$12,"EM PROCESSO","NÃO INICIADO"),VLOOKUP(B142&amp;C142,SUPORTE!AA:AF,6,0)),"")</f>
        <v/>
      </c>
      <c r="I142" s="44"/>
      <c r="J142" s="32"/>
      <c r="K142" s="33"/>
      <c r="L142" s="34"/>
      <c r="M142" s="35"/>
      <c r="N142" s="36"/>
      <c r="O142" s="36" t="str">
        <f>IF(K142&lt;&gt;"",COUNTIFS(SUPORTE!$Q$5:$Q$2900,MENU!$M142,SUPORTE!$R$5:$R$2900,MENU!$I$9),"")</f>
        <v/>
      </c>
      <c r="P142" s="36" t="str">
        <f t="shared" si="8"/>
        <v/>
      </c>
      <c r="Q142" s="36" t="str">
        <f t="shared" si="9"/>
        <v/>
      </c>
    </row>
    <row r="143" spans="4:17" ht="15.9" x14ac:dyDescent="0.45">
      <c r="D143" s="15" t="str">
        <f>IF(B143&lt;&gt;"",IF(_xlfn.IFNA(VLOOKUP(B143&amp;C143,SUPORTE!AA:AA,1,0),"NÃO INICIADO")="NÃO INICIADO",IF(B143&amp;C143=$J$9&amp;$I$12,"EM PROCESSO","NÃO INICIADO"),VLOOKUP(B143&amp;C143,SUPORTE!AA:AF,6,0)),"")</f>
        <v/>
      </c>
      <c r="I143" s="44"/>
      <c r="J143" s="32"/>
      <c r="K143" s="33"/>
      <c r="L143" s="34"/>
      <c r="M143" s="35"/>
      <c r="N143" s="36"/>
      <c r="O143" s="36" t="str">
        <f>IF(K143&lt;&gt;"",COUNTIFS(SUPORTE!$Q$5:$Q$2900,MENU!$M143,SUPORTE!$R$5:$R$2900,MENU!$I$9),"")</f>
        <v/>
      </c>
      <c r="P143" s="36" t="str">
        <f t="shared" si="8"/>
        <v/>
      </c>
      <c r="Q143" s="36" t="str">
        <f t="shared" si="9"/>
        <v/>
      </c>
    </row>
    <row r="144" spans="4:17" ht="15.9" x14ac:dyDescent="0.45">
      <c r="D144" s="15" t="str">
        <f>IF(B144&lt;&gt;"",IF(_xlfn.IFNA(VLOOKUP(B144&amp;C144,SUPORTE!AA:AA,1,0),"NÃO INICIADO")="NÃO INICIADO",IF(B144&amp;C144=$J$9&amp;$I$12,"EM PROCESSO","NÃO INICIADO"),VLOOKUP(B144&amp;C144,SUPORTE!AA:AF,6,0)),"")</f>
        <v/>
      </c>
      <c r="I144" s="44"/>
      <c r="J144" s="32"/>
      <c r="K144" s="33"/>
      <c r="L144" s="34"/>
      <c r="M144" s="35"/>
      <c r="N144" s="36"/>
      <c r="O144" s="36" t="str">
        <f>IF(K144&lt;&gt;"",COUNTIFS(SUPORTE!$Q$5:$Q$2900,MENU!$M144,SUPORTE!$R$5:$R$2900,MENU!$I$9),"")</f>
        <v/>
      </c>
      <c r="P144" s="36" t="str">
        <f t="shared" si="8"/>
        <v/>
      </c>
      <c r="Q144" s="36" t="str">
        <f t="shared" si="9"/>
        <v/>
      </c>
    </row>
    <row r="145" spans="4:17" ht="15.9" x14ac:dyDescent="0.45">
      <c r="D145" s="15" t="str">
        <f>IF(B145&lt;&gt;"",IF(_xlfn.IFNA(VLOOKUP(B145&amp;C145,SUPORTE!AA:AA,1,0),"NÃO INICIADO")="NÃO INICIADO",IF(B145&amp;C145=$J$9&amp;$I$12,"EM PROCESSO","NÃO INICIADO"),VLOOKUP(B145&amp;C145,SUPORTE!AA:AF,6,0)),"")</f>
        <v/>
      </c>
      <c r="I145" s="44"/>
      <c r="J145" s="32"/>
      <c r="K145" s="33"/>
      <c r="L145" s="34"/>
      <c r="M145" s="35"/>
      <c r="N145" s="36"/>
      <c r="O145" s="36" t="str">
        <f>IF(K145&lt;&gt;"",COUNTIFS(SUPORTE!$Q$5:$Q$2900,MENU!$M145,SUPORTE!$R$5:$R$2900,MENU!$I$9),"")</f>
        <v/>
      </c>
      <c r="P145" s="36" t="str">
        <f t="shared" si="8"/>
        <v/>
      </c>
      <c r="Q145" s="36" t="str">
        <f t="shared" si="9"/>
        <v/>
      </c>
    </row>
    <row r="146" spans="4:17" ht="15.9" x14ac:dyDescent="0.45">
      <c r="D146" s="15" t="str">
        <f>IF(B146&lt;&gt;"",IF(_xlfn.IFNA(VLOOKUP(B146&amp;C146,SUPORTE!AA:AA,1,0),"NÃO INICIADO")="NÃO INICIADO",IF(B146&amp;C146=$J$9&amp;$I$12,"EM PROCESSO","NÃO INICIADO"),VLOOKUP(B146&amp;C146,SUPORTE!AA:AF,6,0)),"")</f>
        <v/>
      </c>
      <c r="I146" s="44"/>
      <c r="J146" s="32"/>
      <c r="K146" s="33"/>
      <c r="L146" s="34"/>
      <c r="M146" s="35"/>
      <c r="N146" s="36"/>
      <c r="O146" s="36" t="str">
        <f>IF(K146&lt;&gt;"",COUNTIFS(SUPORTE!$Q$5:$Q$2900,MENU!$M146,SUPORTE!$R$5:$R$2900,MENU!$I$9),"")</f>
        <v/>
      </c>
      <c r="P146" s="36" t="str">
        <f t="shared" si="8"/>
        <v/>
      </c>
      <c r="Q146" s="36" t="str">
        <f t="shared" si="9"/>
        <v/>
      </c>
    </row>
    <row r="147" spans="4:17" ht="15.9" x14ac:dyDescent="0.45">
      <c r="D147" s="15" t="str">
        <f>IF(B147&lt;&gt;"",IF(_xlfn.IFNA(VLOOKUP(B147&amp;C147,SUPORTE!AA:AA,1,0),"NÃO INICIADO")="NÃO INICIADO",IF(B147&amp;C147=$J$9&amp;$I$12,"EM PROCESSO","NÃO INICIADO"),VLOOKUP(B147&amp;C147,SUPORTE!AA:AF,6,0)),"")</f>
        <v/>
      </c>
      <c r="I147" s="44"/>
      <c r="J147" s="32"/>
      <c r="K147" s="33"/>
      <c r="L147" s="34"/>
      <c r="M147" s="35"/>
      <c r="N147" s="36"/>
      <c r="O147" s="36" t="str">
        <f>IF(K147&lt;&gt;"",COUNTIFS(SUPORTE!$Q$5:$Q$2900,MENU!$M147,SUPORTE!$R$5:$R$2900,MENU!$I$9),"")</f>
        <v/>
      </c>
      <c r="P147" s="36" t="str">
        <f t="shared" si="8"/>
        <v/>
      </c>
      <c r="Q147" s="36" t="str">
        <f t="shared" si="9"/>
        <v/>
      </c>
    </row>
    <row r="148" spans="4:17" ht="15.9" x14ac:dyDescent="0.45">
      <c r="D148" s="15" t="str">
        <f>IF(B148&lt;&gt;"",IF(_xlfn.IFNA(VLOOKUP(B148&amp;C148,SUPORTE!AA:AA,1,0),"NÃO INICIADO")="NÃO INICIADO",IF(B148&amp;C148=$J$9&amp;$I$12,"EM PROCESSO","NÃO INICIADO"),VLOOKUP(B148&amp;C148,SUPORTE!AA:AF,6,0)),"")</f>
        <v/>
      </c>
      <c r="I148" s="44"/>
      <c r="J148" s="32"/>
      <c r="K148" s="33"/>
      <c r="L148" s="34"/>
      <c r="M148" s="35"/>
      <c r="N148" s="36"/>
      <c r="O148" s="36" t="str">
        <f>IF(K148&lt;&gt;"",COUNTIFS(SUPORTE!$Q$5:$Q$2900,MENU!$M148,SUPORTE!$R$5:$R$2900,MENU!$I$9),"")</f>
        <v/>
      </c>
      <c r="P148" s="36" t="str">
        <f t="shared" si="8"/>
        <v/>
      </c>
      <c r="Q148" s="36" t="str">
        <f t="shared" si="9"/>
        <v/>
      </c>
    </row>
    <row r="149" spans="4:17" ht="15.9" x14ac:dyDescent="0.45">
      <c r="D149" s="15" t="str">
        <f>IF(B149&lt;&gt;"",IF(_xlfn.IFNA(VLOOKUP(B149&amp;C149,SUPORTE!AA:AA,1,0),"NÃO INICIADO")="NÃO INICIADO",IF(B149&amp;C149=$J$9&amp;$I$12,"EM PROCESSO","NÃO INICIADO"),VLOOKUP(B149&amp;C149,SUPORTE!AA:AF,6,0)),"")</f>
        <v/>
      </c>
      <c r="I149" s="44"/>
      <c r="J149" s="32"/>
      <c r="K149" s="33"/>
      <c r="L149" s="34"/>
      <c r="M149" s="35"/>
      <c r="N149" s="36"/>
      <c r="O149" s="36" t="str">
        <f>IF(K149&lt;&gt;"",COUNTIFS(SUPORTE!$Q$5:$Q$2900,MENU!$M149,SUPORTE!$R$5:$R$2900,MENU!$I$9),"")</f>
        <v/>
      </c>
      <c r="P149" s="36" t="str">
        <f t="shared" si="8"/>
        <v/>
      </c>
      <c r="Q149" s="36" t="str">
        <f t="shared" si="9"/>
        <v/>
      </c>
    </row>
    <row r="150" spans="4:17" ht="15.9" x14ac:dyDescent="0.45">
      <c r="D150" s="15" t="str">
        <f>IF(B150&lt;&gt;"",IF(_xlfn.IFNA(VLOOKUP(B150&amp;C150,SUPORTE!AA:AA,1,0),"NÃO INICIADO")="NÃO INICIADO",IF(B150&amp;C150=$J$9&amp;$I$12,"EM PROCESSO","NÃO INICIADO"),VLOOKUP(B150&amp;C150,SUPORTE!AA:AF,6,0)),"")</f>
        <v/>
      </c>
      <c r="I150" s="44"/>
      <c r="J150" s="32"/>
      <c r="K150" s="33"/>
      <c r="L150" s="34"/>
      <c r="M150" s="35"/>
      <c r="N150" s="36"/>
      <c r="O150" s="36" t="str">
        <f>IF(K150&lt;&gt;"",COUNTIFS(SUPORTE!$Q$5:$Q$2900,MENU!$M150,SUPORTE!$R$5:$R$2900,MENU!$I$9),"")</f>
        <v/>
      </c>
      <c r="P150" s="36" t="str">
        <f t="shared" si="8"/>
        <v/>
      </c>
      <c r="Q150" s="36" t="str">
        <f t="shared" si="9"/>
        <v/>
      </c>
    </row>
    <row r="151" spans="4:17" ht="15.9" x14ac:dyDescent="0.45">
      <c r="D151" s="15" t="str">
        <f>IF(B151&lt;&gt;"",IF(_xlfn.IFNA(VLOOKUP(B151&amp;C151,SUPORTE!AA:AA,1,0),"NÃO INICIADO")="NÃO INICIADO",IF(B151&amp;C151=$J$9&amp;$I$12,"EM PROCESSO","NÃO INICIADO"),VLOOKUP(B151&amp;C151,SUPORTE!AA:AF,6,0)),"")</f>
        <v/>
      </c>
      <c r="I151" s="44"/>
      <c r="J151" s="32"/>
      <c r="K151" s="33"/>
      <c r="L151" s="34"/>
      <c r="M151" s="35"/>
      <c r="N151" s="36"/>
      <c r="O151" s="36" t="str">
        <f>IF(K151&lt;&gt;"",COUNTIFS(SUPORTE!$Q$5:$Q$2900,MENU!$M151,SUPORTE!$R$5:$R$2900,MENU!$I$9),"")</f>
        <v/>
      </c>
      <c r="P151" s="36" t="str">
        <f t="shared" si="8"/>
        <v/>
      </c>
      <c r="Q151" s="36" t="str">
        <f t="shared" si="9"/>
        <v/>
      </c>
    </row>
    <row r="152" spans="4:17" ht="15.9" x14ac:dyDescent="0.45">
      <c r="D152" s="15" t="str">
        <f>IF(B152&lt;&gt;"",IF(_xlfn.IFNA(VLOOKUP(B152&amp;C152,SUPORTE!AA:AA,1,0),"NÃO INICIADO")="NÃO INICIADO",IF(B152&amp;C152=$J$9&amp;$I$12,"EM PROCESSO","NÃO INICIADO"),VLOOKUP(B152&amp;C152,SUPORTE!AA:AF,6,0)),"")</f>
        <v/>
      </c>
      <c r="I152" s="44"/>
      <c r="J152" s="32"/>
      <c r="K152" s="33"/>
      <c r="L152" s="34"/>
      <c r="M152" s="35"/>
      <c r="N152" s="36"/>
      <c r="O152" s="36" t="str">
        <f>IF(K152&lt;&gt;"",COUNTIFS(SUPORTE!$Q$5:$Q$2900,MENU!$M152,SUPORTE!$R$5:$R$2900,MENU!$I$9),"")</f>
        <v/>
      </c>
      <c r="P152" s="36" t="str">
        <f t="shared" si="8"/>
        <v/>
      </c>
      <c r="Q152" s="36" t="str">
        <f t="shared" si="9"/>
        <v/>
      </c>
    </row>
    <row r="153" spans="4:17" ht="15.9" x14ac:dyDescent="0.45">
      <c r="D153" s="15" t="str">
        <f>IF(B153&lt;&gt;"",IF(_xlfn.IFNA(VLOOKUP(B153&amp;C153,SUPORTE!AA:AA,1,0),"NÃO INICIADO")="NÃO INICIADO",IF(B153&amp;C153=$J$9&amp;$I$12,"EM PROCESSO","NÃO INICIADO"),VLOOKUP(B153&amp;C153,SUPORTE!AA:AF,6,0)),"")</f>
        <v/>
      </c>
      <c r="I153" s="44"/>
      <c r="J153" s="32"/>
      <c r="K153" s="33"/>
      <c r="L153" s="34"/>
      <c r="M153" s="35"/>
      <c r="N153" s="36"/>
      <c r="O153" s="36" t="str">
        <f>IF(K153&lt;&gt;"",COUNTIFS(SUPORTE!$Q$5:$Q$2900,MENU!$M153,SUPORTE!$R$5:$R$2900,MENU!$I$9),"")</f>
        <v/>
      </c>
      <c r="P153" s="36" t="str">
        <f t="shared" si="8"/>
        <v/>
      </c>
      <c r="Q153" s="36" t="str">
        <f t="shared" si="9"/>
        <v/>
      </c>
    </row>
    <row r="154" spans="4:17" ht="15.9" x14ac:dyDescent="0.45">
      <c r="D154" s="15" t="str">
        <f>IF(B154&lt;&gt;"",IF(_xlfn.IFNA(VLOOKUP(B154&amp;C154,SUPORTE!AA:AA,1,0),"NÃO INICIADO")="NÃO INICIADO",IF(B154&amp;C154=$J$9&amp;$I$12,"EM PROCESSO","NÃO INICIADO"),VLOOKUP(B154&amp;C154,SUPORTE!AA:AF,6,0)),"")</f>
        <v/>
      </c>
      <c r="I154" s="44"/>
      <c r="J154" s="32"/>
      <c r="K154" s="33"/>
      <c r="L154" s="34"/>
      <c r="M154" s="35"/>
      <c r="N154" s="36"/>
      <c r="O154" s="36" t="str">
        <f>IF(K154&lt;&gt;"",COUNTIFS(SUPORTE!$Q$5:$Q$2900,MENU!$M154,SUPORTE!$R$5:$R$2900,MENU!$I$9),"")</f>
        <v/>
      </c>
      <c r="P154" s="36" t="str">
        <f t="shared" si="8"/>
        <v/>
      </c>
      <c r="Q154" s="36" t="str">
        <f t="shared" si="9"/>
        <v/>
      </c>
    </row>
    <row r="155" spans="4:17" ht="15.9" x14ac:dyDescent="0.45">
      <c r="D155" s="15" t="str">
        <f>IF(B155&lt;&gt;"",IF(_xlfn.IFNA(VLOOKUP(B155&amp;C155,SUPORTE!AA:AA,1,0),"NÃO INICIADO")="NÃO INICIADO",IF(B155&amp;C155=$J$9&amp;$I$12,"EM PROCESSO","NÃO INICIADO"),VLOOKUP(B155&amp;C155,SUPORTE!AA:AF,6,0)),"")</f>
        <v/>
      </c>
      <c r="I155" s="44"/>
      <c r="J155" s="32"/>
      <c r="K155" s="33"/>
      <c r="L155" s="34"/>
      <c r="M155" s="35"/>
      <c r="N155" s="36"/>
      <c r="O155" s="36" t="str">
        <f>IF(K155&lt;&gt;"",COUNTIFS(SUPORTE!$Q$5:$Q$2900,MENU!$M155,SUPORTE!$R$5:$R$2900,MENU!$I$9),"")</f>
        <v/>
      </c>
      <c r="P155" s="36" t="str">
        <f t="shared" si="8"/>
        <v/>
      </c>
      <c r="Q155" s="36" t="str">
        <f t="shared" si="9"/>
        <v/>
      </c>
    </row>
    <row r="156" spans="4:17" ht="15.9" x14ac:dyDescent="0.45">
      <c r="D156" s="15" t="str">
        <f>IF(B156&lt;&gt;"",IF(_xlfn.IFNA(VLOOKUP(B156&amp;C156,SUPORTE!AA:AA,1,0),"NÃO INICIADO")="NÃO INICIADO",IF(B156&amp;C156=$J$9&amp;$I$12,"EM PROCESSO","NÃO INICIADO"),VLOOKUP(B156&amp;C156,SUPORTE!AA:AF,6,0)),"")</f>
        <v/>
      </c>
      <c r="I156" s="44"/>
      <c r="J156" s="32"/>
      <c r="K156" s="33"/>
      <c r="L156" s="34"/>
      <c r="M156" s="35"/>
      <c r="N156" s="36"/>
      <c r="O156" s="36" t="str">
        <f>IF(K156&lt;&gt;"",COUNTIFS(SUPORTE!$Q$5:$Q$2900,MENU!$M156,SUPORTE!$R$5:$R$2900,MENU!$I$9),"")</f>
        <v/>
      </c>
      <c r="P156" s="36" t="str">
        <f t="shared" si="8"/>
        <v/>
      </c>
      <c r="Q156" s="36" t="str">
        <f t="shared" si="9"/>
        <v/>
      </c>
    </row>
    <row r="157" spans="4:17" ht="15.9" x14ac:dyDescent="0.45">
      <c r="D157" s="15" t="str">
        <f>IF(B157&lt;&gt;"",IF(_xlfn.IFNA(VLOOKUP(B157&amp;C157,SUPORTE!AA:AA,1,0),"NÃO INICIADO")="NÃO INICIADO",IF(B157&amp;C157=$J$9&amp;$I$12,"EM PROCESSO","NÃO INICIADO"),VLOOKUP(B157&amp;C157,SUPORTE!AA:AF,6,0)),"")</f>
        <v/>
      </c>
      <c r="I157" s="44"/>
      <c r="J157" s="32"/>
      <c r="K157" s="33"/>
      <c r="L157" s="34"/>
      <c r="M157" s="35"/>
      <c r="N157" s="36"/>
      <c r="O157" s="36" t="str">
        <f>IF(K157&lt;&gt;"",COUNTIFS(SUPORTE!$Q$5:$Q$2900,MENU!$M157,SUPORTE!$R$5:$R$2900,MENU!$I$9),"")</f>
        <v/>
      </c>
      <c r="P157" s="36" t="str">
        <f t="shared" si="8"/>
        <v/>
      </c>
      <c r="Q157" s="36" t="str">
        <f t="shared" si="9"/>
        <v/>
      </c>
    </row>
    <row r="158" spans="4:17" ht="15.9" x14ac:dyDescent="0.45">
      <c r="D158" s="15" t="str">
        <f>IF(B158&lt;&gt;"",IF(_xlfn.IFNA(VLOOKUP(B158&amp;C158,SUPORTE!AA:AA,1,0),"NÃO INICIADO")="NÃO INICIADO",IF(B158&amp;C158=$J$9&amp;$I$12,"EM PROCESSO","NÃO INICIADO"),VLOOKUP(B158&amp;C158,SUPORTE!AA:AF,6,0)),"")</f>
        <v/>
      </c>
      <c r="I158" s="44"/>
      <c r="J158" s="32"/>
      <c r="K158" s="33"/>
      <c r="L158" s="34"/>
      <c r="M158" s="35"/>
      <c r="N158" s="36"/>
      <c r="O158" s="36" t="str">
        <f>IF(K158&lt;&gt;"",COUNTIFS(SUPORTE!$Q$5:$Q$2900,MENU!$M158,SUPORTE!$R$5:$R$2900,MENU!$I$9),"")</f>
        <v/>
      </c>
      <c r="P158" s="36" t="str">
        <f t="shared" si="8"/>
        <v/>
      </c>
      <c r="Q158" s="36" t="str">
        <f t="shared" si="9"/>
        <v/>
      </c>
    </row>
    <row r="159" spans="4:17" ht="15.9" x14ac:dyDescent="0.45">
      <c r="D159" s="15" t="str">
        <f>IF(B159&lt;&gt;"",IF(_xlfn.IFNA(VLOOKUP(B159&amp;C159,SUPORTE!AA:AA,1,0),"NÃO INICIADO")="NÃO INICIADO",IF(B159&amp;C159=$J$9&amp;$I$12,"EM PROCESSO","NÃO INICIADO"),VLOOKUP(B159&amp;C159,SUPORTE!AA:AF,6,0)),"")</f>
        <v/>
      </c>
      <c r="I159" s="44"/>
      <c r="J159" s="32"/>
      <c r="K159" s="33"/>
      <c r="L159" s="34"/>
      <c r="M159" s="35"/>
      <c r="N159" s="36"/>
      <c r="O159" s="36" t="str">
        <f>IF(K159&lt;&gt;"",COUNTIFS(SUPORTE!$Q$5:$Q$2900,MENU!$M159,SUPORTE!$R$5:$R$2900,MENU!$I$9),"")</f>
        <v/>
      </c>
      <c r="P159" s="36" t="str">
        <f t="shared" si="8"/>
        <v/>
      </c>
      <c r="Q159" s="36" t="str">
        <f t="shared" si="9"/>
        <v/>
      </c>
    </row>
    <row r="160" spans="4:17" ht="15.9" x14ac:dyDescent="0.45">
      <c r="D160" s="15" t="str">
        <f>IF(B160&lt;&gt;"",IF(_xlfn.IFNA(VLOOKUP(B160&amp;C160,SUPORTE!AA:AA,1,0),"NÃO INICIADO")="NÃO INICIADO",IF(B160&amp;C160=$J$9&amp;$I$12,"EM PROCESSO","NÃO INICIADO"),VLOOKUP(B160&amp;C160,SUPORTE!AA:AF,6,0)),"")</f>
        <v/>
      </c>
      <c r="I160" s="44"/>
      <c r="J160" s="32"/>
      <c r="K160" s="33"/>
      <c r="L160" s="34"/>
      <c r="M160" s="35"/>
      <c r="N160" s="36"/>
      <c r="O160" s="36" t="str">
        <f>IF(K160&lt;&gt;"",COUNTIFS(SUPORTE!$Q$5:$Q$2900,MENU!$M160,SUPORTE!$R$5:$R$2900,MENU!$I$9),"")</f>
        <v/>
      </c>
      <c r="P160" s="36" t="str">
        <f t="shared" si="8"/>
        <v/>
      </c>
      <c r="Q160" s="36" t="str">
        <f t="shared" si="9"/>
        <v/>
      </c>
    </row>
    <row r="161" spans="4:17" ht="15.9" x14ac:dyDescent="0.45">
      <c r="D161" s="15" t="str">
        <f>IF(B161&lt;&gt;"",IF(_xlfn.IFNA(VLOOKUP(B161&amp;C161,SUPORTE!AA:AA,1,0),"NÃO INICIADO")="NÃO INICIADO",IF(B161&amp;C161=$J$9&amp;$I$12,"EM PROCESSO","NÃO INICIADO"),VLOOKUP(B161&amp;C161,SUPORTE!AA:AF,6,0)),"")</f>
        <v/>
      </c>
      <c r="I161" s="44"/>
      <c r="J161" s="32"/>
      <c r="K161" s="33"/>
      <c r="L161" s="34"/>
      <c r="M161" s="35"/>
      <c r="N161" s="36"/>
      <c r="O161" s="36" t="str">
        <f>IF(K161&lt;&gt;"",COUNTIFS(SUPORTE!$Q$5:$Q$2900,MENU!$M161,SUPORTE!$R$5:$R$2900,MENU!$I$9),"")</f>
        <v/>
      </c>
      <c r="P161" s="36" t="str">
        <f t="shared" si="8"/>
        <v/>
      </c>
      <c r="Q161" s="36" t="str">
        <f t="shared" si="9"/>
        <v/>
      </c>
    </row>
    <row r="162" spans="4:17" ht="15.9" x14ac:dyDescent="0.45">
      <c r="D162" s="15" t="str">
        <f>IF(B162&lt;&gt;"",IF(_xlfn.IFNA(VLOOKUP(B162&amp;C162,SUPORTE!AA:AA,1,0),"NÃO INICIADO")="NÃO INICIADO",IF(B162&amp;C162=$J$9&amp;$I$12,"EM PROCESSO","NÃO INICIADO"),VLOOKUP(B162&amp;C162,SUPORTE!AA:AF,6,0)),"")</f>
        <v/>
      </c>
      <c r="I162" s="44"/>
      <c r="J162" s="32"/>
      <c r="K162" s="33"/>
      <c r="L162" s="34"/>
      <c r="M162" s="35"/>
      <c r="N162" s="36"/>
      <c r="O162" s="36" t="str">
        <f>IF(K162&lt;&gt;"",COUNTIFS(SUPORTE!$Q$5:$Q$2900,MENU!$M162,SUPORTE!$R$5:$R$2900,MENU!$I$9),"")</f>
        <v/>
      </c>
      <c r="P162" s="36" t="str">
        <f t="shared" si="8"/>
        <v/>
      </c>
      <c r="Q162" s="36" t="str">
        <f t="shared" si="9"/>
        <v/>
      </c>
    </row>
    <row r="163" spans="4:17" ht="15.9" x14ac:dyDescent="0.45">
      <c r="D163" s="15" t="str">
        <f>IF(B163&lt;&gt;"",IF(_xlfn.IFNA(VLOOKUP(B163&amp;C163,SUPORTE!AA:AA,1,0),"NÃO INICIADO")="NÃO INICIADO",IF(B163&amp;C163=$J$9&amp;$I$12,"EM PROCESSO","NÃO INICIADO"),VLOOKUP(B163&amp;C163,SUPORTE!AA:AF,6,0)),"")</f>
        <v/>
      </c>
      <c r="I163" s="44"/>
      <c r="J163" s="32"/>
      <c r="K163" s="33"/>
      <c r="L163" s="34"/>
      <c r="M163" s="35"/>
      <c r="N163" s="36"/>
      <c r="O163" s="36" t="str">
        <f>IF(K163&lt;&gt;"",COUNTIFS(SUPORTE!$Q$5:$Q$2900,MENU!$M163,SUPORTE!$R$5:$R$2900,MENU!$I$9),"")</f>
        <v/>
      </c>
      <c r="P163" s="36" t="str">
        <f t="shared" si="8"/>
        <v/>
      </c>
      <c r="Q163" s="36" t="str">
        <f t="shared" si="9"/>
        <v/>
      </c>
    </row>
    <row r="164" spans="4:17" ht="15.9" x14ac:dyDescent="0.45">
      <c r="D164" s="15" t="str">
        <f>IF(B164&lt;&gt;"",IF(_xlfn.IFNA(VLOOKUP(B164&amp;C164,SUPORTE!AA:AA,1,0),"NÃO INICIADO")="NÃO INICIADO",IF(B164&amp;C164=$J$9&amp;$I$12,"EM PROCESSO","NÃO INICIADO"),VLOOKUP(B164&amp;C164,SUPORTE!AA:AF,6,0)),"")</f>
        <v/>
      </c>
      <c r="I164" s="44"/>
      <c r="J164" s="32"/>
      <c r="K164" s="33"/>
      <c r="L164" s="34"/>
      <c r="M164" s="35"/>
      <c r="N164" s="36"/>
      <c r="O164" s="36" t="str">
        <f>IF(K164&lt;&gt;"",COUNTIFS(SUPORTE!$Q$5:$Q$2900,MENU!$M164,SUPORTE!$R$5:$R$2900,MENU!$I$9),"")</f>
        <v/>
      </c>
      <c r="P164" s="36" t="str">
        <f t="shared" si="8"/>
        <v/>
      </c>
      <c r="Q164" s="36" t="str">
        <f t="shared" si="9"/>
        <v/>
      </c>
    </row>
    <row r="165" spans="4:17" ht="15.9" x14ac:dyDescent="0.45">
      <c r="D165" s="15" t="str">
        <f>IF(B165&lt;&gt;"",IF(_xlfn.IFNA(VLOOKUP(B165&amp;C165,SUPORTE!AA:AA,1,0),"NÃO INICIADO")="NÃO INICIADO",IF(B165&amp;C165=$J$9&amp;$I$12,"EM PROCESSO","NÃO INICIADO"),VLOOKUP(B165&amp;C165,SUPORTE!AA:AF,6,0)),"")</f>
        <v/>
      </c>
      <c r="I165" s="44"/>
      <c r="J165" s="32"/>
      <c r="K165" s="33"/>
      <c r="L165" s="34"/>
      <c r="M165" s="35"/>
      <c r="N165" s="36"/>
      <c r="O165" s="36" t="str">
        <f>IF(K165&lt;&gt;"",COUNTIFS(SUPORTE!$Q$5:$Q$2900,MENU!$M165,SUPORTE!$R$5:$R$2900,MENU!$I$9),"")</f>
        <v/>
      </c>
      <c r="P165" s="36" t="str">
        <f t="shared" si="8"/>
        <v/>
      </c>
      <c r="Q165" s="36" t="str">
        <f t="shared" si="9"/>
        <v/>
      </c>
    </row>
    <row r="166" spans="4:17" ht="15.9" x14ac:dyDescent="0.45">
      <c r="D166" s="15" t="str">
        <f>IF(B166&lt;&gt;"",IF(_xlfn.IFNA(VLOOKUP(B166&amp;C166,SUPORTE!AA:AA,1,0),"NÃO INICIADO")="NÃO INICIADO",IF(B166&amp;C166=$J$9&amp;$I$12,"EM PROCESSO","NÃO INICIADO"),VLOOKUP(B166&amp;C166,SUPORTE!AA:AF,6,0)),"")</f>
        <v/>
      </c>
      <c r="I166" s="44"/>
      <c r="J166" s="32"/>
      <c r="K166" s="33"/>
      <c r="L166" s="34"/>
      <c r="M166" s="35"/>
      <c r="N166" s="36"/>
      <c r="O166" s="36" t="str">
        <f>IF(K166&lt;&gt;"",COUNTIFS(SUPORTE!$Q$5:$Q$2900,MENU!$M166,SUPORTE!$R$5:$R$2900,MENU!$I$9),"")</f>
        <v/>
      </c>
      <c r="P166" s="36" t="str">
        <f t="shared" si="8"/>
        <v/>
      </c>
      <c r="Q166" s="36" t="str">
        <f t="shared" si="9"/>
        <v/>
      </c>
    </row>
    <row r="167" spans="4:17" ht="15.9" x14ac:dyDescent="0.45">
      <c r="D167" s="15" t="str">
        <f>IF(B167&lt;&gt;"",IF(_xlfn.IFNA(VLOOKUP(B167&amp;C167,SUPORTE!AA:AA,1,0),"NÃO INICIADO")="NÃO INICIADO",IF(B167&amp;C167=$J$9&amp;$I$12,"EM PROCESSO","NÃO INICIADO"),VLOOKUP(B167&amp;C167,SUPORTE!AA:AF,6,0)),"")</f>
        <v/>
      </c>
      <c r="I167" s="44"/>
      <c r="J167" s="32"/>
      <c r="K167" s="33"/>
      <c r="L167" s="34"/>
      <c r="M167" s="35"/>
      <c r="N167" s="36"/>
      <c r="O167" s="36" t="str">
        <f>IF(K167&lt;&gt;"",COUNTIFS(SUPORTE!$Q$5:$Q$2900,MENU!$M167,SUPORTE!$R$5:$R$2900,MENU!$I$9),"")</f>
        <v/>
      </c>
      <c r="P167" s="36" t="str">
        <f t="shared" si="8"/>
        <v/>
      </c>
      <c r="Q167" s="36" t="str">
        <f t="shared" si="9"/>
        <v/>
      </c>
    </row>
    <row r="168" spans="4:17" ht="15.9" x14ac:dyDescent="0.45">
      <c r="D168" s="15" t="str">
        <f>IF(B168&lt;&gt;"",IF(_xlfn.IFNA(VLOOKUP(B168&amp;C168,SUPORTE!AA:AA,1,0),"NÃO INICIADO")="NÃO INICIADO",IF(B168&amp;C168=$J$9&amp;$I$12,"EM PROCESSO","NÃO INICIADO"),VLOOKUP(B168&amp;C168,SUPORTE!AA:AF,6,0)),"")</f>
        <v/>
      </c>
      <c r="I168" s="44"/>
      <c r="J168" s="32"/>
      <c r="K168" s="33"/>
      <c r="L168" s="34"/>
      <c r="M168" s="35"/>
      <c r="N168" s="36"/>
      <c r="O168" s="36" t="str">
        <f>IF(K168&lt;&gt;"",COUNTIFS(SUPORTE!$Q$5:$Q$2900,MENU!$M168,SUPORTE!$R$5:$R$2900,MENU!$I$9),"")</f>
        <v/>
      </c>
      <c r="P168" s="36" t="str">
        <f t="shared" si="8"/>
        <v/>
      </c>
      <c r="Q168" s="36" t="str">
        <f t="shared" si="9"/>
        <v/>
      </c>
    </row>
    <row r="169" spans="4:17" ht="15.9" x14ac:dyDescent="0.45">
      <c r="D169" s="15" t="str">
        <f>IF(B169&lt;&gt;"",IF(_xlfn.IFNA(VLOOKUP(B169&amp;C169,SUPORTE!AA:AA,1,0),"NÃO INICIADO")="NÃO INICIADO",IF(B169&amp;C169=$J$9&amp;$I$12,"EM PROCESSO","NÃO INICIADO"),VLOOKUP(B169&amp;C169,SUPORTE!AA:AF,6,0)),"")</f>
        <v/>
      </c>
      <c r="I169" s="44"/>
      <c r="J169" s="32"/>
      <c r="K169" s="33"/>
      <c r="L169" s="34"/>
      <c r="M169" s="35"/>
      <c r="N169" s="36"/>
      <c r="O169" s="36" t="str">
        <f>IF(K169&lt;&gt;"",COUNTIFS(SUPORTE!$Q$5:$Q$2900,MENU!$M169,SUPORTE!$R$5:$R$2900,MENU!$I$9),"")</f>
        <v/>
      </c>
      <c r="P169" s="36" t="str">
        <f t="shared" si="8"/>
        <v/>
      </c>
      <c r="Q169" s="36" t="str">
        <f t="shared" si="9"/>
        <v/>
      </c>
    </row>
    <row r="170" spans="4:17" ht="15.9" x14ac:dyDescent="0.45">
      <c r="D170" s="15" t="str">
        <f>IF(B170&lt;&gt;"",IF(_xlfn.IFNA(VLOOKUP(B170&amp;C170,SUPORTE!AA:AA,1,0),"NÃO INICIADO")="NÃO INICIADO",IF(B170&amp;C170=$J$9&amp;$I$12,"EM PROCESSO","NÃO INICIADO"),VLOOKUP(B170&amp;C170,SUPORTE!AA:AF,6,0)),"")</f>
        <v/>
      </c>
      <c r="I170" s="44"/>
      <c r="J170" s="32"/>
      <c r="K170" s="33"/>
      <c r="L170" s="34"/>
      <c r="M170" s="35"/>
      <c r="N170" s="36"/>
      <c r="O170" s="36" t="str">
        <f>IF(K170&lt;&gt;"",COUNTIFS(SUPORTE!$Q$5:$Q$2900,MENU!$M170,SUPORTE!$R$5:$R$2900,MENU!$I$9),"")</f>
        <v/>
      </c>
      <c r="P170" s="36" t="str">
        <f t="shared" ref="P170:P233" si="10">IF(L170&lt;&gt;"",IF(Q170&lt;&gt;0,"AT","OK"),"")</f>
        <v/>
      </c>
      <c r="Q170" s="36" t="str">
        <f t="shared" ref="Q170:Q233" si="11">IF(L170&lt;&gt;"",N170-O170,"")</f>
        <v/>
      </c>
    </row>
    <row r="171" spans="4:17" ht="15.9" x14ac:dyDescent="0.45">
      <c r="D171" s="15" t="str">
        <f>IF(B171&lt;&gt;"",IF(_xlfn.IFNA(VLOOKUP(B171&amp;C171,SUPORTE!AA:AA,1,0),"NÃO INICIADO")="NÃO INICIADO",IF(B171&amp;C171=$J$9&amp;$I$12,"EM PROCESSO","NÃO INICIADO"),VLOOKUP(B171&amp;C171,SUPORTE!AA:AF,6,0)),"")</f>
        <v/>
      </c>
      <c r="I171" s="44"/>
      <c r="J171" s="32"/>
      <c r="K171" s="33"/>
      <c r="L171" s="34"/>
      <c r="M171" s="35"/>
      <c r="N171" s="36"/>
      <c r="O171" s="36" t="str">
        <f>IF(K171&lt;&gt;"",COUNTIFS(SUPORTE!$Q$5:$Q$2900,MENU!$M171,SUPORTE!$R$5:$R$2900,MENU!$I$9),"")</f>
        <v/>
      </c>
      <c r="P171" s="36" t="str">
        <f t="shared" si="10"/>
        <v/>
      </c>
      <c r="Q171" s="36" t="str">
        <f t="shared" si="11"/>
        <v/>
      </c>
    </row>
    <row r="172" spans="4:17" ht="15.9" x14ac:dyDescent="0.45">
      <c r="D172" s="15" t="str">
        <f>IF(B172&lt;&gt;"",IF(_xlfn.IFNA(VLOOKUP(B172&amp;C172,SUPORTE!AA:AA,1,0),"NÃO INICIADO")="NÃO INICIADO",IF(B172&amp;C172=$J$9&amp;$I$12,"EM PROCESSO","NÃO INICIADO"),VLOOKUP(B172&amp;C172,SUPORTE!AA:AF,6,0)),"")</f>
        <v/>
      </c>
      <c r="I172" s="44"/>
      <c r="J172" s="32"/>
      <c r="K172" s="33"/>
      <c r="L172" s="34"/>
      <c r="M172" s="35"/>
      <c r="N172" s="36"/>
      <c r="O172" s="36" t="str">
        <f>IF(K172&lt;&gt;"",COUNTIFS(SUPORTE!$Q$5:$Q$2900,MENU!$M172,SUPORTE!$R$5:$R$2900,MENU!$I$9),"")</f>
        <v/>
      </c>
      <c r="P172" s="36" t="str">
        <f t="shared" si="10"/>
        <v/>
      </c>
      <c r="Q172" s="36" t="str">
        <f t="shared" si="11"/>
        <v/>
      </c>
    </row>
    <row r="173" spans="4:17" ht="15.9" x14ac:dyDescent="0.45">
      <c r="D173" s="15" t="str">
        <f>IF(B173&lt;&gt;"",IF(_xlfn.IFNA(VLOOKUP(B173&amp;C173,SUPORTE!AA:AA,1,0),"NÃO INICIADO")="NÃO INICIADO",IF(B173&amp;C173=$J$9&amp;$I$12,"EM PROCESSO","NÃO INICIADO"),VLOOKUP(B173&amp;C173,SUPORTE!AA:AF,6,0)),"")</f>
        <v/>
      </c>
      <c r="I173" s="44"/>
      <c r="J173" s="32"/>
      <c r="K173" s="33"/>
      <c r="L173" s="34"/>
      <c r="M173" s="35"/>
      <c r="N173" s="36"/>
      <c r="O173" s="36" t="str">
        <f>IF(K173&lt;&gt;"",COUNTIFS(SUPORTE!$Q$5:$Q$2900,MENU!$M173,SUPORTE!$R$5:$R$2900,MENU!$I$9),"")</f>
        <v/>
      </c>
      <c r="P173" s="36" t="str">
        <f t="shared" si="10"/>
        <v/>
      </c>
      <c r="Q173" s="36" t="str">
        <f t="shared" si="11"/>
        <v/>
      </c>
    </row>
    <row r="174" spans="4:17" ht="15.9" x14ac:dyDescent="0.45">
      <c r="D174" s="15" t="str">
        <f>IF(B174&lt;&gt;"",IF(_xlfn.IFNA(VLOOKUP(B174&amp;C174,SUPORTE!AA:AA,1,0),"NÃO INICIADO")="NÃO INICIADO",IF(B174&amp;C174=$J$9&amp;$I$12,"EM PROCESSO","NÃO INICIADO"),VLOOKUP(B174&amp;C174,SUPORTE!AA:AF,6,0)),"")</f>
        <v/>
      </c>
      <c r="I174" s="44"/>
      <c r="J174" s="32"/>
      <c r="K174" s="33"/>
      <c r="L174" s="34"/>
      <c r="M174" s="35"/>
      <c r="N174" s="36"/>
      <c r="O174" s="36" t="str">
        <f>IF(K174&lt;&gt;"",COUNTIFS(SUPORTE!$Q$5:$Q$2900,MENU!$M174,SUPORTE!$R$5:$R$2900,MENU!$I$9),"")</f>
        <v/>
      </c>
      <c r="P174" s="36" t="str">
        <f t="shared" si="10"/>
        <v/>
      </c>
      <c r="Q174" s="36" t="str">
        <f t="shared" si="11"/>
        <v/>
      </c>
    </row>
    <row r="175" spans="4:17" ht="15.9" x14ac:dyDescent="0.45">
      <c r="D175" s="15" t="str">
        <f>IF(B175&lt;&gt;"",IF(_xlfn.IFNA(VLOOKUP(B175&amp;C175,SUPORTE!AA:AA,1,0),"NÃO INICIADO")="NÃO INICIADO",IF(B175&amp;C175=$J$9&amp;$I$12,"EM PROCESSO","NÃO INICIADO"),VLOOKUP(B175&amp;C175,SUPORTE!AA:AF,6,0)),"")</f>
        <v/>
      </c>
      <c r="I175" s="44"/>
      <c r="J175" s="32"/>
      <c r="K175" s="33"/>
      <c r="L175" s="34"/>
      <c r="M175" s="35"/>
      <c r="N175" s="36"/>
      <c r="O175" s="36" t="str">
        <f>IF(K175&lt;&gt;"",COUNTIFS(SUPORTE!$Q$5:$Q$2900,MENU!$M175,SUPORTE!$R$5:$R$2900,MENU!$I$9),"")</f>
        <v/>
      </c>
      <c r="P175" s="36" t="str">
        <f t="shared" si="10"/>
        <v/>
      </c>
      <c r="Q175" s="36" t="str">
        <f t="shared" si="11"/>
        <v/>
      </c>
    </row>
    <row r="176" spans="4:17" ht="15.9" x14ac:dyDescent="0.45">
      <c r="D176" s="15" t="str">
        <f>IF(B176&lt;&gt;"",IF(_xlfn.IFNA(VLOOKUP(B176&amp;C176,SUPORTE!AA:AA,1,0),"NÃO INICIADO")="NÃO INICIADO",IF(B176&amp;C176=$J$9&amp;$I$12,"EM PROCESSO","NÃO INICIADO"),VLOOKUP(B176&amp;C176,SUPORTE!AA:AF,6,0)),"")</f>
        <v/>
      </c>
      <c r="I176" s="44"/>
      <c r="J176" s="32"/>
      <c r="K176" s="33"/>
      <c r="L176" s="34"/>
      <c r="M176" s="35"/>
      <c r="N176" s="36"/>
      <c r="O176" s="36" t="str">
        <f>IF(K176&lt;&gt;"",COUNTIFS(SUPORTE!$Q$5:$Q$2900,MENU!$M176,SUPORTE!$R$5:$R$2900,MENU!$I$9),"")</f>
        <v/>
      </c>
      <c r="P176" s="36" t="str">
        <f t="shared" si="10"/>
        <v/>
      </c>
      <c r="Q176" s="36" t="str">
        <f t="shared" si="11"/>
        <v/>
      </c>
    </row>
    <row r="177" spans="4:17" ht="15.9" x14ac:dyDescent="0.45">
      <c r="D177" s="15" t="str">
        <f>IF(B177&lt;&gt;"",IF(_xlfn.IFNA(VLOOKUP(B177&amp;C177,SUPORTE!AA:AA,1,0),"NÃO INICIADO")="NÃO INICIADO",IF(B177&amp;C177=$J$9&amp;$I$12,"EM PROCESSO","NÃO INICIADO"),VLOOKUP(B177&amp;C177,SUPORTE!AA:AF,6,0)),"")</f>
        <v/>
      </c>
      <c r="I177" s="44"/>
      <c r="J177" s="32"/>
      <c r="K177" s="33"/>
      <c r="L177" s="34"/>
      <c r="M177" s="35"/>
      <c r="N177" s="36"/>
      <c r="O177" s="36" t="str">
        <f>IF(K177&lt;&gt;"",COUNTIFS(SUPORTE!$Q$5:$Q$2900,MENU!$M177,SUPORTE!$R$5:$R$2900,MENU!$I$9),"")</f>
        <v/>
      </c>
      <c r="P177" s="36" t="str">
        <f t="shared" si="10"/>
        <v/>
      </c>
      <c r="Q177" s="36" t="str">
        <f t="shared" si="11"/>
        <v/>
      </c>
    </row>
    <row r="178" spans="4:17" ht="15.9" x14ac:dyDescent="0.45">
      <c r="D178" s="15" t="str">
        <f>IF(B178&lt;&gt;"",IF(_xlfn.IFNA(VLOOKUP(B178&amp;C178,SUPORTE!AA:AA,1,0),"NÃO INICIADO")="NÃO INICIADO",IF(B178&amp;C178=$J$9&amp;$I$12,"EM PROCESSO","NÃO INICIADO"),VLOOKUP(B178&amp;C178,SUPORTE!AA:AF,6,0)),"")</f>
        <v/>
      </c>
      <c r="I178" s="44"/>
      <c r="J178" s="32"/>
      <c r="K178" s="33"/>
      <c r="L178" s="34"/>
      <c r="M178" s="35"/>
      <c r="N178" s="36"/>
      <c r="O178" s="36" t="str">
        <f>IF(K178&lt;&gt;"",COUNTIFS(SUPORTE!$Q$5:$Q$2900,MENU!$M178,SUPORTE!$R$5:$R$2900,MENU!$I$9),"")</f>
        <v/>
      </c>
      <c r="P178" s="36" t="str">
        <f t="shared" si="10"/>
        <v/>
      </c>
      <c r="Q178" s="36" t="str">
        <f t="shared" si="11"/>
        <v/>
      </c>
    </row>
    <row r="179" spans="4:17" ht="15.9" x14ac:dyDescent="0.45">
      <c r="D179" s="15" t="str">
        <f>IF(B179&lt;&gt;"",IF(_xlfn.IFNA(VLOOKUP(B179&amp;C179,SUPORTE!AA:AA,1,0),"NÃO INICIADO")="NÃO INICIADO",IF(B179&amp;C179=$J$9&amp;$I$12,"EM PROCESSO","NÃO INICIADO"),VLOOKUP(B179&amp;C179,SUPORTE!AA:AF,6,0)),"")</f>
        <v/>
      </c>
      <c r="I179" s="44"/>
      <c r="J179" s="32"/>
      <c r="K179" s="33"/>
      <c r="L179" s="34"/>
      <c r="M179" s="35"/>
      <c r="N179" s="36"/>
      <c r="O179" s="36" t="str">
        <f>IF(K179&lt;&gt;"",COUNTIFS(SUPORTE!$Q$5:$Q$2900,MENU!$M179,SUPORTE!$R$5:$R$2900,MENU!$I$9),"")</f>
        <v/>
      </c>
      <c r="P179" s="36" t="str">
        <f t="shared" si="10"/>
        <v/>
      </c>
      <c r="Q179" s="36" t="str">
        <f t="shared" si="11"/>
        <v/>
      </c>
    </row>
    <row r="180" spans="4:17" ht="15.9" x14ac:dyDescent="0.45">
      <c r="D180" s="15" t="str">
        <f>IF(B180&lt;&gt;"",IF(_xlfn.IFNA(VLOOKUP(B180&amp;C180,SUPORTE!AA:AA,1,0),"NÃO INICIADO")="NÃO INICIADO",IF(B180&amp;C180=$J$9&amp;$I$12,"EM PROCESSO","NÃO INICIADO"),VLOOKUP(B180&amp;C180,SUPORTE!AA:AF,6,0)),"")</f>
        <v/>
      </c>
      <c r="I180" s="44"/>
      <c r="J180" s="32"/>
      <c r="K180" s="33"/>
      <c r="L180" s="34"/>
      <c r="M180" s="35"/>
      <c r="N180" s="36"/>
      <c r="O180" s="36" t="str">
        <f>IF(K180&lt;&gt;"",COUNTIFS(SUPORTE!$Q$5:$Q$2900,MENU!$M180,SUPORTE!$R$5:$R$2900,MENU!$I$9),"")</f>
        <v/>
      </c>
      <c r="P180" s="36" t="str">
        <f t="shared" si="10"/>
        <v/>
      </c>
      <c r="Q180" s="36" t="str">
        <f t="shared" si="11"/>
        <v/>
      </c>
    </row>
    <row r="181" spans="4:17" ht="15.9" x14ac:dyDescent="0.45">
      <c r="D181" s="15" t="str">
        <f>IF(B181&lt;&gt;"",IF(_xlfn.IFNA(VLOOKUP(B181&amp;C181,SUPORTE!AA:AA,1,0),"NÃO INICIADO")="NÃO INICIADO",IF(B181&amp;C181=$J$9&amp;$I$12,"EM PROCESSO","NÃO INICIADO"),VLOOKUP(B181&amp;C181,SUPORTE!AA:AF,6,0)),"")</f>
        <v/>
      </c>
      <c r="I181" s="44"/>
      <c r="J181" s="32"/>
      <c r="K181" s="33"/>
      <c r="L181" s="34"/>
      <c r="M181" s="35"/>
      <c r="N181" s="36"/>
      <c r="O181" s="36" t="str">
        <f>IF(K181&lt;&gt;"",COUNTIFS(SUPORTE!$Q$5:$Q$2900,MENU!$M181,SUPORTE!$R$5:$R$2900,MENU!$I$9),"")</f>
        <v/>
      </c>
      <c r="P181" s="36" t="str">
        <f t="shared" si="10"/>
        <v/>
      </c>
      <c r="Q181" s="36" t="str">
        <f t="shared" si="11"/>
        <v/>
      </c>
    </row>
    <row r="182" spans="4:17" ht="15.9" x14ac:dyDescent="0.45">
      <c r="D182" s="15" t="str">
        <f>IF(B182&lt;&gt;"",IF(_xlfn.IFNA(VLOOKUP(B182&amp;C182,SUPORTE!AA:AA,1,0),"NÃO INICIADO")="NÃO INICIADO",IF(B182&amp;C182=$J$9&amp;$I$12,"EM PROCESSO","NÃO INICIADO"),VLOOKUP(B182&amp;C182,SUPORTE!AA:AF,6,0)),"")</f>
        <v/>
      </c>
      <c r="I182" s="44"/>
      <c r="J182" s="32"/>
      <c r="K182" s="33"/>
      <c r="L182" s="34"/>
      <c r="M182" s="35"/>
      <c r="N182" s="36"/>
      <c r="O182" s="36" t="str">
        <f>IF(K182&lt;&gt;"",COUNTIFS(SUPORTE!$Q$5:$Q$2900,MENU!$M182,SUPORTE!$R$5:$R$2900,MENU!$I$9),"")</f>
        <v/>
      </c>
      <c r="P182" s="36" t="str">
        <f t="shared" si="10"/>
        <v/>
      </c>
      <c r="Q182" s="36" t="str">
        <f t="shared" si="11"/>
        <v/>
      </c>
    </row>
    <row r="183" spans="4:17" ht="15.9" x14ac:dyDescent="0.45">
      <c r="D183" s="15" t="str">
        <f>IF(B183&lt;&gt;"",IF(_xlfn.IFNA(VLOOKUP(B183&amp;C183,SUPORTE!AA:AA,1,0),"NÃO INICIADO")="NÃO INICIADO",IF(B183&amp;C183=$J$9&amp;$I$12,"EM PROCESSO","NÃO INICIADO"),VLOOKUP(B183&amp;C183,SUPORTE!AA:AF,6,0)),"")</f>
        <v/>
      </c>
      <c r="I183" s="44"/>
      <c r="J183" s="32"/>
      <c r="K183" s="33"/>
      <c r="L183" s="34"/>
      <c r="M183" s="35"/>
      <c r="N183" s="36"/>
      <c r="O183" s="36" t="str">
        <f>IF(K183&lt;&gt;"",COUNTIFS(SUPORTE!$Q$5:$Q$2900,MENU!$M183,SUPORTE!$R$5:$R$2900,MENU!$I$9),"")</f>
        <v/>
      </c>
      <c r="P183" s="36" t="str">
        <f t="shared" si="10"/>
        <v/>
      </c>
      <c r="Q183" s="36" t="str">
        <f t="shared" si="11"/>
        <v/>
      </c>
    </row>
    <row r="184" spans="4:17" ht="15.9" x14ac:dyDescent="0.45">
      <c r="D184" s="15" t="str">
        <f>IF(B184&lt;&gt;"",IF(_xlfn.IFNA(VLOOKUP(B184&amp;C184,SUPORTE!AA:AA,1,0),"NÃO INICIADO")="NÃO INICIADO",IF(B184&amp;C184=$J$9&amp;$I$12,"EM PROCESSO","NÃO INICIADO"),VLOOKUP(B184&amp;C184,SUPORTE!AA:AF,6,0)),"")</f>
        <v/>
      </c>
      <c r="I184" s="44"/>
      <c r="J184" s="32"/>
      <c r="K184" s="33"/>
      <c r="L184" s="34"/>
      <c r="M184" s="35"/>
      <c r="N184" s="36"/>
      <c r="O184" s="36" t="str">
        <f>IF(K184&lt;&gt;"",COUNTIFS(SUPORTE!$Q$5:$Q$2900,MENU!$M184,SUPORTE!$R$5:$R$2900,MENU!$I$9),"")</f>
        <v/>
      </c>
      <c r="P184" s="36" t="str">
        <f t="shared" si="10"/>
        <v/>
      </c>
      <c r="Q184" s="36" t="str">
        <f t="shared" si="11"/>
        <v/>
      </c>
    </row>
    <row r="185" spans="4:17" ht="15.9" x14ac:dyDescent="0.45">
      <c r="D185" s="15" t="str">
        <f>IF(B185&lt;&gt;"",IF(_xlfn.IFNA(VLOOKUP(B185&amp;C185,SUPORTE!AA:AA,1,0),"NÃO INICIADO")="NÃO INICIADO",IF(B185&amp;C185=$J$9&amp;$I$12,"EM PROCESSO","NÃO INICIADO"),VLOOKUP(B185&amp;C185,SUPORTE!AA:AF,6,0)),"")</f>
        <v/>
      </c>
      <c r="I185" s="44"/>
      <c r="J185" s="32"/>
      <c r="K185" s="33"/>
      <c r="L185" s="34"/>
      <c r="M185" s="35"/>
      <c r="N185" s="36"/>
      <c r="O185" s="36" t="str">
        <f>IF(K185&lt;&gt;"",COUNTIFS(SUPORTE!$Q$5:$Q$2900,MENU!$M185,SUPORTE!$R$5:$R$2900,MENU!$I$9),"")</f>
        <v/>
      </c>
      <c r="P185" s="36" t="str">
        <f t="shared" si="10"/>
        <v/>
      </c>
      <c r="Q185" s="36" t="str">
        <f t="shared" si="11"/>
        <v/>
      </c>
    </row>
    <row r="186" spans="4:17" ht="15.9" x14ac:dyDescent="0.45">
      <c r="D186" s="15" t="str">
        <f>IF(B186&lt;&gt;"",IF(_xlfn.IFNA(VLOOKUP(B186&amp;C186,SUPORTE!AA:AA,1,0),"NÃO INICIADO")="NÃO INICIADO",IF(B186&amp;C186=$J$9&amp;$I$12,"EM PROCESSO","NÃO INICIADO"),VLOOKUP(B186&amp;C186,SUPORTE!AA:AF,6,0)),"")</f>
        <v/>
      </c>
      <c r="I186" s="44"/>
      <c r="J186" s="32"/>
      <c r="K186" s="33"/>
      <c r="L186" s="34"/>
      <c r="M186" s="35"/>
      <c r="N186" s="36"/>
      <c r="O186" s="36" t="str">
        <f>IF(K186&lt;&gt;"",COUNTIFS(SUPORTE!$Q$5:$Q$2900,MENU!$M186,SUPORTE!$R$5:$R$2900,MENU!$I$9),"")</f>
        <v/>
      </c>
      <c r="P186" s="36" t="str">
        <f t="shared" si="10"/>
        <v/>
      </c>
      <c r="Q186" s="36" t="str">
        <f t="shared" si="11"/>
        <v/>
      </c>
    </row>
    <row r="187" spans="4:17" ht="15.9" x14ac:dyDescent="0.45">
      <c r="D187" s="15" t="str">
        <f>IF(B187&lt;&gt;"",IF(_xlfn.IFNA(VLOOKUP(B187&amp;C187,SUPORTE!AA:AA,1,0),"NÃO INICIADO")="NÃO INICIADO",IF(B187&amp;C187=$J$9&amp;$I$12,"EM PROCESSO","NÃO INICIADO"),VLOOKUP(B187&amp;C187,SUPORTE!AA:AF,6,0)),"")</f>
        <v/>
      </c>
      <c r="I187" s="44"/>
      <c r="J187" s="32"/>
      <c r="K187" s="33"/>
      <c r="L187" s="34"/>
      <c r="M187" s="35"/>
      <c r="N187" s="36"/>
      <c r="O187" s="36" t="str">
        <f>IF(K187&lt;&gt;"",COUNTIFS(SUPORTE!$Q$5:$Q$2900,MENU!$M187,SUPORTE!$R$5:$R$2900,MENU!$I$9),"")</f>
        <v/>
      </c>
      <c r="P187" s="36" t="str">
        <f t="shared" si="10"/>
        <v/>
      </c>
      <c r="Q187" s="36" t="str">
        <f t="shared" si="11"/>
        <v/>
      </c>
    </row>
    <row r="188" spans="4:17" ht="15.9" x14ac:dyDescent="0.45">
      <c r="D188" s="15" t="str">
        <f>IF(B188&lt;&gt;"",IF(_xlfn.IFNA(VLOOKUP(B188&amp;C188,SUPORTE!AA:AA,1,0),"NÃO INICIADO")="NÃO INICIADO",IF(B188&amp;C188=$J$9&amp;$I$12,"EM PROCESSO","NÃO INICIADO"),VLOOKUP(B188&amp;C188,SUPORTE!AA:AF,6,0)),"")</f>
        <v/>
      </c>
      <c r="I188" s="44"/>
      <c r="J188" s="32"/>
      <c r="K188" s="33"/>
      <c r="L188" s="34"/>
      <c r="M188" s="35"/>
      <c r="N188" s="36"/>
      <c r="O188" s="36" t="str">
        <f>IF(K188&lt;&gt;"",COUNTIFS(SUPORTE!$Q$5:$Q$2900,MENU!$M188,SUPORTE!$R$5:$R$2900,MENU!$I$9),"")</f>
        <v/>
      </c>
      <c r="P188" s="36" t="str">
        <f t="shared" si="10"/>
        <v/>
      </c>
      <c r="Q188" s="36" t="str">
        <f t="shared" si="11"/>
        <v/>
      </c>
    </row>
    <row r="189" spans="4:17" ht="15.9" x14ac:dyDescent="0.45">
      <c r="D189" s="15" t="str">
        <f>IF(B189&lt;&gt;"",IF(_xlfn.IFNA(VLOOKUP(B189&amp;C189,SUPORTE!AA:AA,1,0),"NÃO INICIADO")="NÃO INICIADO",IF(B189&amp;C189=$J$9&amp;$I$12,"EM PROCESSO","NÃO INICIADO"),VLOOKUP(B189&amp;C189,SUPORTE!AA:AF,6,0)),"")</f>
        <v/>
      </c>
      <c r="I189" s="44"/>
      <c r="J189" s="32"/>
      <c r="K189" s="33"/>
      <c r="L189" s="34"/>
      <c r="M189" s="35"/>
      <c r="N189" s="36"/>
      <c r="O189" s="36" t="str">
        <f>IF(K189&lt;&gt;"",COUNTIFS(SUPORTE!$Q$5:$Q$2900,MENU!$M189,SUPORTE!$R$5:$R$2900,MENU!$I$9),"")</f>
        <v/>
      </c>
      <c r="P189" s="36" t="str">
        <f t="shared" si="10"/>
        <v/>
      </c>
      <c r="Q189" s="36" t="str">
        <f t="shared" si="11"/>
        <v/>
      </c>
    </row>
    <row r="190" spans="4:17" ht="15.9" x14ac:dyDescent="0.45">
      <c r="D190" s="15" t="str">
        <f>IF(B190&lt;&gt;"",IF(_xlfn.IFNA(VLOOKUP(B190&amp;C190,SUPORTE!AA:AA,1,0),"NÃO INICIADO")="NÃO INICIADO",IF(B190&amp;C190=$J$9&amp;$I$12,"EM PROCESSO","NÃO INICIADO"),VLOOKUP(B190&amp;C190,SUPORTE!AA:AF,6,0)),"")</f>
        <v/>
      </c>
      <c r="I190" s="44"/>
      <c r="J190" s="32"/>
      <c r="K190" s="33"/>
      <c r="L190" s="34"/>
      <c r="M190" s="35"/>
      <c r="N190" s="36"/>
      <c r="O190" s="36" t="str">
        <f>IF(K190&lt;&gt;"",COUNTIFS(SUPORTE!$Q$5:$Q$2900,MENU!$M190,SUPORTE!$R$5:$R$2900,MENU!$I$9),"")</f>
        <v/>
      </c>
      <c r="P190" s="36" t="str">
        <f t="shared" si="10"/>
        <v/>
      </c>
      <c r="Q190" s="36" t="str">
        <f t="shared" si="11"/>
        <v/>
      </c>
    </row>
    <row r="191" spans="4:17" ht="15.9" x14ac:dyDescent="0.45">
      <c r="D191" s="15" t="str">
        <f>IF(B191&lt;&gt;"",IF(_xlfn.IFNA(VLOOKUP(B191&amp;C191,SUPORTE!AA:AA,1,0),"NÃO INICIADO")="NÃO INICIADO",IF(B191&amp;C191=$J$9&amp;$I$12,"EM PROCESSO","NÃO INICIADO"),VLOOKUP(B191&amp;C191,SUPORTE!AA:AF,6,0)),"")</f>
        <v/>
      </c>
      <c r="I191" s="44"/>
      <c r="J191" s="32"/>
      <c r="K191" s="33"/>
      <c r="L191" s="34"/>
      <c r="M191" s="35"/>
      <c r="N191" s="36"/>
      <c r="O191" s="36" t="str">
        <f>IF(K191&lt;&gt;"",COUNTIFS(SUPORTE!$Q$5:$Q$2900,MENU!$M191,SUPORTE!$R$5:$R$2900,MENU!$I$9),"")</f>
        <v/>
      </c>
      <c r="P191" s="36" t="str">
        <f t="shared" si="10"/>
        <v/>
      </c>
      <c r="Q191" s="36" t="str">
        <f t="shared" si="11"/>
        <v/>
      </c>
    </row>
    <row r="192" spans="4:17" ht="15.9" x14ac:dyDescent="0.45">
      <c r="D192" s="15" t="str">
        <f>IF(B192&lt;&gt;"",IF(_xlfn.IFNA(VLOOKUP(B192&amp;C192,SUPORTE!AA:AA,1,0),"NÃO INICIADO")="NÃO INICIADO",IF(B192&amp;C192=$J$9&amp;$I$12,"EM PROCESSO","NÃO INICIADO"),VLOOKUP(B192&amp;C192,SUPORTE!AA:AF,6,0)),"")</f>
        <v/>
      </c>
      <c r="I192" s="44"/>
      <c r="J192" s="32"/>
      <c r="K192" s="33"/>
      <c r="L192" s="34"/>
      <c r="M192" s="35"/>
      <c r="N192" s="36"/>
      <c r="O192" s="36" t="str">
        <f>IF(K192&lt;&gt;"",COUNTIFS(SUPORTE!$Q$5:$Q$2900,MENU!$M192,SUPORTE!$R$5:$R$2900,MENU!$I$9),"")</f>
        <v/>
      </c>
      <c r="P192" s="36" t="str">
        <f t="shared" si="10"/>
        <v/>
      </c>
      <c r="Q192" s="36" t="str">
        <f t="shared" si="11"/>
        <v/>
      </c>
    </row>
    <row r="193" spans="4:17" ht="15.9" x14ac:dyDescent="0.45">
      <c r="D193" s="15" t="str">
        <f>IF(B193&lt;&gt;"",IF(_xlfn.IFNA(VLOOKUP(B193&amp;C193,SUPORTE!AA:AA,1,0),"NÃO INICIADO")="NÃO INICIADO",IF(B193&amp;C193=$J$9&amp;$I$12,"EM PROCESSO","NÃO INICIADO"),VLOOKUP(B193&amp;C193,SUPORTE!AA:AF,6,0)),"")</f>
        <v/>
      </c>
      <c r="I193" s="44"/>
      <c r="J193" s="32"/>
      <c r="K193" s="33"/>
      <c r="L193" s="34"/>
      <c r="M193" s="35"/>
      <c r="N193" s="36"/>
      <c r="O193" s="36" t="str">
        <f>IF(K193&lt;&gt;"",COUNTIFS(SUPORTE!$Q$5:$Q$2900,MENU!$M193,SUPORTE!$R$5:$R$2900,MENU!$I$9),"")</f>
        <v/>
      </c>
      <c r="P193" s="36" t="str">
        <f t="shared" si="10"/>
        <v/>
      </c>
      <c r="Q193" s="36" t="str">
        <f t="shared" si="11"/>
        <v/>
      </c>
    </row>
    <row r="194" spans="4:17" ht="15.9" x14ac:dyDescent="0.45">
      <c r="D194" s="15" t="str">
        <f>IF(B194&lt;&gt;"",IF(_xlfn.IFNA(VLOOKUP(B194&amp;C194,SUPORTE!AA:AA,1,0),"NÃO INICIADO")="NÃO INICIADO",IF(B194&amp;C194=$J$9&amp;$I$12,"EM PROCESSO","NÃO INICIADO"),VLOOKUP(B194&amp;C194,SUPORTE!AA:AF,6,0)),"")</f>
        <v/>
      </c>
      <c r="I194" s="44"/>
      <c r="J194" s="32"/>
      <c r="K194" s="33"/>
      <c r="L194" s="34"/>
      <c r="M194" s="35"/>
      <c r="N194" s="36"/>
      <c r="O194" s="36" t="str">
        <f>IF(K194&lt;&gt;"",COUNTIFS(SUPORTE!$Q$5:$Q$2900,MENU!$M194,SUPORTE!$R$5:$R$2900,MENU!$I$9),"")</f>
        <v/>
      </c>
      <c r="P194" s="36" t="str">
        <f t="shared" si="10"/>
        <v/>
      </c>
      <c r="Q194" s="36" t="str">
        <f t="shared" si="11"/>
        <v/>
      </c>
    </row>
    <row r="195" spans="4:17" ht="15.9" x14ac:dyDescent="0.45">
      <c r="D195" s="15" t="str">
        <f>IF(B195&lt;&gt;"",IF(_xlfn.IFNA(VLOOKUP(B195&amp;C195,SUPORTE!AA:AA,1,0),"NÃO INICIADO")="NÃO INICIADO",IF(B195&amp;C195=$J$9&amp;$I$12,"EM PROCESSO","NÃO INICIADO"),VLOOKUP(B195&amp;C195,SUPORTE!AA:AF,6,0)),"")</f>
        <v/>
      </c>
      <c r="I195" s="44"/>
      <c r="J195" s="32"/>
      <c r="K195" s="33"/>
      <c r="L195" s="34"/>
      <c r="M195" s="35"/>
      <c r="N195" s="36"/>
      <c r="O195" s="36" t="str">
        <f>IF(K195&lt;&gt;"",COUNTIFS(SUPORTE!$Q$5:$Q$2900,MENU!$M195,SUPORTE!$R$5:$R$2900,MENU!$I$9),"")</f>
        <v/>
      </c>
      <c r="P195" s="36" t="str">
        <f t="shared" si="10"/>
        <v/>
      </c>
      <c r="Q195" s="36" t="str">
        <f t="shared" si="11"/>
        <v/>
      </c>
    </row>
    <row r="196" spans="4:17" ht="15.9" x14ac:dyDescent="0.45">
      <c r="D196" s="15" t="str">
        <f>IF(B196&lt;&gt;"",IF(_xlfn.IFNA(VLOOKUP(B196&amp;C196,SUPORTE!AA:AA,1,0),"NÃO INICIADO")="NÃO INICIADO",IF(B196&amp;C196=$J$9&amp;$I$12,"EM PROCESSO","NÃO INICIADO"),VLOOKUP(B196&amp;C196,SUPORTE!AA:AF,6,0)),"")</f>
        <v/>
      </c>
      <c r="I196" s="44"/>
      <c r="J196" s="32"/>
      <c r="K196" s="33"/>
      <c r="L196" s="34"/>
      <c r="M196" s="35"/>
      <c r="N196" s="36"/>
      <c r="O196" s="36" t="str">
        <f>IF(K196&lt;&gt;"",COUNTIFS(SUPORTE!$Q$5:$Q$2900,MENU!$M196,SUPORTE!$R$5:$R$2900,MENU!$I$9),"")</f>
        <v/>
      </c>
      <c r="P196" s="36" t="str">
        <f t="shared" si="10"/>
        <v/>
      </c>
      <c r="Q196" s="36" t="str">
        <f t="shared" si="11"/>
        <v/>
      </c>
    </row>
    <row r="197" spans="4:17" ht="15.9" x14ac:dyDescent="0.45">
      <c r="D197" s="15" t="str">
        <f>IF(B197&lt;&gt;"",IF(_xlfn.IFNA(VLOOKUP(B197&amp;C197,SUPORTE!AA:AA,1,0),"NÃO INICIADO")="NÃO INICIADO",IF(B197&amp;C197=$J$9&amp;$I$12,"EM PROCESSO","NÃO INICIADO"),VLOOKUP(B197&amp;C197,SUPORTE!AA:AF,6,0)),"")</f>
        <v/>
      </c>
      <c r="I197" s="44"/>
      <c r="J197" s="32"/>
      <c r="K197" s="33"/>
      <c r="L197" s="34"/>
      <c r="M197" s="35"/>
      <c r="N197" s="36"/>
      <c r="O197" s="36" t="str">
        <f>IF(K197&lt;&gt;"",COUNTIFS(SUPORTE!$Q$5:$Q$2900,MENU!$M197,SUPORTE!$R$5:$R$2900,MENU!$I$9),"")</f>
        <v/>
      </c>
      <c r="P197" s="36" t="str">
        <f t="shared" si="10"/>
        <v/>
      </c>
      <c r="Q197" s="36" t="str">
        <f t="shared" si="11"/>
        <v/>
      </c>
    </row>
    <row r="198" spans="4:17" ht="15.9" x14ac:dyDescent="0.45">
      <c r="D198" s="15" t="str">
        <f>IF(B198&lt;&gt;"",IF(_xlfn.IFNA(VLOOKUP(B198&amp;C198,SUPORTE!AA:AA,1,0),"NÃO INICIADO")="NÃO INICIADO",IF(B198&amp;C198=$J$9&amp;$I$12,"EM PROCESSO","NÃO INICIADO"),VLOOKUP(B198&amp;C198,SUPORTE!AA:AF,6,0)),"")</f>
        <v/>
      </c>
      <c r="I198" s="44"/>
      <c r="J198" s="32"/>
      <c r="K198" s="33"/>
      <c r="L198" s="34"/>
      <c r="M198" s="35"/>
      <c r="N198" s="36"/>
      <c r="O198" s="36" t="str">
        <f>IF(K198&lt;&gt;"",COUNTIFS(SUPORTE!$Q$5:$Q$2900,MENU!$M198,SUPORTE!$R$5:$R$2900,MENU!$I$9),"")</f>
        <v/>
      </c>
      <c r="P198" s="36" t="str">
        <f t="shared" si="10"/>
        <v/>
      </c>
      <c r="Q198" s="36" t="str">
        <f t="shared" si="11"/>
        <v/>
      </c>
    </row>
    <row r="199" spans="4:17" ht="15.9" x14ac:dyDescent="0.45">
      <c r="D199" s="15" t="str">
        <f>IF(B199&lt;&gt;"",IF(_xlfn.IFNA(VLOOKUP(B199&amp;C199,SUPORTE!AA:AA,1,0),"NÃO INICIADO")="NÃO INICIADO",IF(B199&amp;C199=$J$9&amp;$I$12,"EM PROCESSO","NÃO INICIADO"),VLOOKUP(B199&amp;C199,SUPORTE!AA:AF,6,0)),"")</f>
        <v/>
      </c>
      <c r="I199" s="44"/>
      <c r="J199" s="32"/>
      <c r="K199" s="33"/>
      <c r="L199" s="34"/>
      <c r="M199" s="35"/>
      <c r="N199" s="36"/>
      <c r="O199" s="36" t="str">
        <f>IF(K199&lt;&gt;"",COUNTIFS(SUPORTE!$Q$5:$Q$2900,MENU!$M199,SUPORTE!$R$5:$R$2900,MENU!$I$9),"")</f>
        <v/>
      </c>
      <c r="P199" s="36" t="str">
        <f t="shared" si="10"/>
        <v/>
      </c>
      <c r="Q199" s="36" t="str">
        <f t="shared" si="11"/>
        <v/>
      </c>
    </row>
    <row r="200" spans="4:17" ht="15.9" x14ac:dyDescent="0.45">
      <c r="D200" s="15" t="str">
        <f>IF(B200&lt;&gt;"",IF(_xlfn.IFNA(VLOOKUP(B200&amp;C200,SUPORTE!AA:AA,1,0),"NÃO INICIADO")="NÃO INICIADO",IF(B200&amp;C200=$J$9&amp;$I$12,"EM PROCESSO","NÃO INICIADO"),VLOOKUP(B200&amp;C200,SUPORTE!AA:AF,6,0)),"")</f>
        <v/>
      </c>
      <c r="I200" s="44"/>
      <c r="J200" s="32"/>
      <c r="K200" s="33"/>
      <c r="L200" s="34"/>
      <c r="M200" s="35"/>
      <c r="N200" s="36"/>
      <c r="O200" s="36" t="str">
        <f>IF(K200&lt;&gt;"",COUNTIFS(SUPORTE!$Q$5:$Q$2900,MENU!$M200,SUPORTE!$R$5:$R$2900,MENU!$I$9),"")</f>
        <v/>
      </c>
      <c r="P200" s="36" t="str">
        <f t="shared" si="10"/>
        <v/>
      </c>
      <c r="Q200" s="36" t="str">
        <f t="shared" si="11"/>
        <v/>
      </c>
    </row>
    <row r="201" spans="4:17" ht="15.9" x14ac:dyDescent="0.45">
      <c r="D201" s="15" t="str">
        <f>IF(B201&lt;&gt;"",IF(_xlfn.IFNA(VLOOKUP(B201&amp;C201,SUPORTE!AA:AA,1,0),"NÃO INICIADO")="NÃO INICIADO",IF(B201&amp;C201=$J$9&amp;$I$12,"EM PROCESSO","NÃO INICIADO"),VLOOKUP(B201&amp;C201,SUPORTE!AA:AF,6,0)),"")</f>
        <v/>
      </c>
      <c r="I201" s="44"/>
      <c r="J201" s="32"/>
      <c r="K201" s="33"/>
      <c r="L201" s="34"/>
      <c r="M201" s="35"/>
      <c r="N201" s="36"/>
      <c r="O201" s="36" t="str">
        <f>IF(K201&lt;&gt;"",COUNTIFS(SUPORTE!$Q$5:$Q$2900,MENU!$M201,SUPORTE!$R$5:$R$2900,MENU!$I$9),"")</f>
        <v/>
      </c>
      <c r="P201" s="36" t="str">
        <f t="shared" si="10"/>
        <v/>
      </c>
      <c r="Q201" s="36" t="str">
        <f t="shared" si="11"/>
        <v/>
      </c>
    </row>
    <row r="202" spans="4:17" ht="15.9" x14ac:dyDescent="0.45">
      <c r="D202" s="15" t="str">
        <f>IF(B202&lt;&gt;"",IF(_xlfn.IFNA(VLOOKUP(B202&amp;C202,SUPORTE!AA:AA,1,0),"NÃO INICIADO")="NÃO INICIADO",IF(B202&amp;C202=$J$9&amp;$I$12,"EM PROCESSO","NÃO INICIADO"),VLOOKUP(B202&amp;C202,SUPORTE!AA:AF,6,0)),"")</f>
        <v/>
      </c>
      <c r="I202" s="44"/>
      <c r="J202" s="32"/>
      <c r="K202" s="33"/>
      <c r="L202" s="34"/>
      <c r="M202" s="35"/>
      <c r="N202" s="36"/>
      <c r="O202" s="36" t="str">
        <f>IF(K202&lt;&gt;"",COUNTIFS(SUPORTE!$Q$5:$Q$2900,MENU!$M202,SUPORTE!$R$5:$R$2900,MENU!$I$9),"")</f>
        <v/>
      </c>
      <c r="P202" s="36" t="str">
        <f t="shared" si="10"/>
        <v/>
      </c>
      <c r="Q202" s="36" t="str">
        <f t="shared" si="11"/>
        <v/>
      </c>
    </row>
    <row r="203" spans="4:17" ht="15.9" x14ac:dyDescent="0.45">
      <c r="D203" s="15" t="str">
        <f>IF(B203&lt;&gt;"",IF(_xlfn.IFNA(VLOOKUP(B203&amp;C203,SUPORTE!AA:AA,1,0),"NÃO INICIADO")="NÃO INICIADO",IF(B203&amp;C203=$J$9&amp;$I$12,"EM PROCESSO","NÃO INICIADO"),VLOOKUP(B203&amp;C203,SUPORTE!AA:AF,6,0)),"")</f>
        <v/>
      </c>
      <c r="I203" s="44"/>
      <c r="J203" s="32"/>
      <c r="K203" s="33"/>
      <c r="L203" s="34"/>
      <c r="M203" s="35"/>
      <c r="N203" s="36"/>
      <c r="O203" s="36" t="str">
        <f>IF(K203&lt;&gt;"",COUNTIFS(SUPORTE!$Q$5:$Q$2900,MENU!$M203,SUPORTE!$R$5:$R$2900,MENU!$I$9),"")</f>
        <v/>
      </c>
      <c r="P203" s="36" t="str">
        <f t="shared" si="10"/>
        <v/>
      </c>
      <c r="Q203" s="36" t="str">
        <f t="shared" si="11"/>
        <v/>
      </c>
    </row>
    <row r="204" spans="4:17" ht="15.9" x14ac:dyDescent="0.45">
      <c r="D204" s="15" t="str">
        <f>IF(B204&lt;&gt;"",IF(_xlfn.IFNA(VLOOKUP(B204&amp;C204,SUPORTE!AA:AA,1,0),"NÃO INICIADO")="NÃO INICIADO",IF(B204&amp;C204=$J$9&amp;$I$12,"EM PROCESSO","NÃO INICIADO"),VLOOKUP(B204&amp;C204,SUPORTE!AA:AF,6,0)),"")</f>
        <v/>
      </c>
      <c r="I204" s="44"/>
      <c r="J204" s="32"/>
      <c r="K204" s="33"/>
      <c r="L204" s="34"/>
      <c r="M204" s="35"/>
      <c r="N204" s="36"/>
      <c r="O204" s="36" t="str">
        <f>IF(K204&lt;&gt;"",COUNTIFS(SUPORTE!$Q$5:$Q$2900,MENU!$M204,SUPORTE!$R$5:$R$2900,MENU!$I$9),"")</f>
        <v/>
      </c>
      <c r="P204" s="36" t="str">
        <f t="shared" si="10"/>
        <v/>
      </c>
      <c r="Q204" s="36" t="str">
        <f t="shared" si="11"/>
        <v/>
      </c>
    </row>
    <row r="205" spans="4:17" ht="15.9" x14ac:dyDescent="0.45">
      <c r="D205" s="15" t="str">
        <f>IF(B205&lt;&gt;"",IF(_xlfn.IFNA(VLOOKUP(B205&amp;C205,SUPORTE!AA:AA,1,0),"NÃO INICIADO")="NÃO INICIADO",IF(B205&amp;C205=$J$9&amp;$I$12,"EM PROCESSO","NÃO INICIADO"),VLOOKUP(B205&amp;C205,SUPORTE!AA:AF,6,0)),"")</f>
        <v/>
      </c>
      <c r="I205" s="44"/>
      <c r="J205" s="32"/>
      <c r="K205" s="33"/>
      <c r="L205" s="34"/>
      <c r="M205" s="35"/>
      <c r="N205" s="36"/>
      <c r="O205" s="36" t="str">
        <f>IF(K205&lt;&gt;"",COUNTIFS(SUPORTE!$Q$5:$Q$2900,MENU!$M205,SUPORTE!$R$5:$R$2900,MENU!$I$9),"")</f>
        <v/>
      </c>
      <c r="P205" s="36" t="str">
        <f t="shared" si="10"/>
        <v/>
      </c>
      <c r="Q205" s="36" t="str">
        <f t="shared" si="11"/>
        <v/>
      </c>
    </row>
    <row r="206" spans="4:17" ht="15.9" x14ac:dyDescent="0.45">
      <c r="D206" s="15" t="str">
        <f>IF(B206&lt;&gt;"",IF(_xlfn.IFNA(VLOOKUP(B206&amp;C206,SUPORTE!AA:AA,1,0),"NÃO INICIADO")="NÃO INICIADO",IF(B206&amp;C206=$J$9&amp;$I$12,"EM PROCESSO","NÃO INICIADO"),VLOOKUP(B206&amp;C206,SUPORTE!AA:AF,6,0)),"")</f>
        <v/>
      </c>
      <c r="I206" s="44"/>
      <c r="J206" s="32"/>
      <c r="K206" s="33"/>
      <c r="L206" s="34"/>
      <c r="M206" s="35"/>
      <c r="N206" s="36"/>
      <c r="O206" s="36" t="str">
        <f>IF(K206&lt;&gt;"",COUNTIFS(SUPORTE!$Q$5:$Q$2900,MENU!$M206,SUPORTE!$R$5:$R$2900,MENU!$I$9),"")</f>
        <v/>
      </c>
      <c r="P206" s="36" t="str">
        <f t="shared" si="10"/>
        <v/>
      </c>
      <c r="Q206" s="36" t="str">
        <f t="shared" si="11"/>
        <v/>
      </c>
    </row>
    <row r="207" spans="4:17" ht="15.9" x14ac:dyDescent="0.45">
      <c r="D207" s="15" t="str">
        <f>IF(B207&lt;&gt;"",IF(_xlfn.IFNA(VLOOKUP(B207&amp;C207,SUPORTE!AA:AA,1,0),"NÃO INICIADO")="NÃO INICIADO",IF(B207&amp;C207=$J$9&amp;$I$12,"EM PROCESSO","NÃO INICIADO"),VLOOKUP(B207&amp;C207,SUPORTE!AA:AF,6,0)),"")</f>
        <v/>
      </c>
      <c r="I207" s="44"/>
      <c r="J207" s="32"/>
      <c r="K207" s="33"/>
      <c r="L207" s="34"/>
      <c r="M207" s="35"/>
      <c r="N207" s="36"/>
      <c r="O207" s="36" t="str">
        <f>IF(K207&lt;&gt;"",COUNTIFS(SUPORTE!$Q$5:$Q$2900,MENU!$M207,SUPORTE!$R$5:$R$2900,MENU!$I$9),"")</f>
        <v/>
      </c>
      <c r="P207" s="36" t="str">
        <f t="shared" si="10"/>
        <v/>
      </c>
      <c r="Q207" s="36" t="str">
        <f t="shared" si="11"/>
        <v/>
      </c>
    </row>
    <row r="208" spans="4:17" ht="15.9" x14ac:dyDescent="0.45">
      <c r="D208" s="15" t="str">
        <f>IF(B208&lt;&gt;"",IF(_xlfn.IFNA(VLOOKUP(B208&amp;C208,SUPORTE!AA:AA,1,0),"NÃO INICIADO")="NÃO INICIADO",IF(B208&amp;C208=$J$9&amp;$I$12,"EM PROCESSO","NÃO INICIADO"),VLOOKUP(B208&amp;C208,SUPORTE!AA:AF,6,0)),"")</f>
        <v/>
      </c>
      <c r="I208" s="44"/>
      <c r="J208" s="32"/>
      <c r="K208" s="33"/>
      <c r="L208" s="34"/>
      <c r="M208" s="35"/>
      <c r="N208" s="36"/>
      <c r="O208" s="36" t="str">
        <f>IF(K208&lt;&gt;"",COUNTIFS(SUPORTE!$Q$5:$Q$2900,MENU!$M208,SUPORTE!$R$5:$R$2900,MENU!$I$9),"")</f>
        <v/>
      </c>
      <c r="P208" s="36" t="str">
        <f t="shared" si="10"/>
        <v/>
      </c>
      <c r="Q208" s="36" t="str">
        <f t="shared" si="11"/>
        <v/>
      </c>
    </row>
    <row r="209" spans="4:17" ht="15.9" x14ac:dyDescent="0.45">
      <c r="D209" s="15" t="str">
        <f>IF(B209&lt;&gt;"",IF(_xlfn.IFNA(VLOOKUP(B209&amp;C209,SUPORTE!AA:AA,1,0),"NÃO INICIADO")="NÃO INICIADO",IF(B209&amp;C209=$J$9&amp;$I$12,"EM PROCESSO","NÃO INICIADO"),VLOOKUP(B209&amp;C209,SUPORTE!AA:AF,6,0)),"")</f>
        <v/>
      </c>
      <c r="I209" s="44"/>
      <c r="J209" s="32"/>
      <c r="K209" s="33"/>
      <c r="L209" s="34"/>
      <c r="M209" s="35"/>
      <c r="N209" s="36"/>
      <c r="O209" s="36" t="str">
        <f>IF(K209&lt;&gt;"",COUNTIFS(SUPORTE!$Q$5:$Q$2900,MENU!$M209,SUPORTE!$R$5:$R$2900,MENU!$I$9),"")</f>
        <v/>
      </c>
      <c r="P209" s="36" t="str">
        <f t="shared" si="10"/>
        <v/>
      </c>
      <c r="Q209" s="36" t="str">
        <f t="shared" si="11"/>
        <v/>
      </c>
    </row>
    <row r="210" spans="4:17" ht="15.9" x14ac:dyDescent="0.45">
      <c r="D210" s="15" t="str">
        <f>IF(B210&lt;&gt;"",IF(_xlfn.IFNA(VLOOKUP(B210&amp;C210,SUPORTE!AA:AA,1,0),"NÃO INICIADO")="NÃO INICIADO",IF(B210&amp;C210=$J$9&amp;$I$12,"EM PROCESSO","NÃO INICIADO"),VLOOKUP(B210&amp;C210,SUPORTE!AA:AF,6,0)),"")</f>
        <v/>
      </c>
      <c r="I210" s="44"/>
      <c r="J210" s="32"/>
      <c r="K210" s="33"/>
      <c r="L210" s="34"/>
      <c r="M210" s="35"/>
      <c r="N210" s="36"/>
      <c r="O210" s="36" t="str">
        <f>IF(K210&lt;&gt;"",COUNTIFS(SUPORTE!$Q$5:$Q$2900,MENU!$M210,SUPORTE!$R$5:$R$2900,MENU!$I$9),"")</f>
        <v/>
      </c>
      <c r="P210" s="36" t="str">
        <f t="shared" si="10"/>
        <v/>
      </c>
      <c r="Q210" s="36" t="str">
        <f t="shared" si="11"/>
        <v/>
      </c>
    </row>
    <row r="211" spans="4:17" ht="15.9" x14ac:dyDescent="0.45">
      <c r="D211" s="15" t="str">
        <f>IF(B211&lt;&gt;"",IF(_xlfn.IFNA(VLOOKUP(B211&amp;C211,SUPORTE!AA:AA,1,0),"NÃO INICIADO")="NÃO INICIADO",IF(B211&amp;C211=$J$9&amp;$I$12,"EM PROCESSO","NÃO INICIADO"),VLOOKUP(B211&amp;C211,SUPORTE!AA:AF,6,0)),"")</f>
        <v/>
      </c>
      <c r="I211" s="44"/>
      <c r="J211" s="32"/>
      <c r="K211" s="33"/>
      <c r="L211" s="34"/>
      <c r="M211" s="35"/>
      <c r="N211" s="36"/>
      <c r="O211" s="36" t="str">
        <f>IF(K211&lt;&gt;"",COUNTIFS(SUPORTE!$Q$5:$Q$2900,MENU!$M211,SUPORTE!$R$5:$R$2900,MENU!$I$9),"")</f>
        <v/>
      </c>
      <c r="P211" s="36" t="str">
        <f t="shared" si="10"/>
        <v/>
      </c>
      <c r="Q211" s="36" t="str">
        <f t="shared" si="11"/>
        <v/>
      </c>
    </row>
    <row r="212" spans="4:17" ht="15.9" x14ac:dyDescent="0.45">
      <c r="D212" s="15" t="str">
        <f>IF(B212&lt;&gt;"",IF(_xlfn.IFNA(VLOOKUP(B212&amp;C212,SUPORTE!AA:AA,1,0),"NÃO INICIADO")="NÃO INICIADO",IF(B212&amp;C212=$J$9&amp;$I$12,"EM PROCESSO","NÃO INICIADO"),VLOOKUP(B212&amp;C212,SUPORTE!AA:AF,6,0)),"")</f>
        <v/>
      </c>
      <c r="I212" s="44"/>
      <c r="J212" s="32"/>
      <c r="K212" s="33"/>
      <c r="L212" s="34"/>
      <c r="M212" s="35"/>
      <c r="N212" s="36"/>
      <c r="O212" s="36" t="str">
        <f>IF(K212&lt;&gt;"",COUNTIFS(SUPORTE!$Q$5:$Q$2900,MENU!$M212,SUPORTE!$R$5:$R$2900,MENU!$I$9),"")</f>
        <v/>
      </c>
      <c r="P212" s="36" t="str">
        <f t="shared" si="10"/>
        <v/>
      </c>
      <c r="Q212" s="36" t="str">
        <f t="shared" si="11"/>
        <v/>
      </c>
    </row>
    <row r="213" spans="4:17" ht="15.9" x14ac:dyDescent="0.45">
      <c r="D213" s="15" t="str">
        <f>IF(B213&lt;&gt;"",IF(_xlfn.IFNA(VLOOKUP(B213&amp;C213,SUPORTE!AA:AA,1,0),"NÃO INICIADO")="NÃO INICIADO",IF(B213&amp;C213=$J$9&amp;$I$12,"EM PROCESSO","NÃO INICIADO"),VLOOKUP(B213&amp;C213,SUPORTE!AA:AF,6,0)),"")</f>
        <v/>
      </c>
      <c r="I213" s="44"/>
      <c r="J213" s="32"/>
      <c r="K213" s="33"/>
      <c r="L213" s="34"/>
      <c r="M213" s="35"/>
      <c r="N213" s="36"/>
      <c r="O213" s="36" t="str">
        <f>IF(K213&lt;&gt;"",COUNTIFS(SUPORTE!$Q$5:$Q$2900,MENU!$M213,SUPORTE!$R$5:$R$2900,MENU!$I$9),"")</f>
        <v/>
      </c>
      <c r="P213" s="36" t="str">
        <f t="shared" si="10"/>
        <v/>
      </c>
      <c r="Q213" s="36" t="str">
        <f t="shared" si="11"/>
        <v/>
      </c>
    </row>
    <row r="214" spans="4:17" ht="15.9" x14ac:dyDescent="0.45">
      <c r="D214" s="15" t="str">
        <f>IF(B214&lt;&gt;"",IF(_xlfn.IFNA(VLOOKUP(B214&amp;C214,SUPORTE!AA:AA,1,0),"NÃO INICIADO")="NÃO INICIADO",IF(B214&amp;C214=$J$9&amp;$I$12,"EM PROCESSO","NÃO INICIADO"),VLOOKUP(B214&amp;C214,SUPORTE!AA:AF,6,0)),"")</f>
        <v/>
      </c>
      <c r="I214" s="44"/>
      <c r="J214" s="32"/>
      <c r="K214" s="33"/>
      <c r="L214" s="34"/>
      <c r="M214" s="35"/>
      <c r="N214" s="36"/>
      <c r="O214" s="36" t="str">
        <f>IF(K214&lt;&gt;"",COUNTIFS(SUPORTE!$Q$5:$Q$2900,MENU!$M214,SUPORTE!$R$5:$R$2900,MENU!$I$9),"")</f>
        <v/>
      </c>
      <c r="P214" s="36" t="str">
        <f t="shared" si="10"/>
        <v/>
      </c>
      <c r="Q214" s="36" t="str">
        <f t="shared" si="11"/>
        <v/>
      </c>
    </row>
    <row r="215" spans="4:17" ht="15.9" x14ac:dyDescent="0.45">
      <c r="D215" s="15" t="str">
        <f>IF(B215&lt;&gt;"",IF(_xlfn.IFNA(VLOOKUP(B215&amp;C215,SUPORTE!AA:AA,1,0),"NÃO INICIADO")="NÃO INICIADO",IF(B215&amp;C215=$J$9&amp;$I$12,"EM PROCESSO","NÃO INICIADO"),VLOOKUP(B215&amp;C215,SUPORTE!AA:AF,6,0)),"")</f>
        <v/>
      </c>
      <c r="I215" s="44"/>
      <c r="J215" s="32"/>
      <c r="K215" s="33"/>
      <c r="L215" s="34"/>
      <c r="M215" s="35"/>
      <c r="N215" s="36"/>
      <c r="O215" s="36" t="str">
        <f>IF(K215&lt;&gt;"",COUNTIFS(SUPORTE!$Q$5:$Q$2900,MENU!$M215,SUPORTE!$R$5:$R$2900,MENU!$I$9),"")</f>
        <v/>
      </c>
      <c r="P215" s="36" t="str">
        <f t="shared" si="10"/>
        <v/>
      </c>
      <c r="Q215" s="36" t="str">
        <f t="shared" si="11"/>
        <v/>
      </c>
    </row>
    <row r="216" spans="4:17" ht="15.9" x14ac:dyDescent="0.45">
      <c r="D216" s="15" t="str">
        <f>IF(B216&lt;&gt;"",IF(_xlfn.IFNA(VLOOKUP(B216&amp;C216,SUPORTE!AA:AA,1,0),"NÃO INICIADO")="NÃO INICIADO",IF(B216&amp;C216=$J$9&amp;$I$12,"EM PROCESSO","NÃO INICIADO"),VLOOKUP(B216&amp;C216,SUPORTE!AA:AF,6,0)),"")</f>
        <v/>
      </c>
      <c r="I216" s="44"/>
      <c r="J216" s="32"/>
      <c r="K216" s="33"/>
      <c r="L216" s="34"/>
      <c r="M216" s="35"/>
      <c r="N216" s="36"/>
      <c r="O216" s="36" t="str">
        <f>IF(K216&lt;&gt;"",COUNTIFS(SUPORTE!$Q$5:$Q$2900,MENU!$M216,SUPORTE!$R$5:$R$2900,MENU!$I$9),"")</f>
        <v/>
      </c>
      <c r="P216" s="36" t="str">
        <f t="shared" si="10"/>
        <v/>
      </c>
      <c r="Q216" s="36" t="str">
        <f t="shared" si="11"/>
        <v/>
      </c>
    </row>
    <row r="217" spans="4:17" ht="15.9" x14ac:dyDescent="0.45">
      <c r="D217" s="15" t="str">
        <f>IF(B217&lt;&gt;"",IF(_xlfn.IFNA(VLOOKUP(B217&amp;C217,SUPORTE!AA:AA,1,0),"NÃO INICIADO")="NÃO INICIADO",IF(B217&amp;C217=$J$9&amp;$I$12,"EM PROCESSO","NÃO INICIADO"),VLOOKUP(B217&amp;C217,SUPORTE!AA:AF,6,0)),"")</f>
        <v/>
      </c>
      <c r="I217" s="44"/>
      <c r="J217" s="32"/>
      <c r="K217" s="33"/>
      <c r="L217" s="34"/>
      <c r="M217" s="35"/>
      <c r="N217" s="36"/>
      <c r="O217" s="36" t="str">
        <f>IF(K217&lt;&gt;"",COUNTIFS(SUPORTE!$Q$5:$Q$2900,MENU!$M217,SUPORTE!$R$5:$R$2900,MENU!$I$9),"")</f>
        <v/>
      </c>
      <c r="P217" s="36" t="str">
        <f t="shared" si="10"/>
        <v/>
      </c>
      <c r="Q217" s="36" t="str">
        <f t="shared" si="11"/>
        <v/>
      </c>
    </row>
    <row r="218" spans="4:17" ht="15.9" x14ac:dyDescent="0.45">
      <c r="D218" s="15" t="str">
        <f>IF(B218&lt;&gt;"",IF(_xlfn.IFNA(VLOOKUP(B218&amp;C218,SUPORTE!AA:AA,1,0),"NÃO INICIADO")="NÃO INICIADO",IF(B218&amp;C218=$J$9&amp;$I$12,"EM PROCESSO","NÃO INICIADO"),VLOOKUP(B218&amp;C218,SUPORTE!AA:AF,6,0)),"")</f>
        <v/>
      </c>
      <c r="I218" s="44"/>
      <c r="J218" s="32"/>
      <c r="K218" s="33"/>
      <c r="L218" s="34"/>
      <c r="M218" s="35"/>
      <c r="N218" s="36"/>
      <c r="O218" s="36" t="str">
        <f>IF(K218&lt;&gt;"",COUNTIFS(SUPORTE!$Q$5:$Q$2900,MENU!$M218,SUPORTE!$R$5:$R$2900,MENU!$I$9),"")</f>
        <v/>
      </c>
      <c r="P218" s="36" t="str">
        <f t="shared" si="10"/>
        <v/>
      </c>
      <c r="Q218" s="36" t="str">
        <f t="shared" si="11"/>
        <v/>
      </c>
    </row>
    <row r="219" spans="4:17" ht="15.9" x14ac:dyDescent="0.45">
      <c r="D219" s="15" t="str">
        <f>IF(B219&lt;&gt;"",IF(_xlfn.IFNA(VLOOKUP(B219&amp;C219,SUPORTE!AA:AA,1,0),"NÃO INICIADO")="NÃO INICIADO",IF(B219&amp;C219=$J$9&amp;$I$12,"EM PROCESSO","NÃO INICIADO"),VLOOKUP(B219&amp;C219,SUPORTE!AA:AF,6,0)),"")</f>
        <v/>
      </c>
      <c r="I219" s="44"/>
      <c r="J219" s="32"/>
      <c r="K219" s="33"/>
      <c r="L219" s="34"/>
      <c r="M219" s="35"/>
      <c r="N219" s="36"/>
      <c r="O219" s="36" t="str">
        <f>IF(K219&lt;&gt;"",COUNTIFS(SUPORTE!$Q$5:$Q$2900,MENU!$M219,SUPORTE!$R$5:$R$2900,MENU!$I$9),"")</f>
        <v/>
      </c>
      <c r="P219" s="36" t="str">
        <f t="shared" si="10"/>
        <v/>
      </c>
      <c r="Q219" s="36" t="str">
        <f t="shared" si="11"/>
        <v/>
      </c>
    </row>
    <row r="220" spans="4:17" ht="15.9" x14ac:dyDescent="0.45">
      <c r="D220" s="15" t="str">
        <f>IF(B220&lt;&gt;"",IF(_xlfn.IFNA(VLOOKUP(B220&amp;C220,SUPORTE!AA:AA,1,0),"NÃO INICIADO")="NÃO INICIADO",IF(B220&amp;C220=$J$9&amp;$I$12,"EM PROCESSO","NÃO INICIADO"),VLOOKUP(B220&amp;C220,SUPORTE!AA:AF,6,0)),"")</f>
        <v/>
      </c>
      <c r="I220" s="44"/>
      <c r="J220" s="32"/>
      <c r="K220" s="33"/>
      <c r="L220" s="34"/>
      <c r="M220" s="35"/>
      <c r="N220" s="36"/>
      <c r="O220" s="36" t="str">
        <f>IF(K220&lt;&gt;"",COUNTIFS(SUPORTE!$Q$5:$Q$2900,MENU!$M220,SUPORTE!$R$5:$R$2900,MENU!$I$9),"")</f>
        <v/>
      </c>
      <c r="P220" s="36" t="str">
        <f t="shared" si="10"/>
        <v/>
      </c>
      <c r="Q220" s="36" t="str">
        <f t="shared" si="11"/>
        <v/>
      </c>
    </row>
    <row r="221" spans="4:17" ht="15.9" x14ac:dyDescent="0.45">
      <c r="D221" s="15" t="str">
        <f>IF(B221&lt;&gt;"",IF(_xlfn.IFNA(VLOOKUP(B221&amp;C221,SUPORTE!AA:AA,1,0),"NÃO INICIADO")="NÃO INICIADO",IF(B221&amp;C221=$J$9&amp;$I$12,"EM PROCESSO","NÃO INICIADO"),VLOOKUP(B221&amp;C221,SUPORTE!AA:AF,6,0)),"")</f>
        <v/>
      </c>
      <c r="I221" s="44"/>
      <c r="J221" s="32"/>
      <c r="K221" s="33"/>
      <c r="L221" s="34"/>
      <c r="M221" s="35"/>
      <c r="N221" s="36"/>
      <c r="O221" s="36" t="str">
        <f>IF(K221&lt;&gt;"",COUNTIFS(SUPORTE!$Q$5:$Q$2900,MENU!$M221,SUPORTE!$R$5:$R$2900,MENU!$I$9),"")</f>
        <v/>
      </c>
      <c r="P221" s="36" t="str">
        <f t="shared" si="10"/>
        <v/>
      </c>
      <c r="Q221" s="36" t="str">
        <f t="shared" si="11"/>
        <v/>
      </c>
    </row>
    <row r="222" spans="4:17" ht="15.9" x14ac:dyDescent="0.45">
      <c r="D222" s="15" t="str">
        <f>IF(B222&lt;&gt;"",IF(_xlfn.IFNA(VLOOKUP(B222&amp;C222,SUPORTE!AA:AA,1,0),"NÃO INICIADO")="NÃO INICIADO",IF(B222&amp;C222=$J$9&amp;$I$12,"EM PROCESSO","NÃO INICIADO"),VLOOKUP(B222&amp;C222,SUPORTE!AA:AF,6,0)),"")</f>
        <v/>
      </c>
      <c r="I222" s="44"/>
      <c r="J222" s="32"/>
      <c r="K222" s="33"/>
      <c r="L222" s="34"/>
      <c r="M222" s="35"/>
      <c r="N222" s="36"/>
      <c r="O222" s="36" t="str">
        <f>IF(K222&lt;&gt;"",COUNTIFS(SUPORTE!$Q$5:$Q$2900,MENU!$M222,SUPORTE!$R$5:$R$2900,MENU!$I$9),"")</f>
        <v/>
      </c>
      <c r="P222" s="36" t="str">
        <f t="shared" si="10"/>
        <v/>
      </c>
      <c r="Q222" s="36" t="str">
        <f t="shared" si="11"/>
        <v/>
      </c>
    </row>
    <row r="223" spans="4:17" ht="15.9" x14ac:dyDescent="0.45">
      <c r="D223" s="15" t="str">
        <f>IF(B223&lt;&gt;"",IF(_xlfn.IFNA(VLOOKUP(B223&amp;C223,SUPORTE!AA:AA,1,0),"NÃO INICIADO")="NÃO INICIADO",IF(B223&amp;C223=$J$9&amp;$I$12,"EM PROCESSO","NÃO INICIADO"),VLOOKUP(B223&amp;C223,SUPORTE!AA:AF,6,0)),"")</f>
        <v/>
      </c>
      <c r="I223" s="44"/>
      <c r="J223" s="32"/>
      <c r="K223" s="33"/>
      <c r="L223" s="34"/>
      <c r="M223" s="35"/>
      <c r="N223" s="36"/>
      <c r="O223" s="36" t="str">
        <f>IF(K223&lt;&gt;"",COUNTIFS(SUPORTE!$Q$5:$Q$2900,MENU!$M223,SUPORTE!$R$5:$R$2900,MENU!$I$9),"")</f>
        <v/>
      </c>
      <c r="P223" s="36" t="str">
        <f t="shared" si="10"/>
        <v/>
      </c>
      <c r="Q223" s="36" t="str">
        <f t="shared" si="11"/>
        <v/>
      </c>
    </row>
    <row r="224" spans="4:17" ht="15.9" x14ac:dyDescent="0.45">
      <c r="D224" s="15" t="str">
        <f>IF(B224&lt;&gt;"",IF(_xlfn.IFNA(VLOOKUP(B224&amp;C224,SUPORTE!AA:AA,1,0),"NÃO INICIADO")="NÃO INICIADO",IF(B224&amp;C224=$J$9&amp;$I$12,"EM PROCESSO","NÃO INICIADO"),VLOOKUP(B224&amp;C224,SUPORTE!AA:AF,6,0)),"")</f>
        <v/>
      </c>
      <c r="I224" s="44"/>
      <c r="J224" s="32"/>
      <c r="K224" s="33"/>
      <c r="L224" s="34"/>
      <c r="M224" s="35"/>
      <c r="N224" s="36"/>
      <c r="O224" s="36" t="str">
        <f>IF(K224&lt;&gt;"",COUNTIFS(SUPORTE!$Q$5:$Q$2900,MENU!$M224,SUPORTE!$R$5:$R$2900,MENU!$I$9),"")</f>
        <v/>
      </c>
      <c r="P224" s="36" t="str">
        <f t="shared" si="10"/>
        <v/>
      </c>
      <c r="Q224" s="36" t="str">
        <f t="shared" si="11"/>
        <v/>
      </c>
    </row>
    <row r="225" spans="4:17" ht="15.9" x14ac:dyDescent="0.45">
      <c r="D225" s="15" t="str">
        <f>IF(B225&lt;&gt;"",IF(_xlfn.IFNA(VLOOKUP(B225&amp;C225,SUPORTE!AA:AA,1,0),"NÃO INICIADO")="NÃO INICIADO",IF(B225&amp;C225=$J$9&amp;$I$12,"EM PROCESSO","NÃO INICIADO"),VLOOKUP(B225&amp;C225,SUPORTE!AA:AF,6,0)),"")</f>
        <v/>
      </c>
      <c r="I225" s="44"/>
      <c r="J225" s="32"/>
      <c r="K225" s="33"/>
      <c r="L225" s="34"/>
      <c r="M225" s="35"/>
      <c r="N225" s="36"/>
      <c r="O225" s="36" t="str">
        <f>IF(K225&lt;&gt;"",COUNTIFS(SUPORTE!$Q$5:$Q$2900,MENU!$M225,SUPORTE!$R$5:$R$2900,MENU!$I$9),"")</f>
        <v/>
      </c>
      <c r="P225" s="36" t="str">
        <f t="shared" si="10"/>
        <v/>
      </c>
      <c r="Q225" s="36" t="str">
        <f t="shared" si="11"/>
        <v/>
      </c>
    </row>
    <row r="226" spans="4:17" ht="15.9" x14ac:dyDescent="0.45">
      <c r="D226" s="15" t="str">
        <f>IF(B226&lt;&gt;"",IF(_xlfn.IFNA(VLOOKUP(B226&amp;C226,SUPORTE!AA:AA,1,0),"NÃO INICIADO")="NÃO INICIADO",IF(B226&amp;C226=$J$9&amp;$I$12,"EM PROCESSO","NÃO INICIADO"),VLOOKUP(B226&amp;C226,SUPORTE!AA:AF,6,0)),"")</f>
        <v/>
      </c>
      <c r="I226" s="44"/>
      <c r="J226" s="32"/>
      <c r="K226" s="33"/>
      <c r="L226" s="34"/>
      <c r="M226" s="35"/>
      <c r="N226" s="36"/>
      <c r="O226" s="36" t="str">
        <f>IF(K226&lt;&gt;"",COUNTIFS(SUPORTE!$Q$5:$Q$2900,MENU!$M226,SUPORTE!$R$5:$R$2900,MENU!$I$9),"")</f>
        <v/>
      </c>
      <c r="P226" s="36" t="str">
        <f t="shared" si="10"/>
        <v/>
      </c>
      <c r="Q226" s="36" t="str">
        <f t="shared" si="11"/>
        <v/>
      </c>
    </row>
    <row r="227" spans="4:17" ht="15.9" x14ac:dyDescent="0.45">
      <c r="D227" s="15" t="str">
        <f>IF(B227&lt;&gt;"",IF(_xlfn.IFNA(VLOOKUP(B227&amp;C227,SUPORTE!AA:AA,1,0),"NÃO INICIADO")="NÃO INICIADO",IF(B227&amp;C227=$J$9&amp;$I$12,"EM PROCESSO","NÃO INICIADO"),VLOOKUP(B227&amp;C227,SUPORTE!AA:AF,6,0)),"")</f>
        <v/>
      </c>
      <c r="I227" s="44"/>
      <c r="J227" s="32"/>
      <c r="K227" s="33"/>
      <c r="L227" s="34"/>
      <c r="M227" s="35"/>
      <c r="N227" s="36"/>
      <c r="O227" s="36" t="str">
        <f>IF(K227&lt;&gt;"",COUNTIFS(SUPORTE!$Q$5:$Q$2900,MENU!$M227,SUPORTE!$R$5:$R$2900,MENU!$I$9),"")</f>
        <v/>
      </c>
      <c r="P227" s="36" t="str">
        <f t="shared" si="10"/>
        <v/>
      </c>
      <c r="Q227" s="36" t="str">
        <f t="shared" si="11"/>
        <v/>
      </c>
    </row>
    <row r="228" spans="4:17" ht="15.9" x14ac:dyDescent="0.45">
      <c r="D228" s="15" t="str">
        <f>IF(B228&lt;&gt;"",IF(_xlfn.IFNA(VLOOKUP(B228&amp;C228,SUPORTE!AA:AA,1,0),"NÃO INICIADO")="NÃO INICIADO",IF(B228&amp;C228=$J$9&amp;$I$12,"EM PROCESSO","NÃO INICIADO"),VLOOKUP(B228&amp;C228,SUPORTE!AA:AF,6,0)),"")</f>
        <v/>
      </c>
      <c r="I228" s="44"/>
      <c r="J228" s="32"/>
      <c r="K228" s="33"/>
      <c r="L228" s="34"/>
      <c r="M228" s="35"/>
      <c r="N228" s="36"/>
      <c r="O228" s="36" t="str">
        <f>IF(K228&lt;&gt;"",COUNTIFS(SUPORTE!$Q$5:$Q$2900,MENU!$M228,SUPORTE!$R$5:$R$2900,MENU!$I$9),"")</f>
        <v/>
      </c>
      <c r="P228" s="36" t="str">
        <f t="shared" si="10"/>
        <v/>
      </c>
      <c r="Q228" s="36" t="str">
        <f t="shared" si="11"/>
        <v/>
      </c>
    </row>
    <row r="229" spans="4:17" ht="15.9" x14ac:dyDescent="0.45">
      <c r="D229" s="15" t="str">
        <f>IF(B229&lt;&gt;"",IF(_xlfn.IFNA(VLOOKUP(B229&amp;C229,SUPORTE!AA:AA,1,0),"NÃO INICIADO")="NÃO INICIADO",IF(B229&amp;C229=$J$9&amp;$I$12,"EM PROCESSO","NÃO INICIADO"),VLOOKUP(B229&amp;C229,SUPORTE!AA:AF,6,0)),"")</f>
        <v/>
      </c>
      <c r="I229" s="44"/>
      <c r="J229" s="32"/>
      <c r="K229" s="33"/>
      <c r="L229" s="34"/>
      <c r="M229" s="35"/>
      <c r="N229" s="36"/>
      <c r="O229" s="36" t="str">
        <f>IF(K229&lt;&gt;"",COUNTIFS(SUPORTE!$Q$5:$Q$2900,MENU!$M229,SUPORTE!$R$5:$R$2900,MENU!$I$9),"")</f>
        <v/>
      </c>
      <c r="P229" s="36" t="str">
        <f t="shared" si="10"/>
        <v/>
      </c>
      <c r="Q229" s="36" t="str">
        <f t="shared" si="11"/>
        <v/>
      </c>
    </row>
    <row r="230" spans="4:17" ht="15.9" x14ac:dyDescent="0.45">
      <c r="D230" s="15" t="str">
        <f>IF(B230&lt;&gt;"",IF(_xlfn.IFNA(VLOOKUP(B230&amp;C230,SUPORTE!AA:AA,1,0),"NÃO INICIADO")="NÃO INICIADO",IF(B230&amp;C230=$J$9&amp;$I$12,"EM PROCESSO","NÃO INICIADO"),VLOOKUP(B230&amp;C230,SUPORTE!AA:AF,6,0)),"")</f>
        <v/>
      </c>
      <c r="I230" s="44"/>
      <c r="J230" s="32"/>
      <c r="K230" s="33"/>
      <c r="L230" s="34"/>
      <c r="M230" s="35"/>
      <c r="N230" s="36"/>
      <c r="O230" s="36" t="str">
        <f>IF(K230&lt;&gt;"",COUNTIFS(SUPORTE!$Q$5:$Q$2900,MENU!$M230,SUPORTE!$R$5:$R$2900,MENU!$I$9),"")</f>
        <v/>
      </c>
      <c r="P230" s="36" t="str">
        <f t="shared" si="10"/>
        <v/>
      </c>
      <c r="Q230" s="36" t="str">
        <f t="shared" si="11"/>
        <v/>
      </c>
    </row>
    <row r="231" spans="4:17" ht="15.9" x14ac:dyDescent="0.45">
      <c r="D231" s="15" t="str">
        <f>IF(B231&lt;&gt;"",IF(_xlfn.IFNA(VLOOKUP(B231&amp;C231,SUPORTE!AA:AA,1,0),"NÃO INICIADO")="NÃO INICIADO",IF(B231&amp;C231=$J$9&amp;$I$12,"EM PROCESSO","NÃO INICIADO"),VLOOKUP(B231&amp;C231,SUPORTE!AA:AF,6,0)),"")</f>
        <v/>
      </c>
      <c r="I231" s="44"/>
      <c r="J231" s="32"/>
      <c r="K231" s="33"/>
      <c r="L231" s="34"/>
      <c r="M231" s="35"/>
      <c r="N231" s="36"/>
      <c r="O231" s="36" t="str">
        <f>IF(K231&lt;&gt;"",COUNTIFS(SUPORTE!$Q$5:$Q$2900,MENU!$M231,SUPORTE!$R$5:$R$2900,MENU!$I$9),"")</f>
        <v/>
      </c>
      <c r="P231" s="36" t="str">
        <f t="shared" si="10"/>
        <v/>
      </c>
      <c r="Q231" s="36" t="str">
        <f t="shared" si="11"/>
        <v/>
      </c>
    </row>
    <row r="232" spans="4:17" ht="15.9" x14ac:dyDescent="0.45">
      <c r="D232" s="15" t="str">
        <f>IF(B232&lt;&gt;"",IF(_xlfn.IFNA(VLOOKUP(B232&amp;C232,SUPORTE!AA:AA,1,0),"NÃO INICIADO")="NÃO INICIADO",IF(B232&amp;C232=$J$9&amp;$I$12,"EM PROCESSO","NÃO INICIADO"),VLOOKUP(B232&amp;C232,SUPORTE!AA:AF,6,0)),"")</f>
        <v/>
      </c>
      <c r="I232" s="44"/>
      <c r="J232" s="32"/>
      <c r="K232" s="33"/>
      <c r="L232" s="34"/>
      <c r="M232" s="35"/>
      <c r="N232" s="36"/>
      <c r="O232" s="36" t="str">
        <f>IF(K232&lt;&gt;"",COUNTIFS(SUPORTE!$Q$5:$Q$2900,MENU!$M232,SUPORTE!$R$5:$R$2900,MENU!$I$9),"")</f>
        <v/>
      </c>
      <c r="P232" s="36" t="str">
        <f t="shared" si="10"/>
        <v/>
      </c>
      <c r="Q232" s="36" t="str">
        <f t="shared" si="11"/>
        <v/>
      </c>
    </row>
    <row r="233" spans="4:17" ht="15.9" x14ac:dyDescent="0.45">
      <c r="D233" s="15" t="str">
        <f>IF(B233&lt;&gt;"",IF(_xlfn.IFNA(VLOOKUP(B233&amp;C233,SUPORTE!AA:AA,1,0),"NÃO INICIADO")="NÃO INICIADO",IF(B233&amp;C233=$J$9&amp;$I$12,"EM PROCESSO","NÃO INICIADO"),VLOOKUP(B233&amp;C233,SUPORTE!AA:AF,6,0)),"")</f>
        <v/>
      </c>
      <c r="I233" s="44"/>
      <c r="J233" s="32"/>
      <c r="K233" s="33"/>
      <c r="L233" s="34"/>
      <c r="M233" s="35"/>
      <c r="N233" s="36"/>
      <c r="O233" s="36" t="str">
        <f>IF(K233&lt;&gt;"",COUNTIFS(SUPORTE!$Q$5:$Q$2900,MENU!$M233,SUPORTE!$R$5:$R$2900,MENU!$I$9),"")</f>
        <v/>
      </c>
      <c r="P233" s="36" t="str">
        <f t="shared" si="10"/>
        <v/>
      </c>
      <c r="Q233" s="36" t="str">
        <f t="shared" si="11"/>
        <v/>
      </c>
    </row>
    <row r="234" spans="4:17" ht="15.9" x14ac:dyDescent="0.45">
      <c r="D234" s="15" t="str">
        <f>IF(B234&lt;&gt;"",IF(_xlfn.IFNA(VLOOKUP(B234&amp;C234,SUPORTE!AA:AA,1,0),"NÃO INICIADO")="NÃO INICIADO",IF(B234&amp;C234=$J$9&amp;$I$12,"EM PROCESSO","NÃO INICIADO"),VLOOKUP(B234&amp;C234,SUPORTE!AA:AF,6,0)),"")</f>
        <v/>
      </c>
      <c r="I234" s="44"/>
      <c r="J234" s="32"/>
      <c r="K234" s="33"/>
      <c r="L234" s="34"/>
      <c r="M234" s="35"/>
      <c r="N234" s="36"/>
      <c r="O234" s="36" t="str">
        <f>IF(K234&lt;&gt;"",COUNTIFS(SUPORTE!$Q$5:$Q$2900,MENU!$M234,SUPORTE!$R$5:$R$2900,MENU!$I$9),"")</f>
        <v/>
      </c>
      <c r="P234" s="36" t="str">
        <f t="shared" ref="P234:P297" si="12">IF(L234&lt;&gt;"",IF(Q234&lt;&gt;0,"AT","OK"),"")</f>
        <v/>
      </c>
      <c r="Q234" s="36" t="str">
        <f t="shared" ref="Q234:Q297" si="13">IF(L234&lt;&gt;"",N234-O234,"")</f>
        <v/>
      </c>
    </row>
    <row r="235" spans="4:17" ht="15.9" x14ac:dyDescent="0.45">
      <c r="D235" s="15" t="str">
        <f>IF(B235&lt;&gt;"",IF(_xlfn.IFNA(VLOOKUP(B235&amp;C235,SUPORTE!AA:AA,1,0),"NÃO INICIADO")="NÃO INICIADO",IF(B235&amp;C235=$J$9&amp;$I$12,"EM PROCESSO","NÃO INICIADO"),VLOOKUP(B235&amp;C235,SUPORTE!AA:AF,6,0)),"")</f>
        <v/>
      </c>
      <c r="I235" s="44"/>
      <c r="J235" s="32"/>
      <c r="K235" s="33"/>
      <c r="L235" s="34"/>
      <c r="M235" s="35"/>
      <c r="N235" s="36"/>
      <c r="O235" s="36" t="str">
        <f>IF(K235&lt;&gt;"",COUNTIFS(SUPORTE!$Q$5:$Q$2900,MENU!$M235,SUPORTE!$R$5:$R$2900,MENU!$I$9),"")</f>
        <v/>
      </c>
      <c r="P235" s="36" t="str">
        <f t="shared" si="12"/>
        <v/>
      </c>
      <c r="Q235" s="36" t="str">
        <f t="shared" si="13"/>
        <v/>
      </c>
    </row>
    <row r="236" spans="4:17" ht="15.9" x14ac:dyDescent="0.45">
      <c r="D236" s="15" t="str">
        <f>IF(B236&lt;&gt;"",IF(_xlfn.IFNA(VLOOKUP(B236&amp;C236,SUPORTE!AA:AA,1,0),"NÃO INICIADO")="NÃO INICIADO",IF(B236&amp;C236=$J$9&amp;$I$12,"EM PROCESSO","NÃO INICIADO"),VLOOKUP(B236&amp;C236,SUPORTE!AA:AF,6,0)),"")</f>
        <v/>
      </c>
      <c r="I236" s="44"/>
      <c r="J236" s="32"/>
      <c r="K236" s="33"/>
      <c r="L236" s="34"/>
      <c r="M236" s="35"/>
      <c r="N236" s="36"/>
      <c r="O236" s="36" t="str">
        <f>IF(K236&lt;&gt;"",COUNTIFS(SUPORTE!$Q$5:$Q$2900,MENU!$M236,SUPORTE!$R$5:$R$2900,MENU!$I$9),"")</f>
        <v/>
      </c>
      <c r="P236" s="36" t="str">
        <f t="shared" si="12"/>
        <v/>
      </c>
      <c r="Q236" s="36" t="str">
        <f t="shared" si="13"/>
        <v/>
      </c>
    </row>
    <row r="237" spans="4:17" ht="15.9" x14ac:dyDescent="0.45">
      <c r="D237" s="15" t="str">
        <f>IF(B237&lt;&gt;"",IF(_xlfn.IFNA(VLOOKUP(B237&amp;C237,SUPORTE!AA:AA,1,0),"NÃO INICIADO")="NÃO INICIADO",IF(B237&amp;C237=$J$9&amp;$I$12,"EM PROCESSO","NÃO INICIADO"),VLOOKUP(B237&amp;C237,SUPORTE!AA:AF,6,0)),"")</f>
        <v/>
      </c>
      <c r="I237" s="44"/>
      <c r="J237" s="32"/>
      <c r="K237" s="33"/>
      <c r="L237" s="34"/>
      <c r="M237" s="35"/>
      <c r="N237" s="36"/>
      <c r="O237" s="36" t="str">
        <f>IF(K237&lt;&gt;"",COUNTIFS(SUPORTE!$Q$5:$Q$2900,MENU!$M237,SUPORTE!$R$5:$R$2900,MENU!$I$9),"")</f>
        <v/>
      </c>
      <c r="P237" s="36" t="str">
        <f t="shared" si="12"/>
        <v/>
      </c>
      <c r="Q237" s="36" t="str">
        <f t="shared" si="13"/>
        <v/>
      </c>
    </row>
    <row r="238" spans="4:17" ht="15.9" x14ac:dyDescent="0.45">
      <c r="D238" s="15" t="str">
        <f>IF(B238&lt;&gt;"",IF(_xlfn.IFNA(VLOOKUP(B238&amp;C238,SUPORTE!AA:AA,1,0),"NÃO INICIADO")="NÃO INICIADO",IF(B238&amp;C238=$J$9&amp;$I$12,"EM PROCESSO","NÃO INICIADO"),VLOOKUP(B238&amp;C238,SUPORTE!AA:AF,6,0)),"")</f>
        <v/>
      </c>
      <c r="I238" s="44"/>
      <c r="J238" s="32"/>
      <c r="K238" s="33"/>
      <c r="L238" s="34"/>
      <c r="M238" s="35"/>
      <c r="N238" s="36"/>
      <c r="O238" s="36" t="str">
        <f>IF(K238&lt;&gt;"",COUNTIFS(SUPORTE!$Q$5:$Q$2900,MENU!$M238,SUPORTE!$R$5:$R$2900,MENU!$I$9),"")</f>
        <v/>
      </c>
      <c r="P238" s="36" t="str">
        <f t="shared" si="12"/>
        <v/>
      </c>
      <c r="Q238" s="36" t="str">
        <f t="shared" si="13"/>
        <v/>
      </c>
    </row>
    <row r="239" spans="4:17" ht="15.9" x14ac:dyDescent="0.45">
      <c r="D239" s="15" t="str">
        <f>IF(B239&lt;&gt;"",IF(_xlfn.IFNA(VLOOKUP(B239&amp;C239,SUPORTE!AA:AA,1,0),"NÃO INICIADO")="NÃO INICIADO",IF(B239&amp;C239=$J$9&amp;$I$12,"EM PROCESSO","NÃO INICIADO"),VLOOKUP(B239&amp;C239,SUPORTE!AA:AF,6,0)),"")</f>
        <v/>
      </c>
      <c r="I239" s="44"/>
      <c r="J239" s="32"/>
      <c r="K239" s="33"/>
      <c r="L239" s="34"/>
      <c r="M239" s="35"/>
      <c r="N239" s="36"/>
      <c r="O239" s="36" t="str">
        <f>IF(K239&lt;&gt;"",COUNTIFS(SUPORTE!$Q$5:$Q$2900,MENU!$M239,SUPORTE!$R$5:$R$2900,MENU!$I$9),"")</f>
        <v/>
      </c>
      <c r="P239" s="36" t="str">
        <f t="shared" si="12"/>
        <v/>
      </c>
      <c r="Q239" s="36" t="str">
        <f t="shared" si="13"/>
        <v/>
      </c>
    </row>
    <row r="240" spans="4:17" ht="15.9" x14ac:dyDescent="0.45">
      <c r="D240" s="15" t="str">
        <f>IF(B240&lt;&gt;"",IF(_xlfn.IFNA(VLOOKUP(B240&amp;C240,SUPORTE!AA:AA,1,0),"NÃO INICIADO")="NÃO INICIADO",IF(B240&amp;C240=$J$9&amp;$I$12,"EM PROCESSO","NÃO INICIADO"),VLOOKUP(B240&amp;C240,SUPORTE!AA:AF,6,0)),"")</f>
        <v/>
      </c>
      <c r="I240" s="44"/>
      <c r="J240" s="32"/>
      <c r="K240" s="33"/>
      <c r="L240" s="34"/>
      <c r="M240" s="35"/>
      <c r="N240" s="36"/>
      <c r="O240" s="36" t="str">
        <f>IF(K240&lt;&gt;"",COUNTIFS(SUPORTE!$Q$5:$Q$2900,MENU!$M240,SUPORTE!$R$5:$R$2900,MENU!$I$9),"")</f>
        <v/>
      </c>
      <c r="P240" s="36" t="str">
        <f t="shared" si="12"/>
        <v/>
      </c>
      <c r="Q240" s="36" t="str">
        <f t="shared" si="13"/>
        <v/>
      </c>
    </row>
    <row r="241" spans="4:17" ht="15.9" x14ac:dyDescent="0.45">
      <c r="D241" s="15" t="str">
        <f>IF(B241&lt;&gt;"",IF(_xlfn.IFNA(VLOOKUP(B241&amp;C241,SUPORTE!AA:AA,1,0),"NÃO INICIADO")="NÃO INICIADO",IF(B241&amp;C241=$J$9&amp;$I$12,"EM PROCESSO","NÃO INICIADO"),VLOOKUP(B241&amp;C241,SUPORTE!AA:AF,6,0)),"")</f>
        <v/>
      </c>
      <c r="I241" s="44"/>
      <c r="J241" s="32"/>
      <c r="K241" s="33"/>
      <c r="L241" s="34"/>
      <c r="M241" s="35"/>
      <c r="N241" s="36"/>
      <c r="O241" s="36" t="str">
        <f>IF(K241&lt;&gt;"",COUNTIFS(SUPORTE!$Q$5:$Q$2900,MENU!$M241,SUPORTE!$R$5:$R$2900,MENU!$I$9),"")</f>
        <v/>
      </c>
      <c r="P241" s="36" t="str">
        <f t="shared" si="12"/>
        <v/>
      </c>
      <c r="Q241" s="36" t="str">
        <f t="shared" si="13"/>
        <v/>
      </c>
    </row>
    <row r="242" spans="4:17" ht="15.9" x14ac:dyDescent="0.45">
      <c r="D242" s="15" t="str">
        <f>IF(B242&lt;&gt;"",IF(_xlfn.IFNA(VLOOKUP(B242&amp;C242,SUPORTE!AA:AA,1,0),"NÃO INICIADO")="NÃO INICIADO",IF(B242&amp;C242=$J$9&amp;$I$12,"EM PROCESSO","NÃO INICIADO"),VLOOKUP(B242&amp;C242,SUPORTE!AA:AF,6,0)),"")</f>
        <v/>
      </c>
      <c r="I242" s="44"/>
      <c r="J242" s="32"/>
      <c r="K242" s="33"/>
      <c r="L242" s="34"/>
      <c r="M242" s="35"/>
      <c r="N242" s="36"/>
      <c r="O242" s="36" t="str">
        <f>IF(K242&lt;&gt;"",COUNTIFS(SUPORTE!$Q$5:$Q$2900,MENU!$M242,SUPORTE!$R$5:$R$2900,MENU!$I$9),"")</f>
        <v/>
      </c>
      <c r="P242" s="36" t="str">
        <f t="shared" si="12"/>
        <v/>
      </c>
      <c r="Q242" s="36" t="str">
        <f t="shared" si="13"/>
        <v/>
      </c>
    </row>
    <row r="243" spans="4:17" ht="15.9" x14ac:dyDescent="0.45">
      <c r="D243" s="15" t="str">
        <f>IF(B243&lt;&gt;"",IF(_xlfn.IFNA(VLOOKUP(B243&amp;C243,SUPORTE!AA:AA,1,0),"NÃO INICIADO")="NÃO INICIADO",IF(B243&amp;C243=$J$9&amp;$I$12,"EM PROCESSO","NÃO INICIADO"),VLOOKUP(B243&amp;C243,SUPORTE!AA:AF,6,0)),"")</f>
        <v/>
      </c>
      <c r="I243" s="44"/>
      <c r="J243" s="32"/>
      <c r="K243" s="33"/>
      <c r="L243" s="34"/>
      <c r="M243" s="35"/>
      <c r="N243" s="36"/>
      <c r="O243" s="36" t="str">
        <f>IF(K243&lt;&gt;"",COUNTIFS(SUPORTE!$Q$5:$Q$2900,MENU!$M243,SUPORTE!$R$5:$R$2900,MENU!$I$9),"")</f>
        <v/>
      </c>
      <c r="P243" s="36" t="str">
        <f t="shared" si="12"/>
        <v/>
      </c>
      <c r="Q243" s="36" t="str">
        <f t="shared" si="13"/>
        <v/>
      </c>
    </row>
    <row r="244" spans="4:17" ht="15.9" x14ac:dyDescent="0.45">
      <c r="D244" s="15" t="str">
        <f>IF(B244&lt;&gt;"",IF(_xlfn.IFNA(VLOOKUP(B244&amp;C244,SUPORTE!AA:AA,1,0),"NÃO INICIADO")="NÃO INICIADO",IF(B244&amp;C244=$J$9&amp;$I$12,"EM PROCESSO","NÃO INICIADO"),VLOOKUP(B244&amp;C244,SUPORTE!AA:AF,6,0)),"")</f>
        <v/>
      </c>
      <c r="I244" s="44"/>
      <c r="J244" s="32"/>
      <c r="K244" s="33"/>
      <c r="L244" s="34"/>
      <c r="M244" s="35"/>
      <c r="N244" s="36"/>
      <c r="O244" s="36" t="str">
        <f>IF(K244&lt;&gt;"",COUNTIFS(SUPORTE!$Q$5:$Q$2900,MENU!$M244,SUPORTE!$R$5:$R$2900,MENU!$I$9),"")</f>
        <v/>
      </c>
      <c r="P244" s="36" t="str">
        <f t="shared" si="12"/>
        <v/>
      </c>
      <c r="Q244" s="36" t="str">
        <f t="shared" si="13"/>
        <v/>
      </c>
    </row>
    <row r="245" spans="4:17" ht="15.9" x14ac:dyDescent="0.45">
      <c r="D245" s="15" t="str">
        <f>IF(B245&lt;&gt;"",IF(_xlfn.IFNA(VLOOKUP(B245&amp;C245,SUPORTE!AA:AA,1,0),"NÃO INICIADO")="NÃO INICIADO",IF(B245&amp;C245=$J$9&amp;$I$12,"EM PROCESSO","NÃO INICIADO"),VLOOKUP(B245&amp;C245,SUPORTE!AA:AF,6,0)),"")</f>
        <v/>
      </c>
      <c r="I245" s="44"/>
      <c r="J245" s="32"/>
      <c r="K245" s="33"/>
      <c r="L245" s="34"/>
      <c r="M245" s="35"/>
      <c r="N245" s="36"/>
      <c r="O245" s="36" t="str">
        <f>IF(K245&lt;&gt;"",COUNTIFS(SUPORTE!$Q$5:$Q$2900,MENU!$M245,SUPORTE!$R$5:$R$2900,MENU!$I$9),"")</f>
        <v/>
      </c>
      <c r="P245" s="36" t="str">
        <f t="shared" si="12"/>
        <v/>
      </c>
      <c r="Q245" s="36" t="str">
        <f t="shared" si="13"/>
        <v/>
      </c>
    </row>
    <row r="246" spans="4:17" ht="15.9" x14ac:dyDescent="0.45">
      <c r="D246" s="15" t="str">
        <f>IF(B246&lt;&gt;"",IF(_xlfn.IFNA(VLOOKUP(B246&amp;C246,SUPORTE!AA:AA,1,0),"NÃO INICIADO")="NÃO INICIADO",IF(B246&amp;C246=$J$9&amp;$I$12,"EM PROCESSO","NÃO INICIADO"),VLOOKUP(B246&amp;C246,SUPORTE!AA:AF,6,0)),"")</f>
        <v/>
      </c>
      <c r="I246" s="44"/>
      <c r="J246" s="32"/>
      <c r="K246" s="33"/>
      <c r="L246" s="34"/>
      <c r="M246" s="35"/>
      <c r="N246" s="36"/>
      <c r="O246" s="36" t="str">
        <f>IF(K246&lt;&gt;"",COUNTIFS(SUPORTE!$Q$5:$Q$2900,MENU!$M246,SUPORTE!$R$5:$R$2900,MENU!$I$9),"")</f>
        <v/>
      </c>
      <c r="P246" s="36" t="str">
        <f t="shared" si="12"/>
        <v/>
      </c>
      <c r="Q246" s="36" t="str">
        <f t="shared" si="13"/>
        <v/>
      </c>
    </row>
    <row r="247" spans="4:17" ht="15.9" x14ac:dyDescent="0.45">
      <c r="D247" s="15" t="str">
        <f>IF(B247&lt;&gt;"",IF(_xlfn.IFNA(VLOOKUP(B247&amp;C247,SUPORTE!AA:AA,1,0),"NÃO INICIADO")="NÃO INICIADO",IF(B247&amp;C247=$J$9&amp;$I$12,"EM PROCESSO","NÃO INICIADO"),VLOOKUP(B247&amp;C247,SUPORTE!AA:AF,6,0)),"")</f>
        <v/>
      </c>
      <c r="I247" s="44"/>
      <c r="J247" s="32"/>
      <c r="K247" s="33"/>
      <c r="L247" s="34"/>
      <c r="M247" s="35"/>
      <c r="N247" s="36"/>
      <c r="O247" s="36" t="str">
        <f>IF(K247&lt;&gt;"",COUNTIFS(SUPORTE!$Q$5:$Q$2900,MENU!$M247,SUPORTE!$R$5:$R$2900,MENU!$I$9),"")</f>
        <v/>
      </c>
      <c r="P247" s="36" t="str">
        <f t="shared" si="12"/>
        <v/>
      </c>
      <c r="Q247" s="36" t="str">
        <f t="shared" si="13"/>
        <v/>
      </c>
    </row>
    <row r="248" spans="4:17" ht="15.9" x14ac:dyDescent="0.45">
      <c r="D248" s="15" t="str">
        <f>IF(B248&lt;&gt;"",IF(_xlfn.IFNA(VLOOKUP(B248&amp;C248,SUPORTE!AA:AA,1,0),"NÃO INICIADO")="NÃO INICIADO",IF(B248&amp;C248=$J$9&amp;$I$12,"EM PROCESSO","NÃO INICIADO"),VLOOKUP(B248&amp;C248,SUPORTE!AA:AF,6,0)),"")</f>
        <v/>
      </c>
      <c r="I248" s="44"/>
      <c r="J248" s="32"/>
      <c r="K248" s="33"/>
      <c r="L248" s="34"/>
      <c r="M248" s="35"/>
      <c r="N248" s="36"/>
      <c r="O248" s="36" t="str">
        <f>IF(K248&lt;&gt;"",COUNTIFS(SUPORTE!$Q$5:$Q$2900,MENU!$M248,SUPORTE!$R$5:$R$2900,MENU!$I$9),"")</f>
        <v/>
      </c>
      <c r="P248" s="36" t="str">
        <f t="shared" si="12"/>
        <v/>
      </c>
      <c r="Q248" s="36" t="str">
        <f t="shared" si="13"/>
        <v/>
      </c>
    </row>
    <row r="249" spans="4:17" ht="15.9" x14ac:dyDescent="0.45">
      <c r="D249" s="15" t="str">
        <f>IF(B249&lt;&gt;"",IF(_xlfn.IFNA(VLOOKUP(B249&amp;C249,SUPORTE!AA:AA,1,0),"NÃO INICIADO")="NÃO INICIADO",IF(B249&amp;C249=$J$9&amp;$I$12,"EM PROCESSO","NÃO INICIADO"),VLOOKUP(B249&amp;C249,SUPORTE!AA:AF,6,0)),"")</f>
        <v/>
      </c>
      <c r="I249" s="44"/>
      <c r="J249" s="32"/>
      <c r="K249" s="33"/>
      <c r="L249" s="34"/>
      <c r="M249" s="35"/>
      <c r="N249" s="36"/>
      <c r="O249" s="36" t="str">
        <f>IF(K249&lt;&gt;"",COUNTIFS(SUPORTE!$Q$5:$Q$2900,MENU!$M249,SUPORTE!$R$5:$R$2900,MENU!$I$9),"")</f>
        <v/>
      </c>
      <c r="P249" s="36" t="str">
        <f t="shared" si="12"/>
        <v/>
      </c>
      <c r="Q249" s="36" t="str">
        <f t="shared" si="13"/>
        <v/>
      </c>
    </row>
    <row r="250" spans="4:17" ht="15.9" x14ac:dyDescent="0.45">
      <c r="D250" s="15" t="str">
        <f>IF(B250&lt;&gt;"",IF(_xlfn.IFNA(VLOOKUP(B250&amp;C250,SUPORTE!AA:AA,1,0),"NÃO INICIADO")="NÃO INICIADO",IF(B250&amp;C250=$J$9&amp;$I$12,"EM PROCESSO","NÃO INICIADO"),VLOOKUP(B250&amp;C250,SUPORTE!AA:AF,6,0)),"")</f>
        <v/>
      </c>
      <c r="I250" s="44"/>
      <c r="J250" s="32"/>
      <c r="K250" s="33"/>
      <c r="L250" s="34"/>
      <c r="M250" s="35"/>
      <c r="N250" s="36"/>
      <c r="O250" s="36" t="str">
        <f>IF(K250&lt;&gt;"",COUNTIFS(SUPORTE!$Q$5:$Q$2900,MENU!$M250,SUPORTE!$R$5:$R$2900,MENU!$I$9),"")</f>
        <v/>
      </c>
      <c r="P250" s="36" t="str">
        <f t="shared" si="12"/>
        <v/>
      </c>
      <c r="Q250" s="36" t="str">
        <f t="shared" si="13"/>
        <v/>
      </c>
    </row>
    <row r="251" spans="4:17" ht="15.9" x14ac:dyDescent="0.45">
      <c r="D251" s="15" t="str">
        <f>IF(B251&lt;&gt;"",IF(_xlfn.IFNA(VLOOKUP(B251&amp;C251,SUPORTE!AA:AA,1,0),"NÃO INICIADO")="NÃO INICIADO",IF(B251&amp;C251=$J$9&amp;$I$12,"EM PROCESSO","NÃO INICIADO"),VLOOKUP(B251&amp;C251,SUPORTE!AA:AF,6,0)),"")</f>
        <v/>
      </c>
      <c r="I251" s="44"/>
      <c r="J251" s="32"/>
      <c r="K251" s="33"/>
      <c r="L251" s="34"/>
      <c r="M251" s="35"/>
      <c r="N251" s="36"/>
      <c r="O251" s="36" t="str">
        <f>IF(K251&lt;&gt;"",COUNTIFS(SUPORTE!$Q$5:$Q$2900,MENU!$M251,SUPORTE!$R$5:$R$2900,MENU!$I$9),"")</f>
        <v/>
      </c>
      <c r="P251" s="36" t="str">
        <f t="shared" si="12"/>
        <v/>
      </c>
      <c r="Q251" s="36" t="str">
        <f t="shared" si="13"/>
        <v/>
      </c>
    </row>
    <row r="252" spans="4:17" ht="15.9" x14ac:dyDescent="0.45">
      <c r="D252" s="15" t="str">
        <f>IF(B252&lt;&gt;"",IF(_xlfn.IFNA(VLOOKUP(B252&amp;C252,SUPORTE!AA:AA,1,0),"NÃO INICIADO")="NÃO INICIADO",IF(B252&amp;C252=$J$9&amp;$I$12,"EM PROCESSO","NÃO INICIADO"),VLOOKUP(B252&amp;C252,SUPORTE!AA:AF,6,0)),"")</f>
        <v/>
      </c>
      <c r="I252" s="44"/>
      <c r="J252" s="32"/>
      <c r="K252" s="33"/>
      <c r="L252" s="34"/>
      <c r="M252" s="35"/>
      <c r="N252" s="36"/>
      <c r="O252" s="36" t="str">
        <f>IF(K252&lt;&gt;"",COUNTIFS(SUPORTE!$Q$5:$Q$2900,MENU!$M252,SUPORTE!$R$5:$R$2900,MENU!$I$9),"")</f>
        <v/>
      </c>
      <c r="P252" s="36" t="str">
        <f t="shared" si="12"/>
        <v/>
      </c>
      <c r="Q252" s="36" t="str">
        <f t="shared" si="13"/>
        <v/>
      </c>
    </row>
    <row r="253" spans="4:17" ht="15.9" x14ac:dyDescent="0.45">
      <c r="D253" s="15" t="str">
        <f>IF(B253&lt;&gt;"",IF(_xlfn.IFNA(VLOOKUP(B253&amp;C253,SUPORTE!AA:AA,1,0),"NÃO INICIADO")="NÃO INICIADO",IF(B253&amp;C253=$J$9&amp;$I$12,"EM PROCESSO","NÃO INICIADO"),VLOOKUP(B253&amp;C253,SUPORTE!AA:AF,6,0)),"")</f>
        <v/>
      </c>
      <c r="I253" s="44"/>
      <c r="J253" s="32"/>
      <c r="K253" s="33"/>
      <c r="L253" s="34"/>
      <c r="M253" s="35"/>
      <c r="N253" s="36"/>
      <c r="O253" s="36" t="str">
        <f>IF(K253&lt;&gt;"",COUNTIFS(SUPORTE!$Q$5:$Q$2900,MENU!$M253,SUPORTE!$R$5:$R$2900,MENU!$I$9),"")</f>
        <v/>
      </c>
      <c r="P253" s="36" t="str">
        <f t="shared" si="12"/>
        <v/>
      </c>
      <c r="Q253" s="36" t="str">
        <f t="shared" si="13"/>
        <v/>
      </c>
    </row>
    <row r="254" spans="4:17" ht="15.9" x14ac:dyDescent="0.45">
      <c r="D254" s="15" t="str">
        <f>IF(B254&lt;&gt;"",IF(_xlfn.IFNA(VLOOKUP(B254&amp;C254,SUPORTE!AA:AA,1,0),"NÃO INICIADO")="NÃO INICIADO",IF(B254&amp;C254=$J$9&amp;$I$12,"EM PROCESSO","NÃO INICIADO"),VLOOKUP(B254&amp;C254,SUPORTE!AA:AF,6,0)),"")</f>
        <v/>
      </c>
      <c r="I254" s="44"/>
      <c r="J254" s="32"/>
      <c r="K254" s="33"/>
      <c r="L254" s="34"/>
      <c r="M254" s="35"/>
      <c r="N254" s="36"/>
      <c r="O254" s="36" t="str">
        <f>IF(K254&lt;&gt;"",COUNTIFS(SUPORTE!$Q$5:$Q$2900,MENU!$M254,SUPORTE!$R$5:$R$2900,MENU!$I$9),"")</f>
        <v/>
      </c>
      <c r="P254" s="36" t="str">
        <f t="shared" si="12"/>
        <v/>
      </c>
      <c r="Q254" s="36" t="str">
        <f t="shared" si="13"/>
        <v/>
      </c>
    </row>
    <row r="255" spans="4:17" ht="15.9" x14ac:dyDescent="0.45">
      <c r="D255" s="15" t="str">
        <f>IF(B255&lt;&gt;"",IF(_xlfn.IFNA(VLOOKUP(B255&amp;C255,SUPORTE!AA:AA,1,0),"NÃO INICIADO")="NÃO INICIADO",IF(B255&amp;C255=$J$9&amp;$I$12,"EM PROCESSO","NÃO INICIADO"),VLOOKUP(B255&amp;C255,SUPORTE!AA:AF,6,0)),"")</f>
        <v/>
      </c>
      <c r="I255" s="44"/>
      <c r="J255" s="32"/>
      <c r="K255" s="33"/>
      <c r="L255" s="34"/>
      <c r="M255" s="35"/>
      <c r="N255" s="36"/>
      <c r="O255" s="36" t="str">
        <f>IF(K255&lt;&gt;"",COUNTIFS(SUPORTE!$Q$5:$Q$2900,MENU!$M255,SUPORTE!$R$5:$R$2900,MENU!$I$9),"")</f>
        <v/>
      </c>
      <c r="P255" s="36" t="str">
        <f t="shared" si="12"/>
        <v/>
      </c>
      <c r="Q255" s="36" t="str">
        <f t="shared" si="13"/>
        <v/>
      </c>
    </row>
    <row r="256" spans="4:17" ht="15.9" x14ac:dyDescent="0.45">
      <c r="D256" s="15" t="str">
        <f>IF(B256&lt;&gt;"",IF(_xlfn.IFNA(VLOOKUP(B256&amp;C256,SUPORTE!AA:AA,1,0),"NÃO INICIADO")="NÃO INICIADO",IF(B256&amp;C256=$J$9&amp;$I$12,"EM PROCESSO","NÃO INICIADO"),VLOOKUP(B256&amp;C256,SUPORTE!AA:AF,6,0)),"")</f>
        <v/>
      </c>
      <c r="I256" s="44"/>
      <c r="J256" s="32"/>
      <c r="K256" s="33"/>
      <c r="L256" s="34"/>
      <c r="M256" s="35"/>
      <c r="N256" s="36"/>
      <c r="O256" s="36" t="str">
        <f>IF(K256&lt;&gt;"",COUNTIFS(SUPORTE!$Q$5:$Q$2900,MENU!$M256,SUPORTE!$R$5:$R$2900,MENU!$I$9),"")</f>
        <v/>
      </c>
      <c r="P256" s="36" t="str">
        <f t="shared" si="12"/>
        <v/>
      </c>
      <c r="Q256" s="36" t="str">
        <f t="shared" si="13"/>
        <v/>
      </c>
    </row>
    <row r="257" spans="4:17" ht="15.9" x14ac:dyDescent="0.45">
      <c r="D257" s="15" t="str">
        <f>IF(B257&lt;&gt;"",IF(_xlfn.IFNA(VLOOKUP(B257&amp;C257,SUPORTE!AA:AA,1,0),"NÃO INICIADO")="NÃO INICIADO",IF(B257&amp;C257=$J$9&amp;$I$12,"EM PROCESSO","NÃO INICIADO"),VLOOKUP(B257&amp;C257,SUPORTE!AA:AF,6,0)),"")</f>
        <v/>
      </c>
      <c r="I257" s="44"/>
      <c r="J257" s="32"/>
      <c r="K257" s="33"/>
      <c r="L257" s="34"/>
      <c r="M257" s="35"/>
      <c r="N257" s="36"/>
      <c r="O257" s="36" t="str">
        <f>IF(K257&lt;&gt;"",COUNTIFS(SUPORTE!$Q$5:$Q$2900,MENU!$M257,SUPORTE!$R$5:$R$2900,MENU!$I$9),"")</f>
        <v/>
      </c>
      <c r="P257" s="36" t="str">
        <f t="shared" si="12"/>
        <v/>
      </c>
      <c r="Q257" s="36" t="str">
        <f t="shared" si="13"/>
        <v/>
      </c>
    </row>
    <row r="258" spans="4:17" ht="15.9" x14ac:dyDescent="0.45">
      <c r="D258" s="15" t="str">
        <f>IF(B258&lt;&gt;"",IF(_xlfn.IFNA(VLOOKUP(B258&amp;C258,SUPORTE!AA:AA,1,0),"NÃO INICIADO")="NÃO INICIADO",IF(B258&amp;C258=$J$9&amp;$I$12,"EM PROCESSO","NÃO INICIADO"),VLOOKUP(B258&amp;C258,SUPORTE!AA:AF,6,0)),"")</f>
        <v/>
      </c>
      <c r="I258" s="44"/>
      <c r="J258" s="32"/>
      <c r="K258" s="33"/>
      <c r="L258" s="34"/>
      <c r="M258" s="35"/>
      <c r="N258" s="36"/>
      <c r="O258" s="36" t="str">
        <f>IF(K258&lt;&gt;"",COUNTIFS(SUPORTE!$Q$5:$Q$2900,MENU!$M258,SUPORTE!$R$5:$R$2900,MENU!$I$9),"")</f>
        <v/>
      </c>
      <c r="P258" s="36" t="str">
        <f t="shared" si="12"/>
        <v/>
      </c>
      <c r="Q258" s="36" t="str">
        <f t="shared" si="13"/>
        <v/>
      </c>
    </row>
    <row r="259" spans="4:17" ht="15.9" x14ac:dyDescent="0.45">
      <c r="D259" s="15" t="str">
        <f>IF(B259&lt;&gt;"",IF(_xlfn.IFNA(VLOOKUP(B259&amp;C259,SUPORTE!AA:AA,1,0),"NÃO INICIADO")="NÃO INICIADO",IF(B259&amp;C259=$J$9&amp;$I$12,"EM PROCESSO","NÃO INICIADO"),VLOOKUP(B259&amp;C259,SUPORTE!AA:AF,6,0)),"")</f>
        <v/>
      </c>
      <c r="I259" s="44"/>
      <c r="J259" s="32"/>
      <c r="K259" s="33"/>
      <c r="L259" s="34"/>
      <c r="M259" s="35"/>
      <c r="N259" s="36"/>
      <c r="O259" s="36" t="str">
        <f>IF(K259&lt;&gt;"",COUNTIFS(SUPORTE!$Q$5:$Q$2900,MENU!$M259,SUPORTE!$R$5:$R$2900,MENU!$I$9),"")</f>
        <v/>
      </c>
      <c r="P259" s="36" t="str">
        <f t="shared" si="12"/>
        <v/>
      </c>
      <c r="Q259" s="36" t="str">
        <f t="shared" si="13"/>
        <v/>
      </c>
    </row>
    <row r="260" spans="4:17" ht="15.9" x14ac:dyDescent="0.45">
      <c r="D260" s="15" t="str">
        <f>IF(B260&lt;&gt;"",IF(_xlfn.IFNA(VLOOKUP(B260&amp;C260,SUPORTE!AA:AA,1,0),"NÃO INICIADO")="NÃO INICIADO",IF(B260&amp;C260=$J$9&amp;$I$12,"EM PROCESSO","NÃO INICIADO"),VLOOKUP(B260&amp;C260,SUPORTE!AA:AF,6,0)),"")</f>
        <v/>
      </c>
      <c r="I260" s="44"/>
      <c r="J260" s="32"/>
      <c r="K260" s="33"/>
      <c r="L260" s="34"/>
      <c r="M260" s="35"/>
      <c r="N260" s="36"/>
      <c r="O260" s="36" t="str">
        <f>IF(K260&lt;&gt;"",COUNTIFS(SUPORTE!$Q$5:$Q$2900,MENU!$M260,SUPORTE!$R$5:$R$2900,MENU!$I$9),"")</f>
        <v/>
      </c>
      <c r="P260" s="36" t="str">
        <f t="shared" si="12"/>
        <v/>
      </c>
      <c r="Q260" s="36" t="str">
        <f t="shared" si="13"/>
        <v/>
      </c>
    </row>
    <row r="261" spans="4:17" ht="15.9" x14ac:dyDescent="0.45">
      <c r="D261" s="15" t="str">
        <f>IF(B261&lt;&gt;"",IF(_xlfn.IFNA(VLOOKUP(B261&amp;C261,SUPORTE!AA:AA,1,0),"NÃO INICIADO")="NÃO INICIADO",IF(B261&amp;C261=$J$9&amp;$I$12,"EM PROCESSO","NÃO INICIADO"),VLOOKUP(B261&amp;C261,SUPORTE!AA:AF,6,0)),"")</f>
        <v/>
      </c>
      <c r="I261" s="44"/>
      <c r="J261" s="32"/>
      <c r="K261" s="33"/>
      <c r="L261" s="34"/>
      <c r="M261" s="35"/>
      <c r="N261" s="36"/>
      <c r="O261" s="36" t="str">
        <f>IF(K261&lt;&gt;"",COUNTIFS(SUPORTE!$Q$5:$Q$2900,MENU!$M261,SUPORTE!$R$5:$R$2900,MENU!$I$9),"")</f>
        <v/>
      </c>
      <c r="P261" s="36" t="str">
        <f t="shared" si="12"/>
        <v/>
      </c>
      <c r="Q261" s="36" t="str">
        <f t="shared" si="13"/>
        <v/>
      </c>
    </row>
    <row r="262" spans="4:17" ht="15.9" x14ac:dyDescent="0.45">
      <c r="D262" s="15" t="str">
        <f>IF(B262&lt;&gt;"",IF(_xlfn.IFNA(VLOOKUP(B262&amp;C262,SUPORTE!AA:AA,1,0),"NÃO INICIADO")="NÃO INICIADO",IF(B262&amp;C262=$J$9&amp;$I$12,"EM PROCESSO","NÃO INICIADO"),VLOOKUP(B262&amp;C262,SUPORTE!AA:AF,6,0)),"")</f>
        <v/>
      </c>
      <c r="I262" s="44"/>
      <c r="J262" s="32"/>
      <c r="K262" s="33"/>
      <c r="L262" s="34"/>
      <c r="M262" s="35"/>
      <c r="N262" s="36"/>
      <c r="O262" s="36" t="str">
        <f>IF(K262&lt;&gt;"",COUNTIFS(SUPORTE!$Q$5:$Q$2900,MENU!$M262,SUPORTE!$R$5:$R$2900,MENU!$I$9),"")</f>
        <v/>
      </c>
      <c r="P262" s="36" t="str">
        <f t="shared" si="12"/>
        <v/>
      </c>
      <c r="Q262" s="36" t="str">
        <f t="shared" si="13"/>
        <v/>
      </c>
    </row>
    <row r="263" spans="4:17" ht="15.9" x14ac:dyDescent="0.45">
      <c r="D263" s="15" t="str">
        <f>IF(B263&lt;&gt;"",IF(_xlfn.IFNA(VLOOKUP(B263&amp;C263,SUPORTE!AA:AA,1,0),"NÃO INICIADO")="NÃO INICIADO",IF(B263&amp;C263=$J$9&amp;$I$12,"EM PROCESSO","NÃO INICIADO"),VLOOKUP(B263&amp;C263,SUPORTE!AA:AF,6,0)),"")</f>
        <v/>
      </c>
      <c r="I263" s="44"/>
      <c r="J263" s="32"/>
      <c r="K263" s="33"/>
      <c r="L263" s="34"/>
      <c r="M263" s="35"/>
      <c r="N263" s="36"/>
      <c r="O263" s="36" t="str">
        <f>IF(K263&lt;&gt;"",COUNTIFS(SUPORTE!$Q$5:$Q$2900,MENU!$M263,SUPORTE!$R$5:$R$2900,MENU!$I$9),"")</f>
        <v/>
      </c>
      <c r="P263" s="36" t="str">
        <f t="shared" si="12"/>
        <v/>
      </c>
      <c r="Q263" s="36" t="str">
        <f t="shared" si="13"/>
        <v/>
      </c>
    </row>
    <row r="264" spans="4:17" ht="15.9" x14ac:dyDescent="0.45">
      <c r="D264" s="15" t="str">
        <f>IF(B264&lt;&gt;"",IF(_xlfn.IFNA(VLOOKUP(B264&amp;C264,SUPORTE!AA:AA,1,0),"NÃO INICIADO")="NÃO INICIADO",IF(B264&amp;C264=$J$9&amp;$I$12,"EM PROCESSO","NÃO INICIADO"),VLOOKUP(B264&amp;C264,SUPORTE!AA:AF,6,0)),"")</f>
        <v/>
      </c>
      <c r="I264" s="44"/>
      <c r="J264" s="32"/>
      <c r="K264" s="33"/>
      <c r="L264" s="34"/>
      <c r="M264" s="35"/>
      <c r="N264" s="36"/>
      <c r="O264" s="36" t="str">
        <f>IF(K264&lt;&gt;"",COUNTIFS(SUPORTE!$Q$5:$Q$2900,MENU!$M264,SUPORTE!$R$5:$R$2900,MENU!$I$9),"")</f>
        <v/>
      </c>
      <c r="P264" s="36" t="str">
        <f t="shared" si="12"/>
        <v/>
      </c>
      <c r="Q264" s="36" t="str">
        <f t="shared" si="13"/>
        <v/>
      </c>
    </row>
    <row r="265" spans="4:17" ht="15.9" x14ac:dyDescent="0.45">
      <c r="D265" s="15" t="str">
        <f>IF(B265&lt;&gt;"",IF(_xlfn.IFNA(VLOOKUP(B265&amp;C265,SUPORTE!AA:AA,1,0),"NÃO INICIADO")="NÃO INICIADO",IF(B265&amp;C265=$J$9&amp;$I$12,"EM PROCESSO","NÃO INICIADO"),VLOOKUP(B265&amp;C265,SUPORTE!AA:AF,6,0)),"")</f>
        <v/>
      </c>
      <c r="I265" s="44"/>
      <c r="J265" s="32"/>
      <c r="K265" s="33"/>
      <c r="L265" s="34"/>
      <c r="M265" s="35"/>
      <c r="N265" s="36"/>
      <c r="O265" s="36" t="str">
        <f>IF(K265&lt;&gt;"",COUNTIFS(SUPORTE!$Q$5:$Q$2900,MENU!$M265,SUPORTE!$R$5:$R$2900,MENU!$I$9),"")</f>
        <v/>
      </c>
      <c r="P265" s="36" t="str">
        <f t="shared" si="12"/>
        <v/>
      </c>
      <c r="Q265" s="36" t="str">
        <f t="shared" si="13"/>
        <v/>
      </c>
    </row>
    <row r="266" spans="4:17" ht="15.9" x14ac:dyDescent="0.45">
      <c r="D266" s="15" t="str">
        <f>IF(B266&lt;&gt;"",IF(_xlfn.IFNA(VLOOKUP(B266&amp;C266,SUPORTE!AA:AA,1,0),"NÃO INICIADO")="NÃO INICIADO",IF(B266&amp;C266=$J$9&amp;$I$12,"EM PROCESSO","NÃO INICIADO"),VLOOKUP(B266&amp;C266,SUPORTE!AA:AF,6,0)),"")</f>
        <v/>
      </c>
      <c r="I266" s="44"/>
      <c r="J266" s="32"/>
      <c r="K266" s="33"/>
      <c r="L266" s="34"/>
      <c r="M266" s="35"/>
      <c r="N266" s="36"/>
      <c r="O266" s="36" t="str">
        <f>IF(K266&lt;&gt;"",COUNTIFS(SUPORTE!$Q$5:$Q$2900,MENU!$M266,SUPORTE!$R$5:$R$2900,MENU!$I$9),"")</f>
        <v/>
      </c>
      <c r="P266" s="36" t="str">
        <f t="shared" si="12"/>
        <v/>
      </c>
      <c r="Q266" s="36" t="str">
        <f t="shared" si="13"/>
        <v/>
      </c>
    </row>
    <row r="267" spans="4:17" ht="15.9" x14ac:dyDescent="0.45">
      <c r="D267" s="15" t="str">
        <f>IF(B267&lt;&gt;"",IF(_xlfn.IFNA(VLOOKUP(B267&amp;C267,SUPORTE!AA:AA,1,0),"NÃO INICIADO")="NÃO INICIADO",IF(B267&amp;C267=$J$9&amp;$I$12,"EM PROCESSO","NÃO INICIADO"),VLOOKUP(B267&amp;C267,SUPORTE!AA:AF,6,0)),"")</f>
        <v/>
      </c>
      <c r="I267" s="44"/>
      <c r="J267" s="32"/>
      <c r="K267" s="33"/>
      <c r="L267" s="34"/>
      <c r="M267" s="35"/>
      <c r="N267" s="36"/>
      <c r="O267" s="36" t="str">
        <f>IF(K267&lt;&gt;"",COUNTIFS(SUPORTE!$Q$5:$Q$2900,MENU!$M267,SUPORTE!$R$5:$R$2900,MENU!$I$9),"")</f>
        <v/>
      </c>
      <c r="P267" s="36" t="str">
        <f t="shared" si="12"/>
        <v/>
      </c>
      <c r="Q267" s="36" t="str">
        <f t="shared" si="13"/>
        <v/>
      </c>
    </row>
    <row r="268" spans="4:17" ht="15.9" x14ac:dyDescent="0.45">
      <c r="D268" s="15" t="str">
        <f>IF(B268&lt;&gt;"",IF(_xlfn.IFNA(VLOOKUP(B268&amp;C268,SUPORTE!AA:AA,1,0),"NÃO INICIADO")="NÃO INICIADO",IF(B268&amp;C268=$J$9&amp;$I$12,"EM PROCESSO","NÃO INICIADO"),VLOOKUP(B268&amp;C268,SUPORTE!AA:AF,6,0)),"")</f>
        <v/>
      </c>
      <c r="I268" s="44"/>
      <c r="J268" s="32"/>
      <c r="K268" s="33"/>
      <c r="L268" s="34"/>
      <c r="M268" s="35"/>
      <c r="N268" s="36"/>
      <c r="O268" s="36" t="str">
        <f>IF(K268&lt;&gt;"",COUNTIFS(SUPORTE!$Q$5:$Q$2900,MENU!$M268,SUPORTE!$R$5:$R$2900,MENU!$I$9),"")</f>
        <v/>
      </c>
      <c r="P268" s="36" t="str">
        <f t="shared" si="12"/>
        <v/>
      </c>
      <c r="Q268" s="36" t="str">
        <f t="shared" si="13"/>
        <v/>
      </c>
    </row>
    <row r="269" spans="4:17" ht="15.9" x14ac:dyDescent="0.45">
      <c r="D269" s="15" t="str">
        <f>IF(B269&lt;&gt;"",IF(_xlfn.IFNA(VLOOKUP(B269&amp;C269,SUPORTE!AA:AA,1,0),"NÃO INICIADO")="NÃO INICIADO",IF(B269&amp;C269=$J$9&amp;$I$12,"EM PROCESSO","NÃO INICIADO"),VLOOKUP(B269&amp;C269,SUPORTE!AA:AF,6,0)),"")</f>
        <v/>
      </c>
      <c r="I269" s="44"/>
      <c r="J269" s="32"/>
      <c r="K269" s="33"/>
      <c r="L269" s="34"/>
      <c r="M269" s="35"/>
      <c r="N269" s="36"/>
      <c r="O269" s="36" t="str">
        <f>IF(K269&lt;&gt;"",COUNTIFS(SUPORTE!$Q$5:$Q$2900,MENU!$M269,SUPORTE!$R$5:$R$2900,MENU!$I$9),"")</f>
        <v/>
      </c>
      <c r="P269" s="36" t="str">
        <f t="shared" si="12"/>
        <v/>
      </c>
      <c r="Q269" s="36" t="str">
        <f t="shared" si="13"/>
        <v/>
      </c>
    </row>
    <row r="270" spans="4:17" ht="15.9" x14ac:dyDescent="0.45">
      <c r="D270" s="15" t="str">
        <f>IF(B270&lt;&gt;"",IF(_xlfn.IFNA(VLOOKUP(B270&amp;C270,SUPORTE!AA:AA,1,0),"NÃO INICIADO")="NÃO INICIADO",IF(B270&amp;C270=$J$9&amp;$I$12,"EM PROCESSO","NÃO INICIADO"),VLOOKUP(B270&amp;C270,SUPORTE!AA:AF,6,0)),"")</f>
        <v/>
      </c>
      <c r="I270" s="44"/>
      <c r="J270" s="32"/>
      <c r="K270" s="33"/>
      <c r="L270" s="34"/>
      <c r="M270" s="35"/>
      <c r="N270" s="36"/>
      <c r="O270" s="36" t="str">
        <f>IF(K270&lt;&gt;"",COUNTIFS(SUPORTE!$Q$5:$Q$2900,MENU!$M270,SUPORTE!$R$5:$R$2900,MENU!$I$9),"")</f>
        <v/>
      </c>
      <c r="P270" s="36" t="str">
        <f t="shared" si="12"/>
        <v/>
      </c>
      <c r="Q270" s="36" t="str">
        <f t="shared" si="13"/>
        <v/>
      </c>
    </row>
    <row r="271" spans="4:17" ht="15.9" x14ac:dyDescent="0.45">
      <c r="D271" s="15" t="str">
        <f>IF(B271&lt;&gt;"",IF(_xlfn.IFNA(VLOOKUP(B271&amp;C271,SUPORTE!AA:AA,1,0),"NÃO INICIADO")="NÃO INICIADO",IF(B271&amp;C271=$J$9&amp;$I$12,"EM PROCESSO","NÃO INICIADO"),VLOOKUP(B271&amp;C271,SUPORTE!AA:AF,6,0)),"")</f>
        <v/>
      </c>
      <c r="I271" s="44"/>
      <c r="J271" s="32"/>
      <c r="K271" s="33"/>
      <c r="L271" s="34"/>
      <c r="M271" s="35"/>
      <c r="N271" s="36"/>
      <c r="O271" s="36" t="str">
        <f>IF(K271&lt;&gt;"",COUNTIFS(SUPORTE!$Q$5:$Q$2900,MENU!$M271,SUPORTE!$R$5:$R$2900,MENU!$I$9),"")</f>
        <v/>
      </c>
      <c r="P271" s="36" t="str">
        <f t="shared" si="12"/>
        <v/>
      </c>
      <c r="Q271" s="36" t="str">
        <f t="shared" si="13"/>
        <v/>
      </c>
    </row>
    <row r="272" spans="4:17" ht="15.9" x14ac:dyDescent="0.45">
      <c r="D272" s="15" t="str">
        <f>IF(B272&lt;&gt;"",IF(_xlfn.IFNA(VLOOKUP(B272&amp;C272,SUPORTE!AA:AA,1,0),"NÃO INICIADO")="NÃO INICIADO",IF(B272&amp;C272=$J$9&amp;$I$12,"EM PROCESSO","NÃO INICIADO"),VLOOKUP(B272&amp;C272,SUPORTE!AA:AF,6,0)),"")</f>
        <v/>
      </c>
      <c r="I272" s="44"/>
      <c r="J272" s="32"/>
      <c r="K272" s="33"/>
      <c r="L272" s="34"/>
      <c r="M272" s="35"/>
      <c r="N272" s="36"/>
      <c r="O272" s="36" t="str">
        <f>IF(K272&lt;&gt;"",COUNTIFS(SUPORTE!$Q$5:$Q$2900,MENU!$M272,SUPORTE!$R$5:$R$2900,MENU!$I$9),"")</f>
        <v/>
      </c>
      <c r="P272" s="36" t="str">
        <f t="shared" si="12"/>
        <v/>
      </c>
      <c r="Q272" s="36" t="str">
        <f t="shared" si="13"/>
        <v/>
      </c>
    </row>
    <row r="273" spans="4:17" ht="15.9" x14ac:dyDescent="0.45">
      <c r="D273" s="15" t="str">
        <f>IF(B273&lt;&gt;"",IF(_xlfn.IFNA(VLOOKUP(B273&amp;C273,SUPORTE!AA:AA,1,0),"NÃO INICIADO")="NÃO INICIADO",IF(B273&amp;C273=$J$9&amp;$I$12,"EM PROCESSO","NÃO INICIADO"),VLOOKUP(B273&amp;C273,SUPORTE!AA:AF,6,0)),"")</f>
        <v/>
      </c>
      <c r="I273" s="44"/>
      <c r="J273" s="32"/>
      <c r="K273" s="33"/>
      <c r="L273" s="34"/>
      <c r="M273" s="35"/>
      <c r="N273" s="36"/>
      <c r="O273" s="36" t="str">
        <f>IF(K273&lt;&gt;"",COUNTIFS(SUPORTE!$Q$5:$Q$2900,MENU!$M273,SUPORTE!$R$5:$R$2900,MENU!$I$9),"")</f>
        <v/>
      </c>
      <c r="P273" s="36" t="str">
        <f t="shared" si="12"/>
        <v/>
      </c>
      <c r="Q273" s="36" t="str">
        <f t="shared" si="13"/>
        <v/>
      </c>
    </row>
    <row r="274" spans="4:17" ht="15.9" x14ac:dyDescent="0.45">
      <c r="D274" s="15" t="str">
        <f>IF(B274&lt;&gt;"",IF(_xlfn.IFNA(VLOOKUP(B274&amp;C274,SUPORTE!AA:AA,1,0),"NÃO INICIADO")="NÃO INICIADO",IF(B274&amp;C274=$J$9&amp;$I$12,"EM PROCESSO","NÃO INICIADO"),VLOOKUP(B274&amp;C274,SUPORTE!AA:AF,6,0)),"")</f>
        <v/>
      </c>
      <c r="I274" s="44"/>
      <c r="J274" s="32"/>
      <c r="K274" s="33"/>
      <c r="L274" s="34"/>
      <c r="M274" s="35"/>
      <c r="N274" s="36"/>
      <c r="O274" s="36" t="str">
        <f>IF(K274&lt;&gt;"",COUNTIFS(SUPORTE!$Q$5:$Q$2900,MENU!$M274,SUPORTE!$R$5:$R$2900,MENU!$I$9),"")</f>
        <v/>
      </c>
      <c r="P274" s="36" t="str">
        <f t="shared" si="12"/>
        <v/>
      </c>
      <c r="Q274" s="36" t="str">
        <f t="shared" si="13"/>
        <v/>
      </c>
    </row>
    <row r="275" spans="4:17" ht="15.9" x14ac:dyDescent="0.45">
      <c r="D275" s="15" t="str">
        <f>IF(B275&lt;&gt;"",IF(_xlfn.IFNA(VLOOKUP(B275&amp;C275,SUPORTE!AA:AA,1,0),"NÃO INICIADO")="NÃO INICIADO",IF(B275&amp;C275=$J$9&amp;$I$12,"EM PROCESSO","NÃO INICIADO"),VLOOKUP(B275&amp;C275,SUPORTE!AA:AF,6,0)),"")</f>
        <v/>
      </c>
      <c r="I275" s="44"/>
      <c r="J275" s="32"/>
      <c r="K275" s="33"/>
      <c r="L275" s="34"/>
      <c r="M275" s="35"/>
      <c r="N275" s="36"/>
      <c r="O275" s="36" t="str">
        <f>IF(K275&lt;&gt;"",COUNTIFS(SUPORTE!$Q$5:$Q$2900,MENU!$M275,SUPORTE!$R$5:$R$2900,MENU!$I$9),"")</f>
        <v/>
      </c>
      <c r="P275" s="36" t="str">
        <f t="shared" si="12"/>
        <v/>
      </c>
      <c r="Q275" s="36" t="str">
        <f t="shared" si="13"/>
        <v/>
      </c>
    </row>
    <row r="276" spans="4:17" ht="15.9" x14ac:dyDescent="0.45">
      <c r="D276" s="15" t="str">
        <f>IF(B276&lt;&gt;"",IF(_xlfn.IFNA(VLOOKUP(B276&amp;C276,SUPORTE!AA:AA,1,0),"NÃO INICIADO")="NÃO INICIADO",IF(B276&amp;C276=$J$9&amp;$I$12,"EM PROCESSO","NÃO INICIADO"),VLOOKUP(B276&amp;C276,SUPORTE!AA:AF,6,0)),"")</f>
        <v/>
      </c>
      <c r="I276" s="44"/>
      <c r="J276" s="32"/>
      <c r="K276" s="33"/>
      <c r="L276" s="34"/>
      <c r="M276" s="35"/>
      <c r="N276" s="36"/>
      <c r="O276" s="36" t="str">
        <f>IF(K276&lt;&gt;"",COUNTIFS(SUPORTE!$Q$5:$Q$2900,MENU!$M276,SUPORTE!$R$5:$R$2900,MENU!$I$9),"")</f>
        <v/>
      </c>
      <c r="P276" s="36" t="str">
        <f t="shared" si="12"/>
        <v/>
      </c>
      <c r="Q276" s="36" t="str">
        <f t="shared" si="13"/>
        <v/>
      </c>
    </row>
    <row r="277" spans="4:17" ht="15.9" x14ac:dyDescent="0.45">
      <c r="D277" s="15" t="str">
        <f>IF(B277&lt;&gt;"",IF(_xlfn.IFNA(VLOOKUP(B277&amp;C277,SUPORTE!AA:AA,1,0),"NÃO INICIADO")="NÃO INICIADO",IF(B277&amp;C277=$J$9&amp;$I$12,"EM PROCESSO","NÃO INICIADO"),VLOOKUP(B277&amp;C277,SUPORTE!AA:AF,6,0)),"")</f>
        <v/>
      </c>
      <c r="I277" s="44"/>
      <c r="J277" s="32"/>
      <c r="K277" s="33"/>
      <c r="L277" s="34"/>
      <c r="M277" s="35"/>
      <c r="N277" s="36"/>
      <c r="O277" s="36" t="str">
        <f>IF(K277&lt;&gt;"",COUNTIFS(SUPORTE!$Q$5:$Q$2900,MENU!$M277,SUPORTE!$R$5:$R$2900,MENU!$I$9),"")</f>
        <v/>
      </c>
      <c r="P277" s="36" t="str">
        <f t="shared" si="12"/>
        <v/>
      </c>
      <c r="Q277" s="36" t="str">
        <f t="shared" si="13"/>
        <v/>
      </c>
    </row>
    <row r="278" spans="4:17" ht="15.9" x14ac:dyDescent="0.45">
      <c r="D278" s="15" t="str">
        <f>IF(B278&lt;&gt;"",IF(_xlfn.IFNA(VLOOKUP(B278&amp;C278,SUPORTE!AA:AA,1,0),"NÃO INICIADO")="NÃO INICIADO",IF(B278&amp;C278=$J$9&amp;$I$12,"EM PROCESSO","NÃO INICIADO"),VLOOKUP(B278&amp;C278,SUPORTE!AA:AF,6,0)),"")</f>
        <v/>
      </c>
      <c r="I278" s="44"/>
      <c r="J278" s="32"/>
      <c r="K278" s="33"/>
      <c r="L278" s="34"/>
      <c r="M278" s="35"/>
      <c r="N278" s="36"/>
      <c r="O278" s="36" t="str">
        <f>IF(K278&lt;&gt;"",COUNTIFS(SUPORTE!$Q$5:$Q$2900,MENU!$M278,SUPORTE!$R$5:$R$2900,MENU!$I$9),"")</f>
        <v/>
      </c>
      <c r="P278" s="36" t="str">
        <f t="shared" si="12"/>
        <v/>
      </c>
      <c r="Q278" s="36" t="str">
        <f t="shared" si="13"/>
        <v/>
      </c>
    </row>
    <row r="279" spans="4:17" ht="15.9" x14ac:dyDescent="0.45">
      <c r="D279" s="15" t="str">
        <f>IF(B279&lt;&gt;"",IF(_xlfn.IFNA(VLOOKUP(B279&amp;C279,SUPORTE!AA:AA,1,0),"NÃO INICIADO")="NÃO INICIADO",IF(B279&amp;C279=$J$9&amp;$I$12,"EM PROCESSO","NÃO INICIADO"),VLOOKUP(B279&amp;C279,SUPORTE!AA:AF,6,0)),"")</f>
        <v/>
      </c>
      <c r="I279" s="44"/>
      <c r="J279" s="32"/>
      <c r="K279" s="33"/>
      <c r="L279" s="34"/>
      <c r="M279" s="35"/>
      <c r="N279" s="36"/>
      <c r="O279" s="36" t="str">
        <f>IF(K279&lt;&gt;"",COUNTIFS(SUPORTE!$Q$5:$Q$2900,MENU!$M279,SUPORTE!$R$5:$R$2900,MENU!$I$9),"")</f>
        <v/>
      </c>
      <c r="P279" s="36" t="str">
        <f t="shared" si="12"/>
        <v/>
      </c>
      <c r="Q279" s="36" t="str">
        <f t="shared" si="13"/>
        <v/>
      </c>
    </row>
    <row r="280" spans="4:17" ht="15.9" x14ac:dyDescent="0.45">
      <c r="D280" s="15" t="str">
        <f>IF(B280&lt;&gt;"",IF(_xlfn.IFNA(VLOOKUP(B280&amp;C280,SUPORTE!AA:AA,1,0),"NÃO INICIADO")="NÃO INICIADO",IF(B280&amp;C280=$J$9&amp;$I$12,"EM PROCESSO","NÃO INICIADO"),VLOOKUP(B280&amp;C280,SUPORTE!AA:AF,6,0)),"")</f>
        <v/>
      </c>
      <c r="I280" s="44"/>
      <c r="J280" s="32"/>
      <c r="K280" s="33"/>
      <c r="L280" s="34"/>
      <c r="M280" s="35"/>
      <c r="N280" s="36"/>
      <c r="O280" s="36" t="str">
        <f>IF(K280&lt;&gt;"",COUNTIFS(SUPORTE!$Q$5:$Q$2900,MENU!$M280,SUPORTE!$R$5:$R$2900,MENU!$I$9),"")</f>
        <v/>
      </c>
      <c r="P280" s="36" t="str">
        <f t="shared" si="12"/>
        <v/>
      </c>
      <c r="Q280" s="36" t="str">
        <f t="shared" si="13"/>
        <v/>
      </c>
    </row>
    <row r="281" spans="4:17" ht="15.9" x14ac:dyDescent="0.45">
      <c r="D281" s="15" t="str">
        <f>IF(B281&lt;&gt;"",IF(_xlfn.IFNA(VLOOKUP(B281&amp;C281,SUPORTE!AA:AA,1,0),"NÃO INICIADO")="NÃO INICIADO",IF(B281&amp;C281=$J$9&amp;$I$12,"EM PROCESSO","NÃO INICIADO"),VLOOKUP(B281&amp;C281,SUPORTE!AA:AF,6,0)),"")</f>
        <v/>
      </c>
      <c r="I281" s="44"/>
      <c r="J281" s="32"/>
      <c r="K281" s="33"/>
      <c r="L281" s="34"/>
      <c r="M281" s="35"/>
      <c r="N281" s="36"/>
      <c r="O281" s="36" t="str">
        <f>IF(K281&lt;&gt;"",COUNTIFS(SUPORTE!$Q$5:$Q$2900,MENU!$M281,SUPORTE!$R$5:$R$2900,MENU!$I$9),"")</f>
        <v/>
      </c>
      <c r="P281" s="36" t="str">
        <f t="shared" si="12"/>
        <v/>
      </c>
      <c r="Q281" s="36" t="str">
        <f t="shared" si="13"/>
        <v/>
      </c>
    </row>
    <row r="282" spans="4:17" ht="15.9" x14ac:dyDescent="0.45">
      <c r="D282" s="15" t="str">
        <f>IF(B282&lt;&gt;"",IF(_xlfn.IFNA(VLOOKUP(B282&amp;C282,SUPORTE!AA:AA,1,0),"NÃO INICIADO")="NÃO INICIADO",IF(B282&amp;C282=$J$9&amp;$I$12,"EM PROCESSO","NÃO INICIADO"),VLOOKUP(B282&amp;C282,SUPORTE!AA:AF,6,0)),"")</f>
        <v/>
      </c>
      <c r="I282" s="44"/>
      <c r="J282" s="32"/>
      <c r="K282" s="33"/>
      <c r="L282" s="34"/>
      <c r="M282" s="35"/>
      <c r="N282" s="36"/>
      <c r="O282" s="36" t="str">
        <f>IF(K282&lt;&gt;"",COUNTIFS(SUPORTE!$Q$5:$Q$2900,MENU!$M282,SUPORTE!$R$5:$R$2900,MENU!$I$9),"")</f>
        <v/>
      </c>
      <c r="P282" s="36" t="str">
        <f t="shared" si="12"/>
        <v/>
      </c>
      <c r="Q282" s="36" t="str">
        <f t="shared" si="13"/>
        <v/>
      </c>
    </row>
    <row r="283" spans="4:17" ht="15.9" x14ac:dyDescent="0.45">
      <c r="D283" s="15" t="str">
        <f>IF(B283&lt;&gt;"",IF(_xlfn.IFNA(VLOOKUP(B283&amp;C283,SUPORTE!AA:AA,1,0),"NÃO INICIADO")="NÃO INICIADO",IF(B283&amp;C283=$J$9&amp;$I$12,"EM PROCESSO","NÃO INICIADO"),VLOOKUP(B283&amp;C283,SUPORTE!AA:AF,6,0)),"")</f>
        <v/>
      </c>
      <c r="I283" s="44"/>
      <c r="J283" s="32"/>
      <c r="K283" s="33"/>
      <c r="L283" s="34"/>
      <c r="M283" s="35"/>
      <c r="N283" s="36"/>
      <c r="O283" s="36" t="str">
        <f>IF(K283&lt;&gt;"",COUNTIFS(SUPORTE!$Q$5:$Q$2900,MENU!$M283,SUPORTE!$R$5:$R$2900,MENU!$I$9),"")</f>
        <v/>
      </c>
      <c r="P283" s="36" t="str">
        <f t="shared" si="12"/>
        <v/>
      </c>
      <c r="Q283" s="36" t="str">
        <f t="shared" si="13"/>
        <v/>
      </c>
    </row>
    <row r="284" spans="4:17" ht="15.9" x14ac:dyDescent="0.45">
      <c r="D284" s="15" t="str">
        <f>IF(B284&lt;&gt;"",IF(_xlfn.IFNA(VLOOKUP(B284&amp;C284,SUPORTE!AA:AA,1,0),"NÃO INICIADO")="NÃO INICIADO",IF(B284&amp;C284=$J$9&amp;$I$12,"EM PROCESSO","NÃO INICIADO"),VLOOKUP(B284&amp;C284,SUPORTE!AA:AF,6,0)),"")</f>
        <v/>
      </c>
      <c r="I284" s="44"/>
      <c r="J284" s="32"/>
      <c r="K284" s="33"/>
      <c r="L284" s="34"/>
      <c r="M284" s="35"/>
      <c r="N284" s="36"/>
      <c r="O284" s="36" t="str">
        <f>IF(K284&lt;&gt;"",COUNTIFS(SUPORTE!$Q$5:$Q$2900,MENU!$M284,SUPORTE!$R$5:$R$2900,MENU!$I$9),"")</f>
        <v/>
      </c>
      <c r="P284" s="36" t="str">
        <f t="shared" si="12"/>
        <v/>
      </c>
      <c r="Q284" s="36" t="str">
        <f t="shared" si="13"/>
        <v/>
      </c>
    </row>
    <row r="285" spans="4:17" ht="15.9" x14ac:dyDescent="0.45">
      <c r="D285" s="15" t="str">
        <f>IF(B285&lt;&gt;"",IF(_xlfn.IFNA(VLOOKUP(B285&amp;C285,SUPORTE!AA:AA,1,0),"NÃO INICIADO")="NÃO INICIADO",IF(B285&amp;C285=$J$9&amp;$I$12,"EM PROCESSO","NÃO INICIADO"),VLOOKUP(B285&amp;C285,SUPORTE!AA:AF,6,0)),"")</f>
        <v/>
      </c>
      <c r="I285" s="44"/>
      <c r="J285" s="32"/>
      <c r="K285" s="33"/>
      <c r="L285" s="34"/>
      <c r="M285" s="35"/>
      <c r="N285" s="36"/>
      <c r="O285" s="36" t="str">
        <f>IF(K285&lt;&gt;"",COUNTIFS(SUPORTE!$Q$5:$Q$2900,MENU!$M285,SUPORTE!$R$5:$R$2900,MENU!$I$9),"")</f>
        <v/>
      </c>
      <c r="P285" s="36" t="str">
        <f t="shared" si="12"/>
        <v/>
      </c>
      <c r="Q285" s="36" t="str">
        <f t="shared" si="13"/>
        <v/>
      </c>
    </row>
    <row r="286" spans="4:17" ht="15.9" x14ac:dyDescent="0.45">
      <c r="D286" s="15" t="str">
        <f>IF(B286&lt;&gt;"",IF(_xlfn.IFNA(VLOOKUP(B286&amp;C286,SUPORTE!AA:AA,1,0),"NÃO INICIADO")="NÃO INICIADO",IF(B286&amp;C286=$J$9&amp;$I$12,"EM PROCESSO","NÃO INICIADO"),VLOOKUP(B286&amp;C286,SUPORTE!AA:AF,6,0)),"")</f>
        <v/>
      </c>
      <c r="I286" s="44"/>
      <c r="J286" s="32"/>
      <c r="K286" s="33"/>
      <c r="L286" s="34"/>
      <c r="M286" s="35"/>
      <c r="N286" s="36"/>
      <c r="O286" s="36" t="str">
        <f>IF(K286&lt;&gt;"",COUNTIFS(SUPORTE!$Q$5:$Q$2900,MENU!$M286,SUPORTE!$R$5:$R$2900,MENU!$I$9),"")</f>
        <v/>
      </c>
      <c r="P286" s="36" t="str">
        <f t="shared" si="12"/>
        <v/>
      </c>
      <c r="Q286" s="36" t="str">
        <f t="shared" si="13"/>
        <v/>
      </c>
    </row>
    <row r="287" spans="4:17" ht="15.9" x14ac:dyDescent="0.45">
      <c r="D287" s="15" t="str">
        <f>IF(B287&lt;&gt;"",IF(_xlfn.IFNA(VLOOKUP(B287&amp;C287,SUPORTE!AA:AA,1,0),"NÃO INICIADO")="NÃO INICIADO",IF(B287&amp;C287=$J$9&amp;$I$12,"EM PROCESSO","NÃO INICIADO"),VLOOKUP(B287&amp;C287,SUPORTE!AA:AF,6,0)),"")</f>
        <v/>
      </c>
      <c r="I287" s="44"/>
      <c r="J287" s="32"/>
      <c r="K287" s="33"/>
      <c r="L287" s="34"/>
      <c r="M287" s="35"/>
      <c r="N287" s="36"/>
      <c r="O287" s="36" t="str">
        <f>IF(K287&lt;&gt;"",COUNTIFS(SUPORTE!$Q$5:$Q$2900,MENU!$M287,SUPORTE!$R$5:$R$2900,MENU!$I$9),"")</f>
        <v/>
      </c>
      <c r="P287" s="36" t="str">
        <f t="shared" si="12"/>
        <v/>
      </c>
      <c r="Q287" s="36" t="str">
        <f t="shared" si="13"/>
        <v/>
      </c>
    </row>
    <row r="288" spans="4:17" ht="15.9" x14ac:dyDescent="0.45">
      <c r="D288" s="15" t="str">
        <f>IF(B288&lt;&gt;"",IF(_xlfn.IFNA(VLOOKUP(B288&amp;C288,SUPORTE!AA:AA,1,0),"NÃO INICIADO")="NÃO INICIADO",IF(B288&amp;C288=$J$9&amp;$I$12,"EM PROCESSO","NÃO INICIADO"),VLOOKUP(B288&amp;C288,SUPORTE!AA:AF,6,0)),"")</f>
        <v/>
      </c>
      <c r="I288" s="44"/>
      <c r="J288" s="32"/>
      <c r="K288" s="33"/>
      <c r="L288" s="34"/>
      <c r="M288" s="35"/>
      <c r="N288" s="36"/>
      <c r="O288" s="36" t="str">
        <f>IF(K288&lt;&gt;"",COUNTIFS(SUPORTE!$Q$5:$Q$2900,MENU!$M288,SUPORTE!$R$5:$R$2900,MENU!$I$9),"")</f>
        <v/>
      </c>
      <c r="P288" s="36" t="str">
        <f t="shared" si="12"/>
        <v/>
      </c>
      <c r="Q288" s="36" t="str">
        <f t="shared" si="13"/>
        <v/>
      </c>
    </row>
    <row r="289" spans="4:17" ht="15.9" x14ac:dyDescent="0.45">
      <c r="D289" s="15" t="str">
        <f>IF(B289&lt;&gt;"",IF(_xlfn.IFNA(VLOOKUP(B289&amp;C289,SUPORTE!AA:AA,1,0),"NÃO INICIADO")="NÃO INICIADO",IF(B289&amp;C289=$J$9&amp;$I$12,"EM PROCESSO","NÃO INICIADO"),VLOOKUP(B289&amp;C289,SUPORTE!AA:AF,6,0)),"")</f>
        <v/>
      </c>
      <c r="I289" s="44"/>
      <c r="J289" s="32"/>
      <c r="K289" s="33"/>
      <c r="L289" s="34"/>
      <c r="M289" s="35"/>
      <c r="N289" s="36"/>
      <c r="O289" s="36" t="str">
        <f>IF(K289&lt;&gt;"",COUNTIFS(SUPORTE!$Q$5:$Q$2900,MENU!$M289,SUPORTE!$R$5:$R$2900,MENU!$I$9),"")</f>
        <v/>
      </c>
      <c r="P289" s="36" t="str">
        <f t="shared" si="12"/>
        <v/>
      </c>
      <c r="Q289" s="36" t="str">
        <f t="shared" si="13"/>
        <v/>
      </c>
    </row>
    <row r="290" spans="4:17" ht="15.9" x14ac:dyDescent="0.45">
      <c r="D290" s="15" t="str">
        <f>IF(B290&lt;&gt;"",IF(_xlfn.IFNA(VLOOKUP(B290&amp;C290,SUPORTE!AA:AA,1,0),"NÃO INICIADO")="NÃO INICIADO",IF(B290&amp;C290=$J$9&amp;$I$12,"EM PROCESSO","NÃO INICIADO"),VLOOKUP(B290&amp;C290,SUPORTE!AA:AF,6,0)),"")</f>
        <v/>
      </c>
      <c r="I290" s="44"/>
      <c r="J290" s="32"/>
      <c r="K290" s="33"/>
      <c r="L290" s="34"/>
      <c r="M290" s="35"/>
      <c r="N290" s="36"/>
      <c r="O290" s="36" t="str">
        <f>IF(K290&lt;&gt;"",COUNTIFS(SUPORTE!$Q$5:$Q$2900,MENU!$M290,SUPORTE!$R$5:$R$2900,MENU!$I$9),"")</f>
        <v/>
      </c>
      <c r="P290" s="36" t="str">
        <f t="shared" si="12"/>
        <v/>
      </c>
      <c r="Q290" s="36" t="str">
        <f t="shared" si="13"/>
        <v/>
      </c>
    </row>
    <row r="291" spans="4:17" ht="15.9" x14ac:dyDescent="0.45">
      <c r="D291" s="15" t="str">
        <f>IF(B291&lt;&gt;"",IF(_xlfn.IFNA(VLOOKUP(B291&amp;C291,SUPORTE!AA:AA,1,0),"NÃO INICIADO")="NÃO INICIADO",IF(B291&amp;C291=$J$9&amp;$I$12,"EM PROCESSO","NÃO INICIADO"),VLOOKUP(B291&amp;C291,SUPORTE!AA:AF,6,0)),"")</f>
        <v/>
      </c>
      <c r="I291" s="44"/>
      <c r="J291" s="32"/>
      <c r="K291" s="33"/>
      <c r="L291" s="34"/>
      <c r="M291" s="35"/>
      <c r="N291" s="36"/>
      <c r="O291" s="36" t="str">
        <f>IF(K291&lt;&gt;"",COUNTIFS(SUPORTE!$Q$5:$Q$2900,MENU!$M291,SUPORTE!$R$5:$R$2900,MENU!$I$9),"")</f>
        <v/>
      </c>
      <c r="P291" s="36" t="str">
        <f t="shared" si="12"/>
        <v/>
      </c>
      <c r="Q291" s="36" t="str">
        <f t="shared" si="13"/>
        <v/>
      </c>
    </row>
    <row r="292" spans="4:17" ht="15.9" x14ac:dyDescent="0.45">
      <c r="D292" s="15" t="str">
        <f>IF(B292&lt;&gt;"",IF(_xlfn.IFNA(VLOOKUP(B292&amp;C292,SUPORTE!AA:AA,1,0),"NÃO INICIADO")="NÃO INICIADO",IF(B292&amp;C292=$J$9&amp;$I$12,"EM PROCESSO","NÃO INICIADO"),VLOOKUP(B292&amp;C292,SUPORTE!AA:AF,6,0)),"")</f>
        <v/>
      </c>
      <c r="I292" s="44"/>
      <c r="J292" s="32"/>
      <c r="K292" s="33"/>
      <c r="L292" s="34"/>
      <c r="M292" s="35"/>
      <c r="N292" s="36"/>
      <c r="O292" s="36" t="str">
        <f>IF(K292&lt;&gt;"",COUNTIFS(SUPORTE!$Q$5:$Q$2900,MENU!$M292,SUPORTE!$R$5:$R$2900,MENU!$I$9),"")</f>
        <v/>
      </c>
      <c r="P292" s="36" t="str">
        <f t="shared" si="12"/>
        <v/>
      </c>
      <c r="Q292" s="36" t="str">
        <f t="shared" si="13"/>
        <v/>
      </c>
    </row>
    <row r="293" spans="4:17" ht="15.9" x14ac:dyDescent="0.45">
      <c r="D293" s="15" t="str">
        <f>IF(B293&lt;&gt;"",IF(_xlfn.IFNA(VLOOKUP(B293&amp;C293,SUPORTE!AA:AA,1,0),"NÃO INICIADO")="NÃO INICIADO",IF(B293&amp;C293=$J$9&amp;$I$12,"EM PROCESSO","NÃO INICIADO"),VLOOKUP(B293&amp;C293,SUPORTE!AA:AF,6,0)),"")</f>
        <v/>
      </c>
      <c r="I293" s="44"/>
      <c r="J293" s="32"/>
      <c r="K293" s="33"/>
      <c r="L293" s="34"/>
      <c r="M293" s="35"/>
      <c r="N293" s="36"/>
      <c r="O293" s="36" t="str">
        <f>IF(K293&lt;&gt;"",COUNTIFS(SUPORTE!$Q$5:$Q$2900,MENU!$M293,SUPORTE!$R$5:$R$2900,MENU!$I$9),"")</f>
        <v/>
      </c>
      <c r="P293" s="36" t="str">
        <f t="shared" si="12"/>
        <v/>
      </c>
      <c r="Q293" s="36" t="str">
        <f t="shared" si="13"/>
        <v/>
      </c>
    </row>
    <row r="294" spans="4:17" ht="15.9" x14ac:dyDescent="0.45">
      <c r="D294" s="15" t="str">
        <f>IF(B294&lt;&gt;"",IF(_xlfn.IFNA(VLOOKUP(B294&amp;C294,SUPORTE!AA:AA,1,0),"NÃO INICIADO")="NÃO INICIADO",IF(B294&amp;C294=$J$9&amp;$I$12,"EM PROCESSO","NÃO INICIADO"),VLOOKUP(B294&amp;C294,SUPORTE!AA:AF,6,0)),"")</f>
        <v/>
      </c>
      <c r="I294" s="44"/>
      <c r="J294" s="32"/>
      <c r="K294" s="33"/>
      <c r="L294" s="34"/>
      <c r="M294" s="35"/>
      <c r="N294" s="36"/>
      <c r="O294" s="36" t="str">
        <f>IF(K294&lt;&gt;"",COUNTIFS(SUPORTE!$Q$5:$Q$2900,MENU!$M294,SUPORTE!$R$5:$R$2900,MENU!$I$9),"")</f>
        <v/>
      </c>
      <c r="P294" s="36" t="str">
        <f t="shared" si="12"/>
        <v/>
      </c>
      <c r="Q294" s="36" t="str">
        <f t="shared" si="13"/>
        <v/>
      </c>
    </row>
    <row r="295" spans="4:17" ht="15.9" x14ac:dyDescent="0.45">
      <c r="D295" s="15" t="str">
        <f>IF(B295&lt;&gt;"",IF(_xlfn.IFNA(VLOOKUP(B295&amp;C295,SUPORTE!AA:AA,1,0),"NÃO INICIADO")="NÃO INICIADO",IF(B295&amp;C295=$J$9&amp;$I$12,"EM PROCESSO","NÃO INICIADO"),VLOOKUP(B295&amp;C295,SUPORTE!AA:AF,6,0)),"")</f>
        <v/>
      </c>
      <c r="I295" s="44"/>
      <c r="J295" s="32"/>
      <c r="K295" s="33"/>
      <c r="L295" s="34"/>
      <c r="M295" s="35"/>
      <c r="N295" s="36"/>
      <c r="O295" s="36" t="str">
        <f>IF(K295&lt;&gt;"",COUNTIFS(SUPORTE!$Q$5:$Q$2900,MENU!$M295,SUPORTE!$R$5:$R$2900,MENU!$I$9),"")</f>
        <v/>
      </c>
      <c r="P295" s="36" t="str">
        <f t="shared" si="12"/>
        <v/>
      </c>
      <c r="Q295" s="36" t="str">
        <f t="shared" si="13"/>
        <v/>
      </c>
    </row>
    <row r="296" spans="4:17" ht="15.9" x14ac:dyDescent="0.45">
      <c r="D296" s="15" t="str">
        <f>IF(B296&lt;&gt;"",IF(_xlfn.IFNA(VLOOKUP(B296&amp;C296,SUPORTE!AA:AA,1,0),"NÃO INICIADO")="NÃO INICIADO",IF(B296&amp;C296=$J$9&amp;$I$12,"EM PROCESSO","NÃO INICIADO"),VLOOKUP(B296&amp;C296,SUPORTE!AA:AF,6,0)),"")</f>
        <v/>
      </c>
      <c r="I296" s="44"/>
      <c r="J296" s="32"/>
      <c r="K296" s="33"/>
      <c r="L296" s="34"/>
      <c r="M296" s="35"/>
      <c r="N296" s="36"/>
      <c r="O296" s="36" t="str">
        <f>IF(K296&lt;&gt;"",COUNTIFS(SUPORTE!$Q$5:$Q$2900,MENU!$M296,SUPORTE!$R$5:$R$2900,MENU!$I$9),"")</f>
        <v/>
      </c>
      <c r="P296" s="36" t="str">
        <f t="shared" si="12"/>
        <v/>
      </c>
      <c r="Q296" s="36" t="str">
        <f t="shared" si="13"/>
        <v/>
      </c>
    </row>
    <row r="297" spans="4:17" ht="15.9" x14ac:dyDescent="0.45">
      <c r="D297" s="15" t="str">
        <f>IF(B297&lt;&gt;"",IF(_xlfn.IFNA(VLOOKUP(B297&amp;C297,SUPORTE!AA:AA,1,0),"NÃO INICIADO")="NÃO INICIADO",IF(B297&amp;C297=$J$9&amp;$I$12,"EM PROCESSO","NÃO INICIADO"),VLOOKUP(B297&amp;C297,SUPORTE!AA:AF,6,0)),"")</f>
        <v/>
      </c>
      <c r="I297" s="44"/>
      <c r="J297" s="32"/>
      <c r="K297" s="33"/>
      <c r="L297" s="34"/>
      <c r="M297" s="35"/>
      <c r="N297" s="36"/>
      <c r="O297" s="36" t="str">
        <f>IF(K297&lt;&gt;"",COUNTIFS(SUPORTE!$Q$5:$Q$2900,MENU!$M297,SUPORTE!$R$5:$R$2900,MENU!$I$9),"")</f>
        <v/>
      </c>
      <c r="P297" s="36" t="str">
        <f t="shared" si="12"/>
        <v/>
      </c>
      <c r="Q297" s="36" t="str">
        <f t="shared" si="13"/>
        <v/>
      </c>
    </row>
    <row r="298" spans="4:17" ht="15.9" x14ac:dyDescent="0.45">
      <c r="D298" s="15" t="str">
        <f>IF(B298&lt;&gt;"",IF(_xlfn.IFNA(VLOOKUP(B298&amp;C298,SUPORTE!AA:AA,1,0),"NÃO INICIADO")="NÃO INICIADO",IF(B298&amp;C298=$J$9&amp;$I$12,"EM PROCESSO","NÃO INICIADO"),VLOOKUP(B298&amp;C298,SUPORTE!AA:AF,6,0)),"")</f>
        <v/>
      </c>
      <c r="I298" s="44"/>
      <c r="J298" s="32"/>
      <c r="K298" s="33"/>
      <c r="L298" s="34"/>
      <c r="M298" s="35"/>
      <c r="N298" s="36"/>
      <c r="O298" s="36" t="str">
        <f>IF(K298&lt;&gt;"",COUNTIFS(SUPORTE!$Q$5:$Q$2900,MENU!$M298,SUPORTE!$R$5:$R$2900,MENU!$I$9),"")</f>
        <v/>
      </c>
      <c r="P298" s="36" t="str">
        <f t="shared" ref="P298:P361" si="14">IF(L298&lt;&gt;"",IF(Q298&lt;&gt;0,"AT","OK"),"")</f>
        <v/>
      </c>
      <c r="Q298" s="36" t="str">
        <f t="shared" ref="Q298:Q361" si="15">IF(L298&lt;&gt;"",N298-O298,"")</f>
        <v/>
      </c>
    </row>
    <row r="299" spans="4:17" ht="15.9" x14ac:dyDescent="0.45">
      <c r="D299" s="15" t="str">
        <f>IF(B299&lt;&gt;"",IF(_xlfn.IFNA(VLOOKUP(B299&amp;C299,SUPORTE!AA:AA,1,0),"NÃO INICIADO")="NÃO INICIADO",IF(B299&amp;C299=$J$9&amp;$I$12,"EM PROCESSO","NÃO INICIADO"),VLOOKUP(B299&amp;C299,SUPORTE!AA:AF,6,0)),"")</f>
        <v/>
      </c>
      <c r="I299" s="44"/>
      <c r="J299" s="32"/>
      <c r="K299" s="33"/>
      <c r="L299" s="34"/>
      <c r="M299" s="35"/>
      <c r="N299" s="36"/>
      <c r="O299" s="36" t="str">
        <f>IF(K299&lt;&gt;"",COUNTIFS(SUPORTE!$Q$5:$Q$2900,MENU!$M299,SUPORTE!$R$5:$R$2900,MENU!$I$9),"")</f>
        <v/>
      </c>
      <c r="P299" s="36" t="str">
        <f t="shared" si="14"/>
        <v/>
      </c>
      <c r="Q299" s="36" t="str">
        <f t="shared" si="15"/>
        <v/>
      </c>
    </row>
    <row r="300" spans="4:17" ht="15.9" x14ac:dyDescent="0.45">
      <c r="D300" s="15" t="str">
        <f>IF(B300&lt;&gt;"",IF(_xlfn.IFNA(VLOOKUP(B300&amp;C300,SUPORTE!AA:AA,1,0),"NÃO INICIADO")="NÃO INICIADO",IF(B300&amp;C300=$J$9&amp;$I$12,"EM PROCESSO","NÃO INICIADO"),VLOOKUP(B300&amp;C300,SUPORTE!AA:AF,6,0)),"")</f>
        <v/>
      </c>
      <c r="I300" s="44"/>
      <c r="J300" s="32"/>
      <c r="K300" s="33"/>
      <c r="L300" s="34"/>
      <c r="M300" s="35"/>
      <c r="N300" s="36"/>
      <c r="O300" s="36" t="str">
        <f>IF(K300&lt;&gt;"",COUNTIFS(SUPORTE!$Q$5:$Q$2900,MENU!$M300,SUPORTE!$R$5:$R$2900,MENU!$I$9),"")</f>
        <v/>
      </c>
      <c r="P300" s="36" t="str">
        <f t="shared" si="14"/>
        <v/>
      </c>
      <c r="Q300" s="36" t="str">
        <f t="shared" si="15"/>
        <v/>
      </c>
    </row>
    <row r="301" spans="4:17" ht="15.9" x14ac:dyDescent="0.45">
      <c r="D301" s="15" t="str">
        <f>IF(B301&lt;&gt;"",IF(_xlfn.IFNA(VLOOKUP(B301&amp;C301,SUPORTE!AA:AA,1,0),"NÃO INICIADO")="NÃO INICIADO",IF(B301&amp;C301=$J$9&amp;$I$12,"EM PROCESSO","NÃO INICIADO"),VLOOKUP(B301&amp;C301,SUPORTE!AA:AF,6,0)),"")</f>
        <v/>
      </c>
      <c r="I301" s="44"/>
      <c r="J301" s="32"/>
      <c r="K301" s="33"/>
      <c r="L301" s="34"/>
      <c r="M301" s="35"/>
      <c r="N301" s="36"/>
      <c r="O301" s="36" t="str">
        <f>IF(K301&lt;&gt;"",COUNTIFS(SUPORTE!$Q$5:$Q$2900,MENU!$M301,SUPORTE!$R$5:$R$2900,MENU!$I$9),"")</f>
        <v/>
      </c>
      <c r="P301" s="36" t="str">
        <f t="shared" si="14"/>
        <v/>
      </c>
      <c r="Q301" s="36" t="str">
        <f t="shared" si="15"/>
        <v/>
      </c>
    </row>
    <row r="302" spans="4:17" ht="15.9" x14ac:dyDescent="0.45">
      <c r="D302" s="15" t="str">
        <f>IF(B302&lt;&gt;"",IF(_xlfn.IFNA(VLOOKUP(B302&amp;C302,SUPORTE!AA:AA,1,0),"NÃO INICIADO")="NÃO INICIADO",IF(B302&amp;C302=$J$9&amp;$I$12,"EM PROCESSO","NÃO INICIADO"),VLOOKUP(B302&amp;C302,SUPORTE!AA:AF,6,0)),"")</f>
        <v/>
      </c>
      <c r="I302" s="44"/>
      <c r="J302" s="32"/>
      <c r="K302" s="33"/>
      <c r="L302" s="34"/>
      <c r="M302" s="35"/>
      <c r="N302" s="36"/>
      <c r="O302" s="36" t="str">
        <f>IF(K302&lt;&gt;"",COUNTIFS(SUPORTE!$Q$5:$Q$2900,MENU!$M302,SUPORTE!$R$5:$R$2900,MENU!$I$9),"")</f>
        <v/>
      </c>
      <c r="P302" s="36" t="str">
        <f t="shared" si="14"/>
        <v/>
      </c>
      <c r="Q302" s="36" t="str">
        <f t="shared" si="15"/>
        <v/>
      </c>
    </row>
    <row r="303" spans="4:17" ht="15.9" x14ac:dyDescent="0.45">
      <c r="D303" s="15" t="str">
        <f>IF(B303&lt;&gt;"",IF(_xlfn.IFNA(VLOOKUP(B303&amp;C303,SUPORTE!AA:AA,1,0),"NÃO INICIADO")="NÃO INICIADO",IF(B303&amp;C303=$J$9&amp;$I$12,"EM PROCESSO","NÃO INICIADO"),VLOOKUP(B303&amp;C303,SUPORTE!AA:AF,6,0)),"")</f>
        <v/>
      </c>
      <c r="I303" s="44"/>
      <c r="J303" s="32"/>
      <c r="K303" s="33"/>
      <c r="L303" s="34"/>
      <c r="M303" s="35"/>
      <c r="N303" s="36"/>
      <c r="O303" s="36" t="str">
        <f>IF(K303&lt;&gt;"",COUNTIFS(SUPORTE!$Q$5:$Q$2900,MENU!$M303,SUPORTE!$R$5:$R$2900,MENU!$I$9),"")</f>
        <v/>
      </c>
      <c r="P303" s="36" t="str">
        <f t="shared" si="14"/>
        <v/>
      </c>
      <c r="Q303" s="36" t="str">
        <f t="shared" si="15"/>
        <v/>
      </c>
    </row>
    <row r="304" spans="4:17" ht="15.9" x14ac:dyDescent="0.45">
      <c r="D304" s="15" t="str">
        <f>IF(B304&lt;&gt;"",IF(_xlfn.IFNA(VLOOKUP(B304&amp;C304,SUPORTE!AA:AA,1,0),"NÃO INICIADO")="NÃO INICIADO",IF(B304&amp;C304=$J$9&amp;$I$12,"EM PROCESSO","NÃO INICIADO"),VLOOKUP(B304&amp;C304,SUPORTE!AA:AF,6,0)),"")</f>
        <v/>
      </c>
      <c r="I304" s="44"/>
      <c r="J304" s="32"/>
      <c r="K304" s="33"/>
      <c r="L304" s="34"/>
      <c r="M304" s="35"/>
      <c r="N304" s="36"/>
      <c r="O304" s="36" t="str">
        <f>IF(K304&lt;&gt;"",COUNTIFS(SUPORTE!$Q$5:$Q$2900,MENU!$M304,SUPORTE!$R$5:$R$2900,MENU!$I$9),"")</f>
        <v/>
      </c>
      <c r="P304" s="36" t="str">
        <f t="shared" si="14"/>
        <v/>
      </c>
      <c r="Q304" s="36" t="str">
        <f t="shared" si="15"/>
        <v/>
      </c>
    </row>
    <row r="305" spans="4:17" ht="15.9" x14ac:dyDescent="0.45">
      <c r="D305" s="15" t="str">
        <f>IF(B305&lt;&gt;"",IF(_xlfn.IFNA(VLOOKUP(B305&amp;C305,SUPORTE!AA:AA,1,0),"NÃO INICIADO")="NÃO INICIADO",IF(B305&amp;C305=$J$9&amp;$I$12,"EM PROCESSO","NÃO INICIADO"),VLOOKUP(B305&amp;C305,SUPORTE!AA:AF,6,0)),"")</f>
        <v/>
      </c>
      <c r="I305" s="44"/>
      <c r="J305" s="32"/>
      <c r="K305" s="33"/>
      <c r="L305" s="34"/>
      <c r="M305" s="35"/>
      <c r="N305" s="36"/>
      <c r="O305" s="36" t="str">
        <f>IF(K305&lt;&gt;"",COUNTIFS(SUPORTE!$Q$5:$Q$2900,MENU!$M305,SUPORTE!$R$5:$R$2900,MENU!$I$9),"")</f>
        <v/>
      </c>
      <c r="P305" s="36" t="str">
        <f t="shared" si="14"/>
        <v/>
      </c>
      <c r="Q305" s="36" t="str">
        <f t="shared" si="15"/>
        <v/>
      </c>
    </row>
    <row r="306" spans="4:17" ht="15.9" x14ac:dyDescent="0.45">
      <c r="D306" s="15" t="str">
        <f>IF(B306&lt;&gt;"",IF(_xlfn.IFNA(VLOOKUP(B306&amp;C306,SUPORTE!AA:AA,1,0),"NÃO INICIADO")="NÃO INICIADO",IF(B306&amp;C306=$J$9&amp;$I$12,"EM PROCESSO","NÃO INICIADO"),VLOOKUP(B306&amp;C306,SUPORTE!AA:AF,6,0)),"")</f>
        <v/>
      </c>
      <c r="I306" s="44"/>
      <c r="J306" s="32"/>
      <c r="K306" s="33"/>
      <c r="L306" s="34"/>
      <c r="M306" s="35"/>
      <c r="N306" s="36"/>
      <c r="O306" s="36" t="str">
        <f>IF(K306&lt;&gt;"",COUNTIFS(SUPORTE!$Q$5:$Q$2900,MENU!$M306,SUPORTE!$R$5:$R$2900,MENU!$I$9),"")</f>
        <v/>
      </c>
      <c r="P306" s="36" t="str">
        <f t="shared" si="14"/>
        <v/>
      </c>
      <c r="Q306" s="36" t="str">
        <f t="shared" si="15"/>
        <v/>
      </c>
    </row>
    <row r="307" spans="4:17" ht="15.9" x14ac:dyDescent="0.45">
      <c r="D307" s="15" t="str">
        <f>IF(B307&lt;&gt;"",IF(_xlfn.IFNA(VLOOKUP(B307&amp;C307,SUPORTE!AA:AA,1,0),"NÃO INICIADO")="NÃO INICIADO",IF(B307&amp;C307=$J$9&amp;$I$12,"EM PROCESSO","NÃO INICIADO"),VLOOKUP(B307&amp;C307,SUPORTE!AA:AF,6,0)),"")</f>
        <v/>
      </c>
      <c r="I307" s="44"/>
      <c r="J307" s="32"/>
      <c r="K307" s="33"/>
      <c r="L307" s="34"/>
      <c r="M307" s="35"/>
      <c r="N307" s="36"/>
      <c r="O307" s="36" t="str">
        <f>IF(K307&lt;&gt;"",COUNTIFS(SUPORTE!$Q$5:$Q$2900,MENU!$M307,SUPORTE!$R$5:$R$2900,MENU!$I$9),"")</f>
        <v/>
      </c>
      <c r="P307" s="36" t="str">
        <f t="shared" si="14"/>
        <v/>
      </c>
      <c r="Q307" s="36" t="str">
        <f t="shared" si="15"/>
        <v/>
      </c>
    </row>
    <row r="308" spans="4:17" ht="15.9" x14ac:dyDescent="0.45">
      <c r="D308" s="15" t="str">
        <f>IF(B308&lt;&gt;"",IF(_xlfn.IFNA(VLOOKUP(B308&amp;C308,SUPORTE!AA:AA,1,0),"NÃO INICIADO")="NÃO INICIADO",IF(B308&amp;C308=$J$9&amp;$I$12,"EM PROCESSO","NÃO INICIADO"),VLOOKUP(B308&amp;C308,SUPORTE!AA:AF,6,0)),"")</f>
        <v/>
      </c>
      <c r="I308" s="44"/>
      <c r="J308" s="32"/>
      <c r="K308" s="33"/>
      <c r="L308" s="34"/>
      <c r="M308" s="35"/>
      <c r="N308" s="36"/>
      <c r="O308" s="36" t="str">
        <f>IF(K308&lt;&gt;"",COUNTIFS(SUPORTE!$Q$5:$Q$2900,MENU!$M308,SUPORTE!$R$5:$R$2900,MENU!$I$9),"")</f>
        <v/>
      </c>
      <c r="P308" s="36" t="str">
        <f t="shared" si="14"/>
        <v/>
      </c>
      <c r="Q308" s="36" t="str">
        <f t="shared" si="15"/>
        <v/>
      </c>
    </row>
    <row r="309" spans="4:17" ht="15.9" x14ac:dyDescent="0.45">
      <c r="D309" s="15" t="str">
        <f>IF(B309&lt;&gt;"",IF(_xlfn.IFNA(VLOOKUP(B309&amp;C309,SUPORTE!AA:AA,1,0),"NÃO INICIADO")="NÃO INICIADO",IF(B309&amp;C309=$J$9&amp;$I$12,"EM PROCESSO","NÃO INICIADO"),VLOOKUP(B309&amp;C309,SUPORTE!AA:AF,6,0)),"")</f>
        <v/>
      </c>
      <c r="I309" s="44"/>
      <c r="J309" s="32"/>
      <c r="K309" s="33"/>
      <c r="L309" s="34"/>
      <c r="M309" s="35"/>
      <c r="N309" s="36"/>
      <c r="O309" s="36" t="str">
        <f>IF(K309&lt;&gt;"",COUNTIFS(SUPORTE!$Q$5:$Q$2900,MENU!$M309,SUPORTE!$R$5:$R$2900,MENU!$I$9),"")</f>
        <v/>
      </c>
      <c r="P309" s="36" t="str">
        <f t="shared" si="14"/>
        <v/>
      </c>
      <c r="Q309" s="36" t="str">
        <f t="shared" si="15"/>
        <v/>
      </c>
    </row>
    <row r="310" spans="4:17" ht="15.9" x14ac:dyDescent="0.45">
      <c r="D310" s="15" t="str">
        <f>IF(B310&lt;&gt;"",IF(_xlfn.IFNA(VLOOKUP(B310&amp;C310,SUPORTE!AA:AA,1,0),"NÃO INICIADO")="NÃO INICIADO",IF(B310&amp;C310=$J$9&amp;$I$12,"EM PROCESSO","NÃO INICIADO"),VLOOKUP(B310&amp;C310,SUPORTE!AA:AF,6,0)),"")</f>
        <v/>
      </c>
      <c r="I310" s="44"/>
      <c r="J310" s="32"/>
      <c r="K310" s="33"/>
      <c r="L310" s="34"/>
      <c r="M310" s="35"/>
      <c r="N310" s="36"/>
      <c r="O310" s="36" t="str">
        <f>IF(K310&lt;&gt;"",COUNTIFS(SUPORTE!$Q$5:$Q$2900,MENU!$M310,SUPORTE!$R$5:$R$2900,MENU!$I$9),"")</f>
        <v/>
      </c>
      <c r="P310" s="36" t="str">
        <f t="shared" si="14"/>
        <v/>
      </c>
      <c r="Q310" s="36" t="str">
        <f t="shared" si="15"/>
        <v/>
      </c>
    </row>
    <row r="311" spans="4:17" ht="15.9" x14ac:dyDescent="0.45">
      <c r="D311" s="15" t="str">
        <f>IF(B311&lt;&gt;"",IF(_xlfn.IFNA(VLOOKUP(B311&amp;C311,SUPORTE!AA:AA,1,0),"NÃO INICIADO")="NÃO INICIADO",IF(B311&amp;C311=$J$9&amp;$I$12,"EM PROCESSO","NÃO INICIADO"),VLOOKUP(B311&amp;C311,SUPORTE!AA:AF,6,0)),"")</f>
        <v/>
      </c>
      <c r="I311" s="44"/>
      <c r="J311" s="32"/>
      <c r="K311" s="33"/>
      <c r="L311" s="34"/>
      <c r="M311" s="35"/>
      <c r="N311" s="36"/>
      <c r="O311" s="36" t="str">
        <f>IF(K311&lt;&gt;"",COUNTIFS(SUPORTE!$Q$5:$Q$2900,MENU!$M311,SUPORTE!$R$5:$R$2900,MENU!$I$9),"")</f>
        <v/>
      </c>
      <c r="P311" s="36" t="str">
        <f t="shared" si="14"/>
        <v/>
      </c>
      <c r="Q311" s="36" t="str">
        <f t="shared" si="15"/>
        <v/>
      </c>
    </row>
    <row r="312" spans="4:17" ht="15.9" x14ac:dyDescent="0.45">
      <c r="D312" s="15" t="str">
        <f>IF(B312&lt;&gt;"",IF(_xlfn.IFNA(VLOOKUP(B312&amp;C312,SUPORTE!AA:AA,1,0),"NÃO INICIADO")="NÃO INICIADO",IF(B312&amp;C312=$J$9&amp;$I$12,"EM PROCESSO","NÃO INICIADO"),VLOOKUP(B312&amp;C312,SUPORTE!AA:AF,6,0)),"")</f>
        <v/>
      </c>
      <c r="I312" s="44"/>
      <c r="J312" s="32"/>
      <c r="K312" s="33"/>
      <c r="L312" s="34"/>
      <c r="M312" s="35"/>
      <c r="N312" s="36"/>
      <c r="O312" s="36" t="str">
        <f>IF(K312&lt;&gt;"",COUNTIFS(SUPORTE!$Q$5:$Q$2900,MENU!$M312,SUPORTE!$R$5:$R$2900,MENU!$I$9),"")</f>
        <v/>
      </c>
      <c r="P312" s="36" t="str">
        <f t="shared" si="14"/>
        <v/>
      </c>
      <c r="Q312" s="36" t="str">
        <f t="shared" si="15"/>
        <v/>
      </c>
    </row>
    <row r="313" spans="4:17" ht="15.9" x14ac:dyDescent="0.45">
      <c r="D313" s="15" t="str">
        <f>IF(B313&lt;&gt;"",IF(_xlfn.IFNA(VLOOKUP(B313&amp;C313,SUPORTE!AA:AA,1,0),"NÃO INICIADO")="NÃO INICIADO",IF(B313&amp;C313=$J$9&amp;$I$12,"EM PROCESSO","NÃO INICIADO"),VLOOKUP(B313&amp;C313,SUPORTE!AA:AF,6,0)),"")</f>
        <v/>
      </c>
      <c r="I313" s="44"/>
      <c r="J313" s="32"/>
      <c r="K313" s="33"/>
      <c r="L313" s="34"/>
      <c r="M313" s="35"/>
      <c r="N313" s="36"/>
      <c r="O313" s="36" t="str">
        <f>IF(K313&lt;&gt;"",COUNTIFS(SUPORTE!$Q$5:$Q$2900,MENU!$M313,SUPORTE!$R$5:$R$2900,MENU!$I$9),"")</f>
        <v/>
      </c>
      <c r="P313" s="36" t="str">
        <f t="shared" si="14"/>
        <v/>
      </c>
      <c r="Q313" s="36" t="str">
        <f t="shared" si="15"/>
        <v/>
      </c>
    </row>
    <row r="314" spans="4:17" ht="15.9" x14ac:dyDescent="0.45">
      <c r="D314" s="15" t="str">
        <f>IF(B314&lt;&gt;"",IF(_xlfn.IFNA(VLOOKUP(B314&amp;C314,SUPORTE!AA:AA,1,0),"NÃO INICIADO")="NÃO INICIADO",IF(B314&amp;C314=$J$9&amp;$I$12,"EM PROCESSO","NÃO INICIADO"),VLOOKUP(B314&amp;C314,SUPORTE!AA:AF,6,0)),"")</f>
        <v/>
      </c>
      <c r="I314" s="44"/>
      <c r="J314" s="32"/>
      <c r="K314" s="33"/>
      <c r="L314" s="34"/>
      <c r="M314" s="35"/>
      <c r="N314" s="36"/>
      <c r="O314" s="36" t="str">
        <f>IF(K314&lt;&gt;"",COUNTIFS(SUPORTE!$Q$5:$Q$2900,MENU!$M314,SUPORTE!$R$5:$R$2900,MENU!$I$9),"")</f>
        <v/>
      </c>
      <c r="P314" s="36" t="str">
        <f t="shared" si="14"/>
        <v/>
      </c>
      <c r="Q314" s="36" t="str">
        <f t="shared" si="15"/>
        <v/>
      </c>
    </row>
    <row r="315" spans="4:17" ht="15.9" x14ac:dyDescent="0.45">
      <c r="D315" s="15" t="str">
        <f>IF(B315&lt;&gt;"",IF(_xlfn.IFNA(VLOOKUP(B315&amp;C315,SUPORTE!AA:AA,1,0),"NÃO INICIADO")="NÃO INICIADO",IF(B315&amp;C315=$J$9&amp;$I$12,"EM PROCESSO","NÃO INICIADO"),VLOOKUP(B315&amp;C315,SUPORTE!AA:AF,6,0)),"")</f>
        <v/>
      </c>
      <c r="I315" s="44"/>
      <c r="J315" s="32"/>
      <c r="K315" s="33"/>
      <c r="L315" s="34"/>
      <c r="M315" s="35"/>
      <c r="N315" s="36"/>
      <c r="O315" s="36" t="str">
        <f>IF(K315&lt;&gt;"",COUNTIFS(SUPORTE!$Q$5:$Q$2900,MENU!$M315,SUPORTE!$R$5:$R$2900,MENU!$I$9),"")</f>
        <v/>
      </c>
      <c r="P315" s="36" t="str">
        <f t="shared" si="14"/>
        <v/>
      </c>
      <c r="Q315" s="36" t="str">
        <f t="shared" si="15"/>
        <v/>
      </c>
    </row>
    <row r="316" spans="4:17" ht="15.9" x14ac:dyDescent="0.45">
      <c r="D316" s="15" t="str">
        <f>IF(B316&lt;&gt;"",IF(_xlfn.IFNA(VLOOKUP(B316&amp;C316,SUPORTE!AA:AA,1,0),"NÃO INICIADO")="NÃO INICIADO",IF(B316&amp;C316=$J$9&amp;$I$12,"EM PROCESSO","NÃO INICIADO"),VLOOKUP(B316&amp;C316,SUPORTE!AA:AF,6,0)),"")</f>
        <v/>
      </c>
      <c r="I316" s="44"/>
      <c r="J316" s="32"/>
      <c r="K316" s="33"/>
      <c r="L316" s="34"/>
      <c r="M316" s="35"/>
      <c r="N316" s="36"/>
      <c r="O316" s="36" t="str">
        <f>IF(K316&lt;&gt;"",COUNTIFS(SUPORTE!$Q$5:$Q$2900,MENU!$M316,SUPORTE!$R$5:$R$2900,MENU!$I$9),"")</f>
        <v/>
      </c>
      <c r="P316" s="36" t="str">
        <f t="shared" si="14"/>
        <v/>
      </c>
      <c r="Q316" s="36" t="str">
        <f t="shared" si="15"/>
        <v/>
      </c>
    </row>
    <row r="317" spans="4:17" ht="15.9" x14ac:dyDescent="0.45">
      <c r="D317" s="15" t="str">
        <f>IF(B317&lt;&gt;"",IF(_xlfn.IFNA(VLOOKUP(B317&amp;C317,SUPORTE!AA:AA,1,0),"NÃO INICIADO")="NÃO INICIADO",IF(B317&amp;C317=$J$9&amp;$I$12,"EM PROCESSO","NÃO INICIADO"),VLOOKUP(B317&amp;C317,SUPORTE!AA:AF,6,0)),"")</f>
        <v/>
      </c>
      <c r="I317" s="44"/>
      <c r="J317" s="32"/>
      <c r="K317" s="33"/>
      <c r="L317" s="34"/>
      <c r="M317" s="35"/>
      <c r="N317" s="36"/>
      <c r="O317" s="36" t="str">
        <f>IF(K317&lt;&gt;"",COUNTIFS(SUPORTE!$Q$5:$Q$2900,MENU!$M317,SUPORTE!$R$5:$R$2900,MENU!$I$9),"")</f>
        <v/>
      </c>
      <c r="P317" s="36" t="str">
        <f t="shared" si="14"/>
        <v/>
      </c>
      <c r="Q317" s="36" t="str">
        <f t="shared" si="15"/>
        <v/>
      </c>
    </row>
    <row r="318" spans="4:17" ht="15.9" x14ac:dyDescent="0.45">
      <c r="D318" s="15" t="str">
        <f>IF(B318&lt;&gt;"",IF(_xlfn.IFNA(VLOOKUP(B318&amp;C318,SUPORTE!AA:AA,1,0),"NÃO INICIADO")="NÃO INICIADO",IF(B318&amp;C318=$J$9&amp;$I$12,"EM PROCESSO","NÃO INICIADO"),VLOOKUP(B318&amp;C318,SUPORTE!AA:AF,6,0)),"")</f>
        <v/>
      </c>
      <c r="I318" s="44"/>
      <c r="J318" s="32"/>
      <c r="K318" s="33"/>
      <c r="L318" s="34"/>
      <c r="M318" s="35"/>
      <c r="N318" s="36"/>
      <c r="O318" s="36" t="str">
        <f>IF(K318&lt;&gt;"",COUNTIFS(SUPORTE!$Q$5:$Q$2900,MENU!$M318,SUPORTE!$R$5:$R$2900,MENU!$I$9),"")</f>
        <v/>
      </c>
      <c r="P318" s="36" t="str">
        <f t="shared" si="14"/>
        <v/>
      </c>
      <c r="Q318" s="36" t="str">
        <f t="shared" si="15"/>
        <v/>
      </c>
    </row>
    <row r="319" spans="4:17" ht="15.9" x14ac:dyDescent="0.45">
      <c r="D319" s="15" t="str">
        <f>IF(B319&lt;&gt;"",IF(_xlfn.IFNA(VLOOKUP(B319&amp;C319,SUPORTE!AA:AA,1,0),"NÃO INICIADO")="NÃO INICIADO",IF(B319&amp;C319=$J$9&amp;$I$12,"EM PROCESSO","NÃO INICIADO"),VLOOKUP(B319&amp;C319,SUPORTE!AA:AF,6,0)),"")</f>
        <v/>
      </c>
      <c r="I319" s="44"/>
      <c r="J319" s="32"/>
      <c r="K319" s="33"/>
      <c r="L319" s="34"/>
      <c r="M319" s="35"/>
      <c r="N319" s="36"/>
      <c r="O319" s="36" t="str">
        <f>IF(K319&lt;&gt;"",COUNTIFS(SUPORTE!$Q$5:$Q$2900,MENU!$M319,SUPORTE!$R$5:$R$2900,MENU!$I$9),"")</f>
        <v/>
      </c>
      <c r="P319" s="36" t="str">
        <f t="shared" si="14"/>
        <v/>
      </c>
      <c r="Q319" s="36" t="str">
        <f t="shared" si="15"/>
        <v/>
      </c>
    </row>
    <row r="320" spans="4:17" ht="15.9" x14ac:dyDescent="0.45">
      <c r="D320" s="15" t="str">
        <f>IF(B320&lt;&gt;"",IF(_xlfn.IFNA(VLOOKUP(B320&amp;C320,SUPORTE!AA:AA,1,0),"NÃO INICIADO")="NÃO INICIADO",IF(B320&amp;C320=$J$9&amp;$I$12,"EM PROCESSO","NÃO INICIADO"),VLOOKUP(B320&amp;C320,SUPORTE!AA:AF,6,0)),"")</f>
        <v/>
      </c>
      <c r="I320" s="44"/>
      <c r="J320" s="32"/>
      <c r="K320" s="33"/>
      <c r="L320" s="34"/>
      <c r="M320" s="35"/>
      <c r="N320" s="36"/>
      <c r="O320" s="36" t="str">
        <f>IF(K320&lt;&gt;"",COUNTIFS(SUPORTE!$Q$5:$Q$2900,MENU!$M320,SUPORTE!$R$5:$R$2900,MENU!$I$9),"")</f>
        <v/>
      </c>
      <c r="P320" s="36" t="str">
        <f t="shared" si="14"/>
        <v/>
      </c>
      <c r="Q320" s="36" t="str">
        <f t="shared" si="15"/>
        <v/>
      </c>
    </row>
    <row r="321" spans="4:17" ht="15.9" x14ac:dyDescent="0.45">
      <c r="D321" s="15" t="str">
        <f>IF(B321&lt;&gt;"",IF(_xlfn.IFNA(VLOOKUP(B321&amp;C321,SUPORTE!AA:AA,1,0),"NÃO INICIADO")="NÃO INICIADO",IF(B321&amp;C321=$J$9&amp;$I$12,"EM PROCESSO","NÃO INICIADO"),VLOOKUP(B321&amp;C321,SUPORTE!AA:AF,6,0)),"")</f>
        <v/>
      </c>
      <c r="I321" s="44"/>
      <c r="J321" s="32"/>
      <c r="K321" s="33"/>
      <c r="L321" s="34"/>
      <c r="M321" s="35"/>
      <c r="N321" s="36"/>
      <c r="O321" s="36" t="str">
        <f>IF(K321&lt;&gt;"",COUNTIFS(SUPORTE!$Q$5:$Q$2900,MENU!$M321,SUPORTE!$R$5:$R$2900,MENU!$I$9),"")</f>
        <v/>
      </c>
      <c r="P321" s="36" t="str">
        <f t="shared" si="14"/>
        <v/>
      </c>
      <c r="Q321" s="36" t="str">
        <f t="shared" si="15"/>
        <v/>
      </c>
    </row>
    <row r="322" spans="4:17" ht="15.9" x14ac:dyDescent="0.45">
      <c r="D322" s="15" t="str">
        <f>IF(B322&lt;&gt;"",IF(_xlfn.IFNA(VLOOKUP(B322&amp;C322,SUPORTE!AA:AA,1,0),"NÃO INICIADO")="NÃO INICIADO",IF(B322&amp;C322=$J$9&amp;$I$12,"EM PROCESSO","NÃO INICIADO"),VLOOKUP(B322&amp;C322,SUPORTE!AA:AF,6,0)),"")</f>
        <v/>
      </c>
      <c r="I322" s="44"/>
      <c r="J322" s="32"/>
      <c r="K322" s="33"/>
      <c r="L322" s="34"/>
      <c r="M322" s="35"/>
      <c r="N322" s="36"/>
      <c r="O322" s="36" t="str">
        <f>IF(K322&lt;&gt;"",COUNTIFS(SUPORTE!$Q$5:$Q$2900,MENU!$M322,SUPORTE!$R$5:$R$2900,MENU!$I$9),"")</f>
        <v/>
      </c>
      <c r="P322" s="36" t="str">
        <f t="shared" si="14"/>
        <v/>
      </c>
      <c r="Q322" s="36" t="str">
        <f t="shared" si="15"/>
        <v/>
      </c>
    </row>
    <row r="323" spans="4:17" ht="15.9" x14ac:dyDescent="0.45">
      <c r="D323" s="15" t="str">
        <f>IF(B323&lt;&gt;"",IF(_xlfn.IFNA(VLOOKUP(B323&amp;C323,SUPORTE!AA:AA,1,0),"NÃO INICIADO")="NÃO INICIADO",IF(B323&amp;C323=$J$9&amp;$I$12,"EM PROCESSO","NÃO INICIADO"),VLOOKUP(B323&amp;C323,SUPORTE!AA:AF,6,0)),"")</f>
        <v/>
      </c>
      <c r="I323" s="44"/>
      <c r="J323" s="32"/>
      <c r="K323" s="33"/>
      <c r="L323" s="34"/>
      <c r="M323" s="35"/>
      <c r="N323" s="36"/>
      <c r="O323" s="36" t="str">
        <f>IF(K323&lt;&gt;"",COUNTIFS(SUPORTE!$Q$5:$Q$2900,MENU!$M323,SUPORTE!$R$5:$R$2900,MENU!$I$9),"")</f>
        <v/>
      </c>
      <c r="P323" s="36" t="str">
        <f t="shared" si="14"/>
        <v/>
      </c>
      <c r="Q323" s="36" t="str">
        <f t="shared" si="15"/>
        <v/>
      </c>
    </row>
    <row r="324" spans="4:17" ht="15.9" x14ac:dyDescent="0.45">
      <c r="D324" s="15" t="str">
        <f>IF(B324&lt;&gt;"",IF(_xlfn.IFNA(VLOOKUP(B324&amp;C324,SUPORTE!AA:AA,1,0),"NÃO INICIADO")="NÃO INICIADO",IF(B324&amp;C324=$J$9&amp;$I$12,"EM PROCESSO","NÃO INICIADO"),VLOOKUP(B324&amp;C324,SUPORTE!AA:AF,6,0)),"")</f>
        <v/>
      </c>
      <c r="I324" s="44"/>
      <c r="J324" s="32"/>
      <c r="K324" s="33"/>
      <c r="L324" s="34"/>
      <c r="M324" s="35"/>
      <c r="N324" s="36"/>
      <c r="O324" s="36" t="str">
        <f>IF(K324&lt;&gt;"",COUNTIFS(SUPORTE!$Q$5:$Q$2900,MENU!$M324,SUPORTE!$R$5:$R$2900,MENU!$I$9),"")</f>
        <v/>
      </c>
      <c r="P324" s="36" t="str">
        <f t="shared" si="14"/>
        <v/>
      </c>
      <c r="Q324" s="36" t="str">
        <f t="shared" si="15"/>
        <v/>
      </c>
    </row>
    <row r="325" spans="4:17" ht="15.9" x14ac:dyDescent="0.45">
      <c r="D325" s="15" t="str">
        <f>IF(B325&lt;&gt;"",IF(_xlfn.IFNA(VLOOKUP(B325&amp;C325,SUPORTE!AA:AA,1,0),"NÃO INICIADO")="NÃO INICIADO",IF(B325&amp;C325=$J$9&amp;$I$12,"EM PROCESSO","NÃO INICIADO"),VLOOKUP(B325&amp;C325,SUPORTE!AA:AF,6,0)),"")</f>
        <v/>
      </c>
      <c r="I325" s="44"/>
      <c r="J325" s="32"/>
      <c r="K325" s="33"/>
      <c r="L325" s="34"/>
      <c r="M325" s="35"/>
      <c r="N325" s="36"/>
      <c r="O325" s="36" t="str">
        <f>IF(K325&lt;&gt;"",COUNTIFS(SUPORTE!$Q$5:$Q$2900,MENU!$M325,SUPORTE!$R$5:$R$2900,MENU!$I$9),"")</f>
        <v/>
      </c>
      <c r="P325" s="36" t="str">
        <f t="shared" si="14"/>
        <v/>
      </c>
      <c r="Q325" s="36" t="str">
        <f t="shared" si="15"/>
        <v/>
      </c>
    </row>
    <row r="326" spans="4:17" ht="15.9" x14ac:dyDescent="0.45">
      <c r="D326" s="15" t="str">
        <f>IF(B326&lt;&gt;"",IF(_xlfn.IFNA(VLOOKUP(B326&amp;C326,SUPORTE!AA:AA,1,0),"NÃO INICIADO")="NÃO INICIADO",IF(B326&amp;C326=$J$9&amp;$I$12,"EM PROCESSO","NÃO INICIADO"),VLOOKUP(B326&amp;C326,SUPORTE!AA:AF,6,0)),"")</f>
        <v/>
      </c>
      <c r="I326" s="44"/>
      <c r="J326" s="32"/>
      <c r="K326" s="33"/>
      <c r="L326" s="34"/>
      <c r="M326" s="35"/>
      <c r="N326" s="36"/>
      <c r="O326" s="36" t="str">
        <f>IF(K326&lt;&gt;"",COUNTIFS(SUPORTE!$Q$5:$Q$2900,MENU!$M326,SUPORTE!$R$5:$R$2900,MENU!$I$9),"")</f>
        <v/>
      </c>
      <c r="P326" s="36" t="str">
        <f t="shared" si="14"/>
        <v/>
      </c>
      <c r="Q326" s="36" t="str">
        <f t="shared" si="15"/>
        <v/>
      </c>
    </row>
    <row r="327" spans="4:17" ht="15.9" x14ac:dyDescent="0.45">
      <c r="D327" s="15" t="str">
        <f>IF(B327&lt;&gt;"",IF(_xlfn.IFNA(VLOOKUP(B327&amp;C327,SUPORTE!AA:AA,1,0),"NÃO INICIADO")="NÃO INICIADO",IF(B327&amp;C327=$J$9&amp;$I$12,"EM PROCESSO","NÃO INICIADO"),VLOOKUP(B327&amp;C327,SUPORTE!AA:AF,6,0)),"")</f>
        <v/>
      </c>
      <c r="I327" s="44"/>
      <c r="J327" s="32"/>
      <c r="K327" s="33"/>
      <c r="L327" s="34"/>
      <c r="M327" s="35"/>
      <c r="N327" s="36"/>
      <c r="O327" s="36" t="str">
        <f>IF(K327&lt;&gt;"",COUNTIFS(SUPORTE!$Q$5:$Q$2900,MENU!$M327,SUPORTE!$R$5:$R$2900,MENU!$I$9),"")</f>
        <v/>
      </c>
      <c r="P327" s="36" t="str">
        <f t="shared" si="14"/>
        <v/>
      </c>
      <c r="Q327" s="36" t="str">
        <f t="shared" si="15"/>
        <v/>
      </c>
    </row>
    <row r="328" spans="4:17" ht="15.9" x14ac:dyDescent="0.45">
      <c r="D328" s="15" t="str">
        <f>IF(B328&lt;&gt;"",IF(_xlfn.IFNA(VLOOKUP(B328&amp;C328,SUPORTE!AA:AA,1,0),"NÃO INICIADO")="NÃO INICIADO",IF(B328&amp;C328=$J$9&amp;$I$12,"EM PROCESSO","NÃO INICIADO"),VLOOKUP(B328&amp;C328,SUPORTE!AA:AF,6,0)),"")</f>
        <v/>
      </c>
      <c r="I328" s="44"/>
      <c r="J328" s="32"/>
      <c r="K328" s="33"/>
      <c r="L328" s="34"/>
      <c r="M328" s="35"/>
      <c r="N328" s="36"/>
      <c r="O328" s="36" t="str">
        <f>IF(K328&lt;&gt;"",COUNTIFS(SUPORTE!$Q$5:$Q$2900,MENU!$M328,SUPORTE!$R$5:$R$2900,MENU!$I$9),"")</f>
        <v/>
      </c>
      <c r="P328" s="36" t="str">
        <f t="shared" si="14"/>
        <v/>
      </c>
      <c r="Q328" s="36" t="str">
        <f t="shared" si="15"/>
        <v/>
      </c>
    </row>
    <row r="329" spans="4:17" ht="15.9" x14ac:dyDescent="0.45">
      <c r="D329" s="15" t="str">
        <f>IF(B329&lt;&gt;"",IF(_xlfn.IFNA(VLOOKUP(B329&amp;C329,SUPORTE!AA:AA,1,0),"NÃO INICIADO")="NÃO INICIADO",IF(B329&amp;C329=$J$9&amp;$I$12,"EM PROCESSO","NÃO INICIADO"),VLOOKUP(B329&amp;C329,SUPORTE!AA:AF,6,0)),"")</f>
        <v/>
      </c>
      <c r="I329" s="44"/>
      <c r="J329" s="32"/>
      <c r="K329" s="33"/>
      <c r="L329" s="34"/>
      <c r="M329" s="35"/>
      <c r="N329" s="36"/>
      <c r="O329" s="36" t="str">
        <f>IF(K329&lt;&gt;"",COUNTIFS(SUPORTE!$Q$5:$Q$2900,MENU!$M329,SUPORTE!$R$5:$R$2900,MENU!$I$9),"")</f>
        <v/>
      </c>
      <c r="P329" s="36" t="str">
        <f t="shared" si="14"/>
        <v/>
      </c>
      <c r="Q329" s="36" t="str">
        <f t="shared" si="15"/>
        <v/>
      </c>
    </row>
    <row r="330" spans="4:17" ht="15.9" x14ac:dyDescent="0.45">
      <c r="D330" s="15" t="str">
        <f>IF(B330&lt;&gt;"",IF(_xlfn.IFNA(VLOOKUP(B330&amp;C330,SUPORTE!AA:AA,1,0),"NÃO INICIADO")="NÃO INICIADO",IF(B330&amp;C330=$J$9&amp;$I$12,"EM PROCESSO","NÃO INICIADO"),VLOOKUP(B330&amp;C330,SUPORTE!AA:AF,6,0)),"")</f>
        <v/>
      </c>
      <c r="I330" s="44"/>
      <c r="J330" s="32"/>
      <c r="K330" s="33"/>
      <c r="L330" s="34"/>
      <c r="M330" s="35"/>
      <c r="N330" s="36"/>
      <c r="O330" s="36" t="str">
        <f>IF(K330&lt;&gt;"",COUNTIFS(SUPORTE!$Q$5:$Q$2900,MENU!$M330,SUPORTE!$R$5:$R$2900,MENU!$I$9),"")</f>
        <v/>
      </c>
      <c r="P330" s="36" t="str">
        <f t="shared" si="14"/>
        <v/>
      </c>
      <c r="Q330" s="36" t="str">
        <f t="shared" si="15"/>
        <v/>
      </c>
    </row>
    <row r="331" spans="4:17" ht="15.9" x14ac:dyDescent="0.45">
      <c r="D331" s="15" t="str">
        <f>IF(B331&lt;&gt;"",IF(_xlfn.IFNA(VLOOKUP(B331&amp;C331,SUPORTE!AA:AA,1,0),"NÃO INICIADO")="NÃO INICIADO",IF(B331&amp;C331=$J$9&amp;$I$12,"EM PROCESSO","NÃO INICIADO"),VLOOKUP(B331&amp;C331,SUPORTE!AA:AF,6,0)),"")</f>
        <v/>
      </c>
      <c r="I331" s="44"/>
      <c r="J331" s="32"/>
      <c r="K331" s="33"/>
      <c r="L331" s="34"/>
      <c r="M331" s="35"/>
      <c r="N331" s="36"/>
      <c r="O331" s="36" t="str">
        <f>IF(K331&lt;&gt;"",COUNTIFS(SUPORTE!$Q$5:$Q$2900,MENU!$M331,SUPORTE!$R$5:$R$2900,MENU!$I$9),"")</f>
        <v/>
      </c>
      <c r="P331" s="36" t="str">
        <f t="shared" si="14"/>
        <v/>
      </c>
      <c r="Q331" s="36" t="str">
        <f t="shared" si="15"/>
        <v/>
      </c>
    </row>
    <row r="332" spans="4:17" ht="15.9" x14ac:dyDescent="0.45">
      <c r="D332" s="15" t="str">
        <f>IF(B332&lt;&gt;"",IF(_xlfn.IFNA(VLOOKUP(B332&amp;C332,SUPORTE!AA:AA,1,0),"NÃO INICIADO")="NÃO INICIADO",IF(B332&amp;C332=$J$9&amp;$I$12,"EM PROCESSO","NÃO INICIADO"),VLOOKUP(B332&amp;C332,SUPORTE!AA:AF,6,0)),"")</f>
        <v/>
      </c>
      <c r="I332" s="44"/>
      <c r="J332" s="32"/>
      <c r="K332" s="33"/>
      <c r="L332" s="34"/>
      <c r="M332" s="35"/>
      <c r="N332" s="36"/>
      <c r="O332" s="36" t="str">
        <f>IF(K332&lt;&gt;"",COUNTIFS(SUPORTE!$Q$5:$Q$2900,MENU!$M332,SUPORTE!$R$5:$R$2900,MENU!$I$9),"")</f>
        <v/>
      </c>
      <c r="P332" s="36" t="str">
        <f t="shared" si="14"/>
        <v/>
      </c>
      <c r="Q332" s="36" t="str">
        <f t="shared" si="15"/>
        <v/>
      </c>
    </row>
    <row r="333" spans="4:17" ht="15.9" x14ac:dyDescent="0.45">
      <c r="D333" s="15" t="str">
        <f>IF(B333&lt;&gt;"",IF(_xlfn.IFNA(VLOOKUP(B333&amp;C333,SUPORTE!AA:AA,1,0),"NÃO INICIADO")="NÃO INICIADO",IF(B333&amp;C333=$J$9&amp;$I$12,"EM PROCESSO","NÃO INICIADO"),VLOOKUP(B333&amp;C333,SUPORTE!AA:AF,6,0)),"")</f>
        <v/>
      </c>
      <c r="I333" s="44"/>
      <c r="J333" s="32"/>
      <c r="K333" s="33"/>
      <c r="L333" s="34"/>
      <c r="M333" s="35"/>
      <c r="N333" s="36"/>
      <c r="O333" s="36" t="str">
        <f>IF(K333&lt;&gt;"",COUNTIFS(SUPORTE!$Q$5:$Q$2900,MENU!$M333,SUPORTE!$R$5:$R$2900,MENU!$I$9),"")</f>
        <v/>
      </c>
      <c r="P333" s="36" t="str">
        <f t="shared" si="14"/>
        <v/>
      </c>
      <c r="Q333" s="36" t="str">
        <f t="shared" si="15"/>
        <v/>
      </c>
    </row>
    <row r="334" spans="4:17" ht="15.9" x14ac:dyDescent="0.45">
      <c r="D334" s="15" t="str">
        <f>IF(B334&lt;&gt;"",IF(_xlfn.IFNA(VLOOKUP(B334&amp;C334,SUPORTE!AA:AA,1,0),"NÃO INICIADO")="NÃO INICIADO",IF(B334&amp;C334=$J$9&amp;$I$12,"EM PROCESSO","NÃO INICIADO"),VLOOKUP(B334&amp;C334,SUPORTE!AA:AF,6,0)),"")</f>
        <v/>
      </c>
      <c r="I334" s="44"/>
      <c r="J334" s="32"/>
      <c r="K334" s="33"/>
      <c r="L334" s="34"/>
      <c r="M334" s="35"/>
      <c r="N334" s="36"/>
      <c r="O334" s="36" t="str">
        <f>IF(K334&lt;&gt;"",COUNTIFS(SUPORTE!$Q$5:$Q$2900,MENU!$M334,SUPORTE!$R$5:$R$2900,MENU!$I$9),"")</f>
        <v/>
      </c>
      <c r="P334" s="36" t="str">
        <f t="shared" si="14"/>
        <v/>
      </c>
      <c r="Q334" s="36" t="str">
        <f t="shared" si="15"/>
        <v/>
      </c>
    </row>
    <row r="335" spans="4:17" ht="15.9" x14ac:dyDescent="0.45">
      <c r="D335" s="15" t="str">
        <f>IF(B335&lt;&gt;"",IF(_xlfn.IFNA(VLOOKUP(B335&amp;C335,SUPORTE!AA:AA,1,0),"NÃO INICIADO")="NÃO INICIADO",IF(B335&amp;C335=$J$9&amp;$I$12,"EM PROCESSO","NÃO INICIADO"),VLOOKUP(B335&amp;C335,SUPORTE!AA:AF,6,0)),"")</f>
        <v/>
      </c>
      <c r="I335" s="44"/>
      <c r="J335" s="32"/>
      <c r="K335" s="33"/>
      <c r="L335" s="34"/>
      <c r="M335" s="35"/>
      <c r="N335" s="36"/>
      <c r="O335" s="36" t="str">
        <f>IF(K335&lt;&gt;"",COUNTIFS(SUPORTE!$Q$5:$Q$2900,MENU!$M335,SUPORTE!$R$5:$R$2900,MENU!$I$9),"")</f>
        <v/>
      </c>
      <c r="P335" s="36" t="str">
        <f t="shared" si="14"/>
        <v/>
      </c>
      <c r="Q335" s="36" t="str">
        <f t="shared" si="15"/>
        <v/>
      </c>
    </row>
    <row r="336" spans="4:17" ht="15.9" x14ac:dyDescent="0.45">
      <c r="D336" s="15" t="str">
        <f>IF(B336&lt;&gt;"",IF(_xlfn.IFNA(VLOOKUP(B336&amp;C336,SUPORTE!AA:AA,1,0),"NÃO INICIADO")="NÃO INICIADO",IF(B336&amp;C336=$J$9&amp;$I$12,"EM PROCESSO","NÃO INICIADO"),VLOOKUP(B336&amp;C336,SUPORTE!AA:AF,6,0)),"")</f>
        <v/>
      </c>
      <c r="I336" s="44"/>
      <c r="J336" s="32"/>
      <c r="K336" s="33"/>
      <c r="L336" s="34"/>
      <c r="M336" s="35"/>
      <c r="N336" s="36"/>
      <c r="O336" s="36" t="str">
        <f>IF(K336&lt;&gt;"",COUNTIFS(SUPORTE!$Q$5:$Q$2900,MENU!$M336,SUPORTE!$R$5:$R$2900,MENU!$I$9),"")</f>
        <v/>
      </c>
      <c r="P336" s="36" t="str">
        <f t="shared" si="14"/>
        <v/>
      </c>
      <c r="Q336" s="36" t="str">
        <f t="shared" si="15"/>
        <v/>
      </c>
    </row>
    <row r="337" spans="4:17" ht="15.9" x14ac:dyDescent="0.45">
      <c r="D337" s="15" t="str">
        <f>IF(B337&lt;&gt;"",IF(_xlfn.IFNA(VLOOKUP(B337&amp;C337,SUPORTE!AA:AA,1,0),"NÃO INICIADO")="NÃO INICIADO",IF(B337&amp;C337=$J$9&amp;$I$12,"EM PROCESSO","NÃO INICIADO"),VLOOKUP(B337&amp;C337,SUPORTE!AA:AF,6,0)),"")</f>
        <v/>
      </c>
      <c r="I337" s="44"/>
      <c r="J337" s="32"/>
      <c r="K337" s="33"/>
      <c r="L337" s="34"/>
      <c r="M337" s="35"/>
      <c r="N337" s="36"/>
      <c r="O337" s="36" t="str">
        <f>IF(K337&lt;&gt;"",COUNTIFS(SUPORTE!$Q$5:$Q$2900,MENU!$M337,SUPORTE!$R$5:$R$2900,MENU!$I$9),"")</f>
        <v/>
      </c>
      <c r="P337" s="36" t="str">
        <f t="shared" si="14"/>
        <v/>
      </c>
      <c r="Q337" s="36" t="str">
        <f t="shared" si="15"/>
        <v/>
      </c>
    </row>
    <row r="338" spans="4:17" ht="15.9" x14ac:dyDescent="0.45">
      <c r="D338" s="15" t="str">
        <f>IF(B338&lt;&gt;"",IF(_xlfn.IFNA(VLOOKUP(B338&amp;C338,SUPORTE!AA:AA,1,0),"NÃO INICIADO")="NÃO INICIADO",IF(B338&amp;C338=$J$9&amp;$I$12,"EM PROCESSO","NÃO INICIADO"),VLOOKUP(B338&amp;C338,SUPORTE!AA:AF,6,0)),"")</f>
        <v/>
      </c>
      <c r="I338" s="44"/>
      <c r="J338" s="32"/>
      <c r="K338" s="33"/>
      <c r="L338" s="34"/>
      <c r="M338" s="35"/>
      <c r="N338" s="36"/>
      <c r="O338" s="36" t="str">
        <f>IF(K338&lt;&gt;"",COUNTIFS(SUPORTE!$Q$5:$Q$2900,MENU!$M338,SUPORTE!$R$5:$R$2900,MENU!$I$9),"")</f>
        <v/>
      </c>
      <c r="P338" s="36" t="str">
        <f t="shared" si="14"/>
        <v/>
      </c>
      <c r="Q338" s="36" t="str">
        <f t="shared" si="15"/>
        <v/>
      </c>
    </row>
    <row r="339" spans="4:17" ht="15.9" x14ac:dyDescent="0.45">
      <c r="D339" s="15" t="str">
        <f>IF(B339&lt;&gt;"",IF(_xlfn.IFNA(VLOOKUP(B339&amp;C339,SUPORTE!AA:AA,1,0),"NÃO INICIADO")="NÃO INICIADO",IF(B339&amp;C339=$J$9&amp;$I$12,"EM PROCESSO","NÃO INICIADO"),VLOOKUP(B339&amp;C339,SUPORTE!AA:AF,6,0)),"")</f>
        <v/>
      </c>
      <c r="I339" s="44"/>
      <c r="J339" s="32"/>
      <c r="K339" s="33"/>
      <c r="L339" s="34"/>
      <c r="M339" s="35"/>
      <c r="N339" s="36"/>
      <c r="O339" s="36" t="str">
        <f>IF(K339&lt;&gt;"",COUNTIFS(SUPORTE!$Q$5:$Q$2900,MENU!$M339,SUPORTE!$R$5:$R$2900,MENU!$I$9),"")</f>
        <v/>
      </c>
      <c r="P339" s="36" t="str">
        <f t="shared" si="14"/>
        <v/>
      </c>
      <c r="Q339" s="36" t="str">
        <f t="shared" si="15"/>
        <v/>
      </c>
    </row>
    <row r="340" spans="4:17" ht="15.9" x14ac:dyDescent="0.45">
      <c r="D340" s="15" t="str">
        <f>IF(B340&lt;&gt;"",IF(_xlfn.IFNA(VLOOKUP(B340&amp;C340,SUPORTE!AA:AA,1,0),"NÃO INICIADO")="NÃO INICIADO",IF(B340&amp;C340=$J$9&amp;$I$12,"EM PROCESSO","NÃO INICIADO"),VLOOKUP(B340&amp;C340,SUPORTE!AA:AF,6,0)),"")</f>
        <v/>
      </c>
      <c r="I340" s="44"/>
      <c r="J340" s="32"/>
      <c r="K340" s="33"/>
      <c r="L340" s="34"/>
      <c r="M340" s="35"/>
      <c r="N340" s="36"/>
      <c r="O340" s="36" t="str">
        <f>IF(K340&lt;&gt;"",COUNTIFS(SUPORTE!$Q$5:$Q$2900,MENU!$M340,SUPORTE!$R$5:$R$2900,MENU!$I$9),"")</f>
        <v/>
      </c>
      <c r="P340" s="36" t="str">
        <f t="shared" si="14"/>
        <v/>
      </c>
      <c r="Q340" s="36" t="str">
        <f t="shared" si="15"/>
        <v/>
      </c>
    </row>
    <row r="341" spans="4:17" ht="15.9" x14ac:dyDescent="0.45">
      <c r="D341" s="15" t="str">
        <f>IF(B341&lt;&gt;"",IF(_xlfn.IFNA(VLOOKUP(B341&amp;C341,SUPORTE!AA:AA,1,0),"NÃO INICIADO")="NÃO INICIADO",IF(B341&amp;C341=$J$9&amp;$I$12,"EM PROCESSO","NÃO INICIADO"),VLOOKUP(B341&amp;C341,SUPORTE!AA:AF,6,0)),"")</f>
        <v/>
      </c>
      <c r="I341" s="44"/>
      <c r="J341" s="32"/>
      <c r="K341" s="33"/>
      <c r="L341" s="34"/>
      <c r="M341" s="35"/>
      <c r="N341" s="36"/>
      <c r="O341" s="36" t="str">
        <f>IF(K341&lt;&gt;"",COUNTIFS(SUPORTE!$Q$5:$Q$2900,MENU!$M341,SUPORTE!$R$5:$R$2900,MENU!$I$9),"")</f>
        <v/>
      </c>
      <c r="P341" s="36" t="str">
        <f t="shared" si="14"/>
        <v/>
      </c>
      <c r="Q341" s="36" t="str">
        <f t="shared" si="15"/>
        <v/>
      </c>
    </row>
    <row r="342" spans="4:17" ht="15.9" x14ac:dyDescent="0.45">
      <c r="D342" s="15" t="str">
        <f>IF(B342&lt;&gt;"",IF(_xlfn.IFNA(VLOOKUP(B342&amp;C342,SUPORTE!AA:AA,1,0),"NÃO INICIADO")="NÃO INICIADO",IF(B342&amp;C342=$J$9&amp;$I$12,"EM PROCESSO","NÃO INICIADO"),VLOOKUP(B342&amp;C342,SUPORTE!AA:AF,6,0)),"")</f>
        <v/>
      </c>
      <c r="I342" s="44"/>
      <c r="J342" s="32"/>
      <c r="K342" s="33"/>
      <c r="L342" s="34"/>
      <c r="M342" s="35"/>
      <c r="N342" s="36"/>
      <c r="O342" s="36" t="str">
        <f>IF(K342&lt;&gt;"",COUNTIFS(SUPORTE!$Q$5:$Q$2900,MENU!$M342,SUPORTE!$R$5:$R$2900,MENU!$I$9),"")</f>
        <v/>
      </c>
      <c r="P342" s="36" t="str">
        <f t="shared" si="14"/>
        <v/>
      </c>
      <c r="Q342" s="36" t="str">
        <f t="shared" si="15"/>
        <v/>
      </c>
    </row>
    <row r="343" spans="4:17" ht="15.9" x14ac:dyDescent="0.45">
      <c r="D343" s="15" t="str">
        <f>IF(B343&lt;&gt;"",IF(_xlfn.IFNA(VLOOKUP(B343&amp;C343,SUPORTE!AA:AA,1,0),"NÃO INICIADO")="NÃO INICIADO",IF(B343&amp;C343=$J$9&amp;$I$12,"EM PROCESSO","NÃO INICIADO"),VLOOKUP(B343&amp;C343,SUPORTE!AA:AF,6,0)),"")</f>
        <v/>
      </c>
      <c r="I343" s="44"/>
      <c r="J343" s="32"/>
      <c r="K343" s="33"/>
      <c r="L343" s="34"/>
      <c r="M343" s="35"/>
      <c r="N343" s="36"/>
      <c r="O343" s="36" t="str">
        <f>IF(K343&lt;&gt;"",COUNTIFS(SUPORTE!$Q$5:$Q$2900,MENU!$M343,SUPORTE!$R$5:$R$2900,MENU!$I$9),"")</f>
        <v/>
      </c>
      <c r="P343" s="36" t="str">
        <f t="shared" si="14"/>
        <v/>
      </c>
      <c r="Q343" s="36" t="str">
        <f t="shared" si="15"/>
        <v/>
      </c>
    </row>
    <row r="344" spans="4:17" ht="15.9" x14ac:dyDescent="0.45">
      <c r="D344" s="15" t="str">
        <f>IF(B344&lt;&gt;"",IF(_xlfn.IFNA(VLOOKUP(B344&amp;C344,SUPORTE!AA:AA,1,0),"NÃO INICIADO")="NÃO INICIADO",IF(B344&amp;C344=$J$9&amp;$I$12,"EM PROCESSO","NÃO INICIADO"),VLOOKUP(B344&amp;C344,SUPORTE!AA:AF,6,0)),"")</f>
        <v/>
      </c>
      <c r="I344" s="44"/>
      <c r="J344" s="32"/>
      <c r="K344" s="33"/>
      <c r="L344" s="34"/>
      <c r="M344" s="35"/>
      <c r="N344" s="36"/>
      <c r="O344" s="36" t="str">
        <f>IF(K344&lt;&gt;"",COUNTIFS(SUPORTE!$Q$5:$Q$2900,MENU!$M344,SUPORTE!$R$5:$R$2900,MENU!$I$9),"")</f>
        <v/>
      </c>
      <c r="P344" s="36" t="str">
        <f t="shared" si="14"/>
        <v/>
      </c>
      <c r="Q344" s="36" t="str">
        <f t="shared" si="15"/>
        <v/>
      </c>
    </row>
    <row r="345" spans="4:17" ht="15.9" x14ac:dyDescent="0.45">
      <c r="D345" s="15" t="str">
        <f>IF(B345&lt;&gt;"",IF(_xlfn.IFNA(VLOOKUP(B345&amp;C345,SUPORTE!AA:AA,1,0),"NÃO INICIADO")="NÃO INICIADO",IF(B345&amp;C345=$J$9&amp;$I$12,"EM PROCESSO","NÃO INICIADO"),VLOOKUP(B345&amp;C345,SUPORTE!AA:AF,6,0)),"")</f>
        <v/>
      </c>
      <c r="I345" s="44"/>
      <c r="J345" s="32"/>
      <c r="K345" s="33"/>
      <c r="L345" s="34"/>
      <c r="M345" s="35"/>
      <c r="N345" s="36"/>
      <c r="O345" s="36" t="str">
        <f>IF(K345&lt;&gt;"",COUNTIFS(SUPORTE!$Q$5:$Q$2900,MENU!$M345,SUPORTE!$R$5:$R$2900,MENU!$I$9),"")</f>
        <v/>
      </c>
      <c r="P345" s="36" t="str">
        <f t="shared" si="14"/>
        <v/>
      </c>
      <c r="Q345" s="36" t="str">
        <f t="shared" si="15"/>
        <v/>
      </c>
    </row>
    <row r="346" spans="4:17" ht="15.9" x14ac:dyDescent="0.45">
      <c r="D346" s="15" t="str">
        <f>IF(B346&lt;&gt;"",IF(_xlfn.IFNA(VLOOKUP(B346&amp;C346,SUPORTE!AA:AA,1,0),"NÃO INICIADO")="NÃO INICIADO",IF(B346&amp;C346=$J$9&amp;$I$12,"EM PROCESSO","NÃO INICIADO"),VLOOKUP(B346&amp;C346,SUPORTE!AA:AF,6,0)),"")</f>
        <v/>
      </c>
      <c r="I346" s="44"/>
      <c r="J346" s="32"/>
      <c r="K346" s="33"/>
      <c r="L346" s="34"/>
      <c r="M346" s="35"/>
      <c r="N346" s="36"/>
      <c r="O346" s="36" t="str">
        <f>IF(K346&lt;&gt;"",COUNTIFS(SUPORTE!$Q$5:$Q$2900,MENU!$M346,SUPORTE!$R$5:$R$2900,MENU!$I$9),"")</f>
        <v/>
      </c>
      <c r="P346" s="36" t="str">
        <f t="shared" si="14"/>
        <v/>
      </c>
      <c r="Q346" s="36" t="str">
        <f t="shared" si="15"/>
        <v/>
      </c>
    </row>
    <row r="347" spans="4:17" ht="15.9" x14ac:dyDescent="0.45">
      <c r="D347" s="15" t="str">
        <f>IF(B347&lt;&gt;"",IF(_xlfn.IFNA(VLOOKUP(B347&amp;C347,SUPORTE!AA:AA,1,0),"NÃO INICIADO")="NÃO INICIADO",IF(B347&amp;C347=$J$9&amp;$I$12,"EM PROCESSO","NÃO INICIADO"),VLOOKUP(B347&amp;C347,SUPORTE!AA:AF,6,0)),"")</f>
        <v/>
      </c>
      <c r="I347" s="44"/>
      <c r="J347" s="32"/>
      <c r="K347" s="33"/>
      <c r="L347" s="34"/>
      <c r="M347" s="35"/>
      <c r="N347" s="36"/>
      <c r="O347" s="36" t="str">
        <f>IF(K347&lt;&gt;"",COUNTIFS(SUPORTE!$Q$5:$Q$2900,MENU!$M347,SUPORTE!$R$5:$R$2900,MENU!$I$9),"")</f>
        <v/>
      </c>
      <c r="P347" s="36" t="str">
        <f t="shared" si="14"/>
        <v/>
      </c>
      <c r="Q347" s="36" t="str">
        <f t="shared" si="15"/>
        <v/>
      </c>
    </row>
    <row r="348" spans="4:17" ht="15.9" x14ac:dyDescent="0.45">
      <c r="D348" s="15" t="str">
        <f>IF(B348&lt;&gt;"",IF(_xlfn.IFNA(VLOOKUP(B348&amp;C348,SUPORTE!AA:AA,1,0),"NÃO INICIADO")="NÃO INICIADO",IF(B348&amp;C348=$J$9&amp;$I$12,"EM PROCESSO","NÃO INICIADO"),VLOOKUP(B348&amp;C348,SUPORTE!AA:AF,6,0)),"")</f>
        <v/>
      </c>
      <c r="I348" s="44"/>
      <c r="J348" s="32"/>
      <c r="K348" s="33"/>
      <c r="L348" s="34"/>
      <c r="M348" s="35"/>
      <c r="N348" s="36"/>
      <c r="O348" s="36" t="str">
        <f>IF(K348&lt;&gt;"",COUNTIFS(SUPORTE!$Q$5:$Q$2900,MENU!$M348,SUPORTE!$R$5:$R$2900,MENU!$I$9),"")</f>
        <v/>
      </c>
      <c r="P348" s="36" t="str">
        <f t="shared" si="14"/>
        <v/>
      </c>
      <c r="Q348" s="36" t="str">
        <f t="shared" si="15"/>
        <v/>
      </c>
    </row>
    <row r="349" spans="4:17" ht="15.9" x14ac:dyDescent="0.45">
      <c r="D349" s="15" t="str">
        <f>IF(B349&lt;&gt;"",IF(_xlfn.IFNA(VLOOKUP(B349&amp;C349,SUPORTE!AA:AA,1,0),"NÃO INICIADO")="NÃO INICIADO",IF(B349&amp;C349=$J$9&amp;$I$12,"EM PROCESSO","NÃO INICIADO"),VLOOKUP(B349&amp;C349,SUPORTE!AA:AF,6,0)),"")</f>
        <v/>
      </c>
      <c r="I349" s="44"/>
      <c r="J349" s="32"/>
      <c r="K349" s="33"/>
      <c r="L349" s="34"/>
      <c r="M349" s="35"/>
      <c r="N349" s="36"/>
      <c r="O349" s="36" t="str">
        <f>IF(K349&lt;&gt;"",COUNTIFS(SUPORTE!$Q$5:$Q$2900,MENU!$M349,SUPORTE!$R$5:$R$2900,MENU!$I$9),"")</f>
        <v/>
      </c>
      <c r="P349" s="36" t="str">
        <f t="shared" si="14"/>
        <v/>
      </c>
      <c r="Q349" s="36" t="str">
        <f t="shared" si="15"/>
        <v/>
      </c>
    </row>
    <row r="350" spans="4:17" ht="15.9" x14ac:dyDescent="0.45">
      <c r="D350" s="15" t="str">
        <f>IF(B350&lt;&gt;"",IF(_xlfn.IFNA(VLOOKUP(B350&amp;C350,SUPORTE!AA:AA,1,0),"NÃO INICIADO")="NÃO INICIADO",IF(B350&amp;C350=$J$9&amp;$I$12,"EM PROCESSO","NÃO INICIADO"),VLOOKUP(B350&amp;C350,SUPORTE!AA:AF,6,0)),"")</f>
        <v/>
      </c>
      <c r="I350" s="44"/>
      <c r="J350" s="32"/>
      <c r="K350" s="33"/>
      <c r="L350" s="34"/>
      <c r="M350" s="35"/>
      <c r="N350" s="36"/>
      <c r="O350" s="36" t="str">
        <f>IF(K350&lt;&gt;"",COUNTIFS(SUPORTE!$Q$5:$Q$2900,MENU!$M350,SUPORTE!$R$5:$R$2900,MENU!$I$9),"")</f>
        <v/>
      </c>
      <c r="P350" s="36" t="str">
        <f t="shared" si="14"/>
        <v/>
      </c>
      <c r="Q350" s="36" t="str">
        <f t="shared" si="15"/>
        <v/>
      </c>
    </row>
    <row r="351" spans="4:17" ht="15.9" x14ac:dyDescent="0.45">
      <c r="D351" s="15" t="str">
        <f>IF(B351&lt;&gt;"",IF(_xlfn.IFNA(VLOOKUP(B351&amp;C351,SUPORTE!AA:AA,1,0),"NÃO INICIADO")="NÃO INICIADO",IF(B351&amp;C351=$J$9&amp;$I$12,"EM PROCESSO","NÃO INICIADO"),VLOOKUP(B351&amp;C351,SUPORTE!AA:AF,6,0)),"")</f>
        <v/>
      </c>
      <c r="I351" s="44"/>
      <c r="J351" s="32"/>
      <c r="K351" s="33"/>
      <c r="L351" s="34"/>
      <c r="M351" s="35"/>
      <c r="N351" s="36"/>
      <c r="O351" s="36" t="str">
        <f>IF(K351&lt;&gt;"",COUNTIFS(SUPORTE!$Q$5:$Q$2900,MENU!$M351,SUPORTE!$R$5:$R$2900,MENU!$I$9),"")</f>
        <v/>
      </c>
      <c r="P351" s="36" t="str">
        <f t="shared" si="14"/>
        <v/>
      </c>
      <c r="Q351" s="36" t="str">
        <f t="shared" si="15"/>
        <v/>
      </c>
    </row>
    <row r="352" spans="4:17" ht="15.9" x14ac:dyDescent="0.45">
      <c r="D352" s="15" t="str">
        <f>IF(B352&lt;&gt;"",IF(_xlfn.IFNA(VLOOKUP(B352&amp;C352,SUPORTE!AA:AA,1,0),"NÃO INICIADO")="NÃO INICIADO",IF(B352&amp;C352=$J$9&amp;$I$12,"EM PROCESSO","NÃO INICIADO"),VLOOKUP(B352&amp;C352,SUPORTE!AA:AF,6,0)),"")</f>
        <v/>
      </c>
      <c r="I352" s="44"/>
      <c r="J352" s="32"/>
      <c r="K352" s="33"/>
      <c r="L352" s="34"/>
      <c r="M352" s="35"/>
      <c r="N352" s="36"/>
      <c r="O352" s="36" t="str">
        <f>IF(K352&lt;&gt;"",COUNTIFS(SUPORTE!$Q$5:$Q$2900,MENU!$M352,SUPORTE!$R$5:$R$2900,MENU!$I$9),"")</f>
        <v/>
      </c>
      <c r="P352" s="36" t="str">
        <f t="shared" si="14"/>
        <v/>
      </c>
      <c r="Q352" s="36" t="str">
        <f t="shared" si="15"/>
        <v/>
      </c>
    </row>
    <row r="353" spans="4:17" ht="15.9" x14ac:dyDescent="0.45">
      <c r="D353" s="15" t="str">
        <f>IF(B353&lt;&gt;"",IF(_xlfn.IFNA(VLOOKUP(B353&amp;C353,SUPORTE!AA:AA,1,0),"NÃO INICIADO")="NÃO INICIADO",IF(B353&amp;C353=$J$9&amp;$I$12,"EM PROCESSO","NÃO INICIADO"),VLOOKUP(B353&amp;C353,SUPORTE!AA:AF,6,0)),"")</f>
        <v/>
      </c>
      <c r="I353" s="44"/>
      <c r="J353" s="32"/>
      <c r="K353" s="33"/>
      <c r="L353" s="34"/>
      <c r="M353" s="35"/>
      <c r="N353" s="36"/>
      <c r="O353" s="36" t="str">
        <f>IF(K353&lt;&gt;"",COUNTIFS(SUPORTE!$Q$5:$Q$2900,MENU!$M353,SUPORTE!$R$5:$R$2900,MENU!$I$9),"")</f>
        <v/>
      </c>
      <c r="P353" s="36" t="str">
        <f t="shared" si="14"/>
        <v/>
      </c>
      <c r="Q353" s="36" t="str">
        <f t="shared" si="15"/>
        <v/>
      </c>
    </row>
    <row r="354" spans="4:17" ht="15.9" x14ac:dyDescent="0.45">
      <c r="D354" s="15" t="str">
        <f>IF(B354&lt;&gt;"",IF(_xlfn.IFNA(VLOOKUP(B354&amp;C354,SUPORTE!AA:AA,1,0),"NÃO INICIADO")="NÃO INICIADO",IF(B354&amp;C354=$J$9&amp;$I$12,"EM PROCESSO","NÃO INICIADO"),VLOOKUP(B354&amp;C354,SUPORTE!AA:AF,6,0)),"")</f>
        <v/>
      </c>
      <c r="I354" s="44"/>
      <c r="J354" s="32"/>
      <c r="K354" s="33"/>
      <c r="L354" s="34"/>
      <c r="M354" s="35"/>
      <c r="N354" s="36"/>
      <c r="O354" s="36" t="str">
        <f>IF(K354&lt;&gt;"",COUNTIFS(SUPORTE!$Q$5:$Q$2900,MENU!$M354,SUPORTE!$R$5:$R$2900,MENU!$I$9),"")</f>
        <v/>
      </c>
      <c r="P354" s="36" t="str">
        <f t="shared" si="14"/>
        <v/>
      </c>
      <c r="Q354" s="36" t="str">
        <f t="shared" si="15"/>
        <v/>
      </c>
    </row>
    <row r="355" spans="4:17" ht="15.9" x14ac:dyDescent="0.45">
      <c r="D355" s="15" t="str">
        <f>IF(B355&lt;&gt;"",IF(_xlfn.IFNA(VLOOKUP(B355&amp;C355,SUPORTE!AA:AA,1,0),"NÃO INICIADO")="NÃO INICIADO",IF(B355&amp;C355=$J$9&amp;$I$12,"EM PROCESSO","NÃO INICIADO"),VLOOKUP(B355&amp;C355,SUPORTE!AA:AF,6,0)),"")</f>
        <v/>
      </c>
      <c r="I355" s="44"/>
      <c r="J355" s="32"/>
      <c r="K355" s="33"/>
      <c r="L355" s="34"/>
      <c r="M355" s="35"/>
      <c r="N355" s="36"/>
      <c r="O355" s="36" t="str">
        <f>IF(K355&lt;&gt;"",COUNTIFS(SUPORTE!$Q$5:$Q$2900,MENU!$M355,SUPORTE!$R$5:$R$2900,MENU!$I$9),"")</f>
        <v/>
      </c>
      <c r="P355" s="36" t="str">
        <f t="shared" si="14"/>
        <v/>
      </c>
      <c r="Q355" s="36" t="str">
        <f t="shared" si="15"/>
        <v/>
      </c>
    </row>
    <row r="356" spans="4:17" ht="15.9" x14ac:dyDescent="0.45">
      <c r="D356" s="15" t="str">
        <f>IF(B356&lt;&gt;"",IF(_xlfn.IFNA(VLOOKUP(B356&amp;C356,SUPORTE!AA:AA,1,0),"NÃO INICIADO")="NÃO INICIADO",IF(B356&amp;C356=$J$9&amp;$I$12,"EM PROCESSO","NÃO INICIADO"),VLOOKUP(B356&amp;C356,SUPORTE!AA:AF,6,0)),"")</f>
        <v/>
      </c>
      <c r="I356" s="44"/>
      <c r="J356" s="32"/>
      <c r="K356" s="33"/>
      <c r="L356" s="34"/>
      <c r="M356" s="35"/>
      <c r="N356" s="36"/>
      <c r="O356" s="36" t="str">
        <f>IF(K356&lt;&gt;"",COUNTIFS(SUPORTE!$Q$5:$Q$2900,MENU!$M356,SUPORTE!$R$5:$R$2900,MENU!$I$9),"")</f>
        <v/>
      </c>
      <c r="P356" s="36" t="str">
        <f t="shared" si="14"/>
        <v/>
      </c>
      <c r="Q356" s="36" t="str">
        <f t="shared" si="15"/>
        <v/>
      </c>
    </row>
    <row r="357" spans="4:17" ht="15.9" x14ac:dyDescent="0.45">
      <c r="D357" s="15" t="str">
        <f>IF(B357&lt;&gt;"",IF(_xlfn.IFNA(VLOOKUP(B357&amp;C357,SUPORTE!AA:AA,1,0),"NÃO INICIADO")="NÃO INICIADO",IF(B357&amp;C357=$J$9&amp;$I$12,"EM PROCESSO","NÃO INICIADO"),VLOOKUP(B357&amp;C357,SUPORTE!AA:AF,6,0)),"")</f>
        <v/>
      </c>
      <c r="I357" s="44"/>
      <c r="J357" s="32"/>
      <c r="K357" s="33"/>
      <c r="L357" s="34"/>
      <c r="M357" s="35"/>
      <c r="N357" s="36"/>
      <c r="O357" s="36" t="str">
        <f>IF(K357&lt;&gt;"",COUNTIFS(SUPORTE!$Q$5:$Q$2900,MENU!$M357,SUPORTE!$R$5:$R$2900,MENU!$I$9),"")</f>
        <v/>
      </c>
      <c r="P357" s="36" t="str">
        <f t="shared" si="14"/>
        <v/>
      </c>
      <c r="Q357" s="36" t="str">
        <f t="shared" si="15"/>
        <v/>
      </c>
    </row>
    <row r="358" spans="4:17" ht="15.9" x14ac:dyDescent="0.45">
      <c r="D358" s="15" t="str">
        <f>IF(B358&lt;&gt;"",IF(_xlfn.IFNA(VLOOKUP(B358&amp;C358,SUPORTE!AA:AA,1,0),"NÃO INICIADO")="NÃO INICIADO",IF(B358&amp;C358=$J$9&amp;$I$12,"EM PROCESSO","NÃO INICIADO"),VLOOKUP(B358&amp;C358,SUPORTE!AA:AF,6,0)),"")</f>
        <v/>
      </c>
      <c r="I358" s="44"/>
      <c r="J358" s="32"/>
      <c r="K358" s="33"/>
      <c r="L358" s="34"/>
      <c r="M358" s="35"/>
      <c r="N358" s="36"/>
      <c r="O358" s="36" t="str">
        <f>IF(K358&lt;&gt;"",COUNTIFS(SUPORTE!$Q$5:$Q$2900,MENU!$M358,SUPORTE!$R$5:$R$2900,MENU!$I$9),"")</f>
        <v/>
      </c>
      <c r="P358" s="36" t="str">
        <f t="shared" si="14"/>
        <v/>
      </c>
      <c r="Q358" s="36" t="str">
        <f t="shared" si="15"/>
        <v/>
      </c>
    </row>
    <row r="359" spans="4:17" ht="15.9" x14ac:dyDescent="0.45">
      <c r="D359" s="15" t="str">
        <f>IF(B359&lt;&gt;"",IF(_xlfn.IFNA(VLOOKUP(B359&amp;C359,SUPORTE!AA:AA,1,0),"NÃO INICIADO")="NÃO INICIADO",IF(B359&amp;C359=$J$9&amp;$I$12,"EM PROCESSO","NÃO INICIADO"),VLOOKUP(B359&amp;C359,SUPORTE!AA:AF,6,0)),"")</f>
        <v/>
      </c>
      <c r="I359" s="44"/>
      <c r="J359" s="32"/>
      <c r="K359" s="33"/>
      <c r="L359" s="34"/>
      <c r="M359" s="35"/>
      <c r="N359" s="36"/>
      <c r="O359" s="36" t="str">
        <f>IF(K359&lt;&gt;"",COUNTIFS(SUPORTE!$Q$5:$Q$2900,MENU!$M359,SUPORTE!$R$5:$R$2900,MENU!$I$9),"")</f>
        <v/>
      </c>
      <c r="P359" s="36" t="str">
        <f t="shared" si="14"/>
        <v/>
      </c>
      <c r="Q359" s="36" t="str">
        <f t="shared" si="15"/>
        <v/>
      </c>
    </row>
    <row r="360" spans="4:17" ht="15.9" x14ac:dyDescent="0.45">
      <c r="D360" s="15" t="str">
        <f>IF(B360&lt;&gt;"",IF(_xlfn.IFNA(VLOOKUP(B360&amp;C360,SUPORTE!AA:AA,1,0),"NÃO INICIADO")="NÃO INICIADO",IF(B360&amp;C360=$J$9&amp;$I$12,"EM PROCESSO","NÃO INICIADO"),VLOOKUP(B360&amp;C360,SUPORTE!AA:AF,6,0)),"")</f>
        <v/>
      </c>
      <c r="I360" s="44"/>
      <c r="J360" s="32"/>
      <c r="K360" s="33"/>
      <c r="L360" s="34"/>
      <c r="M360" s="35"/>
      <c r="N360" s="36"/>
      <c r="O360" s="36" t="str">
        <f>IF(K360&lt;&gt;"",COUNTIFS(SUPORTE!$Q$5:$Q$2900,MENU!$M360,SUPORTE!$R$5:$R$2900,MENU!$I$9),"")</f>
        <v/>
      </c>
      <c r="P360" s="36" t="str">
        <f t="shared" si="14"/>
        <v/>
      </c>
      <c r="Q360" s="36" t="str">
        <f t="shared" si="15"/>
        <v/>
      </c>
    </row>
    <row r="361" spans="4:17" ht="15.9" x14ac:dyDescent="0.45">
      <c r="D361" s="15" t="str">
        <f>IF(B361&lt;&gt;"",IF(_xlfn.IFNA(VLOOKUP(B361&amp;C361,SUPORTE!AA:AA,1,0),"NÃO INICIADO")="NÃO INICIADO",IF(B361&amp;C361=$J$9&amp;$I$12,"EM PROCESSO","NÃO INICIADO"),VLOOKUP(B361&amp;C361,SUPORTE!AA:AF,6,0)),"")</f>
        <v/>
      </c>
      <c r="I361" s="44"/>
      <c r="J361" s="32"/>
      <c r="K361" s="33"/>
      <c r="L361" s="34"/>
      <c r="M361" s="35"/>
      <c r="N361" s="36"/>
      <c r="O361" s="36" t="str">
        <f>IF(K361&lt;&gt;"",COUNTIFS(SUPORTE!$Q$5:$Q$2900,MENU!$M361,SUPORTE!$R$5:$R$2900,MENU!$I$9),"")</f>
        <v/>
      </c>
      <c r="P361" s="36" t="str">
        <f t="shared" si="14"/>
        <v/>
      </c>
      <c r="Q361" s="36" t="str">
        <f t="shared" si="15"/>
        <v/>
      </c>
    </row>
    <row r="362" spans="4:17" ht="15.9" x14ac:dyDescent="0.45">
      <c r="D362" s="15" t="str">
        <f>IF(B362&lt;&gt;"",IF(_xlfn.IFNA(VLOOKUP(B362&amp;C362,SUPORTE!AA:AA,1,0),"NÃO INICIADO")="NÃO INICIADO",IF(B362&amp;C362=$J$9&amp;$I$12,"EM PROCESSO","NÃO INICIADO"),VLOOKUP(B362&amp;C362,SUPORTE!AA:AF,6,0)),"")</f>
        <v/>
      </c>
      <c r="I362" s="44"/>
      <c r="J362" s="32"/>
      <c r="K362" s="33"/>
      <c r="L362" s="34"/>
      <c r="M362" s="35"/>
      <c r="N362" s="36"/>
      <c r="O362" s="36" t="str">
        <f>IF(K362&lt;&gt;"",COUNTIFS(SUPORTE!$Q$5:$Q$2900,MENU!$M362,SUPORTE!$R$5:$R$2900,MENU!$I$9),"")</f>
        <v/>
      </c>
      <c r="P362" s="36" t="str">
        <f t="shared" ref="P362:P411" si="16">IF(L362&lt;&gt;"",IF(Q362&lt;&gt;0,"AT","OK"),"")</f>
        <v/>
      </c>
      <c r="Q362" s="36" t="str">
        <f t="shared" ref="Q362:Q411" si="17">IF(L362&lt;&gt;"",N362-O362,"")</f>
        <v/>
      </c>
    </row>
    <row r="363" spans="4:17" ht="15.9" x14ac:dyDescent="0.45">
      <c r="D363" s="15" t="str">
        <f>IF(B363&lt;&gt;"",IF(_xlfn.IFNA(VLOOKUP(B363&amp;C363,SUPORTE!AA:AA,1,0),"NÃO INICIADO")="NÃO INICIADO",IF(B363&amp;C363=$J$9&amp;$I$12,"EM PROCESSO","NÃO INICIADO"),VLOOKUP(B363&amp;C363,SUPORTE!AA:AF,6,0)),"")</f>
        <v/>
      </c>
      <c r="I363" s="44"/>
      <c r="J363" s="32"/>
      <c r="K363" s="33"/>
      <c r="L363" s="34"/>
      <c r="M363" s="35"/>
      <c r="N363" s="36"/>
      <c r="O363" s="36" t="str">
        <f>IF(K363&lt;&gt;"",COUNTIFS(SUPORTE!$Q$5:$Q$2900,MENU!$M363,SUPORTE!$R$5:$R$2900,MENU!$I$9),"")</f>
        <v/>
      </c>
      <c r="P363" s="36" t="str">
        <f t="shared" si="16"/>
        <v/>
      </c>
      <c r="Q363" s="36" t="str">
        <f t="shared" si="17"/>
        <v/>
      </c>
    </row>
    <row r="364" spans="4:17" ht="15.9" x14ac:dyDescent="0.45">
      <c r="D364" s="15" t="str">
        <f>IF(B364&lt;&gt;"",IF(_xlfn.IFNA(VLOOKUP(B364&amp;C364,SUPORTE!AA:AA,1,0),"NÃO INICIADO")="NÃO INICIADO",IF(B364&amp;C364=$J$9&amp;$I$12,"EM PROCESSO","NÃO INICIADO"),VLOOKUP(B364&amp;C364,SUPORTE!AA:AF,6,0)),"")</f>
        <v/>
      </c>
      <c r="I364" s="44"/>
      <c r="J364" s="32"/>
      <c r="K364" s="33"/>
      <c r="L364" s="34"/>
      <c r="M364" s="35"/>
      <c r="N364" s="36"/>
      <c r="O364" s="36" t="str">
        <f>IF(K364&lt;&gt;"",COUNTIFS(SUPORTE!$Q$5:$Q$2900,MENU!$M364,SUPORTE!$R$5:$R$2900,MENU!$I$9),"")</f>
        <v/>
      </c>
      <c r="P364" s="36" t="str">
        <f t="shared" si="16"/>
        <v/>
      </c>
      <c r="Q364" s="36" t="str">
        <f t="shared" si="17"/>
        <v/>
      </c>
    </row>
    <row r="365" spans="4:17" ht="15.9" x14ac:dyDescent="0.45">
      <c r="D365" s="15" t="str">
        <f>IF(B365&lt;&gt;"",IF(_xlfn.IFNA(VLOOKUP(B365&amp;C365,SUPORTE!AA:AA,1,0),"NÃO INICIADO")="NÃO INICIADO",IF(B365&amp;C365=$J$9&amp;$I$12,"EM PROCESSO","NÃO INICIADO"),VLOOKUP(B365&amp;C365,SUPORTE!AA:AF,6,0)),"")</f>
        <v/>
      </c>
      <c r="I365" s="44"/>
      <c r="J365" s="32"/>
      <c r="K365" s="33"/>
      <c r="L365" s="34"/>
      <c r="M365" s="35"/>
      <c r="N365" s="36"/>
      <c r="O365" s="36" t="str">
        <f>IF(K365&lt;&gt;"",COUNTIFS(SUPORTE!$Q$5:$Q$2900,MENU!$M365,SUPORTE!$R$5:$R$2900,MENU!$I$9),"")</f>
        <v/>
      </c>
      <c r="P365" s="36" t="str">
        <f t="shared" si="16"/>
        <v/>
      </c>
      <c r="Q365" s="36" t="str">
        <f t="shared" si="17"/>
        <v/>
      </c>
    </row>
    <row r="366" spans="4:17" ht="15.9" x14ac:dyDescent="0.45">
      <c r="D366" s="15" t="str">
        <f>IF(B366&lt;&gt;"",IF(_xlfn.IFNA(VLOOKUP(B366&amp;C366,SUPORTE!AA:AA,1,0),"NÃO INICIADO")="NÃO INICIADO",IF(B366&amp;C366=$J$9&amp;$I$12,"EM PROCESSO","NÃO INICIADO"),VLOOKUP(B366&amp;C366,SUPORTE!AA:AF,6,0)),"")</f>
        <v/>
      </c>
      <c r="I366" s="44"/>
      <c r="J366" s="32"/>
      <c r="K366" s="33"/>
      <c r="L366" s="34"/>
      <c r="M366" s="35"/>
      <c r="N366" s="36"/>
      <c r="O366" s="36" t="str">
        <f>IF(K366&lt;&gt;"",COUNTIFS(SUPORTE!$Q$5:$Q$2900,MENU!$M366,SUPORTE!$R$5:$R$2900,MENU!$I$9),"")</f>
        <v/>
      </c>
      <c r="P366" s="36" t="str">
        <f t="shared" si="16"/>
        <v/>
      </c>
      <c r="Q366" s="36" t="str">
        <f t="shared" si="17"/>
        <v/>
      </c>
    </row>
    <row r="367" spans="4:17" ht="15.9" x14ac:dyDescent="0.45">
      <c r="D367" s="15" t="str">
        <f>IF(B367&lt;&gt;"",IF(_xlfn.IFNA(VLOOKUP(B367&amp;C367,SUPORTE!AA:AA,1,0),"NÃO INICIADO")="NÃO INICIADO",IF(B367&amp;C367=$J$9&amp;$I$12,"EM PROCESSO","NÃO INICIADO"),VLOOKUP(B367&amp;C367,SUPORTE!AA:AF,6,0)),"")</f>
        <v/>
      </c>
      <c r="I367" s="44"/>
      <c r="J367" s="32"/>
      <c r="K367" s="33"/>
      <c r="L367" s="34"/>
      <c r="M367" s="35"/>
      <c r="N367" s="36"/>
      <c r="O367" s="36" t="str">
        <f>IF(K367&lt;&gt;"",COUNTIFS(SUPORTE!$Q$5:$Q$2900,MENU!$M367,SUPORTE!$R$5:$R$2900,MENU!$I$9),"")</f>
        <v/>
      </c>
      <c r="P367" s="36" t="str">
        <f t="shared" si="16"/>
        <v/>
      </c>
      <c r="Q367" s="36" t="str">
        <f t="shared" si="17"/>
        <v/>
      </c>
    </row>
    <row r="368" spans="4:17" ht="15.9" x14ac:dyDescent="0.45">
      <c r="D368" s="15" t="str">
        <f>IF(B368&lt;&gt;"",IF(_xlfn.IFNA(VLOOKUP(B368&amp;C368,SUPORTE!AA:AA,1,0),"NÃO INICIADO")="NÃO INICIADO",IF(B368&amp;C368=$J$9&amp;$I$12,"EM PROCESSO","NÃO INICIADO"),VLOOKUP(B368&amp;C368,SUPORTE!AA:AF,6,0)),"")</f>
        <v/>
      </c>
      <c r="I368" s="44"/>
      <c r="J368" s="32"/>
      <c r="K368" s="33"/>
      <c r="L368" s="34"/>
      <c r="M368" s="35"/>
      <c r="N368" s="36"/>
      <c r="O368" s="36" t="str">
        <f>IF(K368&lt;&gt;"",COUNTIFS(SUPORTE!$Q$5:$Q$2900,MENU!$M368,SUPORTE!$R$5:$R$2900,MENU!$I$9),"")</f>
        <v/>
      </c>
      <c r="P368" s="36" t="str">
        <f t="shared" si="16"/>
        <v/>
      </c>
      <c r="Q368" s="36" t="str">
        <f t="shared" si="17"/>
        <v/>
      </c>
    </row>
    <row r="369" spans="4:17" ht="15.9" x14ac:dyDescent="0.45">
      <c r="D369" s="15" t="str">
        <f>IF(B369&lt;&gt;"",IF(_xlfn.IFNA(VLOOKUP(B369&amp;C369,SUPORTE!AA:AA,1,0),"NÃO INICIADO")="NÃO INICIADO",IF(B369&amp;C369=$J$9&amp;$I$12,"EM PROCESSO","NÃO INICIADO"),VLOOKUP(B369&amp;C369,SUPORTE!AA:AF,6,0)),"")</f>
        <v/>
      </c>
      <c r="I369" s="44"/>
      <c r="J369" s="32"/>
      <c r="K369" s="33"/>
      <c r="L369" s="34"/>
      <c r="M369" s="35"/>
      <c r="N369" s="36"/>
      <c r="O369" s="36" t="str">
        <f>IF(K369&lt;&gt;"",COUNTIFS(SUPORTE!$Q$5:$Q$2900,MENU!$M369,SUPORTE!$R$5:$R$2900,MENU!$I$9),"")</f>
        <v/>
      </c>
      <c r="P369" s="36" t="str">
        <f t="shared" si="16"/>
        <v/>
      </c>
      <c r="Q369" s="36" t="str">
        <f t="shared" si="17"/>
        <v/>
      </c>
    </row>
    <row r="370" spans="4:17" ht="15.9" x14ac:dyDescent="0.45">
      <c r="D370" s="15" t="str">
        <f>IF(B370&lt;&gt;"",IF(_xlfn.IFNA(VLOOKUP(B370&amp;C370,SUPORTE!AA:AA,1,0),"NÃO INICIADO")="NÃO INICIADO",IF(B370&amp;C370=$J$9&amp;$I$12,"EM PROCESSO","NÃO INICIADO"),VLOOKUP(B370&amp;C370,SUPORTE!AA:AF,6,0)),"")</f>
        <v/>
      </c>
      <c r="I370" s="44"/>
      <c r="J370" s="32"/>
      <c r="K370" s="33"/>
      <c r="L370" s="34"/>
      <c r="M370" s="35"/>
      <c r="N370" s="36"/>
      <c r="O370" s="36" t="str">
        <f>IF(K370&lt;&gt;"",COUNTIFS(SUPORTE!$Q$5:$Q$2900,MENU!$M370,SUPORTE!$R$5:$R$2900,MENU!$I$9),"")</f>
        <v/>
      </c>
      <c r="P370" s="36" t="str">
        <f t="shared" si="16"/>
        <v/>
      </c>
      <c r="Q370" s="36" t="str">
        <f t="shared" si="17"/>
        <v/>
      </c>
    </row>
    <row r="371" spans="4:17" ht="15.9" x14ac:dyDescent="0.45">
      <c r="D371" s="15" t="str">
        <f>IF(B371&lt;&gt;"",IF(_xlfn.IFNA(VLOOKUP(B371&amp;C371,SUPORTE!AA:AA,1,0),"NÃO INICIADO")="NÃO INICIADO",IF(B371&amp;C371=$J$9&amp;$I$12,"EM PROCESSO","NÃO INICIADO"),VLOOKUP(B371&amp;C371,SUPORTE!AA:AF,6,0)),"")</f>
        <v/>
      </c>
      <c r="I371" s="44"/>
      <c r="J371" s="32"/>
      <c r="K371" s="33"/>
      <c r="L371" s="34"/>
      <c r="M371" s="35"/>
      <c r="N371" s="36"/>
      <c r="O371" s="36" t="str">
        <f>IF(K371&lt;&gt;"",COUNTIFS(SUPORTE!$Q$5:$Q$2900,MENU!$M371,SUPORTE!$R$5:$R$2900,MENU!$I$9),"")</f>
        <v/>
      </c>
      <c r="P371" s="36" t="str">
        <f t="shared" si="16"/>
        <v/>
      </c>
      <c r="Q371" s="36" t="str">
        <f t="shared" si="17"/>
        <v/>
      </c>
    </row>
    <row r="372" spans="4:17" ht="15.9" x14ac:dyDescent="0.45">
      <c r="D372" s="15" t="str">
        <f>IF(B372&lt;&gt;"",IF(_xlfn.IFNA(VLOOKUP(B372&amp;C372,SUPORTE!AA:AA,1,0),"NÃO INICIADO")="NÃO INICIADO",IF(B372&amp;C372=$J$9&amp;$I$12,"EM PROCESSO","NÃO INICIADO"),VLOOKUP(B372&amp;C372,SUPORTE!AA:AF,6,0)),"")</f>
        <v/>
      </c>
      <c r="I372" s="44"/>
      <c r="J372" s="32"/>
      <c r="K372" s="33"/>
      <c r="L372" s="34"/>
      <c r="M372" s="35"/>
      <c r="N372" s="36"/>
      <c r="O372" s="36" t="str">
        <f>IF(K372&lt;&gt;"",COUNTIFS(SUPORTE!$Q$5:$Q$2900,MENU!$M372,SUPORTE!$R$5:$R$2900,MENU!$I$9),"")</f>
        <v/>
      </c>
      <c r="P372" s="36" t="str">
        <f t="shared" si="16"/>
        <v/>
      </c>
      <c r="Q372" s="36" t="str">
        <f t="shared" si="17"/>
        <v/>
      </c>
    </row>
    <row r="373" spans="4:17" ht="15.9" x14ac:dyDescent="0.45">
      <c r="D373" s="15" t="str">
        <f>IF(B373&lt;&gt;"",IF(_xlfn.IFNA(VLOOKUP(B373&amp;C373,SUPORTE!AA:AA,1,0),"NÃO INICIADO")="NÃO INICIADO",IF(B373&amp;C373=$J$9&amp;$I$12,"EM PROCESSO","NÃO INICIADO"),VLOOKUP(B373&amp;C373,SUPORTE!AA:AF,6,0)),"")</f>
        <v/>
      </c>
      <c r="I373" s="44"/>
      <c r="J373" s="32"/>
      <c r="K373" s="33"/>
      <c r="L373" s="34"/>
      <c r="M373" s="35"/>
      <c r="N373" s="36"/>
      <c r="O373" s="36" t="str">
        <f>IF(K373&lt;&gt;"",COUNTIFS(SUPORTE!$Q$5:$Q$2900,MENU!$M373,SUPORTE!$R$5:$R$2900,MENU!$I$9),"")</f>
        <v/>
      </c>
      <c r="P373" s="36" t="str">
        <f t="shared" si="16"/>
        <v/>
      </c>
      <c r="Q373" s="36" t="str">
        <f t="shared" si="17"/>
        <v/>
      </c>
    </row>
    <row r="374" spans="4:17" ht="15.9" x14ac:dyDescent="0.45">
      <c r="D374" s="15" t="str">
        <f>IF(B374&lt;&gt;"",IF(_xlfn.IFNA(VLOOKUP(B374&amp;C374,SUPORTE!AA:AA,1,0),"NÃO INICIADO")="NÃO INICIADO",IF(B374&amp;C374=$J$9&amp;$I$12,"EM PROCESSO","NÃO INICIADO"),VLOOKUP(B374&amp;C374,SUPORTE!AA:AF,6,0)),"")</f>
        <v/>
      </c>
      <c r="I374" s="44"/>
      <c r="J374" s="32"/>
      <c r="K374" s="33"/>
      <c r="L374" s="34"/>
      <c r="M374" s="35"/>
      <c r="N374" s="36"/>
      <c r="O374" s="36" t="str">
        <f>IF(K374&lt;&gt;"",COUNTIFS(SUPORTE!$Q$5:$Q$2900,MENU!$M374,SUPORTE!$R$5:$R$2900,MENU!$I$9),"")</f>
        <v/>
      </c>
      <c r="P374" s="36" t="str">
        <f t="shared" si="16"/>
        <v/>
      </c>
      <c r="Q374" s="36" t="str">
        <f t="shared" si="17"/>
        <v/>
      </c>
    </row>
    <row r="375" spans="4:17" ht="15.9" x14ac:dyDescent="0.45">
      <c r="D375" s="15" t="str">
        <f>IF(B375&lt;&gt;"",IF(_xlfn.IFNA(VLOOKUP(B375&amp;C375,SUPORTE!AA:AA,1,0),"NÃO INICIADO")="NÃO INICIADO",IF(B375&amp;C375=$J$9&amp;$I$12,"EM PROCESSO","NÃO INICIADO"),VLOOKUP(B375&amp;C375,SUPORTE!AA:AF,6,0)),"")</f>
        <v/>
      </c>
      <c r="I375" s="44"/>
      <c r="J375" s="32"/>
      <c r="K375" s="33"/>
      <c r="L375" s="34"/>
      <c r="M375" s="35"/>
      <c r="N375" s="36"/>
      <c r="O375" s="36" t="str">
        <f>IF(K375&lt;&gt;"",COUNTIFS(SUPORTE!$Q$5:$Q$2900,MENU!$M375,SUPORTE!$R$5:$R$2900,MENU!$I$9),"")</f>
        <v/>
      </c>
      <c r="P375" s="36" t="str">
        <f t="shared" si="16"/>
        <v/>
      </c>
      <c r="Q375" s="36" t="str">
        <f t="shared" si="17"/>
        <v/>
      </c>
    </row>
    <row r="376" spans="4:17" ht="15.9" x14ac:dyDescent="0.45">
      <c r="D376" s="15" t="str">
        <f>IF(B376&lt;&gt;"",IF(_xlfn.IFNA(VLOOKUP(B376&amp;C376,SUPORTE!AA:AA,1,0),"NÃO INICIADO")="NÃO INICIADO",IF(B376&amp;C376=$J$9&amp;$I$12,"EM PROCESSO","NÃO INICIADO"),VLOOKUP(B376&amp;C376,SUPORTE!AA:AF,6,0)),"")</f>
        <v/>
      </c>
      <c r="I376" s="44"/>
      <c r="J376" s="32"/>
      <c r="K376" s="33"/>
      <c r="L376" s="34"/>
      <c r="M376" s="35"/>
      <c r="N376" s="36"/>
      <c r="O376" s="36" t="str">
        <f>IF(K376&lt;&gt;"",COUNTIFS(SUPORTE!$Q$5:$Q$2900,MENU!$M376,SUPORTE!$R$5:$R$2900,MENU!$I$9),"")</f>
        <v/>
      </c>
      <c r="P376" s="36" t="str">
        <f t="shared" si="16"/>
        <v/>
      </c>
      <c r="Q376" s="36" t="str">
        <f t="shared" si="17"/>
        <v/>
      </c>
    </row>
    <row r="377" spans="4:17" ht="15.9" x14ac:dyDescent="0.45">
      <c r="D377" s="15" t="str">
        <f>IF(B377&lt;&gt;"",IF(_xlfn.IFNA(VLOOKUP(B377&amp;C377,SUPORTE!AA:AA,1,0),"NÃO INICIADO")="NÃO INICIADO",IF(B377&amp;C377=$J$9&amp;$I$12,"EM PROCESSO","NÃO INICIADO"),VLOOKUP(B377&amp;C377,SUPORTE!AA:AF,6,0)),"")</f>
        <v/>
      </c>
      <c r="I377" s="44"/>
      <c r="J377" s="32"/>
      <c r="K377" s="33"/>
      <c r="L377" s="34"/>
      <c r="M377" s="35"/>
      <c r="N377" s="36"/>
      <c r="O377" s="36" t="str">
        <f>IF(K377&lt;&gt;"",COUNTIFS(SUPORTE!$Q$5:$Q$2900,MENU!$M377,SUPORTE!$R$5:$R$2900,MENU!$I$9),"")</f>
        <v/>
      </c>
      <c r="P377" s="36" t="str">
        <f t="shared" si="16"/>
        <v/>
      </c>
      <c r="Q377" s="36" t="str">
        <f t="shared" si="17"/>
        <v/>
      </c>
    </row>
    <row r="378" spans="4:17" ht="15.9" x14ac:dyDescent="0.45">
      <c r="D378" s="15" t="str">
        <f>IF(B378&lt;&gt;"",IF(_xlfn.IFNA(VLOOKUP(B378&amp;C378,SUPORTE!AA:AA,1,0),"NÃO INICIADO")="NÃO INICIADO",IF(B378&amp;C378=$J$9&amp;$I$12,"EM PROCESSO","NÃO INICIADO"),VLOOKUP(B378&amp;C378,SUPORTE!AA:AF,6,0)),"")</f>
        <v/>
      </c>
      <c r="I378" s="44"/>
      <c r="J378" s="32"/>
      <c r="K378" s="33"/>
      <c r="L378" s="34"/>
      <c r="M378" s="35"/>
      <c r="N378" s="36"/>
      <c r="O378" s="36" t="str">
        <f>IF(K378&lt;&gt;"",COUNTIFS(SUPORTE!$Q$5:$Q$2900,MENU!$M378,SUPORTE!$R$5:$R$2900,MENU!$I$9),"")</f>
        <v/>
      </c>
      <c r="P378" s="36" t="str">
        <f t="shared" si="16"/>
        <v/>
      </c>
      <c r="Q378" s="36" t="str">
        <f t="shared" si="17"/>
        <v/>
      </c>
    </row>
    <row r="379" spans="4:17" ht="15.9" x14ac:dyDescent="0.45">
      <c r="D379" s="15" t="str">
        <f>IF(B379&lt;&gt;"",IF(_xlfn.IFNA(VLOOKUP(B379&amp;C379,SUPORTE!AA:AA,1,0),"NÃO INICIADO")="NÃO INICIADO",IF(B379&amp;C379=$J$9&amp;$I$12,"EM PROCESSO","NÃO INICIADO"),VLOOKUP(B379&amp;C379,SUPORTE!AA:AF,6,0)),"")</f>
        <v/>
      </c>
      <c r="I379" s="44"/>
      <c r="J379" s="32"/>
      <c r="K379" s="33"/>
      <c r="L379" s="34"/>
      <c r="M379" s="35"/>
      <c r="N379" s="36"/>
      <c r="O379" s="36" t="str">
        <f>IF(K379&lt;&gt;"",COUNTIFS(SUPORTE!$Q$5:$Q$2900,MENU!$M379,SUPORTE!$R$5:$R$2900,MENU!$I$9),"")</f>
        <v/>
      </c>
      <c r="P379" s="36" t="str">
        <f t="shared" si="16"/>
        <v/>
      </c>
      <c r="Q379" s="36" t="str">
        <f t="shared" si="17"/>
        <v/>
      </c>
    </row>
    <row r="380" spans="4:17" ht="15.9" x14ac:dyDescent="0.45">
      <c r="D380" s="15" t="str">
        <f>IF(B380&lt;&gt;"",IF(_xlfn.IFNA(VLOOKUP(B380&amp;C380,SUPORTE!AA:AA,1,0),"NÃO INICIADO")="NÃO INICIADO",IF(B380&amp;C380=$J$9&amp;$I$12,"EM PROCESSO","NÃO INICIADO"),VLOOKUP(B380&amp;C380,SUPORTE!AA:AF,6,0)),"")</f>
        <v/>
      </c>
      <c r="I380" s="44"/>
      <c r="J380" s="32"/>
      <c r="K380" s="33"/>
      <c r="L380" s="34"/>
      <c r="M380" s="35"/>
      <c r="N380" s="36"/>
      <c r="O380" s="36" t="str">
        <f>IF(K380&lt;&gt;"",COUNTIFS(SUPORTE!$Q$5:$Q$2900,MENU!$M380,SUPORTE!$R$5:$R$2900,MENU!$I$9),"")</f>
        <v/>
      </c>
      <c r="P380" s="36" t="str">
        <f t="shared" si="16"/>
        <v/>
      </c>
      <c r="Q380" s="36" t="str">
        <f t="shared" si="17"/>
        <v/>
      </c>
    </row>
    <row r="381" spans="4:17" ht="15.9" x14ac:dyDescent="0.45">
      <c r="D381" s="15" t="str">
        <f>IF(B381&lt;&gt;"",IF(_xlfn.IFNA(VLOOKUP(B381&amp;C381,SUPORTE!AA:AA,1,0),"NÃO INICIADO")="NÃO INICIADO",IF(B381&amp;C381=$J$9&amp;$I$12,"EM PROCESSO","NÃO INICIADO"),VLOOKUP(B381&amp;C381,SUPORTE!AA:AF,6,0)),"")</f>
        <v/>
      </c>
      <c r="I381" s="44"/>
      <c r="J381" s="32"/>
      <c r="K381" s="33"/>
      <c r="L381" s="34"/>
      <c r="M381" s="35"/>
      <c r="N381" s="36"/>
      <c r="O381" s="36" t="str">
        <f>IF(K381&lt;&gt;"",COUNTIFS(SUPORTE!$Q$5:$Q$2900,MENU!$M381,SUPORTE!$R$5:$R$2900,MENU!$I$9),"")</f>
        <v/>
      </c>
      <c r="P381" s="36" t="str">
        <f t="shared" si="16"/>
        <v/>
      </c>
      <c r="Q381" s="36" t="str">
        <f t="shared" si="17"/>
        <v/>
      </c>
    </row>
    <row r="382" spans="4:17" ht="15.9" x14ac:dyDescent="0.45">
      <c r="D382" s="15" t="str">
        <f>IF(B382&lt;&gt;"",IF(_xlfn.IFNA(VLOOKUP(B382&amp;C382,SUPORTE!AA:AA,1,0),"NÃO INICIADO")="NÃO INICIADO",IF(B382&amp;C382=$J$9&amp;$I$12,"EM PROCESSO","NÃO INICIADO"),VLOOKUP(B382&amp;C382,SUPORTE!AA:AF,6,0)),"")</f>
        <v/>
      </c>
      <c r="I382" s="44"/>
      <c r="J382" s="32"/>
      <c r="K382" s="33"/>
      <c r="L382" s="34"/>
      <c r="M382" s="35"/>
      <c r="N382" s="36"/>
      <c r="O382" s="36" t="str">
        <f>IF(K382&lt;&gt;"",COUNTIFS(SUPORTE!$Q$5:$Q$2900,MENU!$M382,SUPORTE!$R$5:$R$2900,MENU!$I$9),"")</f>
        <v/>
      </c>
      <c r="P382" s="36" t="str">
        <f t="shared" si="16"/>
        <v/>
      </c>
      <c r="Q382" s="36" t="str">
        <f t="shared" si="17"/>
        <v/>
      </c>
    </row>
    <row r="383" spans="4:17" ht="15.9" x14ac:dyDescent="0.45">
      <c r="D383" s="15" t="str">
        <f>IF(B383&lt;&gt;"",IF(_xlfn.IFNA(VLOOKUP(B383&amp;C383,SUPORTE!AA:AA,1,0),"NÃO INICIADO")="NÃO INICIADO",IF(B383&amp;C383=$J$9&amp;$I$12,"EM PROCESSO","NÃO INICIADO"),VLOOKUP(B383&amp;C383,SUPORTE!AA:AF,6,0)),"")</f>
        <v/>
      </c>
      <c r="I383" s="44"/>
      <c r="J383" s="32"/>
      <c r="K383" s="33"/>
      <c r="L383" s="34"/>
      <c r="M383" s="35"/>
      <c r="N383" s="36"/>
      <c r="O383" s="36" t="str">
        <f>IF(K383&lt;&gt;"",COUNTIFS(SUPORTE!$Q$5:$Q$2900,MENU!$M383,SUPORTE!$R$5:$R$2900,MENU!$I$9),"")</f>
        <v/>
      </c>
      <c r="P383" s="36" t="str">
        <f t="shared" si="16"/>
        <v/>
      </c>
      <c r="Q383" s="36" t="str">
        <f t="shared" si="17"/>
        <v/>
      </c>
    </row>
    <row r="384" spans="4:17" ht="15.9" x14ac:dyDescent="0.45">
      <c r="D384" s="15" t="str">
        <f>IF(B384&lt;&gt;"",IF(_xlfn.IFNA(VLOOKUP(B384&amp;C384,SUPORTE!AA:AA,1,0),"NÃO INICIADO")="NÃO INICIADO",IF(B384&amp;C384=$J$9&amp;$I$12,"EM PROCESSO","NÃO INICIADO"),VLOOKUP(B384&amp;C384,SUPORTE!AA:AF,6,0)),"")</f>
        <v/>
      </c>
      <c r="I384" s="44"/>
      <c r="J384" s="32"/>
      <c r="K384" s="33"/>
      <c r="L384" s="34"/>
      <c r="M384" s="35"/>
      <c r="N384" s="36"/>
      <c r="O384" s="36" t="str">
        <f>IF(K384&lt;&gt;"",COUNTIFS(SUPORTE!$Q$5:$Q$2900,MENU!$M384,SUPORTE!$R$5:$R$2900,MENU!$I$9),"")</f>
        <v/>
      </c>
      <c r="P384" s="36" t="str">
        <f t="shared" si="16"/>
        <v/>
      </c>
      <c r="Q384" s="36" t="str">
        <f t="shared" si="17"/>
        <v/>
      </c>
    </row>
    <row r="385" spans="4:17" ht="15.9" x14ac:dyDescent="0.45">
      <c r="D385" s="15" t="str">
        <f>IF(B385&lt;&gt;"",IF(_xlfn.IFNA(VLOOKUP(B385&amp;C385,SUPORTE!AA:AA,1,0),"NÃO INICIADO")="NÃO INICIADO",IF(B385&amp;C385=$J$9&amp;$I$12,"EM PROCESSO","NÃO INICIADO"),VLOOKUP(B385&amp;C385,SUPORTE!AA:AF,6,0)),"")</f>
        <v/>
      </c>
      <c r="I385" s="44"/>
      <c r="J385" s="32"/>
      <c r="K385" s="33"/>
      <c r="L385" s="34"/>
      <c r="M385" s="35"/>
      <c r="N385" s="36"/>
      <c r="O385" s="36" t="str">
        <f>IF(K385&lt;&gt;"",COUNTIFS(SUPORTE!$Q$5:$Q$2900,MENU!$M385,SUPORTE!$R$5:$R$2900,MENU!$I$9),"")</f>
        <v/>
      </c>
      <c r="P385" s="36" t="str">
        <f t="shared" si="16"/>
        <v/>
      </c>
      <c r="Q385" s="36" t="str">
        <f t="shared" si="17"/>
        <v/>
      </c>
    </row>
    <row r="386" spans="4:17" ht="15.9" x14ac:dyDescent="0.45">
      <c r="D386" s="15" t="str">
        <f>IF(B386&lt;&gt;"",IF(_xlfn.IFNA(VLOOKUP(B386&amp;C386,SUPORTE!AA:AA,1,0),"NÃO INICIADO")="NÃO INICIADO",IF(B386&amp;C386=$J$9&amp;$I$12,"EM PROCESSO","NÃO INICIADO"),VLOOKUP(B386&amp;C386,SUPORTE!AA:AF,6,0)),"")</f>
        <v/>
      </c>
      <c r="I386" s="44"/>
      <c r="J386" s="32"/>
      <c r="K386" s="33"/>
      <c r="L386" s="34"/>
      <c r="M386" s="35"/>
      <c r="N386" s="36"/>
      <c r="O386" s="36" t="str">
        <f>IF(K386&lt;&gt;"",COUNTIFS(SUPORTE!$Q$5:$Q$2900,MENU!$M386,SUPORTE!$R$5:$R$2900,MENU!$I$9),"")</f>
        <v/>
      </c>
      <c r="P386" s="36" t="str">
        <f t="shared" si="16"/>
        <v/>
      </c>
      <c r="Q386" s="36" t="str">
        <f t="shared" si="17"/>
        <v/>
      </c>
    </row>
    <row r="387" spans="4:17" ht="15.9" x14ac:dyDescent="0.45">
      <c r="D387" s="15" t="str">
        <f>IF(B387&lt;&gt;"",IF(_xlfn.IFNA(VLOOKUP(B387&amp;C387,SUPORTE!AA:AA,1,0),"NÃO INICIADO")="NÃO INICIADO",IF(B387&amp;C387=$J$9&amp;$I$12,"EM PROCESSO","NÃO INICIADO"),VLOOKUP(B387&amp;C387,SUPORTE!AA:AF,6,0)),"")</f>
        <v/>
      </c>
      <c r="I387" s="44"/>
      <c r="J387" s="32"/>
      <c r="K387" s="33"/>
      <c r="L387" s="34"/>
      <c r="M387" s="35"/>
      <c r="N387" s="36"/>
      <c r="O387" s="36" t="str">
        <f>IF(K387&lt;&gt;"",COUNTIFS(SUPORTE!$Q$5:$Q$2900,MENU!$M387,SUPORTE!$R$5:$R$2900,MENU!$I$9),"")</f>
        <v/>
      </c>
      <c r="P387" s="36" t="str">
        <f t="shared" si="16"/>
        <v/>
      </c>
      <c r="Q387" s="36" t="str">
        <f t="shared" si="17"/>
        <v/>
      </c>
    </row>
    <row r="388" spans="4:17" ht="15.9" x14ac:dyDescent="0.45">
      <c r="D388" s="15" t="str">
        <f>IF(B388&lt;&gt;"",IF(_xlfn.IFNA(VLOOKUP(B388&amp;C388,SUPORTE!AA:AA,1,0),"NÃO INICIADO")="NÃO INICIADO",IF(B388&amp;C388=$J$9&amp;$I$12,"EM PROCESSO","NÃO INICIADO"),VLOOKUP(B388&amp;C388,SUPORTE!AA:AF,6,0)),"")</f>
        <v/>
      </c>
      <c r="I388" s="44"/>
      <c r="J388" s="32"/>
      <c r="K388" s="33"/>
      <c r="L388" s="34"/>
      <c r="M388" s="35"/>
      <c r="N388" s="36"/>
      <c r="O388" s="36" t="str">
        <f>IF(K388&lt;&gt;"",COUNTIFS(SUPORTE!$Q$5:$Q$2900,MENU!$M388,SUPORTE!$R$5:$R$2900,MENU!$I$9),"")</f>
        <v/>
      </c>
      <c r="P388" s="36" t="str">
        <f t="shared" si="16"/>
        <v/>
      </c>
      <c r="Q388" s="36" t="str">
        <f t="shared" si="17"/>
        <v/>
      </c>
    </row>
    <row r="389" spans="4:17" ht="15.9" x14ac:dyDescent="0.45">
      <c r="D389" s="15" t="str">
        <f>IF(B389&lt;&gt;"",IF(_xlfn.IFNA(VLOOKUP(B389&amp;C389,SUPORTE!AA:AA,1,0),"NÃO INICIADO")="NÃO INICIADO",IF(B389&amp;C389=$J$9&amp;$I$12,"EM PROCESSO","NÃO INICIADO"),VLOOKUP(B389&amp;C389,SUPORTE!AA:AF,6,0)),"")</f>
        <v/>
      </c>
      <c r="I389" s="44"/>
      <c r="J389" s="32"/>
      <c r="K389" s="33"/>
      <c r="L389" s="34"/>
      <c r="M389" s="35"/>
      <c r="N389" s="36"/>
      <c r="O389" s="36" t="str">
        <f>IF(K389&lt;&gt;"",COUNTIFS(SUPORTE!$Q$5:$Q$2900,MENU!$M389,SUPORTE!$R$5:$R$2900,MENU!$I$9),"")</f>
        <v/>
      </c>
      <c r="P389" s="36" t="str">
        <f t="shared" si="16"/>
        <v/>
      </c>
      <c r="Q389" s="36" t="str">
        <f t="shared" si="17"/>
        <v/>
      </c>
    </row>
    <row r="390" spans="4:17" ht="15.9" x14ac:dyDescent="0.45">
      <c r="D390" s="15" t="str">
        <f>IF(B390&lt;&gt;"",IF(_xlfn.IFNA(VLOOKUP(B390&amp;C390,SUPORTE!AA:AA,1,0),"NÃO INICIADO")="NÃO INICIADO",IF(B390&amp;C390=$J$9&amp;$I$12,"EM PROCESSO","NÃO INICIADO"),VLOOKUP(B390&amp;C390,SUPORTE!AA:AF,6,0)),"")</f>
        <v/>
      </c>
      <c r="I390" s="44"/>
      <c r="J390" s="32"/>
      <c r="K390" s="33"/>
      <c r="L390" s="34"/>
      <c r="M390" s="35"/>
      <c r="N390" s="36"/>
      <c r="O390" s="36" t="str">
        <f>IF(K390&lt;&gt;"",COUNTIFS(SUPORTE!$Q$5:$Q$2900,MENU!$M390,SUPORTE!$R$5:$R$2900,MENU!$I$9),"")</f>
        <v/>
      </c>
      <c r="P390" s="36" t="str">
        <f t="shared" si="16"/>
        <v/>
      </c>
      <c r="Q390" s="36" t="str">
        <f t="shared" si="17"/>
        <v/>
      </c>
    </row>
    <row r="391" spans="4:17" ht="15.9" x14ac:dyDescent="0.45">
      <c r="D391" s="15" t="str">
        <f>IF(B391&lt;&gt;"",IF(_xlfn.IFNA(VLOOKUP(B391&amp;C391,SUPORTE!AA:AA,1,0),"NÃO INICIADO")="NÃO INICIADO",IF(B391&amp;C391=$J$9&amp;$I$12,"EM PROCESSO","NÃO INICIADO"),VLOOKUP(B391&amp;C391,SUPORTE!AA:AF,6,0)),"")</f>
        <v/>
      </c>
      <c r="I391" s="44"/>
      <c r="J391" s="32"/>
      <c r="K391" s="33"/>
      <c r="L391" s="34"/>
      <c r="M391" s="35"/>
      <c r="N391" s="36"/>
      <c r="O391" s="36" t="str">
        <f>IF(K391&lt;&gt;"",COUNTIFS(SUPORTE!$Q$5:$Q$2900,MENU!$M391,SUPORTE!$R$5:$R$2900,MENU!$I$9),"")</f>
        <v/>
      </c>
      <c r="P391" s="36" t="str">
        <f t="shared" si="16"/>
        <v/>
      </c>
      <c r="Q391" s="36" t="str">
        <f t="shared" si="17"/>
        <v/>
      </c>
    </row>
    <row r="392" spans="4:17" ht="15.9" x14ac:dyDescent="0.45">
      <c r="D392" s="15" t="str">
        <f>IF(B392&lt;&gt;"",IF(_xlfn.IFNA(VLOOKUP(B392&amp;C392,SUPORTE!AA:AA,1,0),"NÃO INICIADO")="NÃO INICIADO",IF(B392&amp;C392=$J$9&amp;$I$12,"EM PROCESSO","NÃO INICIADO"),VLOOKUP(B392&amp;C392,SUPORTE!AA:AF,6,0)),"")</f>
        <v/>
      </c>
      <c r="I392" s="44"/>
      <c r="J392" s="32"/>
      <c r="K392" s="33"/>
      <c r="L392" s="34"/>
      <c r="M392" s="35"/>
      <c r="N392" s="36"/>
      <c r="O392" s="36" t="str">
        <f>IF(K392&lt;&gt;"",COUNTIFS(SUPORTE!$Q$5:$Q$2900,MENU!$M392,SUPORTE!$R$5:$R$2900,MENU!$I$9),"")</f>
        <v/>
      </c>
      <c r="P392" s="36" t="str">
        <f t="shared" si="16"/>
        <v/>
      </c>
      <c r="Q392" s="36" t="str">
        <f t="shared" si="17"/>
        <v/>
      </c>
    </row>
    <row r="393" spans="4:17" ht="15.9" x14ac:dyDescent="0.45">
      <c r="D393" s="15" t="str">
        <f>IF(B393&lt;&gt;"",IF(_xlfn.IFNA(VLOOKUP(B393&amp;C393,SUPORTE!AA:AA,1,0),"NÃO INICIADO")="NÃO INICIADO",IF(B393&amp;C393=$J$9&amp;$I$12,"EM PROCESSO","NÃO INICIADO"),VLOOKUP(B393&amp;C393,SUPORTE!AA:AF,6,0)),"")</f>
        <v/>
      </c>
      <c r="I393" s="44"/>
      <c r="J393" s="32"/>
      <c r="K393" s="33"/>
      <c r="L393" s="34"/>
      <c r="M393" s="35"/>
      <c r="N393" s="36"/>
      <c r="O393" s="36" t="str">
        <f>IF(K393&lt;&gt;"",COUNTIFS(SUPORTE!$Q$5:$Q$2900,MENU!$M393,SUPORTE!$R$5:$R$2900,MENU!$I$9),"")</f>
        <v/>
      </c>
      <c r="P393" s="36" t="str">
        <f t="shared" si="16"/>
        <v/>
      </c>
      <c r="Q393" s="36" t="str">
        <f t="shared" si="17"/>
        <v/>
      </c>
    </row>
    <row r="394" spans="4:17" ht="15.9" x14ac:dyDescent="0.45">
      <c r="D394" s="15" t="str">
        <f>IF(B394&lt;&gt;"",IF(_xlfn.IFNA(VLOOKUP(B394&amp;C394,SUPORTE!AA:AA,1,0),"NÃO INICIADO")="NÃO INICIADO",IF(B394&amp;C394=$J$9&amp;$I$12,"EM PROCESSO","NÃO INICIADO"),VLOOKUP(B394&amp;C394,SUPORTE!AA:AF,6,0)),"")</f>
        <v/>
      </c>
      <c r="I394" s="44"/>
      <c r="J394" s="32"/>
      <c r="K394" s="33"/>
      <c r="L394" s="34"/>
      <c r="M394" s="35"/>
      <c r="N394" s="36"/>
      <c r="O394" s="36" t="str">
        <f>IF(K394&lt;&gt;"",COUNTIFS(SUPORTE!$Q$5:$Q$2900,MENU!$M394,SUPORTE!$R$5:$R$2900,MENU!$I$9),"")</f>
        <v/>
      </c>
      <c r="P394" s="36" t="str">
        <f t="shared" si="16"/>
        <v/>
      </c>
      <c r="Q394" s="36" t="str">
        <f t="shared" si="17"/>
        <v/>
      </c>
    </row>
    <row r="395" spans="4:17" ht="15.9" x14ac:dyDescent="0.45">
      <c r="D395" s="15" t="str">
        <f>IF(B395&lt;&gt;"",IF(_xlfn.IFNA(VLOOKUP(B395&amp;C395,SUPORTE!AA:AA,1,0),"NÃO INICIADO")="NÃO INICIADO",IF(B395&amp;C395=$J$9&amp;$I$12,"EM PROCESSO","NÃO INICIADO"),VLOOKUP(B395&amp;C395,SUPORTE!AA:AF,6,0)),"")</f>
        <v/>
      </c>
      <c r="I395" s="44"/>
      <c r="J395" s="32"/>
      <c r="K395" s="33"/>
      <c r="L395" s="34"/>
      <c r="M395" s="35"/>
      <c r="N395" s="36"/>
      <c r="O395" s="36" t="str">
        <f>IF(K395&lt;&gt;"",COUNTIFS(SUPORTE!$Q$5:$Q$2900,MENU!$M395,SUPORTE!$R$5:$R$2900,MENU!$I$9),"")</f>
        <v/>
      </c>
      <c r="P395" s="36" t="str">
        <f t="shared" si="16"/>
        <v/>
      </c>
      <c r="Q395" s="36" t="str">
        <f t="shared" si="17"/>
        <v/>
      </c>
    </row>
    <row r="396" spans="4:17" ht="15.9" x14ac:dyDescent="0.45">
      <c r="D396" s="15" t="str">
        <f>IF(B396&lt;&gt;"",IF(_xlfn.IFNA(VLOOKUP(B396&amp;C396,SUPORTE!AA:AA,1,0),"NÃO INICIADO")="NÃO INICIADO",IF(B396&amp;C396=$J$9&amp;$I$12,"EM PROCESSO","NÃO INICIADO"),VLOOKUP(B396&amp;C396,SUPORTE!AA:AF,6,0)),"")</f>
        <v/>
      </c>
      <c r="I396" s="44"/>
      <c r="J396" s="32"/>
      <c r="K396" s="33"/>
      <c r="L396" s="34"/>
      <c r="M396" s="35"/>
      <c r="N396" s="36"/>
      <c r="O396" s="36" t="str">
        <f>IF(K396&lt;&gt;"",COUNTIFS(SUPORTE!$Q$5:$Q$2900,MENU!$M396,SUPORTE!$R$5:$R$2900,MENU!$I$9),"")</f>
        <v/>
      </c>
      <c r="P396" s="36" t="str">
        <f t="shared" si="16"/>
        <v/>
      </c>
      <c r="Q396" s="36" t="str">
        <f t="shared" si="17"/>
        <v/>
      </c>
    </row>
    <row r="397" spans="4:17" ht="15.9" x14ac:dyDescent="0.45">
      <c r="D397" s="15" t="str">
        <f>IF(B397&lt;&gt;"",IF(_xlfn.IFNA(VLOOKUP(B397&amp;C397,SUPORTE!AA:AA,1,0),"NÃO INICIADO")="NÃO INICIADO",IF(B397&amp;C397=$J$9&amp;$I$12,"EM PROCESSO","NÃO INICIADO"),VLOOKUP(B397&amp;C397,SUPORTE!AA:AF,6,0)),"")</f>
        <v/>
      </c>
      <c r="I397" s="44"/>
      <c r="J397" s="32"/>
      <c r="K397" s="33"/>
      <c r="L397" s="34"/>
      <c r="M397" s="35"/>
      <c r="N397" s="36"/>
      <c r="O397" s="36" t="str">
        <f>IF(K397&lt;&gt;"",COUNTIFS(SUPORTE!$Q$5:$Q$2900,MENU!$M397,SUPORTE!$R$5:$R$2900,MENU!$I$9),"")</f>
        <v/>
      </c>
      <c r="P397" s="36" t="str">
        <f t="shared" si="16"/>
        <v/>
      </c>
      <c r="Q397" s="36" t="str">
        <f t="shared" si="17"/>
        <v/>
      </c>
    </row>
    <row r="398" spans="4:17" ht="15.9" x14ac:dyDescent="0.45">
      <c r="D398" s="15" t="str">
        <f>IF(B398&lt;&gt;"",IF(_xlfn.IFNA(VLOOKUP(B398&amp;C398,SUPORTE!AA:AA,1,0),"NÃO INICIADO")="NÃO INICIADO",IF(B398&amp;C398=$J$9&amp;$I$12,"EM PROCESSO","NÃO INICIADO"),VLOOKUP(B398&amp;C398,SUPORTE!AA:AF,6,0)),"")</f>
        <v/>
      </c>
      <c r="I398" s="44"/>
      <c r="J398" s="32"/>
      <c r="K398" s="33"/>
      <c r="L398" s="34"/>
      <c r="M398" s="35"/>
      <c r="N398" s="36"/>
      <c r="O398" s="36" t="str">
        <f>IF(K398&lt;&gt;"",COUNTIFS(SUPORTE!$Q$5:$Q$2900,MENU!$M398,SUPORTE!$R$5:$R$2900,MENU!$I$9),"")</f>
        <v/>
      </c>
      <c r="P398" s="36" t="str">
        <f t="shared" si="16"/>
        <v/>
      </c>
      <c r="Q398" s="36" t="str">
        <f t="shared" si="17"/>
        <v/>
      </c>
    </row>
    <row r="399" spans="4:17" ht="15.9" x14ac:dyDescent="0.45">
      <c r="D399" s="15" t="str">
        <f>IF(B399&lt;&gt;"",IF(_xlfn.IFNA(VLOOKUP(B399&amp;C399,SUPORTE!AA:AA,1,0),"NÃO INICIADO")="NÃO INICIADO",IF(B399&amp;C399=$J$9&amp;$I$12,"EM PROCESSO","NÃO INICIADO"),VLOOKUP(B399&amp;C399,SUPORTE!AA:AF,6,0)),"")</f>
        <v/>
      </c>
      <c r="I399" s="44"/>
      <c r="J399" s="32"/>
      <c r="K399" s="33"/>
      <c r="L399" s="34"/>
      <c r="M399" s="35"/>
      <c r="N399" s="36"/>
      <c r="O399" s="36" t="str">
        <f>IF(K399&lt;&gt;"",COUNTIFS(SUPORTE!$Q$5:$Q$2900,MENU!$M399,SUPORTE!$R$5:$R$2900,MENU!$I$9),"")</f>
        <v/>
      </c>
      <c r="P399" s="36" t="str">
        <f t="shared" si="16"/>
        <v/>
      </c>
      <c r="Q399" s="36" t="str">
        <f t="shared" si="17"/>
        <v/>
      </c>
    </row>
    <row r="400" spans="4:17" ht="15.9" x14ac:dyDescent="0.45">
      <c r="D400" s="15" t="str">
        <f>IF(B400&lt;&gt;"",IF(_xlfn.IFNA(VLOOKUP(B400&amp;C400,SUPORTE!AA:AA,1,0),"NÃO INICIADO")="NÃO INICIADO",IF(B400&amp;C400=$J$9&amp;$I$12,"EM PROCESSO","NÃO INICIADO"),VLOOKUP(B400&amp;C400,SUPORTE!AA:AF,6,0)),"")</f>
        <v/>
      </c>
      <c r="I400" s="44"/>
      <c r="J400" s="32"/>
      <c r="K400" s="33"/>
      <c r="L400" s="34"/>
      <c r="M400" s="35"/>
      <c r="N400" s="36"/>
      <c r="O400" s="36" t="str">
        <f>IF(K400&lt;&gt;"",COUNTIFS(SUPORTE!$Q$5:$Q$2900,MENU!$M400,SUPORTE!$R$5:$R$2900,MENU!$I$9),"")</f>
        <v/>
      </c>
      <c r="P400" s="36" t="str">
        <f t="shared" si="16"/>
        <v/>
      </c>
      <c r="Q400" s="36" t="str">
        <f t="shared" si="17"/>
        <v/>
      </c>
    </row>
    <row r="401" spans="4:17" ht="15.9" x14ac:dyDescent="0.45">
      <c r="D401" s="15" t="str">
        <f>IF(B401&lt;&gt;"",IF(_xlfn.IFNA(VLOOKUP(B401&amp;C401,SUPORTE!AA:AA,1,0),"NÃO INICIADO")="NÃO INICIADO",IF(B401&amp;C401=$J$9&amp;$I$12,"EM PROCESSO","NÃO INICIADO"),VLOOKUP(B401&amp;C401,SUPORTE!AA:AF,6,0)),"")</f>
        <v/>
      </c>
      <c r="I401" s="44"/>
      <c r="J401" s="32"/>
      <c r="K401" s="33"/>
      <c r="L401" s="34"/>
      <c r="M401" s="35"/>
      <c r="N401" s="36"/>
      <c r="O401" s="36" t="str">
        <f>IF(K401&lt;&gt;"",COUNTIFS(SUPORTE!$Q$5:$Q$2900,MENU!$M401,SUPORTE!$R$5:$R$2900,MENU!$I$9),"")</f>
        <v/>
      </c>
      <c r="P401" s="36" t="str">
        <f t="shared" si="16"/>
        <v/>
      </c>
      <c r="Q401" s="36" t="str">
        <f t="shared" si="17"/>
        <v/>
      </c>
    </row>
    <row r="402" spans="4:17" ht="15.9" x14ac:dyDescent="0.45">
      <c r="D402" s="15" t="str">
        <f>IF(B402&lt;&gt;"",IF(_xlfn.IFNA(VLOOKUP(B402&amp;C402,SUPORTE!AA:AA,1,0),"NÃO INICIADO")="NÃO INICIADO",IF(B402&amp;C402=$J$9&amp;$I$12,"EM PROCESSO","NÃO INICIADO"),VLOOKUP(B402&amp;C402,SUPORTE!AA:AF,6,0)),"")</f>
        <v/>
      </c>
      <c r="I402" s="44"/>
      <c r="J402" s="32"/>
      <c r="K402" s="33"/>
      <c r="L402" s="34"/>
      <c r="M402" s="35"/>
      <c r="N402" s="36"/>
      <c r="O402" s="36" t="str">
        <f>IF(K402&lt;&gt;"",COUNTIFS(SUPORTE!$Q$5:$Q$2900,MENU!$M402,SUPORTE!$R$5:$R$2900,MENU!$I$9),"")</f>
        <v/>
      </c>
      <c r="P402" s="36" t="str">
        <f t="shared" si="16"/>
        <v/>
      </c>
      <c r="Q402" s="36" t="str">
        <f t="shared" si="17"/>
        <v/>
      </c>
    </row>
    <row r="403" spans="4:17" ht="15.9" x14ac:dyDescent="0.45">
      <c r="D403" s="15" t="str">
        <f>IF(B403&lt;&gt;"",IF(_xlfn.IFNA(VLOOKUP(B403&amp;C403,SUPORTE!AA:AA,1,0),"NÃO INICIADO")="NÃO INICIADO",IF(B403&amp;C403=$J$9&amp;$I$12,"EM PROCESSO","NÃO INICIADO"),VLOOKUP(B403&amp;C403,SUPORTE!AA:AF,6,0)),"")</f>
        <v/>
      </c>
      <c r="I403" s="44"/>
      <c r="J403" s="32"/>
      <c r="K403" s="33"/>
      <c r="L403" s="34"/>
      <c r="M403" s="35"/>
      <c r="N403" s="36"/>
      <c r="O403" s="36" t="str">
        <f>IF(K403&lt;&gt;"",COUNTIFS(SUPORTE!$Q$5:$Q$2900,MENU!$M403,SUPORTE!$R$5:$R$2900,MENU!$I$9),"")</f>
        <v/>
      </c>
      <c r="P403" s="36" t="str">
        <f t="shared" si="16"/>
        <v/>
      </c>
      <c r="Q403" s="36" t="str">
        <f t="shared" si="17"/>
        <v/>
      </c>
    </row>
    <row r="404" spans="4:17" ht="15.9" x14ac:dyDescent="0.45">
      <c r="D404" s="15" t="str">
        <f>IF(B404&lt;&gt;"",IF(_xlfn.IFNA(VLOOKUP(B404&amp;C404,SUPORTE!AA:AA,1,0),"NÃO INICIADO")="NÃO INICIADO",IF(B404&amp;C404=$J$9&amp;$I$12,"EM PROCESSO","NÃO INICIADO"),VLOOKUP(B404&amp;C404,SUPORTE!AA:AF,6,0)),"")</f>
        <v/>
      </c>
      <c r="I404" s="44"/>
      <c r="J404" s="32"/>
      <c r="K404" s="33"/>
      <c r="L404" s="34"/>
      <c r="M404" s="35"/>
      <c r="N404" s="36"/>
      <c r="O404" s="36" t="str">
        <f>IF(K404&lt;&gt;"",COUNTIFS(SUPORTE!$Q$5:$Q$2900,MENU!$M404,SUPORTE!$R$5:$R$2900,MENU!$I$9),"")</f>
        <v/>
      </c>
      <c r="P404" s="36" t="str">
        <f t="shared" si="16"/>
        <v/>
      </c>
      <c r="Q404" s="36" t="str">
        <f t="shared" si="17"/>
        <v/>
      </c>
    </row>
    <row r="405" spans="4:17" ht="15.9" x14ac:dyDescent="0.45">
      <c r="D405" s="15" t="str">
        <f>IF(B405&lt;&gt;"",IF(_xlfn.IFNA(VLOOKUP(B405&amp;C405,SUPORTE!AA:AA,1,0),"NÃO INICIADO")="NÃO INICIADO",IF(B405&amp;C405=$J$9&amp;$I$12,"EM PROCESSO","NÃO INICIADO"),VLOOKUP(B405&amp;C405,SUPORTE!AA:AF,6,0)),"")</f>
        <v/>
      </c>
      <c r="I405" s="44"/>
      <c r="J405" s="32"/>
      <c r="K405" s="33"/>
      <c r="L405" s="34"/>
      <c r="M405" s="35"/>
      <c r="N405" s="36"/>
      <c r="O405" s="36" t="str">
        <f>IF(K405&lt;&gt;"",COUNTIFS(SUPORTE!$Q$5:$Q$2900,MENU!$M405,SUPORTE!$R$5:$R$2900,MENU!$I$9),"")</f>
        <v/>
      </c>
      <c r="P405" s="36" t="str">
        <f t="shared" si="16"/>
        <v/>
      </c>
      <c r="Q405" s="36" t="str">
        <f t="shared" si="17"/>
        <v/>
      </c>
    </row>
    <row r="406" spans="4:17" ht="15.9" x14ac:dyDescent="0.45">
      <c r="D406" s="15" t="str">
        <f>IF(B406&lt;&gt;"",IF(_xlfn.IFNA(VLOOKUP(B406&amp;C406,SUPORTE!AA:AA,1,0),"NÃO INICIADO")="NÃO INICIADO",IF(B406&amp;C406=$J$9&amp;$I$12,"EM PROCESSO","NÃO INICIADO"),VLOOKUP(B406&amp;C406,SUPORTE!AA:AF,6,0)),"")</f>
        <v/>
      </c>
      <c r="I406" s="44"/>
      <c r="J406" s="32"/>
      <c r="K406" s="33"/>
      <c r="L406" s="34"/>
      <c r="M406" s="35"/>
      <c r="N406" s="36"/>
      <c r="O406" s="36" t="str">
        <f>IF(K406&lt;&gt;"",COUNTIFS(SUPORTE!$Q$5:$Q$2900,MENU!$M406,SUPORTE!$R$5:$R$2900,MENU!$I$9),"")</f>
        <v/>
      </c>
      <c r="P406" s="36" t="str">
        <f t="shared" si="16"/>
        <v/>
      </c>
      <c r="Q406" s="36" t="str">
        <f t="shared" si="17"/>
        <v/>
      </c>
    </row>
    <row r="407" spans="4:17" ht="15.9" x14ac:dyDescent="0.45">
      <c r="D407" s="15" t="str">
        <f>IF(B407&lt;&gt;"",IF(_xlfn.IFNA(VLOOKUP(B407&amp;C407,SUPORTE!AA:AA,1,0),"NÃO INICIADO")="NÃO INICIADO",IF(B407&amp;C407=$J$9&amp;$I$12,"EM PROCESSO","NÃO INICIADO"),VLOOKUP(B407&amp;C407,SUPORTE!AA:AF,6,0)),"")</f>
        <v/>
      </c>
      <c r="I407" s="44"/>
      <c r="J407" s="32"/>
      <c r="K407" s="33"/>
      <c r="L407" s="34"/>
      <c r="M407" s="35"/>
      <c r="N407" s="36"/>
      <c r="O407" s="36" t="str">
        <f>IF(K407&lt;&gt;"",COUNTIFS(SUPORTE!$Q$5:$Q$2900,MENU!$M407,SUPORTE!$R$5:$R$2900,MENU!$I$9),"")</f>
        <v/>
      </c>
      <c r="P407" s="36" t="str">
        <f t="shared" si="16"/>
        <v/>
      </c>
      <c r="Q407" s="36" t="str">
        <f t="shared" si="17"/>
        <v/>
      </c>
    </row>
    <row r="408" spans="4:17" ht="15.9" x14ac:dyDescent="0.45">
      <c r="D408" s="15" t="str">
        <f>IF(B408&lt;&gt;"",IF(_xlfn.IFNA(VLOOKUP(B408&amp;C408,SUPORTE!AA:AA,1,0),"NÃO INICIADO")="NÃO INICIADO",IF(B408&amp;C408=$J$9&amp;$I$12,"EM PROCESSO","NÃO INICIADO"),VLOOKUP(B408&amp;C408,SUPORTE!AA:AF,6,0)),"")</f>
        <v/>
      </c>
      <c r="I408" s="44"/>
      <c r="J408" s="32"/>
      <c r="K408" s="33"/>
      <c r="L408" s="34"/>
      <c r="M408" s="35"/>
      <c r="N408" s="36"/>
      <c r="O408" s="36" t="str">
        <f>IF(K408&lt;&gt;"",COUNTIFS(SUPORTE!$Q$5:$Q$2900,MENU!$M408,SUPORTE!$R$5:$R$2900,MENU!$I$9),"")</f>
        <v/>
      </c>
      <c r="P408" s="36" t="str">
        <f t="shared" si="16"/>
        <v/>
      </c>
      <c r="Q408" s="36" t="str">
        <f t="shared" si="17"/>
        <v/>
      </c>
    </row>
    <row r="409" spans="4:17" ht="15.9" x14ac:dyDescent="0.45">
      <c r="D409" s="15" t="str">
        <f>IF(B409&lt;&gt;"",IF(_xlfn.IFNA(VLOOKUP(B409&amp;C409,SUPORTE!AA:AA,1,0),"NÃO INICIADO")="NÃO INICIADO",IF(B409&amp;C409=$J$9&amp;$I$12,"EM PROCESSO","NÃO INICIADO"),VLOOKUP(B409&amp;C409,SUPORTE!AA:AF,6,0)),"")</f>
        <v/>
      </c>
      <c r="I409" s="44"/>
      <c r="J409" s="32"/>
      <c r="K409" s="33"/>
      <c r="L409" s="34"/>
      <c r="M409" s="35"/>
      <c r="N409" s="36"/>
      <c r="O409" s="36" t="str">
        <f>IF(K409&lt;&gt;"",COUNTIFS(SUPORTE!$Q$5:$Q$2900,MENU!$M409,SUPORTE!$R$5:$R$2900,MENU!$I$9),"")</f>
        <v/>
      </c>
      <c r="P409" s="36" t="str">
        <f t="shared" si="16"/>
        <v/>
      </c>
      <c r="Q409" s="36" t="str">
        <f t="shared" si="17"/>
        <v/>
      </c>
    </row>
    <row r="410" spans="4:17" ht="15.9" x14ac:dyDescent="0.45">
      <c r="D410" s="15" t="str">
        <f>IF(B410&lt;&gt;"",IF(_xlfn.IFNA(VLOOKUP(B410&amp;C410,SUPORTE!AA:AA,1,0),"NÃO INICIADO")="NÃO INICIADO",IF(B410&amp;C410=$J$9&amp;$I$12,"EM PROCESSO","NÃO INICIADO"),VLOOKUP(B410&amp;C410,SUPORTE!AA:AF,6,0)),"")</f>
        <v/>
      </c>
      <c r="I410" s="44"/>
      <c r="J410" s="32"/>
      <c r="K410" s="33"/>
      <c r="L410" s="34"/>
      <c r="M410" s="35"/>
      <c r="N410" s="36"/>
      <c r="O410" s="36" t="str">
        <f>IF(K410&lt;&gt;"",COUNTIFS(SUPORTE!$Q$5:$Q$2900,MENU!$M410,SUPORTE!$R$5:$R$2900,MENU!$I$9),"")</f>
        <v/>
      </c>
      <c r="P410" s="36" t="str">
        <f t="shared" si="16"/>
        <v/>
      </c>
      <c r="Q410" s="36" t="str">
        <f t="shared" si="17"/>
        <v/>
      </c>
    </row>
    <row r="411" spans="4:17" ht="15.9" x14ac:dyDescent="0.45">
      <c r="D411" s="15" t="str">
        <f>IF(B411&lt;&gt;"",IF(_xlfn.IFNA(VLOOKUP(B411&amp;C411,SUPORTE!AA:AA,1,0),"NÃO INICIADO")="NÃO INICIADO",IF(B411&amp;C411=$J$9&amp;$I$12,"EM PROCESSO","NÃO INICIADO"),VLOOKUP(B411&amp;C411,SUPORTE!AA:AF,6,0)),"")</f>
        <v/>
      </c>
      <c r="I411" s="44"/>
      <c r="J411" s="32"/>
      <c r="K411" s="33"/>
      <c r="L411" s="34"/>
      <c r="M411" s="35"/>
      <c r="N411" s="36"/>
      <c r="O411" s="36" t="str">
        <f>IF(K411&lt;&gt;"",COUNTIFS(SUPORTE!$Q$5:$Q$2900,MENU!$M411,SUPORTE!$R$5:$R$2900,MENU!$I$9),"")</f>
        <v/>
      </c>
      <c r="P411" s="36" t="str">
        <f t="shared" si="16"/>
        <v/>
      </c>
      <c r="Q411" s="36" t="str">
        <f t="shared" si="17"/>
        <v/>
      </c>
    </row>
    <row r="412" spans="4:17" x14ac:dyDescent="0.4">
      <c r="D412" s="15" t="str">
        <f>IF(B412&lt;&gt;"",IF(_xlfn.IFNA(VLOOKUP(B412&amp;C412,SUPORTE!AA:AA,1,0),"NÃO INICIADO")="NÃO INICIADO",IF(B412&amp;C412=$J$9&amp;$I$12,"EM PROCESSO","NÃO INICIADO"),VLOOKUP(B412&amp;C412,SUPORTE!AA:AF,6,0)),"")</f>
        <v/>
      </c>
      <c r="I412" s="46"/>
      <c r="J412" s="32"/>
      <c r="K412" s="32"/>
      <c r="L412" s="32"/>
      <c r="M412" s="32"/>
      <c r="N412" s="32"/>
      <c r="O412" s="32"/>
      <c r="P412" s="32"/>
      <c r="Q412" s="32"/>
    </row>
    <row r="413" spans="4:17" x14ac:dyDescent="0.4">
      <c r="D413" s="15" t="str">
        <f>IF(B413&lt;&gt;"",IF(_xlfn.IFNA(VLOOKUP(B413&amp;C413,SUPORTE!AA:AA,1,0),"NÃO INICIADO")="NÃO INICIADO",IF(B413&amp;C413=$J$9&amp;$I$12,"EM PROCESSO","NÃO INICIADO"),VLOOKUP(B413&amp;C413,SUPORTE!AA:AF,6,0)),"")</f>
        <v/>
      </c>
      <c r="I413" s="46"/>
      <c r="J413" s="32"/>
      <c r="K413" s="32"/>
      <c r="L413" s="32"/>
      <c r="M413" s="32"/>
      <c r="N413" s="32"/>
      <c r="O413" s="32"/>
      <c r="P413" s="32"/>
      <c r="Q413" s="32"/>
    </row>
    <row r="414" spans="4:17" x14ac:dyDescent="0.4">
      <c r="D414" s="15" t="str">
        <f>IF(B414&lt;&gt;"",IF(_xlfn.IFNA(VLOOKUP(B414&amp;C414,SUPORTE!AA:AA,1,0),"NÃO INICIADO")="NÃO INICIADO",IF(B414&amp;C414=$J$9&amp;$I$12,"EM PROCESSO","NÃO INICIADO"),VLOOKUP(B414&amp;C414,SUPORTE!AA:AF,6,0)),"")</f>
        <v/>
      </c>
      <c r="I414" s="46"/>
      <c r="J414" s="32"/>
      <c r="K414" s="32"/>
      <c r="L414" s="32"/>
      <c r="M414" s="32"/>
      <c r="N414" s="32"/>
      <c r="O414" s="32"/>
      <c r="P414" s="32"/>
      <c r="Q414" s="32"/>
    </row>
    <row r="415" spans="4:17" x14ac:dyDescent="0.4">
      <c r="D415" s="15" t="str">
        <f>IF(B415&lt;&gt;"",IF(_xlfn.IFNA(VLOOKUP(B415&amp;C415,SUPORTE!AA:AA,1,0),"NÃO INICIADO")="NÃO INICIADO",IF(B415&amp;C415=$J$9&amp;$I$12,"EM PROCESSO","NÃO INICIADO"),VLOOKUP(B415&amp;C415,SUPORTE!AA:AF,6,0)),"")</f>
        <v/>
      </c>
      <c r="I415" s="46"/>
      <c r="J415" s="32"/>
      <c r="K415" s="32"/>
      <c r="L415" s="32"/>
      <c r="M415" s="32"/>
      <c r="N415" s="32"/>
      <c r="O415" s="32"/>
      <c r="P415" s="32"/>
      <c r="Q415" s="32"/>
    </row>
    <row r="416" spans="4:17" x14ac:dyDescent="0.4">
      <c r="D416" s="15" t="str">
        <f>IF(B416&lt;&gt;"",IF(_xlfn.IFNA(VLOOKUP(B416&amp;C416,SUPORTE!AA:AA,1,0),"NÃO INICIADO")="NÃO INICIADO",IF(B416&amp;C416=$J$9&amp;$I$12,"EM PROCESSO","NÃO INICIADO"),VLOOKUP(B416&amp;C416,SUPORTE!AA:AF,6,0)),"")</f>
        <v/>
      </c>
      <c r="I416" s="46"/>
      <c r="J416" s="32"/>
      <c r="K416" s="32"/>
      <c r="L416" s="32"/>
      <c r="M416" s="32"/>
      <c r="N416" s="32"/>
      <c r="O416" s="32"/>
      <c r="P416" s="32"/>
      <c r="Q416" s="32"/>
    </row>
    <row r="417" spans="4:17" x14ac:dyDescent="0.4">
      <c r="D417" s="15" t="str">
        <f>IF(B417&lt;&gt;"",IF(_xlfn.IFNA(VLOOKUP(B417&amp;C417,SUPORTE!AA:AA,1,0),"NÃO INICIADO")="NÃO INICIADO",IF(B417&amp;C417=$J$9&amp;$I$12,"EM PROCESSO","NÃO INICIADO"),VLOOKUP(B417&amp;C417,SUPORTE!AA:AF,6,0)),"")</f>
        <v/>
      </c>
      <c r="I417" s="46"/>
      <c r="J417" s="32"/>
      <c r="K417" s="32"/>
      <c r="L417" s="32"/>
      <c r="M417" s="32"/>
      <c r="N417" s="32"/>
      <c r="O417" s="32"/>
      <c r="P417" s="32"/>
      <c r="Q417" s="32"/>
    </row>
    <row r="418" spans="4:17" x14ac:dyDescent="0.4">
      <c r="D418" s="15" t="str">
        <f>IF(B418&lt;&gt;"",IF(_xlfn.IFNA(VLOOKUP(B418&amp;C418,SUPORTE!AA:AA,1,0),"NÃO INICIADO")="NÃO INICIADO",IF(B418&amp;C418=$J$9&amp;$I$12,"EM PROCESSO","NÃO INICIADO"),VLOOKUP(B418&amp;C418,SUPORTE!AA:AF,6,0)),"")</f>
        <v/>
      </c>
      <c r="I418" s="46"/>
      <c r="J418" s="32"/>
      <c r="K418" s="32"/>
      <c r="L418" s="32"/>
      <c r="M418" s="32"/>
      <c r="N418" s="32"/>
      <c r="O418" s="32"/>
      <c r="P418" s="32"/>
      <c r="Q418" s="32"/>
    </row>
    <row r="419" spans="4:17" x14ac:dyDescent="0.4">
      <c r="D419" s="15" t="str">
        <f>IF(B419&lt;&gt;"",IF(_xlfn.IFNA(VLOOKUP(B419&amp;C419,SUPORTE!AA:AA,1,0),"NÃO INICIADO")="NÃO INICIADO",IF(B419&amp;C419=$J$9&amp;$I$12,"EM PROCESSO","NÃO INICIADO"),VLOOKUP(B419&amp;C419,SUPORTE!AA:AF,6,0)),"")</f>
        <v/>
      </c>
      <c r="I419" s="46"/>
      <c r="J419" s="32"/>
      <c r="K419" s="32"/>
      <c r="L419" s="32"/>
      <c r="M419" s="32"/>
      <c r="N419" s="32"/>
      <c r="O419" s="32"/>
      <c r="P419" s="32"/>
      <c r="Q419" s="32"/>
    </row>
    <row r="420" spans="4:17" x14ac:dyDescent="0.4">
      <c r="D420" s="15" t="str">
        <f>IF(B420&lt;&gt;"",IF(_xlfn.IFNA(VLOOKUP(B420&amp;C420,SUPORTE!AA:AA,1,0),"NÃO INICIADO")="NÃO INICIADO",IF(B420&amp;C420=$J$9&amp;$I$12,"EM PROCESSO","NÃO INICIADO"),VLOOKUP(B420&amp;C420,SUPORTE!AA:AF,6,0)),"")</f>
        <v/>
      </c>
      <c r="I420" s="46"/>
      <c r="J420" s="32"/>
      <c r="K420" s="32"/>
      <c r="L420" s="32"/>
      <c r="M420" s="32"/>
      <c r="N420" s="32"/>
      <c r="O420" s="32"/>
      <c r="P420" s="32"/>
      <c r="Q420" s="32"/>
    </row>
    <row r="421" spans="4:17" x14ac:dyDescent="0.4">
      <c r="D421" s="15" t="str">
        <f>IF(B421&lt;&gt;"",IF(_xlfn.IFNA(VLOOKUP(B421&amp;C421,SUPORTE!AA:AA,1,0),"NÃO INICIADO")="NÃO INICIADO",IF(B421&amp;C421=$J$9&amp;$I$12,"EM PROCESSO","NÃO INICIADO"),VLOOKUP(B421&amp;C421,SUPORTE!AA:AF,6,0)),"")</f>
        <v/>
      </c>
      <c r="I421" s="46"/>
      <c r="J421" s="32"/>
      <c r="K421" s="32"/>
      <c r="L421" s="32"/>
      <c r="M421" s="32"/>
      <c r="N421" s="32"/>
      <c r="O421" s="32"/>
      <c r="P421" s="32"/>
      <c r="Q421" s="32"/>
    </row>
    <row r="422" spans="4:17" x14ac:dyDescent="0.4">
      <c r="D422" s="15" t="str">
        <f>IF(B422&lt;&gt;"",IF(_xlfn.IFNA(VLOOKUP(B422&amp;C422,SUPORTE!AA:AA,1,0),"NÃO INICIADO")="NÃO INICIADO",IF(B422&amp;C422=$J$9&amp;$I$12,"EM PROCESSO","NÃO INICIADO"),VLOOKUP(B422&amp;C422,SUPORTE!AA:AF,6,0)),"")</f>
        <v/>
      </c>
      <c r="I422" s="46"/>
      <c r="J422" s="32"/>
      <c r="K422" s="32"/>
      <c r="L422" s="32"/>
      <c r="M422" s="32"/>
      <c r="N422" s="32"/>
      <c r="O422" s="32"/>
      <c r="P422" s="32"/>
      <c r="Q422" s="32"/>
    </row>
    <row r="423" spans="4:17" x14ac:dyDescent="0.4">
      <c r="D423" s="15" t="str">
        <f>IF(B423&lt;&gt;"",IF(_xlfn.IFNA(VLOOKUP(B423&amp;C423,SUPORTE!AA:AA,1,0),"NÃO INICIADO")="NÃO INICIADO",IF(B423&amp;C423=$J$9&amp;$I$12,"EM PROCESSO","NÃO INICIADO"),VLOOKUP(B423&amp;C423,SUPORTE!AA:AF,6,0)),"")</f>
        <v/>
      </c>
      <c r="I423" s="46"/>
      <c r="J423" s="32"/>
      <c r="K423" s="32"/>
      <c r="L423" s="32"/>
      <c r="M423" s="32"/>
      <c r="N423" s="32"/>
      <c r="O423" s="32"/>
      <c r="P423" s="32"/>
      <c r="Q423" s="32"/>
    </row>
    <row r="424" spans="4:17" x14ac:dyDescent="0.4">
      <c r="D424" s="15" t="str">
        <f>IF(B424&lt;&gt;"",IF(_xlfn.IFNA(VLOOKUP(B424&amp;C424,SUPORTE!AA:AA,1,0),"NÃO INICIADO")="NÃO INICIADO",IF(B424&amp;C424=$J$9&amp;$I$12,"EM PROCESSO","NÃO INICIADO"),VLOOKUP(B424&amp;C424,SUPORTE!AA:AF,6,0)),"")</f>
        <v/>
      </c>
      <c r="I424" s="46"/>
      <c r="J424" s="32"/>
      <c r="K424" s="32"/>
      <c r="L424" s="32"/>
      <c r="M424" s="32"/>
      <c r="N424" s="32"/>
      <c r="O424" s="32"/>
      <c r="P424" s="32"/>
      <c r="Q424" s="32"/>
    </row>
    <row r="425" spans="4:17" x14ac:dyDescent="0.4">
      <c r="D425" s="15" t="str">
        <f>IF(B425&lt;&gt;"",IF(_xlfn.IFNA(VLOOKUP(B425&amp;C425,SUPORTE!AA:AA,1,0),"NÃO INICIADO")="NÃO INICIADO",IF(B425&amp;C425=$J$9&amp;$I$12,"EM PROCESSO","NÃO INICIADO"),VLOOKUP(B425&amp;C425,SUPORTE!AA:AF,6,0)),"")</f>
        <v/>
      </c>
      <c r="I425" s="46"/>
      <c r="J425" s="32"/>
      <c r="K425" s="32"/>
      <c r="L425" s="32"/>
      <c r="M425" s="32"/>
      <c r="N425" s="32"/>
      <c r="O425" s="32"/>
      <c r="P425" s="32"/>
      <c r="Q425" s="32"/>
    </row>
    <row r="426" spans="4:17" x14ac:dyDescent="0.4">
      <c r="D426" s="15" t="str">
        <f>IF(B426&lt;&gt;"",IF(_xlfn.IFNA(VLOOKUP(B426&amp;C426,SUPORTE!AA:AA,1,0),"NÃO INICIADO")="NÃO INICIADO",IF(B426&amp;C426=$J$9&amp;$I$12,"EM PROCESSO","NÃO INICIADO"),VLOOKUP(B426&amp;C426,SUPORTE!AA:AF,6,0)),"")</f>
        <v/>
      </c>
      <c r="I426" s="46"/>
      <c r="J426" s="32"/>
      <c r="K426" s="32"/>
      <c r="L426" s="32"/>
      <c r="M426" s="32"/>
      <c r="N426" s="32"/>
      <c r="O426" s="32"/>
      <c r="P426" s="32"/>
      <c r="Q426" s="32"/>
    </row>
    <row r="427" spans="4:17" x14ac:dyDescent="0.4">
      <c r="D427" s="15" t="str">
        <f>IF(B427&lt;&gt;"",IF(_xlfn.IFNA(VLOOKUP(B427&amp;C427,SUPORTE!AA:AA,1,0),"NÃO INICIADO")="NÃO INICIADO",IF(B427&amp;C427=$J$9&amp;$I$12,"EM PROCESSO","NÃO INICIADO"),VLOOKUP(B427&amp;C427,SUPORTE!AA:AF,6,0)),"")</f>
        <v/>
      </c>
      <c r="I427" s="46"/>
      <c r="J427" s="32"/>
      <c r="K427" s="32"/>
      <c r="L427" s="32"/>
      <c r="M427" s="32"/>
      <c r="N427" s="32"/>
      <c r="O427" s="32"/>
      <c r="P427" s="32"/>
      <c r="Q427" s="32"/>
    </row>
    <row r="428" spans="4:17" x14ac:dyDescent="0.4">
      <c r="D428" s="15" t="str">
        <f>IF(B428&lt;&gt;"",IF(_xlfn.IFNA(VLOOKUP(B428&amp;C428,SUPORTE!AA:AA,1,0),"NÃO INICIADO")="NÃO INICIADO",IF(B428&amp;C428=$J$9&amp;$I$12,"EM PROCESSO","NÃO INICIADO"),VLOOKUP(B428&amp;C428,SUPORTE!AA:AF,6,0)),"")</f>
        <v/>
      </c>
      <c r="I428" s="46"/>
      <c r="J428" s="32"/>
      <c r="K428" s="32"/>
      <c r="L428" s="32"/>
      <c r="M428" s="32"/>
      <c r="N428" s="32"/>
      <c r="O428" s="32"/>
      <c r="P428" s="32"/>
      <c r="Q428" s="32"/>
    </row>
    <row r="429" spans="4:17" x14ac:dyDescent="0.4">
      <c r="D429" s="15" t="str">
        <f>IF(B429&lt;&gt;"",IF(_xlfn.IFNA(VLOOKUP(B429&amp;C429,SUPORTE!AA:AA,1,0),"NÃO INICIADO")="NÃO INICIADO",IF(B429&amp;C429=$J$9&amp;$I$12,"EM PROCESSO","NÃO INICIADO"),VLOOKUP(B429&amp;C429,SUPORTE!AA:AF,6,0)),"")</f>
        <v/>
      </c>
      <c r="I429" s="46"/>
      <c r="J429" s="32"/>
      <c r="K429" s="32"/>
      <c r="L429" s="32"/>
      <c r="M429" s="32"/>
      <c r="N429" s="32"/>
      <c r="O429" s="32"/>
      <c r="P429" s="32"/>
      <c r="Q429" s="32"/>
    </row>
    <row r="430" spans="4:17" x14ac:dyDescent="0.4">
      <c r="D430" s="15" t="str">
        <f>IF(B430&lt;&gt;"",IF(_xlfn.IFNA(VLOOKUP(B430&amp;C430,SUPORTE!AA:AA,1,0),"NÃO INICIADO")="NÃO INICIADO",IF(B430&amp;C430=$J$9&amp;$I$12,"EM PROCESSO","NÃO INICIADO"),VLOOKUP(B430&amp;C430,SUPORTE!AA:AF,6,0)),"")</f>
        <v/>
      </c>
      <c r="I430" s="46"/>
      <c r="J430" s="32"/>
      <c r="K430" s="32"/>
      <c r="L430" s="32"/>
      <c r="M430" s="32"/>
      <c r="N430" s="32"/>
      <c r="O430" s="32"/>
      <c r="P430" s="32"/>
      <c r="Q430" s="32"/>
    </row>
    <row r="431" spans="4:17" x14ac:dyDescent="0.4">
      <c r="D431" s="15" t="str">
        <f>IF(B431&lt;&gt;"",IF(_xlfn.IFNA(VLOOKUP(B431&amp;C431,SUPORTE!AA:AA,1,0),"NÃO INICIADO")="NÃO INICIADO",IF(B431&amp;C431=$J$9&amp;$I$12,"EM PROCESSO","NÃO INICIADO"),VLOOKUP(B431&amp;C431,SUPORTE!AA:AF,6,0)),"")</f>
        <v/>
      </c>
      <c r="I431" s="46"/>
      <c r="J431" s="32"/>
      <c r="K431" s="32"/>
      <c r="L431" s="32"/>
      <c r="M431" s="32"/>
      <c r="N431" s="32"/>
      <c r="O431" s="32"/>
      <c r="P431" s="32"/>
      <c r="Q431" s="32"/>
    </row>
    <row r="432" spans="4:17" x14ac:dyDescent="0.4">
      <c r="D432" s="15" t="str">
        <f>IF(B432&lt;&gt;"",IF(_xlfn.IFNA(VLOOKUP(B432&amp;C432,SUPORTE!AA:AA,1,0),"NÃO INICIADO")="NÃO INICIADO",IF(B432&amp;C432=$J$9&amp;$I$12,"EM PROCESSO","NÃO INICIADO"),VLOOKUP(B432&amp;C432,SUPORTE!AA:AF,6,0)),"")</f>
        <v/>
      </c>
      <c r="I432" s="46"/>
      <c r="J432" s="32"/>
      <c r="K432" s="32"/>
      <c r="L432" s="32"/>
      <c r="M432" s="32"/>
      <c r="N432" s="32"/>
      <c r="O432" s="32"/>
      <c r="P432" s="32"/>
      <c r="Q432" s="32"/>
    </row>
    <row r="433" spans="4:17" x14ac:dyDescent="0.4">
      <c r="D433" s="15" t="str">
        <f>IF(B433&lt;&gt;"",IF(_xlfn.IFNA(VLOOKUP(B433&amp;C433,SUPORTE!AA:AA,1,0),"NÃO INICIADO")="NÃO INICIADO",IF(B433&amp;C433=$J$9&amp;$I$12,"EM PROCESSO","NÃO INICIADO"),VLOOKUP(B433&amp;C433,SUPORTE!AA:AF,6,0)),"")</f>
        <v/>
      </c>
      <c r="I433" s="46"/>
      <c r="J433" s="32"/>
      <c r="K433" s="32"/>
      <c r="L433" s="32"/>
      <c r="M433" s="32"/>
      <c r="N433" s="32"/>
      <c r="O433" s="32"/>
      <c r="P433" s="32"/>
      <c r="Q433" s="32"/>
    </row>
    <row r="434" spans="4:17" x14ac:dyDescent="0.4">
      <c r="D434" s="15" t="str">
        <f>IF(B434&lt;&gt;"",IF(_xlfn.IFNA(VLOOKUP(B434&amp;C434,SUPORTE!AA:AA,1,0),"NÃO INICIADO")="NÃO INICIADO",IF(B434&amp;C434=$J$9&amp;$I$12,"EM PROCESSO","NÃO INICIADO"),VLOOKUP(B434&amp;C434,SUPORTE!AA:AF,6,0)),"")</f>
        <v/>
      </c>
      <c r="I434" s="46"/>
      <c r="J434" s="32"/>
      <c r="K434" s="32"/>
      <c r="L434" s="32"/>
      <c r="M434" s="32"/>
      <c r="N434" s="32"/>
      <c r="O434" s="32"/>
      <c r="P434" s="32"/>
      <c r="Q434" s="32"/>
    </row>
    <row r="435" spans="4:17" x14ac:dyDescent="0.4">
      <c r="D435" s="15" t="str">
        <f>IF(B435&lt;&gt;"",IF(_xlfn.IFNA(VLOOKUP(B435&amp;C435,SUPORTE!AA:AA,1,0),"NÃO INICIADO")="NÃO INICIADO",IF(B435&amp;C435=$J$9&amp;$I$12,"EM PROCESSO","NÃO INICIADO"),VLOOKUP(B435&amp;C435,SUPORTE!AA:AF,6,0)),"")</f>
        <v/>
      </c>
      <c r="I435" s="46"/>
      <c r="J435" s="32"/>
      <c r="K435" s="32"/>
      <c r="L435" s="32"/>
      <c r="M435" s="32"/>
      <c r="N435" s="32"/>
      <c r="O435" s="32"/>
      <c r="P435" s="32"/>
      <c r="Q435" s="32"/>
    </row>
    <row r="436" spans="4:17" x14ac:dyDescent="0.4">
      <c r="D436" s="15" t="str">
        <f>IF(B436&lt;&gt;"",IF(_xlfn.IFNA(VLOOKUP(B436&amp;C436,SUPORTE!AA:AA,1,0),"NÃO INICIADO")="NÃO INICIADO",IF(B436&amp;C436=$J$9&amp;$I$12,"EM PROCESSO","NÃO INICIADO"),VLOOKUP(B436&amp;C436,SUPORTE!AA:AF,6,0)),"")</f>
        <v/>
      </c>
      <c r="I436" s="46"/>
      <c r="J436" s="32"/>
      <c r="K436" s="32"/>
      <c r="L436" s="32"/>
      <c r="M436" s="32"/>
      <c r="N436" s="32"/>
      <c r="O436" s="32"/>
      <c r="P436" s="32"/>
      <c r="Q436" s="32"/>
    </row>
    <row r="437" spans="4:17" x14ac:dyDescent="0.4">
      <c r="D437" s="15" t="str">
        <f>IF(B437&lt;&gt;"",IF(_xlfn.IFNA(VLOOKUP(B437&amp;C437,SUPORTE!AA:AA,1,0),"NÃO INICIADO")="NÃO INICIADO",IF(B437&amp;C437=$J$9&amp;$I$12,"EM PROCESSO","NÃO INICIADO"),VLOOKUP(B437&amp;C437,SUPORTE!AA:AF,6,0)),"")</f>
        <v/>
      </c>
      <c r="I437" s="46"/>
      <c r="J437" s="32"/>
      <c r="K437" s="32"/>
      <c r="L437" s="32"/>
      <c r="M437" s="32"/>
      <c r="N437" s="32"/>
      <c r="O437" s="32"/>
      <c r="P437" s="32"/>
      <c r="Q437" s="32"/>
    </row>
    <row r="438" spans="4:17" x14ac:dyDescent="0.4">
      <c r="D438" s="15" t="str">
        <f>IF(B438&lt;&gt;"",IF(_xlfn.IFNA(VLOOKUP(B438&amp;C438,SUPORTE!AA:AA,1,0),"NÃO INICIADO")="NÃO INICIADO",IF(B438&amp;C438=$J$9&amp;$I$12,"EM PROCESSO","NÃO INICIADO"),VLOOKUP(B438&amp;C438,SUPORTE!AA:AF,6,0)),"")</f>
        <v/>
      </c>
      <c r="I438" s="46"/>
      <c r="J438" s="32"/>
      <c r="K438" s="32"/>
      <c r="L438" s="32"/>
      <c r="M438" s="32"/>
      <c r="N438" s="32"/>
      <c r="O438" s="32"/>
      <c r="P438" s="32"/>
      <c r="Q438" s="32"/>
    </row>
    <row r="439" spans="4:17" x14ac:dyDescent="0.4">
      <c r="D439" s="15" t="str">
        <f>IF(B439&lt;&gt;"",IF(_xlfn.IFNA(VLOOKUP(B439&amp;C439,SUPORTE!AA:AA,1,0),"NÃO INICIADO")="NÃO INICIADO",IF(B439&amp;C439=$J$9&amp;$I$12,"EM PROCESSO","NÃO INICIADO"),VLOOKUP(B439&amp;C439,SUPORTE!AA:AF,6,0)),"")</f>
        <v/>
      </c>
      <c r="I439" s="46"/>
      <c r="J439" s="32"/>
      <c r="K439" s="32"/>
      <c r="L439" s="32"/>
      <c r="M439" s="32"/>
      <c r="N439" s="32"/>
      <c r="O439" s="32"/>
      <c r="P439" s="32"/>
      <c r="Q439" s="32"/>
    </row>
    <row r="440" spans="4:17" x14ac:dyDescent="0.4">
      <c r="D440" s="15" t="str">
        <f>IF(B440&lt;&gt;"",IF(_xlfn.IFNA(VLOOKUP(B440&amp;C440,SUPORTE!AA:AA,1,0),"NÃO INICIADO")="NÃO INICIADO",IF(B440&amp;C440=$J$9&amp;$I$12,"EM PROCESSO","NÃO INICIADO"),VLOOKUP(B440&amp;C440,SUPORTE!AA:AF,6,0)),"")</f>
        <v/>
      </c>
      <c r="I440" s="46"/>
      <c r="J440" s="32"/>
      <c r="K440" s="32"/>
      <c r="L440" s="32"/>
      <c r="M440" s="32"/>
      <c r="N440" s="32"/>
      <c r="O440" s="32"/>
      <c r="P440" s="32"/>
      <c r="Q440" s="32"/>
    </row>
    <row r="441" spans="4:17" x14ac:dyDescent="0.4">
      <c r="D441" s="15" t="str">
        <f>IF(B441&lt;&gt;"",IF(_xlfn.IFNA(VLOOKUP(B441&amp;C441,SUPORTE!AA:AA,1,0),"NÃO INICIADO")="NÃO INICIADO",IF(B441&amp;C441=$J$9&amp;$I$12,"EM PROCESSO","NÃO INICIADO"),VLOOKUP(B441&amp;C441,SUPORTE!AA:AF,6,0)),"")</f>
        <v/>
      </c>
      <c r="I441" s="46"/>
      <c r="J441" s="32"/>
      <c r="K441" s="32"/>
      <c r="L441" s="32"/>
      <c r="M441" s="32"/>
      <c r="N441" s="32"/>
      <c r="O441" s="32"/>
      <c r="P441" s="32"/>
      <c r="Q441" s="32"/>
    </row>
    <row r="442" spans="4:17" x14ac:dyDescent="0.4">
      <c r="D442" s="15" t="str">
        <f>IF(B442&lt;&gt;"",IF(_xlfn.IFNA(VLOOKUP(B442&amp;C442,SUPORTE!AA:AA,1,0),"NÃO INICIADO")="NÃO INICIADO",IF(B442&amp;C442=$J$9&amp;$I$12,"EM PROCESSO","NÃO INICIADO"),VLOOKUP(B442&amp;C442,SUPORTE!AA:AF,6,0)),"")</f>
        <v/>
      </c>
      <c r="I442" s="46"/>
      <c r="J442" s="32"/>
      <c r="K442" s="32"/>
      <c r="L442" s="32"/>
      <c r="M442" s="32"/>
      <c r="N442" s="32"/>
      <c r="O442" s="32"/>
      <c r="P442" s="32"/>
      <c r="Q442" s="32"/>
    </row>
    <row r="443" spans="4:17" x14ac:dyDescent="0.4">
      <c r="D443" s="15" t="str">
        <f>IF(B443&lt;&gt;"",IF(_xlfn.IFNA(VLOOKUP(B443&amp;C443,SUPORTE!AA:AA,1,0),"NÃO INICIADO")="NÃO INICIADO",IF(B443&amp;C443=$J$9&amp;$I$12,"EM PROCESSO","NÃO INICIADO"),VLOOKUP(B443&amp;C443,SUPORTE!AA:AF,6,0)),"")</f>
        <v/>
      </c>
      <c r="I443" s="46"/>
      <c r="J443" s="32"/>
      <c r="K443" s="32"/>
      <c r="L443" s="32"/>
      <c r="M443" s="32"/>
      <c r="N443" s="32"/>
      <c r="O443" s="32"/>
      <c r="P443" s="32"/>
      <c r="Q443" s="32"/>
    </row>
    <row r="444" spans="4:17" x14ac:dyDescent="0.4">
      <c r="D444" s="15" t="str">
        <f>IF(B444&lt;&gt;"",IF(_xlfn.IFNA(VLOOKUP(B444&amp;C444,SUPORTE!AA:AA,1,0),"NÃO INICIADO")="NÃO INICIADO",IF(B444&amp;C444=$J$9&amp;$I$12,"EM PROCESSO","NÃO INICIADO"),VLOOKUP(B444&amp;C444,SUPORTE!AA:AF,6,0)),"")</f>
        <v/>
      </c>
      <c r="I444" s="46"/>
      <c r="J444" s="32"/>
      <c r="K444" s="32"/>
      <c r="L444" s="32"/>
      <c r="M444" s="32"/>
      <c r="N444" s="32"/>
      <c r="O444" s="32"/>
      <c r="P444" s="32"/>
      <c r="Q444" s="32"/>
    </row>
    <row r="445" spans="4:17" x14ac:dyDescent="0.4">
      <c r="D445" s="15" t="str">
        <f>IF(B445&lt;&gt;"",IF(_xlfn.IFNA(VLOOKUP(B445&amp;C445,SUPORTE!AA:AA,1,0),"NÃO INICIADO")="NÃO INICIADO",IF(B445&amp;C445=$J$9&amp;$I$12,"EM PROCESSO","NÃO INICIADO"),VLOOKUP(B445&amp;C445,SUPORTE!AA:AF,6,0)),"")</f>
        <v/>
      </c>
      <c r="I445" s="46"/>
      <c r="J445" s="32"/>
      <c r="K445" s="32"/>
      <c r="L445" s="32"/>
      <c r="M445" s="32"/>
      <c r="N445" s="32"/>
      <c r="O445" s="32"/>
      <c r="P445" s="32"/>
      <c r="Q445" s="32"/>
    </row>
    <row r="446" spans="4:17" x14ac:dyDescent="0.4">
      <c r="D446" s="15" t="str">
        <f>IF(B446&lt;&gt;"",IF(_xlfn.IFNA(VLOOKUP(B446&amp;C446,SUPORTE!AA:AA,1,0),"NÃO INICIADO")="NÃO INICIADO",IF(B446&amp;C446=$J$9&amp;$I$12,"EM PROCESSO","NÃO INICIADO"),VLOOKUP(B446&amp;C446,SUPORTE!AA:AF,6,0)),"")</f>
        <v/>
      </c>
      <c r="I446" s="46"/>
      <c r="J446" s="32"/>
      <c r="K446" s="32"/>
      <c r="L446" s="32"/>
      <c r="M446" s="32"/>
      <c r="N446" s="32"/>
      <c r="O446" s="32"/>
      <c r="P446" s="32"/>
      <c r="Q446" s="32"/>
    </row>
    <row r="447" spans="4:17" x14ac:dyDescent="0.4">
      <c r="D447" s="15" t="str">
        <f>IF(B447&lt;&gt;"",IF(_xlfn.IFNA(VLOOKUP(B447&amp;C447,SUPORTE!AA:AA,1,0),"NÃO INICIADO")="NÃO INICIADO",IF(B447&amp;C447=$J$9&amp;$I$12,"EM PROCESSO","NÃO INICIADO"),VLOOKUP(B447&amp;C447,SUPORTE!AA:AF,6,0)),"")</f>
        <v/>
      </c>
      <c r="I447" s="46"/>
      <c r="J447" s="32"/>
      <c r="K447" s="32"/>
      <c r="L447" s="32"/>
      <c r="M447" s="32"/>
      <c r="N447" s="32"/>
      <c r="O447" s="32"/>
      <c r="P447" s="32"/>
      <c r="Q447" s="32"/>
    </row>
    <row r="448" spans="4:17" x14ac:dyDescent="0.4">
      <c r="D448" s="15" t="str">
        <f>IF(B448&lt;&gt;"",IF(_xlfn.IFNA(VLOOKUP(B448&amp;C448,SUPORTE!AA:AA,1,0),"NÃO INICIADO")="NÃO INICIADO",IF(B448&amp;C448=$J$9&amp;$I$12,"EM PROCESSO","NÃO INICIADO"),VLOOKUP(B448&amp;C448,SUPORTE!AA:AF,6,0)),"")</f>
        <v/>
      </c>
      <c r="I448" s="46"/>
      <c r="J448" s="32"/>
      <c r="K448" s="32"/>
      <c r="L448" s="32"/>
      <c r="M448" s="32"/>
      <c r="N448" s="32"/>
      <c r="O448" s="32"/>
      <c r="P448" s="32"/>
      <c r="Q448" s="32"/>
    </row>
    <row r="449" spans="4:17" x14ac:dyDescent="0.4">
      <c r="D449" s="15" t="str">
        <f>IF(B449&lt;&gt;"",IF(_xlfn.IFNA(VLOOKUP(B449&amp;C449,SUPORTE!AA:AA,1,0),"NÃO INICIADO")="NÃO INICIADO",IF(B449&amp;C449=$J$9&amp;$I$12,"EM PROCESSO","NÃO INICIADO"),VLOOKUP(B449&amp;C449,SUPORTE!AA:AF,6,0)),"")</f>
        <v/>
      </c>
      <c r="I449" s="46"/>
      <c r="J449" s="32"/>
      <c r="K449" s="32"/>
      <c r="L449" s="32"/>
      <c r="M449" s="32"/>
      <c r="N449" s="32"/>
      <c r="O449" s="32"/>
      <c r="P449" s="32"/>
      <c r="Q449" s="32"/>
    </row>
    <row r="450" spans="4:17" x14ac:dyDescent="0.4">
      <c r="D450" s="15" t="str">
        <f>IF(B450&lt;&gt;"",IF(_xlfn.IFNA(VLOOKUP(B450&amp;C450,SUPORTE!AA:AA,1,0),"NÃO INICIADO")="NÃO INICIADO",IF(B450&amp;C450=$J$9&amp;$I$12,"EM PROCESSO","NÃO INICIADO"),VLOOKUP(B450&amp;C450,SUPORTE!AA:AF,6,0)),"")</f>
        <v/>
      </c>
      <c r="I450" s="46"/>
      <c r="J450" s="32"/>
      <c r="K450" s="32"/>
      <c r="L450" s="32"/>
      <c r="M450" s="32"/>
      <c r="N450" s="32"/>
      <c r="O450" s="32"/>
      <c r="P450" s="32"/>
      <c r="Q450" s="32"/>
    </row>
    <row r="451" spans="4:17" x14ac:dyDescent="0.4">
      <c r="D451" s="15" t="str">
        <f>IF(B451&lt;&gt;"",IF(_xlfn.IFNA(VLOOKUP(B451&amp;C451,SUPORTE!AA:AA,1,0),"NÃO INICIADO")="NÃO INICIADO",IF(B451&amp;C451=$J$9&amp;$I$12,"EM PROCESSO","NÃO INICIADO"),VLOOKUP(B451&amp;C451,SUPORTE!AA:AF,6,0)),"")</f>
        <v/>
      </c>
      <c r="I451" s="46"/>
      <c r="J451" s="32"/>
      <c r="K451" s="32"/>
      <c r="L451" s="32"/>
      <c r="M451" s="32"/>
      <c r="N451" s="32"/>
      <c r="O451" s="32"/>
      <c r="P451" s="32"/>
      <c r="Q451" s="32"/>
    </row>
    <row r="452" spans="4:17" x14ac:dyDescent="0.4">
      <c r="D452" s="15" t="str">
        <f>IF(B452&lt;&gt;"",IF(_xlfn.IFNA(VLOOKUP(B452&amp;C452,SUPORTE!AA:AA,1,0),"NÃO INICIADO")="NÃO INICIADO",IF(B452&amp;C452=$J$9&amp;$I$12,"EM PROCESSO","NÃO INICIADO"),VLOOKUP(B452&amp;C452,SUPORTE!AA:AF,6,0)),"")</f>
        <v/>
      </c>
      <c r="I452" s="46"/>
      <c r="J452" s="32"/>
      <c r="K452" s="32"/>
      <c r="L452" s="32"/>
      <c r="M452" s="32"/>
      <c r="N452" s="32"/>
      <c r="O452" s="32"/>
      <c r="P452" s="32"/>
      <c r="Q452" s="32"/>
    </row>
    <row r="453" spans="4:17" x14ac:dyDescent="0.4">
      <c r="D453" s="15" t="str">
        <f>IF(B453&lt;&gt;"",IF(_xlfn.IFNA(VLOOKUP(B453&amp;C453,SUPORTE!AA:AA,1,0),"NÃO INICIADO")="NÃO INICIADO",IF(B453&amp;C453=$J$9&amp;$I$12,"EM PROCESSO","NÃO INICIADO"),VLOOKUP(B453&amp;C453,SUPORTE!AA:AF,6,0)),"")</f>
        <v/>
      </c>
      <c r="I453" s="46"/>
      <c r="J453" s="32"/>
      <c r="K453" s="32"/>
      <c r="L453" s="32"/>
      <c r="M453" s="32"/>
      <c r="N453" s="32"/>
      <c r="O453" s="32"/>
      <c r="P453" s="32"/>
      <c r="Q453" s="32"/>
    </row>
    <row r="454" spans="4:17" x14ac:dyDescent="0.4">
      <c r="D454" s="15" t="str">
        <f>IF(B454&lt;&gt;"",IF(_xlfn.IFNA(VLOOKUP(B454&amp;C454,SUPORTE!AA:AA,1,0),"NÃO INICIADO")="NÃO INICIADO",IF(B454&amp;C454=$J$9&amp;$I$12,"EM PROCESSO","NÃO INICIADO"),VLOOKUP(B454&amp;C454,SUPORTE!AA:AF,6,0)),"")</f>
        <v/>
      </c>
      <c r="I454" s="46"/>
      <c r="J454" s="32"/>
      <c r="K454" s="32"/>
      <c r="L454" s="32"/>
      <c r="M454" s="32"/>
      <c r="N454" s="32"/>
      <c r="O454" s="32"/>
      <c r="P454" s="32"/>
      <c r="Q454" s="32"/>
    </row>
    <row r="455" spans="4:17" x14ac:dyDescent="0.4">
      <c r="D455" s="15" t="str">
        <f>IF(B455&lt;&gt;"",IF(_xlfn.IFNA(VLOOKUP(B455&amp;C455,SUPORTE!AA:AA,1,0),"NÃO INICIADO")="NÃO INICIADO",IF(B455&amp;C455=$J$9&amp;$I$12,"EM PROCESSO","NÃO INICIADO"),VLOOKUP(B455&amp;C455,SUPORTE!AA:AF,6,0)),"")</f>
        <v/>
      </c>
      <c r="I455" s="46"/>
      <c r="J455" s="32"/>
      <c r="K455" s="32"/>
      <c r="L455" s="32"/>
      <c r="M455" s="32"/>
      <c r="N455" s="32"/>
      <c r="O455" s="32"/>
      <c r="P455" s="32"/>
      <c r="Q455" s="32"/>
    </row>
    <row r="456" spans="4:17" x14ac:dyDescent="0.4">
      <c r="D456" s="15" t="str">
        <f>IF(B456&lt;&gt;"",IF(_xlfn.IFNA(VLOOKUP(B456&amp;C456,SUPORTE!AA:AA,1,0),"NÃO INICIADO")="NÃO INICIADO",IF(B456&amp;C456=$J$9&amp;$I$12,"EM PROCESSO","NÃO INICIADO"),VLOOKUP(B456&amp;C456,SUPORTE!AA:AF,6,0)),"")</f>
        <v/>
      </c>
      <c r="I456" s="46"/>
      <c r="J456" s="32"/>
      <c r="K456" s="32"/>
      <c r="L456" s="32"/>
      <c r="M456" s="32"/>
      <c r="N456" s="32"/>
      <c r="O456" s="32"/>
      <c r="P456" s="32"/>
      <c r="Q456" s="32"/>
    </row>
    <row r="457" spans="4:17" x14ac:dyDescent="0.4">
      <c r="D457" s="15" t="str">
        <f>IF(B457&lt;&gt;"",IF(_xlfn.IFNA(VLOOKUP(B457&amp;C457,SUPORTE!AA:AA,1,0),"NÃO INICIADO")="NÃO INICIADO",IF(B457&amp;C457=$J$9&amp;$I$12,"EM PROCESSO","NÃO INICIADO"),VLOOKUP(B457&amp;C457,SUPORTE!AA:AF,6,0)),"")</f>
        <v/>
      </c>
      <c r="I457" s="46"/>
      <c r="J457" s="32"/>
      <c r="K457" s="32"/>
      <c r="L457" s="32"/>
      <c r="M457" s="32"/>
      <c r="N457" s="32"/>
      <c r="O457" s="32"/>
      <c r="P457" s="32"/>
      <c r="Q457" s="32"/>
    </row>
    <row r="458" spans="4:17" x14ac:dyDescent="0.4">
      <c r="D458" s="15" t="str">
        <f>IF(B458&lt;&gt;"",IF(_xlfn.IFNA(VLOOKUP(B458&amp;C458,SUPORTE!AA:AA,1,0),"NÃO INICIADO")="NÃO INICIADO",IF(B458&amp;C458=$J$9&amp;$I$12,"EM PROCESSO","NÃO INICIADO"),VLOOKUP(B458&amp;C458,SUPORTE!AA:AF,6,0)),"")</f>
        <v/>
      </c>
      <c r="I458" s="46"/>
      <c r="J458" s="32"/>
      <c r="K458" s="32"/>
      <c r="L458" s="32"/>
      <c r="M458" s="32"/>
      <c r="N458" s="32"/>
      <c r="O458" s="32"/>
      <c r="P458" s="32"/>
      <c r="Q458" s="32"/>
    </row>
    <row r="459" spans="4:17" x14ac:dyDescent="0.4">
      <c r="D459" s="15" t="str">
        <f>IF(B459&lt;&gt;"",IF(_xlfn.IFNA(VLOOKUP(B459&amp;C459,SUPORTE!AA:AA,1,0),"NÃO INICIADO")="NÃO INICIADO",IF(B459&amp;C459=$J$9&amp;$I$12,"EM PROCESSO","NÃO INICIADO"),VLOOKUP(B459&amp;C459,SUPORTE!AA:AF,6,0)),"")</f>
        <v/>
      </c>
      <c r="I459" s="46"/>
      <c r="J459" s="32"/>
      <c r="K459" s="32"/>
      <c r="L459" s="32"/>
      <c r="M459" s="32"/>
      <c r="N459" s="32"/>
      <c r="O459" s="32"/>
      <c r="P459" s="32"/>
      <c r="Q459" s="32"/>
    </row>
    <row r="460" spans="4:17" x14ac:dyDescent="0.4">
      <c r="D460" s="15" t="str">
        <f>IF(B460&lt;&gt;"",IF(_xlfn.IFNA(VLOOKUP(B460&amp;C460,SUPORTE!AA:AA,1,0),"NÃO INICIADO")="NÃO INICIADO",IF(B460&amp;C460=$J$9&amp;$I$12,"EM PROCESSO","NÃO INICIADO"),VLOOKUP(B460&amp;C460,SUPORTE!AA:AF,6,0)),"")</f>
        <v/>
      </c>
      <c r="I460" s="46"/>
      <c r="J460" s="32"/>
      <c r="K460" s="32"/>
      <c r="L460" s="32"/>
      <c r="M460" s="32"/>
      <c r="N460" s="32"/>
      <c r="O460" s="32"/>
      <c r="P460" s="32"/>
      <c r="Q460" s="32"/>
    </row>
    <row r="461" spans="4:17" x14ac:dyDescent="0.4">
      <c r="D461" s="15" t="str">
        <f>IF(B461&lt;&gt;"",IF(_xlfn.IFNA(VLOOKUP(B461&amp;C461,SUPORTE!AA:AA,1,0),"NÃO INICIADO")="NÃO INICIADO",IF(B461&amp;C461=$J$9&amp;$I$12,"EM PROCESSO","NÃO INICIADO"),VLOOKUP(B461&amp;C461,SUPORTE!AA:AF,6,0)),"")</f>
        <v/>
      </c>
      <c r="I461" s="46"/>
      <c r="J461" s="32"/>
      <c r="K461" s="32"/>
      <c r="L461" s="32"/>
      <c r="M461" s="32"/>
      <c r="N461" s="32"/>
      <c r="O461" s="32"/>
      <c r="P461" s="32"/>
      <c r="Q461" s="32"/>
    </row>
    <row r="462" spans="4:17" x14ac:dyDescent="0.4">
      <c r="D462" s="15" t="str">
        <f>IF(B462&lt;&gt;"",IF(_xlfn.IFNA(VLOOKUP(B462&amp;C462,SUPORTE!AA:AA,1,0),"NÃO INICIADO")="NÃO INICIADO",IF(B462&amp;C462=$J$9&amp;$I$12,"EM PROCESSO","NÃO INICIADO"),VLOOKUP(B462&amp;C462,SUPORTE!AA:AF,6,0)),"")</f>
        <v/>
      </c>
      <c r="I462" s="46"/>
      <c r="J462" s="32"/>
      <c r="K462" s="32"/>
      <c r="L462" s="32"/>
      <c r="M462" s="32"/>
      <c r="N462" s="32"/>
      <c r="O462" s="32"/>
      <c r="P462" s="32"/>
      <c r="Q462" s="32"/>
    </row>
    <row r="463" spans="4:17" x14ac:dyDescent="0.4">
      <c r="D463" s="15" t="str">
        <f>IF(B463&lt;&gt;"",IF(_xlfn.IFNA(VLOOKUP(B463&amp;C463,SUPORTE!AA:AA,1,0),"NÃO INICIADO")="NÃO INICIADO",IF(B463&amp;C463=$J$9&amp;$I$12,"EM PROCESSO","NÃO INICIADO"),VLOOKUP(B463&amp;C463,SUPORTE!AA:AF,6,0)),"")</f>
        <v/>
      </c>
      <c r="I463" s="46"/>
      <c r="J463" s="32"/>
      <c r="K463" s="32"/>
      <c r="L463" s="32"/>
      <c r="M463" s="32"/>
      <c r="N463" s="32"/>
      <c r="O463" s="32"/>
      <c r="P463" s="32"/>
      <c r="Q463" s="32"/>
    </row>
    <row r="464" spans="4:17" x14ac:dyDescent="0.4">
      <c r="D464" s="15" t="str">
        <f>IF(B464&lt;&gt;"",IF(_xlfn.IFNA(VLOOKUP(B464&amp;C464,SUPORTE!AA:AA,1,0),"NÃO INICIADO")="NÃO INICIADO",IF(B464&amp;C464=$J$9&amp;$I$12,"EM PROCESSO","NÃO INICIADO"),VLOOKUP(B464&amp;C464,SUPORTE!AA:AF,6,0)),"")</f>
        <v/>
      </c>
      <c r="I464" s="46"/>
      <c r="J464" s="32"/>
      <c r="K464" s="32"/>
      <c r="L464" s="32"/>
      <c r="M464" s="32"/>
      <c r="N464" s="32"/>
      <c r="O464" s="32"/>
      <c r="P464" s="32"/>
      <c r="Q464" s="32"/>
    </row>
    <row r="465" spans="4:17" x14ac:dyDescent="0.4">
      <c r="D465" s="15" t="str">
        <f>IF(B465&lt;&gt;"",IF(_xlfn.IFNA(VLOOKUP(B465&amp;C465,SUPORTE!AA:AA,1,0),"NÃO INICIADO")="NÃO INICIADO",IF(B465&amp;C465=$J$9&amp;$I$12,"EM PROCESSO","NÃO INICIADO"),VLOOKUP(B465&amp;C465,SUPORTE!AA:AF,6,0)),"")</f>
        <v/>
      </c>
      <c r="I465" s="46"/>
      <c r="J465" s="32"/>
      <c r="K465" s="32"/>
      <c r="L465" s="32"/>
      <c r="M465" s="32"/>
      <c r="N465" s="32"/>
      <c r="O465" s="32"/>
      <c r="P465" s="32"/>
      <c r="Q465" s="32"/>
    </row>
    <row r="466" spans="4:17" x14ac:dyDescent="0.4">
      <c r="D466" s="15" t="str">
        <f>IF(B466&lt;&gt;"",IF(_xlfn.IFNA(VLOOKUP(B466&amp;C466,SUPORTE!AA:AA,1,0),"NÃO INICIADO")="NÃO INICIADO",IF(B466&amp;C466=$J$9&amp;$I$12,"EM PROCESSO","NÃO INICIADO"),VLOOKUP(B466&amp;C466,SUPORTE!AA:AF,6,0)),"")</f>
        <v/>
      </c>
      <c r="I466" s="46"/>
      <c r="J466" s="32"/>
      <c r="K466" s="32"/>
      <c r="L466" s="32"/>
      <c r="M466" s="32"/>
      <c r="N466" s="32"/>
      <c r="O466" s="32"/>
      <c r="P466" s="32"/>
      <c r="Q466" s="32"/>
    </row>
    <row r="467" spans="4:17" x14ac:dyDescent="0.4">
      <c r="D467" s="15" t="str">
        <f>IF(B467&lt;&gt;"",IF(_xlfn.IFNA(VLOOKUP(B467&amp;C467,SUPORTE!AA:AA,1,0),"NÃO INICIADO")="NÃO INICIADO",IF(B467&amp;C467=$J$9&amp;$I$12,"EM PROCESSO","NÃO INICIADO"),VLOOKUP(B467&amp;C467,SUPORTE!AA:AF,6,0)),"")</f>
        <v/>
      </c>
      <c r="I467" s="46"/>
      <c r="J467" s="32"/>
      <c r="K467" s="32"/>
      <c r="L467" s="32"/>
      <c r="M467" s="32"/>
      <c r="N467" s="32"/>
      <c r="O467" s="32"/>
      <c r="P467" s="32"/>
      <c r="Q467" s="32"/>
    </row>
    <row r="468" spans="4:17" x14ac:dyDescent="0.4">
      <c r="D468" s="15" t="str">
        <f>IF(B468&lt;&gt;"",IF(_xlfn.IFNA(VLOOKUP(B468&amp;C468,SUPORTE!AA:AA,1,0),"NÃO INICIADO")="NÃO INICIADO",IF(B468&amp;C468=$J$9&amp;$I$12,"EM PROCESSO","NÃO INICIADO"),VLOOKUP(B468&amp;C468,SUPORTE!AA:AF,6,0)),"")</f>
        <v/>
      </c>
      <c r="I468" s="46"/>
      <c r="J468" s="32"/>
      <c r="K468" s="32"/>
      <c r="L468" s="32"/>
      <c r="M468" s="32"/>
      <c r="N468" s="32"/>
      <c r="O468" s="32"/>
      <c r="P468" s="32"/>
      <c r="Q468" s="32"/>
    </row>
    <row r="469" spans="4:17" x14ac:dyDescent="0.4">
      <c r="D469" s="15" t="str">
        <f>IF(B469&lt;&gt;"",IF(_xlfn.IFNA(VLOOKUP(B469&amp;C469,SUPORTE!AA:AA,1,0),"NÃO INICIADO")="NÃO INICIADO",IF(B469&amp;C469=$J$9&amp;$I$12,"EM PROCESSO","NÃO INICIADO"),VLOOKUP(B469&amp;C469,SUPORTE!AA:AF,6,0)),"")</f>
        <v/>
      </c>
      <c r="I469" s="46"/>
      <c r="J469" s="32"/>
      <c r="K469" s="32"/>
      <c r="L469" s="32"/>
      <c r="M469" s="32"/>
      <c r="N469" s="32"/>
      <c r="O469" s="32"/>
      <c r="P469" s="32"/>
      <c r="Q469" s="32"/>
    </row>
    <row r="470" spans="4:17" x14ac:dyDescent="0.4">
      <c r="D470" s="15" t="str">
        <f>IF(B470&lt;&gt;"",IF(_xlfn.IFNA(VLOOKUP(B470&amp;C470,SUPORTE!AA:AA,1,0),"NÃO INICIADO")="NÃO INICIADO",IF(B470&amp;C470=$J$9&amp;$I$12,"EM PROCESSO","NÃO INICIADO"),VLOOKUP(B470&amp;C470,SUPORTE!AA:AF,6,0)),"")</f>
        <v/>
      </c>
      <c r="I470" s="46"/>
      <c r="J470" s="32"/>
      <c r="K470" s="32"/>
      <c r="L470" s="32"/>
      <c r="M470" s="32"/>
      <c r="N470" s="32"/>
      <c r="O470" s="32"/>
      <c r="P470" s="32"/>
      <c r="Q470" s="32"/>
    </row>
    <row r="471" spans="4:17" x14ac:dyDescent="0.4">
      <c r="D471" s="15" t="str">
        <f>IF(B471&lt;&gt;"",IF(_xlfn.IFNA(VLOOKUP(B471&amp;C471,SUPORTE!AA:AA,1,0),"NÃO INICIADO")="NÃO INICIADO",IF(B471&amp;C471=$J$9&amp;$I$12,"EM PROCESSO","NÃO INICIADO"),VLOOKUP(B471&amp;C471,SUPORTE!AA:AF,6,0)),"")</f>
        <v/>
      </c>
      <c r="I471" s="46"/>
      <c r="J471" s="32"/>
      <c r="K471" s="32"/>
      <c r="L471" s="32"/>
      <c r="M471" s="32"/>
      <c r="N471" s="32"/>
      <c r="O471" s="32"/>
      <c r="P471" s="32"/>
      <c r="Q471" s="32"/>
    </row>
    <row r="472" spans="4:17" x14ac:dyDescent="0.4">
      <c r="D472" s="15" t="str">
        <f>IF(B472&lt;&gt;"",IF(_xlfn.IFNA(VLOOKUP(B472&amp;C472,SUPORTE!AA:AA,1,0),"NÃO INICIADO")="NÃO INICIADO",IF(B472&amp;C472=$J$9&amp;$I$12,"EM PROCESSO","NÃO INICIADO"),VLOOKUP(B472&amp;C472,SUPORTE!AA:AF,6,0)),"")</f>
        <v/>
      </c>
      <c r="I472" s="46"/>
      <c r="J472" s="32"/>
      <c r="K472" s="32"/>
      <c r="L472" s="32"/>
      <c r="M472" s="32"/>
      <c r="N472" s="32"/>
      <c r="O472" s="32"/>
      <c r="P472" s="32"/>
      <c r="Q472" s="32"/>
    </row>
    <row r="473" spans="4:17" x14ac:dyDescent="0.4">
      <c r="D473" s="15" t="str">
        <f>IF(B473&lt;&gt;"",IF(_xlfn.IFNA(VLOOKUP(B473&amp;C473,SUPORTE!AA:AA,1,0),"NÃO INICIADO")="NÃO INICIADO",IF(B473&amp;C473=$J$9&amp;$I$12,"EM PROCESSO","NÃO INICIADO"),VLOOKUP(B473&amp;C473,SUPORTE!AA:AF,6,0)),"")</f>
        <v/>
      </c>
      <c r="I473" s="46"/>
      <c r="J473" s="32"/>
      <c r="K473" s="32"/>
      <c r="L473" s="32"/>
      <c r="M473" s="32"/>
      <c r="N473" s="32"/>
      <c r="O473" s="32"/>
      <c r="P473" s="32"/>
      <c r="Q473" s="32"/>
    </row>
    <row r="474" spans="4:17" x14ac:dyDescent="0.4">
      <c r="D474" s="15" t="str">
        <f>IF(B474&lt;&gt;"",IF(_xlfn.IFNA(VLOOKUP(B474&amp;C474,SUPORTE!AA:AA,1,0),"NÃO INICIADO")="NÃO INICIADO",IF(B474&amp;C474=$J$9&amp;$I$12,"EM PROCESSO","NÃO INICIADO"),VLOOKUP(B474&amp;C474,SUPORTE!AA:AF,6,0)),"")</f>
        <v/>
      </c>
      <c r="I474" s="46"/>
      <c r="J474" s="32"/>
      <c r="K474" s="32"/>
      <c r="L474" s="32"/>
      <c r="M474" s="32"/>
      <c r="N474" s="32"/>
      <c r="O474" s="32"/>
      <c r="P474" s="32"/>
      <c r="Q474" s="32"/>
    </row>
    <row r="475" spans="4:17" x14ac:dyDescent="0.4">
      <c r="D475" s="15" t="str">
        <f>IF(B475&lt;&gt;"",IF(_xlfn.IFNA(VLOOKUP(B475&amp;C475,SUPORTE!AA:AA,1,0),"NÃO INICIADO")="NÃO INICIADO",IF(B475&amp;C475=$J$9&amp;$I$12,"EM PROCESSO","NÃO INICIADO"),VLOOKUP(B475&amp;C475,SUPORTE!AA:AF,6,0)),"")</f>
        <v/>
      </c>
      <c r="I475" s="46"/>
      <c r="J475" s="32"/>
      <c r="K475" s="32"/>
      <c r="L475" s="32"/>
      <c r="M475" s="32"/>
      <c r="N475" s="32"/>
      <c r="O475" s="32"/>
      <c r="P475" s="32"/>
      <c r="Q475" s="32"/>
    </row>
    <row r="476" spans="4:17" x14ac:dyDescent="0.4">
      <c r="D476" s="15" t="str">
        <f>IF(B476&lt;&gt;"",IF(_xlfn.IFNA(VLOOKUP(B476&amp;C476,SUPORTE!AA:AA,1,0),"NÃO INICIADO")="NÃO INICIADO",IF(B476&amp;C476=$J$9&amp;$I$12,"EM PROCESSO","NÃO INICIADO"),VLOOKUP(B476&amp;C476,SUPORTE!AA:AF,6,0)),"")</f>
        <v/>
      </c>
      <c r="I476" s="46"/>
      <c r="J476" s="32"/>
      <c r="K476" s="32"/>
      <c r="L476" s="32"/>
      <c r="M476" s="32"/>
      <c r="N476" s="32"/>
      <c r="O476" s="32"/>
      <c r="P476" s="32"/>
      <c r="Q476" s="32"/>
    </row>
    <row r="477" spans="4:17" x14ac:dyDescent="0.4">
      <c r="D477" s="15" t="str">
        <f>IF(B477&lt;&gt;"",IF(_xlfn.IFNA(VLOOKUP(B477&amp;C477,SUPORTE!AA:AA,1,0),"NÃO INICIADO")="NÃO INICIADO",IF(B477&amp;C477=$J$9&amp;$I$12,"EM PROCESSO","NÃO INICIADO"),VLOOKUP(B477&amp;C477,SUPORTE!AA:AF,6,0)),"")</f>
        <v/>
      </c>
      <c r="I477" s="46"/>
      <c r="J477" s="32"/>
      <c r="K477" s="32"/>
      <c r="L477" s="32"/>
      <c r="M477" s="32"/>
      <c r="N477" s="32"/>
      <c r="O477" s="32"/>
      <c r="P477" s="32"/>
      <c r="Q477" s="32"/>
    </row>
    <row r="478" spans="4:17" x14ac:dyDescent="0.4">
      <c r="D478" s="15" t="str">
        <f>IF(B478&lt;&gt;"",IF(_xlfn.IFNA(VLOOKUP(B478&amp;C478,SUPORTE!AA:AA,1,0),"NÃO INICIADO")="NÃO INICIADO",IF(B478&amp;C478=$J$9&amp;$I$12,"EM PROCESSO","NÃO INICIADO"),VLOOKUP(B478&amp;C478,SUPORTE!AA:AF,6,0)),"")</f>
        <v/>
      </c>
      <c r="I478" s="46"/>
      <c r="J478" s="32"/>
      <c r="K478" s="32"/>
      <c r="L478" s="32"/>
      <c r="M478" s="32"/>
      <c r="N478" s="32"/>
      <c r="O478" s="32"/>
      <c r="P478" s="32"/>
      <c r="Q478" s="32"/>
    </row>
    <row r="479" spans="4:17" x14ac:dyDescent="0.4">
      <c r="D479" s="15" t="str">
        <f>IF(B479&lt;&gt;"",IF(_xlfn.IFNA(VLOOKUP(B479&amp;C479,SUPORTE!AA:AA,1,0),"NÃO INICIADO")="NÃO INICIADO",IF(B479&amp;C479=$J$9&amp;$I$12,"EM PROCESSO","NÃO INICIADO"),VLOOKUP(B479&amp;C479,SUPORTE!AA:AF,6,0)),"")</f>
        <v/>
      </c>
      <c r="I479" s="46"/>
      <c r="J479" s="32"/>
      <c r="K479" s="32"/>
      <c r="L479" s="32"/>
      <c r="M479" s="32"/>
      <c r="N479" s="32"/>
      <c r="O479" s="32"/>
      <c r="P479" s="32"/>
      <c r="Q479" s="32"/>
    </row>
    <row r="480" spans="4:17" x14ac:dyDescent="0.4">
      <c r="D480" s="15" t="str">
        <f>IF(B480&lt;&gt;"",IF(_xlfn.IFNA(VLOOKUP(B480&amp;C480,SUPORTE!AA:AA,1,0),"NÃO INICIADO")="NÃO INICIADO",IF(B480&amp;C480=$J$9&amp;$I$12,"EM PROCESSO","NÃO INICIADO"),VLOOKUP(B480&amp;C480,SUPORTE!AA:AF,6,0)),"")</f>
        <v/>
      </c>
      <c r="I480" s="46"/>
      <c r="J480" s="32"/>
      <c r="K480" s="32"/>
      <c r="L480" s="32"/>
      <c r="M480" s="32"/>
      <c r="N480" s="32"/>
      <c r="O480" s="32"/>
      <c r="P480" s="32"/>
      <c r="Q480" s="32"/>
    </row>
    <row r="481" spans="4:17" x14ac:dyDescent="0.4">
      <c r="D481" s="15" t="str">
        <f>IF(B481&lt;&gt;"",IF(_xlfn.IFNA(VLOOKUP(B481&amp;C481,SUPORTE!AA:AA,1,0),"NÃO INICIADO")="NÃO INICIADO",IF(B481&amp;C481=$J$9&amp;$I$12,"EM PROCESSO","NÃO INICIADO"),VLOOKUP(B481&amp;C481,SUPORTE!AA:AF,6,0)),"")</f>
        <v/>
      </c>
      <c r="I481" s="46"/>
      <c r="J481" s="32"/>
      <c r="K481" s="32"/>
      <c r="L481" s="32"/>
      <c r="M481" s="32"/>
      <c r="N481" s="32"/>
      <c r="O481" s="32"/>
      <c r="P481" s="32"/>
      <c r="Q481" s="32"/>
    </row>
    <row r="482" spans="4:17" x14ac:dyDescent="0.4">
      <c r="D482" s="15" t="str">
        <f>IF(B482&lt;&gt;"",IF(_xlfn.IFNA(VLOOKUP(B482&amp;C482,SUPORTE!AA:AA,1,0),"NÃO INICIADO")="NÃO INICIADO",IF(B482&amp;C482=$J$9&amp;$I$12,"EM PROCESSO","NÃO INICIADO"),VLOOKUP(B482&amp;C482,SUPORTE!AA:AF,6,0)),"")</f>
        <v/>
      </c>
      <c r="I482" s="46"/>
      <c r="J482" s="32"/>
      <c r="K482" s="32"/>
      <c r="L482" s="32"/>
      <c r="M482" s="32"/>
      <c r="N482" s="32"/>
      <c r="O482" s="32"/>
      <c r="P482" s="32"/>
      <c r="Q482" s="32"/>
    </row>
    <row r="483" spans="4:17" x14ac:dyDescent="0.4">
      <c r="D483" s="15" t="str">
        <f>IF(B483&lt;&gt;"",IF(_xlfn.IFNA(VLOOKUP(B483&amp;C483,SUPORTE!AA:AA,1,0),"NÃO INICIADO")="NÃO INICIADO",IF(B483&amp;C483=$J$9&amp;$I$12,"EM PROCESSO","NÃO INICIADO"),VLOOKUP(B483&amp;C483,SUPORTE!AA:AF,6,0)),"")</f>
        <v/>
      </c>
      <c r="I483" s="46"/>
      <c r="J483" s="32"/>
      <c r="K483" s="32"/>
      <c r="L483" s="32"/>
      <c r="M483" s="32"/>
      <c r="N483" s="32"/>
      <c r="O483" s="32"/>
      <c r="P483" s="32"/>
      <c r="Q483" s="32"/>
    </row>
    <row r="484" spans="4:17" x14ac:dyDescent="0.4">
      <c r="D484" s="15" t="str">
        <f>IF(B484&lt;&gt;"",IF(_xlfn.IFNA(VLOOKUP(B484&amp;C484,SUPORTE!AA:AA,1,0),"NÃO INICIADO")="NÃO INICIADO",IF(B484&amp;C484=$J$9&amp;$I$12,"EM PROCESSO","NÃO INICIADO"),VLOOKUP(B484&amp;C484,SUPORTE!AA:AF,6,0)),"")</f>
        <v/>
      </c>
      <c r="I484" s="46"/>
      <c r="J484" s="32"/>
      <c r="K484" s="32"/>
      <c r="L484" s="32"/>
      <c r="M484" s="32"/>
      <c r="N484" s="32"/>
      <c r="O484" s="32"/>
      <c r="P484" s="32"/>
      <c r="Q484" s="32"/>
    </row>
    <row r="485" spans="4:17" x14ac:dyDescent="0.4">
      <c r="D485" s="15" t="str">
        <f>IF(B485&lt;&gt;"",IF(_xlfn.IFNA(VLOOKUP(B485&amp;C485,SUPORTE!AA:AA,1,0),"NÃO INICIADO")="NÃO INICIADO",IF(B485&amp;C485=$J$9&amp;$I$12,"EM PROCESSO","NÃO INICIADO"),VLOOKUP(B485&amp;C485,SUPORTE!AA:AF,6,0)),"")</f>
        <v/>
      </c>
      <c r="I485" s="46"/>
      <c r="J485" s="32"/>
      <c r="K485" s="32"/>
      <c r="L485" s="32"/>
      <c r="M485" s="32"/>
      <c r="N485" s="32"/>
      <c r="O485" s="32"/>
      <c r="P485" s="32"/>
      <c r="Q485" s="32"/>
    </row>
    <row r="486" spans="4:17" x14ac:dyDescent="0.4">
      <c r="D486" s="15" t="str">
        <f>IF(B486&lt;&gt;"",IF(_xlfn.IFNA(VLOOKUP(B486&amp;C486,SUPORTE!AA:AA,1,0),"NÃO INICIADO")="NÃO INICIADO",IF(B486&amp;C486=$J$9&amp;$I$12,"EM PROCESSO","NÃO INICIADO"),VLOOKUP(B486&amp;C486,SUPORTE!AA:AF,6,0)),"")</f>
        <v/>
      </c>
      <c r="I486" s="46"/>
      <c r="J486" s="32"/>
      <c r="K486" s="32"/>
      <c r="L486" s="32"/>
      <c r="M486" s="32"/>
      <c r="N486" s="32"/>
      <c r="O486" s="32"/>
      <c r="P486" s="32"/>
      <c r="Q486" s="32"/>
    </row>
    <row r="487" spans="4:17" x14ac:dyDescent="0.4">
      <c r="D487" s="15" t="str">
        <f>IF(B487&lt;&gt;"",IF(_xlfn.IFNA(VLOOKUP(B487&amp;C487,SUPORTE!AA:AA,1,0),"NÃO INICIADO")="NÃO INICIADO",IF(B487&amp;C487=$J$9&amp;$I$12,"EM PROCESSO","NÃO INICIADO"),VLOOKUP(B487&amp;C487,SUPORTE!AA:AF,6,0)),"")</f>
        <v/>
      </c>
      <c r="I487" s="46"/>
      <c r="J487" s="32"/>
      <c r="K487" s="32"/>
      <c r="L487" s="32"/>
      <c r="M487" s="32"/>
      <c r="N487" s="32"/>
      <c r="O487" s="32"/>
      <c r="P487" s="32"/>
      <c r="Q487" s="32"/>
    </row>
    <row r="488" spans="4:17" x14ac:dyDescent="0.4">
      <c r="D488" s="15" t="str">
        <f>IF(B488&lt;&gt;"",IF(_xlfn.IFNA(VLOOKUP(B488&amp;C488,SUPORTE!AA:AA,1,0),"NÃO INICIADO")="NÃO INICIADO",IF(B488&amp;C488=$J$9&amp;$I$12,"EM PROCESSO","NÃO INICIADO"),VLOOKUP(B488&amp;C488,SUPORTE!AA:AF,6,0)),"")</f>
        <v/>
      </c>
      <c r="I488" s="46"/>
      <c r="J488" s="32"/>
      <c r="K488" s="32"/>
      <c r="L488" s="32"/>
      <c r="M488" s="32"/>
      <c r="N488" s="32"/>
      <c r="O488" s="32"/>
      <c r="P488" s="32"/>
      <c r="Q488" s="32"/>
    </row>
    <row r="489" spans="4:17" x14ac:dyDescent="0.4">
      <c r="D489" s="15" t="str">
        <f>IF(B489&lt;&gt;"",IF(_xlfn.IFNA(VLOOKUP(B489&amp;C489,SUPORTE!AA:AA,1,0),"NÃO INICIADO")="NÃO INICIADO",IF(B489&amp;C489=$J$9&amp;$I$12,"EM PROCESSO","NÃO INICIADO"),VLOOKUP(B489&amp;C489,SUPORTE!AA:AF,6,0)),"")</f>
        <v/>
      </c>
      <c r="I489" s="46"/>
      <c r="J489" s="32"/>
      <c r="K489" s="32"/>
      <c r="L489" s="32"/>
      <c r="M489" s="32"/>
      <c r="N489" s="32"/>
      <c r="O489" s="32"/>
      <c r="P489" s="32"/>
      <c r="Q489" s="32"/>
    </row>
    <row r="490" spans="4:17" x14ac:dyDescent="0.4">
      <c r="D490" s="15" t="str">
        <f>IF(B490&lt;&gt;"",IF(_xlfn.IFNA(VLOOKUP(B490&amp;C490,SUPORTE!AA:AA,1,0),"NÃO INICIADO")="NÃO INICIADO",IF(B490&amp;C490=$J$9&amp;$I$12,"EM PROCESSO","NÃO INICIADO"),VLOOKUP(B490&amp;C490,SUPORTE!AA:AF,6,0)),"")</f>
        <v/>
      </c>
      <c r="I490" s="46"/>
      <c r="J490" s="32"/>
      <c r="K490" s="32"/>
      <c r="L490" s="32"/>
      <c r="M490" s="32"/>
      <c r="N490" s="32"/>
      <c r="O490" s="32"/>
      <c r="P490" s="32"/>
      <c r="Q490" s="32"/>
    </row>
    <row r="491" spans="4:17" x14ac:dyDescent="0.4">
      <c r="D491" s="15" t="str">
        <f>IF(B491&lt;&gt;"",IF(_xlfn.IFNA(VLOOKUP(B491&amp;C491,SUPORTE!AA:AA,1,0),"NÃO INICIADO")="NÃO INICIADO",IF(B491&amp;C491=$J$9&amp;$I$12,"EM PROCESSO","NÃO INICIADO"),VLOOKUP(B491&amp;C491,SUPORTE!AA:AF,6,0)),"")</f>
        <v/>
      </c>
      <c r="I491" s="46"/>
      <c r="J491" s="32"/>
      <c r="K491" s="32"/>
      <c r="L491" s="32"/>
      <c r="M491" s="32"/>
      <c r="N491" s="32"/>
      <c r="O491" s="32"/>
      <c r="P491" s="32"/>
      <c r="Q491" s="32"/>
    </row>
    <row r="492" spans="4:17" x14ac:dyDescent="0.4">
      <c r="D492" s="15" t="str">
        <f>IF(B492&lt;&gt;"",IF(_xlfn.IFNA(VLOOKUP(B492&amp;C492,SUPORTE!AA:AA,1,0),"NÃO INICIADO")="NÃO INICIADO",IF(B492&amp;C492=$J$9&amp;$I$12,"EM PROCESSO","NÃO INICIADO"),VLOOKUP(B492&amp;C492,SUPORTE!AA:AF,6,0)),"")</f>
        <v/>
      </c>
      <c r="I492" s="46"/>
      <c r="J492" s="32"/>
      <c r="K492" s="32"/>
      <c r="L492" s="32"/>
      <c r="M492" s="32"/>
      <c r="N492" s="32"/>
      <c r="O492" s="32"/>
      <c r="P492" s="32"/>
      <c r="Q492" s="32"/>
    </row>
    <row r="493" spans="4:17" x14ac:dyDescent="0.4">
      <c r="D493" s="15" t="str">
        <f>IF(B493&lt;&gt;"",IF(_xlfn.IFNA(VLOOKUP(B493&amp;C493,SUPORTE!AA:AA,1,0),"NÃO INICIADO")="NÃO INICIADO",IF(B493&amp;C493=$J$9&amp;$I$12,"EM PROCESSO","NÃO INICIADO"),VLOOKUP(B493&amp;C493,SUPORTE!AA:AF,6,0)),"")</f>
        <v/>
      </c>
      <c r="I493" s="46"/>
      <c r="J493" s="32"/>
      <c r="K493" s="32"/>
      <c r="L493" s="32"/>
      <c r="M493" s="32"/>
      <c r="N493" s="32"/>
      <c r="O493" s="32"/>
      <c r="P493" s="32"/>
      <c r="Q493" s="32"/>
    </row>
    <row r="494" spans="4:17" x14ac:dyDescent="0.4">
      <c r="D494" s="15" t="str">
        <f>IF(B494&lt;&gt;"",IF(_xlfn.IFNA(VLOOKUP(B494&amp;C494,SUPORTE!AA:AA,1,0),"NÃO INICIADO")="NÃO INICIADO",IF(B494&amp;C494=$J$9&amp;$I$12,"EM PROCESSO","NÃO INICIADO"),VLOOKUP(B494&amp;C494,SUPORTE!AA:AF,6,0)),"")</f>
        <v/>
      </c>
      <c r="I494" s="46"/>
      <c r="J494" s="32"/>
      <c r="K494" s="32"/>
      <c r="L494" s="32"/>
      <c r="M494" s="32"/>
      <c r="N494" s="32"/>
      <c r="O494" s="32"/>
      <c r="P494" s="32"/>
      <c r="Q494" s="32"/>
    </row>
    <row r="495" spans="4:17" x14ac:dyDescent="0.4">
      <c r="D495" s="15" t="str">
        <f>IF(B495&lt;&gt;"",IF(_xlfn.IFNA(VLOOKUP(B495&amp;C495,SUPORTE!AA:AA,1,0),"NÃO INICIADO")="NÃO INICIADO",IF(B495&amp;C495=$J$9&amp;$I$12,"EM PROCESSO","NÃO INICIADO"),VLOOKUP(B495&amp;C495,SUPORTE!AA:AF,6,0)),"")</f>
        <v/>
      </c>
      <c r="I495" s="46"/>
      <c r="J495" s="32"/>
      <c r="K495" s="32"/>
      <c r="L495" s="32"/>
      <c r="M495" s="32"/>
      <c r="N495" s="32"/>
      <c r="O495" s="32"/>
      <c r="P495" s="32"/>
      <c r="Q495" s="32"/>
    </row>
    <row r="496" spans="4:17" x14ac:dyDescent="0.4">
      <c r="D496" s="15" t="str">
        <f>IF(B496&lt;&gt;"",IF(_xlfn.IFNA(VLOOKUP(B496&amp;C496,SUPORTE!AA:AA,1,0),"NÃO INICIADO")="NÃO INICIADO",IF(B496&amp;C496=$J$9&amp;$I$12,"EM PROCESSO","NÃO INICIADO"),VLOOKUP(B496&amp;C496,SUPORTE!AA:AF,6,0)),"")</f>
        <v/>
      </c>
      <c r="I496" s="46"/>
      <c r="J496" s="32"/>
      <c r="K496" s="32"/>
      <c r="L496" s="32"/>
      <c r="M496" s="32"/>
      <c r="N496" s="32"/>
      <c r="O496" s="32"/>
      <c r="P496" s="32"/>
      <c r="Q496" s="32"/>
    </row>
    <row r="497" spans="4:17" x14ac:dyDescent="0.4">
      <c r="D497" s="15" t="str">
        <f>IF(B497&lt;&gt;"",IF(_xlfn.IFNA(VLOOKUP(B497&amp;C497,SUPORTE!AA:AA,1,0),"NÃO INICIADO")="NÃO INICIADO",IF(B497&amp;C497=$J$9&amp;$I$12,"EM PROCESSO","NÃO INICIADO"),VLOOKUP(B497&amp;C497,SUPORTE!AA:AF,6,0)),"")</f>
        <v/>
      </c>
      <c r="I497" s="46"/>
      <c r="J497" s="32"/>
      <c r="K497" s="32"/>
      <c r="L497" s="32"/>
      <c r="M497" s="32"/>
      <c r="N497" s="32"/>
      <c r="O497" s="32"/>
      <c r="P497" s="32"/>
      <c r="Q497" s="32"/>
    </row>
    <row r="498" spans="4:17" x14ac:dyDescent="0.4">
      <c r="D498" s="15" t="str">
        <f>IF(B498&lt;&gt;"",IF(_xlfn.IFNA(VLOOKUP(B498&amp;C498,SUPORTE!AA:AA,1,0),"NÃO INICIADO")="NÃO INICIADO",IF(B498&amp;C498=$J$9&amp;$I$12,"EM PROCESSO","NÃO INICIADO"),VLOOKUP(B498&amp;C498,SUPORTE!AA:AF,6,0)),"")</f>
        <v/>
      </c>
      <c r="I498" s="46"/>
      <c r="J498" s="32"/>
      <c r="K498" s="32"/>
      <c r="L498" s="32"/>
      <c r="M498" s="32"/>
      <c r="N498" s="32"/>
      <c r="O498" s="32"/>
      <c r="P498" s="32"/>
      <c r="Q498" s="32"/>
    </row>
    <row r="499" spans="4:17" x14ac:dyDescent="0.4">
      <c r="D499" s="15" t="str">
        <f>IF(B499&lt;&gt;"",IF(_xlfn.IFNA(VLOOKUP(B499&amp;C499,SUPORTE!AA:AA,1,0),"NÃO INICIADO")="NÃO INICIADO",IF(B499&amp;C499=$J$9&amp;$I$12,"EM PROCESSO","NÃO INICIADO"),VLOOKUP(B499&amp;C499,SUPORTE!AA:AF,6,0)),"")</f>
        <v/>
      </c>
      <c r="I499" s="46"/>
      <c r="J499" s="32"/>
      <c r="K499" s="32"/>
      <c r="L499" s="32"/>
      <c r="M499" s="32"/>
      <c r="N499" s="32"/>
      <c r="O499" s="32"/>
      <c r="P499" s="32"/>
      <c r="Q499" s="32"/>
    </row>
    <row r="500" spans="4:17" x14ac:dyDescent="0.4">
      <c r="D500" s="15" t="str">
        <f>IF(B500&lt;&gt;"",IF(_xlfn.IFNA(VLOOKUP(B500&amp;C500,SUPORTE!AA:AA,1,0),"NÃO INICIADO")="NÃO INICIADO",IF(B500&amp;C500=$J$9&amp;$I$12,"EM PROCESSO","NÃO INICIADO"),VLOOKUP(B500&amp;C500,SUPORTE!AA:AF,6,0)),"")</f>
        <v/>
      </c>
      <c r="I500" s="46"/>
      <c r="J500" s="32"/>
      <c r="K500" s="32"/>
      <c r="L500" s="32"/>
      <c r="M500" s="32"/>
      <c r="N500" s="32"/>
      <c r="O500" s="32"/>
      <c r="P500" s="32"/>
      <c r="Q500" s="32"/>
    </row>
    <row r="501" spans="4:17" x14ac:dyDescent="0.4">
      <c r="D501" s="15" t="str">
        <f>IF(B501&lt;&gt;"",IF(_xlfn.IFNA(VLOOKUP(B501&amp;C501,SUPORTE!AA:AA,1,0),"NÃO INICIADO")="NÃO INICIADO",IF(B501&amp;C501=$J$9&amp;$I$12,"EM PROCESSO","NÃO INICIADO"),VLOOKUP(B501&amp;C501,SUPORTE!AA:AF,6,0)),"")</f>
        <v/>
      </c>
      <c r="I501" s="46"/>
      <c r="J501" s="32"/>
      <c r="K501" s="32"/>
      <c r="L501" s="32"/>
      <c r="M501" s="32"/>
      <c r="N501" s="32"/>
      <c r="O501" s="32"/>
      <c r="P501" s="32"/>
      <c r="Q501" s="32"/>
    </row>
    <row r="502" spans="4:17" x14ac:dyDescent="0.4">
      <c r="D502" s="15" t="str">
        <f>IF(B502&lt;&gt;"",IF(_xlfn.IFNA(VLOOKUP(B502&amp;C502,SUPORTE!AA:AA,1,0),"NÃO INICIADO")="NÃO INICIADO",IF(B502&amp;C502=$J$9&amp;$I$12,"EM PROCESSO","NÃO INICIADO"),VLOOKUP(B502&amp;C502,SUPORTE!AA:AF,6,0)),"")</f>
        <v/>
      </c>
      <c r="I502" s="46"/>
      <c r="J502" s="32"/>
      <c r="K502" s="32"/>
      <c r="L502" s="32"/>
      <c r="M502" s="32"/>
      <c r="N502" s="32"/>
      <c r="O502" s="32"/>
      <c r="P502" s="32"/>
      <c r="Q502" s="32"/>
    </row>
    <row r="503" spans="4:17" x14ac:dyDescent="0.4">
      <c r="D503" s="15" t="str">
        <f>IF(B503&lt;&gt;"",IF(_xlfn.IFNA(VLOOKUP(B503&amp;C503,SUPORTE!AA:AA,1,0),"NÃO INICIADO")="NÃO INICIADO",IF(B503&amp;C503=$J$9&amp;$I$12,"EM PROCESSO","NÃO INICIADO"),VLOOKUP(B503&amp;C503,SUPORTE!AA:AF,6,0)),"")</f>
        <v/>
      </c>
      <c r="I503" s="46"/>
      <c r="J503" s="32"/>
      <c r="K503" s="32"/>
      <c r="L503" s="32"/>
      <c r="M503" s="32"/>
      <c r="N503" s="32"/>
      <c r="O503" s="32"/>
      <c r="P503" s="32"/>
      <c r="Q503" s="32"/>
    </row>
    <row r="504" spans="4:17" x14ac:dyDescent="0.4">
      <c r="D504" s="15" t="str">
        <f>IF(B504&lt;&gt;"",IF(_xlfn.IFNA(VLOOKUP(B504&amp;C504,SUPORTE!AA:AA,1,0),"NÃO INICIADO")="NÃO INICIADO",IF(B504&amp;C504=$J$9&amp;$I$12,"EM PROCESSO","NÃO INICIADO"),VLOOKUP(B504&amp;C504,SUPORTE!AA:AF,6,0)),"")</f>
        <v/>
      </c>
      <c r="I504" s="46"/>
      <c r="J504" s="32"/>
      <c r="K504" s="32"/>
      <c r="L504" s="32"/>
      <c r="M504" s="32"/>
      <c r="N504" s="32"/>
      <c r="O504" s="32"/>
      <c r="P504" s="32"/>
      <c r="Q504" s="32"/>
    </row>
    <row r="505" spans="4:17" x14ac:dyDescent="0.4">
      <c r="D505" s="15" t="str">
        <f>IF(B505&lt;&gt;"",IF(_xlfn.IFNA(VLOOKUP(B505&amp;C505,SUPORTE!AA:AA,1,0),"NÃO INICIADO")="NÃO INICIADO",IF(B505&amp;C505=$J$9&amp;$I$12,"EM PROCESSO","NÃO INICIADO"),VLOOKUP(B505&amp;C505,SUPORTE!AA:AF,6,0)),"")</f>
        <v/>
      </c>
      <c r="I505" s="46"/>
      <c r="J505" s="32"/>
      <c r="K505" s="32"/>
      <c r="L505" s="32"/>
      <c r="M505" s="32"/>
      <c r="N505" s="32"/>
      <c r="O505" s="32"/>
      <c r="P505" s="32"/>
      <c r="Q505" s="32"/>
    </row>
    <row r="506" spans="4:17" x14ac:dyDescent="0.4">
      <c r="D506" s="15" t="str">
        <f>IF(B506&lt;&gt;"",IF(_xlfn.IFNA(VLOOKUP(B506&amp;C506,SUPORTE!AA:AA,1,0),"NÃO INICIADO")="NÃO INICIADO",IF(B506&amp;C506=$J$9&amp;$I$12,"EM PROCESSO","NÃO INICIADO"),VLOOKUP(B506&amp;C506,SUPORTE!AA:AF,6,0)),"")</f>
        <v/>
      </c>
      <c r="I506" s="46"/>
      <c r="J506" s="32"/>
      <c r="K506" s="32"/>
      <c r="L506" s="32"/>
      <c r="M506" s="32"/>
      <c r="N506" s="32"/>
      <c r="O506" s="32"/>
      <c r="P506" s="32"/>
      <c r="Q506" s="32"/>
    </row>
    <row r="507" spans="4:17" x14ac:dyDescent="0.4">
      <c r="D507" s="15" t="str">
        <f>IF(B507&lt;&gt;"",IF(_xlfn.IFNA(VLOOKUP(B507&amp;C507,SUPORTE!AA:AA,1,0),"NÃO INICIADO")="NÃO INICIADO",IF(B507&amp;C507=$J$9&amp;$I$12,"EM PROCESSO","NÃO INICIADO"),VLOOKUP(B507&amp;C507,SUPORTE!AA:AF,6,0)),"")</f>
        <v/>
      </c>
      <c r="I507" s="46"/>
      <c r="J507" s="32"/>
      <c r="K507" s="32"/>
      <c r="L507" s="32"/>
      <c r="M507" s="32"/>
      <c r="N507" s="32"/>
      <c r="O507" s="32"/>
      <c r="P507" s="32"/>
      <c r="Q507" s="32"/>
    </row>
    <row r="508" spans="4:17" x14ac:dyDescent="0.4">
      <c r="D508" s="15" t="str">
        <f>IF(B508&lt;&gt;"",IF(_xlfn.IFNA(VLOOKUP(B508&amp;C508,SUPORTE!AA:AA,1,0),"NÃO INICIADO")="NÃO INICIADO",IF(B508&amp;C508=$J$9&amp;$I$12,"EM PROCESSO","NÃO INICIADO"),VLOOKUP(B508&amp;C508,SUPORTE!AA:AF,6,0)),"")</f>
        <v/>
      </c>
      <c r="I508" s="46"/>
      <c r="J508" s="32"/>
      <c r="K508" s="32"/>
      <c r="L508" s="32"/>
      <c r="M508" s="32"/>
      <c r="N508" s="32"/>
      <c r="O508" s="32"/>
      <c r="P508" s="32"/>
      <c r="Q508" s="32"/>
    </row>
    <row r="509" spans="4:17" x14ac:dyDescent="0.4">
      <c r="D509" s="15" t="str">
        <f>IF(B509&lt;&gt;"",IF(_xlfn.IFNA(VLOOKUP(B509&amp;C509,SUPORTE!AA:AA,1,0),"NÃO INICIADO")="NÃO INICIADO",IF(B509&amp;C509=$J$9&amp;$I$12,"EM PROCESSO","NÃO INICIADO"),VLOOKUP(B509&amp;C509,SUPORTE!AA:AF,6,0)),"")</f>
        <v/>
      </c>
      <c r="I509" s="46"/>
      <c r="J509" s="32"/>
      <c r="K509" s="32"/>
      <c r="L509" s="32"/>
      <c r="M509" s="32"/>
      <c r="N509" s="32"/>
      <c r="O509" s="32"/>
      <c r="P509" s="32"/>
      <c r="Q509" s="32"/>
    </row>
    <row r="510" spans="4:17" x14ac:dyDescent="0.4">
      <c r="D510" s="15" t="str">
        <f>IF(B510&lt;&gt;"",IF(_xlfn.IFNA(VLOOKUP(B510&amp;C510,SUPORTE!AA:AA,1,0),"NÃO INICIADO")="NÃO INICIADO",IF(B510&amp;C510=$J$9&amp;$I$12,"EM PROCESSO","NÃO INICIADO"),VLOOKUP(B510&amp;C510,SUPORTE!AA:AF,6,0)),"")</f>
        <v/>
      </c>
      <c r="I510" s="46"/>
      <c r="J510" s="32"/>
      <c r="K510" s="32"/>
      <c r="L510" s="32"/>
      <c r="M510" s="32"/>
      <c r="N510" s="32"/>
      <c r="O510" s="32"/>
      <c r="P510" s="32"/>
      <c r="Q510" s="32"/>
    </row>
    <row r="511" spans="4:17" x14ac:dyDescent="0.4">
      <c r="D511" s="15" t="str">
        <f>IF(B511&lt;&gt;"",IF(_xlfn.IFNA(VLOOKUP(B511&amp;C511,SUPORTE!AA:AA,1,0),"NÃO INICIADO")="NÃO INICIADO",IF(B511&amp;C511=$J$9&amp;$I$12,"EM PROCESSO","NÃO INICIADO"),VLOOKUP(B511&amp;C511,SUPORTE!AA:AF,6,0)),"")</f>
        <v/>
      </c>
      <c r="I511" s="46"/>
      <c r="J511" s="32"/>
      <c r="K511" s="32"/>
      <c r="L511" s="32"/>
      <c r="M511" s="32"/>
      <c r="N511" s="32"/>
      <c r="O511" s="32"/>
      <c r="P511" s="32"/>
      <c r="Q511" s="32"/>
    </row>
    <row r="512" spans="4:17" x14ac:dyDescent="0.4">
      <c r="D512" s="15" t="str">
        <f>IF(B512&lt;&gt;"",IF(_xlfn.IFNA(VLOOKUP(B512&amp;C512,SUPORTE!AA:AA,1,0),"NÃO INICIADO")="NÃO INICIADO",IF(B512&amp;C512=$J$9&amp;$I$12,"EM PROCESSO","NÃO INICIADO"),VLOOKUP(B512&amp;C512,SUPORTE!AA:AF,6,0)),"")</f>
        <v/>
      </c>
      <c r="I512" s="46"/>
      <c r="J512" s="32"/>
      <c r="K512" s="32"/>
      <c r="L512" s="32"/>
      <c r="M512" s="32"/>
      <c r="N512" s="32"/>
      <c r="O512" s="32"/>
      <c r="P512" s="32"/>
      <c r="Q512" s="32"/>
    </row>
    <row r="513" spans="4:17" x14ac:dyDescent="0.4">
      <c r="D513" s="15" t="str">
        <f>IF(B513&lt;&gt;"",IF(_xlfn.IFNA(VLOOKUP(B513&amp;C513,SUPORTE!AA:AA,1,0),"NÃO INICIADO")="NÃO INICIADO",IF(B513&amp;C513=$J$9&amp;$I$12,"EM PROCESSO","NÃO INICIADO"),VLOOKUP(B513&amp;C513,SUPORTE!AA:AF,6,0)),"")</f>
        <v/>
      </c>
      <c r="I513" s="46"/>
      <c r="J513" s="32"/>
      <c r="K513" s="32"/>
      <c r="L513" s="32"/>
      <c r="M513" s="32"/>
      <c r="N513" s="32"/>
      <c r="O513" s="32"/>
      <c r="P513" s="32"/>
      <c r="Q513" s="32"/>
    </row>
    <row r="514" spans="4:17" x14ac:dyDescent="0.4">
      <c r="D514" s="15" t="str">
        <f>IF(B514&lt;&gt;"",IF(_xlfn.IFNA(VLOOKUP(B514&amp;C514,SUPORTE!AA:AA,1,0),"NÃO INICIADO")="NÃO INICIADO",IF(B514&amp;C514=$J$9&amp;$I$12,"EM PROCESSO","NÃO INICIADO"),VLOOKUP(B514&amp;C514,SUPORTE!AA:AF,6,0)),"")</f>
        <v/>
      </c>
      <c r="I514" s="46"/>
      <c r="J514" s="32"/>
      <c r="K514" s="32"/>
      <c r="L514" s="32"/>
      <c r="M514" s="32"/>
      <c r="N514" s="32"/>
      <c r="O514" s="32"/>
      <c r="P514" s="32"/>
      <c r="Q514" s="32"/>
    </row>
    <row r="515" spans="4:17" x14ac:dyDescent="0.4">
      <c r="D515" s="15" t="str">
        <f>IF(B515&lt;&gt;"",IF(_xlfn.IFNA(VLOOKUP(B515&amp;C515,SUPORTE!AA:AA,1,0),"NÃO INICIADO")="NÃO INICIADO",IF(B515&amp;C515=$J$9&amp;$I$12,"EM PROCESSO","NÃO INICIADO"),VLOOKUP(B515&amp;C515,SUPORTE!AA:AF,6,0)),"")</f>
        <v/>
      </c>
      <c r="I515" s="46"/>
      <c r="J515" s="32"/>
      <c r="K515" s="32"/>
      <c r="L515" s="32"/>
      <c r="M515" s="32"/>
      <c r="N515" s="32"/>
      <c r="O515" s="32"/>
      <c r="P515" s="32"/>
      <c r="Q515" s="32"/>
    </row>
    <row r="516" spans="4:17" x14ac:dyDescent="0.4">
      <c r="D516" s="15" t="str">
        <f>IF(B516&lt;&gt;"",IF(_xlfn.IFNA(VLOOKUP(B516&amp;C516,SUPORTE!AA:AA,1,0),"NÃO INICIADO")="NÃO INICIADO",IF(B516&amp;C516=$J$9&amp;$I$12,"EM PROCESSO","NÃO INICIADO"),VLOOKUP(B516&amp;C516,SUPORTE!AA:AF,6,0)),"")</f>
        <v/>
      </c>
      <c r="I516" s="46"/>
      <c r="J516" s="32"/>
      <c r="K516" s="32"/>
      <c r="L516" s="32"/>
      <c r="M516" s="32"/>
      <c r="N516" s="32"/>
      <c r="O516" s="32"/>
      <c r="P516" s="32"/>
      <c r="Q516" s="32"/>
    </row>
    <row r="517" spans="4:17" x14ac:dyDescent="0.4">
      <c r="D517" s="15" t="str">
        <f>IF(B517&lt;&gt;"",IF(_xlfn.IFNA(VLOOKUP(B517&amp;C517,SUPORTE!AA:AA,1,0),"NÃO INICIADO")="NÃO INICIADO",IF(B517&amp;C517=$J$9&amp;$I$12,"EM PROCESSO","NÃO INICIADO"),VLOOKUP(B517&amp;C517,SUPORTE!AA:AF,6,0)),"")</f>
        <v/>
      </c>
      <c r="I517" s="46"/>
      <c r="J517" s="32"/>
      <c r="K517" s="32"/>
      <c r="L517" s="32"/>
      <c r="M517" s="32"/>
      <c r="N517" s="32"/>
      <c r="O517" s="32"/>
      <c r="P517" s="32"/>
      <c r="Q517" s="32"/>
    </row>
    <row r="518" spans="4:17" x14ac:dyDescent="0.4">
      <c r="D518" s="15" t="str">
        <f>IF(B518&lt;&gt;"",IF(_xlfn.IFNA(VLOOKUP(B518&amp;C518,SUPORTE!AA:AA,1,0),"NÃO INICIADO")="NÃO INICIADO",IF(B518&amp;C518=$J$9&amp;$I$12,"EM PROCESSO","NÃO INICIADO"),VLOOKUP(B518&amp;C518,SUPORTE!AA:AF,6,0)),"")</f>
        <v/>
      </c>
      <c r="I518" s="46"/>
      <c r="J518" s="32"/>
      <c r="K518" s="32"/>
      <c r="L518" s="32"/>
      <c r="M518" s="32"/>
      <c r="N518" s="32"/>
      <c r="O518" s="32"/>
      <c r="P518" s="32"/>
      <c r="Q518" s="32"/>
    </row>
    <row r="519" spans="4:17" x14ac:dyDescent="0.4">
      <c r="D519" s="15" t="str">
        <f>IF(B519&lt;&gt;"",IF(_xlfn.IFNA(VLOOKUP(B519&amp;C519,SUPORTE!AA:AA,1,0),"NÃO INICIADO")="NÃO INICIADO",IF(B519&amp;C519=$J$9&amp;$I$12,"EM PROCESSO","NÃO INICIADO"),VLOOKUP(B519&amp;C519,SUPORTE!AA:AF,6,0)),"")</f>
        <v/>
      </c>
      <c r="I519" s="46"/>
      <c r="J519" s="32"/>
      <c r="K519" s="32"/>
      <c r="L519" s="32"/>
      <c r="M519" s="32"/>
      <c r="N519" s="32"/>
      <c r="O519" s="32"/>
      <c r="P519" s="32"/>
      <c r="Q519" s="32"/>
    </row>
    <row r="520" spans="4:17" x14ac:dyDescent="0.4">
      <c r="D520" s="15" t="str">
        <f>IF(B520&lt;&gt;"",IF(_xlfn.IFNA(VLOOKUP(B520&amp;C520,SUPORTE!AA:AA,1,0),"NÃO INICIADO")="NÃO INICIADO",IF(B520&amp;C520=$J$9&amp;$I$12,"EM PROCESSO","NÃO INICIADO"),VLOOKUP(B520&amp;C520,SUPORTE!AA:AF,6,0)),"")</f>
        <v/>
      </c>
      <c r="I520" s="46"/>
      <c r="J520" s="32"/>
      <c r="K520" s="32"/>
      <c r="L520" s="32"/>
      <c r="M520" s="32"/>
      <c r="N520" s="32"/>
      <c r="O520" s="32"/>
      <c r="P520" s="32"/>
      <c r="Q520" s="32"/>
    </row>
    <row r="521" spans="4:17" x14ac:dyDescent="0.4">
      <c r="D521" s="15" t="str">
        <f>IF(B521&lt;&gt;"",IF(_xlfn.IFNA(VLOOKUP(B521&amp;C521,SUPORTE!AA:AA,1,0),"NÃO INICIADO")="NÃO INICIADO",IF(B521&amp;C521=$J$9&amp;$I$12,"EM PROCESSO","NÃO INICIADO"),VLOOKUP(B521&amp;C521,SUPORTE!AA:AF,6,0)),"")</f>
        <v/>
      </c>
      <c r="I521" s="46"/>
      <c r="J521" s="32"/>
      <c r="K521" s="32"/>
      <c r="L521" s="32"/>
      <c r="M521" s="32"/>
      <c r="N521" s="32"/>
      <c r="O521" s="32"/>
      <c r="P521" s="32"/>
      <c r="Q521" s="32"/>
    </row>
    <row r="522" spans="4:17" x14ac:dyDescent="0.4">
      <c r="D522" s="15" t="str">
        <f>IF(B522&lt;&gt;"",IF(_xlfn.IFNA(VLOOKUP(B522&amp;C522,SUPORTE!AA:AA,1,0),"NÃO INICIADO")="NÃO INICIADO",IF(B522&amp;C522=$J$9&amp;$I$12,"EM PROCESSO","NÃO INICIADO"),VLOOKUP(B522&amp;C522,SUPORTE!AA:AF,6,0)),"")</f>
        <v/>
      </c>
      <c r="I522" s="46"/>
      <c r="J522" s="32"/>
      <c r="K522" s="32"/>
      <c r="L522" s="32"/>
      <c r="M522" s="32"/>
      <c r="N522" s="32"/>
      <c r="O522" s="32"/>
      <c r="P522" s="32"/>
      <c r="Q522" s="32"/>
    </row>
    <row r="523" spans="4:17" x14ac:dyDescent="0.4">
      <c r="D523" s="15" t="str">
        <f>IF(B523&lt;&gt;"",IF(_xlfn.IFNA(VLOOKUP(B523&amp;C523,SUPORTE!AA:AA,1,0),"NÃO INICIADO")="NÃO INICIADO",IF(B523&amp;C523=$J$9&amp;$I$12,"EM PROCESSO","NÃO INICIADO"),VLOOKUP(B523&amp;C523,SUPORTE!AA:AF,6,0)),"")</f>
        <v/>
      </c>
      <c r="I523" s="46"/>
      <c r="J523" s="32"/>
      <c r="K523" s="32"/>
      <c r="L523" s="32"/>
      <c r="M523" s="32"/>
      <c r="N523" s="32"/>
      <c r="O523" s="32"/>
      <c r="P523" s="32"/>
      <c r="Q523" s="32"/>
    </row>
    <row r="524" spans="4:17" x14ac:dyDescent="0.4">
      <c r="D524" s="15" t="str">
        <f>IF(B524&lt;&gt;"",IF(_xlfn.IFNA(VLOOKUP(B524&amp;C524,SUPORTE!AA:AA,1,0),"NÃO INICIADO")="NÃO INICIADO",IF(B524&amp;C524=$J$9&amp;$I$12,"EM PROCESSO","NÃO INICIADO"),VLOOKUP(B524&amp;C524,SUPORTE!AA:AF,6,0)),"")</f>
        <v/>
      </c>
      <c r="I524" s="46"/>
      <c r="J524" s="32"/>
      <c r="K524" s="32"/>
      <c r="L524" s="32"/>
      <c r="M524" s="32"/>
      <c r="N524" s="32"/>
      <c r="O524" s="32"/>
      <c r="P524" s="32"/>
      <c r="Q524" s="32"/>
    </row>
    <row r="525" spans="4:17" x14ac:dyDescent="0.4">
      <c r="D525" s="15" t="str">
        <f>IF(B525&lt;&gt;"",IF(_xlfn.IFNA(VLOOKUP(B525&amp;C525,SUPORTE!AA:AA,1,0),"NÃO INICIADO")="NÃO INICIADO",IF(B525&amp;C525=$J$9&amp;$I$12,"EM PROCESSO","NÃO INICIADO"),VLOOKUP(B525&amp;C525,SUPORTE!AA:AF,6,0)),"")</f>
        <v/>
      </c>
      <c r="I525" s="46"/>
      <c r="J525" s="32"/>
      <c r="K525" s="32"/>
      <c r="L525" s="32"/>
      <c r="M525" s="32"/>
      <c r="N525" s="32"/>
      <c r="O525" s="32"/>
      <c r="P525" s="32"/>
      <c r="Q525" s="32"/>
    </row>
    <row r="526" spans="4:17" x14ac:dyDescent="0.4">
      <c r="D526" s="15" t="str">
        <f>IF(B526&lt;&gt;"",IF(_xlfn.IFNA(VLOOKUP(B526&amp;C526,SUPORTE!AA:AA,1,0),"NÃO INICIADO")="NÃO INICIADO",IF(B526&amp;C526=$J$9&amp;$I$12,"EM PROCESSO","NÃO INICIADO"),VLOOKUP(B526&amp;C526,SUPORTE!AA:AF,6,0)),"")</f>
        <v/>
      </c>
      <c r="I526" s="46"/>
      <c r="J526" s="32"/>
      <c r="K526" s="32"/>
      <c r="L526" s="32"/>
      <c r="M526" s="32"/>
      <c r="N526" s="32"/>
      <c r="O526" s="32"/>
      <c r="P526" s="32"/>
      <c r="Q526" s="32"/>
    </row>
    <row r="527" spans="4:17" x14ac:dyDescent="0.4">
      <c r="D527" s="15" t="str">
        <f>IF(B527&lt;&gt;"",IF(_xlfn.IFNA(VLOOKUP(B527&amp;C527,SUPORTE!AA:AA,1,0),"NÃO INICIADO")="NÃO INICIADO",IF(B527&amp;C527=$J$9&amp;$I$12,"EM PROCESSO","NÃO INICIADO"),VLOOKUP(B527&amp;C527,SUPORTE!AA:AF,6,0)),"")</f>
        <v/>
      </c>
      <c r="I527" s="46"/>
      <c r="J527" s="32"/>
      <c r="K527" s="32"/>
      <c r="L527" s="32"/>
      <c r="M527" s="32"/>
      <c r="N527" s="32"/>
      <c r="O527" s="32"/>
      <c r="P527" s="32"/>
      <c r="Q527" s="32"/>
    </row>
    <row r="528" spans="4:17" x14ac:dyDescent="0.4">
      <c r="D528" s="15" t="str">
        <f>IF(B528&lt;&gt;"",IF(_xlfn.IFNA(VLOOKUP(B528&amp;C528,SUPORTE!AA:AA,1,0),"NÃO INICIADO")="NÃO INICIADO",IF(B528&amp;C528=$J$9&amp;$I$12,"EM PROCESSO","NÃO INICIADO"),VLOOKUP(B528&amp;C528,SUPORTE!AA:AF,6,0)),"")</f>
        <v/>
      </c>
      <c r="I528" s="46"/>
      <c r="J528" s="32"/>
      <c r="K528" s="32"/>
      <c r="L528" s="32"/>
      <c r="M528" s="32"/>
      <c r="N528" s="32"/>
      <c r="O528" s="32"/>
      <c r="P528" s="32"/>
      <c r="Q528" s="32"/>
    </row>
    <row r="529" spans="4:17" x14ac:dyDescent="0.4">
      <c r="D529" s="15" t="str">
        <f>IF(B529&lt;&gt;"",IF(_xlfn.IFNA(VLOOKUP(B529&amp;C529,SUPORTE!AA:AA,1,0),"NÃO INICIADO")="NÃO INICIADO",IF(B529&amp;C529=$J$9&amp;$I$12,"EM PROCESSO","NÃO INICIADO"),VLOOKUP(B529&amp;C529,SUPORTE!AA:AF,6,0)),"")</f>
        <v/>
      </c>
      <c r="I529" s="46"/>
      <c r="J529" s="32"/>
      <c r="K529" s="32"/>
      <c r="L529" s="32"/>
      <c r="M529" s="32"/>
      <c r="N529" s="32"/>
      <c r="O529" s="32"/>
      <c r="P529" s="32"/>
      <c r="Q529" s="32"/>
    </row>
    <row r="530" spans="4:17" x14ac:dyDescent="0.4">
      <c r="D530" s="15" t="str">
        <f>IF(B530&lt;&gt;"",IF(_xlfn.IFNA(VLOOKUP(B530&amp;C530,SUPORTE!AA:AA,1,0),"NÃO INICIADO")="NÃO INICIADO",IF(B530&amp;C530=$J$9&amp;$I$12,"EM PROCESSO","NÃO INICIADO"),VLOOKUP(B530&amp;C530,SUPORTE!AA:AF,6,0)),"")</f>
        <v/>
      </c>
      <c r="I530" s="46"/>
      <c r="J530" s="32"/>
      <c r="K530" s="32"/>
      <c r="L530" s="32"/>
      <c r="M530" s="32"/>
      <c r="N530" s="32"/>
      <c r="O530" s="32"/>
      <c r="P530" s="32"/>
      <c r="Q530" s="32"/>
    </row>
    <row r="531" spans="4:17" x14ac:dyDescent="0.4">
      <c r="D531" s="15" t="str">
        <f>IF(B531&lt;&gt;"",IF(_xlfn.IFNA(VLOOKUP(B531&amp;C531,SUPORTE!AA:AA,1,0),"NÃO INICIADO")="NÃO INICIADO",IF(B531&amp;C531=$J$9&amp;$I$12,"EM PROCESSO","NÃO INICIADO"),VLOOKUP(B531&amp;C531,SUPORTE!AA:AF,6,0)),"")</f>
        <v/>
      </c>
      <c r="I531" s="46"/>
      <c r="J531" s="32"/>
      <c r="K531" s="32"/>
      <c r="L531" s="32"/>
      <c r="M531" s="32"/>
      <c r="N531" s="32"/>
      <c r="O531" s="32"/>
      <c r="P531" s="32"/>
      <c r="Q531" s="32"/>
    </row>
    <row r="532" spans="4:17" x14ac:dyDescent="0.4">
      <c r="D532" s="15" t="str">
        <f>IF(B532&lt;&gt;"",IF(_xlfn.IFNA(VLOOKUP(B532&amp;C532,SUPORTE!AA:AA,1,0),"NÃO INICIADO")="NÃO INICIADO",IF(B532&amp;C532=$J$9&amp;$I$12,"EM PROCESSO","NÃO INICIADO"),VLOOKUP(B532&amp;C532,SUPORTE!AA:AF,6,0)),"")</f>
        <v/>
      </c>
      <c r="I532" s="46"/>
      <c r="J532" s="32"/>
      <c r="K532" s="32"/>
      <c r="L532" s="32"/>
      <c r="M532" s="32"/>
      <c r="N532" s="32"/>
      <c r="O532" s="32"/>
      <c r="P532" s="32"/>
      <c r="Q532" s="32"/>
    </row>
    <row r="533" spans="4:17" x14ac:dyDescent="0.4">
      <c r="D533" s="15" t="str">
        <f>IF(B533&lt;&gt;"",IF(_xlfn.IFNA(VLOOKUP(B533&amp;C533,SUPORTE!AA:AA,1,0),"NÃO INICIADO")="NÃO INICIADO",IF(B533&amp;C533=$J$9&amp;$I$12,"EM PROCESSO","NÃO INICIADO"),VLOOKUP(B533&amp;C533,SUPORTE!AA:AF,6,0)),"")</f>
        <v/>
      </c>
      <c r="I533" s="46"/>
      <c r="J533" s="32"/>
      <c r="K533" s="32"/>
      <c r="L533" s="32"/>
      <c r="M533" s="32"/>
      <c r="N533" s="32"/>
      <c r="O533" s="32"/>
      <c r="P533" s="32"/>
      <c r="Q533" s="32"/>
    </row>
    <row r="534" spans="4:17" x14ac:dyDescent="0.4">
      <c r="D534" s="15" t="str">
        <f>IF(B534&lt;&gt;"",IF(_xlfn.IFNA(VLOOKUP(B534&amp;C534,SUPORTE!AA:AA,1,0),"NÃO INICIADO")="NÃO INICIADO",IF(B534&amp;C534=$J$9&amp;$I$12,"EM PROCESSO","NÃO INICIADO"),VLOOKUP(B534&amp;C534,SUPORTE!AA:AF,6,0)),"")</f>
        <v/>
      </c>
      <c r="I534" s="46"/>
      <c r="J534" s="32"/>
      <c r="K534" s="32"/>
      <c r="L534" s="32"/>
      <c r="M534" s="32"/>
      <c r="N534" s="32"/>
      <c r="O534" s="32"/>
      <c r="P534" s="32"/>
      <c r="Q534" s="32"/>
    </row>
    <row r="535" spans="4:17" x14ac:dyDescent="0.4">
      <c r="D535" s="15" t="str">
        <f>IF(B535&lt;&gt;"",IF(_xlfn.IFNA(VLOOKUP(B535&amp;C535,SUPORTE!AA:AA,1,0),"NÃO INICIADO")="NÃO INICIADO",IF(B535&amp;C535=$J$9&amp;$I$12,"EM PROCESSO","NÃO INICIADO"),VLOOKUP(B535&amp;C535,SUPORTE!AA:AF,6,0)),"")</f>
        <v/>
      </c>
      <c r="I535" s="46"/>
      <c r="J535" s="32"/>
      <c r="K535" s="32"/>
      <c r="L535" s="32"/>
      <c r="M535" s="32"/>
      <c r="N535" s="32"/>
      <c r="O535" s="32"/>
      <c r="P535" s="32"/>
      <c r="Q535" s="32"/>
    </row>
    <row r="536" spans="4:17" x14ac:dyDescent="0.4">
      <c r="D536" s="15" t="str">
        <f>IF(B536&lt;&gt;"",IF(_xlfn.IFNA(VLOOKUP(B536&amp;C536,SUPORTE!AA:AA,1,0),"NÃO INICIADO")="NÃO INICIADO",IF(B536&amp;C536=$J$9&amp;$I$12,"EM PROCESSO","NÃO INICIADO"),VLOOKUP(B536&amp;C536,SUPORTE!AA:AF,6,0)),"")</f>
        <v/>
      </c>
      <c r="I536" s="46"/>
      <c r="J536" s="32"/>
      <c r="K536" s="32"/>
      <c r="L536" s="32"/>
      <c r="M536" s="32"/>
      <c r="N536" s="32"/>
      <c r="O536" s="32"/>
      <c r="P536" s="32"/>
      <c r="Q536" s="32"/>
    </row>
    <row r="537" spans="4:17" x14ac:dyDescent="0.4">
      <c r="D537" s="15" t="str">
        <f>IF(B537&lt;&gt;"",IF(_xlfn.IFNA(VLOOKUP(B537&amp;C537,SUPORTE!AA:AA,1,0),"NÃO INICIADO")="NÃO INICIADO",IF(B537&amp;C537=$J$9&amp;$I$12,"EM PROCESSO","NÃO INICIADO"),VLOOKUP(B537&amp;C537,SUPORTE!AA:AF,6,0)),"")</f>
        <v/>
      </c>
      <c r="I537" s="46"/>
      <c r="J537" s="32"/>
      <c r="K537" s="32"/>
      <c r="L537" s="32"/>
      <c r="M537" s="32"/>
      <c r="N537" s="32"/>
      <c r="O537" s="32"/>
      <c r="P537" s="32"/>
      <c r="Q537" s="32"/>
    </row>
    <row r="538" spans="4:17" x14ac:dyDescent="0.4">
      <c r="D538" s="15" t="str">
        <f>IF(B538&lt;&gt;"",IF(_xlfn.IFNA(VLOOKUP(B538&amp;C538,SUPORTE!AA:AA,1,0),"NÃO INICIADO")="NÃO INICIADO",IF(B538&amp;C538=$J$9&amp;$I$12,"EM PROCESSO","NÃO INICIADO"),VLOOKUP(B538&amp;C538,SUPORTE!AA:AF,6,0)),"")</f>
        <v/>
      </c>
      <c r="I538" s="46"/>
      <c r="J538" s="32"/>
      <c r="K538" s="32"/>
      <c r="L538" s="32"/>
      <c r="M538" s="32"/>
      <c r="N538" s="32"/>
      <c r="O538" s="32"/>
      <c r="P538" s="32"/>
      <c r="Q538" s="32"/>
    </row>
    <row r="539" spans="4:17" x14ac:dyDescent="0.4">
      <c r="D539" s="15" t="str">
        <f>IF(B539&lt;&gt;"",IF(_xlfn.IFNA(VLOOKUP(B539&amp;C539,SUPORTE!AA:AA,1,0),"NÃO INICIADO")="NÃO INICIADO",IF(B539&amp;C539=$J$9&amp;$I$12,"EM PROCESSO","NÃO INICIADO"),VLOOKUP(B539&amp;C539,SUPORTE!AA:AF,6,0)),"")</f>
        <v/>
      </c>
      <c r="I539" s="46"/>
      <c r="J539" s="32"/>
      <c r="K539" s="32"/>
      <c r="L539" s="32"/>
      <c r="M539" s="32"/>
      <c r="N539" s="32"/>
      <c r="O539" s="32"/>
      <c r="P539" s="32"/>
      <c r="Q539" s="32"/>
    </row>
    <row r="540" spans="4:17" x14ac:dyDescent="0.4">
      <c r="D540" s="15" t="str">
        <f>IF(B540&lt;&gt;"",IF(_xlfn.IFNA(VLOOKUP(B540&amp;C540,SUPORTE!AA:AA,1,0),"NÃO INICIADO")="NÃO INICIADO",IF(B540&amp;C540=$J$9&amp;$I$12,"EM PROCESSO","NÃO INICIADO"),VLOOKUP(B540&amp;C540,SUPORTE!AA:AF,6,0)),"")</f>
        <v/>
      </c>
      <c r="I540" s="46"/>
      <c r="J540" s="32"/>
      <c r="K540" s="32"/>
      <c r="L540" s="32"/>
      <c r="M540" s="32"/>
      <c r="N540" s="32"/>
      <c r="O540" s="32"/>
      <c r="P540" s="32"/>
      <c r="Q540" s="32"/>
    </row>
    <row r="541" spans="4:17" x14ac:dyDescent="0.4">
      <c r="D541" s="15" t="str">
        <f>IF(B541&lt;&gt;"",IF(_xlfn.IFNA(VLOOKUP(B541&amp;C541,SUPORTE!AA:AA,1,0),"NÃO INICIADO")="NÃO INICIADO",IF(B541&amp;C541=$J$9&amp;$I$12,"EM PROCESSO","NÃO INICIADO"),VLOOKUP(B541&amp;C541,SUPORTE!AA:AF,6,0)),"")</f>
        <v/>
      </c>
      <c r="I541" s="46"/>
      <c r="J541" s="32"/>
      <c r="K541" s="32"/>
      <c r="L541" s="32"/>
      <c r="M541" s="32"/>
      <c r="N541" s="32"/>
      <c r="O541" s="32"/>
      <c r="P541" s="32"/>
      <c r="Q541" s="32"/>
    </row>
    <row r="542" spans="4:17" x14ac:dyDescent="0.4">
      <c r="D542" s="15" t="str">
        <f>IF(B542&lt;&gt;"",IF(_xlfn.IFNA(VLOOKUP(B542&amp;C542,SUPORTE!AA:AA,1,0),"NÃO INICIADO")="NÃO INICIADO",IF(B542&amp;C542=$J$9&amp;$I$12,"EM PROCESSO","NÃO INICIADO"),VLOOKUP(B542&amp;C542,SUPORTE!AA:AF,6,0)),"")</f>
        <v/>
      </c>
      <c r="I542" s="46"/>
      <c r="J542" s="32"/>
      <c r="K542" s="32"/>
      <c r="L542" s="32"/>
      <c r="M542" s="32"/>
      <c r="N542" s="32"/>
      <c r="O542" s="32"/>
      <c r="P542" s="32"/>
      <c r="Q542" s="32"/>
    </row>
    <row r="543" spans="4:17" x14ac:dyDescent="0.4">
      <c r="D543" s="15" t="str">
        <f>IF(B543&lt;&gt;"",IF(_xlfn.IFNA(VLOOKUP(B543&amp;C543,SUPORTE!AA:AA,1,0),"NÃO INICIADO")="NÃO INICIADO",IF(B543&amp;C543=$J$9&amp;$I$12,"EM PROCESSO","NÃO INICIADO"),VLOOKUP(B543&amp;C543,SUPORTE!AA:AF,6,0)),"")</f>
        <v/>
      </c>
      <c r="I543" s="46"/>
      <c r="J543" s="32"/>
      <c r="K543" s="32"/>
      <c r="L543" s="32"/>
      <c r="M543" s="32"/>
      <c r="N543" s="32"/>
      <c r="O543" s="32"/>
      <c r="P543" s="32"/>
      <c r="Q543" s="32"/>
    </row>
    <row r="544" spans="4:17" x14ac:dyDescent="0.4">
      <c r="D544" s="15" t="str">
        <f>IF(B544&lt;&gt;"",IF(_xlfn.IFNA(VLOOKUP(B544&amp;C544,SUPORTE!AA:AA,1,0),"NÃO INICIADO")="NÃO INICIADO",IF(B544&amp;C544=$J$9&amp;$I$12,"EM PROCESSO","NÃO INICIADO"),VLOOKUP(B544&amp;C544,SUPORTE!AA:AF,6,0)),"")</f>
        <v/>
      </c>
      <c r="I544" s="46"/>
      <c r="J544" s="32"/>
      <c r="K544" s="32"/>
      <c r="L544" s="32"/>
      <c r="M544" s="32"/>
      <c r="N544" s="32"/>
      <c r="O544" s="32"/>
      <c r="P544" s="32"/>
      <c r="Q544" s="32"/>
    </row>
    <row r="545" spans="4:17" x14ac:dyDescent="0.4">
      <c r="D545" s="15" t="str">
        <f>IF(B545&lt;&gt;"",IF(_xlfn.IFNA(VLOOKUP(B545&amp;C545,SUPORTE!AA:AA,1,0),"NÃO INICIADO")="NÃO INICIADO",IF(B545&amp;C545=$J$9&amp;$I$12,"EM PROCESSO","NÃO INICIADO"),VLOOKUP(B545&amp;C545,SUPORTE!AA:AF,6,0)),"")</f>
        <v/>
      </c>
      <c r="I545" s="46"/>
      <c r="J545" s="32"/>
      <c r="K545" s="32"/>
      <c r="L545" s="32"/>
      <c r="M545" s="32"/>
      <c r="N545" s="32"/>
      <c r="O545" s="32"/>
      <c r="P545" s="32"/>
      <c r="Q545" s="32"/>
    </row>
    <row r="546" spans="4:17" x14ac:dyDescent="0.4">
      <c r="D546" s="15" t="str">
        <f>IF(B546&lt;&gt;"",IF(_xlfn.IFNA(VLOOKUP(B546&amp;C546,SUPORTE!AA:AA,1,0),"NÃO INICIADO")="NÃO INICIADO",IF(B546&amp;C546=$J$9&amp;$I$12,"EM PROCESSO","NÃO INICIADO"),VLOOKUP(B546&amp;C546,SUPORTE!AA:AF,6,0)),"")</f>
        <v/>
      </c>
      <c r="I546" s="46"/>
      <c r="J546" s="32"/>
      <c r="K546" s="32"/>
      <c r="L546" s="32"/>
      <c r="M546" s="32"/>
      <c r="N546" s="32"/>
      <c r="O546" s="32"/>
      <c r="P546" s="32"/>
      <c r="Q546" s="32"/>
    </row>
    <row r="547" spans="4:17" x14ac:dyDescent="0.4">
      <c r="D547" s="15" t="str">
        <f>IF(B547&lt;&gt;"",IF(_xlfn.IFNA(VLOOKUP(B547&amp;C547,SUPORTE!AA:AA,1,0),"NÃO INICIADO")="NÃO INICIADO",IF(B547&amp;C547=$J$9&amp;$I$12,"EM PROCESSO","NÃO INICIADO"),VLOOKUP(B547&amp;C547,SUPORTE!AA:AF,6,0)),"")</f>
        <v/>
      </c>
      <c r="I547" s="46"/>
      <c r="J547" s="32"/>
      <c r="K547" s="32"/>
      <c r="L547" s="32"/>
      <c r="M547" s="32"/>
      <c r="N547" s="32"/>
      <c r="O547" s="32"/>
      <c r="P547" s="32"/>
      <c r="Q547" s="32"/>
    </row>
    <row r="548" spans="4:17" x14ac:dyDescent="0.4">
      <c r="D548" s="15" t="str">
        <f>IF(B548&lt;&gt;"",IF(_xlfn.IFNA(VLOOKUP(B548&amp;C548,SUPORTE!AA:AA,1,0),"NÃO INICIADO")="NÃO INICIADO",IF(B548&amp;C548=$J$9&amp;$I$12,"EM PROCESSO","NÃO INICIADO"),VLOOKUP(B548&amp;C548,SUPORTE!AA:AF,6,0)),"")</f>
        <v/>
      </c>
      <c r="I548" s="46"/>
      <c r="J548" s="32"/>
      <c r="K548" s="32"/>
      <c r="L548" s="32"/>
      <c r="M548" s="32"/>
      <c r="N548" s="32"/>
      <c r="O548" s="32"/>
      <c r="P548" s="32"/>
      <c r="Q548" s="32"/>
    </row>
    <row r="549" spans="4:17" x14ac:dyDescent="0.4">
      <c r="D549" s="15" t="str">
        <f>IF(B549&lt;&gt;"",IF(_xlfn.IFNA(VLOOKUP(B549&amp;C549,SUPORTE!AA:AA,1,0),"NÃO INICIADO")="NÃO INICIADO",IF(B549&amp;C549=$J$9&amp;$I$12,"EM PROCESSO","NÃO INICIADO"),VLOOKUP(B549&amp;C549,SUPORTE!AA:AF,6,0)),"")</f>
        <v/>
      </c>
      <c r="I549" s="46"/>
      <c r="J549" s="32"/>
      <c r="K549" s="32"/>
      <c r="L549" s="32"/>
      <c r="M549" s="32"/>
      <c r="N549" s="32"/>
      <c r="O549" s="32"/>
      <c r="P549" s="32"/>
      <c r="Q549" s="32"/>
    </row>
    <row r="550" spans="4:17" x14ac:dyDescent="0.4">
      <c r="D550" s="15" t="str">
        <f>IF(B550&lt;&gt;"",IF(_xlfn.IFNA(VLOOKUP(B550&amp;C550,SUPORTE!AA:AA,1,0),"NÃO INICIADO")="NÃO INICIADO",IF(B550&amp;C550=$J$9&amp;$I$12,"EM PROCESSO","NÃO INICIADO"),VLOOKUP(B550&amp;C550,SUPORTE!AA:AF,6,0)),"")</f>
        <v/>
      </c>
      <c r="I550" s="46"/>
      <c r="J550" s="32"/>
      <c r="K550" s="32"/>
      <c r="L550" s="32"/>
      <c r="M550" s="32"/>
      <c r="N550" s="32"/>
      <c r="O550" s="32"/>
      <c r="P550" s="32"/>
      <c r="Q550" s="32"/>
    </row>
    <row r="551" spans="4:17" x14ac:dyDescent="0.4">
      <c r="D551" s="15" t="str">
        <f>IF(B551&lt;&gt;"",IF(_xlfn.IFNA(VLOOKUP(B551&amp;C551,SUPORTE!AA:AA,1,0),"NÃO INICIADO")="NÃO INICIADO",IF(B551&amp;C551=$J$9&amp;$I$12,"EM PROCESSO","NÃO INICIADO"),VLOOKUP(B551&amp;C551,SUPORTE!AA:AF,6,0)),"")</f>
        <v/>
      </c>
      <c r="I551" s="46"/>
      <c r="J551" s="32"/>
      <c r="K551" s="32"/>
      <c r="L551" s="32"/>
      <c r="M551" s="32"/>
      <c r="N551" s="32"/>
      <c r="O551" s="32"/>
      <c r="P551" s="32"/>
      <c r="Q551" s="32"/>
    </row>
    <row r="552" spans="4:17" x14ac:dyDescent="0.4">
      <c r="D552" s="15" t="str">
        <f>IF(B552&lt;&gt;"",IF(_xlfn.IFNA(VLOOKUP(B552&amp;C552,SUPORTE!AA:AA,1,0),"NÃO INICIADO")="NÃO INICIADO",IF(B552&amp;C552=$J$9&amp;$I$12,"EM PROCESSO","NÃO INICIADO"),VLOOKUP(B552&amp;C552,SUPORTE!AA:AF,6,0)),"")</f>
        <v/>
      </c>
      <c r="I552" s="46"/>
      <c r="J552" s="32"/>
      <c r="K552" s="32"/>
      <c r="L552" s="32"/>
      <c r="M552" s="32"/>
      <c r="N552" s="32"/>
      <c r="O552" s="32"/>
      <c r="P552" s="32"/>
      <c r="Q552" s="32"/>
    </row>
    <row r="553" spans="4:17" x14ac:dyDescent="0.4">
      <c r="D553" s="15" t="str">
        <f>IF(B553&lt;&gt;"",IF(_xlfn.IFNA(VLOOKUP(B553&amp;C553,SUPORTE!AA:AA,1,0),"NÃO INICIADO")="NÃO INICIADO",IF(B553&amp;C553=$J$9&amp;$I$12,"EM PROCESSO","NÃO INICIADO"),VLOOKUP(B553&amp;C553,SUPORTE!AA:AF,6,0)),"")</f>
        <v/>
      </c>
      <c r="I553" s="46"/>
      <c r="J553" s="32"/>
      <c r="K553" s="32"/>
      <c r="L553" s="32"/>
      <c r="M553" s="32"/>
      <c r="N553" s="32"/>
      <c r="O553" s="32"/>
      <c r="P553" s="32"/>
      <c r="Q553" s="32"/>
    </row>
    <row r="554" spans="4:17" x14ac:dyDescent="0.4">
      <c r="D554" s="15" t="str">
        <f>IF(B554&lt;&gt;"",IF(_xlfn.IFNA(VLOOKUP(B554&amp;C554,SUPORTE!AA:AA,1,0),"NÃO INICIADO")="NÃO INICIADO",IF(B554&amp;C554=$J$9&amp;$I$12,"EM PROCESSO","NÃO INICIADO"),VLOOKUP(B554&amp;C554,SUPORTE!AA:AF,6,0)),"")</f>
        <v/>
      </c>
      <c r="I554" s="46"/>
      <c r="J554" s="32"/>
      <c r="K554" s="32"/>
      <c r="L554" s="32"/>
      <c r="M554" s="32"/>
      <c r="N554" s="32"/>
      <c r="O554" s="32"/>
      <c r="P554" s="32"/>
      <c r="Q554" s="32"/>
    </row>
    <row r="555" spans="4:17" x14ac:dyDescent="0.4">
      <c r="D555" s="15" t="str">
        <f>IF(B555&lt;&gt;"",IF(_xlfn.IFNA(VLOOKUP(B555&amp;C555,SUPORTE!AA:AA,1,0),"NÃO INICIADO")="NÃO INICIADO",IF(B555&amp;C555=$J$9&amp;$I$12,"EM PROCESSO","NÃO INICIADO"),VLOOKUP(B555&amp;C555,SUPORTE!AA:AF,6,0)),"")</f>
        <v/>
      </c>
      <c r="I555" s="46"/>
      <c r="J555" s="32"/>
      <c r="K555" s="32"/>
      <c r="L555" s="32"/>
      <c r="M555" s="32"/>
      <c r="N555" s="32"/>
      <c r="O555" s="32"/>
      <c r="P555" s="32"/>
      <c r="Q555" s="32"/>
    </row>
    <row r="556" spans="4:17" x14ac:dyDescent="0.4">
      <c r="D556" s="15" t="str">
        <f>IF(B556&lt;&gt;"",IF(_xlfn.IFNA(VLOOKUP(B556&amp;C556,SUPORTE!AA:AA,1,0),"NÃO INICIADO")="NÃO INICIADO",IF(B556&amp;C556=$J$9&amp;$I$12,"EM PROCESSO","NÃO INICIADO"),VLOOKUP(B556&amp;C556,SUPORTE!AA:AF,6,0)),"")</f>
        <v/>
      </c>
      <c r="I556" s="46"/>
      <c r="J556" s="32"/>
      <c r="K556" s="32"/>
      <c r="L556" s="32"/>
      <c r="M556" s="32"/>
      <c r="N556" s="32"/>
      <c r="O556" s="32"/>
      <c r="P556" s="32"/>
      <c r="Q556" s="32"/>
    </row>
    <row r="557" spans="4:17" x14ac:dyDescent="0.4">
      <c r="D557" s="15" t="str">
        <f>IF(B557&lt;&gt;"",IF(_xlfn.IFNA(VLOOKUP(B557&amp;C557,SUPORTE!AA:AA,1,0),"NÃO INICIADO")="NÃO INICIADO",IF(B557&amp;C557=$J$9&amp;$I$12,"EM PROCESSO","NÃO INICIADO"),VLOOKUP(B557&amp;C557,SUPORTE!AA:AF,6,0)),"")</f>
        <v/>
      </c>
      <c r="I557" s="46"/>
      <c r="J557" s="32"/>
      <c r="K557" s="32"/>
      <c r="L557" s="32"/>
      <c r="M557" s="32"/>
      <c r="N557" s="32"/>
      <c r="O557" s="32"/>
      <c r="P557" s="32"/>
      <c r="Q557" s="32"/>
    </row>
    <row r="558" spans="4:17" x14ac:dyDescent="0.4">
      <c r="D558" s="15" t="str">
        <f>IF(B558&lt;&gt;"",IF(_xlfn.IFNA(VLOOKUP(B558&amp;C558,SUPORTE!AA:AA,1,0),"NÃO INICIADO")="NÃO INICIADO",IF(B558&amp;C558=$J$9&amp;$I$12,"EM PROCESSO","NÃO INICIADO"),VLOOKUP(B558&amp;C558,SUPORTE!AA:AF,6,0)),"")</f>
        <v/>
      </c>
      <c r="I558" s="46"/>
      <c r="J558" s="32"/>
      <c r="K558" s="32"/>
      <c r="L558" s="32"/>
      <c r="M558" s="32"/>
      <c r="N558" s="32"/>
      <c r="O558" s="32"/>
      <c r="P558" s="32"/>
      <c r="Q558" s="32"/>
    </row>
    <row r="559" spans="4:17" x14ac:dyDescent="0.4">
      <c r="D559" s="15" t="str">
        <f>IF(B559&lt;&gt;"",IF(_xlfn.IFNA(VLOOKUP(B559&amp;C559,SUPORTE!AA:AA,1,0),"NÃO INICIADO")="NÃO INICIADO",IF(B559&amp;C559=$J$9&amp;$I$12,"EM PROCESSO","NÃO INICIADO"),VLOOKUP(B559&amp;C559,SUPORTE!AA:AF,6,0)),"")</f>
        <v/>
      </c>
      <c r="I559" s="46"/>
      <c r="J559" s="32"/>
      <c r="K559" s="32"/>
      <c r="L559" s="32"/>
      <c r="M559" s="32"/>
      <c r="N559" s="32"/>
      <c r="O559" s="32"/>
      <c r="P559" s="32"/>
      <c r="Q559" s="32"/>
    </row>
    <row r="560" spans="4:17" x14ac:dyDescent="0.4">
      <c r="D560" s="15" t="str">
        <f>IF(B560&lt;&gt;"",IF(_xlfn.IFNA(VLOOKUP(B560&amp;C560,SUPORTE!AA:AA,1,0),"NÃO INICIADO")="NÃO INICIADO",IF(B560&amp;C560=$J$9&amp;$I$12,"EM PROCESSO","NÃO INICIADO"),VLOOKUP(B560&amp;C560,SUPORTE!AA:AF,6,0)),"")</f>
        <v/>
      </c>
      <c r="I560" s="46"/>
      <c r="J560" s="32"/>
      <c r="K560" s="32"/>
      <c r="L560" s="32"/>
      <c r="M560" s="32"/>
      <c r="N560" s="32"/>
      <c r="O560" s="32"/>
      <c r="P560" s="32"/>
      <c r="Q560" s="32"/>
    </row>
    <row r="561" spans="4:17" x14ac:dyDescent="0.4">
      <c r="D561" s="15" t="str">
        <f>IF(B561&lt;&gt;"",IF(_xlfn.IFNA(VLOOKUP(B561&amp;C561,SUPORTE!AA:AA,1,0),"NÃO INICIADO")="NÃO INICIADO",IF(B561&amp;C561=$J$9&amp;$I$12,"EM PROCESSO","NÃO INICIADO"),VLOOKUP(B561&amp;C561,SUPORTE!AA:AF,6,0)),"")</f>
        <v/>
      </c>
      <c r="I561" s="46"/>
      <c r="J561" s="32"/>
      <c r="K561" s="32"/>
      <c r="L561" s="32"/>
      <c r="M561" s="32"/>
      <c r="N561" s="32"/>
      <c r="O561" s="32"/>
      <c r="P561" s="32"/>
      <c r="Q561" s="32"/>
    </row>
    <row r="562" spans="4:17" x14ac:dyDescent="0.4">
      <c r="D562" s="15" t="str">
        <f>IF(B562&lt;&gt;"",IF(_xlfn.IFNA(VLOOKUP(B562&amp;C562,SUPORTE!AA:AA,1,0),"NÃO INICIADO")="NÃO INICIADO",IF(B562&amp;C562=$J$9&amp;$I$12,"EM PROCESSO","NÃO INICIADO"),VLOOKUP(B562&amp;C562,SUPORTE!AA:AF,6,0)),"")</f>
        <v/>
      </c>
      <c r="I562" s="46"/>
      <c r="J562" s="32"/>
      <c r="K562" s="32"/>
      <c r="L562" s="32"/>
      <c r="M562" s="32"/>
      <c r="N562" s="32"/>
      <c r="O562" s="32"/>
      <c r="P562" s="32"/>
      <c r="Q562" s="32"/>
    </row>
    <row r="563" spans="4:17" x14ac:dyDescent="0.4">
      <c r="D563" s="15" t="str">
        <f>IF(B563&lt;&gt;"",IF(_xlfn.IFNA(VLOOKUP(B563&amp;C563,SUPORTE!AA:AA,1,0),"NÃO INICIADO")="NÃO INICIADO",IF(B563&amp;C563=$J$9&amp;$I$12,"EM PROCESSO","NÃO INICIADO"),VLOOKUP(B563&amp;C563,SUPORTE!AA:AF,6,0)),"")</f>
        <v/>
      </c>
      <c r="I563" s="46"/>
      <c r="J563" s="32"/>
      <c r="K563" s="32"/>
      <c r="L563" s="32"/>
      <c r="M563" s="32"/>
      <c r="N563" s="32"/>
      <c r="O563" s="32"/>
      <c r="P563" s="32"/>
      <c r="Q563" s="32"/>
    </row>
    <row r="564" spans="4:17" x14ac:dyDescent="0.4">
      <c r="D564" s="15" t="str">
        <f>IF(B564&lt;&gt;"",IF(_xlfn.IFNA(VLOOKUP(B564&amp;C564,SUPORTE!AA:AA,1,0),"NÃO INICIADO")="NÃO INICIADO",IF(B564&amp;C564=$J$9&amp;$I$12,"EM PROCESSO","NÃO INICIADO"),VLOOKUP(B564&amp;C564,SUPORTE!AA:AF,6,0)),"")</f>
        <v/>
      </c>
      <c r="I564" s="46"/>
      <c r="J564" s="32"/>
      <c r="K564" s="32"/>
      <c r="L564" s="32"/>
      <c r="M564" s="32"/>
      <c r="N564" s="32"/>
      <c r="O564" s="32"/>
      <c r="P564" s="32"/>
      <c r="Q564" s="32"/>
    </row>
    <row r="565" spans="4:17" x14ac:dyDescent="0.4">
      <c r="D565" s="15" t="str">
        <f>IF(B565&lt;&gt;"",IF(_xlfn.IFNA(VLOOKUP(B565&amp;C565,SUPORTE!AA:AA,1,0),"NÃO INICIADO")="NÃO INICIADO",IF(B565&amp;C565=$J$9&amp;$I$12,"EM PROCESSO","NÃO INICIADO"),VLOOKUP(B565&amp;C565,SUPORTE!AA:AF,6,0)),"")</f>
        <v/>
      </c>
      <c r="I565" s="46"/>
      <c r="J565" s="32"/>
      <c r="K565" s="32"/>
      <c r="L565" s="32"/>
      <c r="M565" s="32"/>
      <c r="N565" s="32"/>
      <c r="O565" s="32"/>
      <c r="P565" s="32"/>
      <c r="Q565" s="32"/>
    </row>
    <row r="566" spans="4:17" x14ac:dyDescent="0.4">
      <c r="D566" s="15" t="str">
        <f>IF(B566&lt;&gt;"",IF(_xlfn.IFNA(VLOOKUP(B566&amp;C566,SUPORTE!AA:AA,1,0),"NÃO INICIADO")="NÃO INICIADO",IF(B566&amp;C566=$J$9&amp;$I$12,"EM PROCESSO","NÃO INICIADO"),VLOOKUP(B566&amp;C566,SUPORTE!AA:AF,6,0)),"")</f>
        <v/>
      </c>
      <c r="I566" s="46"/>
      <c r="J566" s="32"/>
      <c r="K566" s="32"/>
      <c r="L566" s="32"/>
      <c r="M566" s="32"/>
      <c r="N566" s="32"/>
      <c r="O566" s="32"/>
      <c r="P566" s="32"/>
      <c r="Q566" s="32"/>
    </row>
    <row r="567" spans="4:17" x14ac:dyDescent="0.4">
      <c r="D567" s="15" t="str">
        <f>IF(B567&lt;&gt;"",IF(_xlfn.IFNA(VLOOKUP(B567&amp;C567,SUPORTE!AA:AA,1,0),"NÃO INICIADO")="NÃO INICIADO",IF(B567&amp;C567=$J$9&amp;$I$12,"EM PROCESSO","NÃO INICIADO"),VLOOKUP(B567&amp;C567,SUPORTE!AA:AF,6,0)),"")</f>
        <v/>
      </c>
      <c r="I567" s="46"/>
      <c r="J567" s="32"/>
      <c r="K567" s="32"/>
      <c r="L567" s="32"/>
      <c r="M567" s="32"/>
      <c r="N567" s="32"/>
      <c r="O567" s="32"/>
      <c r="P567" s="32"/>
      <c r="Q567" s="32"/>
    </row>
    <row r="568" spans="4:17" x14ac:dyDescent="0.4">
      <c r="D568" s="15" t="str">
        <f>IF(B568&lt;&gt;"",IF(_xlfn.IFNA(VLOOKUP(B568&amp;C568,SUPORTE!AA:AA,1,0),"NÃO INICIADO")="NÃO INICIADO",IF(B568&amp;C568=$J$9&amp;$I$12,"EM PROCESSO","NÃO INICIADO"),VLOOKUP(B568&amp;C568,SUPORTE!AA:AF,6,0)),"")</f>
        <v/>
      </c>
      <c r="I568" s="46"/>
      <c r="J568" s="32"/>
      <c r="K568" s="32"/>
      <c r="L568" s="32"/>
      <c r="M568" s="32"/>
      <c r="N568" s="32"/>
      <c r="O568" s="32"/>
      <c r="P568" s="32"/>
      <c r="Q568" s="32"/>
    </row>
    <row r="569" spans="4:17" x14ac:dyDescent="0.4">
      <c r="D569" s="15" t="str">
        <f>IF(B569&lt;&gt;"",IF(_xlfn.IFNA(VLOOKUP(B569&amp;C569,SUPORTE!AA:AA,1,0),"NÃO INICIADO")="NÃO INICIADO",IF(B569&amp;C569=$J$9&amp;$I$12,"EM PROCESSO","NÃO INICIADO"),VLOOKUP(B569&amp;C569,SUPORTE!AA:AF,6,0)),"")</f>
        <v/>
      </c>
      <c r="I569" s="46"/>
      <c r="J569" s="32"/>
      <c r="K569" s="32"/>
      <c r="L569" s="32"/>
      <c r="M569" s="32"/>
      <c r="N569" s="32"/>
      <c r="O569" s="32"/>
      <c r="P569" s="32"/>
      <c r="Q569" s="32"/>
    </row>
    <row r="570" spans="4:17" x14ac:dyDescent="0.4">
      <c r="D570" s="15" t="str">
        <f>IF(B570&lt;&gt;"",IF(_xlfn.IFNA(VLOOKUP(B570&amp;C570,SUPORTE!AA:AA,1,0),"NÃO INICIADO")="NÃO INICIADO",IF(B570&amp;C570=$J$9&amp;$I$12,"EM PROCESSO","NÃO INICIADO"),VLOOKUP(B570&amp;C570,SUPORTE!AA:AF,6,0)),"")</f>
        <v/>
      </c>
      <c r="I570" s="46"/>
      <c r="J570" s="32"/>
      <c r="K570" s="32"/>
      <c r="L570" s="32"/>
      <c r="M570" s="32"/>
      <c r="N570" s="32"/>
      <c r="O570" s="32"/>
      <c r="P570" s="32"/>
      <c r="Q570" s="32"/>
    </row>
    <row r="571" spans="4:17" x14ac:dyDescent="0.4">
      <c r="D571" s="15" t="str">
        <f>IF(B571&lt;&gt;"",IF(_xlfn.IFNA(VLOOKUP(B571&amp;C571,SUPORTE!AA:AA,1,0),"NÃO INICIADO")="NÃO INICIADO",IF(B571&amp;C571=$J$9&amp;$I$12,"EM PROCESSO","NÃO INICIADO"),VLOOKUP(B571&amp;C571,SUPORTE!AA:AF,6,0)),"")</f>
        <v/>
      </c>
      <c r="I571" s="46"/>
      <c r="J571" s="32"/>
      <c r="K571" s="32"/>
      <c r="L571" s="32"/>
      <c r="M571" s="32"/>
      <c r="N571" s="32"/>
      <c r="O571" s="32"/>
      <c r="P571" s="32"/>
      <c r="Q571" s="32"/>
    </row>
    <row r="572" spans="4:17" x14ac:dyDescent="0.4">
      <c r="D572" s="15" t="str">
        <f>IF(B572&lt;&gt;"",IF(_xlfn.IFNA(VLOOKUP(B572&amp;C572,SUPORTE!AA:AA,1,0),"NÃO INICIADO")="NÃO INICIADO",IF(B572&amp;C572=$J$9&amp;$I$12,"EM PROCESSO","NÃO INICIADO"),VLOOKUP(B572&amp;C572,SUPORTE!AA:AF,6,0)),"")</f>
        <v/>
      </c>
      <c r="I572" s="46"/>
      <c r="J572" s="32"/>
      <c r="K572" s="32"/>
      <c r="L572" s="32"/>
      <c r="M572" s="32"/>
      <c r="N572" s="32"/>
      <c r="O572" s="32"/>
      <c r="P572" s="32"/>
      <c r="Q572" s="32"/>
    </row>
    <row r="573" spans="4:17" x14ac:dyDescent="0.4">
      <c r="D573" s="15" t="str">
        <f>IF(B573&lt;&gt;"",IF(_xlfn.IFNA(VLOOKUP(B573&amp;C573,SUPORTE!AA:AA,1,0),"NÃO INICIADO")="NÃO INICIADO",IF(B573&amp;C573=$J$9&amp;$I$12,"EM PROCESSO","NÃO INICIADO"),VLOOKUP(B573&amp;C573,SUPORTE!AA:AF,6,0)),"")</f>
        <v/>
      </c>
      <c r="I573" s="46"/>
      <c r="J573" s="32"/>
      <c r="K573" s="32"/>
      <c r="L573" s="32"/>
      <c r="M573" s="32"/>
      <c r="N573" s="32"/>
      <c r="O573" s="32"/>
      <c r="P573" s="32"/>
      <c r="Q573" s="32"/>
    </row>
    <row r="574" spans="4:17" x14ac:dyDescent="0.4">
      <c r="D574" s="15" t="str">
        <f>IF(B574&lt;&gt;"",IF(_xlfn.IFNA(VLOOKUP(B574&amp;C574,SUPORTE!AA:AA,1,0),"NÃO INICIADO")="NÃO INICIADO",IF(B574&amp;C574=$J$9&amp;$I$12,"EM PROCESSO","NÃO INICIADO"),VLOOKUP(B574&amp;C574,SUPORTE!AA:AF,6,0)),"")</f>
        <v/>
      </c>
      <c r="I574" s="46"/>
      <c r="J574" s="32"/>
      <c r="K574" s="32"/>
      <c r="L574" s="32"/>
      <c r="M574" s="32"/>
      <c r="N574" s="32"/>
      <c r="O574" s="32"/>
      <c r="P574" s="32"/>
      <c r="Q574" s="32"/>
    </row>
    <row r="575" spans="4:17" x14ac:dyDescent="0.4">
      <c r="D575" s="15" t="str">
        <f>IF(B575&lt;&gt;"",IF(_xlfn.IFNA(VLOOKUP(B575&amp;C575,SUPORTE!AA:AA,1,0),"NÃO INICIADO")="NÃO INICIADO",IF(B575&amp;C575=$J$9&amp;$I$12,"EM PROCESSO","NÃO INICIADO"),VLOOKUP(B575&amp;C575,SUPORTE!AA:AF,6,0)),"")</f>
        <v/>
      </c>
      <c r="I575" s="46"/>
      <c r="J575" s="32"/>
      <c r="K575" s="32"/>
      <c r="L575" s="32"/>
      <c r="M575" s="32"/>
      <c r="N575" s="32"/>
      <c r="O575" s="32"/>
      <c r="P575" s="32"/>
      <c r="Q575" s="32"/>
    </row>
    <row r="576" spans="4:17" x14ac:dyDescent="0.4">
      <c r="D576" s="15" t="str">
        <f>IF(B576&lt;&gt;"",IF(_xlfn.IFNA(VLOOKUP(B576&amp;C576,SUPORTE!AA:AA,1,0),"NÃO INICIADO")="NÃO INICIADO",IF(B576&amp;C576=$J$9&amp;$I$12,"EM PROCESSO","NÃO INICIADO"),VLOOKUP(B576&amp;C576,SUPORTE!AA:AF,6,0)),"")</f>
        <v/>
      </c>
      <c r="I576" s="46"/>
      <c r="J576" s="32"/>
      <c r="K576" s="32"/>
      <c r="L576" s="32"/>
      <c r="M576" s="32"/>
      <c r="N576" s="32"/>
      <c r="O576" s="32"/>
      <c r="P576" s="32"/>
      <c r="Q576" s="32"/>
    </row>
    <row r="577" spans="4:17" x14ac:dyDescent="0.4">
      <c r="D577" s="15" t="str">
        <f>IF(B577&lt;&gt;"",IF(_xlfn.IFNA(VLOOKUP(B577&amp;C577,SUPORTE!AA:AA,1,0),"NÃO INICIADO")="NÃO INICIADO",IF(B577&amp;C577=$J$9&amp;$I$12,"EM PROCESSO","NÃO INICIADO"),VLOOKUP(B577&amp;C577,SUPORTE!AA:AF,6,0)),"")</f>
        <v/>
      </c>
      <c r="I577" s="46"/>
      <c r="J577" s="32"/>
      <c r="K577" s="32"/>
      <c r="L577" s="32"/>
      <c r="M577" s="32"/>
      <c r="N577" s="32"/>
      <c r="O577" s="32"/>
      <c r="P577" s="32"/>
      <c r="Q577" s="32"/>
    </row>
    <row r="578" spans="4:17" x14ac:dyDescent="0.4">
      <c r="D578" s="15" t="str">
        <f>IF(B578&lt;&gt;"",IF(_xlfn.IFNA(VLOOKUP(B578&amp;C578,SUPORTE!AA:AA,1,0),"NÃO INICIADO")="NÃO INICIADO",IF(B578&amp;C578=$J$9&amp;$I$12,"EM PROCESSO","NÃO INICIADO"),VLOOKUP(B578&amp;C578,SUPORTE!AA:AF,6,0)),"")</f>
        <v/>
      </c>
      <c r="I578" s="46"/>
      <c r="J578" s="32"/>
      <c r="K578" s="32"/>
      <c r="L578" s="32"/>
      <c r="M578" s="32"/>
      <c r="N578" s="32"/>
      <c r="O578" s="32"/>
      <c r="P578" s="32"/>
      <c r="Q578" s="32"/>
    </row>
    <row r="579" spans="4:17" x14ac:dyDescent="0.4">
      <c r="D579" s="15" t="str">
        <f>IF(B579&lt;&gt;"",IF(_xlfn.IFNA(VLOOKUP(B579&amp;C579,SUPORTE!AA:AA,1,0),"NÃO INICIADO")="NÃO INICIADO",IF(B579&amp;C579=$J$9&amp;$I$12,"EM PROCESSO","NÃO INICIADO"),VLOOKUP(B579&amp;C579,SUPORTE!AA:AF,6,0)),"")</f>
        <v/>
      </c>
      <c r="I579" s="46"/>
      <c r="J579" s="32"/>
      <c r="K579" s="32"/>
      <c r="L579" s="32"/>
      <c r="M579" s="32"/>
      <c r="N579" s="32"/>
      <c r="O579" s="32"/>
      <c r="P579" s="32"/>
      <c r="Q579" s="32"/>
    </row>
    <row r="580" spans="4:17" x14ac:dyDescent="0.4">
      <c r="D580" s="15" t="str">
        <f>IF(B580&lt;&gt;"",IF(_xlfn.IFNA(VLOOKUP(B580&amp;C580,SUPORTE!AA:AA,1,0),"NÃO INICIADO")="NÃO INICIADO",IF(B580&amp;C580=$J$9&amp;$I$12,"EM PROCESSO","NÃO INICIADO"),VLOOKUP(B580&amp;C580,SUPORTE!AA:AF,6,0)),"")</f>
        <v/>
      </c>
      <c r="I580" s="46"/>
      <c r="J580" s="32"/>
      <c r="K580" s="32"/>
      <c r="L580" s="32"/>
      <c r="M580" s="32"/>
      <c r="N580" s="32"/>
      <c r="O580" s="32"/>
      <c r="P580" s="32"/>
      <c r="Q580" s="32"/>
    </row>
    <row r="581" spans="4:17" x14ac:dyDescent="0.4">
      <c r="D581" s="15" t="str">
        <f>IF(B581&lt;&gt;"",IF(_xlfn.IFNA(VLOOKUP(B581&amp;C581,SUPORTE!AA:AA,1,0),"NÃO INICIADO")="NÃO INICIADO",IF(B581&amp;C581=$J$9&amp;$I$12,"EM PROCESSO","NÃO INICIADO"),VLOOKUP(B581&amp;C581,SUPORTE!AA:AF,6,0)),"")</f>
        <v/>
      </c>
      <c r="I581" s="46"/>
      <c r="J581" s="32"/>
      <c r="K581" s="32"/>
      <c r="L581" s="32"/>
      <c r="M581" s="32"/>
      <c r="N581" s="32"/>
      <c r="O581" s="32"/>
      <c r="P581" s="32"/>
      <c r="Q581" s="32"/>
    </row>
    <row r="582" spans="4:17" x14ac:dyDescent="0.4">
      <c r="D582" s="15" t="str">
        <f>IF(B582&lt;&gt;"",IF(_xlfn.IFNA(VLOOKUP(B582&amp;C582,SUPORTE!AA:AA,1,0),"NÃO INICIADO")="NÃO INICIADO",IF(B582&amp;C582=$J$9&amp;$I$12,"EM PROCESSO","NÃO INICIADO"),VLOOKUP(B582&amp;C582,SUPORTE!AA:AF,6,0)),"")</f>
        <v/>
      </c>
      <c r="I582" s="46"/>
      <c r="J582" s="32"/>
      <c r="K582" s="32"/>
      <c r="L582" s="32"/>
      <c r="M582" s="32"/>
      <c r="N582" s="32"/>
      <c r="O582" s="32"/>
      <c r="P582" s="32"/>
      <c r="Q582" s="32"/>
    </row>
    <row r="583" spans="4:17" x14ac:dyDescent="0.4">
      <c r="D583" s="15" t="str">
        <f>IF(B583&lt;&gt;"",IF(_xlfn.IFNA(VLOOKUP(B583&amp;C583,SUPORTE!AA:AA,1,0),"NÃO INICIADO")="NÃO INICIADO",IF(B583&amp;C583=$J$9&amp;$I$12,"EM PROCESSO","NÃO INICIADO"),VLOOKUP(B583&amp;C583,SUPORTE!AA:AF,6,0)),"")</f>
        <v/>
      </c>
      <c r="I583" s="46"/>
      <c r="J583" s="32"/>
      <c r="K583" s="32"/>
      <c r="L583" s="32"/>
      <c r="M583" s="32"/>
      <c r="N583" s="32"/>
      <c r="O583" s="32"/>
      <c r="P583" s="32"/>
      <c r="Q583" s="32"/>
    </row>
    <row r="584" spans="4:17" x14ac:dyDescent="0.4">
      <c r="D584" s="15" t="str">
        <f>IF(B584&lt;&gt;"",IF(_xlfn.IFNA(VLOOKUP(B584&amp;C584,SUPORTE!AA:AA,1,0),"NÃO INICIADO")="NÃO INICIADO",IF(B584&amp;C584=$J$9&amp;$I$12,"EM PROCESSO","NÃO INICIADO"),VLOOKUP(B584&amp;C584,SUPORTE!AA:AF,6,0)),"")</f>
        <v/>
      </c>
      <c r="I584" s="46"/>
      <c r="J584" s="32"/>
      <c r="K584" s="32"/>
      <c r="L584" s="32"/>
      <c r="M584" s="32"/>
      <c r="N584" s="32"/>
      <c r="O584" s="32"/>
      <c r="P584" s="32"/>
      <c r="Q584" s="32"/>
    </row>
    <row r="585" spans="4:17" x14ac:dyDescent="0.4">
      <c r="D585" s="15" t="str">
        <f>IF(B585&lt;&gt;"",IF(_xlfn.IFNA(VLOOKUP(B585&amp;C585,SUPORTE!AA:AA,1,0),"NÃO INICIADO")="NÃO INICIADO",IF(B585&amp;C585=$J$9&amp;$I$12,"EM PROCESSO","NÃO INICIADO"),VLOOKUP(B585&amp;C585,SUPORTE!AA:AF,6,0)),"")</f>
        <v/>
      </c>
      <c r="I585" s="46"/>
      <c r="J585" s="32"/>
      <c r="K585" s="32"/>
      <c r="L585" s="32"/>
      <c r="M585" s="32"/>
      <c r="N585" s="32"/>
      <c r="O585" s="32"/>
      <c r="P585" s="32"/>
      <c r="Q585" s="32"/>
    </row>
    <row r="586" spans="4:17" x14ac:dyDescent="0.4">
      <c r="D586" s="15" t="str">
        <f>IF(B586&lt;&gt;"",IF(_xlfn.IFNA(VLOOKUP(B586&amp;C586,SUPORTE!AA:AA,1,0),"NÃO INICIADO")="NÃO INICIADO",IF(B586&amp;C586=$J$9&amp;$I$12,"EM PROCESSO","NÃO INICIADO"),VLOOKUP(B586&amp;C586,SUPORTE!AA:AF,6,0)),"")</f>
        <v/>
      </c>
      <c r="I586" s="46"/>
      <c r="J586" s="32"/>
      <c r="K586" s="32"/>
      <c r="L586" s="32"/>
      <c r="M586" s="32"/>
      <c r="N586" s="32"/>
      <c r="O586" s="32"/>
      <c r="P586" s="32"/>
      <c r="Q586" s="32"/>
    </row>
    <row r="587" spans="4:17" x14ac:dyDescent="0.4">
      <c r="D587" s="15" t="str">
        <f>IF(B587&lt;&gt;"",IF(_xlfn.IFNA(VLOOKUP(B587&amp;C587,SUPORTE!AA:AA,1,0),"NÃO INICIADO")="NÃO INICIADO",IF(B587&amp;C587=$J$9&amp;$I$12,"EM PROCESSO","NÃO INICIADO"),VLOOKUP(B587&amp;C587,SUPORTE!AA:AF,6,0)),"")</f>
        <v/>
      </c>
      <c r="I587" s="46"/>
      <c r="J587" s="32"/>
      <c r="K587" s="32"/>
      <c r="L587" s="32"/>
      <c r="M587" s="32"/>
      <c r="N587" s="32"/>
      <c r="O587" s="32"/>
      <c r="P587" s="32"/>
      <c r="Q587" s="32"/>
    </row>
    <row r="588" spans="4:17" x14ac:dyDescent="0.4">
      <c r="D588" s="15" t="str">
        <f>IF(B588&lt;&gt;"",IF(_xlfn.IFNA(VLOOKUP(B588&amp;C588,SUPORTE!AA:AA,1,0),"NÃO INICIADO")="NÃO INICIADO",IF(B588&amp;C588=$J$9&amp;$I$12,"EM PROCESSO","NÃO INICIADO"),VLOOKUP(B588&amp;C588,SUPORTE!AA:AF,6,0)),"")</f>
        <v/>
      </c>
      <c r="I588" s="46"/>
      <c r="J588" s="32"/>
      <c r="K588" s="32"/>
      <c r="L588" s="32"/>
      <c r="M588" s="32"/>
      <c r="N588" s="32"/>
      <c r="O588" s="32"/>
      <c r="P588" s="32"/>
      <c r="Q588" s="32"/>
    </row>
    <row r="589" spans="4:17" x14ac:dyDescent="0.4">
      <c r="D589" s="15" t="str">
        <f>IF(B589&lt;&gt;"",IF(_xlfn.IFNA(VLOOKUP(B589&amp;C589,SUPORTE!AA:AA,1,0),"NÃO INICIADO")="NÃO INICIADO",IF(B589&amp;C589=$J$9&amp;$I$12,"EM PROCESSO","NÃO INICIADO"),VLOOKUP(B589&amp;C589,SUPORTE!AA:AF,6,0)),"")</f>
        <v/>
      </c>
      <c r="I589" s="46"/>
      <c r="J589" s="32"/>
      <c r="K589" s="32"/>
      <c r="L589" s="32"/>
      <c r="M589" s="32"/>
      <c r="N589" s="32"/>
      <c r="O589" s="32"/>
      <c r="P589" s="32"/>
      <c r="Q589" s="32"/>
    </row>
    <row r="590" spans="4:17" x14ac:dyDescent="0.4">
      <c r="D590" s="15" t="str">
        <f>IF(B590&lt;&gt;"",IF(_xlfn.IFNA(VLOOKUP(B590&amp;C590,SUPORTE!AA:AA,1,0),"NÃO INICIADO")="NÃO INICIADO",IF(B590&amp;C590=$J$9&amp;$I$12,"EM PROCESSO","NÃO INICIADO"),VLOOKUP(B590&amp;C590,SUPORTE!AA:AF,6,0)),"")</f>
        <v/>
      </c>
      <c r="I590" s="46"/>
      <c r="J590" s="32"/>
      <c r="K590" s="32"/>
      <c r="L590" s="32"/>
      <c r="M590" s="32"/>
      <c r="N590" s="32"/>
      <c r="O590" s="32"/>
      <c r="P590" s="32"/>
      <c r="Q590" s="32"/>
    </row>
    <row r="591" spans="4:17" x14ac:dyDescent="0.4">
      <c r="D591" s="15" t="str">
        <f>IF(B591&lt;&gt;"",IF(_xlfn.IFNA(VLOOKUP(B591&amp;C591,SUPORTE!AA:AA,1,0),"NÃO INICIADO")="NÃO INICIADO",IF(B591&amp;C591=$J$9&amp;$I$12,"EM PROCESSO","NÃO INICIADO"),VLOOKUP(B591&amp;C591,SUPORTE!AA:AF,6,0)),"")</f>
        <v/>
      </c>
      <c r="I591" s="46"/>
      <c r="J591" s="32"/>
      <c r="K591" s="32"/>
      <c r="L591" s="32"/>
      <c r="M591" s="32"/>
      <c r="N591" s="32"/>
      <c r="O591" s="32"/>
      <c r="P591" s="32"/>
      <c r="Q591" s="32"/>
    </row>
    <row r="592" spans="4:17" x14ac:dyDescent="0.4">
      <c r="D592" s="15" t="str">
        <f>IF(B592&lt;&gt;"",IF(_xlfn.IFNA(VLOOKUP(B592&amp;C592,SUPORTE!AA:AA,1,0),"NÃO INICIADO")="NÃO INICIADO",IF(B592&amp;C592=$J$9&amp;$I$12,"EM PROCESSO","NÃO INICIADO"),VLOOKUP(B592&amp;C592,SUPORTE!AA:AF,6,0)),"")</f>
        <v/>
      </c>
      <c r="I592" s="46"/>
      <c r="J592" s="32"/>
      <c r="K592" s="32"/>
      <c r="L592" s="32"/>
      <c r="M592" s="32"/>
      <c r="N592" s="32"/>
      <c r="O592" s="32"/>
      <c r="P592" s="32"/>
      <c r="Q592" s="32"/>
    </row>
    <row r="593" spans="4:17" x14ac:dyDescent="0.4">
      <c r="D593" s="15" t="str">
        <f>IF(B593&lt;&gt;"",IF(_xlfn.IFNA(VLOOKUP(B593&amp;C593,SUPORTE!AA:AA,1,0),"NÃO INICIADO")="NÃO INICIADO",IF(B593&amp;C593=$J$9&amp;$I$12,"EM PROCESSO","NÃO INICIADO"),VLOOKUP(B593&amp;C593,SUPORTE!AA:AF,6,0)),"")</f>
        <v/>
      </c>
      <c r="I593" s="46"/>
      <c r="J593" s="32"/>
      <c r="K593" s="32"/>
      <c r="L593" s="32"/>
      <c r="M593" s="32"/>
      <c r="N593" s="32"/>
      <c r="O593" s="32"/>
      <c r="P593" s="32"/>
      <c r="Q593" s="32"/>
    </row>
    <row r="594" spans="4:17" x14ac:dyDescent="0.4">
      <c r="D594" s="15" t="str">
        <f>IF(B594&lt;&gt;"",IF(_xlfn.IFNA(VLOOKUP(B594&amp;C594,SUPORTE!AA:AA,1,0),"NÃO INICIADO")="NÃO INICIADO",IF(B594&amp;C594=$J$9&amp;$I$12,"EM PROCESSO","NÃO INICIADO"),VLOOKUP(B594&amp;C594,SUPORTE!AA:AF,6,0)),"")</f>
        <v/>
      </c>
      <c r="I594" s="46"/>
      <c r="J594" s="32"/>
      <c r="K594" s="32"/>
      <c r="L594" s="32"/>
      <c r="M594" s="32"/>
      <c r="N594" s="32"/>
      <c r="O594" s="32"/>
      <c r="P594" s="32"/>
      <c r="Q594" s="32"/>
    </row>
    <row r="595" spans="4:17" x14ac:dyDescent="0.4">
      <c r="D595" s="15" t="str">
        <f>IF(B595&lt;&gt;"",IF(_xlfn.IFNA(VLOOKUP(B595&amp;C595,SUPORTE!AA:AA,1,0),"NÃO INICIADO")="NÃO INICIADO",IF(B595&amp;C595=$J$9&amp;$I$12,"EM PROCESSO","NÃO INICIADO"),VLOOKUP(B595&amp;C595,SUPORTE!AA:AF,6,0)),"")</f>
        <v/>
      </c>
      <c r="I595" s="46"/>
      <c r="J595" s="32"/>
      <c r="K595" s="32"/>
      <c r="L595" s="32"/>
      <c r="M595" s="32"/>
      <c r="N595" s="32"/>
      <c r="O595" s="32"/>
      <c r="P595" s="32"/>
      <c r="Q595" s="32"/>
    </row>
    <row r="596" spans="4:17" x14ac:dyDescent="0.4">
      <c r="D596" s="15" t="str">
        <f>IF(B596&lt;&gt;"",IF(_xlfn.IFNA(VLOOKUP(B596&amp;C596,SUPORTE!AA:AA,1,0),"NÃO INICIADO")="NÃO INICIADO",IF(B596&amp;C596=$J$9&amp;$I$12,"EM PROCESSO","NÃO INICIADO"),VLOOKUP(B596&amp;C596,SUPORTE!AA:AF,6,0)),"")</f>
        <v/>
      </c>
      <c r="I596" s="46"/>
      <c r="J596" s="32"/>
      <c r="K596" s="32"/>
      <c r="L596" s="32"/>
      <c r="M596" s="32"/>
      <c r="N596" s="32"/>
      <c r="O596" s="32"/>
      <c r="P596" s="32"/>
      <c r="Q596" s="32"/>
    </row>
    <row r="597" spans="4:17" x14ac:dyDescent="0.4">
      <c r="D597" s="15" t="str">
        <f>IF(B597&lt;&gt;"",IF(_xlfn.IFNA(VLOOKUP(B597&amp;C597,SUPORTE!AA:AA,1,0),"NÃO INICIADO")="NÃO INICIADO",IF(B597&amp;C597=$J$9&amp;$I$12,"EM PROCESSO","NÃO INICIADO"),VLOOKUP(B597&amp;C597,SUPORTE!AA:AF,6,0)),"")</f>
        <v/>
      </c>
      <c r="I597" s="46"/>
      <c r="J597" s="32"/>
      <c r="K597" s="32"/>
      <c r="L597" s="32"/>
      <c r="M597" s="32"/>
      <c r="N597" s="32"/>
      <c r="O597" s="32"/>
      <c r="P597" s="32"/>
      <c r="Q597" s="32"/>
    </row>
    <row r="598" spans="4:17" x14ac:dyDescent="0.4">
      <c r="D598" s="15" t="str">
        <f>IF(B598&lt;&gt;"",IF(_xlfn.IFNA(VLOOKUP(B598&amp;C598,SUPORTE!AA:AA,1,0),"NÃO INICIADO")="NÃO INICIADO",IF(B598&amp;C598=$J$9&amp;$I$12,"EM PROCESSO","NÃO INICIADO"),VLOOKUP(B598&amp;C598,SUPORTE!AA:AF,6,0)),"")</f>
        <v/>
      </c>
      <c r="I598" s="46"/>
      <c r="J598" s="32"/>
      <c r="K598" s="32"/>
      <c r="L598" s="32"/>
      <c r="M598" s="32"/>
      <c r="N598" s="32"/>
      <c r="O598" s="32"/>
      <c r="P598" s="32"/>
      <c r="Q598" s="32"/>
    </row>
    <row r="599" spans="4:17" x14ac:dyDescent="0.4">
      <c r="D599" s="15" t="str">
        <f>IF(B599&lt;&gt;"",IF(_xlfn.IFNA(VLOOKUP(B599&amp;C599,SUPORTE!AA:AA,1,0),"NÃO INICIADO")="NÃO INICIADO",IF(B599&amp;C599=$J$9&amp;$I$12,"EM PROCESSO","NÃO INICIADO"),VLOOKUP(B599&amp;C599,SUPORTE!AA:AF,6,0)),"")</f>
        <v/>
      </c>
      <c r="I599" s="46"/>
      <c r="J599" s="32"/>
      <c r="K599" s="32"/>
      <c r="L599" s="32"/>
      <c r="M599" s="32"/>
      <c r="N599" s="32"/>
      <c r="O599" s="32"/>
      <c r="P599" s="32"/>
      <c r="Q599" s="32"/>
    </row>
    <row r="600" spans="4:17" x14ac:dyDescent="0.4">
      <c r="D600" s="15" t="str">
        <f>IF(B600&lt;&gt;"",IF(_xlfn.IFNA(VLOOKUP(B600&amp;C600,SUPORTE!AA:AA,1,0),"NÃO INICIADO")="NÃO INICIADO",IF(B600&amp;C600=$J$9&amp;$I$12,"EM PROCESSO","NÃO INICIADO"),VLOOKUP(B600&amp;C600,SUPORTE!AA:AF,6,0)),"")</f>
        <v/>
      </c>
      <c r="I600" s="46"/>
      <c r="J600" s="32"/>
      <c r="K600" s="32"/>
      <c r="L600" s="32"/>
      <c r="M600" s="32"/>
      <c r="N600" s="32"/>
      <c r="O600" s="32"/>
      <c r="P600" s="32"/>
      <c r="Q600" s="32"/>
    </row>
    <row r="601" spans="4:17" x14ac:dyDescent="0.4">
      <c r="D601" s="15" t="str">
        <f>IF(B601&lt;&gt;"",IF(_xlfn.IFNA(VLOOKUP(B601&amp;C601,SUPORTE!AA:AA,1,0),"NÃO INICIADO")="NÃO INICIADO",IF(B601&amp;C601=$J$9&amp;$I$12,"EM PROCESSO","NÃO INICIADO"),VLOOKUP(B601&amp;C601,SUPORTE!AA:AF,6,0)),"")</f>
        <v/>
      </c>
      <c r="I601" s="46"/>
      <c r="J601" s="32"/>
      <c r="K601" s="32"/>
      <c r="L601" s="32"/>
      <c r="M601" s="32"/>
      <c r="N601" s="32"/>
      <c r="O601" s="32"/>
      <c r="P601" s="32"/>
      <c r="Q601" s="32"/>
    </row>
    <row r="602" spans="4:17" x14ac:dyDescent="0.4">
      <c r="D602" s="15" t="str">
        <f>IF(B602&lt;&gt;"",IF(_xlfn.IFNA(VLOOKUP(B602&amp;C602,SUPORTE!AA:AA,1,0),"NÃO INICIADO")="NÃO INICIADO",IF(B602&amp;C602=$J$9&amp;$I$12,"EM PROCESSO","NÃO INICIADO"),VLOOKUP(B602&amp;C602,SUPORTE!AA:AF,6,0)),"")</f>
        <v/>
      </c>
      <c r="I602" s="46"/>
      <c r="J602" s="32"/>
      <c r="K602" s="32"/>
      <c r="L602" s="32"/>
      <c r="M602" s="32"/>
      <c r="N602" s="32"/>
      <c r="O602" s="32"/>
      <c r="P602" s="32"/>
      <c r="Q602" s="32"/>
    </row>
    <row r="603" spans="4:17" x14ac:dyDescent="0.4">
      <c r="D603" s="15" t="str">
        <f>IF(B603&lt;&gt;"",IF(_xlfn.IFNA(VLOOKUP(B603&amp;C603,SUPORTE!AA:AA,1,0),"NÃO INICIADO")="NÃO INICIADO",IF(B603&amp;C603=$J$9&amp;$I$12,"EM PROCESSO","NÃO INICIADO"),VLOOKUP(B603&amp;C603,SUPORTE!AA:AF,6,0)),"")</f>
        <v/>
      </c>
      <c r="I603" s="46"/>
      <c r="J603" s="32"/>
      <c r="K603" s="32"/>
      <c r="L603" s="32"/>
      <c r="M603" s="32"/>
      <c r="N603" s="32"/>
      <c r="O603" s="32"/>
      <c r="P603" s="32"/>
      <c r="Q603" s="32"/>
    </row>
    <row r="604" spans="4:17" x14ac:dyDescent="0.4">
      <c r="D604" s="15" t="str">
        <f>IF(B604&lt;&gt;"",IF(_xlfn.IFNA(VLOOKUP(B604&amp;C604,SUPORTE!AA:AA,1,0),"NÃO INICIADO")="NÃO INICIADO",IF(B604&amp;C604=$J$9&amp;$I$12,"EM PROCESSO","NÃO INICIADO"),VLOOKUP(B604&amp;C604,SUPORTE!AA:AF,6,0)),"")</f>
        <v/>
      </c>
      <c r="I604" s="46"/>
      <c r="J604" s="32"/>
      <c r="K604" s="32"/>
      <c r="L604" s="32"/>
      <c r="M604" s="32"/>
      <c r="N604" s="32"/>
      <c r="O604" s="32"/>
      <c r="P604" s="32"/>
      <c r="Q604" s="32"/>
    </row>
    <row r="605" spans="4:17" x14ac:dyDescent="0.4">
      <c r="D605" s="15" t="str">
        <f>IF(B605&lt;&gt;"",IF(_xlfn.IFNA(VLOOKUP(B605&amp;C605,SUPORTE!AA:AA,1,0),"NÃO INICIADO")="NÃO INICIADO",IF(B605&amp;C605=$J$9&amp;$I$12,"EM PROCESSO","NÃO INICIADO"),VLOOKUP(B605&amp;C605,SUPORTE!AA:AF,6,0)),"")</f>
        <v/>
      </c>
      <c r="I605" s="46"/>
      <c r="J605" s="32"/>
      <c r="K605" s="32"/>
      <c r="L605" s="32"/>
      <c r="M605" s="32"/>
      <c r="N605" s="32"/>
      <c r="O605" s="32"/>
      <c r="P605" s="32"/>
      <c r="Q605" s="32"/>
    </row>
    <row r="606" spans="4:17" x14ac:dyDescent="0.4">
      <c r="D606" s="15" t="str">
        <f>IF(B606&lt;&gt;"",IF(_xlfn.IFNA(VLOOKUP(B606&amp;C606,SUPORTE!AA:AA,1,0),"NÃO INICIADO")="NÃO INICIADO",IF(B606&amp;C606=$J$9&amp;$I$12,"EM PROCESSO","NÃO INICIADO"),VLOOKUP(B606&amp;C606,SUPORTE!AA:AF,6,0)),"")</f>
        <v/>
      </c>
      <c r="I606" s="46"/>
      <c r="J606" s="32"/>
      <c r="K606" s="32"/>
      <c r="L606" s="32"/>
      <c r="M606" s="32"/>
      <c r="N606" s="32"/>
      <c r="O606" s="32"/>
      <c r="P606" s="32"/>
      <c r="Q606" s="32"/>
    </row>
    <row r="607" spans="4:17" x14ac:dyDescent="0.4">
      <c r="D607" s="15" t="str">
        <f>IF(B607&lt;&gt;"",IF(_xlfn.IFNA(VLOOKUP(B607&amp;C607,SUPORTE!AA:AA,1,0),"NÃO INICIADO")="NÃO INICIADO",IF(B607&amp;C607=$J$9&amp;$I$12,"EM PROCESSO","NÃO INICIADO"),VLOOKUP(B607&amp;C607,SUPORTE!AA:AF,6,0)),"")</f>
        <v/>
      </c>
      <c r="I607" s="46"/>
      <c r="J607" s="32"/>
      <c r="K607" s="32"/>
      <c r="L607" s="32"/>
      <c r="M607" s="32"/>
      <c r="N607" s="32"/>
      <c r="O607" s="32"/>
      <c r="P607" s="32"/>
      <c r="Q607" s="32"/>
    </row>
    <row r="608" spans="4:17" x14ac:dyDescent="0.4">
      <c r="D608" s="15" t="str">
        <f>IF(B608&lt;&gt;"",IF(_xlfn.IFNA(VLOOKUP(B608&amp;C608,SUPORTE!AA:AA,1,0),"NÃO INICIADO")="NÃO INICIADO",IF(B608&amp;C608=$J$9&amp;$I$12,"EM PROCESSO","NÃO INICIADO"),VLOOKUP(B608&amp;C608,SUPORTE!AA:AF,6,0)),"")</f>
        <v/>
      </c>
      <c r="I608" s="46"/>
      <c r="J608" s="32"/>
      <c r="K608" s="32"/>
      <c r="L608" s="32"/>
      <c r="M608" s="32"/>
      <c r="N608" s="32"/>
      <c r="O608" s="32"/>
      <c r="P608" s="32"/>
      <c r="Q608" s="32"/>
    </row>
    <row r="609" spans="4:17" x14ac:dyDescent="0.4">
      <c r="D609" s="15" t="str">
        <f>IF(B609&lt;&gt;"",IF(_xlfn.IFNA(VLOOKUP(B609&amp;C609,SUPORTE!AA:AA,1,0),"NÃO INICIADO")="NÃO INICIADO",IF(B609&amp;C609=$J$9&amp;$I$12,"EM PROCESSO","NÃO INICIADO"),VLOOKUP(B609&amp;C609,SUPORTE!AA:AF,6,0)),"")</f>
        <v/>
      </c>
      <c r="I609" s="46"/>
      <c r="J609" s="32"/>
      <c r="K609" s="32"/>
      <c r="L609" s="32"/>
      <c r="M609" s="32"/>
      <c r="N609" s="32"/>
      <c r="O609" s="32"/>
      <c r="P609" s="32"/>
      <c r="Q609" s="32"/>
    </row>
    <row r="610" spans="4:17" x14ac:dyDescent="0.4">
      <c r="D610" s="15" t="str">
        <f>IF(B610&lt;&gt;"",IF(_xlfn.IFNA(VLOOKUP(B610&amp;C610,SUPORTE!AA:AA,1,0),"NÃO INICIADO")="NÃO INICIADO",IF(B610&amp;C610=$J$9&amp;$I$12,"EM PROCESSO","NÃO INICIADO"),VLOOKUP(B610&amp;C610,SUPORTE!AA:AF,6,0)),"")</f>
        <v/>
      </c>
      <c r="I610" s="46"/>
      <c r="J610" s="32"/>
      <c r="K610" s="32"/>
      <c r="L610" s="32"/>
      <c r="M610" s="32"/>
      <c r="N610" s="32"/>
      <c r="O610" s="32"/>
      <c r="P610" s="32"/>
      <c r="Q610" s="32"/>
    </row>
    <row r="611" spans="4:17" x14ac:dyDescent="0.4">
      <c r="D611" s="15" t="str">
        <f>IF(B611&lt;&gt;"",IF(_xlfn.IFNA(VLOOKUP(B611&amp;C611,SUPORTE!AA:AA,1,0),"NÃO INICIADO")="NÃO INICIADO",IF(B611&amp;C611=$J$9&amp;$I$12,"EM PROCESSO","NÃO INICIADO"),VLOOKUP(B611&amp;C611,SUPORTE!AA:AF,6,0)),"")</f>
        <v/>
      </c>
      <c r="I611" s="46"/>
      <c r="J611" s="32"/>
      <c r="K611" s="32"/>
      <c r="L611" s="32"/>
      <c r="M611" s="32"/>
      <c r="N611" s="32"/>
      <c r="O611" s="32"/>
      <c r="P611" s="32"/>
      <c r="Q611" s="32"/>
    </row>
    <row r="612" spans="4:17" x14ac:dyDescent="0.4">
      <c r="D612" s="15" t="str">
        <f>IF(B612&lt;&gt;"",IF(_xlfn.IFNA(VLOOKUP(B612&amp;C612,SUPORTE!AA:AA,1,0),"NÃO INICIADO")="NÃO INICIADO",IF(B612&amp;C612=$J$9&amp;$I$12,"EM PROCESSO","NÃO INICIADO"),VLOOKUP(B612&amp;C612,SUPORTE!AA:AF,6,0)),"")</f>
        <v/>
      </c>
      <c r="I612" s="46"/>
      <c r="J612" s="32"/>
      <c r="K612" s="32"/>
      <c r="L612" s="32"/>
      <c r="M612" s="32"/>
      <c r="N612" s="32"/>
      <c r="O612" s="32"/>
      <c r="P612" s="32"/>
      <c r="Q612" s="32"/>
    </row>
    <row r="613" spans="4:17" x14ac:dyDescent="0.4">
      <c r="D613" s="15" t="str">
        <f>IF(B613&lt;&gt;"",IF(_xlfn.IFNA(VLOOKUP(B613&amp;C613,SUPORTE!AA:AA,1,0),"NÃO INICIADO")="NÃO INICIADO",IF(B613&amp;C613=$J$9&amp;$I$12,"EM PROCESSO","NÃO INICIADO"),VLOOKUP(B613&amp;C613,SUPORTE!AA:AF,6,0)),"")</f>
        <v/>
      </c>
      <c r="I613" s="46"/>
      <c r="J613" s="32"/>
      <c r="K613" s="32"/>
      <c r="L613" s="32"/>
      <c r="M613" s="32"/>
      <c r="N613" s="32"/>
      <c r="O613" s="32"/>
      <c r="P613" s="32"/>
      <c r="Q613" s="32"/>
    </row>
    <row r="614" spans="4:17" x14ac:dyDescent="0.4">
      <c r="D614" s="15" t="str">
        <f>IF(B614&lt;&gt;"",IF(_xlfn.IFNA(VLOOKUP(B614&amp;C614,SUPORTE!AA:AA,1,0),"NÃO INICIADO")="NÃO INICIADO",IF(B614&amp;C614=$J$9&amp;$I$12,"EM PROCESSO","NÃO INICIADO"),VLOOKUP(B614&amp;C614,SUPORTE!AA:AF,6,0)),"")</f>
        <v/>
      </c>
      <c r="I614" s="46"/>
      <c r="J614" s="32"/>
      <c r="K614" s="32"/>
      <c r="L614" s="32"/>
      <c r="M614" s="32"/>
      <c r="N614" s="32"/>
      <c r="O614" s="32"/>
      <c r="P614" s="32"/>
      <c r="Q614" s="32"/>
    </row>
    <row r="615" spans="4:17" x14ac:dyDescent="0.4">
      <c r="D615" s="15" t="str">
        <f>IF(B615&lt;&gt;"",IF(_xlfn.IFNA(VLOOKUP(B615&amp;C615,SUPORTE!AA:AA,1,0),"NÃO INICIADO")="NÃO INICIADO",IF(B615&amp;C615=$J$9&amp;$I$12,"EM PROCESSO","NÃO INICIADO"),VLOOKUP(B615&amp;C615,SUPORTE!AA:AF,6,0)),"")</f>
        <v/>
      </c>
      <c r="I615" s="46"/>
      <c r="J615" s="32"/>
      <c r="K615" s="32"/>
      <c r="L615" s="32"/>
      <c r="M615" s="32"/>
      <c r="N615" s="32"/>
      <c r="O615" s="32"/>
      <c r="P615" s="32"/>
      <c r="Q615" s="32"/>
    </row>
    <row r="616" spans="4:17" x14ac:dyDescent="0.4">
      <c r="D616" s="15" t="str">
        <f>IF(B616&lt;&gt;"",IF(_xlfn.IFNA(VLOOKUP(B616&amp;C616,SUPORTE!AA:AA,1,0),"NÃO INICIADO")="NÃO INICIADO",IF(B616&amp;C616=$J$9&amp;$I$12,"EM PROCESSO","NÃO INICIADO"),VLOOKUP(B616&amp;C616,SUPORTE!AA:AF,6,0)),"")</f>
        <v/>
      </c>
      <c r="I616" s="46"/>
      <c r="J616" s="32"/>
      <c r="K616" s="32"/>
      <c r="L616" s="32"/>
      <c r="M616" s="32"/>
      <c r="N616" s="32"/>
      <c r="O616" s="32"/>
      <c r="P616" s="32"/>
      <c r="Q616" s="32"/>
    </row>
    <row r="617" spans="4:17" x14ac:dyDescent="0.4">
      <c r="D617" s="15" t="str">
        <f>IF(B617&lt;&gt;"",IF(_xlfn.IFNA(VLOOKUP(B617&amp;C617,SUPORTE!AA:AA,1,0),"NÃO INICIADO")="NÃO INICIADO",IF(B617&amp;C617=$J$9&amp;$I$12,"EM PROCESSO","NÃO INICIADO"),VLOOKUP(B617&amp;C617,SUPORTE!AA:AF,6,0)),"")</f>
        <v/>
      </c>
      <c r="I617" s="46"/>
      <c r="J617" s="32"/>
      <c r="K617" s="32"/>
      <c r="L617" s="32"/>
      <c r="M617" s="32"/>
      <c r="N617" s="32"/>
      <c r="O617" s="32"/>
      <c r="P617" s="32"/>
      <c r="Q617" s="32"/>
    </row>
    <row r="618" spans="4:17" x14ac:dyDescent="0.4">
      <c r="D618" s="15" t="str">
        <f>IF(B618&lt;&gt;"",IF(_xlfn.IFNA(VLOOKUP(B618&amp;C618,SUPORTE!AA:AA,1,0),"NÃO INICIADO")="NÃO INICIADO",IF(B618&amp;C618=$J$9&amp;$I$12,"EM PROCESSO","NÃO INICIADO"),VLOOKUP(B618&amp;C618,SUPORTE!AA:AF,6,0)),"")</f>
        <v/>
      </c>
      <c r="I618" s="46"/>
      <c r="J618" s="32"/>
      <c r="K618" s="32"/>
      <c r="L618" s="32"/>
      <c r="M618" s="32"/>
      <c r="N618" s="32"/>
      <c r="O618" s="32"/>
      <c r="P618" s="32"/>
      <c r="Q618" s="32"/>
    </row>
    <row r="619" spans="4:17" x14ac:dyDescent="0.4">
      <c r="D619" s="15" t="str">
        <f>IF(B619&lt;&gt;"",IF(_xlfn.IFNA(VLOOKUP(B619&amp;C619,SUPORTE!AA:AA,1,0),"NÃO INICIADO")="NÃO INICIADO",IF(B619&amp;C619=$J$9&amp;$I$12,"EM PROCESSO","NÃO INICIADO"),VLOOKUP(B619&amp;C619,SUPORTE!AA:AF,6,0)),"")</f>
        <v/>
      </c>
      <c r="I619" s="46"/>
      <c r="J619" s="32"/>
      <c r="K619" s="32"/>
      <c r="L619" s="32"/>
      <c r="M619" s="32"/>
      <c r="N619" s="32"/>
      <c r="O619" s="32"/>
      <c r="P619" s="32"/>
      <c r="Q619" s="32"/>
    </row>
    <row r="620" spans="4:17" x14ac:dyDescent="0.4">
      <c r="D620" s="15" t="str">
        <f>IF(B620&lt;&gt;"",IF(_xlfn.IFNA(VLOOKUP(B620&amp;C620,SUPORTE!AA:AA,1,0),"NÃO INICIADO")="NÃO INICIADO",IF(B620&amp;C620=$J$9&amp;$I$12,"EM PROCESSO","NÃO INICIADO"),VLOOKUP(B620&amp;C620,SUPORTE!AA:AF,6,0)),"")</f>
        <v/>
      </c>
      <c r="I620" s="46"/>
      <c r="J620" s="32"/>
      <c r="K620" s="32"/>
      <c r="L620" s="32"/>
      <c r="M620" s="32"/>
      <c r="N620" s="32"/>
      <c r="O620" s="32"/>
      <c r="P620" s="32"/>
      <c r="Q620" s="32"/>
    </row>
    <row r="621" spans="4:17" x14ac:dyDescent="0.4">
      <c r="D621" s="15" t="str">
        <f>IF(B621&lt;&gt;"",IF(_xlfn.IFNA(VLOOKUP(B621&amp;C621,SUPORTE!AA:AA,1,0),"NÃO INICIADO")="NÃO INICIADO",IF(B621&amp;C621=$J$9&amp;$I$12,"EM PROCESSO","NÃO INICIADO"),VLOOKUP(B621&amp;C621,SUPORTE!AA:AF,6,0)),"")</f>
        <v/>
      </c>
      <c r="I621" s="46"/>
      <c r="J621" s="32"/>
      <c r="K621" s="32"/>
      <c r="L621" s="32"/>
      <c r="M621" s="32"/>
      <c r="N621" s="32"/>
      <c r="O621" s="32"/>
      <c r="P621" s="32"/>
      <c r="Q621" s="32"/>
    </row>
    <row r="622" spans="4:17" x14ac:dyDescent="0.4">
      <c r="D622" s="15" t="str">
        <f>IF(B622&lt;&gt;"",IF(_xlfn.IFNA(VLOOKUP(B622&amp;C622,SUPORTE!AA:AA,1,0),"NÃO INICIADO")="NÃO INICIADO",IF(B622&amp;C622=$J$9&amp;$I$12,"EM PROCESSO","NÃO INICIADO"),VLOOKUP(B622&amp;C622,SUPORTE!AA:AF,6,0)),"")</f>
        <v/>
      </c>
      <c r="I622" s="46"/>
      <c r="J622" s="32"/>
      <c r="K622" s="32"/>
      <c r="L622" s="32"/>
      <c r="M622" s="32"/>
      <c r="N622" s="32"/>
      <c r="O622" s="32"/>
      <c r="P622" s="32"/>
      <c r="Q622" s="32"/>
    </row>
    <row r="623" spans="4:17" x14ac:dyDescent="0.4">
      <c r="D623" s="15" t="str">
        <f>IF(B623&lt;&gt;"",IF(_xlfn.IFNA(VLOOKUP(B623&amp;C623,SUPORTE!AA:AA,1,0),"NÃO INICIADO")="NÃO INICIADO",IF(B623&amp;C623=$J$9&amp;$I$12,"EM PROCESSO","NÃO INICIADO"),VLOOKUP(B623&amp;C623,SUPORTE!AA:AF,6,0)),"")</f>
        <v/>
      </c>
      <c r="I623" s="46"/>
      <c r="J623" s="32"/>
      <c r="K623" s="32"/>
      <c r="L623" s="32"/>
      <c r="M623" s="32"/>
      <c r="N623" s="32"/>
      <c r="O623" s="32"/>
      <c r="P623" s="32"/>
      <c r="Q623" s="32"/>
    </row>
    <row r="624" spans="4:17" x14ac:dyDescent="0.4">
      <c r="D624" s="15" t="str">
        <f>IF(B624&lt;&gt;"",IF(_xlfn.IFNA(VLOOKUP(B624&amp;C624,SUPORTE!AA:AA,1,0),"NÃO INICIADO")="NÃO INICIADO",IF(B624&amp;C624=$J$9&amp;$I$12,"EM PROCESSO","NÃO INICIADO"),VLOOKUP(B624&amp;C624,SUPORTE!AA:AF,6,0)),"")</f>
        <v/>
      </c>
      <c r="I624" s="46"/>
      <c r="J624" s="32"/>
      <c r="K624" s="32"/>
      <c r="L624" s="32"/>
      <c r="M624" s="32"/>
      <c r="N624" s="32"/>
      <c r="O624" s="32"/>
      <c r="P624" s="32"/>
      <c r="Q624" s="32"/>
    </row>
    <row r="625" spans="4:17" x14ac:dyDescent="0.4">
      <c r="D625" s="15" t="str">
        <f>IF(B625&lt;&gt;"",IF(_xlfn.IFNA(VLOOKUP(B625&amp;C625,SUPORTE!AA:AA,1,0),"NÃO INICIADO")="NÃO INICIADO",IF(B625&amp;C625=$J$9&amp;$I$12,"EM PROCESSO","NÃO INICIADO"),VLOOKUP(B625&amp;C625,SUPORTE!AA:AF,6,0)),"")</f>
        <v/>
      </c>
      <c r="I625" s="46"/>
      <c r="J625" s="32"/>
      <c r="K625" s="32"/>
      <c r="L625" s="32"/>
      <c r="M625" s="32"/>
      <c r="N625" s="32"/>
      <c r="O625" s="32"/>
      <c r="P625" s="32"/>
      <c r="Q625" s="32"/>
    </row>
    <row r="626" spans="4:17" x14ac:dyDescent="0.4">
      <c r="D626" s="15" t="str">
        <f>IF(B626&lt;&gt;"",IF(_xlfn.IFNA(VLOOKUP(B626&amp;C626,SUPORTE!AA:AA,1,0),"NÃO INICIADO")="NÃO INICIADO",IF(B626&amp;C626=$J$9&amp;$I$12,"EM PROCESSO","NÃO INICIADO"),VLOOKUP(B626&amp;C626,SUPORTE!AA:AF,6,0)),"")</f>
        <v/>
      </c>
      <c r="I626" s="46"/>
      <c r="J626" s="32"/>
      <c r="K626" s="32"/>
      <c r="L626" s="32"/>
      <c r="M626" s="32"/>
      <c r="N626" s="32"/>
      <c r="O626" s="32"/>
      <c r="P626" s="32"/>
      <c r="Q626" s="32"/>
    </row>
    <row r="627" spans="4:17" x14ac:dyDescent="0.4">
      <c r="D627" s="15" t="str">
        <f>IF(B627&lt;&gt;"",IF(_xlfn.IFNA(VLOOKUP(B627&amp;C627,SUPORTE!AA:AA,1,0),"NÃO INICIADO")="NÃO INICIADO",IF(B627&amp;C627=$J$9&amp;$I$12,"EM PROCESSO","NÃO INICIADO"),VLOOKUP(B627&amp;C627,SUPORTE!AA:AF,6,0)),"")</f>
        <v/>
      </c>
      <c r="I627" s="46"/>
      <c r="J627" s="32"/>
      <c r="K627" s="32"/>
      <c r="L627" s="32"/>
      <c r="M627" s="32"/>
      <c r="N627" s="32"/>
      <c r="O627" s="32"/>
      <c r="P627" s="32"/>
      <c r="Q627" s="32"/>
    </row>
    <row r="628" spans="4:17" x14ac:dyDescent="0.4">
      <c r="D628" s="15" t="str">
        <f>IF(B628&lt;&gt;"",IF(_xlfn.IFNA(VLOOKUP(B628&amp;C628,SUPORTE!AA:AA,1,0),"NÃO INICIADO")="NÃO INICIADO",IF(B628&amp;C628=$J$9&amp;$I$12,"EM PROCESSO","NÃO INICIADO"),VLOOKUP(B628&amp;C628,SUPORTE!AA:AF,6,0)),"")</f>
        <v/>
      </c>
      <c r="I628" s="46"/>
      <c r="J628" s="32"/>
      <c r="K628" s="32"/>
      <c r="L628" s="32"/>
      <c r="M628" s="32"/>
      <c r="N628" s="32"/>
      <c r="O628" s="32"/>
      <c r="P628" s="32"/>
      <c r="Q628" s="32"/>
    </row>
    <row r="629" spans="4:17" x14ac:dyDescent="0.4">
      <c r="D629" s="15" t="str">
        <f>IF(B629&lt;&gt;"",IF(_xlfn.IFNA(VLOOKUP(B629&amp;C629,SUPORTE!AA:AA,1,0),"NÃO INICIADO")="NÃO INICIADO",IF(B629&amp;C629=$J$9&amp;$I$12,"EM PROCESSO","NÃO INICIADO"),VLOOKUP(B629&amp;C629,SUPORTE!AA:AF,6,0)),"")</f>
        <v/>
      </c>
      <c r="I629" s="46"/>
      <c r="J629" s="32"/>
      <c r="K629" s="32"/>
      <c r="L629" s="32"/>
      <c r="M629" s="32"/>
      <c r="N629" s="32"/>
      <c r="O629" s="32"/>
      <c r="P629" s="32"/>
      <c r="Q629" s="32"/>
    </row>
    <row r="630" spans="4:17" x14ac:dyDescent="0.4">
      <c r="D630" s="15" t="str">
        <f>IF(B630&lt;&gt;"",IF(_xlfn.IFNA(VLOOKUP(B630&amp;C630,SUPORTE!AA:AA,1,0),"NÃO INICIADO")="NÃO INICIADO",IF(B630&amp;C630=$J$9&amp;$I$12,"EM PROCESSO","NÃO INICIADO"),VLOOKUP(B630&amp;C630,SUPORTE!AA:AF,6,0)),"")</f>
        <v/>
      </c>
      <c r="I630" s="46"/>
      <c r="J630" s="32"/>
      <c r="K630" s="32"/>
      <c r="L630" s="32"/>
      <c r="M630" s="32"/>
      <c r="N630" s="32"/>
      <c r="O630" s="32"/>
      <c r="P630" s="32"/>
      <c r="Q630" s="32"/>
    </row>
    <row r="631" spans="4:17" x14ac:dyDescent="0.4">
      <c r="D631" s="15" t="str">
        <f>IF(B631&lt;&gt;"",IF(_xlfn.IFNA(VLOOKUP(B631&amp;C631,SUPORTE!AA:AA,1,0),"NÃO INICIADO")="NÃO INICIADO",IF(B631&amp;C631=$J$9&amp;$I$12,"EM PROCESSO","NÃO INICIADO"),VLOOKUP(B631&amp;C631,SUPORTE!AA:AF,6,0)),"")</f>
        <v/>
      </c>
      <c r="I631" s="46"/>
      <c r="J631" s="32"/>
      <c r="K631" s="32"/>
      <c r="L631" s="32"/>
      <c r="M631" s="32"/>
      <c r="N631" s="32"/>
      <c r="O631" s="32"/>
      <c r="P631" s="32"/>
      <c r="Q631" s="32"/>
    </row>
    <row r="632" spans="4:17" x14ac:dyDescent="0.4">
      <c r="D632" s="15" t="str">
        <f>IF(B632&lt;&gt;"",IF(_xlfn.IFNA(VLOOKUP(B632&amp;C632,SUPORTE!AA:AA,1,0),"NÃO INICIADO")="NÃO INICIADO",IF(B632&amp;C632=$J$9&amp;$I$12,"EM PROCESSO","NÃO INICIADO"),VLOOKUP(B632&amp;C632,SUPORTE!AA:AF,6,0)),"")</f>
        <v/>
      </c>
      <c r="I632" s="46"/>
      <c r="J632" s="32"/>
      <c r="K632" s="32"/>
      <c r="L632" s="32"/>
      <c r="M632" s="32"/>
      <c r="N632" s="32"/>
      <c r="O632" s="32"/>
      <c r="P632" s="32"/>
      <c r="Q632" s="32"/>
    </row>
    <row r="633" spans="4:17" x14ac:dyDescent="0.4">
      <c r="D633" s="15" t="str">
        <f>IF(B633&lt;&gt;"",IF(_xlfn.IFNA(VLOOKUP(B633&amp;C633,SUPORTE!AA:AA,1,0),"NÃO INICIADO")="NÃO INICIADO",IF(B633&amp;C633=$J$9&amp;$I$12,"EM PROCESSO","NÃO INICIADO"),VLOOKUP(B633&amp;C633,SUPORTE!AA:AF,6,0)),"")</f>
        <v/>
      </c>
      <c r="I633" s="46"/>
      <c r="J633" s="32"/>
      <c r="K633" s="32"/>
      <c r="L633" s="32"/>
      <c r="M633" s="32"/>
      <c r="N633" s="32"/>
      <c r="O633" s="32"/>
      <c r="P633" s="32"/>
      <c r="Q633" s="32"/>
    </row>
    <row r="634" spans="4:17" x14ac:dyDescent="0.4">
      <c r="D634" s="15" t="str">
        <f>IF(B634&lt;&gt;"",IF(_xlfn.IFNA(VLOOKUP(B634&amp;C634,SUPORTE!AA:AA,1,0),"NÃO INICIADO")="NÃO INICIADO",IF(B634&amp;C634=$J$9&amp;$I$12,"EM PROCESSO","NÃO INICIADO"),VLOOKUP(B634&amp;C634,SUPORTE!AA:AF,6,0)),"")</f>
        <v/>
      </c>
      <c r="I634" s="46"/>
      <c r="J634" s="32"/>
      <c r="K634" s="32"/>
      <c r="L634" s="32"/>
      <c r="M634" s="32"/>
      <c r="N634" s="32"/>
      <c r="O634" s="32"/>
      <c r="P634" s="32"/>
      <c r="Q634" s="32"/>
    </row>
    <row r="635" spans="4:17" x14ac:dyDescent="0.4">
      <c r="D635" s="15" t="str">
        <f>IF(B635&lt;&gt;"",IF(_xlfn.IFNA(VLOOKUP(B635&amp;C635,SUPORTE!AA:AA,1,0),"NÃO INICIADO")="NÃO INICIADO",IF(B635&amp;C635=$J$9&amp;$I$12,"EM PROCESSO","NÃO INICIADO"),VLOOKUP(B635&amp;C635,SUPORTE!AA:AF,6,0)),"")</f>
        <v/>
      </c>
      <c r="I635" s="46"/>
      <c r="J635" s="32"/>
      <c r="K635" s="32"/>
      <c r="L635" s="32"/>
      <c r="M635" s="32"/>
      <c r="N635" s="32"/>
      <c r="O635" s="32"/>
      <c r="P635" s="32"/>
      <c r="Q635" s="32"/>
    </row>
    <row r="636" spans="4:17" x14ac:dyDescent="0.4">
      <c r="D636" s="15" t="str">
        <f>IF(B636&lt;&gt;"",IF(_xlfn.IFNA(VLOOKUP(B636&amp;C636,SUPORTE!AA:AA,1,0),"NÃO INICIADO")="NÃO INICIADO",IF(B636&amp;C636=$J$9&amp;$I$12,"EM PROCESSO","NÃO INICIADO"),VLOOKUP(B636&amp;C636,SUPORTE!AA:AF,6,0)),"")</f>
        <v/>
      </c>
      <c r="I636" s="46"/>
      <c r="J636" s="32"/>
      <c r="K636" s="32"/>
      <c r="L636" s="32"/>
      <c r="M636" s="32"/>
      <c r="N636" s="32"/>
      <c r="O636" s="32"/>
      <c r="P636" s="32"/>
      <c r="Q636" s="32"/>
    </row>
    <row r="637" spans="4:17" x14ac:dyDescent="0.4">
      <c r="D637" s="15" t="str">
        <f>IF(B637&lt;&gt;"",IF(_xlfn.IFNA(VLOOKUP(B637&amp;C637,SUPORTE!AA:AA,1,0),"NÃO INICIADO")="NÃO INICIADO",IF(B637&amp;C637=$J$9&amp;$I$12,"EM PROCESSO","NÃO INICIADO"),VLOOKUP(B637&amp;C637,SUPORTE!AA:AF,6,0)),"")</f>
        <v/>
      </c>
      <c r="I637" s="46"/>
      <c r="J637" s="32"/>
      <c r="K637" s="32"/>
      <c r="L637" s="32"/>
      <c r="M637" s="32"/>
      <c r="N637" s="32"/>
      <c r="O637" s="32"/>
      <c r="P637" s="32"/>
      <c r="Q637" s="32"/>
    </row>
    <row r="638" spans="4:17" x14ac:dyDescent="0.4">
      <c r="D638" s="15" t="str">
        <f>IF(B638&lt;&gt;"",IF(_xlfn.IFNA(VLOOKUP(B638&amp;C638,SUPORTE!AA:AA,1,0),"NÃO INICIADO")="NÃO INICIADO",IF(B638&amp;C638=$J$9&amp;$I$12,"EM PROCESSO","NÃO INICIADO"),VLOOKUP(B638&amp;C638,SUPORTE!AA:AF,6,0)),"")</f>
        <v/>
      </c>
      <c r="I638" s="46"/>
      <c r="J638" s="32"/>
      <c r="K638" s="32"/>
      <c r="L638" s="32"/>
      <c r="M638" s="32"/>
      <c r="N638" s="32"/>
      <c r="O638" s="32"/>
      <c r="P638" s="32"/>
      <c r="Q638" s="32"/>
    </row>
    <row r="639" spans="4:17" x14ac:dyDescent="0.4">
      <c r="D639" s="15" t="str">
        <f>IF(B639&lt;&gt;"",IF(_xlfn.IFNA(VLOOKUP(B639&amp;C639,SUPORTE!AA:AA,1,0),"NÃO INICIADO")="NÃO INICIADO",IF(B639&amp;C639=$J$9&amp;$I$12,"EM PROCESSO","NÃO INICIADO"),VLOOKUP(B639&amp;C639,SUPORTE!AA:AF,6,0)),"")</f>
        <v/>
      </c>
      <c r="I639" s="46"/>
      <c r="J639" s="32"/>
      <c r="K639" s="32"/>
      <c r="L639" s="32"/>
      <c r="M639" s="32"/>
      <c r="N639" s="32"/>
      <c r="O639" s="32"/>
      <c r="P639" s="32"/>
      <c r="Q639" s="32"/>
    </row>
    <row r="640" spans="4:17" x14ac:dyDescent="0.4">
      <c r="D640" s="15" t="str">
        <f>IF(B640&lt;&gt;"",IF(_xlfn.IFNA(VLOOKUP(B640&amp;C640,SUPORTE!AA:AA,1,0),"NÃO INICIADO")="NÃO INICIADO",IF(B640&amp;C640=$J$9&amp;$I$12,"EM PROCESSO","NÃO INICIADO"),VLOOKUP(B640&amp;C640,SUPORTE!AA:AF,6,0)),"")</f>
        <v/>
      </c>
      <c r="I640" s="46"/>
      <c r="J640" s="32"/>
      <c r="K640" s="32"/>
      <c r="L640" s="32"/>
      <c r="M640" s="32"/>
      <c r="N640" s="32"/>
      <c r="O640" s="32"/>
      <c r="P640" s="32"/>
      <c r="Q640" s="32"/>
    </row>
    <row r="641" spans="4:17" x14ac:dyDescent="0.4">
      <c r="D641" s="15" t="str">
        <f>IF(B641&lt;&gt;"",IF(_xlfn.IFNA(VLOOKUP(B641&amp;C641,SUPORTE!AA:AA,1,0),"NÃO INICIADO")="NÃO INICIADO",IF(B641&amp;C641=$J$9&amp;$I$12,"EM PROCESSO","NÃO INICIADO"),VLOOKUP(B641&amp;C641,SUPORTE!AA:AF,6,0)),"")</f>
        <v/>
      </c>
      <c r="I641" s="46"/>
      <c r="J641" s="32"/>
      <c r="K641" s="32"/>
      <c r="L641" s="32"/>
      <c r="M641" s="32"/>
      <c r="N641" s="32"/>
      <c r="O641" s="32"/>
      <c r="P641" s="32"/>
      <c r="Q641" s="32"/>
    </row>
    <row r="642" spans="4:17" x14ac:dyDescent="0.4">
      <c r="D642" s="15" t="str">
        <f>IF(B642&lt;&gt;"",IF(_xlfn.IFNA(VLOOKUP(B642&amp;C642,SUPORTE!AA:AA,1,0),"NÃO INICIADO")="NÃO INICIADO",IF(B642&amp;C642=$J$9&amp;$I$12,"EM PROCESSO","NÃO INICIADO"),VLOOKUP(B642&amp;C642,SUPORTE!AA:AF,6,0)),"")</f>
        <v/>
      </c>
      <c r="I642" s="46"/>
      <c r="J642" s="32"/>
      <c r="K642" s="32"/>
      <c r="L642" s="32"/>
      <c r="M642" s="32"/>
      <c r="N642" s="32"/>
      <c r="O642" s="32"/>
      <c r="P642" s="32"/>
      <c r="Q642" s="32"/>
    </row>
    <row r="643" spans="4:17" x14ac:dyDescent="0.4">
      <c r="D643" s="15" t="str">
        <f>IF(B643&lt;&gt;"",IF(_xlfn.IFNA(VLOOKUP(B643&amp;C643,SUPORTE!AA:AA,1,0),"NÃO INICIADO")="NÃO INICIADO",IF(B643&amp;C643=$J$9&amp;$I$12,"EM PROCESSO","NÃO INICIADO"),VLOOKUP(B643&amp;C643,SUPORTE!AA:AF,6,0)),"")</f>
        <v/>
      </c>
      <c r="I643" s="46"/>
      <c r="J643" s="32"/>
      <c r="K643" s="32"/>
      <c r="L643" s="32"/>
      <c r="M643" s="32"/>
      <c r="N643" s="32"/>
      <c r="O643" s="32"/>
      <c r="P643" s="32"/>
      <c r="Q643" s="32"/>
    </row>
    <row r="644" spans="4:17" x14ac:dyDescent="0.4">
      <c r="D644" s="15" t="str">
        <f>IF(B644&lt;&gt;"",IF(_xlfn.IFNA(VLOOKUP(B644&amp;C644,SUPORTE!AA:AA,1,0),"NÃO INICIADO")="NÃO INICIADO",IF(B644&amp;C644=$J$9&amp;$I$12,"EM PROCESSO","NÃO INICIADO"),VLOOKUP(B644&amp;C644,SUPORTE!AA:AF,6,0)),"")</f>
        <v/>
      </c>
      <c r="I644" s="46"/>
      <c r="J644" s="32"/>
      <c r="K644" s="32"/>
      <c r="L644" s="32"/>
      <c r="M644" s="32"/>
      <c r="N644" s="32"/>
      <c r="O644" s="32"/>
      <c r="P644" s="32"/>
      <c r="Q644" s="32"/>
    </row>
    <row r="645" spans="4:17" x14ac:dyDescent="0.4">
      <c r="D645" s="15" t="str">
        <f>IF(B645&lt;&gt;"",IF(_xlfn.IFNA(VLOOKUP(B645&amp;C645,SUPORTE!AA:AA,1,0),"NÃO INICIADO")="NÃO INICIADO",IF(B645&amp;C645=$J$9&amp;$I$12,"EM PROCESSO","NÃO INICIADO"),VLOOKUP(B645&amp;C645,SUPORTE!AA:AF,6,0)),"")</f>
        <v/>
      </c>
      <c r="I645" s="46"/>
      <c r="J645" s="32"/>
      <c r="K645" s="32"/>
      <c r="L645" s="32"/>
      <c r="M645" s="32"/>
      <c r="N645" s="32"/>
      <c r="O645" s="32"/>
      <c r="P645" s="32"/>
      <c r="Q645" s="32"/>
    </row>
    <row r="646" spans="4:17" x14ac:dyDescent="0.4">
      <c r="D646" s="15" t="str">
        <f>IF(B646&lt;&gt;"",IF(_xlfn.IFNA(VLOOKUP(B646&amp;C646,SUPORTE!AA:AA,1,0),"NÃO INICIADO")="NÃO INICIADO",IF(B646&amp;C646=$J$9&amp;$I$12,"EM PROCESSO","NÃO INICIADO"),VLOOKUP(B646&amp;C646,SUPORTE!AA:AF,6,0)),"")</f>
        <v/>
      </c>
      <c r="I646" s="46"/>
      <c r="J646" s="32"/>
      <c r="K646" s="32"/>
      <c r="L646" s="32"/>
      <c r="M646" s="32"/>
      <c r="N646" s="32"/>
      <c r="O646" s="32"/>
      <c r="P646" s="32"/>
      <c r="Q646" s="32"/>
    </row>
    <row r="647" spans="4:17" x14ac:dyDescent="0.4">
      <c r="D647" s="15" t="str">
        <f>IF(B647&lt;&gt;"",IF(_xlfn.IFNA(VLOOKUP(B647&amp;C647,SUPORTE!AA:AA,1,0),"NÃO INICIADO")="NÃO INICIADO",IF(B647&amp;C647=$J$9&amp;$I$12,"EM PROCESSO","NÃO INICIADO"),VLOOKUP(B647&amp;C647,SUPORTE!AA:AF,6,0)),"")</f>
        <v/>
      </c>
      <c r="I647" s="46"/>
      <c r="J647" s="32"/>
      <c r="K647" s="32"/>
      <c r="L647" s="32"/>
      <c r="M647" s="32"/>
      <c r="N647" s="32"/>
      <c r="O647" s="32"/>
      <c r="P647" s="32"/>
      <c r="Q647" s="32"/>
    </row>
    <row r="648" spans="4:17" x14ac:dyDescent="0.4">
      <c r="D648" s="15" t="str">
        <f>IF(B648&lt;&gt;"",IF(_xlfn.IFNA(VLOOKUP(B648&amp;C648,SUPORTE!AA:AA,1,0),"NÃO INICIADO")="NÃO INICIADO",IF(B648&amp;C648=$J$9&amp;$I$12,"EM PROCESSO","NÃO INICIADO"),VLOOKUP(B648&amp;C648,SUPORTE!AA:AF,6,0)),"")</f>
        <v/>
      </c>
      <c r="I648" s="46"/>
      <c r="J648" s="32"/>
      <c r="K648" s="32"/>
      <c r="L648" s="32"/>
      <c r="M648" s="32"/>
      <c r="N648" s="32"/>
      <c r="O648" s="32"/>
      <c r="P648" s="32"/>
      <c r="Q648" s="32"/>
    </row>
    <row r="649" spans="4:17" x14ac:dyDescent="0.4">
      <c r="D649" s="15" t="str">
        <f>IF(B649&lt;&gt;"",IF(_xlfn.IFNA(VLOOKUP(B649&amp;C649,SUPORTE!AA:AA,1,0),"NÃO INICIADO")="NÃO INICIADO",IF(B649&amp;C649=$J$9&amp;$I$12,"EM PROCESSO","NÃO INICIADO"),VLOOKUP(B649&amp;C649,SUPORTE!AA:AF,6,0)),"")</f>
        <v/>
      </c>
      <c r="I649" s="46"/>
      <c r="J649" s="32"/>
      <c r="K649" s="32"/>
      <c r="L649" s="32"/>
      <c r="M649" s="32"/>
      <c r="N649" s="32"/>
      <c r="O649" s="32"/>
      <c r="P649" s="32"/>
      <c r="Q649" s="32"/>
    </row>
    <row r="650" spans="4:17" x14ac:dyDescent="0.4">
      <c r="D650" s="15" t="str">
        <f>IF(B650&lt;&gt;"",IF(_xlfn.IFNA(VLOOKUP(B650&amp;C650,SUPORTE!AA:AA,1,0),"NÃO INICIADO")="NÃO INICIADO",IF(B650&amp;C650=$J$9&amp;$I$12,"EM PROCESSO","NÃO INICIADO"),VLOOKUP(B650&amp;C650,SUPORTE!AA:AF,6,0)),"")</f>
        <v/>
      </c>
      <c r="I650" s="46"/>
      <c r="J650" s="32"/>
      <c r="K650" s="32"/>
      <c r="L650" s="32"/>
      <c r="M650" s="32"/>
      <c r="N650" s="32"/>
      <c r="O650" s="32"/>
      <c r="P650" s="32"/>
      <c r="Q650" s="32"/>
    </row>
    <row r="651" spans="4:17" x14ac:dyDescent="0.4">
      <c r="D651" s="15" t="str">
        <f>IF(B651&lt;&gt;"",IF(_xlfn.IFNA(VLOOKUP(B651&amp;C651,SUPORTE!AA:AA,1,0),"NÃO INICIADO")="NÃO INICIADO",IF(B651&amp;C651=$J$9&amp;$I$12,"EM PROCESSO","NÃO INICIADO"),VLOOKUP(B651&amp;C651,SUPORTE!AA:AF,6,0)),"")</f>
        <v/>
      </c>
      <c r="I651" s="46"/>
      <c r="J651" s="32"/>
      <c r="K651" s="32"/>
      <c r="L651" s="32"/>
      <c r="M651" s="32"/>
      <c r="N651" s="32"/>
      <c r="O651" s="32"/>
      <c r="P651" s="32"/>
      <c r="Q651" s="32"/>
    </row>
    <row r="652" spans="4:17" x14ac:dyDescent="0.4">
      <c r="D652" s="15" t="str">
        <f>IF(B652&lt;&gt;"",IF(_xlfn.IFNA(VLOOKUP(B652&amp;C652,SUPORTE!AA:AA,1,0),"NÃO INICIADO")="NÃO INICIADO",IF(B652&amp;C652=$J$9&amp;$I$12,"EM PROCESSO","NÃO INICIADO"),VLOOKUP(B652&amp;C652,SUPORTE!AA:AF,6,0)),"")</f>
        <v/>
      </c>
      <c r="I652" s="46"/>
      <c r="J652" s="32"/>
      <c r="K652" s="32"/>
      <c r="L652" s="32"/>
      <c r="M652" s="32"/>
      <c r="N652" s="32"/>
      <c r="O652" s="32"/>
      <c r="P652" s="32"/>
      <c r="Q652" s="32"/>
    </row>
    <row r="653" spans="4:17" x14ac:dyDescent="0.4">
      <c r="D653" s="15" t="str">
        <f>IF(B653&lt;&gt;"",IF(_xlfn.IFNA(VLOOKUP(B653&amp;C653,SUPORTE!AA:AA,1,0),"NÃO INICIADO")="NÃO INICIADO",IF(B653&amp;C653=$J$9&amp;$I$12,"EM PROCESSO","NÃO INICIADO"),VLOOKUP(B653&amp;C653,SUPORTE!AA:AF,6,0)),"")</f>
        <v/>
      </c>
      <c r="I653" s="46"/>
      <c r="J653" s="32"/>
      <c r="K653" s="32"/>
      <c r="L653" s="32"/>
      <c r="M653" s="32"/>
      <c r="N653" s="32"/>
      <c r="O653" s="32"/>
      <c r="P653" s="32"/>
      <c r="Q653" s="32"/>
    </row>
    <row r="654" spans="4:17" x14ac:dyDescent="0.4">
      <c r="D654" s="15" t="str">
        <f>IF(B654&lt;&gt;"",IF(_xlfn.IFNA(VLOOKUP(B654&amp;C654,SUPORTE!AA:AA,1,0),"NÃO INICIADO")="NÃO INICIADO",IF(B654&amp;C654=$J$9&amp;$I$12,"EM PROCESSO","NÃO INICIADO"),VLOOKUP(B654&amp;C654,SUPORTE!AA:AF,6,0)),"")</f>
        <v/>
      </c>
      <c r="I654" s="46"/>
      <c r="J654" s="32"/>
      <c r="K654" s="32"/>
      <c r="L654" s="32"/>
      <c r="M654" s="32"/>
      <c r="N654" s="32"/>
      <c r="O654" s="32"/>
      <c r="P654" s="32"/>
      <c r="Q654" s="32"/>
    </row>
    <row r="655" spans="4:17" x14ac:dyDescent="0.4">
      <c r="D655" s="15" t="str">
        <f>IF(B655&lt;&gt;"",IF(_xlfn.IFNA(VLOOKUP(B655&amp;C655,SUPORTE!AA:AA,1,0),"NÃO INICIADO")="NÃO INICIADO",IF(B655&amp;C655=$J$9&amp;$I$12,"EM PROCESSO","NÃO INICIADO"),VLOOKUP(B655&amp;C655,SUPORTE!AA:AF,6,0)),"")</f>
        <v/>
      </c>
      <c r="I655" s="46"/>
      <c r="J655" s="32"/>
      <c r="K655" s="32"/>
      <c r="L655" s="32"/>
      <c r="M655" s="32"/>
      <c r="N655" s="32"/>
      <c r="O655" s="32"/>
      <c r="P655" s="32"/>
      <c r="Q655" s="32"/>
    </row>
    <row r="656" spans="4:17" x14ac:dyDescent="0.4">
      <c r="D656" s="15" t="str">
        <f>IF(B656&lt;&gt;"",IF(_xlfn.IFNA(VLOOKUP(B656&amp;C656,SUPORTE!AA:AA,1,0),"NÃO INICIADO")="NÃO INICIADO",IF(B656&amp;C656=$J$9&amp;$I$12,"EM PROCESSO","NÃO INICIADO"),VLOOKUP(B656&amp;C656,SUPORTE!AA:AF,6,0)),"")</f>
        <v/>
      </c>
      <c r="I656" s="46"/>
      <c r="J656" s="32"/>
      <c r="K656" s="32"/>
      <c r="L656" s="32"/>
      <c r="M656" s="32"/>
      <c r="N656" s="32"/>
      <c r="O656" s="32"/>
      <c r="P656" s="32"/>
      <c r="Q656" s="32"/>
    </row>
    <row r="657" spans="4:17" x14ac:dyDescent="0.4">
      <c r="D657" s="15" t="str">
        <f>IF(B657&lt;&gt;"",IF(_xlfn.IFNA(VLOOKUP(B657&amp;C657,SUPORTE!AA:AA,1,0),"NÃO INICIADO")="NÃO INICIADO",IF(B657&amp;C657=$J$9&amp;$I$12,"EM PROCESSO","NÃO INICIADO"),VLOOKUP(B657&amp;C657,SUPORTE!AA:AF,6,0)),"")</f>
        <v/>
      </c>
      <c r="I657" s="46"/>
      <c r="J657" s="32"/>
      <c r="K657" s="32"/>
      <c r="L657" s="32"/>
      <c r="M657" s="32"/>
      <c r="N657" s="32"/>
      <c r="O657" s="32"/>
      <c r="P657" s="32"/>
      <c r="Q657" s="32"/>
    </row>
    <row r="658" spans="4:17" x14ac:dyDescent="0.4">
      <c r="D658" s="15" t="str">
        <f>IF(B658&lt;&gt;"",IF(_xlfn.IFNA(VLOOKUP(B658&amp;C658,SUPORTE!AA:AA,1,0),"NÃO INICIADO")="NÃO INICIADO",IF(B658&amp;C658=$J$9&amp;$I$12,"EM PROCESSO","NÃO INICIADO"),VLOOKUP(B658&amp;C658,SUPORTE!AA:AF,6,0)),"")</f>
        <v/>
      </c>
      <c r="I658" s="46"/>
      <c r="J658" s="32"/>
      <c r="K658" s="32"/>
      <c r="L658" s="32"/>
      <c r="M658" s="32"/>
      <c r="N658" s="32"/>
      <c r="O658" s="32"/>
      <c r="P658" s="32"/>
      <c r="Q658" s="32"/>
    </row>
    <row r="659" spans="4:17" x14ac:dyDescent="0.4">
      <c r="D659" s="15" t="str">
        <f>IF(B659&lt;&gt;"",IF(_xlfn.IFNA(VLOOKUP(B659&amp;C659,SUPORTE!AA:AA,1,0),"NÃO INICIADO")="NÃO INICIADO",IF(B659&amp;C659=$J$9&amp;$I$12,"EM PROCESSO","NÃO INICIADO"),VLOOKUP(B659&amp;C659,SUPORTE!AA:AF,6,0)),"")</f>
        <v/>
      </c>
      <c r="I659" s="46"/>
      <c r="J659" s="32"/>
      <c r="K659" s="32"/>
      <c r="L659" s="32"/>
      <c r="M659" s="32"/>
      <c r="N659" s="32"/>
      <c r="O659" s="32"/>
      <c r="P659" s="32"/>
      <c r="Q659" s="32"/>
    </row>
    <row r="660" spans="4:17" x14ac:dyDescent="0.4">
      <c r="D660" s="15" t="str">
        <f>IF(B660&lt;&gt;"",IF(_xlfn.IFNA(VLOOKUP(B660&amp;C660,SUPORTE!AA:AA,1,0),"NÃO INICIADO")="NÃO INICIADO",IF(B660&amp;C660=$J$9&amp;$I$12,"EM PROCESSO","NÃO INICIADO"),VLOOKUP(B660&amp;C660,SUPORTE!AA:AF,6,0)),"")</f>
        <v/>
      </c>
      <c r="I660" s="46"/>
      <c r="J660" s="32"/>
      <c r="K660" s="32"/>
      <c r="L660" s="32"/>
      <c r="M660" s="32"/>
      <c r="N660" s="32"/>
      <c r="O660" s="32"/>
      <c r="P660" s="32"/>
      <c r="Q660" s="32"/>
    </row>
    <row r="661" spans="4:17" x14ac:dyDescent="0.4">
      <c r="D661" s="15" t="str">
        <f>IF(B661&lt;&gt;"",IF(_xlfn.IFNA(VLOOKUP(B661&amp;C661,SUPORTE!AA:AA,1,0),"NÃO INICIADO")="NÃO INICIADO",IF(B661&amp;C661=$J$9&amp;$I$12,"EM PROCESSO","NÃO INICIADO"),VLOOKUP(B661&amp;C661,SUPORTE!AA:AF,6,0)),"")</f>
        <v/>
      </c>
      <c r="I661" s="46"/>
      <c r="J661" s="32"/>
      <c r="K661" s="32"/>
      <c r="L661" s="32"/>
      <c r="M661" s="32"/>
      <c r="N661" s="32"/>
      <c r="O661" s="32"/>
      <c r="P661" s="32"/>
      <c r="Q661" s="32"/>
    </row>
    <row r="662" spans="4:17" x14ac:dyDescent="0.4">
      <c r="D662" s="15" t="str">
        <f>IF(B662&lt;&gt;"",IF(_xlfn.IFNA(VLOOKUP(B662&amp;C662,SUPORTE!AA:AA,1,0),"NÃO INICIADO")="NÃO INICIADO",IF(B662&amp;C662=$J$9&amp;$I$12,"EM PROCESSO","NÃO INICIADO"),VLOOKUP(B662&amp;C662,SUPORTE!AA:AF,6,0)),"")</f>
        <v/>
      </c>
      <c r="I662" s="46"/>
      <c r="J662" s="32"/>
      <c r="K662" s="32"/>
      <c r="L662" s="32"/>
      <c r="M662" s="32"/>
      <c r="N662" s="32"/>
      <c r="O662" s="32"/>
      <c r="P662" s="32"/>
      <c r="Q662" s="32"/>
    </row>
    <row r="663" spans="4:17" x14ac:dyDescent="0.4">
      <c r="D663" s="15" t="str">
        <f>IF(B663&lt;&gt;"",IF(_xlfn.IFNA(VLOOKUP(B663&amp;C663,SUPORTE!AA:AA,1,0),"NÃO INICIADO")="NÃO INICIADO",IF(B663&amp;C663=$J$9&amp;$I$12,"EM PROCESSO","NÃO INICIADO"),VLOOKUP(B663&amp;C663,SUPORTE!AA:AF,6,0)),"")</f>
        <v/>
      </c>
      <c r="I663" s="46"/>
      <c r="J663" s="32"/>
      <c r="K663" s="32"/>
      <c r="L663" s="32"/>
      <c r="M663" s="32"/>
      <c r="N663" s="32"/>
      <c r="O663" s="32"/>
      <c r="P663" s="32"/>
      <c r="Q663" s="32"/>
    </row>
    <row r="664" spans="4:17" x14ac:dyDescent="0.4">
      <c r="D664" s="15" t="str">
        <f>IF(B664&lt;&gt;"",IF(_xlfn.IFNA(VLOOKUP(B664&amp;C664,SUPORTE!AA:AA,1,0),"NÃO INICIADO")="NÃO INICIADO",IF(B664&amp;C664=$J$9&amp;$I$12,"EM PROCESSO","NÃO INICIADO"),VLOOKUP(B664&amp;C664,SUPORTE!AA:AF,6,0)),"")</f>
        <v/>
      </c>
      <c r="I664" s="46"/>
      <c r="J664" s="32"/>
      <c r="K664" s="32"/>
      <c r="L664" s="32"/>
      <c r="M664" s="32"/>
      <c r="N664" s="32"/>
      <c r="O664" s="32"/>
      <c r="P664" s="32"/>
      <c r="Q664" s="32"/>
    </row>
    <row r="665" spans="4:17" x14ac:dyDescent="0.4">
      <c r="D665" s="15" t="str">
        <f>IF(B665&lt;&gt;"",IF(_xlfn.IFNA(VLOOKUP(B665&amp;C665,SUPORTE!AA:AA,1,0),"NÃO INICIADO")="NÃO INICIADO",IF(B665&amp;C665=$J$9&amp;$I$12,"EM PROCESSO","NÃO INICIADO"),VLOOKUP(B665&amp;C665,SUPORTE!AA:AF,6,0)),"")</f>
        <v/>
      </c>
      <c r="I665" s="46"/>
      <c r="J665" s="32"/>
      <c r="K665" s="32"/>
      <c r="L665" s="32"/>
      <c r="M665" s="32"/>
      <c r="N665" s="32"/>
      <c r="O665" s="32"/>
      <c r="P665" s="32"/>
      <c r="Q665" s="32"/>
    </row>
    <row r="666" spans="4:17" x14ac:dyDescent="0.4">
      <c r="D666" s="15" t="str">
        <f>IF(B666&lt;&gt;"",IF(_xlfn.IFNA(VLOOKUP(B666&amp;C666,SUPORTE!AA:AA,1,0),"NÃO INICIADO")="NÃO INICIADO",IF(B666&amp;C666=$J$9&amp;$I$12,"EM PROCESSO","NÃO INICIADO"),VLOOKUP(B666&amp;C666,SUPORTE!AA:AF,6,0)),"")</f>
        <v/>
      </c>
      <c r="I666" s="46"/>
      <c r="J666" s="32"/>
      <c r="K666" s="32"/>
      <c r="L666" s="32"/>
      <c r="M666" s="32"/>
      <c r="N666" s="32"/>
      <c r="O666" s="32"/>
      <c r="P666" s="32"/>
      <c r="Q666" s="32"/>
    </row>
    <row r="667" spans="4:17" x14ac:dyDescent="0.4">
      <c r="D667" s="15" t="str">
        <f>IF(B667&lt;&gt;"",IF(_xlfn.IFNA(VLOOKUP(B667&amp;C667,SUPORTE!AA:AA,1,0),"NÃO INICIADO")="NÃO INICIADO",IF(B667&amp;C667=$J$9&amp;$I$12,"EM PROCESSO","NÃO INICIADO"),VLOOKUP(B667&amp;C667,SUPORTE!AA:AF,6,0)),"")</f>
        <v/>
      </c>
      <c r="I667" s="46"/>
      <c r="J667" s="32"/>
      <c r="K667" s="32"/>
      <c r="L667" s="32"/>
      <c r="M667" s="32"/>
      <c r="N667" s="32"/>
      <c r="O667" s="32"/>
      <c r="P667" s="32"/>
      <c r="Q667" s="32"/>
    </row>
    <row r="668" spans="4:17" x14ac:dyDescent="0.4">
      <c r="D668" s="15" t="str">
        <f>IF(B668&lt;&gt;"",IF(_xlfn.IFNA(VLOOKUP(B668&amp;C668,SUPORTE!AA:AA,1,0),"NÃO INICIADO")="NÃO INICIADO",IF(B668&amp;C668=$J$9&amp;$I$12,"EM PROCESSO","NÃO INICIADO"),VLOOKUP(B668&amp;C668,SUPORTE!AA:AF,6,0)),"")</f>
        <v/>
      </c>
      <c r="I668" s="46"/>
      <c r="J668" s="32"/>
      <c r="K668" s="32"/>
      <c r="L668" s="32"/>
      <c r="M668" s="32"/>
      <c r="N668" s="32"/>
      <c r="O668" s="32"/>
      <c r="P668" s="32"/>
      <c r="Q668" s="32"/>
    </row>
    <row r="669" spans="4:17" x14ac:dyDescent="0.4">
      <c r="D669" s="15" t="str">
        <f>IF(B669&lt;&gt;"",IF(_xlfn.IFNA(VLOOKUP(B669&amp;C669,SUPORTE!AA:AA,1,0),"NÃO INICIADO")="NÃO INICIADO",IF(B669&amp;C669=$J$9&amp;$I$12,"EM PROCESSO","NÃO INICIADO"),VLOOKUP(B669&amp;C669,SUPORTE!AA:AF,6,0)),"")</f>
        <v/>
      </c>
      <c r="I669" s="46"/>
      <c r="J669" s="32"/>
      <c r="K669" s="32"/>
      <c r="L669" s="32"/>
      <c r="M669" s="32"/>
      <c r="N669" s="32"/>
      <c r="O669" s="32"/>
      <c r="P669" s="32"/>
      <c r="Q669" s="32"/>
    </row>
    <row r="670" spans="4:17" x14ac:dyDescent="0.4">
      <c r="D670" s="15" t="str">
        <f>IF(B670&lt;&gt;"",IF(_xlfn.IFNA(VLOOKUP(B670&amp;C670,SUPORTE!AA:AA,1,0),"NÃO INICIADO")="NÃO INICIADO",IF(B670&amp;C670=$J$9&amp;$I$12,"EM PROCESSO","NÃO INICIADO"),VLOOKUP(B670&amp;C670,SUPORTE!AA:AF,6,0)),"")</f>
        <v/>
      </c>
      <c r="I670" s="46"/>
      <c r="J670" s="32"/>
      <c r="K670" s="32"/>
      <c r="L670" s="32"/>
      <c r="M670" s="32"/>
      <c r="N670" s="32"/>
      <c r="O670" s="32"/>
      <c r="P670" s="32"/>
      <c r="Q670" s="32"/>
    </row>
    <row r="671" spans="4:17" x14ac:dyDescent="0.4">
      <c r="D671" s="15" t="str">
        <f>IF(B671&lt;&gt;"",IF(_xlfn.IFNA(VLOOKUP(B671&amp;C671,SUPORTE!AA:AA,1,0),"NÃO INICIADO")="NÃO INICIADO",IF(B671&amp;C671=$J$9&amp;$I$12,"EM PROCESSO","NÃO INICIADO"),VLOOKUP(B671&amp;C671,SUPORTE!AA:AF,6,0)),"")</f>
        <v/>
      </c>
      <c r="I671" s="46"/>
      <c r="J671" s="32"/>
      <c r="K671" s="32"/>
      <c r="L671" s="32"/>
      <c r="M671" s="32"/>
      <c r="N671" s="32"/>
      <c r="O671" s="32"/>
      <c r="P671" s="32"/>
      <c r="Q671" s="32"/>
    </row>
    <row r="672" spans="4:17" x14ac:dyDescent="0.4">
      <c r="D672" s="15" t="str">
        <f>IF(B672&lt;&gt;"",IF(_xlfn.IFNA(VLOOKUP(B672&amp;C672,SUPORTE!AA:AA,1,0),"NÃO INICIADO")="NÃO INICIADO",IF(B672&amp;C672=$J$9&amp;$I$12,"EM PROCESSO","NÃO INICIADO"),VLOOKUP(B672&amp;C672,SUPORTE!AA:AF,6,0)),"")</f>
        <v/>
      </c>
      <c r="I672" s="46"/>
      <c r="J672" s="32"/>
      <c r="K672" s="32"/>
      <c r="L672" s="32"/>
      <c r="M672" s="32"/>
      <c r="N672" s="32"/>
      <c r="O672" s="32"/>
      <c r="P672" s="32"/>
      <c r="Q672" s="32"/>
    </row>
    <row r="673" spans="4:17" x14ac:dyDescent="0.4">
      <c r="D673" s="15" t="str">
        <f>IF(B673&lt;&gt;"",IF(_xlfn.IFNA(VLOOKUP(B673&amp;C673,SUPORTE!AA:AA,1,0),"NÃO INICIADO")="NÃO INICIADO",IF(B673&amp;C673=$J$9&amp;$I$12,"EM PROCESSO","NÃO INICIADO"),VLOOKUP(B673&amp;C673,SUPORTE!AA:AF,6,0)),"")</f>
        <v/>
      </c>
      <c r="I673" s="46"/>
      <c r="J673" s="32"/>
      <c r="K673" s="32"/>
      <c r="L673" s="32"/>
      <c r="M673" s="32"/>
      <c r="N673" s="32"/>
      <c r="O673" s="32"/>
      <c r="P673" s="32"/>
      <c r="Q673" s="32"/>
    </row>
    <row r="674" spans="4:17" x14ac:dyDescent="0.4">
      <c r="D674" s="15" t="str">
        <f>IF(B674&lt;&gt;"",IF(_xlfn.IFNA(VLOOKUP(B674&amp;C674,SUPORTE!AA:AA,1,0),"NÃO INICIADO")="NÃO INICIADO",IF(B674&amp;C674=$J$9&amp;$I$12,"EM PROCESSO","NÃO INICIADO"),VLOOKUP(B674&amp;C674,SUPORTE!AA:AF,6,0)),"")</f>
        <v/>
      </c>
      <c r="I674" s="46"/>
      <c r="J674" s="32"/>
      <c r="K674" s="32"/>
      <c r="L674" s="32"/>
      <c r="M674" s="32"/>
      <c r="N674" s="32"/>
      <c r="O674" s="32"/>
      <c r="P674" s="32"/>
      <c r="Q674" s="32"/>
    </row>
    <row r="675" spans="4:17" x14ac:dyDescent="0.4">
      <c r="D675" s="15" t="str">
        <f>IF(B675&lt;&gt;"",IF(_xlfn.IFNA(VLOOKUP(B675&amp;C675,SUPORTE!AA:AA,1,0),"NÃO INICIADO")="NÃO INICIADO",IF(B675&amp;C675=$J$9&amp;$I$12,"EM PROCESSO","NÃO INICIADO"),VLOOKUP(B675&amp;C675,SUPORTE!AA:AF,6,0)),"")</f>
        <v/>
      </c>
      <c r="I675" s="46"/>
      <c r="J675" s="32"/>
      <c r="K675" s="32"/>
      <c r="L675" s="32"/>
      <c r="M675" s="32"/>
      <c r="N675" s="32"/>
      <c r="O675" s="32"/>
      <c r="P675" s="32"/>
      <c r="Q675" s="32"/>
    </row>
    <row r="676" spans="4:17" x14ac:dyDescent="0.4">
      <c r="D676" s="15" t="str">
        <f>IF(B676&lt;&gt;"",IF(_xlfn.IFNA(VLOOKUP(B676&amp;C676,SUPORTE!AA:AA,1,0),"NÃO INICIADO")="NÃO INICIADO",IF(B676&amp;C676=$J$9&amp;$I$12,"EM PROCESSO","NÃO INICIADO"),VLOOKUP(B676&amp;C676,SUPORTE!AA:AF,6,0)),"")</f>
        <v/>
      </c>
      <c r="I676" s="46"/>
      <c r="J676" s="32"/>
      <c r="K676" s="32"/>
      <c r="L676" s="32"/>
      <c r="M676" s="32"/>
      <c r="N676" s="32"/>
      <c r="O676" s="32"/>
      <c r="P676" s="32"/>
      <c r="Q676" s="32"/>
    </row>
    <row r="677" spans="4:17" x14ac:dyDescent="0.4">
      <c r="D677" s="15" t="str">
        <f>IF(B677&lt;&gt;"",IF(_xlfn.IFNA(VLOOKUP(B677&amp;C677,SUPORTE!AA:AA,1,0),"NÃO INICIADO")="NÃO INICIADO",IF(B677&amp;C677=$J$9&amp;$I$12,"EM PROCESSO","NÃO INICIADO"),VLOOKUP(B677&amp;C677,SUPORTE!AA:AF,6,0)),"")</f>
        <v/>
      </c>
      <c r="I677" s="46"/>
      <c r="J677" s="32"/>
      <c r="K677" s="32"/>
      <c r="L677" s="32"/>
      <c r="M677" s="32"/>
      <c r="N677" s="32"/>
      <c r="O677" s="32"/>
      <c r="P677" s="32"/>
      <c r="Q677" s="32"/>
    </row>
    <row r="678" spans="4:17" x14ac:dyDescent="0.4">
      <c r="D678" s="15" t="str">
        <f>IF(B678&lt;&gt;"",IF(_xlfn.IFNA(VLOOKUP(B678&amp;C678,SUPORTE!AA:AA,1,0),"NÃO INICIADO")="NÃO INICIADO",IF(B678&amp;C678=$J$9&amp;$I$12,"EM PROCESSO","NÃO INICIADO"),VLOOKUP(B678&amp;C678,SUPORTE!AA:AF,6,0)),"")</f>
        <v/>
      </c>
      <c r="I678" s="46"/>
      <c r="J678" s="32"/>
      <c r="K678" s="32"/>
      <c r="L678" s="32"/>
      <c r="M678" s="32"/>
      <c r="N678" s="32"/>
      <c r="O678" s="32"/>
      <c r="P678" s="32"/>
      <c r="Q678" s="32"/>
    </row>
    <row r="679" spans="4:17" x14ac:dyDescent="0.4">
      <c r="D679" s="15" t="str">
        <f>IF(B679&lt;&gt;"",IF(_xlfn.IFNA(VLOOKUP(B679&amp;C679,SUPORTE!AA:AA,1,0),"NÃO INICIADO")="NÃO INICIADO",IF(B679&amp;C679=$J$9&amp;$I$12,"EM PROCESSO","NÃO INICIADO"),VLOOKUP(B679&amp;C679,SUPORTE!AA:AF,6,0)),"")</f>
        <v/>
      </c>
      <c r="I679" s="46"/>
      <c r="J679" s="32"/>
      <c r="K679" s="32"/>
      <c r="L679" s="32"/>
      <c r="M679" s="32"/>
      <c r="N679" s="32"/>
      <c r="O679" s="32"/>
      <c r="P679" s="32"/>
      <c r="Q679" s="32"/>
    </row>
    <row r="680" spans="4:17" x14ac:dyDescent="0.4">
      <c r="D680" s="15" t="str">
        <f>IF(B680&lt;&gt;"",IF(_xlfn.IFNA(VLOOKUP(B680&amp;C680,SUPORTE!AA:AA,1,0),"NÃO INICIADO")="NÃO INICIADO",IF(B680&amp;C680=$J$9&amp;$I$12,"EM PROCESSO","NÃO INICIADO"),VLOOKUP(B680&amp;C680,SUPORTE!AA:AF,6,0)),"")</f>
        <v/>
      </c>
      <c r="I680" s="46"/>
      <c r="J680" s="32"/>
      <c r="K680" s="32"/>
      <c r="L680" s="32"/>
      <c r="M680" s="32"/>
      <c r="N680" s="32"/>
      <c r="O680" s="32"/>
      <c r="P680" s="32"/>
      <c r="Q680" s="32"/>
    </row>
    <row r="681" spans="4:17" x14ac:dyDescent="0.4">
      <c r="D681" s="15" t="str">
        <f>IF(B681&lt;&gt;"",IF(_xlfn.IFNA(VLOOKUP(B681&amp;C681,SUPORTE!AA:AA,1,0),"NÃO INICIADO")="NÃO INICIADO",IF(B681&amp;C681=$J$9&amp;$I$12,"EM PROCESSO","NÃO INICIADO"),VLOOKUP(B681&amp;C681,SUPORTE!AA:AF,6,0)),"")</f>
        <v/>
      </c>
      <c r="I681" s="46"/>
      <c r="J681" s="32"/>
      <c r="K681" s="32"/>
      <c r="L681" s="32"/>
      <c r="M681" s="32"/>
      <c r="N681" s="32"/>
      <c r="O681" s="32"/>
      <c r="P681" s="32"/>
      <c r="Q681" s="32"/>
    </row>
    <row r="682" spans="4:17" x14ac:dyDescent="0.4">
      <c r="D682" s="15" t="str">
        <f>IF(B682&lt;&gt;"",IF(_xlfn.IFNA(VLOOKUP(B682&amp;C682,SUPORTE!AA:AA,1,0),"NÃO INICIADO")="NÃO INICIADO",IF(B682&amp;C682=$J$9&amp;$I$12,"EM PROCESSO","NÃO INICIADO"),VLOOKUP(B682&amp;C682,SUPORTE!AA:AF,6,0)),"")</f>
        <v/>
      </c>
      <c r="I682" s="46"/>
      <c r="J682" s="32"/>
      <c r="K682" s="32"/>
      <c r="L682" s="32"/>
      <c r="M682" s="32"/>
      <c r="N682" s="32"/>
      <c r="O682" s="32"/>
      <c r="P682" s="32"/>
      <c r="Q682" s="32"/>
    </row>
    <row r="683" spans="4:17" x14ac:dyDescent="0.4">
      <c r="D683" s="15" t="str">
        <f>IF(B683&lt;&gt;"",IF(_xlfn.IFNA(VLOOKUP(B683&amp;C683,SUPORTE!AA:AA,1,0),"NÃO INICIADO")="NÃO INICIADO",IF(B683&amp;C683=$J$9&amp;$I$12,"EM PROCESSO","NÃO INICIADO"),VLOOKUP(B683&amp;C683,SUPORTE!AA:AF,6,0)),"")</f>
        <v/>
      </c>
      <c r="I683" s="46"/>
      <c r="J683" s="32"/>
      <c r="K683" s="32"/>
      <c r="L683" s="32"/>
      <c r="M683" s="32"/>
      <c r="N683" s="32"/>
      <c r="O683" s="32"/>
      <c r="P683" s="32"/>
      <c r="Q683" s="32"/>
    </row>
    <row r="684" spans="4:17" x14ac:dyDescent="0.4">
      <c r="D684" s="15" t="str">
        <f>IF(B684&lt;&gt;"",IF(_xlfn.IFNA(VLOOKUP(B684&amp;C684,SUPORTE!AA:AA,1,0),"NÃO INICIADO")="NÃO INICIADO",IF(B684&amp;C684=$J$9&amp;$I$12,"EM PROCESSO","NÃO INICIADO"),VLOOKUP(B684&amp;C684,SUPORTE!AA:AF,6,0)),"")</f>
        <v/>
      </c>
      <c r="I684" s="46"/>
      <c r="J684" s="32"/>
      <c r="K684" s="32"/>
      <c r="L684" s="32"/>
      <c r="M684" s="32"/>
      <c r="N684" s="32"/>
      <c r="O684" s="32"/>
      <c r="P684" s="32"/>
      <c r="Q684" s="32"/>
    </row>
    <row r="685" spans="4:17" x14ac:dyDescent="0.4">
      <c r="D685" s="15" t="str">
        <f>IF(B685&lt;&gt;"",IF(_xlfn.IFNA(VLOOKUP(B685&amp;C685,SUPORTE!AA:AA,1,0),"NÃO INICIADO")="NÃO INICIADO",IF(B685&amp;C685=$J$9&amp;$I$12,"EM PROCESSO","NÃO INICIADO"),VLOOKUP(B685&amp;C685,SUPORTE!AA:AF,6,0)),"")</f>
        <v/>
      </c>
      <c r="I685" s="46"/>
      <c r="J685" s="32"/>
      <c r="K685" s="32"/>
      <c r="L685" s="32"/>
      <c r="M685" s="32"/>
      <c r="N685" s="32"/>
      <c r="O685" s="32"/>
      <c r="P685" s="32"/>
      <c r="Q685" s="32"/>
    </row>
    <row r="686" spans="4:17" x14ac:dyDescent="0.4">
      <c r="D686" s="15" t="str">
        <f>IF(B686&lt;&gt;"",IF(_xlfn.IFNA(VLOOKUP(B686&amp;C686,SUPORTE!AA:AA,1,0),"NÃO INICIADO")="NÃO INICIADO",IF(B686&amp;C686=$J$9&amp;$I$12,"EM PROCESSO","NÃO INICIADO"),VLOOKUP(B686&amp;C686,SUPORTE!AA:AF,6,0)),"")</f>
        <v/>
      </c>
      <c r="I686" s="46"/>
      <c r="J686" s="32"/>
      <c r="K686" s="32"/>
      <c r="L686" s="32"/>
      <c r="M686" s="32"/>
      <c r="N686" s="32"/>
      <c r="O686" s="32"/>
      <c r="P686" s="32"/>
      <c r="Q686" s="32"/>
    </row>
    <row r="687" spans="4:17" x14ac:dyDescent="0.4">
      <c r="D687" s="15" t="str">
        <f>IF(B687&lt;&gt;"",IF(_xlfn.IFNA(VLOOKUP(B687&amp;C687,SUPORTE!AA:AA,1,0),"NÃO INICIADO")="NÃO INICIADO",IF(B687&amp;C687=$J$9&amp;$I$12,"EM PROCESSO","NÃO INICIADO"),VLOOKUP(B687&amp;C687,SUPORTE!AA:AF,6,0)),"")</f>
        <v/>
      </c>
      <c r="I687" s="46"/>
      <c r="J687" s="32"/>
      <c r="K687" s="32"/>
      <c r="L687" s="32"/>
      <c r="M687" s="32"/>
      <c r="N687" s="32"/>
      <c r="O687" s="32"/>
      <c r="P687" s="32"/>
      <c r="Q687" s="32"/>
    </row>
    <row r="688" spans="4:17" x14ac:dyDescent="0.4">
      <c r="D688" s="15" t="str">
        <f>IF(B688&lt;&gt;"",IF(_xlfn.IFNA(VLOOKUP(B688&amp;C688,SUPORTE!AA:AA,1,0),"NÃO INICIADO")="NÃO INICIADO",IF(B688&amp;C688=$J$9&amp;$I$12,"EM PROCESSO","NÃO INICIADO"),VLOOKUP(B688&amp;C688,SUPORTE!AA:AF,6,0)),"")</f>
        <v/>
      </c>
      <c r="I688" s="46"/>
      <c r="J688" s="32"/>
      <c r="K688" s="32"/>
      <c r="L688" s="32"/>
      <c r="M688" s="32"/>
      <c r="N688" s="32"/>
      <c r="O688" s="32"/>
      <c r="P688" s="32"/>
      <c r="Q688" s="32"/>
    </row>
    <row r="689" spans="4:17" x14ac:dyDescent="0.4">
      <c r="D689" s="15" t="str">
        <f>IF(B689&lt;&gt;"",IF(_xlfn.IFNA(VLOOKUP(B689&amp;C689,SUPORTE!AA:AA,1,0),"NÃO INICIADO")="NÃO INICIADO",IF(B689&amp;C689=$J$9&amp;$I$12,"EM PROCESSO","NÃO INICIADO"),VLOOKUP(B689&amp;C689,SUPORTE!AA:AF,6,0)),"")</f>
        <v/>
      </c>
      <c r="I689" s="46"/>
      <c r="J689" s="32"/>
      <c r="K689" s="32"/>
      <c r="L689" s="32"/>
      <c r="M689" s="32"/>
      <c r="N689" s="32"/>
      <c r="O689" s="32"/>
      <c r="P689" s="32"/>
      <c r="Q689" s="32"/>
    </row>
    <row r="690" spans="4:17" x14ac:dyDescent="0.4">
      <c r="D690" s="15" t="str">
        <f>IF(B690&lt;&gt;"",IF(_xlfn.IFNA(VLOOKUP(B690&amp;C690,SUPORTE!AA:AA,1,0),"NÃO INICIADO")="NÃO INICIADO",IF(B690&amp;C690=$J$9&amp;$I$12,"EM PROCESSO","NÃO INICIADO"),VLOOKUP(B690&amp;C690,SUPORTE!AA:AF,6,0)),"")</f>
        <v/>
      </c>
      <c r="I690" s="46"/>
      <c r="J690" s="32"/>
      <c r="K690" s="32"/>
      <c r="L690" s="32"/>
      <c r="M690" s="32"/>
      <c r="N690" s="32"/>
      <c r="O690" s="32"/>
      <c r="P690" s="32"/>
      <c r="Q690" s="32"/>
    </row>
    <row r="691" spans="4:17" x14ac:dyDescent="0.4">
      <c r="D691" s="15" t="str">
        <f>IF(B691&lt;&gt;"",IF(_xlfn.IFNA(VLOOKUP(B691&amp;C691,SUPORTE!AA:AA,1,0),"NÃO INICIADO")="NÃO INICIADO",IF(B691&amp;C691=$J$9&amp;$I$12,"EM PROCESSO","NÃO INICIADO"),VLOOKUP(B691&amp;C691,SUPORTE!AA:AF,6,0)),"")</f>
        <v/>
      </c>
      <c r="I691" s="46"/>
      <c r="J691" s="32"/>
      <c r="K691" s="32"/>
      <c r="L691" s="32"/>
      <c r="M691" s="32"/>
      <c r="N691" s="32"/>
      <c r="O691" s="32"/>
      <c r="P691" s="32"/>
      <c r="Q691" s="32"/>
    </row>
    <row r="692" spans="4:17" x14ac:dyDescent="0.4">
      <c r="D692" s="15" t="str">
        <f>IF(B692&lt;&gt;"",IF(_xlfn.IFNA(VLOOKUP(B692&amp;C692,SUPORTE!AA:AA,1,0),"NÃO INICIADO")="NÃO INICIADO",IF(B692&amp;C692=$J$9&amp;$I$12,"EM PROCESSO","NÃO INICIADO"),VLOOKUP(B692&amp;C692,SUPORTE!AA:AF,6,0)),"")</f>
        <v/>
      </c>
      <c r="I692" s="46"/>
      <c r="J692" s="32"/>
      <c r="K692" s="32"/>
      <c r="L692" s="32"/>
      <c r="M692" s="32"/>
      <c r="N692" s="32"/>
      <c r="O692" s="32"/>
      <c r="P692" s="32"/>
      <c r="Q692" s="32"/>
    </row>
    <row r="693" spans="4:17" x14ac:dyDescent="0.4">
      <c r="D693" s="15" t="str">
        <f>IF(B693&lt;&gt;"",IF(_xlfn.IFNA(VLOOKUP(B693&amp;C693,SUPORTE!AA:AA,1,0),"NÃO INICIADO")="NÃO INICIADO",IF(B693&amp;C693=$J$9&amp;$I$12,"EM PROCESSO","NÃO INICIADO"),VLOOKUP(B693&amp;C693,SUPORTE!AA:AF,6,0)),"")</f>
        <v/>
      </c>
      <c r="I693" s="46"/>
      <c r="J693" s="32"/>
      <c r="K693" s="32"/>
      <c r="L693" s="32"/>
      <c r="M693" s="32"/>
      <c r="N693" s="32"/>
      <c r="O693" s="32"/>
      <c r="P693" s="32"/>
      <c r="Q693" s="32"/>
    </row>
    <row r="694" spans="4:17" x14ac:dyDescent="0.4">
      <c r="D694" s="15" t="str">
        <f>IF(B694&lt;&gt;"",IF(_xlfn.IFNA(VLOOKUP(B694&amp;C694,SUPORTE!AA:AA,1,0),"NÃO INICIADO")="NÃO INICIADO",IF(B694&amp;C694=$J$9&amp;$I$12,"EM PROCESSO","NÃO INICIADO"),VLOOKUP(B694&amp;C694,SUPORTE!AA:AF,6,0)),"")</f>
        <v/>
      </c>
      <c r="I694" s="46"/>
      <c r="J694" s="32"/>
      <c r="K694" s="32"/>
      <c r="L694" s="32"/>
      <c r="M694" s="32"/>
      <c r="N694" s="32"/>
      <c r="O694" s="32"/>
      <c r="P694" s="32"/>
      <c r="Q694" s="32"/>
    </row>
    <row r="695" spans="4:17" x14ac:dyDescent="0.4">
      <c r="D695" s="15" t="str">
        <f>IF(B695&lt;&gt;"",IF(_xlfn.IFNA(VLOOKUP(B695&amp;C695,SUPORTE!AA:AA,1,0),"NÃO INICIADO")="NÃO INICIADO",IF(B695&amp;C695=$J$9&amp;$I$12,"EM PROCESSO","NÃO INICIADO"),VLOOKUP(B695&amp;C695,SUPORTE!AA:AF,6,0)),"")</f>
        <v/>
      </c>
      <c r="I695" s="46"/>
      <c r="J695" s="32"/>
      <c r="K695" s="32"/>
      <c r="L695" s="32"/>
      <c r="M695" s="32"/>
      <c r="N695" s="32"/>
      <c r="O695" s="32"/>
      <c r="P695" s="32"/>
      <c r="Q695" s="32"/>
    </row>
    <row r="696" spans="4:17" x14ac:dyDescent="0.4">
      <c r="D696" s="15" t="str">
        <f>IF(B696&lt;&gt;"",IF(_xlfn.IFNA(VLOOKUP(B696&amp;C696,SUPORTE!AA:AA,1,0),"NÃO INICIADO")="NÃO INICIADO",IF(B696&amp;C696=$J$9&amp;$I$12,"EM PROCESSO","NÃO INICIADO"),VLOOKUP(B696&amp;C696,SUPORTE!AA:AF,6,0)),"")</f>
        <v/>
      </c>
      <c r="I696" s="46"/>
      <c r="J696" s="32"/>
      <c r="K696" s="32"/>
      <c r="L696" s="32"/>
      <c r="M696" s="32"/>
      <c r="N696" s="32"/>
      <c r="O696" s="32"/>
      <c r="P696" s="32"/>
      <c r="Q696" s="32"/>
    </row>
    <row r="697" spans="4:17" x14ac:dyDescent="0.4">
      <c r="D697" s="15" t="str">
        <f>IF(B697&lt;&gt;"",IF(_xlfn.IFNA(VLOOKUP(B697&amp;C697,SUPORTE!AA:AA,1,0),"NÃO INICIADO")="NÃO INICIADO",IF(B697&amp;C697=$J$9&amp;$I$12,"EM PROCESSO","NÃO INICIADO"),VLOOKUP(B697&amp;C697,SUPORTE!AA:AF,6,0)),"")</f>
        <v/>
      </c>
      <c r="I697" s="46"/>
      <c r="J697" s="32"/>
      <c r="K697" s="32"/>
      <c r="L697" s="32"/>
      <c r="M697" s="32"/>
      <c r="N697" s="32"/>
      <c r="O697" s="32"/>
      <c r="P697" s="32"/>
      <c r="Q697" s="32"/>
    </row>
    <row r="698" spans="4:17" x14ac:dyDescent="0.4">
      <c r="D698" s="15" t="str">
        <f>IF(B698&lt;&gt;"",IF(_xlfn.IFNA(VLOOKUP(B698&amp;C698,SUPORTE!AA:AA,1,0),"NÃO INICIADO")="NÃO INICIADO",IF(B698&amp;C698=$J$9&amp;$I$12,"EM PROCESSO","NÃO INICIADO"),VLOOKUP(B698&amp;C698,SUPORTE!AA:AF,6,0)),"")</f>
        <v/>
      </c>
      <c r="I698" s="46"/>
      <c r="J698" s="32"/>
      <c r="K698" s="32"/>
      <c r="L698" s="32"/>
      <c r="M698" s="32"/>
      <c r="N698" s="32"/>
      <c r="O698" s="32"/>
      <c r="P698" s="32"/>
      <c r="Q698" s="32"/>
    </row>
    <row r="699" spans="4:17" x14ac:dyDescent="0.4">
      <c r="D699" s="15" t="str">
        <f>IF(B699&lt;&gt;"",IF(_xlfn.IFNA(VLOOKUP(B699&amp;C699,SUPORTE!AA:AA,1,0),"NÃO INICIADO")="NÃO INICIADO",IF(B699&amp;C699=$J$9&amp;$I$12,"EM PROCESSO","NÃO INICIADO"),VLOOKUP(B699&amp;C699,SUPORTE!AA:AF,6,0)),"")</f>
        <v/>
      </c>
      <c r="I699" s="46"/>
      <c r="J699" s="32"/>
      <c r="K699" s="32"/>
      <c r="L699" s="32"/>
      <c r="M699" s="32"/>
      <c r="N699" s="32"/>
      <c r="O699" s="32"/>
      <c r="P699" s="32"/>
      <c r="Q699" s="32"/>
    </row>
    <row r="700" spans="4:17" x14ac:dyDescent="0.4">
      <c r="D700" s="15" t="str">
        <f>IF(B700&lt;&gt;"",IF(_xlfn.IFNA(VLOOKUP(B700&amp;C700,SUPORTE!AA:AA,1,0),"NÃO INICIADO")="NÃO INICIADO",IF(B700&amp;C700=$J$9&amp;$I$12,"EM PROCESSO","NÃO INICIADO"),VLOOKUP(B700&amp;C700,SUPORTE!AA:AF,6,0)),"")</f>
        <v/>
      </c>
      <c r="I700" s="46"/>
      <c r="J700" s="32"/>
      <c r="K700" s="32"/>
      <c r="L700" s="32"/>
      <c r="M700" s="32"/>
      <c r="N700" s="32"/>
      <c r="O700" s="32"/>
      <c r="P700" s="32"/>
      <c r="Q700" s="32"/>
    </row>
    <row r="701" spans="4:17" x14ac:dyDescent="0.4">
      <c r="D701" s="15" t="str">
        <f>IF(B701&lt;&gt;"",IF(_xlfn.IFNA(VLOOKUP(B701&amp;C701,SUPORTE!AA:AA,1,0),"NÃO INICIADO")="NÃO INICIADO",IF(B701&amp;C701=$J$9&amp;$I$12,"EM PROCESSO","NÃO INICIADO"),VLOOKUP(B701&amp;C701,SUPORTE!AA:AF,6,0)),"")</f>
        <v/>
      </c>
      <c r="I701" s="46"/>
      <c r="J701" s="32"/>
      <c r="K701" s="32"/>
      <c r="L701" s="32"/>
      <c r="M701" s="32"/>
      <c r="N701" s="32"/>
      <c r="O701" s="32"/>
      <c r="P701" s="32"/>
      <c r="Q701" s="32"/>
    </row>
    <row r="702" spans="4:17" x14ac:dyDescent="0.4">
      <c r="D702" s="15" t="str">
        <f>IF(B702&lt;&gt;"",IF(_xlfn.IFNA(VLOOKUP(B702&amp;C702,SUPORTE!AA:AA,1,0),"NÃO INICIADO")="NÃO INICIADO",IF(B702&amp;C702=$J$9&amp;$I$12,"EM PROCESSO","NÃO INICIADO"),VLOOKUP(B702&amp;C702,SUPORTE!AA:AF,6,0)),"")</f>
        <v/>
      </c>
      <c r="I702" s="46"/>
      <c r="J702" s="32"/>
      <c r="K702" s="32"/>
      <c r="L702" s="32"/>
      <c r="M702" s="32"/>
      <c r="N702" s="32"/>
      <c r="O702" s="32"/>
      <c r="P702" s="32"/>
      <c r="Q702" s="32"/>
    </row>
    <row r="703" spans="4:17" x14ac:dyDescent="0.4">
      <c r="D703" s="15" t="str">
        <f>IF(B703&lt;&gt;"",IF(_xlfn.IFNA(VLOOKUP(B703&amp;C703,SUPORTE!AA:AA,1,0),"NÃO INICIADO")="NÃO INICIADO",IF(B703&amp;C703=$J$9&amp;$I$12,"EM PROCESSO","NÃO INICIADO"),VLOOKUP(B703&amp;C703,SUPORTE!AA:AF,6,0)),"")</f>
        <v/>
      </c>
      <c r="I703" s="46"/>
      <c r="J703" s="32"/>
      <c r="K703" s="32"/>
      <c r="L703" s="32"/>
      <c r="M703" s="32"/>
      <c r="N703" s="32"/>
      <c r="O703" s="32"/>
      <c r="P703" s="32"/>
      <c r="Q703" s="32"/>
    </row>
    <row r="704" spans="4:17" x14ac:dyDescent="0.4">
      <c r="D704" s="15" t="str">
        <f>IF(B704&lt;&gt;"",IF(_xlfn.IFNA(VLOOKUP(B704&amp;C704,SUPORTE!AA:AA,1,0),"NÃO INICIADO")="NÃO INICIADO",IF(B704&amp;C704=$J$9&amp;$I$12,"EM PROCESSO","NÃO INICIADO"),VLOOKUP(B704&amp;C704,SUPORTE!AA:AF,6,0)),"")</f>
        <v/>
      </c>
      <c r="I704" s="46"/>
      <c r="J704" s="32"/>
      <c r="K704" s="32"/>
      <c r="L704" s="32"/>
      <c r="M704" s="32"/>
      <c r="N704" s="32"/>
      <c r="O704" s="32"/>
      <c r="P704" s="32"/>
      <c r="Q704" s="32"/>
    </row>
    <row r="705" spans="4:17" x14ac:dyDescent="0.4">
      <c r="D705" s="15" t="str">
        <f>IF(B705&lt;&gt;"",IF(_xlfn.IFNA(VLOOKUP(B705&amp;C705,SUPORTE!AA:AA,1,0),"NÃO INICIADO")="NÃO INICIADO",IF(B705&amp;C705=$J$9&amp;$I$12,"EM PROCESSO","NÃO INICIADO"),VLOOKUP(B705&amp;C705,SUPORTE!AA:AF,6,0)),"")</f>
        <v/>
      </c>
      <c r="I705" s="46"/>
      <c r="J705" s="32"/>
      <c r="K705" s="32"/>
      <c r="L705" s="32"/>
      <c r="M705" s="32"/>
      <c r="N705" s="32"/>
      <c r="O705" s="32"/>
      <c r="P705" s="32"/>
      <c r="Q705" s="32"/>
    </row>
    <row r="706" spans="4:17" x14ac:dyDescent="0.4">
      <c r="D706" s="15" t="str">
        <f>IF(B706&lt;&gt;"",IF(_xlfn.IFNA(VLOOKUP(B706&amp;C706,SUPORTE!AA:AA,1,0),"NÃO INICIADO")="NÃO INICIADO",IF(B706&amp;C706=$J$9&amp;$I$12,"EM PROCESSO","NÃO INICIADO"),VLOOKUP(B706&amp;C706,SUPORTE!AA:AF,6,0)),"")</f>
        <v/>
      </c>
      <c r="I706" s="46"/>
      <c r="J706" s="32"/>
      <c r="K706" s="32"/>
      <c r="L706" s="32"/>
      <c r="M706" s="32"/>
      <c r="N706" s="32"/>
      <c r="O706" s="32"/>
      <c r="P706" s="32"/>
      <c r="Q706" s="32"/>
    </row>
    <row r="707" spans="4:17" x14ac:dyDescent="0.4">
      <c r="D707" s="15" t="str">
        <f>IF(B707&lt;&gt;"",IF(_xlfn.IFNA(VLOOKUP(B707&amp;C707,SUPORTE!AA:AA,1,0),"NÃO INICIADO")="NÃO INICIADO",IF(B707&amp;C707=$J$9&amp;$I$12,"EM PROCESSO","NÃO INICIADO"),VLOOKUP(B707&amp;C707,SUPORTE!AA:AF,6,0)),"")</f>
        <v/>
      </c>
      <c r="I707" s="46"/>
      <c r="J707" s="32"/>
      <c r="K707" s="32"/>
      <c r="L707" s="32"/>
      <c r="M707" s="32"/>
      <c r="N707" s="32"/>
      <c r="O707" s="32"/>
      <c r="P707" s="32"/>
      <c r="Q707" s="32"/>
    </row>
    <row r="708" spans="4:17" x14ac:dyDescent="0.4">
      <c r="D708" s="15" t="str">
        <f>IF(B708&lt;&gt;"",IF(_xlfn.IFNA(VLOOKUP(B708&amp;C708,SUPORTE!AA:AA,1,0),"NÃO INICIADO")="NÃO INICIADO",IF(B708&amp;C708=$J$9&amp;$I$12,"EM PROCESSO","NÃO INICIADO"),VLOOKUP(B708&amp;C708,SUPORTE!AA:AF,6,0)),"")</f>
        <v/>
      </c>
      <c r="I708" s="46"/>
      <c r="J708" s="32"/>
      <c r="K708" s="32"/>
      <c r="L708" s="32"/>
      <c r="M708" s="32"/>
      <c r="N708" s="32"/>
      <c r="O708" s="32"/>
      <c r="P708" s="32"/>
      <c r="Q708" s="32"/>
    </row>
    <row r="709" spans="4:17" x14ac:dyDescent="0.4">
      <c r="D709" s="15" t="str">
        <f>IF(B709&lt;&gt;"",IF(_xlfn.IFNA(VLOOKUP(B709&amp;C709,SUPORTE!AA:AA,1,0),"NÃO INICIADO")="NÃO INICIADO",IF(B709&amp;C709=$J$9&amp;$I$12,"EM PROCESSO","NÃO INICIADO"),VLOOKUP(B709&amp;C709,SUPORTE!AA:AF,6,0)),"")</f>
        <v/>
      </c>
      <c r="I709" s="46"/>
      <c r="J709" s="32"/>
      <c r="K709" s="32"/>
      <c r="L709" s="32"/>
      <c r="M709" s="32"/>
      <c r="N709" s="32"/>
      <c r="O709" s="32"/>
      <c r="P709" s="32"/>
      <c r="Q709" s="32"/>
    </row>
    <row r="710" spans="4:17" x14ac:dyDescent="0.4">
      <c r="D710" s="15" t="str">
        <f>IF(B710&lt;&gt;"",IF(_xlfn.IFNA(VLOOKUP(B710&amp;C710,SUPORTE!AA:AA,1,0),"NÃO INICIADO")="NÃO INICIADO",IF(B710&amp;C710=$J$9&amp;$I$12,"EM PROCESSO","NÃO INICIADO"),VLOOKUP(B710&amp;C710,SUPORTE!AA:AF,6,0)),"")</f>
        <v/>
      </c>
      <c r="I710" s="46"/>
      <c r="J710" s="32"/>
      <c r="K710" s="32"/>
      <c r="L710" s="32"/>
      <c r="M710" s="32"/>
      <c r="N710" s="32"/>
      <c r="O710" s="32"/>
      <c r="P710" s="32"/>
      <c r="Q710" s="32"/>
    </row>
    <row r="711" spans="4:17" x14ac:dyDescent="0.4">
      <c r="D711" s="15" t="str">
        <f>IF(B711&lt;&gt;"",IF(_xlfn.IFNA(VLOOKUP(B711&amp;C711,SUPORTE!AA:AA,1,0),"NÃO INICIADO")="NÃO INICIADO",IF(B711&amp;C711=$J$9&amp;$I$12,"EM PROCESSO","NÃO INICIADO"),VLOOKUP(B711&amp;C711,SUPORTE!AA:AF,6,0)),"")</f>
        <v/>
      </c>
      <c r="I711" s="46"/>
      <c r="J711" s="32"/>
      <c r="K711" s="32"/>
      <c r="L711" s="32"/>
      <c r="M711" s="32"/>
      <c r="N711" s="32"/>
      <c r="O711" s="32"/>
      <c r="P711" s="32"/>
      <c r="Q711" s="32"/>
    </row>
    <row r="712" spans="4:17" x14ac:dyDescent="0.4">
      <c r="D712" s="15" t="str">
        <f>IF(B712&lt;&gt;"",IF(_xlfn.IFNA(VLOOKUP(B712&amp;C712,SUPORTE!AA:AA,1,0),"NÃO INICIADO")="NÃO INICIADO",IF(B712&amp;C712=$J$9&amp;$I$12,"EM PROCESSO","NÃO INICIADO"),VLOOKUP(B712&amp;C712,SUPORTE!AA:AF,6,0)),"")</f>
        <v/>
      </c>
      <c r="I712" s="46"/>
      <c r="J712" s="32"/>
      <c r="K712" s="32"/>
      <c r="L712" s="32"/>
      <c r="M712" s="32"/>
      <c r="N712" s="32"/>
      <c r="O712" s="32"/>
      <c r="P712" s="32"/>
      <c r="Q712" s="32"/>
    </row>
    <row r="713" spans="4:17" x14ac:dyDescent="0.4">
      <c r="D713" s="15" t="str">
        <f>IF(B713&lt;&gt;"",IF(_xlfn.IFNA(VLOOKUP(B713&amp;C713,SUPORTE!AA:AA,1,0),"NÃO INICIADO")="NÃO INICIADO",IF(B713&amp;C713=$J$9&amp;$I$12,"EM PROCESSO","NÃO INICIADO"),VLOOKUP(B713&amp;C713,SUPORTE!AA:AF,6,0)),"")</f>
        <v/>
      </c>
      <c r="I713" s="46"/>
      <c r="J713" s="32"/>
      <c r="K713" s="32"/>
      <c r="L713" s="32"/>
      <c r="M713" s="32"/>
      <c r="N713" s="32"/>
      <c r="O713" s="32"/>
      <c r="P713" s="32"/>
      <c r="Q713" s="32"/>
    </row>
    <row r="714" spans="4:17" x14ac:dyDescent="0.4">
      <c r="D714" s="15" t="str">
        <f>IF(B714&lt;&gt;"",IF(_xlfn.IFNA(VLOOKUP(B714&amp;C714,SUPORTE!AA:AA,1,0),"NÃO INICIADO")="NÃO INICIADO",IF(B714&amp;C714=$J$9&amp;$I$12,"EM PROCESSO","NÃO INICIADO"),VLOOKUP(B714&amp;C714,SUPORTE!AA:AF,6,0)),"")</f>
        <v/>
      </c>
      <c r="I714" s="46"/>
      <c r="J714" s="32"/>
      <c r="K714" s="32"/>
      <c r="L714" s="32"/>
      <c r="M714" s="32"/>
      <c r="N714" s="32"/>
      <c r="O714" s="32"/>
      <c r="P714" s="32"/>
      <c r="Q714" s="32"/>
    </row>
    <row r="715" spans="4:17" x14ac:dyDescent="0.4">
      <c r="D715" s="15" t="str">
        <f>IF(B715&lt;&gt;"",IF(_xlfn.IFNA(VLOOKUP(B715&amp;C715,SUPORTE!AA:AA,1,0),"NÃO INICIADO")="NÃO INICIADO",IF(B715&amp;C715=$J$9&amp;$I$12,"EM PROCESSO","NÃO INICIADO"),VLOOKUP(B715&amp;C715,SUPORTE!AA:AF,6,0)),"")</f>
        <v/>
      </c>
      <c r="I715" s="46"/>
      <c r="J715" s="32"/>
      <c r="K715" s="32"/>
      <c r="L715" s="32"/>
      <c r="M715" s="32"/>
      <c r="N715" s="32"/>
      <c r="O715" s="32"/>
      <c r="P715" s="32"/>
      <c r="Q715" s="32"/>
    </row>
    <row r="716" spans="4:17" x14ac:dyDescent="0.4">
      <c r="D716" s="15" t="str">
        <f>IF(B716&lt;&gt;"",IF(_xlfn.IFNA(VLOOKUP(B716&amp;C716,SUPORTE!AA:AA,1,0),"NÃO INICIADO")="NÃO INICIADO",IF(B716&amp;C716=$J$9&amp;$I$12,"EM PROCESSO","NÃO INICIADO"),VLOOKUP(B716&amp;C716,SUPORTE!AA:AF,6,0)),"")</f>
        <v/>
      </c>
      <c r="I716" s="46"/>
      <c r="J716" s="32"/>
      <c r="K716" s="32"/>
      <c r="L716" s="32"/>
      <c r="M716" s="32"/>
      <c r="N716" s="32"/>
      <c r="O716" s="32"/>
      <c r="P716" s="32"/>
      <c r="Q716" s="32"/>
    </row>
    <row r="717" spans="4:17" x14ac:dyDescent="0.4">
      <c r="D717" s="15" t="str">
        <f>IF(B717&lt;&gt;"",IF(_xlfn.IFNA(VLOOKUP(B717&amp;C717,SUPORTE!AA:AA,1,0),"NÃO INICIADO")="NÃO INICIADO",IF(B717&amp;C717=$J$9&amp;$I$12,"EM PROCESSO","NÃO INICIADO"),VLOOKUP(B717&amp;C717,SUPORTE!AA:AF,6,0)),"")</f>
        <v/>
      </c>
      <c r="I717" s="46"/>
      <c r="J717" s="32"/>
      <c r="K717" s="32"/>
      <c r="L717" s="32"/>
      <c r="M717" s="32"/>
      <c r="N717" s="32"/>
      <c r="O717" s="32"/>
      <c r="P717" s="32"/>
      <c r="Q717" s="32"/>
    </row>
    <row r="718" spans="4:17" x14ac:dyDescent="0.4">
      <c r="D718" s="15" t="str">
        <f>IF(B718&lt;&gt;"",IF(_xlfn.IFNA(VLOOKUP(B718&amp;C718,SUPORTE!AA:AA,1,0),"NÃO INICIADO")="NÃO INICIADO",IF(B718&amp;C718=$J$9&amp;$I$12,"EM PROCESSO","NÃO INICIADO"),VLOOKUP(B718&amp;C718,SUPORTE!AA:AF,6,0)),"")</f>
        <v/>
      </c>
      <c r="I718" s="46"/>
      <c r="J718" s="32"/>
      <c r="K718" s="32"/>
      <c r="L718" s="32"/>
      <c r="M718" s="32"/>
      <c r="N718" s="32"/>
      <c r="O718" s="32"/>
      <c r="P718" s="32"/>
      <c r="Q718" s="32"/>
    </row>
    <row r="719" spans="4:17" x14ac:dyDescent="0.4">
      <c r="D719" s="15" t="str">
        <f>IF(B719&lt;&gt;"",IF(_xlfn.IFNA(VLOOKUP(B719&amp;C719,SUPORTE!AA:AA,1,0),"NÃO INICIADO")="NÃO INICIADO",IF(B719&amp;C719=$J$9&amp;$I$12,"EM PROCESSO","NÃO INICIADO"),VLOOKUP(B719&amp;C719,SUPORTE!AA:AF,6,0)),"")</f>
        <v/>
      </c>
      <c r="I719" s="46"/>
      <c r="J719" s="32"/>
      <c r="K719" s="32"/>
      <c r="L719" s="32"/>
      <c r="M719" s="32"/>
      <c r="N719" s="32"/>
      <c r="O719" s="32"/>
      <c r="P719" s="32"/>
      <c r="Q719" s="32"/>
    </row>
    <row r="720" spans="4:17" x14ac:dyDescent="0.4">
      <c r="D720" s="15" t="str">
        <f>IF(B720&lt;&gt;"",IF(_xlfn.IFNA(VLOOKUP(B720&amp;C720,SUPORTE!AA:AA,1,0),"NÃO INICIADO")="NÃO INICIADO",IF(B720&amp;C720=$J$9&amp;$I$12,"EM PROCESSO","NÃO INICIADO"),VLOOKUP(B720&amp;C720,SUPORTE!AA:AF,6,0)),"")</f>
        <v/>
      </c>
      <c r="I720" s="46"/>
      <c r="J720" s="32"/>
      <c r="K720" s="32"/>
      <c r="L720" s="32"/>
      <c r="M720" s="32"/>
      <c r="N720" s="32"/>
      <c r="O720" s="32"/>
      <c r="P720" s="32"/>
      <c r="Q720" s="32"/>
    </row>
    <row r="721" spans="4:17" x14ac:dyDescent="0.4">
      <c r="D721" s="15" t="str">
        <f>IF(B721&lt;&gt;"",IF(_xlfn.IFNA(VLOOKUP(B721&amp;C721,SUPORTE!AA:AA,1,0),"NÃO INICIADO")="NÃO INICIADO",IF(B721&amp;C721=$J$9&amp;$I$12,"EM PROCESSO","NÃO INICIADO"),VLOOKUP(B721&amp;C721,SUPORTE!AA:AF,6,0)),"")</f>
        <v/>
      </c>
      <c r="I721" s="46"/>
      <c r="J721" s="32"/>
      <c r="K721" s="32"/>
      <c r="L721" s="32"/>
      <c r="M721" s="32"/>
      <c r="N721" s="32"/>
      <c r="O721" s="32"/>
      <c r="P721" s="32"/>
      <c r="Q721" s="32"/>
    </row>
    <row r="722" spans="4:17" x14ac:dyDescent="0.4">
      <c r="D722" s="15" t="str">
        <f>IF(B722&lt;&gt;"",IF(_xlfn.IFNA(VLOOKUP(B722&amp;C722,SUPORTE!AA:AA,1,0),"NÃO INICIADO")="NÃO INICIADO",IF(B722&amp;C722=$J$9&amp;$I$12,"EM PROCESSO","NÃO INICIADO"),VLOOKUP(B722&amp;C722,SUPORTE!AA:AF,6,0)),"")</f>
        <v/>
      </c>
      <c r="I722" s="46"/>
      <c r="J722" s="32"/>
      <c r="K722" s="32"/>
      <c r="L722" s="32"/>
      <c r="M722" s="32"/>
      <c r="N722" s="32"/>
      <c r="O722" s="32"/>
      <c r="P722" s="32"/>
      <c r="Q722" s="32"/>
    </row>
    <row r="723" spans="4:17" x14ac:dyDescent="0.4">
      <c r="D723" s="15" t="str">
        <f>IF(B723&lt;&gt;"",IF(_xlfn.IFNA(VLOOKUP(B723&amp;C723,SUPORTE!AA:AA,1,0),"NÃO INICIADO")="NÃO INICIADO",IF(B723&amp;C723=$J$9&amp;$I$12,"EM PROCESSO","NÃO INICIADO"),VLOOKUP(B723&amp;C723,SUPORTE!AA:AF,6,0)),"")</f>
        <v/>
      </c>
      <c r="I723" s="46"/>
      <c r="J723" s="32"/>
      <c r="K723" s="32"/>
      <c r="L723" s="32"/>
      <c r="M723" s="32"/>
      <c r="N723" s="32"/>
      <c r="O723" s="32"/>
      <c r="P723" s="32"/>
      <c r="Q723" s="32"/>
    </row>
    <row r="724" spans="4:17" x14ac:dyDescent="0.4">
      <c r="D724" s="15" t="str">
        <f>IF(B724&lt;&gt;"",IF(_xlfn.IFNA(VLOOKUP(B724&amp;C724,SUPORTE!AA:AA,1,0),"NÃO INICIADO")="NÃO INICIADO",IF(B724&amp;C724=$J$9&amp;$I$12,"EM PROCESSO","NÃO INICIADO"),VLOOKUP(B724&amp;C724,SUPORTE!AA:AF,6,0)),"")</f>
        <v/>
      </c>
      <c r="I724" s="46"/>
      <c r="J724" s="32"/>
      <c r="K724" s="32"/>
      <c r="L724" s="32"/>
      <c r="M724" s="32"/>
      <c r="N724" s="32"/>
      <c r="O724" s="32"/>
      <c r="P724" s="32"/>
      <c r="Q724" s="32"/>
    </row>
    <row r="725" spans="4:17" x14ac:dyDescent="0.4">
      <c r="D725" s="15" t="str">
        <f>IF(B725&lt;&gt;"",IF(_xlfn.IFNA(VLOOKUP(B725&amp;C725,SUPORTE!AA:AA,1,0),"NÃO INICIADO")="NÃO INICIADO",IF(B725&amp;C725=$J$9&amp;$I$12,"EM PROCESSO","NÃO INICIADO"),VLOOKUP(B725&amp;C725,SUPORTE!AA:AF,6,0)),"")</f>
        <v/>
      </c>
      <c r="I725" s="46"/>
      <c r="J725" s="32"/>
      <c r="K725" s="32"/>
      <c r="L725" s="32"/>
      <c r="M725" s="32"/>
      <c r="N725" s="32"/>
      <c r="O725" s="32"/>
      <c r="P725" s="32"/>
      <c r="Q725" s="32"/>
    </row>
    <row r="726" spans="4:17" x14ac:dyDescent="0.4">
      <c r="D726" s="15" t="str">
        <f>IF(B726&lt;&gt;"",IF(_xlfn.IFNA(VLOOKUP(B726&amp;C726,SUPORTE!AA:AA,1,0),"NÃO INICIADO")="NÃO INICIADO",IF(B726&amp;C726=$J$9&amp;$I$12,"EM PROCESSO","NÃO INICIADO"),VLOOKUP(B726&amp;C726,SUPORTE!AA:AF,6,0)),"")</f>
        <v/>
      </c>
      <c r="I726" s="46"/>
      <c r="J726" s="32"/>
      <c r="K726" s="32"/>
      <c r="L726" s="32"/>
      <c r="M726" s="32"/>
      <c r="N726" s="32"/>
      <c r="O726" s="32"/>
      <c r="P726" s="32"/>
      <c r="Q726" s="32"/>
    </row>
    <row r="727" spans="4:17" x14ac:dyDescent="0.4">
      <c r="D727" s="15" t="str">
        <f>IF(B727&lt;&gt;"",IF(_xlfn.IFNA(VLOOKUP(B727&amp;C727,SUPORTE!AA:AA,1,0),"NÃO INICIADO")="NÃO INICIADO",IF(B727&amp;C727=$J$9&amp;$I$12,"EM PROCESSO","NÃO INICIADO"),VLOOKUP(B727&amp;C727,SUPORTE!AA:AF,6,0)),"")</f>
        <v/>
      </c>
      <c r="I727" s="46"/>
      <c r="J727" s="32"/>
      <c r="K727" s="32"/>
      <c r="L727" s="32"/>
      <c r="M727" s="32"/>
      <c r="N727" s="32"/>
      <c r="O727" s="32"/>
      <c r="P727" s="32"/>
      <c r="Q727" s="32"/>
    </row>
    <row r="728" spans="4:17" x14ac:dyDescent="0.4">
      <c r="D728" s="15" t="str">
        <f>IF(B728&lt;&gt;"",IF(_xlfn.IFNA(VLOOKUP(B728&amp;C728,SUPORTE!AA:AA,1,0),"NÃO INICIADO")="NÃO INICIADO",IF(B728&amp;C728=$J$9&amp;$I$12,"EM PROCESSO","NÃO INICIADO"),VLOOKUP(B728&amp;C728,SUPORTE!AA:AF,6,0)),"")</f>
        <v/>
      </c>
      <c r="I728" s="46"/>
      <c r="J728" s="32"/>
      <c r="K728" s="32"/>
      <c r="L728" s="32"/>
      <c r="M728" s="32"/>
      <c r="N728" s="32"/>
      <c r="O728" s="32"/>
      <c r="P728" s="32"/>
      <c r="Q728" s="32"/>
    </row>
    <row r="729" spans="4:17" x14ac:dyDescent="0.4">
      <c r="D729" s="15" t="str">
        <f>IF(B729&lt;&gt;"",IF(_xlfn.IFNA(VLOOKUP(B729&amp;C729,SUPORTE!AA:AA,1,0),"NÃO INICIADO")="NÃO INICIADO",IF(B729&amp;C729=$J$9&amp;$I$12,"EM PROCESSO","NÃO INICIADO"),VLOOKUP(B729&amp;C729,SUPORTE!AA:AF,6,0)),"")</f>
        <v/>
      </c>
      <c r="I729" s="46"/>
      <c r="J729" s="32"/>
      <c r="K729" s="32"/>
      <c r="L729" s="32"/>
      <c r="M729" s="32"/>
      <c r="N729" s="32"/>
      <c r="O729" s="32"/>
      <c r="P729" s="32"/>
      <c r="Q729" s="32"/>
    </row>
    <row r="730" spans="4:17" x14ac:dyDescent="0.4">
      <c r="D730" s="15" t="str">
        <f>IF(B730&lt;&gt;"",IF(_xlfn.IFNA(VLOOKUP(B730&amp;C730,SUPORTE!AA:AA,1,0),"NÃO INICIADO")="NÃO INICIADO",IF(B730&amp;C730=$J$9&amp;$I$12,"EM PROCESSO","NÃO INICIADO"),VLOOKUP(B730&amp;C730,SUPORTE!AA:AF,6,0)),"")</f>
        <v/>
      </c>
      <c r="I730" s="46"/>
      <c r="J730" s="32"/>
      <c r="K730" s="32"/>
      <c r="L730" s="32"/>
      <c r="M730" s="32"/>
      <c r="N730" s="32"/>
      <c r="O730" s="32"/>
      <c r="P730" s="32"/>
      <c r="Q730" s="32"/>
    </row>
    <row r="731" spans="4:17" x14ac:dyDescent="0.4">
      <c r="D731" s="15" t="str">
        <f>IF(B731&lt;&gt;"",IF(_xlfn.IFNA(VLOOKUP(B731&amp;C731,SUPORTE!AA:AA,1,0),"NÃO INICIADO")="NÃO INICIADO",IF(B731&amp;C731=$J$9&amp;$I$12,"EM PROCESSO","NÃO INICIADO"),VLOOKUP(B731&amp;C731,SUPORTE!AA:AF,6,0)),"")</f>
        <v/>
      </c>
      <c r="I731" s="46"/>
      <c r="J731" s="32"/>
      <c r="K731" s="32"/>
      <c r="L731" s="32"/>
      <c r="M731" s="32"/>
      <c r="N731" s="32"/>
      <c r="O731" s="32"/>
      <c r="P731" s="32"/>
      <c r="Q731" s="32"/>
    </row>
    <row r="732" spans="4:17" x14ac:dyDescent="0.4">
      <c r="D732" s="15" t="str">
        <f>IF(B732&lt;&gt;"",IF(_xlfn.IFNA(VLOOKUP(B732&amp;C732,SUPORTE!AA:AA,1,0),"NÃO INICIADO")="NÃO INICIADO",IF(B732&amp;C732=$J$9&amp;$I$12,"EM PROCESSO","NÃO INICIADO"),VLOOKUP(B732&amp;C732,SUPORTE!AA:AF,6,0)),"")</f>
        <v/>
      </c>
      <c r="I732" s="46"/>
      <c r="J732" s="32"/>
      <c r="K732" s="32"/>
      <c r="L732" s="32"/>
      <c r="M732" s="32"/>
      <c r="N732" s="32"/>
      <c r="O732" s="32"/>
      <c r="P732" s="32"/>
      <c r="Q732" s="32"/>
    </row>
    <row r="733" spans="4:17" x14ac:dyDescent="0.4">
      <c r="D733" s="15" t="str">
        <f>IF(B733&lt;&gt;"",IF(_xlfn.IFNA(VLOOKUP(B733&amp;C733,SUPORTE!AA:AA,1,0),"NÃO INICIADO")="NÃO INICIADO",IF(B733&amp;C733=$J$9&amp;$I$12,"EM PROCESSO","NÃO INICIADO"),VLOOKUP(B733&amp;C733,SUPORTE!AA:AF,6,0)),"")</f>
        <v/>
      </c>
      <c r="I733" s="46"/>
      <c r="J733" s="32"/>
      <c r="K733" s="32"/>
      <c r="L733" s="32"/>
      <c r="M733" s="32"/>
      <c r="N733" s="32"/>
      <c r="O733" s="32"/>
      <c r="P733" s="32"/>
      <c r="Q733" s="32"/>
    </row>
    <row r="734" spans="4:17" x14ac:dyDescent="0.4">
      <c r="D734" s="15" t="str">
        <f>IF(B734&lt;&gt;"",IF(_xlfn.IFNA(VLOOKUP(B734&amp;C734,SUPORTE!AA:AA,1,0),"NÃO INICIADO")="NÃO INICIADO",IF(B734&amp;C734=$J$9&amp;$I$12,"EM PROCESSO","NÃO INICIADO"),VLOOKUP(B734&amp;C734,SUPORTE!AA:AF,6,0)),"")</f>
        <v/>
      </c>
      <c r="I734" s="46"/>
      <c r="J734" s="32"/>
      <c r="K734" s="32"/>
      <c r="L734" s="32"/>
      <c r="M734" s="32"/>
      <c r="N734" s="32"/>
      <c r="O734" s="32"/>
      <c r="P734" s="32"/>
      <c r="Q734" s="32"/>
    </row>
    <row r="735" spans="4:17" x14ac:dyDescent="0.4">
      <c r="D735" s="15" t="str">
        <f>IF(B735&lt;&gt;"",IF(_xlfn.IFNA(VLOOKUP(B735&amp;C735,SUPORTE!AA:AA,1,0),"NÃO INICIADO")="NÃO INICIADO",IF(B735&amp;C735=$J$9&amp;$I$12,"EM PROCESSO","NÃO INICIADO"),VLOOKUP(B735&amp;C735,SUPORTE!AA:AF,6,0)),"")</f>
        <v/>
      </c>
      <c r="I735" s="46"/>
      <c r="J735" s="32"/>
      <c r="K735" s="32"/>
      <c r="L735" s="32"/>
      <c r="M735" s="32"/>
      <c r="N735" s="32"/>
      <c r="O735" s="32"/>
      <c r="P735" s="32"/>
      <c r="Q735" s="32"/>
    </row>
    <row r="736" spans="4:17" x14ac:dyDescent="0.4">
      <c r="D736" s="15" t="str">
        <f>IF(B736&lt;&gt;"",IF(_xlfn.IFNA(VLOOKUP(B736&amp;C736,SUPORTE!AA:AA,1,0),"NÃO INICIADO")="NÃO INICIADO",IF(B736&amp;C736=$J$9&amp;$I$12,"EM PROCESSO","NÃO INICIADO"),VLOOKUP(B736&amp;C736,SUPORTE!AA:AF,6,0)),"")</f>
        <v/>
      </c>
      <c r="I736" s="46"/>
      <c r="J736" s="32"/>
      <c r="K736" s="32"/>
      <c r="L736" s="32"/>
      <c r="M736" s="32"/>
      <c r="N736" s="32"/>
      <c r="O736" s="32"/>
      <c r="P736" s="32"/>
      <c r="Q736" s="32"/>
    </row>
    <row r="737" spans="4:17" x14ac:dyDescent="0.4">
      <c r="D737" s="15" t="str">
        <f>IF(B737&lt;&gt;"",IF(_xlfn.IFNA(VLOOKUP(B737&amp;C737,SUPORTE!AA:AA,1,0),"NÃO INICIADO")="NÃO INICIADO",IF(B737&amp;C737=$J$9&amp;$I$12,"EM PROCESSO","NÃO INICIADO"),VLOOKUP(B737&amp;C737,SUPORTE!AA:AF,6,0)),"")</f>
        <v/>
      </c>
      <c r="I737" s="46"/>
      <c r="J737" s="32"/>
      <c r="K737" s="32"/>
      <c r="L737" s="32"/>
      <c r="M737" s="32"/>
      <c r="N737" s="32"/>
      <c r="O737" s="32"/>
      <c r="P737" s="32"/>
      <c r="Q737" s="32"/>
    </row>
    <row r="738" spans="4:17" x14ac:dyDescent="0.4">
      <c r="D738" s="15" t="str">
        <f>IF(B738&lt;&gt;"",IF(_xlfn.IFNA(VLOOKUP(B738&amp;C738,SUPORTE!AA:AA,1,0),"NÃO INICIADO")="NÃO INICIADO",IF(B738&amp;C738=$J$9&amp;$I$12,"EM PROCESSO","NÃO INICIADO"),VLOOKUP(B738&amp;C738,SUPORTE!AA:AF,6,0)),"")</f>
        <v/>
      </c>
      <c r="I738" s="46"/>
      <c r="J738" s="32"/>
      <c r="K738" s="32"/>
      <c r="L738" s="32"/>
      <c r="M738" s="32"/>
      <c r="N738" s="32"/>
      <c r="O738" s="32"/>
      <c r="P738" s="32"/>
      <c r="Q738" s="32"/>
    </row>
    <row r="739" spans="4:17" x14ac:dyDescent="0.4">
      <c r="D739" s="15" t="str">
        <f>IF(B739&lt;&gt;"",IF(_xlfn.IFNA(VLOOKUP(B739&amp;C739,SUPORTE!AA:AA,1,0),"NÃO INICIADO")="NÃO INICIADO",IF(B739&amp;C739=$J$9&amp;$I$12,"EM PROCESSO","NÃO INICIADO"),VLOOKUP(B739&amp;C739,SUPORTE!AA:AF,6,0)),"")</f>
        <v/>
      </c>
      <c r="I739" s="46"/>
      <c r="J739" s="32"/>
      <c r="K739" s="32"/>
      <c r="L739" s="32"/>
      <c r="M739" s="32"/>
      <c r="N739" s="32"/>
      <c r="O739" s="32"/>
      <c r="P739" s="32"/>
      <c r="Q739" s="32"/>
    </row>
    <row r="740" spans="4:17" x14ac:dyDescent="0.4">
      <c r="D740" s="15" t="str">
        <f>IF(B740&lt;&gt;"",IF(_xlfn.IFNA(VLOOKUP(B740&amp;C740,SUPORTE!AA:AA,1,0),"NÃO INICIADO")="NÃO INICIADO",IF(B740&amp;C740=$J$9&amp;$I$12,"EM PROCESSO","NÃO INICIADO"),VLOOKUP(B740&amp;C740,SUPORTE!AA:AF,6,0)),"")</f>
        <v/>
      </c>
      <c r="I740" s="46"/>
      <c r="J740" s="32"/>
      <c r="K740" s="32"/>
      <c r="L740" s="32"/>
      <c r="M740" s="32"/>
      <c r="N740" s="32"/>
      <c r="O740" s="32"/>
      <c r="P740" s="32"/>
      <c r="Q740" s="32"/>
    </row>
    <row r="741" spans="4:17" x14ac:dyDescent="0.4">
      <c r="D741" s="15" t="str">
        <f>IF(B741&lt;&gt;"",IF(_xlfn.IFNA(VLOOKUP(B741&amp;C741,SUPORTE!AA:AA,1,0),"NÃO INICIADO")="NÃO INICIADO",IF(B741&amp;C741=$J$9&amp;$I$12,"EM PROCESSO","NÃO INICIADO"),VLOOKUP(B741&amp;C741,SUPORTE!AA:AF,6,0)),"")</f>
        <v/>
      </c>
      <c r="I741" s="46"/>
      <c r="J741" s="32"/>
      <c r="K741" s="32"/>
      <c r="L741" s="32"/>
      <c r="M741" s="32"/>
      <c r="N741" s="32"/>
      <c r="O741" s="32"/>
      <c r="P741" s="32"/>
      <c r="Q741" s="32"/>
    </row>
    <row r="742" spans="4:17" x14ac:dyDescent="0.4">
      <c r="D742" s="15" t="str">
        <f>IF(B742&lt;&gt;"",IF(_xlfn.IFNA(VLOOKUP(B742&amp;C742,SUPORTE!AA:AA,1,0),"NÃO INICIADO")="NÃO INICIADO",IF(B742&amp;C742=$J$9&amp;$I$12,"EM PROCESSO","NÃO INICIADO"),VLOOKUP(B742&amp;C742,SUPORTE!AA:AF,6,0)),"")</f>
        <v/>
      </c>
      <c r="I742" s="46"/>
      <c r="J742" s="32"/>
      <c r="K742" s="32"/>
      <c r="L742" s="32"/>
      <c r="M742" s="32"/>
      <c r="N742" s="32"/>
      <c r="O742" s="32"/>
      <c r="P742" s="32"/>
      <c r="Q742" s="32"/>
    </row>
    <row r="743" spans="4:17" x14ac:dyDescent="0.4">
      <c r="D743" s="15" t="str">
        <f>IF(B743&lt;&gt;"",IF(_xlfn.IFNA(VLOOKUP(B743&amp;C743,SUPORTE!AA:AA,1,0),"NÃO INICIADO")="NÃO INICIADO",IF(B743&amp;C743=$J$9&amp;$I$12,"EM PROCESSO","NÃO INICIADO"),VLOOKUP(B743&amp;C743,SUPORTE!AA:AF,6,0)),"")</f>
        <v/>
      </c>
      <c r="I743" s="46"/>
      <c r="J743" s="32"/>
      <c r="K743" s="32"/>
      <c r="L743" s="32"/>
      <c r="M743" s="32"/>
      <c r="N743" s="32"/>
      <c r="O743" s="32"/>
      <c r="P743" s="32"/>
      <c r="Q743" s="32"/>
    </row>
    <row r="744" spans="4:17" x14ac:dyDescent="0.4">
      <c r="D744" s="15" t="str">
        <f>IF(B744&lt;&gt;"",IF(_xlfn.IFNA(VLOOKUP(B744&amp;C744,SUPORTE!AA:AA,1,0),"NÃO INICIADO")="NÃO INICIADO",IF(B744&amp;C744=$J$9&amp;$I$12,"EM PROCESSO","NÃO INICIADO"),VLOOKUP(B744&amp;C744,SUPORTE!AA:AF,6,0)),"")</f>
        <v/>
      </c>
      <c r="I744" s="46"/>
      <c r="J744" s="32"/>
      <c r="K744" s="32"/>
      <c r="L744" s="32"/>
      <c r="M744" s="32"/>
      <c r="N744" s="32"/>
      <c r="O744" s="32"/>
      <c r="P744" s="32"/>
      <c r="Q744" s="32"/>
    </row>
    <row r="745" spans="4:17" x14ac:dyDescent="0.4">
      <c r="D745" s="15" t="str">
        <f>IF(B745&lt;&gt;"",IF(_xlfn.IFNA(VLOOKUP(B745&amp;C745,SUPORTE!AA:AA,1,0),"NÃO INICIADO")="NÃO INICIADO",IF(B745&amp;C745=$J$9&amp;$I$12,"EM PROCESSO","NÃO INICIADO"),VLOOKUP(B745&amp;C745,SUPORTE!AA:AF,6,0)),"")</f>
        <v/>
      </c>
      <c r="I745" s="46"/>
      <c r="J745" s="32"/>
      <c r="K745" s="32"/>
      <c r="L745" s="32"/>
      <c r="M745" s="32"/>
      <c r="N745" s="32"/>
      <c r="O745" s="32"/>
      <c r="P745" s="32"/>
      <c r="Q745" s="32"/>
    </row>
    <row r="746" spans="4:17" x14ac:dyDescent="0.4">
      <c r="D746" s="15" t="str">
        <f>IF(B746&lt;&gt;"",IF(_xlfn.IFNA(VLOOKUP(B746&amp;C746,SUPORTE!AA:AA,1,0),"NÃO INICIADO")="NÃO INICIADO",IF(B746&amp;C746=$J$9&amp;$I$12,"EM PROCESSO","NÃO INICIADO"),VLOOKUP(B746&amp;C746,SUPORTE!AA:AF,6,0)),"")</f>
        <v/>
      </c>
      <c r="I746" s="46"/>
      <c r="J746" s="32"/>
      <c r="K746" s="32"/>
      <c r="L746" s="32"/>
      <c r="M746" s="32"/>
      <c r="N746" s="32"/>
      <c r="O746" s="32"/>
      <c r="P746" s="32"/>
      <c r="Q746" s="32"/>
    </row>
    <row r="747" spans="4:17" x14ac:dyDescent="0.4">
      <c r="D747" s="15" t="str">
        <f>IF(B747&lt;&gt;"",IF(_xlfn.IFNA(VLOOKUP(B747&amp;C747,SUPORTE!AA:AA,1,0),"NÃO INICIADO")="NÃO INICIADO",IF(B747&amp;C747=$J$9&amp;$I$12,"EM PROCESSO","NÃO INICIADO"),VLOOKUP(B747&amp;C747,SUPORTE!AA:AF,6,0)),"")</f>
        <v/>
      </c>
      <c r="I747" s="46"/>
      <c r="J747" s="32"/>
      <c r="K747" s="32"/>
      <c r="L747" s="32"/>
      <c r="M747" s="32"/>
      <c r="N747" s="32"/>
      <c r="O747" s="32"/>
      <c r="P747" s="32"/>
      <c r="Q747" s="32"/>
    </row>
    <row r="748" spans="4:17" x14ac:dyDescent="0.4">
      <c r="D748" s="15" t="str">
        <f>IF(B748&lt;&gt;"",IF(_xlfn.IFNA(VLOOKUP(B748&amp;C748,SUPORTE!AA:AA,1,0),"NÃO INICIADO")="NÃO INICIADO",IF(B748&amp;C748=$J$9&amp;$I$12,"EM PROCESSO","NÃO INICIADO"),VLOOKUP(B748&amp;C748,SUPORTE!AA:AF,6,0)),"")</f>
        <v/>
      </c>
      <c r="I748" s="46"/>
      <c r="J748" s="32"/>
      <c r="K748" s="32"/>
      <c r="L748" s="32"/>
      <c r="M748" s="32"/>
      <c r="N748" s="32"/>
      <c r="O748" s="32"/>
      <c r="P748" s="32"/>
      <c r="Q748" s="32"/>
    </row>
    <row r="749" spans="4:17" x14ac:dyDescent="0.4">
      <c r="D749" s="15" t="str">
        <f>IF(B749&lt;&gt;"",IF(_xlfn.IFNA(VLOOKUP(B749&amp;C749,SUPORTE!AA:AA,1,0),"NÃO INICIADO")="NÃO INICIADO",IF(B749&amp;C749=$J$9&amp;$I$12,"EM PROCESSO","NÃO INICIADO"),VLOOKUP(B749&amp;C749,SUPORTE!AA:AF,6,0)),"")</f>
        <v/>
      </c>
      <c r="I749" s="46"/>
      <c r="J749" s="32"/>
      <c r="K749" s="32"/>
      <c r="L749" s="32"/>
      <c r="M749" s="32"/>
      <c r="N749" s="32"/>
      <c r="O749" s="32"/>
      <c r="P749" s="32"/>
      <c r="Q749" s="32"/>
    </row>
    <row r="750" spans="4:17" x14ac:dyDescent="0.4">
      <c r="D750" s="15" t="str">
        <f>IF(B750&lt;&gt;"",IF(_xlfn.IFNA(VLOOKUP(B750&amp;C750,SUPORTE!AA:AA,1,0),"NÃO INICIADO")="NÃO INICIADO",IF(B750&amp;C750=$J$9&amp;$I$12,"EM PROCESSO","NÃO INICIADO"),VLOOKUP(B750&amp;C750,SUPORTE!AA:AF,6,0)),"")</f>
        <v/>
      </c>
      <c r="I750" s="46"/>
      <c r="J750" s="32"/>
      <c r="K750" s="32"/>
      <c r="L750" s="32"/>
      <c r="M750" s="32"/>
      <c r="N750" s="32"/>
      <c r="O750" s="32"/>
      <c r="P750" s="32"/>
      <c r="Q750" s="32"/>
    </row>
    <row r="751" spans="4:17" x14ac:dyDescent="0.4">
      <c r="D751" s="15" t="str">
        <f>IF(B751&lt;&gt;"",IF(_xlfn.IFNA(VLOOKUP(B751&amp;C751,SUPORTE!AA:AA,1,0),"NÃO INICIADO")="NÃO INICIADO",IF(B751&amp;C751=$J$9&amp;$I$12,"EM PROCESSO","NÃO INICIADO"),VLOOKUP(B751&amp;C751,SUPORTE!AA:AF,6,0)),"")</f>
        <v/>
      </c>
      <c r="I751" s="46"/>
      <c r="J751" s="32"/>
      <c r="K751" s="32"/>
      <c r="L751" s="32"/>
      <c r="M751" s="32"/>
      <c r="N751" s="32"/>
      <c r="O751" s="32"/>
      <c r="P751" s="32"/>
      <c r="Q751" s="32"/>
    </row>
    <row r="752" spans="4:17" x14ac:dyDescent="0.4">
      <c r="D752" s="15" t="str">
        <f>IF(B752&lt;&gt;"",IF(_xlfn.IFNA(VLOOKUP(B752&amp;C752,SUPORTE!AA:AA,1,0),"NÃO INICIADO")="NÃO INICIADO",IF(B752&amp;C752=$J$9&amp;$I$12,"EM PROCESSO","NÃO INICIADO"),VLOOKUP(B752&amp;C752,SUPORTE!AA:AF,6,0)),"")</f>
        <v/>
      </c>
      <c r="I752" s="46"/>
      <c r="J752" s="32"/>
      <c r="K752" s="32"/>
      <c r="L752" s="32"/>
      <c r="M752" s="32"/>
      <c r="N752" s="32"/>
      <c r="O752" s="32"/>
      <c r="P752" s="32"/>
      <c r="Q752" s="32"/>
    </row>
    <row r="753" spans="4:17" x14ac:dyDescent="0.4">
      <c r="D753" s="15" t="str">
        <f>IF(B753&lt;&gt;"",IF(_xlfn.IFNA(VLOOKUP(B753&amp;C753,SUPORTE!AA:AA,1,0),"NÃO INICIADO")="NÃO INICIADO",IF(B753&amp;C753=$J$9&amp;$I$12,"EM PROCESSO","NÃO INICIADO"),VLOOKUP(B753&amp;C753,SUPORTE!AA:AF,6,0)),"")</f>
        <v/>
      </c>
      <c r="I753" s="46"/>
      <c r="J753" s="32"/>
      <c r="K753" s="32"/>
      <c r="L753" s="32"/>
      <c r="M753" s="32"/>
      <c r="N753" s="32"/>
      <c r="O753" s="32"/>
      <c r="P753" s="32"/>
      <c r="Q753" s="32"/>
    </row>
    <row r="754" spans="4:17" x14ac:dyDescent="0.4">
      <c r="D754" s="15" t="str">
        <f>IF(B754&lt;&gt;"",IF(_xlfn.IFNA(VLOOKUP(B754&amp;C754,SUPORTE!AA:AA,1,0),"NÃO INICIADO")="NÃO INICIADO",IF(B754&amp;C754=$J$9&amp;$I$12,"EM PROCESSO","NÃO INICIADO"),VLOOKUP(B754&amp;C754,SUPORTE!AA:AF,6,0)),"")</f>
        <v/>
      </c>
      <c r="I754" s="46"/>
      <c r="J754" s="32"/>
      <c r="K754" s="32"/>
      <c r="L754" s="32"/>
      <c r="M754" s="32"/>
      <c r="N754" s="32"/>
      <c r="O754" s="32"/>
      <c r="P754" s="32"/>
      <c r="Q754" s="32"/>
    </row>
    <row r="755" spans="4:17" x14ac:dyDescent="0.4">
      <c r="D755" s="15" t="str">
        <f>IF(B755&lt;&gt;"",IF(_xlfn.IFNA(VLOOKUP(B755&amp;C755,SUPORTE!AA:AA,1,0),"NÃO INICIADO")="NÃO INICIADO",IF(B755&amp;C755=$J$9&amp;$I$12,"EM PROCESSO","NÃO INICIADO"),VLOOKUP(B755&amp;C755,SUPORTE!AA:AF,6,0)),"")</f>
        <v/>
      </c>
      <c r="I755" s="46"/>
      <c r="J755" s="32"/>
      <c r="K755" s="32"/>
      <c r="L755" s="32"/>
      <c r="M755" s="32"/>
      <c r="N755" s="32"/>
      <c r="O755" s="32"/>
      <c r="P755" s="32"/>
      <c r="Q755" s="32"/>
    </row>
    <row r="756" spans="4:17" x14ac:dyDescent="0.4">
      <c r="D756" s="15" t="str">
        <f>IF(B756&lt;&gt;"",IF(_xlfn.IFNA(VLOOKUP(B756&amp;C756,SUPORTE!AA:AA,1,0),"NÃO INICIADO")="NÃO INICIADO",IF(B756&amp;C756=$J$9&amp;$I$12,"EM PROCESSO","NÃO INICIADO"),VLOOKUP(B756&amp;C756,SUPORTE!AA:AF,6,0)),"")</f>
        <v/>
      </c>
      <c r="I756" s="46"/>
      <c r="J756" s="32"/>
      <c r="K756" s="32"/>
      <c r="L756" s="32"/>
      <c r="M756" s="32"/>
      <c r="N756" s="32"/>
      <c r="O756" s="32"/>
      <c r="P756" s="32"/>
      <c r="Q756" s="32"/>
    </row>
    <row r="757" spans="4:17" x14ac:dyDescent="0.4">
      <c r="D757" s="15" t="str">
        <f>IF(B757&lt;&gt;"",IF(_xlfn.IFNA(VLOOKUP(B757&amp;C757,SUPORTE!AA:AA,1,0),"NÃO INICIADO")="NÃO INICIADO",IF(B757&amp;C757=$J$9&amp;$I$12,"EM PROCESSO","NÃO INICIADO"),VLOOKUP(B757&amp;C757,SUPORTE!AA:AF,6,0)),"")</f>
        <v/>
      </c>
      <c r="I757" s="46"/>
      <c r="J757" s="32"/>
      <c r="K757" s="32"/>
      <c r="L757" s="32"/>
      <c r="M757" s="32"/>
      <c r="N757" s="32"/>
      <c r="O757" s="32"/>
      <c r="P757" s="32"/>
      <c r="Q757" s="32"/>
    </row>
    <row r="758" spans="4:17" x14ac:dyDescent="0.4">
      <c r="D758" s="15" t="str">
        <f>IF(B758&lt;&gt;"",IF(_xlfn.IFNA(VLOOKUP(B758&amp;C758,SUPORTE!AA:AA,1,0),"NÃO INICIADO")="NÃO INICIADO",IF(B758&amp;C758=$J$9&amp;$I$12,"EM PROCESSO","NÃO INICIADO"),VLOOKUP(B758&amp;C758,SUPORTE!AA:AF,6,0)),"")</f>
        <v/>
      </c>
      <c r="I758" s="46"/>
      <c r="J758" s="32"/>
      <c r="K758" s="32"/>
      <c r="L758" s="32"/>
      <c r="M758" s="32"/>
      <c r="N758" s="32"/>
      <c r="O758" s="32"/>
      <c r="P758" s="32"/>
      <c r="Q758" s="32"/>
    </row>
    <row r="759" spans="4:17" x14ac:dyDescent="0.4">
      <c r="D759" s="15" t="str">
        <f>IF(B759&lt;&gt;"",IF(_xlfn.IFNA(VLOOKUP(B759&amp;C759,SUPORTE!AA:AA,1,0),"NÃO INICIADO")="NÃO INICIADO",IF(B759&amp;C759=$J$9&amp;$I$12,"EM PROCESSO","NÃO INICIADO"),VLOOKUP(B759&amp;C759,SUPORTE!AA:AF,6,0)),"")</f>
        <v/>
      </c>
      <c r="I759" s="46"/>
      <c r="J759" s="32"/>
      <c r="K759" s="32"/>
      <c r="L759" s="32"/>
      <c r="M759" s="32"/>
      <c r="N759" s="32"/>
      <c r="O759" s="32"/>
      <c r="P759" s="32"/>
      <c r="Q759" s="32"/>
    </row>
    <row r="760" spans="4:17" x14ac:dyDescent="0.4">
      <c r="D760" s="15" t="str">
        <f>IF(B760&lt;&gt;"",IF(_xlfn.IFNA(VLOOKUP(B760&amp;C760,SUPORTE!AA:AA,1,0),"NÃO INICIADO")="NÃO INICIADO",IF(B760&amp;C760=$J$9&amp;$I$12,"EM PROCESSO","NÃO INICIADO"),VLOOKUP(B760&amp;C760,SUPORTE!AA:AF,6,0)),"")</f>
        <v/>
      </c>
      <c r="I760" s="46"/>
      <c r="J760" s="32"/>
      <c r="K760" s="32"/>
      <c r="L760" s="32"/>
      <c r="M760" s="32"/>
      <c r="N760" s="32"/>
      <c r="O760" s="32"/>
      <c r="P760" s="32"/>
      <c r="Q760" s="32"/>
    </row>
    <row r="761" spans="4:17" x14ac:dyDescent="0.4">
      <c r="D761" s="15" t="str">
        <f>IF(B761&lt;&gt;"",IF(_xlfn.IFNA(VLOOKUP(B761&amp;C761,SUPORTE!AA:AA,1,0),"NÃO INICIADO")="NÃO INICIADO",IF(B761&amp;C761=$J$9&amp;$I$12,"EM PROCESSO","NÃO INICIADO"),VLOOKUP(B761&amp;C761,SUPORTE!AA:AF,6,0)),"")</f>
        <v/>
      </c>
      <c r="I761" s="46"/>
      <c r="J761" s="32"/>
      <c r="K761" s="32"/>
      <c r="L761" s="32"/>
      <c r="M761" s="32"/>
      <c r="N761" s="32"/>
      <c r="O761" s="32"/>
      <c r="P761" s="32"/>
      <c r="Q761" s="32"/>
    </row>
    <row r="762" spans="4:17" x14ac:dyDescent="0.4">
      <c r="D762" s="15" t="str">
        <f>IF(B762&lt;&gt;"",IF(_xlfn.IFNA(VLOOKUP(B762&amp;C762,SUPORTE!AA:AA,1,0),"NÃO INICIADO")="NÃO INICIADO",IF(B762&amp;C762=$J$9&amp;$I$12,"EM PROCESSO","NÃO INICIADO"),VLOOKUP(B762&amp;C762,SUPORTE!AA:AF,6,0)),"")</f>
        <v/>
      </c>
      <c r="I762" s="46"/>
      <c r="J762" s="32"/>
      <c r="K762" s="32"/>
      <c r="L762" s="32"/>
      <c r="M762" s="32"/>
      <c r="N762" s="32"/>
      <c r="O762" s="32"/>
      <c r="P762" s="32"/>
      <c r="Q762" s="32"/>
    </row>
    <row r="763" spans="4:17" x14ac:dyDescent="0.4">
      <c r="D763" s="15" t="str">
        <f>IF(B763&lt;&gt;"",IF(_xlfn.IFNA(VLOOKUP(B763&amp;C763,SUPORTE!AA:AA,1,0),"NÃO INICIADO")="NÃO INICIADO",IF(B763&amp;C763=$J$9&amp;$I$12,"EM PROCESSO","NÃO INICIADO"),VLOOKUP(B763&amp;C763,SUPORTE!AA:AF,6,0)),"")</f>
        <v/>
      </c>
      <c r="I763" s="46"/>
      <c r="J763" s="32"/>
      <c r="K763" s="32"/>
      <c r="L763" s="32"/>
      <c r="M763" s="32"/>
      <c r="N763" s="32"/>
      <c r="O763" s="32"/>
      <c r="P763" s="32"/>
      <c r="Q763" s="32"/>
    </row>
    <row r="764" spans="4:17" x14ac:dyDescent="0.4">
      <c r="D764" s="15" t="str">
        <f>IF(B764&lt;&gt;"",IF(_xlfn.IFNA(VLOOKUP(B764&amp;C764,SUPORTE!AA:AA,1,0),"NÃO INICIADO")="NÃO INICIADO",IF(B764&amp;C764=$J$9&amp;$I$12,"EM PROCESSO","NÃO INICIADO"),VLOOKUP(B764&amp;C764,SUPORTE!AA:AF,6,0)),"")</f>
        <v/>
      </c>
      <c r="I764" s="46"/>
      <c r="J764" s="32"/>
      <c r="K764" s="32"/>
      <c r="L764" s="32"/>
      <c r="M764" s="32"/>
      <c r="N764" s="32"/>
      <c r="O764" s="32"/>
      <c r="P764" s="32"/>
      <c r="Q764" s="32"/>
    </row>
    <row r="765" spans="4:17" x14ac:dyDescent="0.4">
      <c r="D765" s="15" t="str">
        <f>IF(B765&lt;&gt;"",IF(_xlfn.IFNA(VLOOKUP(B765&amp;C765,SUPORTE!AA:AA,1,0),"NÃO INICIADO")="NÃO INICIADO",IF(B765&amp;C765=$J$9&amp;$I$12,"EM PROCESSO","NÃO INICIADO"),VLOOKUP(B765&amp;C765,SUPORTE!AA:AF,6,0)),"")</f>
        <v/>
      </c>
      <c r="I765" s="46"/>
      <c r="J765" s="32"/>
      <c r="K765" s="32"/>
      <c r="L765" s="32"/>
      <c r="M765" s="32"/>
      <c r="N765" s="32"/>
      <c r="O765" s="32"/>
      <c r="P765" s="32"/>
      <c r="Q765" s="32"/>
    </row>
    <row r="766" spans="4:17" x14ac:dyDescent="0.4">
      <c r="D766" s="15" t="str">
        <f>IF(B766&lt;&gt;"",IF(_xlfn.IFNA(VLOOKUP(B766&amp;C766,SUPORTE!AA:AA,1,0),"NÃO INICIADO")="NÃO INICIADO",IF(B766&amp;C766=$J$9&amp;$I$12,"EM PROCESSO","NÃO INICIADO"),VLOOKUP(B766&amp;C766,SUPORTE!AA:AF,6,0)),"")</f>
        <v/>
      </c>
      <c r="I766" s="46"/>
      <c r="J766" s="32"/>
      <c r="K766" s="32"/>
      <c r="L766" s="32"/>
      <c r="M766" s="32"/>
      <c r="N766" s="32"/>
      <c r="O766" s="32"/>
      <c r="P766" s="32"/>
      <c r="Q766" s="32"/>
    </row>
    <row r="767" spans="4:17" x14ac:dyDescent="0.4">
      <c r="D767" s="15" t="str">
        <f>IF(B767&lt;&gt;"",IF(_xlfn.IFNA(VLOOKUP(B767&amp;C767,SUPORTE!AA:AA,1,0),"NÃO INICIADO")="NÃO INICIADO",IF(B767&amp;C767=$J$9&amp;$I$12,"EM PROCESSO","NÃO INICIADO"),VLOOKUP(B767&amp;C767,SUPORTE!AA:AF,6,0)),"")</f>
        <v/>
      </c>
      <c r="I767" s="46"/>
      <c r="J767" s="32"/>
      <c r="K767" s="32"/>
      <c r="L767" s="32"/>
      <c r="M767" s="32"/>
      <c r="N767" s="32"/>
      <c r="O767" s="32"/>
      <c r="P767" s="32"/>
      <c r="Q767" s="32"/>
    </row>
    <row r="768" spans="4:17" x14ac:dyDescent="0.4">
      <c r="D768" s="15" t="str">
        <f>IF(B768&lt;&gt;"",IF(_xlfn.IFNA(VLOOKUP(B768&amp;C768,SUPORTE!AA:AA,1,0),"NÃO INICIADO")="NÃO INICIADO",IF(B768&amp;C768=$J$9&amp;$I$12,"EM PROCESSO","NÃO INICIADO"),VLOOKUP(B768&amp;C768,SUPORTE!AA:AF,6,0)),"")</f>
        <v/>
      </c>
      <c r="I768" s="46"/>
      <c r="J768" s="32"/>
      <c r="K768" s="32"/>
      <c r="L768" s="32"/>
      <c r="M768" s="32"/>
      <c r="N768" s="32"/>
      <c r="O768" s="32"/>
      <c r="P768" s="32"/>
      <c r="Q768" s="32"/>
    </row>
    <row r="769" spans="4:17" x14ac:dyDescent="0.4">
      <c r="D769" s="15" t="str">
        <f>IF(B769&lt;&gt;"",IF(_xlfn.IFNA(VLOOKUP(B769&amp;C769,SUPORTE!AA:AA,1,0),"NÃO INICIADO")="NÃO INICIADO",IF(B769&amp;C769=$J$9&amp;$I$12,"EM PROCESSO","NÃO INICIADO"),VLOOKUP(B769&amp;C769,SUPORTE!AA:AF,6,0)),"")</f>
        <v/>
      </c>
      <c r="I769" s="46"/>
      <c r="J769" s="32"/>
      <c r="K769" s="32"/>
      <c r="L769" s="32"/>
      <c r="M769" s="32"/>
      <c r="N769" s="32"/>
      <c r="O769" s="32"/>
      <c r="P769" s="32"/>
      <c r="Q769" s="32"/>
    </row>
    <row r="770" spans="4:17" x14ac:dyDescent="0.4">
      <c r="D770" s="15" t="str">
        <f>IF(B770&lt;&gt;"",IF(_xlfn.IFNA(VLOOKUP(B770&amp;C770,SUPORTE!AA:AA,1,0),"NÃO INICIADO")="NÃO INICIADO",IF(B770&amp;C770=$J$9&amp;$I$12,"EM PROCESSO","NÃO INICIADO"),VLOOKUP(B770&amp;C770,SUPORTE!AA:AF,6,0)),"")</f>
        <v/>
      </c>
      <c r="I770" s="46"/>
      <c r="J770" s="32"/>
      <c r="K770" s="32"/>
      <c r="L770" s="32"/>
      <c r="M770" s="32"/>
      <c r="N770" s="32"/>
      <c r="O770" s="32"/>
      <c r="P770" s="32"/>
      <c r="Q770" s="32"/>
    </row>
    <row r="771" spans="4:17" x14ac:dyDescent="0.4">
      <c r="D771" s="15" t="str">
        <f>IF(B771&lt;&gt;"",IF(_xlfn.IFNA(VLOOKUP(B771&amp;C771,SUPORTE!AA:AA,1,0),"NÃO INICIADO")="NÃO INICIADO",IF(B771&amp;C771=$J$9&amp;$I$12,"EM PROCESSO","NÃO INICIADO"),VLOOKUP(B771&amp;C771,SUPORTE!AA:AF,6,0)),"")</f>
        <v/>
      </c>
      <c r="I771" s="46"/>
      <c r="J771" s="32"/>
      <c r="K771" s="32"/>
      <c r="L771" s="32"/>
      <c r="M771" s="32"/>
      <c r="N771" s="32"/>
      <c r="O771" s="32"/>
      <c r="P771" s="32"/>
      <c r="Q771" s="32"/>
    </row>
    <row r="772" spans="4:17" x14ac:dyDescent="0.4">
      <c r="D772" s="15" t="str">
        <f>IF(B772&lt;&gt;"",IF(_xlfn.IFNA(VLOOKUP(B772&amp;C772,SUPORTE!AA:AA,1,0),"NÃO INICIADO")="NÃO INICIADO",IF(B772&amp;C772=$J$9&amp;$I$12,"EM PROCESSO","NÃO INICIADO"),VLOOKUP(B772&amp;C772,SUPORTE!AA:AF,6,0)),"")</f>
        <v/>
      </c>
      <c r="I772" s="46"/>
      <c r="J772" s="32"/>
      <c r="K772" s="32"/>
      <c r="L772" s="32"/>
      <c r="M772" s="32"/>
      <c r="N772" s="32"/>
      <c r="O772" s="32"/>
      <c r="P772" s="32"/>
      <c r="Q772" s="32"/>
    </row>
    <row r="773" spans="4:17" x14ac:dyDescent="0.4">
      <c r="D773" s="15" t="str">
        <f>IF(B773&lt;&gt;"",IF(_xlfn.IFNA(VLOOKUP(B773&amp;C773,SUPORTE!AA:AA,1,0),"NÃO INICIADO")="NÃO INICIADO",IF(B773&amp;C773=$J$9&amp;$I$12,"EM PROCESSO","NÃO INICIADO"),VLOOKUP(B773&amp;C773,SUPORTE!AA:AF,6,0)),"")</f>
        <v/>
      </c>
      <c r="I773" s="46"/>
      <c r="J773" s="32"/>
      <c r="K773" s="32"/>
      <c r="L773" s="32"/>
      <c r="M773" s="32"/>
      <c r="N773" s="32"/>
      <c r="O773" s="32"/>
      <c r="P773" s="32"/>
      <c r="Q773" s="32"/>
    </row>
    <row r="774" spans="4:17" x14ac:dyDescent="0.4">
      <c r="D774" s="15" t="str">
        <f>IF(B774&lt;&gt;"",IF(_xlfn.IFNA(VLOOKUP(B774&amp;C774,SUPORTE!AA:AA,1,0),"NÃO INICIADO")="NÃO INICIADO",IF(B774&amp;C774=$J$9&amp;$I$12,"EM PROCESSO","NÃO INICIADO"),VLOOKUP(B774&amp;C774,SUPORTE!AA:AF,6,0)),"")</f>
        <v/>
      </c>
      <c r="I774" s="46"/>
      <c r="J774" s="32"/>
      <c r="K774" s="32"/>
      <c r="L774" s="32"/>
      <c r="M774" s="32"/>
      <c r="N774" s="32"/>
      <c r="O774" s="32"/>
      <c r="P774" s="32"/>
      <c r="Q774" s="32"/>
    </row>
    <row r="775" spans="4:17" x14ac:dyDescent="0.4">
      <c r="D775" s="15" t="str">
        <f>IF(B775&lt;&gt;"",IF(_xlfn.IFNA(VLOOKUP(B775&amp;C775,SUPORTE!AA:AA,1,0),"NÃO INICIADO")="NÃO INICIADO",IF(B775&amp;C775=$J$9&amp;$I$12,"EM PROCESSO","NÃO INICIADO"),VLOOKUP(B775&amp;C775,SUPORTE!AA:AF,6,0)),"")</f>
        <v/>
      </c>
      <c r="I775" s="46"/>
      <c r="J775" s="32"/>
      <c r="K775" s="32"/>
      <c r="L775" s="32"/>
      <c r="M775" s="32"/>
      <c r="N775" s="32"/>
      <c r="O775" s="32"/>
      <c r="P775" s="32"/>
      <c r="Q775" s="32"/>
    </row>
    <row r="776" spans="4:17" x14ac:dyDescent="0.4">
      <c r="D776" s="15" t="str">
        <f>IF(B776&lt;&gt;"",IF(_xlfn.IFNA(VLOOKUP(B776&amp;C776,SUPORTE!AA:AA,1,0),"NÃO INICIADO")="NÃO INICIADO",IF(B776&amp;C776=$J$9&amp;$I$12,"EM PROCESSO","NÃO INICIADO"),VLOOKUP(B776&amp;C776,SUPORTE!AA:AF,6,0)),"")</f>
        <v/>
      </c>
      <c r="I776" s="46"/>
      <c r="J776" s="32"/>
      <c r="K776" s="32"/>
      <c r="L776" s="32"/>
      <c r="M776" s="32"/>
      <c r="N776" s="32"/>
      <c r="O776" s="32"/>
      <c r="P776" s="32"/>
      <c r="Q776" s="32"/>
    </row>
    <row r="777" spans="4:17" x14ac:dyDescent="0.4">
      <c r="D777" s="15" t="str">
        <f>IF(B777&lt;&gt;"",IF(_xlfn.IFNA(VLOOKUP(B777&amp;C777,SUPORTE!AA:AA,1,0),"NÃO INICIADO")="NÃO INICIADO",IF(B777&amp;C777=$J$9&amp;$I$12,"EM PROCESSO","NÃO INICIADO"),VLOOKUP(B777&amp;C777,SUPORTE!AA:AF,6,0)),"")</f>
        <v/>
      </c>
      <c r="I777" s="46"/>
      <c r="J777" s="32"/>
      <c r="K777" s="32"/>
      <c r="L777" s="32"/>
      <c r="M777" s="32"/>
      <c r="N777" s="32"/>
      <c r="O777" s="32"/>
      <c r="P777" s="32"/>
      <c r="Q777" s="32"/>
    </row>
    <row r="778" spans="4:17" x14ac:dyDescent="0.4">
      <c r="D778" s="15" t="str">
        <f>IF(B778&lt;&gt;"",IF(_xlfn.IFNA(VLOOKUP(B778&amp;C778,SUPORTE!AA:AA,1,0),"NÃO INICIADO")="NÃO INICIADO",IF(B778&amp;C778=$J$9&amp;$I$12,"EM PROCESSO","NÃO INICIADO"),VLOOKUP(B778&amp;C778,SUPORTE!AA:AF,6,0)),"")</f>
        <v/>
      </c>
      <c r="I778" s="46"/>
      <c r="J778" s="32"/>
      <c r="K778" s="32"/>
      <c r="L778" s="32"/>
      <c r="M778" s="32"/>
      <c r="N778" s="32"/>
      <c r="O778" s="32"/>
      <c r="P778" s="32"/>
      <c r="Q778" s="32"/>
    </row>
    <row r="779" spans="4:17" x14ac:dyDescent="0.4">
      <c r="D779" s="15" t="str">
        <f>IF(B779&lt;&gt;"",IF(_xlfn.IFNA(VLOOKUP(B779&amp;C779,SUPORTE!AA:AA,1,0),"NÃO INICIADO")="NÃO INICIADO",IF(B779&amp;C779=$J$9&amp;$I$12,"EM PROCESSO","NÃO INICIADO"),VLOOKUP(B779&amp;C779,SUPORTE!AA:AF,6,0)),"")</f>
        <v/>
      </c>
      <c r="I779" s="46"/>
      <c r="J779" s="32"/>
      <c r="K779" s="32"/>
      <c r="L779" s="32"/>
      <c r="M779" s="32"/>
      <c r="N779" s="32"/>
      <c r="O779" s="32"/>
      <c r="P779" s="32"/>
      <c r="Q779" s="32"/>
    </row>
    <row r="780" spans="4:17" x14ac:dyDescent="0.4">
      <c r="D780" s="15" t="str">
        <f>IF(B780&lt;&gt;"",IF(_xlfn.IFNA(VLOOKUP(B780&amp;C780,SUPORTE!AA:AA,1,0),"NÃO INICIADO")="NÃO INICIADO",IF(B780&amp;C780=$J$9&amp;$I$12,"EM PROCESSO","NÃO INICIADO"),VLOOKUP(B780&amp;C780,SUPORTE!AA:AF,6,0)),"")</f>
        <v/>
      </c>
      <c r="I780" s="46"/>
      <c r="J780" s="32"/>
      <c r="K780" s="32"/>
      <c r="L780" s="32"/>
      <c r="M780" s="32"/>
      <c r="N780" s="32"/>
      <c r="O780" s="32"/>
      <c r="P780" s="32"/>
      <c r="Q780" s="32"/>
    </row>
    <row r="781" spans="4:17" x14ac:dyDescent="0.4">
      <c r="D781" s="15" t="str">
        <f>IF(B781&lt;&gt;"",IF(_xlfn.IFNA(VLOOKUP(B781&amp;C781,SUPORTE!AA:AA,1,0),"NÃO INICIADO")="NÃO INICIADO",IF(B781&amp;C781=$J$9&amp;$I$12,"EM PROCESSO","NÃO INICIADO"),VLOOKUP(B781&amp;C781,SUPORTE!AA:AF,6,0)),"")</f>
        <v/>
      </c>
      <c r="I781" s="46"/>
      <c r="J781" s="32"/>
      <c r="K781" s="32"/>
      <c r="L781" s="32"/>
      <c r="M781" s="32"/>
      <c r="N781" s="32"/>
      <c r="O781" s="32"/>
      <c r="P781" s="32"/>
      <c r="Q781" s="32"/>
    </row>
    <row r="782" spans="4:17" x14ac:dyDescent="0.4">
      <c r="D782" s="15" t="str">
        <f>IF(B782&lt;&gt;"",IF(_xlfn.IFNA(VLOOKUP(B782&amp;C782,SUPORTE!AA:AA,1,0),"NÃO INICIADO")="NÃO INICIADO",IF(B782&amp;C782=$J$9&amp;$I$12,"EM PROCESSO","NÃO INICIADO"),VLOOKUP(B782&amp;C782,SUPORTE!AA:AF,6,0)),"")</f>
        <v/>
      </c>
      <c r="I782" s="46"/>
      <c r="J782" s="32"/>
      <c r="K782" s="32"/>
      <c r="L782" s="32"/>
      <c r="M782" s="32"/>
      <c r="N782" s="32"/>
      <c r="O782" s="32"/>
      <c r="P782" s="32"/>
      <c r="Q782" s="32"/>
    </row>
    <row r="783" spans="4:17" x14ac:dyDescent="0.4">
      <c r="D783" s="15" t="str">
        <f>IF(B783&lt;&gt;"",IF(_xlfn.IFNA(VLOOKUP(B783&amp;C783,SUPORTE!AA:AA,1,0),"NÃO INICIADO")="NÃO INICIADO",IF(B783&amp;C783=$J$9&amp;$I$12,"EM PROCESSO","NÃO INICIADO"),VLOOKUP(B783&amp;C783,SUPORTE!AA:AF,6,0)),"")</f>
        <v/>
      </c>
      <c r="I783" s="46"/>
      <c r="J783" s="32"/>
      <c r="K783" s="32"/>
      <c r="L783" s="32"/>
      <c r="M783" s="32"/>
      <c r="N783" s="32"/>
      <c r="O783" s="32"/>
      <c r="P783" s="32"/>
      <c r="Q783" s="32"/>
    </row>
    <row r="784" spans="4:17" x14ac:dyDescent="0.4">
      <c r="D784" s="15" t="str">
        <f>IF(B784&lt;&gt;"",IF(_xlfn.IFNA(VLOOKUP(B784&amp;C784,SUPORTE!AA:AA,1,0),"NÃO INICIADO")="NÃO INICIADO",IF(B784&amp;C784=$J$9&amp;$I$12,"EM PROCESSO","NÃO INICIADO"),VLOOKUP(B784&amp;C784,SUPORTE!AA:AF,6,0)),"")</f>
        <v/>
      </c>
      <c r="I784" s="46"/>
      <c r="J784" s="32"/>
      <c r="K784" s="32"/>
      <c r="L784" s="32"/>
      <c r="M784" s="32"/>
      <c r="N784" s="32"/>
      <c r="O784" s="32"/>
      <c r="P784" s="32"/>
      <c r="Q784" s="32"/>
    </row>
    <row r="785" spans="4:17" x14ac:dyDescent="0.4">
      <c r="D785" s="15" t="str">
        <f>IF(B785&lt;&gt;"",IF(_xlfn.IFNA(VLOOKUP(B785&amp;C785,SUPORTE!AA:AA,1,0),"NÃO INICIADO")="NÃO INICIADO",IF(B785&amp;C785=$J$9&amp;$I$12,"EM PROCESSO","NÃO INICIADO"),VLOOKUP(B785&amp;C785,SUPORTE!AA:AF,6,0)),"")</f>
        <v/>
      </c>
      <c r="I785" s="46"/>
      <c r="J785" s="32"/>
      <c r="K785" s="32"/>
      <c r="L785" s="32"/>
      <c r="M785" s="32"/>
      <c r="N785" s="32"/>
      <c r="O785" s="32"/>
      <c r="P785" s="32"/>
      <c r="Q785" s="32"/>
    </row>
    <row r="786" spans="4:17" x14ac:dyDescent="0.4">
      <c r="D786" s="15" t="str">
        <f>IF(B786&lt;&gt;"",IF(_xlfn.IFNA(VLOOKUP(B786&amp;C786,SUPORTE!AA:AA,1,0),"NÃO INICIADO")="NÃO INICIADO",IF(B786&amp;C786=$J$9&amp;$I$12,"EM PROCESSO","NÃO INICIADO"),VLOOKUP(B786&amp;C786,SUPORTE!AA:AF,6,0)),"")</f>
        <v/>
      </c>
      <c r="I786" s="46"/>
      <c r="J786" s="32"/>
      <c r="K786" s="32"/>
      <c r="L786" s="32"/>
      <c r="M786" s="32"/>
      <c r="N786" s="32"/>
      <c r="O786" s="32"/>
      <c r="P786" s="32"/>
      <c r="Q786" s="32"/>
    </row>
    <row r="787" spans="4:17" x14ac:dyDescent="0.4">
      <c r="D787" s="15" t="str">
        <f>IF(B787&lt;&gt;"",IF(_xlfn.IFNA(VLOOKUP(B787&amp;C787,SUPORTE!AA:AA,1,0),"NÃO INICIADO")="NÃO INICIADO",IF(B787&amp;C787=$J$9&amp;$I$12,"EM PROCESSO","NÃO INICIADO"),VLOOKUP(B787&amp;C787,SUPORTE!AA:AF,6,0)),"")</f>
        <v/>
      </c>
      <c r="I787" s="46"/>
      <c r="J787" s="32"/>
      <c r="K787" s="32"/>
      <c r="L787" s="32"/>
      <c r="M787" s="32"/>
      <c r="N787" s="32"/>
      <c r="O787" s="32"/>
      <c r="P787" s="32"/>
      <c r="Q787" s="32"/>
    </row>
    <row r="788" spans="4:17" x14ac:dyDescent="0.4">
      <c r="D788" s="15" t="str">
        <f>IF(B788&lt;&gt;"",IF(_xlfn.IFNA(VLOOKUP(B788&amp;C788,SUPORTE!AA:AA,1,0),"NÃO INICIADO")="NÃO INICIADO",IF(B788&amp;C788=$J$9&amp;$I$12,"EM PROCESSO","NÃO INICIADO"),VLOOKUP(B788&amp;C788,SUPORTE!AA:AF,6,0)),"")</f>
        <v/>
      </c>
      <c r="I788" s="46"/>
      <c r="J788" s="32"/>
      <c r="K788" s="32"/>
      <c r="L788" s="32"/>
      <c r="M788" s="32"/>
      <c r="N788" s="32"/>
      <c r="O788" s="32"/>
      <c r="P788" s="32"/>
      <c r="Q788" s="32"/>
    </row>
    <row r="789" spans="4:17" x14ac:dyDescent="0.4">
      <c r="D789" s="15" t="str">
        <f>IF(B789&lt;&gt;"",IF(_xlfn.IFNA(VLOOKUP(B789&amp;C789,SUPORTE!AA:AA,1,0),"NÃO INICIADO")="NÃO INICIADO",IF(B789&amp;C789=$J$9&amp;$I$12,"EM PROCESSO","NÃO INICIADO"),VLOOKUP(B789&amp;C789,SUPORTE!AA:AF,6,0)),"")</f>
        <v/>
      </c>
      <c r="I789" s="46"/>
      <c r="J789" s="32"/>
      <c r="K789" s="32"/>
      <c r="L789" s="32"/>
      <c r="M789" s="32"/>
      <c r="N789" s="32"/>
      <c r="O789" s="32"/>
      <c r="P789" s="32"/>
      <c r="Q789" s="32"/>
    </row>
    <row r="790" spans="4:17" x14ac:dyDescent="0.4">
      <c r="D790" s="15" t="str">
        <f>IF(B790&lt;&gt;"",IF(_xlfn.IFNA(VLOOKUP(B790&amp;C790,SUPORTE!AA:AA,1,0),"NÃO INICIADO")="NÃO INICIADO",IF(B790&amp;C790=$J$9&amp;$I$12,"EM PROCESSO","NÃO INICIADO"),VLOOKUP(B790&amp;C790,SUPORTE!AA:AF,6,0)),"")</f>
        <v/>
      </c>
      <c r="I790" s="46"/>
      <c r="J790" s="32"/>
      <c r="K790" s="32"/>
      <c r="L790" s="32"/>
      <c r="M790" s="32"/>
      <c r="N790" s="32"/>
      <c r="O790" s="32"/>
      <c r="P790" s="32"/>
      <c r="Q790" s="32"/>
    </row>
    <row r="791" spans="4:17" x14ac:dyDescent="0.4">
      <c r="D791" s="15" t="str">
        <f>IF(B791&lt;&gt;"",IF(_xlfn.IFNA(VLOOKUP(B791&amp;C791,SUPORTE!AA:AA,1,0),"NÃO INICIADO")="NÃO INICIADO",IF(B791&amp;C791=$J$9&amp;$I$12,"EM PROCESSO","NÃO INICIADO"),VLOOKUP(B791&amp;C791,SUPORTE!AA:AF,6,0)),"")</f>
        <v/>
      </c>
      <c r="I791" s="46"/>
      <c r="J791" s="32"/>
      <c r="K791" s="32"/>
      <c r="L791" s="32"/>
      <c r="M791" s="32"/>
      <c r="N791" s="32"/>
      <c r="O791" s="32"/>
      <c r="P791" s="32"/>
      <c r="Q791" s="32"/>
    </row>
    <row r="792" spans="4:17" x14ac:dyDescent="0.4">
      <c r="D792" s="15" t="str">
        <f>IF(B792&lt;&gt;"",IF(_xlfn.IFNA(VLOOKUP(B792&amp;C792,SUPORTE!AA:AA,1,0),"NÃO INICIADO")="NÃO INICIADO",IF(B792&amp;C792=$J$9&amp;$I$12,"EM PROCESSO","NÃO INICIADO"),VLOOKUP(B792&amp;C792,SUPORTE!AA:AF,6,0)),"")</f>
        <v/>
      </c>
      <c r="I792" s="46"/>
      <c r="J792" s="32"/>
      <c r="K792" s="32"/>
      <c r="L792" s="32"/>
      <c r="M792" s="32"/>
      <c r="N792" s="32"/>
      <c r="O792" s="32"/>
      <c r="P792" s="32"/>
      <c r="Q792" s="32"/>
    </row>
    <row r="793" spans="4:17" x14ac:dyDescent="0.4">
      <c r="D793" s="15" t="str">
        <f>IF(B793&lt;&gt;"",IF(_xlfn.IFNA(VLOOKUP(B793&amp;C793,SUPORTE!AA:AA,1,0),"NÃO INICIADO")="NÃO INICIADO",IF(B793&amp;C793=$J$9&amp;$I$12,"EM PROCESSO","NÃO INICIADO"),VLOOKUP(B793&amp;C793,SUPORTE!AA:AF,6,0)),"")</f>
        <v/>
      </c>
      <c r="I793" s="46"/>
      <c r="J793" s="32"/>
      <c r="K793" s="32"/>
      <c r="L793" s="32"/>
      <c r="M793" s="32"/>
      <c r="N793" s="32"/>
      <c r="O793" s="32"/>
      <c r="P793" s="32"/>
      <c r="Q793" s="32"/>
    </row>
    <row r="794" spans="4:17" x14ac:dyDescent="0.4">
      <c r="D794" s="15" t="str">
        <f>IF(B794&lt;&gt;"",IF(_xlfn.IFNA(VLOOKUP(B794&amp;C794,SUPORTE!AA:AA,1,0),"NÃO INICIADO")="NÃO INICIADO",IF(B794&amp;C794=$J$9&amp;$I$12,"EM PROCESSO","NÃO INICIADO"),VLOOKUP(B794&amp;C794,SUPORTE!AA:AF,6,0)),"")</f>
        <v/>
      </c>
      <c r="I794" s="46"/>
      <c r="J794" s="32"/>
      <c r="K794" s="32"/>
      <c r="L794" s="32"/>
      <c r="M794" s="32"/>
      <c r="N794" s="32"/>
      <c r="O794" s="32"/>
      <c r="P794" s="32"/>
      <c r="Q794" s="32"/>
    </row>
    <row r="795" spans="4:17" x14ac:dyDescent="0.4">
      <c r="D795" s="15" t="str">
        <f>IF(B795&lt;&gt;"",IF(_xlfn.IFNA(VLOOKUP(B795&amp;C795,SUPORTE!AA:AA,1,0),"NÃO INICIADO")="NÃO INICIADO",IF(B795&amp;C795=$J$9&amp;$I$12,"EM PROCESSO","NÃO INICIADO"),VLOOKUP(B795&amp;C795,SUPORTE!AA:AF,6,0)),"")</f>
        <v/>
      </c>
      <c r="I795" s="46"/>
      <c r="J795" s="32"/>
      <c r="K795" s="32"/>
      <c r="L795" s="32"/>
      <c r="M795" s="32"/>
      <c r="N795" s="32"/>
      <c r="O795" s="32"/>
      <c r="P795" s="32"/>
      <c r="Q795" s="32"/>
    </row>
    <row r="796" spans="4:17" x14ac:dyDescent="0.4">
      <c r="D796" s="15" t="str">
        <f>IF(B796&lt;&gt;"",IF(_xlfn.IFNA(VLOOKUP(B796&amp;C796,SUPORTE!AA:AA,1,0),"NÃO INICIADO")="NÃO INICIADO",IF(B796&amp;C796=$J$9&amp;$I$12,"EM PROCESSO","NÃO INICIADO"),VLOOKUP(B796&amp;C796,SUPORTE!AA:AF,6,0)),"")</f>
        <v/>
      </c>
      <c r="I796" s="46"/>
      <c r="J796" s="32"/>
      <c r="K796" s="32"/>
      <c r="L796" s="32"/>
      <c r="M796" s="32"/>
      <c r="N796" s="32"/>
      <c r="O796" s="32"/>
      <c r="P796" s="32"/>
      <c r="Q796" s="32"/>
    </row>
    <row r="797" spans="4:17" x14ac:dyDescent="0.4">
      <c r="D797" s="15" t="str">
        <f>IF(B797&lt;&gt;"",IF(_xlfn.IFNA(VLOOKUP(B797&amp;C797,SUPORTE!AA:AA,1,0),"NÃO INICIADO")="NÃO INICIADO",IF(B797&amp;C797=$J$9&amp;$I$12,"EM PROCESSO","NÃO INICIADO"),VLOOKUP(B797&amp;C797,SUPORTE!AA:AF,6,0)),"")</f>
        <v/>
      </c>
      <c r="I797" s="46"/>
      <c r="J797" s="32"/>
      <c r="K797" s="32"/>
      <c r="L797" s="32"/>
      <c r="M797" s="32"/>
      <c r="N797" s="32"/>
      <c r="O797" s="32"/>
      <c r="P797" s="32"/>
      <c r="Q797" s="32"/>
    </row>
    <row r="798" spans="4:17" x14ac:dyDescent="0.4">
      <c r="D798" s="15" t="str">
        <f>IF(B798&lt;&gt;"",IF(_xlfn.IFNA(VLOOKUP(B798&amp;C798,SUPORTE!AA:AA,1,0),"NÃO INICIADO")="NÃO INICIADO",IF(B798&amp;C798=$J$9&amp;$I$12,"EM PROCESSO","NÃO INICIADO"),VLOOKUP(B798&amp;C798,SUPORTE!AA:AF,6,0)),"")</f>
        <v/>
      </c>
      <c r="I798" s="46"/>
      <c r="J798" s="32"/>
      <c r="K798" s="32"/>
      <c r="L798" s="32"/>
      <c r="M798" s="32"/>
      <c r="N798" s="32"/>
      <c r="O798" s="32"/>
      <c r="P798" s="32"/>
      <c r="Q798" s="32"/>
    </row>
    <row r="799" spans="4:17" x14ac:dyDescent="0.4">
      <c r="D799" s="15" t="str">
        <f>IF(B799&lt;&gt;"",IF(_xlfn.IFNA(VLOOKUP(B799&amp;C799,SUPORTE!AA:AA,1,0),"NÃO INICIADO")="NÃO INICIADO",IF(B799&amp;C799=$J$9&amp;$I$12,"EM PROCESSO","NÃO INICIADO"),VLOOKUP(B799&amp;C799,SUPORTE!AA:AF,6,0)),"")</f>
        <v/>
      </c>
      <c r="I799" s="46"/>
      <c r="J799" s="32"/>
      <c r="K799" s="32"/>
      <c r="L799" s="32"/>
      <c r="M799" s="32"/>
      <c r="N799" s="32"/>
      <c r="O799" s="32"/>
      <c r="P799" s="32"/>
      <c r="Q799" s="32"/>
    </row>
    <row r="800" spans="4:17" x14ac:dyDescent="0.4">
      <c r="D800" s="15" t="str">
        <f>IF(B800&lt;&gt;"",IF(_xlfn.IFNA(VLOOKUP(B800&amp;C800,SUPORTE!AA:AA,1,0),"NÃO INICIADO")="NÃO INICIADO",IF(B800&amp;C800=$J$9&amp;$I$12,"EM PROCESSO","NÃO INICIADO"),VLOOKUP(B800&amp;C800,SUPORTE!AA:AF,6,0)),"")</f>
        <v/>
      </c>
      <c r="I800" s="46"/>
      <c r="J800" s="32"/>
      <c r="K800" s="32"/>
      <c r="L800" s="32"/>
      <c r="M800" s="32"/>
      <c r="N800" s="32"/>
      <c r="O800" s="32"/>
      <c r="P800" s="32"/>
      <c r="Q800" s="32"/>
    </row>
    <row r="801" spans="4:17" x14ac:dyDescent="0.4">
      <c r="D801" s="15" t="str">
        <f>IF(B801&lt;&gt;"",IF(_xlfn.IFNA(VLOOKUP(B801&amp;C801,SUPORTE!AA:AA,1,0),"NÃO INICIADO")="NÃO INICIADO",IF(B801&amp;C801=$J$9&amp;$I$12,"EM PROCESSO","NÃO INICIADO"),VLOOKUP(B801&amp;C801,SUPORTE!AA:AF,6,0)),"")</f>
        <v/>
      </c>
      <c r="I801" s="46"/>
      <c r="J801" s="32"/>
      <c r="K801" s="32"/>
      <c r="L801" s="32"/>
      <c r="M801" s="32"/>
      <c r="N801" s="32"/>
      <c r="O801" s="32"/>
      <c r="P801" s="32"/>
      <c r="Q801" s="32"/>
    </row>
    <row r="802" spans="4:17" x14ac:dyDescent="0.4">
      <c r="D802" s="15" t="str">
        <f>IF(B802&lt;&gt;"",IF(_xlfn.IFNA(VLOOKUP(B802&amp;C802,SUPORTE!AA:AA,1,0),"NÃO INICIADO")="NÃO INICIADO",IF(B802&amp;C802=$J$9&amp;$I$12,"EM PROCESSO","NÃO INICIADO"),VLOOKUP(B802&amp;C802,SUPORTE!AA:AF,6,0)),"")</f>
        <v/>
      </c>
      <c r="I802" s="46"/>
      <c r="J802" s="32"/>
      <c r="K802" s="32"/>
      <c r="L802" s="32"/>
      <c r="M802" s="32"/>
      <c r="N802" s="32"/>
      <c r="O802" s="32"/>
      <c r="P802" s="32"/>
      <c r="Q802" s="32"/>
    </row>
    <row r="803" spans="4:17" x14ac:dyDescent="0.4">
      <c r="D803" s="15" t="str">
        <f>IF(B803&lt;&gt;"",IF(_xlfn.IFNA(VLOOKUP(B803&amp;C803,SUPORTE!AA:AA,1,0),"NÃO INICIADO")="NÃO INICIADO",IF(B803&amp;C803=$J$9&amp;$I$12,"EM PROCESSO","NÃO INICIADO"),VLOOKUP(B803&amp;C803,SUPORTE!AA:AF,6,0)),"")</f>
        <v/>
      </c>
      <c r="I803" s="46"/>
      <c r="J803" s="32"/>
      <c r="K803" s="32"/>
      <c r="L803" s="32"/>
      <c r="M803" s="32"/>
      <c r="N803" s="32"/>
      <c r="O803" s="32"/>
      <c r="P803" s="32"/>
      <c r="Q803" s="32"/>
    </row>
    <row r="804" spans="4:17" x14ac:dyDescent="0.4">
      <c r="D804" s="15" t="str">
        <f>IF(B804&lt;&gt;"",IF(_xlfn.IFNA(VLOOKUP(B804&amp;C804,SUPORTE!AA:AA,1,0),"NÃO INICIADO")="NÃO INICIADO",IF(B804&amp;C804=$J$9&amp;$I$12,"EM PROCESSO","NÃO INICIADO"),VLOOKUP(B804&amp;C804,SUPORTE!AA:AF,6,0)),"")</f>
        <v/>
      </c>
      <c r="I804" s="46"/>
      <c r="J804" s="32"/>
      <c r="K804" s="32"/>
      <c r="L804" s="32"/>
      <c r="M804" s="32"/>
      <c r="N804" s="32"/>
      <c r="O804" s="32"/>
      <c r="P804" s="32"/>
      <c r="Q804" s="32"/>
    </row>
    <row r="805" spans="4:17" x14ac:dyDescent="0.4">
      <c r="D805" s="15" t="str">
        <f>IF(B805&lt;&gt;"",IF(_xlfn.IFNA(VLOOKUP(B805&amp;C805,SUPORTE!AA:AA,1,0),"NÃO INICIADO")="NÃO INICIADO",IF(B805&amp;C805=$J$9&amp;$I$12,"EM PROCESSO","NÃO INICIADO"),VLOOKUP(B805&amp;C805,SUPORTE!AA:AF,6,0)),"")</f>
        <v/>
      </c>
      <c r="I805" s="46"/>
      <c r="J805" s="32"/>
      <c r="K805" s="32"/>
      <c r="L805" s="32"/>
      <c r="M805" s="32"/>
      <c r="N805" s="32"/>
      <c r="O805" s="32"/>
      <c r="P805" s="32"/>
      <c r="Q805" s="32"/>
    </row>
    <row r="806" spans="4:17" x14ac:dyDescent="0.4">
      <c r="D806" s="15" t="str">
        <f>IF(B806&lt;&gt;"",IF(_xlfn.IFNA(VLOOKUP(B806&amp;C806,SUPORTE!AA:AA,1,0),"NÃO INICIADO")="NÃO INICIADO",IF(B806&amp;C806=$J$9&amp;$I$12,"EM PROCESSO","NÃO INICIADO"),VLOOKUP(B806&amp;C806,SUPORTE!AA:AF,6,0)),"")</f>
        <v/>
      </c>
      <c r="I806" s="46"/>
      <c r="J806" s="32"/>
      <c r="K806" s="32"/>
      <c r="L806" s="32"/>
      <c r="M806" s="32"/>
      <c r="N806" s="32"/>
      <c r="O806" s="32"/>
      <c r="P806" s="32"/>
      <c r="Q806" s="32"/>
    </row>
    <row r="807" spans="4:17" x14ac:dyDescent="0.4">
      <c r="D807" s="15" t="str">
        <f>IF(B807&lt;&gt;"",IF(_xlfn.IFNA(VLOOKUP(B807&amp;C807,SUPORTE!AA:AA,1,0),"NÃO INICIADO")="NÃO INICIADO",IF(B807&amp;C807=$J$9&amp;$I$12,"EM PROCESSO","NÃO INICIADO"),VLOOKUP(B807&amp;C807,SUPORTE!AA:AF,6,0)),"")</f>
        <v/>
      </c>
      <c r="I807" s="46"/>
      <c r="J807" s="32"/>
      <c r="K807" s="32"/>
      <c r="L807" s="32"/>
      <c r="M807" s="32"/>
      <c r="N807" s="32"/>
      <c r="O807" s="32"/>
      <c r="P807" s="32"/>
      <c r="Q807" s="32"/>
    </row>
    <row r="808" spans="4:17" x14ac:dyDescent="0.4">
      <c r="D808" s="15" t="str">
        <f>IF(B808&lt;&gt;"",IF(_xlfn.IFNA(VLOOKUP(B808&amp;C808,SUPORTE!AA:AA,1,0),"NÃO INICIADO")="NÃO INICIADO",IF(B808&amp;C808=$J$9&amp;$I$12,"EM PROCESSO","NÃO INICIADO"),VLOOKUP(B808&amp;C808,SUPORTE!AA:AF,6,0)),"")</f>
        <v/>
      </c>
      <c r="I808" s="46"/>
      <c r="J808" s="32"/>
      <c r="K808" s="32"/>
      <c r="L808" s="32"/>
      <c r="M808" s="32"/>
      <c r="N808" s="32"/>
      <c r="O808" s="32"/>
      <c r="P808" s="32"/>
      <c r="Q808" s="32"/>
    </row>
    <row r="809" spans="4:17" x14ac:dyDescent="0.4">
      <c r="D809" s="15" t="str">
        <f>IF(B809&lt;&gt;"",IF(_xlfn.IFNA(VLOOKUP(B809&amp;C809,SUPORTE!AA:AA,1,0),"NÃO INICIADO")="NÃO INICIADO",IF(B809&amp;C809=$J$9&amp;$I$12,"EM PROCESSO","NÃO INICIADO"),VLOOKUP(B809&amp;C809,SUPORTE!AA:AF,6,0)),"")</f>
        <v/>
      </c>
      <c r="I809" s="46"/>
      <c r="J809" s="32"/>
      <c r="K809" s="32"/>
      <c r="L809" s="32"/>
      <c r="M809" s="32"/>
      <c r="N809" s="32"/>
      <c r="O809" s="32"/>
      <c r="P809" s="32"/>
      <c r="Q809" s="32"/>
    </row>
    <row r="810" spans="4:17" x14ac:dyDescent="0.4">
      <c r="D810" s="15" t="str">
        <f>IF(B810&lt;&gt;"",IF(_xlfn.IFNA(VLOOKUP(B810&amp;C810,SUPORTE!AA:AA,1,0),"NÃO INICIADO")="NÃO INICIADO",IF(B810&amp;C810=$J$9&amp;$I$12,"EM PROCESSO","NÃO INICIADO"),VLOOKUP(B810&amp;C810,SUPORTE!AA:AF,6,0)),"")</f>
        <v/>
      </c>
      <c r="I810" s="46"/>
      <c r="J810" s="32"/>
      <c r="K810" s="32"/>
      <c r="L810" s="32"/>
      <c r="M810" s="32"/>
      <c r="N810" s="32"/>
      <c r="O810" s="32"/>
      <c r="P810" s="32"/>
      <c r="Q810" s="32"/>
    </row>
    <row r="811" spans="4:17" x14ac:dyDescent="0.4">
      <c r="D811" s="15" t="str">
        <f>IF(B811&lt;&gt;"",IF(_xlfn.IFNA(VLOOKUP(B811&amp;C811,SUPORTE!AA:AA,1,0),"NÃO INICIADO")="NÃO INICIADO",IF(B811&amp;C811=$J$9&amp;$I$12,"EM PROCESSO","NÃO INICIADO"),VLOOKUP(B811&amp;C811,SUPORTE!AA:AF,6,0)),"")</f>
        <v/>
      </c>
      <c r="I811" s="46"/>
      <c r="J811" s="32"/>
      <c r="K811" s="32"/>
      <c r="L811" s="32"/>
      <c r="M811" s="32"/>
      <c r="N811" s="32"/>
      <c r="O811" s="32"/>
      <c r="P811" s="32"/>
      <c r="Q811" s="32"/>
    </row>
    <row r="812" spans="4:17" x14ac:dyDescent="0.4">
      <c r="D812" s="15" t="str">
        <f>IF(B812&lt;&gt;"",IF(_xlfn.IFNA(VLOOKUP(B812&amp;C812,SUPORTE!AA:AA,1,0),"NÃO INICIADO")="NÃO INICIADO",IF(B812&amp;C812=$J$9&amp;$I$12,"EM PROCESSO","NÃO INICIADO"),VLOOKUP(B812&amp;C812,SUPORTE!AA:AF,6,0)),"")</f>
        <v/>
      </c>
      <c r="I812" s="46"/>
      <c r="J812" s="32"/>
      <c r="K812" s="32"/>
      <c r="L812" s="32"/>
      <c r="M812" s="32"/>
      <c r="N812" s="32"/>
      <c r="O812" s="32"/>
      <c r="P812" s="32"/>
      <c r="Q812" s="32"/>
    </row>
    <row r="813" spans="4:17" x14ac:dyDescent="0.4">
      <c r="D813" s="15" t="str">
        <f>IF(B813&lt;&gt;"",IF(_xlfn.IFNA(VLOOKUP(B813&amp;C813,SUPORTE!AA:AA,1,0),"NÃO INICIADO")="NÃO INICIADO",IF(B813&amp;C813=$J$9&amp;$I$12,"EM PROCESSO","NÃO INICIADO"),VLOOKUP(B813&amp;C813,SUPORTE!AA:AF,6,0)),"")</f>
        <v/>
      </c>
      <c r="I813" s="46"/>
      <c r="J813" s="32"/>
      <c r="K813" s="32"/>
      <c r="L813" s="32"/>
      <c r="M813" s="32"/>
      <c r="N813" s="32"/>
      <c r="O813" s="32"/>
      <c r="P813" s="32"/>
      <c r="Q813" s="32"/>
    </row>
    <row r="814" spans="4:17" x14ac:dyDescent="0.4">
      <c r="D814" s="15" t="str">
        <f>IF(B814&lt;&gt;"",IF(_xlfn.IFNA(VLOOKUP(B814&amp;C814,SUPORTE!AA:AA,1,0),"NÃO INICIADO")="NÃO INICIADO",IF(B814&amp;C814=$J$9&amp;$I$12,"EM PROCESSO","NÃO INICIADO"),VLOOKUP(B814&amp;C814,SUPORTE!AA:AF,6,0)),"")</f>
        <v/>
      </c>
      <c r="I814" s="46"/>
      <c r="J814" s="32"/>
      <c r="K814" s="32"/>
      <c r="L814" s="32"/>
      <c r="M814" s="32"/>
      <c r="N814" s="32"/>
      <c r="O814" s="32"/>
      <c r="P814" s="32"/>
      <c r="Q814" s="32"/>
    </row>
    <row r="815" spans="4:17" x14ac:dyDescent="0.4">
      <c r="D815" s="15" t="str">
        <f>IF(B815&lt;&gt;"",IF(_xlfn.IFNA(VLOOKUP(B815&amp;C815,SUPORTE!AA:AA,1,0),"NÃO INICIADO")="NÃO INICIADO",IF(B815&amp;C815=$J$9&amp;$I$12,"EM PROCESSO","NÃO INICIADO"),VLOOKUP(B815&amp;C815,SUPORTE!AA:AF,6,0)),"")</f>
        <v/>
      </c>
      <c r="I815" s="46"/>
      <c r="J815" s="32"/>
      <c r="K815" s="32"/>
      <c r="L815" s="32"/>
      <c r="M815" s="32"/>
      <c r="N815" s="32"/>
      <c r="O815" s="32"/>
      <c r="P815" s="32"/>
      <c r="Q815" s="32"/>
    </row>
    <row r="816" spans="4:17" x14ac:dyDescent="0.4">
      <c r="I816" s="46"/>
      <c r="J816" s="32"/>
      <c r="K816" s="32"/>
      <c r="L816" s="32"/>
      <c r="M816" s="32"/>
      <c r="N816" s="32"/>
      <c r="O816" s="32"/>
      <c r="P816" s="32"/>
      <c r="Q816" s="32"/>
    </row>
    <row r="817" spans="9:17" x14ac:dyDescent="0.4">
      <c r="I817" s="46"/>
      <c r="J817" s="32"/>
      <c r="K817" s="32"/>
      <c r="L817" s="32"/>
      <c r="M817" s="32"/>
      <c r="N817" s="32"/>
      <c r="O817" s="32"/>
      <c r="P817" s="32"/>
      <c r="Q817" s="32"/>
    </row>
    <row r="818" spans="9:17" x14ac:dyDescent="0.4">
      <c r="I818" s="46"/>
      <c r="J818" s="32"/>
      <c r="K818" s="32"/>
      <c r="L818" s="32"/>
      <c r="M818" s="32"/>
      <c r="N818" s="32"/>
      <c r="O818" s="32"/>
      <c r="P818" s="32"/>
      <c r="Q818" s="32"/>
    </row>
    <row r="819" spans="9:17" x14ac:dyDescent="0.4">
      <c r="I819" s="46"/>
      <c r="J819" s="32"/>
      <c r="K819" s="32"/>
      <c r="L819" s="32"/>
      <c r="M819" s="32"/>
      <c r="N819" s="32"/>
      <c r="O819" s="32"/>
      <c r="P819" s="32"/>
      <c r="Q819" s="32"/>
    </row>
    <row r="820" spans="9:17" x14ac:dyDescent="0.4">
      <c r="I820" s="46"/>
      <c r="J820" s="32"/>
      <c r="K820" s="32"/>
      <c r="L820" s="32"/>
      <c r="M820" s="32"/>
      <c r="N820" s="32"/>
      <c r="O820" s="32"/>
      <c r="P820" s="32"/>
      <c r="Q820" s="32"/>
    </row>
    <row r="821" spans="9:17" x14ac:dyDescent="0.4">
      <c r="I821" s="46"/>
      <c r="J821" s="32"/>
      <c r="K821" s="32"/>
      <c r="L821" s="32"/>
      <c r="M821" s="32"/>
      <c r="N821" s="32"/>
      <c r="O821" s="32"/>
      <c r="P821" s="32"/>
      <c r="Q821" s="32"/>
    </row>
    <row r="822" spans="9:17" x14ac:dyDescent="0.4">
      <c r="I822" s="46"/>
      <c r="J822" s="32"/>
      <c r="K822" s="32"/>
      <c r="L822" s="32"/>
      <c r="M822" s="32"/>
      <c r="N822" s="32"/>
      <c r="O822" s="32"/>
      <c r="P822" s="32"/>
      <c r="Q822" s="32"/>
    </row>
    <row r="823" spans="9:17" x14ac:dyDescent="0.4">
      <c r="I823" s="46"/>
      <c r="J823" s="32"/>
      <c r="K823" s="32"/>
      <c r="L823" s="32"/>
      <c r="M823" s="32"/>
      <c r="N823" s="32"/>
      <c r="O823" s="32"/>
      <c r="P823" s="32"/>
      <c r="Q823" s="32"/>
    </row>
    <row r="824" spans="9:17" x14ac:dyDescent="0.4">
      <c r="I824" s="46"/>
      <c r="J824" s="32"/>
      <c r="K824" s="32"/>
      <c r="L824" s="32"/>
      <c r="M824" s="32"/>
      <c r="N824" s="32"/>
      <c r="O824" s="32"/>
      <c r="P824" s="32"/>
      <c r="Q824" s="32"/>
    </row>
    <row r="825" spans="9:17" x14ac:dyDescent="0.4">
      <c r="I825" s="46"/>
      <c r="J825" s="32"/>
      <c r="K825" s="32"/>
      <c r="L825" s="32"/>
      <c r="M825" s="32"/>
      <c r="N825" s="32"/>
      <c r="O825" s="32"/>
      <c r="P825" s="32"/>
      <c r="Q825" s="32"/>
    </row>
    <row r="826" spans="9:17" x14ac:dyDescent="0.4">
      <c r="I826" s="46"/>
      <c r="J826" s="32"/>
      <c r="K826" s="32"/>
      <c r="L826" s="32"/>
      <c r="M826" s="32"/>
      <c r="N826" s="32"/>
      <c r="O826" s="32"/>
      <c r="P826" s="32"/>
      <c r="Q826" s="32"/>
    </row>
    <row r="827" spans="9:17" x14ac:dyDescent="0.4">
      <c r="I827" s="46"/>
      <c r="J827" s="32"/>
      <c r="K827" s="32"/>
      <c r="L827" s="32"/>
      <c r="M827" s="32"/>
      <c r="N827" s="32"/>
      <c r="O827" s="32"/>
      <c r="P827" s="32"/>
      <c r="Q827" s="32"/>
    </row>
    <row r="828" spans="9:17" x14ac:dyDescent="0.4">
      <c r="I828" s="46"/>
      <c r="J828" s="32"/>
      <c r="K828" s="32"/>
      <c r="L828" s="32"/>
      <c r="M828" s="32"/>
      <c r="N828" s="32"/>
      <c r="O828" s="32"/>
      <c r="P828" s="32"/>
      <c r="Q828" s="32"/>
    </row>
    <row r="829" spans="9:17" x14ac:dyDescent="0.4">
      <c r="I829" s="46"/>
      <c r="J829" s="32"/>
      <c r="K829" s="32"/>
      <c r="L829" s="32"/>
      <c r="M829" s="32"/>
      <c r="N829" s="32"/>
      <c r="O829" s="32"/>
      <c r="P829" s="32"/>
      <c r="Q829" s="32"/>
    </row>
    <row r="830" spans="9:17" x14ac:dyDescent="0.4">
      <c r="I830" s="46"/>
      <c r="J830" s="32"/>
      <c r="K830" s="32"/>
      <c r="L830" s="32"/>
      <c r="M830" s="32"/>
      <c r="N830" s="32"/>
      <c r="O830" s="32"/>
      <c r="P830" s="32"/>
      <c r="Q830" s="32"/>
    </row>
    <row r="831" spans="9:17" x14ac:dyDescent="0.4">
      <c r="I831" s="46"/>
      <c r="J831" s="32"/>
      <c r="K831" s="32"/>
      <c r="L831" s="32"/>
      <c r="M831" s="32"/>
      <c r="N831" s="32"/>
      <c r="O831" s="32"/>
      <c r="P831" s="32"/>
      <c r="Q831" s="32"/>
    </row>
    <row r="832" spans="9:17" x14ac:dyDescent="0.4">
      <c r="I832" s="46"/>
      <c r="J832" s="32"/>
      <c r="K832" s="32"/>
      <c r="L832" s="32"/>
      <c r="M832" s="32"/>
      <c r="N832" s="32"/>
      <c r="O832" s="32"/>
      <c r="P832" s="32"/>
      <c r="Q832" s="32"/>
    </row>
    <row r="833" spans="9:17" x14ac:dyDescent="0.4">
      <c r="I833" s="46"/>
      <c r="J833" s="32"/>
      <c r="K833" s="32"/>
      <c r="L833" s="32"/>
      <c r="M833" s="32"/>
      <c r="N833" s="32"/>
      <c r="O833" s="32"/>
      <c r="P833" s="32"/>
      <c r="Q833" s="32"/>
    </row>
    <row r="834" spans="9:17" x14ac:dyDescent="0.4">
      <c r="I834" s="46"/>
      <c r="J834" s="32"/>
      <c r="K834" s="32"/>
      <c r="L834" s="32"/>
      <c r="M834" s="32"/>
      <c r="N834" s="32"/>
      <c r="O834" s="32"/>
      <c r="P834" s="32"/>
      <c r="Q834" s="32"/>
    </row>
    <row r="835" spans="9:17" x14ac:dyDescent="0.4">
      <c r="I835" s="46"/>
      <c r="J835" s="32"/>
      <c r="K835" s="32"/>
      <c r="L835" s="32"/>
      <c r="M835" s="32"/>
      <c r="N835" s="32"/>
      <c r="O835" s="32"/>
      <c r="P835" s="32"/>
      <c r="Q835" s="32"/>
    </row>
    <row r="836" spans="9:17" x14ac:dyDescent="0.4">
      <c r="I836" s="46"/>
      <c r="J836" s="32"/>
      <c r="K836" s="32"/>
      <c r="L836" s="32"/>
      <c r="M836" s="32"/>
      <c r="N836" s="32"/>
      <c r="O836" s="32"/>
      <c r="P836" s="32"/>
      <c r="Q836" s="32"/>
    </row>
    <row r="837" spans="9:17" x14ac:dyDescent="0.4">
      <c r="I837" s="46"/>
      <c r="J837" s="32"/>
      <c r="K837" s="32"/>
      <c r="L837" s="32"/>
      <c r="M837" s="32"/>
      <c r="N837" s="32"/>
      <c r="O837" s="32"/>
      <c r="P837" s="32"/>
      <c r="Q837" s="32"/>
    </row>
    <row r="838" spans="9:17" x14ac:dyDescent="0.4">
      <c r="I838" s="46"/>
      <c r="J838" s="32"/>
      <c r="K838" s="32"/>
      <c r="L838" s="32"/>
      <c r="M838" s="32"/>
      <c r="N838" s="32"/>
      <c r="O838" s="32"/>
      <c r="P838" s="32"/>
      <c r="Q838" s="32"/>
    </row>
    <row r="839" spans="9:17" x14ac:dyDescent="0.4">
      <c r="I839" s="46"/>
      <c r="J839" s="32"/>
      <c r="K839" s="32"/>
      <c r="L839" s="32"/>
      <c r="M839" s="32"/>
      <c r="N839" s="32"/>
      <c r="O839" s="32"/>
      <c r="P839" s="32"/>
      <c r="Q839" s="32"/>
    </row>
    <row r="840" spans="9:17" x14ac:dyDescent="0.4">
      <c r="I840" s="46"/>
      <c r="J840" s="32"/>
      <c r="K840" s="32"/>
      <c r="L840" s="32"/>
      <c r="M840" s="32"/>
      <c r="N840" s="32"/>
      <c r="O840" s="32"/>
      <c r="P840" s="32"/>
      <c r="Q840" s="32"/>
    </row>
    <row r="841" spans="9:17" x14ac:dyDescent="0.4">
      <c r="I841" s="46"/>
      <c r="J841" s="32"/>
      <c r="K841" s="32"/>
      <c r="L841" s="32"/>
      <c r="M841" s="32"/>
      <c r="N841" s="32"/>
      <c r="O841" s="32"/>
      <c r="P841" s="32"/>
      <c r="Q841" s="32"/>
    </row>
    <row r="842" spans="9:17" x14ac:dyDescent="0.4">
      <c r="I842" s="46"/>
      <c r="J842" s="32"/>
      <c r="K842" s="32"/>
      <c r="L842" s="32"/>
      <c r="M842" s="32"/>
      <c r="N842" s="32"/>
      <c r="O842" s="32"/>
      <c r="P842" s="32"/>
      <c r="Q842" s="32"/>
    </row>
    <row r="843" spans="9:17" x14ac:dyDescent="0.4">
      <c r="I843" s="46"/>
      <c r="J843" s="32"/>
      <c r="K843" s="32"/>
      <c r="L843" s="32"/>
      <c r="M843" s="32"/>
      <c r="N843" s="32"/>
      <c r="O843" s="32"/>
      <c r="P843" s="32"/>
      <c r="Q843" s="32"/>
    </row>
    <row r="844" spans="9:17" x14ac:dyDescent="0.4">
      <c r="I844" s="46"/>
      <c r="J844" s="32"/>
      <c r="K844" s="32"/>
      <c r="L844" s="32"/>
      <c r="M844" s="32"/>
      <c r="N844" s="32"/>
      <c r="O844" s="32"/>
      <c r="P844" s="32"/>
      <c r="Q844" s="32"/>
    </row>
    <row r="845" spans="9:17" x14ac:dyDescent="0.4">
      <c r="I845" s="46"/>
      <c r="J845" s="32"/>
      <c r="K845" s="32"/>
      <c r="L845" s="32"/>
      <c r="M845" s="32"/>
      <c r="N845" s="32"/>
      <c r="O845" s="32"/>
      <c r="P845" s="32"/>
      <c r="Q845" s="32"/>
    </row>
    <row r="846" spans="9:17" x14ac:dyDescent="0.4">
      <c r="I846" s="46"/>
      <c r="J846" s="32"/>
      <c r="K846" s="32"/>
      <c r="L846" s="32"/>
      <c r="M846" s="32"/>
      <c r="N846" s="32"/>
      <c r="O846" s="32"/>
      <c r="P846" s="32"/>
      <c r="Q846" s="32"/>
    </row>
    <row r="847" spans="9:17" x14ac:dyDescent="0.4">
      <c r="I847" s="46"/>
      <c r="J847" s="32"/>
      <c r="K847" s="32"/>
      <c r="L847" s="32"/>
      <c r="M847" s="32"/>
      <c r="N847" s="32"/>
      <c r="O847" s="32"/>
      <c r="P847" s="32"/>
      <c r="Q847" s="32"/>
    </row>
    <row r="848" spans="9:17" x14ac:dyDescent="0.4">
      <c r="I848" s="46"/>
      <c r="J848" s="32"/>
      <c r="K848" s="32"/>
      <c r="L848" s="32"/>
      <c r="M848" s="32"/>
      <c r="N848" s="32"/>
      <c r="O848" s="32"/>
      <c r="P848" s="32"/>
      <c r="Q848" s="32"/>
    </row>
    <row r="849" spans="9:17" x14ac:dyDescent="0.4">
      <c r="I849" s="46"/>
      <c r="J849" s="32"/>
      <c r="K849" s="32"/>
      <c r="L849" s="32"/>
      <c r="M849" s="32"/>
      <c r="N849" s="32"/>
      <c r="O849" s="32"/>
      <c r="P849" s="32"/>
      <c r="Q849" s="32"/>
    </row>
    <row r="850" spans="9:17" x14ac:dyDescent="0.4">
      <c r="I850" s="46"/>
      <c r="J850" s="32"/>
      <c r="K850" s="32"/>
      <c r="L850" s="32"/>
      <c r="M850" s="32"/>
      <c r="N850" s="32"/>
      <c r="O850" s="32"/>
      <c r="P850" s="32"/>
      <c r="Q850" s="32"/>
    </row>
    <row r="851" spans="9:17" x14ac:dyDescent="0.4">
      <c r="I851" s="46"/>
      <c r="J851" s="32"/>
      <c r="K851" s="32"/>
      <c r="L851" s="32"/>
      <c r="M851" s="32"/>
      <c r="N851" s="32"/>
      <c r="O851" s="32"/>
      <c r="P851" s="32"/>
      <c r="Q851" s="32"/>
    </row>
    <row r="852" spans="9:17" x14ac:dyDescent="0.4">
      <c r="I852" s="46"/>
      <c r="J852" s="32"/>
      <c r="K852" s="32"/>
      <c r="L852" s="32"/>
      <c r="M852" s="32"/>
      <c r="N852" s="32"/>
      <c r="O852" s="32"/>
      <c r="P852" s="32"/>
      <c r="Q852" s="32"/>
    </row>
    <row r="853" spans="9:17" x14ac:dyDescent="0.4">
      <c r="I853" s="46"/>
      <c r="J853" s="32"/>
      <c r="K853" s="32"/>
      <c r="L853" s="32"/>
      <c r="M853" s="32"/>
      <c r="N853" s="32"/>
      <c r="O853" s="32"/>
      <c r="P853" s="32"/>
      <c r="Q853" s="32"/>
    </row>
    <row r="854" spans="9:17" x14ac:dyDescent="0.4">
      <c r="I854" s="46"/>
      <c r="J854" s="32"/>
      <c r="K854" s="32"/>
      <c r="L854" s="32"/>
      <c r="M854" s="32"/>
      <c r="N854" s="32"/>
      <c r="O854" s="32"/>
      <c r="P854" s="32"/>
      <c r="Q854" s="32"/>
    </row>
    <row r="855" spans="9:17" x14ac:dyDescent="0.4">
      <c r="I855" s="46"/>
      <c r="J855" s="32"/>
      <c r="K855" s="32"/>
      <c r="L855" s="32"/>
      <c r="M855" s="32"/>
      <c r="N855" s="32"/>
      <c r="O855" s="32"/>
      <c r="P855" s="32"/>
      <c r="Q855" s="32"/>
    </row>
    <row r="856" spans="9:17" x14ac:dyDescent="0.4">
      <c r="I856" s="46"/>
      <c r="J856" s="32"/>
      <c r="K856" s="32"/>
      <c r="L856" s="32"/>
      <c r="M856" s="32"/>
      <c r="N856" s="32"/>
      <c r="O856" s="32"/>
      <c r="P856" s="32"/>
      <c r="Q856" s="32"/>
    </row>
    <row r="857" spans="9:17" x14ac:dyDescent="0.4">
      <c r="I857" s="46"/>
      <c r="J857" s="32"/>
      <c r="K857" s="32"/>
      <c r="L857" s="32"/>
      <c r="M857" s="32"/>
      <c r="N857" s="32"/>
      <c r="O857" s="32"/>
      <c r="P857" s="32"/>
      <c r="Q857" s="32"/>
    </row>
    <row r="858" spans="9:17" x14ac:dyDescent="0.4">
      <c r="I858" s="46"/>
      <c r="J858" s="32"/>
      <c r="K858" s="32"/>
      <c r="L858" s="32"/>
      <c r="M858" s="32"/>
      <c r="N858" s="32"/>
      <c r="O858" s="32"/>
      <c r="P858" s="32"/>
      <c r="Q858" s="32"/>
    </row>
    <row r="859" spans="9:17" x14ac:dyDescent="0.4">
      <c r="I859" s="46"/>
      <c r="J859" s="32"/>
      <c r="K859" s="32"/>
      <c r="L859" s="32"/>
      <c r="M859" s="32"/>
      <c r="N859" s="32"/>
      <c r="O859" s="32"/>
      <c r="P859" s="32"/>
      <c r="Q859" s="32"/>
    </row>
    <row r="860" spans="9:17" x14ac:dyDescent="0.4">
      <c r="I860" s="46"/>
      <c r="J860" s="32"/>
      <c r="K860" s="32"/>
      <c r="L860" s="32"/>
      <c r="M860" s="32"/>
      <c r="N860" s="32"/>
      <c r="O860" s="32"/>
      <c r="P860" s="32"/>
      <c r="Q860" s="32"/>
    </row>
    <row r="861" spans="9:17" x14ac:dyDescent="0.4">
      <c r="I861" s="46"/>
      <c r="J861" s="32"/>
      <c r="K861" s="32"/>
      <c r="L861" s="32"/>
      <c r="M861" s="32"/>
      <c r="N861" s="32"/>
      <c r="O861" s="32"/>
      <c r="P861" s="32"/>
      <c r="Q861" s="32"/>
    </row>
    <row r="862" spans="9:17" x14ac:dyDescent="0.4">
      <c r="I862" s="46"/>
      <c r="J862" s="32"/>
      <c r="K862" s="32"/>
      <c r="L862" s="32"/>
      <c r="M862" s="32"/>
      <c r="N862" s="32"/>
      <c r="O862" s="32"/>
      <c r="P862" s="32"/>
      <c r="Q862" s="32"/>
    </row>
    <row r="863" spans="9:17" x14ac:dyDescent="0.4">
      <c r="I863" s="46"/>
      <c r="J863" s="32"/>
      <c r="K863" s="32"/>
      <c r="L863" s="32"/>
      <c r="M863" s="32"/>
      <c r="N863" s="32"/>
      <c r="O863" s="32"/>
      <c r="P863" s="32"/>
      <c r="Q863" s="32"/>
    </row>
    <row r="864" spans="9:17" x14ac:dyDescent="0.4">
      <c r="I864" s="46"/>
      <c r="J864" s="32"/>
      <c r="K864" s="32"/>
      <c r="L864" s="32"/>
      <c r="M864" s="32"/>
      <c r="N864" s="32"/>
      <c r="O864" s="32"/>
      <c r="P864" s="32"/>
      <c r="Q864" s="32"/>
    </row>
    <row r="865" spans="9:17" x14ac:dyDescent="0.4">
      <c r="I865" s="46"/>
      <c r="J865" s="32"/>
      <c r="K865" s="32"/>
      <c r="L865" s="32"/>
      <c r="M865" s="32"/>
      <c r="N865" s="32"/>
      <c r="O865" s="32"/>
      <c r="P865" s="32"/>
      <c r="Q865" s="32"/>
    </row>
    <row r="866" spans="9:17" x14ac:dyDescent="0.4">
      <c r="I866" s="46"/>
      <c r="J866" s="32"/>
      <c r="K866" s="32"/>
      <c r="L866" s="32"/>
      <c r="M866" s="32"/>
      <c r="N866" s="32"/>
      <c r="O866" s="32"/>
      <c r="P866" s="32"/>
      <c r="Q866" s="32"/>
    </row>
    <row r="867" spans="9:17" x14ac:dyDescent="0.4">
      <c r="I867" s="46"/>
      <c r="J867" s="32"/>
      <c r="K867" s="32"/>
      <c r="L867" s="32"/>
      <c r="M867" s="32"/>
      <c r="N867" s="32"/>
      <c r="O867" s="32"/>
      <c r="P867" s="32"/>
      <c r="Q867" s="32"/>
    </row>
    <row r="868" spans="9:17" x14ac:dyDescent="0.4">
      <c r="I868" s="46"/>
      <c r="J868" s="32"/>
      <c r="K868" s="32"/>
      <c r="L868" s="32"/>
      <c r="M868" s="32"/>
      <c r="N868" s="32"/>
      <c r="O868" s="32"/>
      <c r="P868" s="32"/>
      <c r="Q868" s="32"/>
    </row>
    <row r="869" spans="9:17" x14ac:dyDescent="0.4">
      <c r="I869" s="46"/>
      <c r="J869" s="32"/>
      <c r="K869" s="32"/>
      <c r="L869" s="32"/>
      <c r="M869" s="32"/>
      <c r="N869" s="32"/>
      <c r="O869" s="32"/>
      <c r="P869" s="32"/>
      <c r="Q869" s="32"/>
    </row>
    <row r="870" spans="9:17" x14ac:dyDescent="0.4">
      <c r="I870" s="46"/>
      <c r="J870" s="32"/>
      <c r="K870" s="32"/>
      <c r="L870" s="32"/>
      <c r="M870" s="32"/>
      <c r="N870" s="32"/>
      <c r="O870" s="32"/>
      <c r="P870" s="32"/>
      <c r="Q870" s="32"/>
    </row>
    <row r="871" spans="9:17" x14ac:dyDescent="0.4">
      <c r="I871" s="46"/>
      <c r="J871" s="32"/>
      <c r="K871" s="32"/>
      <c r="L871" s="32"/>
      <c r="M871" s="32"/>
      <c r="N871" s="32"/>
      <c r="O871" s="32"/>
      <c r="P871" s="32"/>
      <c r="Q871" s="32"/>
    </row>
    <row r="872" spans="9:17" x14ac:dyDescent="0.4">
      <c r="I872" s="46"/>
      <c r="J872" s="32"/>
      <c r="K872" s="32"/>
      <c r="L872" s="32"/>
      <c r="M872" s="32"/>
      <c r="N872" s="32"/>
      <c r="O872" s="32"/>
      <c r="P872" s="32"/>
      <c r="Q872" s="32"/>
    </row>
    <row r="873" spans="9:17" x14ac:dyDescent="0.4">
      <c r="I873" s="46"/>
      <c r="J873" s="32"/>
      <c r="K873" s="32"/>
      <c r="L873" s="32"/>
      <c r="M873" s="32"/>
      <c r="N873" s="32"/>
      <c r="O873" s="32"/>
      <c r="P873" s="32"/>
      <c r="Q873" s="32"/>
    </row>
    <row r="874" spans="9:17" x14ac:dyDescent="0.4">
      <c r="I874" s="46"/>
      <c r="J874" s="32"/>
      <c r="K874" s="32"/>
      <c r="L874" s="32"/>
      <c r="M874" s="32"/>
      <c r="N874" s="32"/>
      <c r="O874" s="32"/>
      <c r="P874" s="32"/>
      <c r="Q874" s="32"/>
    </row>
    <row r="875" spans="9:17" x14ac:dyDescent="0.4">
      <c r="I875" s="46"/>
      <c r="J875" s="32"/>
      <c r="K875" s="32"/>
      <c r="L875" s="32"/>
      <c r="M875" s="32"/>
      <c r="N875" s="32"/>
      <c r="O875" s="32"/>
      <c r="P875" s="32"/>
      <c r="Q875" s="32"/>
    </row>
    <row r="876" spans="9:17" x14ac:dyDescent="0.4">
      <c r="I876" s="46"/>
      <c r="J876" s="32"/>
      <c r="K876" s="32"/>
      <c r="L876" s="32"/>
      <c r="M876" s="32"/>
      <c r="N876" s="32"/>
      <c r="O876" s="32"/>
      <c r="P876" s="32"/>
      <c r="Q876" s="32"/>
    </row>
    <row r="877" spans="9:17" x14ac:dyDescent="0.4">
      <c r="I877" s="46"/>
      <c r="J877" s="32"/>
      <c r="K877" s="32"/>
      <c r="L877" s="32"/>
      <c r="M877" s="32"/>
      <c r="N877" s="32"/>
      <c r="O877" s="32"/>
      <c r="P877" s="32"/>
      <c r="Q877" s="32"/>
    </row>
    <row r="878" spans="9:17" x14ac:dyDescent="0.4">
      <c r="I878" s="46"/>
      <c r="J878" s="32"/>
      <c r="K878" s="32"/>
      <c r="L878" s="32"/>
      <c r="M878" s="32"/>
      <c r="N878" s="32"/>
      <c r="O878" s="32"/>
      <c r="P878" s="32"/>
      <c r="Q878" s="32"/>
    </row>
    <row r="879" spans="9:17" x14ac:dyDescent="0.4">
      <c r="I879" s="46"/>
      <c r="J879" s="32"/>
      <c r="K879" s="32"/>
      <c r="L879" s="32"/>
      <c r="M879" s="32"/>
      <c r="N879" s="32"/>
      <c r="O879" s="32"/>
      <c r="P879" s="32"/>
      <c r="Q879" s="32"/>
    </row>
    <row r="880" spans="9:17" x14ac:dyDescent="0.4">
      <c r="I880" s="46"/>
      <c r="J880" s="32"/>
      <c r="K880" s="32"/>
      <c r="L880" s="32"/>
      <c r="M880" s="32"/>
      <c r="N880" s="32"/>
      <c r="O880" s="32"/>
      <c r="P880" s="32"/>
      <c r="Q880" s="32"/>
    </row>
    <row r="881" spans="9:17" x14ac:dyDescent="0.4">
      <c r="I881" s="46"/>
      <c r="J881" s="32"/>
      <c r="K881" s="32"/>
      <c r="L881" s="32"/>
      <c r="M881" s="32"/>
      <c r="N881" s="32"/>
      <c r="O881" s="32"/>
      <c r="P881" s="32"/>
      <c r="Q881" s="32"/>
    </row>
    <row r="882" spans="9:17" x14ac:dyDescent="0.4">
      <c r="I882" s="46"/>
      <c r="J882" s="32"/>
      <c r="K882" s="32"/>
      <c r="L882" s="32"/>
      <c r="M882" s="32"/>
      <c r="N882" s="32"/>
      <c r="O882" s="32"/>
      <c r="P882" s="32"/>
      <c r="Q882" s="32"/>
    </row>
    <row r="883" spans="9:17" x14ac:dyDescent="0.4">
      <c r="I883" s="46"/>
      <c r="J883" s="32"/>
      <c r="K883" s="32"/>
      <c r="L883" s="32"/>
      <c r="M883" s="32"/>
      <c r="N883" s="32"/>
      <c r="O883" s="32"/>
      <c r="P883" s="32"/>
      <c r="Q883" s="32"/>
    </row>
    <row r="884" spans="9:17" x14ac:dyDescent="0.4">
      <c r="I884" s="46"/>
      <c r="J884" s="32"/>
      <c r="K884" s="32"/>
      <c r="L884" s="32"/>
      <c r="M884" s="32"/>
      <c r="N884" s="32"/>
      <c r="O884" s="32"/>
      <c r="P884" s="32"/>
      <c r="Q884" s="32"/>
    </row>
    <row r="885" spans="9:17" x14ac:dyDescent="0.4">
      <c r="I885" s="46"/>
      <c r="J885" s="32"/>
      <c r="K885" s="32"/>
      <c r="L885" s="32"/>
      <c r="M885" s="32"/>
      <c r="N885" s="32"/>
      <c r="O885" s="32"/>
      <c r="P885" s="32"/>
      <c r="Q885" s="32"/>
    </row>
    <row r="886" spans="9:17" x14ac:dyDescent="0.4">
      <c r="I886" s="46"/>
      <c r="J886" s="32"/>
      <c r="K886" s="32"/>
      <c r="L886" s="32"/>
      <c r="M886" s="32"/>
      <c r="N886" s="32"/>
      <c r="O886" s="32"/>
      <c r="P886" s="32"/>
      <c r="Q886" s="32"/>
    </row>
    <row r="887" spans="9:17" x14ac:dyDescent="0.4">
      <c r="I887" s="46"/>
      <c r="J887" s="32"/>
      <c r="K887" s="32"/>
      <c r="L887" s="32"/>
      <c r="M887" s="32"/>
      <c r="N887" s="32"/>
      <c r="O887" s="32"/>
      <c r="P887" s="32"/>
      <c r="Q887" s="32"/>
    </row>
    <row r="888" spans="9:17" x14ac:dyDescent="0.4">
      <c r="I888" s="46"/>
      <c r="J888" s="32"/>
      <c r="K888" s="32"/>
      <c r="L888" s="32"/>
      <c r="M888" s="32"/>
      <c r="N888" s="32"/>
      <c r="O888" s="32"/>
      <c r="P888" s="32"/>
      <c r="Q888" s="32"/>
    </row>
    <row r="889" spans="9:17" x14ac:dyDescent="0.4">
      <c r="I889" s="46"/>
      <c r="J889" s="32"/>
      <c r="K889" s="32"/>
      <c r="L889" s="32"/>
      <c r="M889" s="32"/>
      <c r="N889" s="32"/>
      <c r="O889" s="32"/>
      <c r="P889" s="32"/>
      <c r="Q889" s="32"/>
    </row>
    <row r="890" spans="9:17" x14ac:dyDescent="0.4">
      <c r="I890" s="46"/>
      <c r="J890" s="32"/>
      <c r="K890" s="32"/>
      <c r="L890" s="32"/>
      <c r="M890" s="32"/>
      <c r="N890" s="32"/>
      <c r="O890" s="32"/>
      <c r="P890" s="32"/>
      <c r="Q890" s="32"/>
    </row>
    <row r="891" spans="9:17" x14ac:dyDescent="0.4">
      <c r="I891" s="46"/>
      <c r="J891" s="32"/>
      <c r="K891" s="32"/>
      <c r="L891" s="32"/>
      <c r="M891" s="32"/>
      <c r="N891" s="32"/>
      <c r="O891" s="32"/>
      <c r="P891" s="32"/>
      <c r="Q891" s="32"/>
    </row>
    <row r="892" spans="9:17" x14ac:dyDescent="0.4">
      <c r="I892" s="46"/>
      <c r="J892" s="32"/>
      <c r="K892" s="32"/>
      <c r="L892" s="32"/>
      <c r="M892" s="32"/>
      <c r="N892" s="32"/>
      <c r="O892" s="32"/>
      <c r="P892" s="32"/>
      <c r="Q892" s="32"/>
    </row>
    <row r="893" spans="9:17" x14ac:dyDescent="0.4">
      <c r="I893" s="46"/>
      <c r="J893" s="32"/>
      <c r="K893" s="32"/>
      <c r="L893" s="32"/>
      <c r="M893" s="32"/>
      <c r="N893" s="32"/>
      <c r="O893" s="32"/>
      <c r="P893" s="32"/>
      <c r="Q893" s="32"/>
    </row>
    <row r="894" spans="9:17" x14ac:dyDescent="0.4">
      <c r="I894" s="46"/>
      <c r="J894" s="32"/>
      <c r="K894" s="32"/>
      <c r="L894" s="32"/>
      <c r="M894" s="32"/>
      <c r="N894" s="32"/>
      <c r="O894" s="32"/>
      <c r="P894" s="32"/>
      <c r="Q894" s="32"/>
    </row>
    <row r="895" spans="9:17" x14ac:dyDescent="0.4">
      <c r="I895" s="46"/>
      <c r="J895" s="32"/>
      <c r="K895" s="32"/>
      <c r="L895" s="32"/>
      <c r="M895" s="32"/>
      <c r="N895" s="32"/>
      <c r="O895" s="32"/>
      <c r="P895" s="32"/>
      <c r="Q895" s="32"/>
    </row>
    <row r="896" spans="9:17" x14ac:dyDescent="0.4">
      <c r="I896" s="46"/>
      <c r="J896" s="32"/>
      <c r="K896" s="32"/>
      <c r="L896" s="32"/>
      <c r="M896" s="32"/>
      <c r="N896" s="32"/>
      <c r="O896" s="32"/>
      <c r="P896" s="32"/>
      <c r="Q896" s="32"/>
    </row>
    <row r="897" spans="9:17" x14ac:dyDescent="0.4">
      <c r="I897" s="46"/>
      <c r="J897" s="32"/>
      <c r="K897" s="32"/>
      <c r="L897" s="32"/>
      <c r="M897" s="32"/>
      <c r="N897" s="32"/>
      <c r="O897" s="32"/>
      <c r="P897" s="32"/>
      <c r="Q897" s="32"/>
    </row>
    <row r="898" spans="9:17" x14ac:dyDescent="0.4">
      <c r="I898" s="46"/>
      <c r="J898" s="32"/>
      <c r="K898" s="32"/>
      <c r="L898" s="32"/>
      <c r="M898" s="32"/>
      <c r="N898" s="32"/>
      <c r="O898" s="32"/>
      <c r="P898" s="32"/>
      <c r="Q898" s="32"/>
    </row>
    <row r="899" spans="9:17" x14ac:dyDescent="0.4">
      <c r="I899" s="46"/>
      <c r="J899" s="32"/>
      <c r="K899" s="32"/>
      <c r="L899" s="32"/>
      <c r="M899" s="32"/>
      <c r="N899" s="32"/>
      <c r="O899" s="32"/>
      <c r="P899" s="32"/>
      <c r="Q899" s="32"/>
    </row>
    <row r="900" spans="9:17" x14ac:dyDescent="0.4">
      <c r="I900" s="46"/>
      <c r="J900" s="32"/>
      <c r="K900" s="32"/>
      <c r="L900" s="32"/>
      <c r="M900" s="32"/>
      <c r="N900" s="32"/>
      <c r="O900" s="32"/>
      <c r="P900" s="32"/>
      <c r="Q900" s="32"/>
    </row>
    <row r="901" spans="9:17" x14ac:dyDescent="0.4">
      <c r="I901" s="46"/>
      <c r="J901" s="32"/>
      <c r="K901" s="32"/>
      <c r="L901" s="32"/>
      <c r="M901" s="32"/>
      <c r="N901" s="32"/>
      <c r="O901" s="32"/>
      <c r="P901" s="32"/>
      <c r="Q901" s="32"/>
    </row>
    <row r="902" spans="9:17" x14ac:dyDescent="0.4">
      <c r="I902" s="46"/>
      <c r="J902" s="32"/>
      <c r="K902" s="32"/>
      <c r="L902" s="32"/>
      <c r="M902" s="32"/>
      <c r="N902" s="32"/>
      <c r="O902" s="32"/>
      <c r="P902" s="32"/>
      <c r="Q902" s="32"/>
    </row>
    <row r="903" spans="9:17" x14ac:dyDescent="0.4">
      <c r="I903" s="46"/>
      <c r="J903" s="32"/>
      <c r="K903" s="32"/>
      <c r="L903" s="32"/>
      <c r="M903" s="32"/>
      <c r="N903" s="32"/>
      <c r="O903" s="32"/>
      <c r="P903" s="32"/>
      <c r="Q903" s="32"/>
    </row>
    <row r="904" spans="9:17" x14ac:dyDescent="0.4">
      <c r="I904" s="46"/>
      <c r="J904" s="32"/>
      <c r="K904" s="32"/>
      <c r="L904" s="32"/>
      <c r="M904" s="32"/>
      <c r="N904" s="32"/>
      <c r="O904" s="32"/>
      <c r="P904" s="32"/>
      <c r="Q904" s="32"/>
    </row>
    <row r="905" spans="9:17" x14ac:dyDescent="0.4">
      <c r="I905" s="46"/>
      <c r="J905" s="32"/>
      <c r="K905" s="32"/>
      <c r="L905" s="32"/>
      <c r="M905" s="32"/>
      <c r="N905" s="32"/>
      <c r="O905" s="32"/>
      <c r="P905" s="32"/>
      <c r="Q905" s="32"/>
    </row>
    <row r="906" spans="9:17" x14ac:dyDescent="0.4">
      <c r="I906" s="46"/>
      <c r="J906" s="32"/>
      <c r="K906" s="32"/>
      <c r="L906" s="32"/>
      <c r="M906" s="32"/>
      <c r="N906" s="32"/>
      <c r="O906" s="32"/>
      <c r="P906" s="32"/>
      <c r="Q906" s="32"/>
    </row>
    <row r="907" spans="9:17" x14ac:dyDescent="0.4">
      <c r="I907" s="46"/>
      <c r="J907" s="32"/>
      <c r="K907" s="32"/>
      <c r="L907" s="32"/>
      <c r="M907" s="32"/>
      <c r="N907" s="32"/>
      <c r="O907" s="32"/>
      <c r="P907" s="32"/>
      <c r="Q907" s="32"/>
    </row>
    <row r="908" spans="9:17" x14ac:dyDescent="0.4">
      <c r="I908" s="46"/>
      <c r="J908" s="32"/>
      <c r="K908" s="32"/>
      <c r="L908" s="32"/>
      <c r="M908" s="32"/>
      <c r="N908" s="32"/>
      <c r="O908" s="32"/>
      <c r="P908" s="32"/>
      <c r="Q908" s="32"/>
    </row>
    <row r="909" spans="9:17" x14ac:dyDescent="0.4">
      <c r="I909" s="46"/>
      <c r="J909" s="32"/>
      <c r="K909" s="32"/>
      <c r="L909" s="32"/>
      <c r="M909" s="32"/>
      <c r="N909" s="32"/>
      <c r="O909" s="32"/>
      <c r="P909" s="32"/>
      <c r="Q909" s="32"/>
    </row>
    <row r="910" spans="9:17" x14ac:dyDescent="0.4">
      <c r="I910" s="46"/>
      <c r="J910" s="32"/>
      <c r="K910" s="32"/>
      <c r="L910" s="32"/>
      <c r="M910" s="32"/>
      <c r="N910" s="32"/>
      <c r="O910" s="32"/>
      <c r="P910" s="32"/>
      <c r="Q910" s="32"/>
    </row>
    <row r="911" spans="9:17" x14ac:dyDescent="0.4">
      <c r="I911" s="46"/>
      <c r="J911" s="32"/>
      <c r="K911" s="32"/>
      <c r="L911" s="32"/>
      <c r="M911" s="32"/>
      <c r="N911" s="32"/>
      <c r="O911" s="32"/>
      <c r="P911" s="32"/>
      <c r="Q911" s="32"/>
    </row>
    <row r="912" spans="9:17" x14ac:dyDescent="0.4">
      <c r="I912" s="46"/>
      <c r="J912" s="32"/>
      <c r="K912" s="32"/>
      <c r="L912" s="32"/>
      <c r="M912" s="32"/>
      <c r="N912" s="32"/>
      <c r="O912" s="32"/>
      <c r="P912" s="32"/>
      <c r="Q912" s="32"/>
    </row>
    <row r="913" spans="9:17" x14ac:dyDescent="0.4">
      <c r="I913" s="46"/>
      <c r="J913" s="32"/>
      <c r="K913" s="32"/>
      <c r="L913" s="32"/>
      <c r="M913" s="32"/>
      <c r="N913" s="32"/>
      <c r="O913" s="32"/>
      <c r="P913" s="32"/>
      <c r="Q913" s="32"/>
    </row>
    <row r="914" spans="9:17" x14ac:dyDescent="0.4">
      <c r="I914" s="46"/>
      <c r="J914" s="32"/>
      <c r="K914" s="32"/>
      <c r="L914" s="32"/>
      <c r="M914" s="32"/>
      <c r="N914" s="32"/>
      <c r="O914" s="32"/>
      <c r="P914" s="32"/>
      <c r="Q914" s="32"/>
    </row>
    <row r="915" spans="9:17" x14ac:dyDescent="0.4">
      <c r="I915" s="46"/>
      <c r="J915" s="32"/>
      <c r="K915" s="32"/>
      <c r="L915" s="32"/>
      <c r="M915" s="32"/>
      <c r="N915" s="32"/>
      <c r="O915" s="32"/>
      <c r="P915" s="32"/>
      <c r="Q915" s="32"/>
    </row>
    <row r="916" spans="9:17" x14ac:dyDescent="0.4">
      <c r="I916" s="46"/>
      <c r="J916" s="32"/>
      <c r="K916" s="32"/>
      <c r="L916" s="32"/>
      <c r="M916" s="32"/>
      <c r="N916" s="32"/>
      <c r="O916" s="32"/>
      <c r="P916" s="32"/>
      <c r="Q916" s="32"/>
    </row>
    <row r="917" spans="9:17" x14ac:dyDescent="0.4">
      <c r="I917" s="46"/>
      <c r="J917" s="32"/>
      <c r="K917" s="32"/>
      <c r="L917" s="32"/>
      <c r="M917" s="32"/>
      <c r="N917" s="32"/>
      <c r="O917" s="32"/>
      <c r="P917" s="32"/>
      <c r="Q917" s="32"/>
    </row>
    <row r="918" spans="9:17" x14ac:dyDescent="0.4">
      <c r="I918" s="46"/>
      <c r="J918" s="32"/>
      <c r="K918" s="32"/>
      <c r="L918" s="32"/>
      <c r="M918" s="32"/>
      <c r="N918" s="32"/>
      <c r="O918" s="32"/>
      <c r="P918" s="32"/>
      <c r="Q918" s="32"/>
    </row>
    <row r="919" spans="9:17" x14ac:dyDescent="0.4">
      <c r="I919" s="46"/>
      <c r="J919" s="32"/>
      <c r="K919" s="32"/>
      <c r="L919" s="32"/>
      <c r="M919" s="32"/>
      <c r="N919" s="32"/>
      <c r="O919" s="32"/>
      <c r="P919" s="32"/>
      <c r="Q919" s="32"/>
    </row>
    <row r="920" spans="9:17" x14ac:dyDescent="0.4">
      <c r="I920" s="46"/>
      <c r="J920" s="32"/>
      <c r="K920" s="32"/>
      <c r="L920" s="32"/>
      <c r="M920" s="32"/>
      <c r="N920" s="32"/>
      <c r="O920" s="32"/>
      <c r="P920" s="32"/>
      <c r="Q920" s="32"/>
    </row>
    <row r="921" spans="9:17" x14ac:dyDescent="0.4">
      <c r="I921" s="46"/>
      <c r="J921" s="32"/>
      <c r="K921" s="32"/>
      <c r="L921" s="32"/>
      <c r="M921" s="32"/>
      <c r="N921" s="32"/>
      <c r="O921" s="32"/>
      <c r="P921" s="32"/>
      <c r="Q921" s="32"/>
    </row>
    <row r="922" spans="9:17" x14ac:dyDescent="0.4">
      <c r="I922" s="46"/>
      <c r="J922" s="32"/>
      <c r="K922" s="32"/>
      <c r="L922" s="32"/>
      <c r="M922" s="32"/>
      <c r="N922" s="32"/>
      <c r="O922" s="32"/>
      <c r="P922" s="32"/>
      <c r="Q922" s="32"/>
    </row>
    <row r="923" spans="9:17" x14ac:dyDescent="0.4">
      <c r="I923" s="46"/>
      <c r="J923" s="32"/>
      <c r="K923" s="32"/>
      <c r="L923" s="32"/>
      <c r="M923" s="32"/>
      <c r="N923" s="32"/>
      <c r="O923" s="32"/>
      <c r="P923" s="32"/>
      <c r="Q923" s="32"/>
    </row>
    <row r="924" spans="9:17" x14ac:dyDescent="0.4">
      <c r="I924" s="46"/>
      <c r="J924" s="32"/>
      <c r="K924" s="32"/>
      <c r="L924" s="32"/>
      <c r="M924" s="32"/>
      <c r="N924" s="32"/>
      <c r="O924" s="32"/>
      <c r="P924" s="32"/>
      <c r="Q924" s="32"/>
    </row>
    <row r="925" spans="9:17" x14ac:dyDescent="0.4">
      <c r="I925" s="46"/>
      <c r="J925" s="32"/>
      <c r="K925" s="32"/>
      <c r="L925" s="32"/>
      <c r="M925" s="32"/>
      <c r="N925" s="32"/>
      <c r="O925" s="32"/>
      <c r="P925" s="32"/>
      <c r="Q925" s="32"/>
    </row>
    <row r="926" spans="9:17" x14ac:dyDescent="0.4">
      <c r="I926" s="46"/>
      <c r="J926" s="32"/>
      <c r="K926" s="32"/>
      <c r="L926" s="32"/>
      <c r="M926" s="32"/>
      <c r="N926" s="32"/>
      <c r="O926" s="32"/>
      <c r="P926" s="32"/>
      <c r="Q926" s="32"/>
    </row>
    <row r="927" spans="9:17" x14ac:dyDescent="0.4">
      <c r="I927" s="46"/>
      <c r="J927" s="32"/>
      <c r="K927" s="32"/>
      <c r="L927" s="32"/>
      <c r="M927" s="32"/>
      <c r="N927" s="32"/>
      <c r="O927" s="32"/>
      <c r="P927" s="32"/>
      <c r="Q927" s="32"/>
    </row>
    <row r="928" spans="9:17" x14ac:dyDescent="0.4">
      <c r="I928" s="46"/>
      <c r="J928" s="32"/>
      <c r="K928" s="32"/>
      <c r="L928" s="32"/>
      <c r="M928" s="32"/>
      <c r="N928" s="32"/>
      <c r="O928" s="32"/>
      <c r="P928" s="32"/>
      <c r="Q928" s="32"/>
    </row>
    <row r="929" spans="9:17" x14ac:dyDescent="0.4">
      <c r="I929" s="46"/>
      <c r="J929" s="32"/>
      <c r="K929" s="32"/>
      <c r="L929" s="32"/>
      <c r="M929" s="32"/>
      <c r="N929" s="32"/>
      <c r="O929" s="32"/>
      <c r="P929" s="32"/>
      <c r="Q929" s="32"/>
    </row>
    <row r="930" spans="9:17" x14ac:dyDescent="0.4">
      <c r="I930" s="46"/>
      <c r="J930" s="32"/>
      <c r="K930" s="32"/>
      <c r="L930" s="32"/>
      <c r="M930" s="32"/>
      <c r="N930" s="32"/>
      <c r="O930" s="32"/>
      <c r="P930" s="32"/>
      <c r="Q930" s="32"/>
    </row>
    <row r="931" spans="9:17" x14ac:dyDescent="0.4">
      <c r="I931" s="46"/>
      <c r="J931" s="32"/>
      <c r="K931" s="32"/>
      <c r="L931" s="32"/>
      <c r="M931" s="32"/>
      <c r="N931" s="32"/>
      <c r="O931" s="32"/>
      <c r="P931" s="32"/>
      <c r="Q931" s="32"/>
    </row>
    <row r="932" spans="9:17" x14ac:dyDescent="0.4">
      <c r="I932" s="46"/>
      <c r="J932" s="32"/>
      <c r="K932" s="32"/>
      <c r="L932" s="32"/>
      <c r="M932" s="32"/>
      <c r="N932" s="32"/>
      <c r="O932" s="32"/>
      <c r="P932" s="32"/>
      <c r="Q932" s="32"/>
    </row>
    <row r="933" spans="9:17" x14ac:dyDescent="0.4">
      <c r="I933" s="46"/>
      <c r="J933" s="32"/>
      <c r="K933" s="32"/>
      <c r="L933" s="32"/>
      <c r="M933" s="32"/>
      <c r="N933" s="32"/>
      <c r="O933" s="32"/>
      <c r="P933" s="32"/>
      <c r="Q933" s="32"/>
    </row>
    <row r="934" spans="9:17" x14ac:dyDescent="0.4">
      <c r="I934" s="46"/>
      <c r="J934" s="32"/>
      <c r="K934" s="32"/>
      <c r="L934" s="32"/>
      <c r="M934" s="32"/>
      <c r="N934" s="32"/>
      <c r="O934" s="32"/>
      <c r="P934" s="32"/>
      <c r="Q934" s="32"/>
    </row>
    <row r="935" spans="9:17" x14ac:dyDescent="0.4">
      <c r="I935" s="46"/>
      <c r="J935" s="32"/>
      <c r="K935" s="32"/>
      <c r="L935" s="32"/>
      <c r="M935" s="32"/>
      <c r="N935" s="32"/>
      <c r="O935" s="32"/>
      <c r="P935" s="32"/>
      <c r="Q935" s="32"/>
    </row>
    <row r="936" spans="9:17" x14ac:dyDescent="0.4">
      <c r="I936" s="46"/>
      <c r="J936" s="32"/>
      <c r="K936" s="32"/>
      <c r="L936" s="32"/>
      <c r="M936" s="32"/>
      <c r="N936" s="32"/>
      <c r="O936" s="32"/>
      <c r="P936" s="32"/>
      <c r="Q936" s="32"/>
    </row>
    <row r="937" spans="9:17" x14ac:dyDescent="0.4">
      <c r="I937" s="46"/>
      <c r="J937" s="32"/>
      <c r="K937" s="32"/>
      <c r="L937" s="32"/>
      <c r="M937" s="32"/>
      <c r="N937" s="32"/>
      <c r="O937" s="32"/>
      <c r="P937" s="32"/>
      <c r="Q937" s="32"/>
    </row>
    <row r="938" spans="9:17" x14ac:dyDescent="0.4">
      <c r="I938" s="46"/>
      <c r="J938" s="32"/>
      <c r="K938" s="32"/>
      <c r="L938" s="32"/>
      <c r="M938" s="32"/>
      <c r="N938" s="32"/>
      <c r="O938" s="32"/>
      <c r="P938" s="32"/>
      <c r="Q938" s="32"/>
    </row>
    <row r="939" spans="9:17" x14ac:dyDescent="0.4">
      <c r="I939" s="46"/>
      <c r="J939" s="32"/>
      <c r="K939" s="32"/>
      <c r="L939" s="32"/>
      <c r="M939" s="32"/>
      <c r="N939" s="32"/>
      <c r="O939" s="32"/>
      <c r="P939" s="32"/>
      <c r="Q939" s="32"/>
    </row>
    <row r="940" spans="9:17" x14ac:dyDescent="0.4">
      <c r="I940" s="46"/>
      <c r="J940" s="32"/>
      <c r="K940" s="32"/>
      <c r="L940" s="32"/>
      <c r="M940" s="32"/>
      <c r="N940" s="32"/>
      <c r="O940" s="32"/>
      <c r="P940" s="32"/>
      <c r="Q940" s="32"/>
    </row>
    <row r="941" spans="9:17" x14ac:dyDescent="0.4">
      <c r="I941" s="46"/>
      <c r="J941" s="32"/>
      <c r="K941" s="32"/>
      <c r="L941" s="32"/>
      <c r="M941" s="32"/>
      <c r="N941" s="32"/>
      <c r="O941" s="32"/>
      <c r="P941" s="32"/>
      <c r="Q941" s="32"/>
    </row>
    <row r="942" spans="9:17" x14ac:dyDescent="0.4">
      <c r="I942" s="46"/>
      <c r="J942" s="32"/>
      <c r="K942" s="32"/>
      <c r="L942" s="32"/>
      <c r="M942" s="32"/>
      <c r="N942" s="32"/>
      <c r="O942" s="32"/>
      <c r="P942" s="32"/>
      <c r="Q942" s="32"/>
    </row>
    <row r="943" spans="9:17" x14ac:dyDescent="0.4">
      <c r="I943" s="46"/>
      <c r="J943" s="32"/>
      <c r="K943" s="32"/>
      <c r="L943" s="32"/>
      <c r="M943" s="32"/>
      <c r="N943" s="32"/>
      <c r="O943" s="32"/>
      <c r="P943" s="32"/>
      <c r="Q943" s="32"/>
    </row>
    <row r="944" spans="9:17" x14ac:dyDescent="0.4">
      <c r="I944" s="46"/>
      <c r="J944" s="32"/>
      <c r="K944" s="32"/>
      <c r="L944" s="32"/>
      <c r="M944" s="32"/>
      <c r="N944" s="32"/>
      <c r="O944" s="32"/>
      <c r="P944" s="32"/>
      <c r="Q944" s="32"/>
    </row>
    <row r="945" spans="9:17" x14ac:dyDescent="0.4">
      <c r="I945" s="46"/>
      <c r="J945" s="32"/>
      <c r="K945" s="32"/>
      <c r="L945" s="32"/>
      <c r="M945" s="32"/>
      <c r="N945" s="32"/>
      <c r="O945" s="32"/>
      <c r="P945" s="32"/>
      <c r="Q945" s="32"/>
    </row>
    <row r="946" spans="9:17" x14ac:dyDescent="0.4">
      <c r="I946" s="46"/>
      <c r="J946" s="32"/>
      <c r="K946" s="32"/>
      <c r="L946" s="32"/>
      <c r="M946" s="32"/>
      <c r="N946" s="32"/>
      <c r="O946" s="32"/>
      <c r="P946" s="32"/>
      <c r="Q946" s="32"/>
    </row>
    <row r="947" spans="9:17" x14ac:dyDescent="0.4">
      <c r="I947" s="46"/>
      <c r="J947" s="32"/>
      <c r="K947" s="32"/>
      <c r="L947" s="32"/>
      <c r="M947" s="32"/>
      <c r="N947" s="32"/>
      <c r="O947" s="32"/>
      <c r="P947" s="32"/>
      <c r="Q947" s="32"/>
    </row>
    <row r="948" spans="9:17" x14ac:dyDescent="0.4">
      <c r="I948" s="46"/>
      <c r="J948" s="32"/>
      <c r="K948" s="32"/>
      <c r="L948" s="32"/>
      <c r="M948" s="32"/>
      <c r="N948" s="32"/>
      <c r="O948" s="32"/>
      <c r="P948" s="32"/>
      <c r="Q948" s="32"/>
    </row>
    <row r="949" spans="9:17" x14ac:dyDescent="0.4">
      <c r="I949" s="46"/>
      <c r="J949" s="32"/>
      <c r="K949" s="32"/>
      <c r="L949" s="32"/>
      <c r="M949" s="32"/>
      <c r="N949" s="32"/>
      <c r="O949" s="32"/>
      <c r="P949" s="32"/>
      <c r="Q949" s="32"/>
    </row>
    <row r="950" spans="9:17" x14ac:dyDescent="0.4">
      <c r="I950" s="46"/>
      <c r="J950" s="32"/>
      <c r="K950" s="32"/>
      <c r="L950" s="32"/>
      <c r="M950" s="32"/>
      <c r="N950" s="32"/>
      <c r="O950" s="32"/>
      <c r="P950" s="32"/>
      <c r="Q950" s="32"/>
    </row>
    <row r="951" spans="9:17" x14ac:dyDescent="0.4">
      <c r="I951" s="46"/>
      <c r="J951" s="32"/>
      <c r="K951" s="32"/>
      <c r="L951" s="32"/>
      <c r="M951" s="32"/>
      <c r="N951" s="32"/>
      <c r="O951" s="32"/>
      <c r="P951" s="32"/>
      <c r="Q951" s="32"/>
    </row>
    <row r="952" spans="9:17" x14ac:dyDescent="0.4">
      <c r="I952" s="46"/>
      <c r="J952" s="32"/>
      <c r="K952" s="32"/>
      <c r="L952" s="32"/>
      <c r="M952" s="32"/>
      <c r="N952" s="32"/>
      <c r="O952" s="32"/>
      <c r="P952" s="32"/>
      <c r="Q952" s="32"/>
    </row>
    <row r="953" spans="9:17" x14ac:dyDescent="0.4">
      <c r="I953" s="46"/>
      <c r="J953" s="32"/>
      <c r="K953" s="32"/>
      <c r="L953" s="32"/>
      <c r="M953" s="32"/>
      <c r="N953" s="32"/>
      <c r="O953" s="32"/>
      <c r="P953" s="32"/>
      <c r="Q953" s="32"/>
    </row>
    <row r="954" spans="9:17" x14ac:dyDescent="0.4">
      <c r="I954" s="46"/>
      <c r="J954" s="32"/>
      <c r="K954" s="32"/>
      <c r="L954" s="32"/>
      <c r="M954" s="32"/>
      <c r="N954" s="32"/>
      <c r="O954" s="32"/>
      <c r="P954" s="32"/>
      <c r="Q954" s="32"/>
    </row>
    <row r="955" spans="9:17" x14ac:dyDescent="0.4">
      <c r="I955" s="46"/>
      <c r="J955" s="32"/>
      <c r="K955" s="32"/>
      <c r="L955" s="32"/>
      <c r="M955" s="32"/>
      <c r="N955" s="32"/>
      <c r="O955" s="32"/>
      <c r="P955" s="32"/>
      <c r="Q955" s="32"/>
    </row>
    <row r="956" spans="9:17" x14ac:dyDescent="0.4">
      <c r="I956" s="46"/>
      <c r="J956" s="32"/>
      <c r="K956" s="32"/>
      <c r="L956" s="32"/>
      <c r="M956" s="32"/>
      <c r="N956" s="32"/>
      <c r="O956" s="32"/>
      <c r="P956" s="32"/>
      <c r="Q956" s="32"/>
    </row>
    <row r="957" spans="9:17" x14ac:dyDescent="0.4">
      <c r="I957" s="46"/>
      <c r="J957" s="32"/>
      <c r="K957" s="32"/>
      <c r="L957" s="32"/>
      <c r="M957" s="32"/>
      <c r="N957" s="32"/>
      <c r="O957" s="32"/>
      <c r="P957" s="32"/>
      <c r="Q957" s="32"/>
    </row>
    <row r="958" spans="9:17" x14ac:dyDescent="0.4">
      <c r="I958" s="46"/>
      <c r="J958" s="32"/>
      <c r="K958" s="32"/>
      <c r="L958" s="32"/>
      <c r="M958" s="32"/>
      <c r="N958" s="32"/>
      <c r="O958" s="32"/>
      <c r="P958" s="32"/>
      <c r="Q958" s="32"/>
    </row>
    <row r="959" spans="9:17" x14ac:dyDescent="0.4">
      <c r="I959" s="46"/>
      <c r="J959" s="32"/>
      <c r="K959" s="32"/>
      <c r="L959" s="32"/>
      <c r="M959" s="32"/>
      <c r="N959" s="32"/>
      <c r="O959" s="32"/>
      <c r="P959" s="32"/>
      <c r="Q959" s="32"/>
    </row>
    <row r="960" spans="9:17" x14ac:dyDescent="0.4">
      <c r="I960" s="46"/>
      <c r="J960" s="32"/>
      <c r="K960" s="32"/>
      <c r="L960" s="32"/>
      <c r="M960" s="32"/>
      <c r="N960" s="32"/>
      <c r="O960" s="32"/>
      <c r="P960" s="32"/>
      <c r="Q960" s="32"/>
    </row>
    <row r="961" spans="9:17" x14ac:dyDescent="0.4">
      <c r="I961" s="46"/>
      <c r="J961" s="32"/>
      <c r="K961" s="32"/>
      <c r="L961" s="32"/>
      <c r="M961" s="32"/>
      <c r="N961" s="32"/>
      <c r="O961" s="32"/>
      <c r="P961" s="32"/>
      <c r="Q961" s="32"/>
    </row>
    <row r="962" spans="9:17" x14ac:dyDescent="0.4">
      <c r="I962" s="46"/>
      <c r="J962" s="32"/>
      <c r="K962" s="32"/>
      <c r="L962" s="32"/>
      <c r="M962" s="32"/>
      <c r="N962" s="32"/>
      <c r="O962" s="32"/>
      <c r="P962" s="32"/>
      <c r="Q962" s="32"/>
    </row>
    <row r="963" spans="9:17" x14ac:dyDescent="0.4">
      <c r="I963" s="46"/>
      <c r="J963" s="32"/>
      <c r="K963" s="32"/>
      <c r="L963" s="32"/>
      <c r="M963" s="32"/>
      <c r="N963" s="32"/>
      <c r="O963" s="32"/>
      <c r="P963" s="32"/>
      <c r="Q963" s="32"/>
    </row>
    <row r="964" spans="9:17" x14ac:dyDescent="0.4">
      <c r="I964" s="46"/>
      <c r="J964" s="32"/>
      <c r="K964" s="32"/>
      <c r="L964" s="32"/>
      <c r="M964" s="32"/>
      <c r="N964" s="32"/>
      <c r="O964" s="32"/>
      <c r="P964" s="32"/>
      <c r="Q964" s="32"/>
    </row>
    <row r="965" spans="9:17" x14ac:dyDescent="0.4">
      <c r="I965" s="46"/>
      <c r="J965" s="32"/>
      <c r="K965" s="32"/>
      <c r="L965" s="32"/>
      <c r="M965" s="32"/>
      <c r="N965" s="32"/>
      <c r="O965" s="32"/>
      <c r="P965" s="32"/>
      <c r="Q965" s="32"/>
    </row>
    <row r="966" spans="9:17" x14ac:dyDescent="0.4">
      <c r="I966" s="46"/>
      <c r="J966" s="32"/>
      <c r="K966" s="32"/>
      <c r="L966" s="32"/>
      <c r="M966" s="32"/>
      <c r="N966" s="32"/>
      <c r="O966" s="32"/>
      <c r="P966" s="32"/>
      <c r="Q966" s="32"/>
    </row>
    <row r="967" spans="9:17" x14ac:dyDescent="0.4">
      <c r="I967" s="46"/>
      <c r="J967" s="32"/>
      <c r="K967" s="32"/>
      <c r="L967" s="32"/>
      <c r="M967" s="32"/>
      <c r="N967" s="32"/>
      <c r="O967" s="32"/>
      <c r="P967" s="32"/>
      <c r="Q967" s="32"/>
    </row>
    <row r="968" spans="9:17" x14ac:dyDescent="0.4">
      <c r="I968" s="46"/>
      <c r="J968" s="32"/>
      <c r="K968" s="32"/>
      <c r="L968" s="32"/>
      <c r="M968" s="32"/>
      <c r="N968" s="32"/>
      <c r="O968" s="32"/>
      <c r="P968" s="32"/>
      <c r="Q968" s="32"/>
    </row>
    <row r="969" spans="9:17" x14ac:dyDescent="0.4">
      <c r="I969" s="46"/>
      <c r="J969" s="32"/>
      <c r="K969" s="32"/>
      <c r="L969" s="32"/>
      <c r="M969" s="32"/>
      <c r="N969" s="32"/>
      <c r="O969" s="32"/>
      <c r="P969" s="32"/>
      <c r="Q969" s="32"/>
    </row>
    <row r="970" spans="9:17" x14ac:dyDescent="0.4">
      <c r="I970" s="46"/>
      <c r="J970" s="32"/>
      <c r="K970" s="32"/>
      <c r="L970" s="32"/>
      <c r="M970" s="32"/>
      <c r="N970" s="32"/>
      <c r="O970" s="32"/>
      <c r="P970" s="32"/>
      <c r="Q970" s="32"/>
    </row>
    <row r="971" spans="9:17" x14ac:dyDescent="0.4">
      <c r="I971" s="46"/>
      <c r="J971" s="32"/>
      <c r="K971" s="32"/>
      <c r="L971" s="32"/>
      <c r="M971" s="32"/>
      <c r="N971" s="32"/>
      <c r="O971" s="32"/>
      <c r="P971" s="32"/>
      <c r="Q971" s="32"/>
    </row>
    <row r="972" spans="9:17" x14ac:dyDescent="0.4">
      <c r="I972" s="46"/>
      <c r="J972" s="32"/>
      <c r="K972" s="32"/>
      <c r="L972" s="32"/>
      <c r="M972" s="32"/>
      <c r="N972" s="32"/>
      <c r="O972" s="32"/>
      <c r="P972" s="32"/>
      <c r="Q972" s="32"/>
    </row>
    <row r="973" spans="9:17" x14ac:dyDescent="0.4">
      <c r="I973" s="46"/>
      <c r="J973" s="32"/>
      <c r="K973" s="32"/>
      <c r="L973" s="32"/>
      <c r="M973" s="32"/>
      <c r="N973" s="32"/>
      <c r="O973" s="32"/>
      <c r="P973" s="32"/>
      <c r="Q973" s="32"/>
    </row>
    <row r="974" spans="9:17" x14ac:dyDescent="0.4">
      <c r="I974" s="46"/>
      <c r="J974" s="32"/>
      <c r="K974" s="32"/>
      <c r="L974" s="32"/>
      <c r="M974" s="32"/>
      <c r="N974" s="32"/>
      <c r="O974" s="32"/>
      <c r="P974" s="32"/>
      <c r="Q974" s="32"/>
    </row>
    <row r="975" spans="9:17" x14ac:dyDescent="0.4">
      <c r="I975" s="46"/>
      <c r="J975" s="32"/>
      <c r="K975" s="32"/>
      <c r="L975" s="32"/>
      <c r="M975" s="32"/>
      <c r="N975" s="32"/>
      <c r="O975" s="32"/>
      <c r="P975" s="32"/>
      <c r="Q975" s="32"/>
    </row>
    <row r="976" spans="9:17" x14ac:dyDescent="0.4">
      <c r="I976" s="46"/>
      <c r="J976" s="32"/>
      <c r="K976" s="32"/>
      <c r="L976" s="32"/>
      <c r="M976" s="32"/>
      <c r="N976" s="32"/>
      <c r="O976" s="32"/>
      <c r="P976" s="32"/>
      <c r="Q976" s="32"/>
    </row>
    <row r="977" spans="9:17" x14ac:dyDescent="0.4">
      <c r="I977" s="46"/>
      <c r="J977" s="32"/>
      <c r="K977" s="32"/>
      <c r="L977" s="32"/>
      <c r="M977" s="32"/>
      <c r="N977" s="32"/>
      <c r="O977" s="32"/>
      <c r="P977" s="32"/>
      <c r="Q977" s="32"/>
    </row>
    <row r="978" spans="9:17" x14ac:dyDescent="0.4">
      <c r="I978" s="46"/>
      <c r="J978" s="32"/>
      <c r="K978" s="32"/>
      <c r="L978" s="32"/>
      <c r="M978" s="32"/>
      <c r="N978" s="32"/>
      <c r="O978" s="32"/>
      <c r="P978" s="32"/>
      <c r="Q978" s="32"/>
    </row>
    <row r="979" spans="9:17" x14ac:dyDescent="0.4">
      <c r="I979" s="46"/>
      <c r="J979" s="32"/>
      <c r="K979" s="32"/>
      <c r="L979" s="32"/>
      <c r="M979" s="32"/>
      <c r="N979" s="32"/>
      <c r="O979" s="32"/>
      <c r="P979" s="32"/>
      <c r="Q979" s="32"/>
    </row>
    <row r="980" spans="9:17" x14ac:dyDescent="0.4">
      <c r="I980" s="46"/>
      <c r="J980" s="32"/>
      <c r="K980" s="32"/>
      <c r="L980" s="32"/>
      <c r="M980" s="32"/>
      <c r="N980" s="32"/>
      <c r="O980" s="32"/>
      <c r="P980" s="32"/>
      <c r="Q980" s="32"/>
    </row>
    <row r="981" spans="9:17" x14ac:dyDescent="0.4">
      <c r="I981" s="46"/>
      <c r="J981" s="32"/>
      <c r="K981" s="32"/>
      <c r="L981" s="32"/>
      <c r="M981" s="32"/>
      <c r="N981" s="32"/>
      <c r="O981" s="32"/>
      <c r="P981" s="32"/>
      <c r="Q981" s="32"/>
    </row>
    <row r="982" spans="9:17" x14ac:dyDescent="0.4">
      <c r="I982" s="46"/>
      <c r="J982" s="32"/>
      <c r="K982" s="32"/>
      <c r="L982" s="32"/>
      <c r="M982" s="32"/>
      <c r="N982" s="32"/>
      <c r="O982" s="32"/>
      <c r="P982" s="32"/>
      <c r="Q982" s="32"/>
    </row>
    <row r="983" spans="9:17" x14ac:dyDescent="0.4">
      <c r="I983" s="46"/>
      <c r="J983" s="32"/>
      <c r="K983" s="32"/>
      <c r="L983" s="32"/>
      <c r="M983" s="32"/>
      <c r="N983" s="32"/>
      <c r="O983" s="32"/>
      <c r="P983" s="32"/>
      <c r="Q983" s="32"/>
    </row>
    <row r="984" spans="9:17" x14ac:dyDescent="0.4">
      <c r="I984" s="46"/>
      <c r="J984" s="32"/>
      <c r="K984" s="32"/>
      <c r="L984" s="32"/>
      <c r="M984" s="32"/>
      <c r="N984" s="32"/>
      <c r="O984" s="32"/>
      <c r="P984" s="32"/>
      <c r="Q984" s="32"/>
    </row>
    <row r="985" spans="9:17" x14ac:dyDescent="0.4">
      <c r="I985" s="46"/>
      <c r="J985" s="32"/>
      <c r="K985" s="32"/>
      <c r="L985" s="32"/>
      <c r="M985" s="32"/>
      <c r="N985" s="32"/>
      <c r="O985" s="32"/>
      <c r="P985" s="32"/>
      <c r="Q985" s="32"/>
    </row>
    <row r="986" spans="9:17" x14ac:dyDescent="0.4">
      <c r="I986" s="46"/>
      <c r="J986" s="32"/>
      <c r="K986" s="32"/>
      <c r="L986" s="32"/>
      <c r="M986" s="32"/>
      <c r="N986" s="32"/>
      <c r="O986" s="32"/>
      <c r="P986" s="32"/>
      <c r="Q986" s="32"/>
    </row>
    <row r="987" spans="9:17" x14ac:dyDescent="0.4">
      <c r="I987" s="46"/>
      <c r="J987" s="32"/>
      <c r="K987" s="32"/>
      <c r="L987" s="32"/>
      <c r="M987" s="32"/>
      <c r="N987" s="32"/>
      <c r="O987" s="32"/>
      <c r="P987" s="32"/>
      <c r="Q987" s="32"/>
    </row>
    <row r="988" spans="9:17" x14ac:dyDescent="0.4">
      <c r="I988" s="46"/>
      <c r="J988" s="32"/>
      <c r="K988" s="32"/>
      <c r="L988" s="32"/>
      <c r="M988" s="32"/>
      <c r="N988" s="32"/>
      <c r="O988" s="32"/>
      <c r="P988" s="32"/>
      <c r="Q988" s="32"/>
    </row>
    <row r="989" spans="9:17" x14ac:dyDescent="0.4">
      <c r="I989" s="46"/>
      <c r="J989" s="32"/>
      <c r="K989" s="32"/>
      <c r="L989" s="32"/>
      <c r="M989" s="32"/>
      <c r="N989" s="32"/>
      <c r="O989" s="32"/>
      <c r="P989" s="32"/>
      <c r="Q989" s="32"/>
    </row>
    <row r="990" spans="9:17" x14ac:dyDescent="0.4">
      <c r="I990" s="46"/>
      <c r="J990" s="32"/>
      <c r="K990" s="32"/>
      <c r="L990" s="32"/>
      <c r="M990" s="32"/>
      <c r="N990" s="32"/>
      <c r="O990" s="32"/>
      <c r="P990" s="32"/>
      <c r="Q990" s="32"/>
    </row>
    <row r="991" spans="9:17" x14ac:dyDescent="0.4">
      <c r="I991" s="46"/>
      <c r="J991" s="32"/>
      <c r="K991" s="32"/>
      <c r="L991" s="32"/>
      <c r="M991" s="32"/>
      <c r="N991" s="32"/>
      <c r="O991" s="32"/>
      <c r="P991" s="32"/>
      <c r="Q991" s="32"/>
    </row>
    <row r="992" spans="9:17" x14ac:dyDescent="0.4">
      <c r="I992" s="46"/>
      <c r="J992" s="32"/>
      <c r="K992" s="32"/>
      <c r="L992" s="32"/>
      <c r="M992" s="32"/>
      <c r="N992" s="32"/>
      <c r="O992" s="32"/>
      <c r="P992" s="32"/>
      <c r="Q992" s="32"/>
    </row>
    <row r="993" spans="9:17" x14ac:dyDescent="0.4">
      <c r="I993" s="46"/>
      <c r="J993" s="32"/>
      <c r="K993" s="32"/>
      <c r="L993" s="32"/>
      <c r="M993" s="32"/>
      <c r="N993" s="32"/>
      <c r="O993" s="32"/>
      <c r="P993" s="32"/>
      <c r="Q993" s="32"/>
    </row>
    <row r="994" spans="9:17" x14ac:dyDescent="0.4">
      <c r="I994" s="46"/>
      <c r="J994" s="32"/>
      <c r="K994" s="32"/>
      <c r="L994" s="32"/>
      <c r="M994" s="32"/>
      <c r="N994" s="32"/>
      <c r="O994" s="32"/>
      <c r="P994" s="32"/>
      <c r="Q994" s="32"/>
    </row>
    <row r="995" spans="9:17" x14ac:dyDescent="0.4">
      <c r="I995" s="46"/>
      <c r="J995" s="32"/>
      <c r="K995" s="32"/>
      <c r="L995" s="32"/>
      <c r="M995" s="32"/>
      <c r="N995" s="32"/>
      <c r="O995" s="32"/>
      <c r="P995" s="32"/>
      <c r="Q995" s="32"/>
    </row>
    <row r="996" spans="9:17" x14ac:dyDescent="0.4">
      <c r="I996" s="46"/>
      <c r="J996" s="32"/>
      <c r="K996" s="32"/>
      <c r="L996" s="32"/>
      <c r="M996" s="32"/>
      <c r="N996" s="32"/>
      <c r="O996" s="32"/>
      <c r="P996" s="32"/>
      <c r="Q996" s="32"/>
    </row>
    <row r="997" spans="9:17" x14ac:dyDescent="0.4">
      <c r="I997" s="46"/>
      <c r="J997" s="32"/>
      <c r="K997" s="32"/>
      <c r="L997" s="32"/>
      <c r="M997" s="32"/>
      <c r="N997" s="32"/>
      <c r="O997" s="32"/>
      <c r="P997" s="32"/>
      <c r="Q997" s="32"/>
    </row>
    <row r="998" spans="9:17" x14ac:dyDescent="0.4">
      <c r="I998" s="46"/>
      <c r="J998" s="32"/>
      <c r="K998" s="32"/>
      <c r="L998" s="32"/>
      <c r="M998" s="32"/>
      <c r="N998" s="32"/>
      <c r="O998" s="32"/>
      <c r="P998" s="32"/>
      <c r="Q998" s="32"/>
    </row>
    <row r="999" spans="9:17" x14ac:dyDescent="0.4">
      <c r="I999" s="46"/>
      <c r="J999" s="32"/>
      <c r="K999" s="32"/>
      <c r="L999" s="32"/>
      <c r="M999" s="32"/>
      <c r="N999" s="32"/>
      <c r="O999" s="32"/>
      <c r="P999" s="32"/>
      <c r="Q999" s="32"/>
    </row>
    <row r="1000" spans="9:17" x14ac:dyDescent="0.4">
      <c r="I1000" s="46"/>
      <c r="J1000" s="32"/>
      <c r="K1000" s="32"/>
      <c r="L1000" s="32"/>
      <c r="M1000" s="32"/>
      <c r="N1000" s="32"/>
      <c r="O1000" s="32"/>
      <c r="P1000" s="32"/>
      <c r="Q1000" s="32"/>
    </row>
    <row r="1001" spans="9:17" x14ac:dyDescent="0.4">
      <c r="I1001" s="46"/>
      <c r="J1001" s="32"/>
      <c r="K1001" s="32"/>
      <c r="L1001" s="32"/>
      <c r="M1001" s="32"/>
      <c r="N1001" s="32"/>
      <c r="O1001" s="32"/>
      <c r="P1001" s="32"/>
      <c r="Q1001" s="32"/>
    </row>
    <row r="1002" spans="9:17" x14ac:dyDescent="0.4">
      <c r="I1002" s="46"/>
      <c r="J1002" s="32"/>
      <c r="K1002" s="32"/>
      <c r="L1002" s="32"/>
      <c r="M1002" s="32"/>
      <c r="N1002" s="32"/>
      <c r="O1002" s="32"/>
      <c r="P1002" s="32"/>
      <c r="Q1002" s="32"/>
    </row>
    <row r="1003" spans="9:17" x14ac:dyDescent="0.4">
      <c r="I1003" s="46"/>
      <c r="J1003" s="32"/>
      <c r="K1003" s="32"/>
      <c r="L1003" s="32"/>
      <c r="M1003" s="32"/>
      <c r="N1003" s="32"/>
      <c r="O1003" s="32"/>
      <c r="P1003" s="32"/>
      <c r="Q1003" s="32"/>
    </row>
    <row r="1004" spans="9:17" x14ac:dyDescent="0.4">
      <c r="I1004" s="46"/>
      <c r="J1004" s="32"/>
      <c r="K1004" s="32"/>
      <c r="L1004" s="32"/>
      <c r="M1004" s="32"/>
      <c r="N1004" s="32"/>
      <c r="O1004" s="32"/>
      <c r="P1004" s="32"/>
      <c r="Q1004" s="32"/>
    </row>
    <row r="1005" spans="9:17" x14ac:dyDescent="0.4">
      <c r="I1005" s="46"/>
      <c r="J1005" s="32"/>
      <c r="K1005" s="32"/>
      <c r="L1005" s="32"/>
      <c r="M1005" s="32"/>
      <c r="N1005" s="32"/>
      <c r="O1005" s="32"/>
      <c r="P1005" s="32"/>
      <c r="Q1005" s="32"/>
    </row>
    <row r="1006" spans="9:17" x14ac:dyDescent="0.4">
      <c r="I1006" s="46"/>
      <c r="J1006" s="32"/>
      <c r="K1006" s="32"/>
      <c r="L1006" s="32"/>
      <c r="M1006" s="32"/>
      <c r="N1006" s="32"/>
      <c r="O1006" s="32"/>
      <c r="P1006" s="32"/>
      <c r="Q1006" s="32"/>
    </row>
    <row r="1007" spans="9:17" x14ac:dyDescent="0.4">
      <c r="I1007" s="46"/>
      <c r="J1007" s="32"/>
      <c r="K1007" s="32"/>
      <c r="L1007" s="32"/>
      <c r="M1007" s="32"/>
      <c r="N1007" s="32"/>
      <c r="O1007" s="32"/>
      <c r="P1007" s="32"/>
      <c r="Q1007" s="32"/>
    </row>
    <row r="1008" spans="9:17" x14ac:dyDescent="0.4">
      <c r="I1008" s="46"/>
      <c r="J1008" s="32"/>
      <c r="K1008" s="32"/>
      <c r="L1008" s="32"/>
      <c r="M1008" s="32"/>
      <c r="N1008" s="32"/>
      <c r="O1008" s="32"/>
      <c r="P1008" s="32"/>
      <c r="Q1008" s="32"/>
    </row>
    <row r="1009" spans="9:17" x14ac:dyDescent="0.4">
      <c r="I1009" s="46"/>
      <c r="J1009" s="32"/>
      <c r="K1009" s="32"/>
      <c r="L1009" s="32"/>
      <c r="M1009" s="32"/>
      <c r="N1009" s="32"/>
      <c r="O1009" s="32"/>
      <c r="P1009" s="32"/>
      <c r="Q1009" s="32"/>
    </row>
    <row r="1010" spans="9:17" x14ac:dyDescent="0.4">
      <c r="I1010" s="46"/>
      <c r="J1010" s="32"/>
      <c r="K1010" s="32"/>
      <c r="L1010" s="32"/>
      <c r="M1010" s="32"/>
      <c r="N1010" s="32"/>
      <c r="O1010" s="32"/>
      <c r="P1010" s="32"/>
      <c r="Q1010" s="32"/>
    </row>
    <row r="1011" spans="9:17" x14ac:dyDescent="0.4">
      <c r="I1011" s="46"/>
      <c r="J1011" s="32"/>
      <c r="K1011" s="32"/>
      <c r="L1011" s="32"/>
      <c r="M1011" s="32"/>
      <c r="N1011" s="32"/>
      <c r="O1011" s="32"/>
      <c r="P1011" s="32"/>
      <c r="Q1011" s="32"/>
    </row>
    <row r="1012" spans="9:17" x14ac:dyDescent="0.4">
      <c r="I1012" s="46"/>
      <c r="J1012" s="32"/>
      <c r="K1012" s="32"/>
      <c r="L1012" s="32"/>
      <c r="M1012" s="32"/>
      <c r="N1012" s="32"/>
      <c r="O1012" s="32"/>
      <c r="P1012" s="32"/>
      <c r="Q1012" s="32"/>
    </row>
    <row r="1013" spans="9:17" x14ac:dyDescent="0.4">
      <c r="I1013" s="46"/>
      <c r="J1013" s="32"/>
      <c r="K1013" s="32"/>
      <c r="L1013" s="32"/>
      <c r="M1013" s="32"/>
      <c r="N1013" s="32"/>
      <c r="O1013" s="32"/>
      <c r="P1013" s="32"/>
      <c r="Q1013" s="32"/>
    </row>
    <row r="1014" spans="9:17" x14ac:dyDescent="0.4">
      <c r="I1014" s="46"/>
      <c r="J1014" s="32"/>
      <c r="K1014" s="32"/>
      <c r="L1014" s="32"/>
      <c r="M1014" s="32"/>
      <c r="N1014" s="32"/>
      <c r="O1014" s="32"/>
      <c r="P1014" s="32"/>
      <c r="Q1014" s="32"/>
    </row>
    <row r="1015" spans="9:17" x14ac:dyDescent="0.4">
      <c r="I1015" s="46"/>
      <c r="J1015" s="32"/>
      <c r="K1015" s="32"/>
      <c r="L1015" s="32"/>
      <c r="M1015" s="32"/>
      <c r="N1015" s="32"/>
      <c r="O1015" s="32"/>
      <c r="P1015" s="32"/>
      <c r="Q1015" s="32"/>
    </row>
    <row r="1016" spans="9:17" x14ac:dyDescent="0.4">
      <c r="I1016" s="46"/>
      <c r="J1016" s="32"/>
      <c r="K1016" s="32"/>
      <c r="L1016" s="32"/>
      <c r="M1016" s="32"/>
      <c r="N1016" s="32"/>
      <c r="O1016" s="32"/>
      <c r="P1016" s="32"/>
      <c r="Q1016" s="32"/>
    </row>
    <row r="1017" spans="9:17" x14ac:dyDescent="0.4">
      <c r="I1017" s="46"/>
      <c r="J1017" s="32"/>
      <c r="K1017" s="32"/>
      <c r="L1017" s="32"/>
      <c r="M1017" s="32"/>
      <c r="N1017" s="32"/>
      <c r="O1017" s="32"/>
      <c r="P1017" s="32"/>
      <c r="Q1017" s="32"/>
    </row>
    <row r="1018" spans="9:17" x14ac:dyDescent="0.4">
      <c r="I1018" s="46"/>
      <c r="J1018" s="32"/>
      <c r="K1018" s="32"/>
      <c r="L1018" s="32"/>
      <c r="M1018" s="32"/>
      <c r="N1018" s="32"/>
      <c r="O1018" s="32"/>
      <c r="P1018" s="32"/>
      <c r="Q1018" s="32"/>
    </row>
    <row r="1019" spans="9:17" x14ac:dyDescent="0.4">
      <c r="I1019" s="46"/>
      <c r="J1019" s="32"/>
      <c r="K1019" s="32"/>
      <c r="L1019" s="32"/>
      <c r="M1019" s="32"/>
      <c r="N1019" s="32"/>
      <c r="O1019" s="32"/>
      <c r="P1019" s="32"/>
      <c r="Q1019" s="32"/>
    </row>
    <row r="1020" spans="9:17" x14ac:dyDescent="0.4">
      <c r="I1020" s="46"/>
      <c r="J1020" s="32"/>
      <c r="K1020" s="32"/>
      <c r="L1020" s="32"/>
      <c r="M1020" s="32"/>
      <c r="N1020" s="32"/>
      <c r="O1020" s="32"/>
      <c r="P1020" s="32"/>
      <c r="Q1020" s="32"/>
    </row>
    <row r="1021" spans="9:17" x14ac:dyDescent="0.4">
      <c r="I1021" s="46"/>
      <c r="J1021" s="32"/>
      <c r="K1021" s="32"/>
      <c r="L1021" s="32"/>
      <c r="M1021" s="32"/>
      <c r="N1021" s="32"/>
      <c r="O1021" s="32"/>
      <c r="P1021" s="32"/>
      <c r="Q1021" s="32"/>
    </row>
    <row r="1022" spans="9:17" x14ac:dyDescent="0.4">
      <c r="I1022" s="46"/>
      <c r="J1022" s="32"/>
      <c r="K1022" s="32"/>
      <c r="L1022" s="32"/>
      <c r="M1022" s="32"/>
      <c r="N1022" s="32"/>
      <c r="O1022" s="32"/>
      <c r="P1022" s="32"/>
      <c r="Q1022" s="32"/>
    </row>
    <row r="1023" spans="9:17" x14ac:dyDescent="0.4">
      <c r="I1023" s="46"/>
      <c r="J1023" s="32"/>
      <c r="K1023" s="32"/>
      <c r="L1023" s="32"/>
      <c r="M1023" s="32"/>
      <c r="N1023" s="32"/>
      <c r="O1023" s="32"/>
      <c r="P1023" s="32"/>
      <c r="Q1023" s="32"/>
    </row>
    <row r="1024" spans="9:17" x14ac:dyDescent="0.4">
      <c r="I1024" s="46"/>
      <c r="J1024" s="32"/>
      <c r="K1024" s="32"/>
      <c r="L1024" s="32"/>
      <c r="M1024" s="32"/>
      <c r="N1024" s="32"/>
      <c r="O1024" s="32"/>
      <c r="P1024" s="32"/>
      <c r="Q1024" s="32"/>
    </row>
    <row r="1025" spans="9:17" x14ac:dyDescent="0.4">
      <c r="I1025" s="46"/>
      <c r="J1025" s="32"/>
      <c r="K1025" s="32"/>
      <c r="L1025" s="32"/>
      <c r="M1025" s="32"/>
      <c r="N1025" s="32"/>
      <c r="O1025" s="32"/>
      <c r="P1025" s="32"/>
      <c r="Q1025" s="32"/>
    </row>
    <row r="1026" spans="9:17" x14ac:dyDescent="0.4">
      <c r="I1026" s="46"/>
      <c r="J1026" s="32"/>
      <c r="K1026" s="32"/>
      <c r="L1026" s="32"/>
      <c r="M1026" s="32"/>
      <c r="N1026" s="32"/>
      <c r="O1026" s="32"/>
      <c r="P1026" s="32"/>
      <c r="Q1026" s="32"/>
    </row>
    <row r="1027" spans="9:17" x14ac:dyDescent="0.4">
      <c r="I1027" s="46"/>
      <c r="J1027" s="32"/>
      <c r="K1027" s="32"/>
      <c r="L1027" s="32"/>
      <c r="M1027" s="32"/>
      <c r="N1027" s="32"/>
      <c r="O1027" s="32"/>
      <c r="P1027" s="32"/>
      <c r="Q1027" s="32"/>
    </row>
    <row r="1028" spans="9:17" x14ac:dyDescent="0.4">
      <c r="I1028" s="46"/>
      <c r="J1028" s="32"/>
      <c r="K1028" s="32"/>
      <c r="L1028" s="32"/>
      <c r="M1028" s="32"/>
      <c r="N1028" s="32"/>
      <c r="O1028" s="32"/>
      <c r="P1028" s="32"/>
      <c r="Q1028" s="32"/>
    </row>
    <row r="1029" spans="9:17" x14ac:dyDescent="0.4">
      <c r="I1029" s="46"/>
      <c r="J1029" s="32"/>
      <c r="K1029" s="32"/>
      <c r="L1029" s="32"/>
      <c r="M1029" s="32"/>
      <c r="N1029" s="32"/>
      <c r="O1029" s="32"/>
      <c r="P1029" s="32"/>
      <c r="Q1029" s="32"/>
    </row>
    <row r="1030" spans="9:17" x14ac:dyDescent="0.4">
      <c r="I1030" s="46"/>
      <c r="J1030" s="32"/>
      <c r="K1030" s="32"/>
      <c r="L1030" s="32"/>
      <c r="M1030" s="32"/>
      <c r="N1030" s="32"/>
      <c r="O1030" s="32"/>
      <c r="P1030" s="32"/>
      <c r="Q1030" s="32"/>
    </row>
    <row r="1031" spans="9:17" x14ac:dyDescent="0.4">
      <c r="I1031" s="46"/>
      <c r="J1031" s="32"/>
      <c r="K1031" s="32"/>
      <c r="L1031" s="32"/>
      <c r="M1031" s="32"/>
      <c r="N1031" s="32"/>
      <c r="O1031" s="32"/>
      <c r="P1031" s="32"/>
      <c r="Q1031" s="32"/>
    </row>
    <row r="1032" spans="9:17" x14ac:dyDescent="0.4">
      <c r="I1032" s="46"/>
      <c r="J1032" s="32"/>
      <c r="K1032" s="32"/>
      <c r="L1032" s="32"/>
      <c r="M1032" s="32"/>
      <c r="N1032" s="32"/>
      <c r="O1032" s="32"/>
      <c r="P1032" s="32"/>
      <c r="Q1032" s="32"/>
    </row>
    <row r="1033" spans="9:17" x14ac:dyDescent="0.4">
      <c r="I1033" s="46"/>
      <c r="J1033" s="32"/>
      <c r="K1033" s="32"/>
      <c r="L1033" s="32"/>
      <c r="M1033" s="32"/>
      <c r="N1033" s="32"/>
      <c r="O1033" s="32"/>
      <c r="P1033" s="32"/>
      <c r="Q1033" s="32"/>
    </row>
    <row r="1034" spans="9:17" x14ac:dyDescent="0.4">
      <c r="I1034" s="46"/>
      <c r="J1034" s="32"/>
      <c r="K1034" s="32"/>
      <c r="L1034" s="32"/>
      <c r="M1034" s="32"/>
      <c r="N1034" s="32"/>
      <c r="O1034" s="32"/>
      <c r="P1034" s="32"/>
      <c r="Q1034" s="32"/>
    </row>
    <row r="1035" spans="9:17" x14ac:dyDescent="0.4">
      <c r="I1035" s="46"/>
      <c r="J1035" s="32"/>
      <c r="K1035" s="32"/>
      <c r="L1035" s="32"/>
      <c r="M1035" s="32"/>
      <c r="N1035" s="32"/>
      <c r="O1035" s="32"/>
      <c r="P1035" s="32"/>
      <c r="Q1035" s="32"/>
    </row>
    <row r="1036" spans="9:17" x14ac:dyDescent="0.4">
      <c r="I1036" s="46"/>
      <c r="J1036" s="32"/>
      <c r="K1036" s="32"/>
      <c r="L1036" s="32"/>
      <c r="M1036" s="32"/>
      <c r="N1036" s="32"/>
      <c r="O1036" s="32"/>
      <c r="P1036" s="32"/>
      <c r="Q1036" s="32"/>
    </row>
    <row r="1037" spans="9:17" x14ac:dyDescent="0.4">
      <c r="I1037" s="46"/>
      <c r="J1037" s="32"/>
      <c r="K1037" s="32"/>
      <c r="L1037" s="32"/>
      <c r="M1037" s="32"/>
      <c r="N1037" s="32"/>
      <c r="O1037" s="32"/>
      <c r="P1037" s="32"/>
      <c r="Q1037" s="32"/>
    </row>
    <row r="1038" spans="9:17" x14ac:dyDescent="0.4">
      <c r="I1038" s="46"/>
      <c r="J1038" s="32"/>
      <c r="K1038" s="32"/>
      <c r="L1038" s="32"/>
      <c r="M1038" s="32"/>
      <c r="N1038" s="32"/>
      <c r="O1038" s="32"/>
      <c r="P1038" s="32"/>
      <c r="Q1038" s="32"/>
    </row>
    <row r="1039" spans="9:17" x14ac:dyDescent="0.4">
      <c r="I1039" s="46"/>
      <c r="J1039" s="32"/>
      <c r="K1039" s="32"/>
      <c r="L1039" s="32"/>
      <c r="M1039" s="32"/>
      <c r="N1039" s="32"/>
      <c r="O1039" s="32"/>
      <c r="P1039" s="32"/>
      <c r="Q1039" s="32"/>
    </row>
    <row r="1040" spans="9:17" x14ac:dyDescent="0.4">
      <c r="I1040" s="46"/>
      <c r="J1040" s="32"/>
      <c r="K1040" s="32"/>
      <c r="L1040" s="32"/>
      <c r="M1040" s="32"/>
      <c r="N1040" s="32"/>
      <c r="O1040" s="32"/>
      <c r="P1040" s="32"/>
      <c r="Q1040" s="32"/>
    </row>
    <row r="1041" spans="9:17" x14ac:dyDescent="0.4">
      <c r="I1041" s="46"/>
      <c r="J1041" s="32"/>
      <c r="K1041" s="32"/>
      <c r="L1041" s="32"/>
      <c r="M1041" s="32"/>
      <c r="N1041" s="32"/>
      <c r="O1041" s="32"/>
      <c r="P1041" s="32"/>
      <c r="Q1041" s="32"/>
    </row>
    <row r="1042" spans="9:17" x14ac:dyDescent="0.4">
      <c r="I1042" s="46"/>
      <c r="J1042" s="32"/>
      <c r="K1042" s="32"/>
      <c r="L1042" s="32"/>
      <c r="M1042" s="32"/>
      <c r="N1042" s="32"/>
      <c r="O1042" s="32"/>
      <c r="P1042" s="32"/>
      <c r="Q1042" s="32"/>
    </row>
    <row r="1043" spans="9:17" x14ac:dyDescent="0.4">
      <c r="I1043" s="46"/>
      <c r="J1043" s="32"/>
      <c r="K1043" s="32"/>
      <c r="L1043" s="32"/>
      <c r="M1043" s="32"/>
      <c r="N1043" s="32"/>
      <c r="O1043" s="32"/>
      <c r="P1043" s="32"/>
      <c r="Q1043" s="32"/>
    </row>
    <row r="1044" spans="9:17" x14ac:dyDescent="0.4">
      <c r="I1044" s="46"/>
      <c r="J1044" s="32"/>
      <c r="K1044" s="32"/>
      <c r="L1044" s="32"/>
      <c r="M1044" s="32"/>
      <c r="N1044" s="32"/>
      <c r="O1044" s="32"/>
      <c r="P1044" s="32"/>
      <c r="Q1044" s="32"/>
    </row>
    <row r="1045" spans="9:17" x14ac:dyDescent="0.4">
      <c r="I1045" s="46"/>
      <c r="J1045" s="32"/>
      <c r="K1045" s="32"/>
      <c r="L1045" s="32"/>
      <c r="M1045" s="32"/>
      <c r="N1045" s="32"/>
      <c r="O1045" s="32"/>
      <c r="P1045" s="32"/>
      <c r="Q1045" s="32"/>
    </row>
    <row r="1046" spans="9:17" x14ac:dyDescent="0.4">
      <c r="I1046" s="46"/>
      <c r="J1046" s="32"/>
      <c r="K1046" s="32"/>
      <c r="L1046" s="32"/>
      <c r="M1046" s="32"/>
      <c r="N1046" s="32"/>
      <c r="O1046" s="32"/>
      <c r="P1046" s="32"/>
      <c r="Q1046" s="32"/>
    </row>
    <row r="1047" spans="9:17" x14ac:dyDescent="0.4">
      <c r="I1047" s="46"/>
      <c r="J1047" s="32"/>
      <c r="K1047" s="32"/>
      <c r="L1047" s="32"/>
      <c r="M1047" s="32"/>
      <c r="N1047" s="32"/>
      <c r="O1047" s="32"/>
      <c r="P1047" s="32"/>
      <c r="Q1047" s="32"/>
    </row>
    <row r="1048" spans="9:17" x14ac:dyDescent="0.4">
      <c r="I1048" s="46"/>
      <c r="J1048" s="32"/>
      <c r="K1048" s="32"/>
      <c r="L1048" s="32"/>
      <c r="M1048" s="32"/>
      <c r="N1048" s="32"/>
      <c r="O1048" s="32"/>
      <c r="P1048" s="32"/>
      <c r="Q1048" s="32"/>
    </row>
    <row r="1049" spans="9:17" x14ac:dyDescent="0.4">
      <c r="I1049" s="46"/>
      <c r="J1049" s="32"/>
      <c r="K1049" s="32"/>
      <c r="L1049" s="32"/>
      <c r="M1049" s="32"/>
      <c r="N1049" s="32"/>
      <c r="O1049" s="32"/>
      <c r="P1049" s="32"/>
      <c r="Q1049" s="32"/>
    </row>
    <row r="1050" spans="9:17" x14ac:dyDescent="0.4">
      <c r="I1050" s="46"/>
      <c r="J1050" s="32"/>
      <c r="K1050" s="32"/>
      <c r="L1050" s="32"/>
      <c r="M1050" s="32"/>
      <c r="N1050" s="32"/>
      <c r="O1050" s="32"/>
      <c r="P1050" s="32"/>
      <c r="Q1050" s="32"/>
    </row>
    <row r="1051" spans="9:17" x14ac:dyDescent="0.4">
      <c r="I1051" s="46"/>
      <c r="J1051" s="32"/>
      <c r="K1051" s="32"/>
      <c r="L1051" s="32"/>
      <c r="M1051" s="32"/>
      <c r="N1051" s="32"/>
      <c r="O1051" s="32"/>
      <c r="P1051" s="32"/>
      <c r="Q1051" s="32"/>
    </row>
    <row r="1052" spans="9:17" x14ac:dyDescent="0.4">
      <c r="I1052" s="46"/>
      <c r="J1052" s="32"/>
      <c r="K1052" s="32"/>
      <c r="L1052" s="32"/>
      <c r="M1052" s="32"/>
      <c r="N1052" s="32"/>
      <c r="O1052" s="32"/>
      <c r="P1052" s="32"/>
      <c r="Q1052" s="32"/>
    </row>
    <row r="1053" spans="9:17" x14ac:dyDescent="0.4">
      <c r="I1053" s="46"/>
      <c r="J1053" s="32"/>
      <c r="K1053" s="32"/>
      <c r="L1053" s="32"/>
      <c r="M1053" s="32"/>
      <c r="N1053" s="32"/>
      <c r="O1053" s="32"/>
      <c r="P1053" s="32"/>
      <c r="Q1053" s="32"/>
    </row>
    <row r="1054" spans="9:17" x14ac:dyDescent="0.4">
      <c r="I1054" s="46"/>
      <c r="J1054" s="32"/>
      <c r="K1054" s="32"/>
      <c r="L1054" s="32"/>
      <c r="M1054" s="32"/>
      <c r="N1054" s="32"/>
      <c r="O1054" s="32"/>
      <c r="P1054" s="32"/>
      <c r="Q1054" s="32"/>
    </row>
    <row r="1055" spans="9:17" x14ac:dyDescent="0.4">
      <c r="I1055" s="46"/>
      <c r="J1055" s="32"/>
      <c r="K1055" s="32"/>
      <c r="L1055" s="32"/>
      <c r="M1055" s="32"/>
      <c r="N1055" s="32"/>
      <c r="O1055" s="32"/>
      <c r="P1055" s="32"/>
      <c r="Q1055" s="32"/>
    </row>
    <row r="1056" spans="9:17" x14ac:dyDescent="0.4">
      <c r="I1056" s="46"/>
      <c r="J1056" s="32"/>
      <c r="K1056" s="32"/>
      <c r="L1056" s="32"/>
      <c r="M1056" s="32"/>
      <c r="N1056" s="32"/>
      <c r="O1056" s="32"/>
      <c r="P1056" s="32"/>
      <c r="Q1056" s="32"/>
    </row>
    <row r="1057" spans="9:17" x14ac:dyDescent="0.4">
      <c r="I1057" s="46"/>
      <c r="J1057" s="32"/>
      <c r="K1057" s="32"/>
      <c r="L1057" s="32"/>
      <c r="M1057" s="32"/>
      <c r="N1057" s="32"/>
      <c r="O1057" s="32"/>
      <c r="P1057" s="32"/>
      <c r="Q1057" s="32"/>
    </row>
    <row r="1058" spans="9:17" x14ac:dyDescent="0.4">
      <c r="I1058" s="46"/>
      <c r="J1058" s="32"/>
      <c r="K1058" s="32"/>
      <c r="L1058" s="32"/>
      <c r="M1058" s="32"/>
      <c r="N1058" s="32"/>
      <c r="O1058" s="32"/>
      <c r="P1058" s="32"/>
      <c r="Q1058" s="32"/>
    </row>
    <row r="1059" spans="9:17" x14ac:dyDescent="0.4">
      <c r="I1059" s="46"/>
      <c r="J1059" s="32"/>
      <c r="K1059" s="32"/>
      <c r="L1059" s="32"/>
      <c r="M1059" s="32"/>
      <c r="N1059" s="32"/>
      <c r="O1059" s="32"/>
      <c r="P1059" s="32"/>
      <c r="Q1059" s="32"/>
    </row>
    <row r="1060" spans="9:17" x14ac:dyDescent="0.4">
      <c r="I1060" s="46"/>
      <c r="J1060" s="32"/>
      <c r="K1060" s="32"/>
      <c r="L1060" s="32"/>
      <c r="M1060" s="32"/>
      <c r="N1060" s="32"/>
      <c r="O1060" s="32"/>
      <c r="P1060" s="32"/>
      <c r="Q1060" s="32"/>
    </row>
    <row r="1061" spans="9:17" x14ac:dyDescent="0.4">
      <c r="I1061" s="46"/>
      <c r="J1061" s="32"/>
      <c r="K1061" s="32"/>
      <c r="L1061" s="32"/>
      <c r="M1061" s="32"/>
      <c r="N1061" s="32"/>
      <c r="O1061" s="32"/>
      <c r="P1061" s="32"/>
      <c r="Q1061" s="32"/>
    </row>
    <row r="1062" spans="9:17" x14ac:dyDescent="0.4">
      <c r="I1062" s="46"/>
      <c r="J1062" s="32"/>
      <c r="K1062" s="32"/>
      <c r="L1062" s="32"/>
      <c r="M1062" s="32"/>
      <c r="N1062" s="32"/>
      <c r="O1062" s="32"/>
      <c r="P1062" s="32"/>
      <c r="Q1062" s="32"/>
    </row>
    <row r="1063" spans="9:17" x14ac:dyDescent="0.4">
      <c r="I1063" s="46"/>
      <c r="J1063" s="32"/>
      <c r="K1063" s="32"/>
      <c r="L1063" s="32"/>
      <c r="M1063" s="32"/>
      <c r="N1063" s="32"/>
      <c r="O1063" s="32"/>
      <c r="P1063" s="32"/>
      <c r="Q1063" s="32"/>
    </row>
    <row r="1064" spans="9:17" x14ac:dyDescent="0.4">
      <c r="I1064" s="46"/>
      <c r="J1064" s="32"/>
      <c r="K1064" s="32"/>
      <c r="L1064" s="32"/>
      <c r="M1064" s="32"/>
      <c r="N1064" s="32"/>
      <c r="O1064" s="32"/>
      <c r="P1064" s="32"/>
      <c r="Q1064" s="32"/>
    </row>
    <row r="1065" spans="9:17" x14ac:dyDescent="0.4">
      <c r="I1065" s="46"/>
      <c r="J1065" s="32"/>
      <c r="K1065" s="32"/>
      <c r="L1065" s="32"/>
      <c r="M1065" s="32"/>
      <c r="N1065" s="32"/>
      <c r="O1065" s="32"/>
      <c r="P1065" s="32"/>
      <c r="Q1065" s="32"/>
    </row>
    <row r="1066" spans="9:17" x14ac:dyDescent="0.4">
      <c r="I1066" s="46"/>
      <c r="J1066" s="32"/>
      <c r="K1066" s="32"/>
      <c r="L1066" s="32"/>
      <c r="M1066" s="32"/>
      <c r="N1066" s="32"/>
      <c r="O1066" s="32"/>
      <c r="P1066" s="32"/>
      <c r="Q1066" s="32"/>
    </row>
    <row r="1067" spans="9:17" x14ac:dyDescent="0.4">
      <c r="I1067" s="46"/>
      <c r="J1067" s="32"/>
      <c r="K1067" s="32"/>
      <c r="L1067" s="32"/>
      <c r="M1067" s="32"/>
      <c r="N1067" s="32"/>
      <c r="O1067" s="32"/>
      <c r="P1067" s="32"/>
      <c r="Q1067" s="32"/>
    </row>
    <row r="1068" spans="9:17" x14ac:dyDescent="0.4">
      <c r="I1068" s="46"/>
      <c r="J1068" s="32"/>
      <c r="K1068" s="32"/>
      <c r="L1068" s="32"/>
      <c r="M1068" s="32"/>
      <c r="N1068" s="32"/>
      <c r="O1068" s="32"/>
      <c r="P1068" s="32"/>
      <c r="Q1068" s="32"/>
    </row>
    <row r="1069" spans="9:17" x14ac:dyDescent="0.4">
      <c r="I1069" s="46"/>
      <c r="J1069" s="32"/>
      <c r="K1069" s="32"/>
      <c r="L1069" s="32"/>
      <c r="M1069" s="32"/>
      <c r="N1069" s="32"/>
      <c r="O1069" s="32"/>
      <c r="P1069" s="32"/>
      <c r="Q1069" s="32"/>
    </row>
    <row r="1070" spans="9:17" x14ac:dyDescent="0.4">
      <c r="I1070" s="46"/>
      <c r="J1070" s="32"/>
      <c r="K1070" s="32"/>
      <c r="L1070" s="32"/>
      <c r="M1070" s="32"/>
      <c r="N1070" s="32"/>
      <c r="O1070" s="32"/>
      <c r="P1070" s="32"/>
      <c r="Q1070" s="32"/>
    </row>
    <row r="1071" spans="9:17" x14ac:dyDescent="0.4">
      <c r="I1071" s="46"/>
      <c r="J1071" s="32"/>
      <c r="K1071" s="32"/>
      <c r="L1071" s="32"/>
      <c r="M1071" s="32"/>
      <c r="N1071" s="32"/>
      <c r="O1071" s="32"/>
      <c r="P1071" s="32"/>
      <c r="Q1071" s="32"/>
    </row>
    <row r="1072" spans="9:17" x14ac:dyDescent="0.4">
      <c r="I1072" s="46"/>
      <c r="J1072" s="32"/>
      <c r="K1072" s="32"/>
      <c r="L1072" s="32"/>
      <c r="M1072" s="32"/>
      <c r="N1072" s="32"/>
      <c r="O1072" s="32"/>
      <c r="P1072" s="32"/>
      <c r="Q1072" s="32"/>
    </row>
    <row r="1073" spans="9:17" x14ac:dyDescent="0.4">
      <c r="I1073" s="46"/>
      <c r="J1073" s="32"/>
      <c r="K1073" s="32"/>
      <c r="L1073" s="32"/>
      <c r="M1073" s="32"/>
      <c r="N1073" s="32"/>
      <c r="O1073" s="32"/>
      <c r="P1073" s="32"/>
      <c r="Q1073" s="32"/>
    </row>
    <row r="1074" spans="9:17" x14ac:dyDescent="0.4">
      <c r="I1074" s="46"/>
      <c r="J1074" s="32"/>
      <c r="K1074" s="32"/>
      <c r="L1074" s="32"/>
      <c r="M1074" s="32"/>
      <c r="N1074" s="32"/>
      <c r="O1074" s="32"/>
      <c r="P1074" s="32"/>
      <c r="Q1074" s="32"/>
    </row>
    <row r="1075" spans="9:17" x14ac:dyDescent="0.4">
      <c r="I1075" s="46"/>
      <c r="J1075" s="32"/>
      <c r="K1075" s="32"/>
      <c r="L1075" s="32"/>
      <c r="M1075" s="32"/>
      <c r="N1075" s="32"/>
      <c r="O1075" s="32"/>
      <c r="P1075" s="32"/>
      <c r="Q1075" s="32"/>
    </row>
    <row r="1076" spans="9:17" x14ac:dyDescent="0.4">
      <c r="I1076" s="46"/>
      <c r="J1076" s="32"/>
      <c r="K1076" s="32"/>
      <c r="L1076" s="32"/>
      <c r="M1076" s="32"/>
      <c r="N1076" s="32"/>
      <c r="O1076" s="32"/>
      <c r="P1076" s="32"/>
      <c r="Q1076" s="32"/>
    </row>
    <row r="1077" spans="9:17" x14ac:dyDescent="0.4">
      <c r="I1077" s="46"/>
      <c r="J1077" s="32"/>
      <c r="K1077" s="32"/>
      <c r="L1077" s="32"/>
      <c r="M1077" s="32"/>
      <c r="N1077" s="32"/>
      <c r="O1077" s="32"/>
      <c r="P1077" s="32"/>
      <c r="Q1077" s="32"/>
    </row>
    <row r="1078" spans="9:17" x14ac:dyDescent="0.4">
      <c r="I1078" s="46"/>
      <c r="J1078" s="32"/>
      <c r="K1078" s="32"/>
      <c r="L1078" s="32"/>
      <c r="M1078" s="32"/>
      <c r="N1078" s="32"/>
      <c r="O1078" s="32"/>
      <c r="P1078" s="32"/>
      <c r="Q1078" s="32"/>
    </row>
    <row r="1079" spans="9:17" x14ac:dyDescent="0.4">
      <c r="I1079" s="46"/>
      <c r="J1079" s="32"/>
      <c r="K1079" s="32"/>
      <c r="L1079" s="32"/>
      <c r="M1079" s="32"/>
      <c r="N1079" s="32"/>
      <c r="O1079" s="32"/>
      <c r="P1079" s="32"/>
      <c r="Q1079" s="32"/>
    </row>
    <row r="1080" spans="9:17" x14ac:dyDescent="0.4">
      <c r="I1080" s="46"/>
      <c r="J1080" s="32"/>
      <c r="K1080" s="32"/>
      <c r="L1080" s="32"/>
      <c r="M1080" s="32"/>
      <c r="N1080" s="32"/>
      <c r="O1080" s="32"/>
      <c r="P1080" s="32"/>
      <c r="Q1080" s="32"/>
    </row>
    <row r="1081" spans="9:17" x14ac:dyDescent="0.4">
      <c r="I1081" s="46"/>
      <c r="J1081" s="32"/>
      <c r="K1081" s="32"/>
      <c r="L1081" s="32"/>
      <c r="M1081" s="32"/>
      <c r="N1081" s="32"/>
      <c r="O1081" s="32"/>
      <c r="P1081" s="32"/>
      <c r="Q1081" s="32"/>
    </row>
    <row r="1082" spans="9:17" x14ac:dyDescent="0.4">
      <c r="I1082" s="46"/>
      <c r="J1082" s="32"/>
      <c r="K1082" s="32"/>
      <c r="L1082" s="32"/>
      <c r="M1082" s="32"/>
      <c r="N1082" s="32"/>
      <c r="O1082" s="32"/>
      <c r="P1082" s="32"/>
      <c r="Q1082" s="32"/>
    </row>
    <row r="1083" spans="9:17" x14ac:dyDescent="0.4">
      <c r="I1083" s="46"/>
      <c r="J1083" s="32"/>
      <c r="K1083" s="32"/>
      <c r="L1083" s="32"/>
      <c r="M1083" s="32"/>
      <c r="N1083" s="32"/>
      <c r="O1083" s="32"/>
      <c r="P1083" s="32"/>
      <c r="Q1083" s="32"/>
    </row>
    <row r="1084" spans="9:17" x14ac:dyDescent="0.4">
      <c r="I1084" s="46"/>
      <c r="J1084" s="32"/>
      <c r="K1084" s="32"/>
      <c r="L1084" s="32"/>
      <c r="M1084" s="32"/>
      <c r="N1084" s="32"/>
      <c r="O1084" s="32"/>
      <c r="P1084" s="32"/>
      <c r="Q1084" s="32"/>
    </row>
    <row r="1085" spans="9:17" x14ac:dyDescent="0.4">
      <c r="I1085" s="46"/>
      <c r="J1085" s="32"/>
      <c r="K1085" s="32"/>
      <c r="L1085" s="32"/>
      <c r="M1085" s="32"/>
      <c r="N1085" s="32"/>
      <c r="O1085" s="32"/>
      <c r="P1085" s="32"/>
      <c r="Q1085" s="32"/>
    </row>
    <row r="1086" spans="9:17" x14ac:dyDescent="0.4">
      <c r="I1086" s="46"/>
      <c r="J1086" s="32"/>
      <c r="K1086" s="32"/>
      <c r="L1086" s="32"/>
      <c r="M1086" s="32"/>
      <c r="N1086" s="32"/>
      <c r="O1086" s="32"/>
      <c r="P1086" s="32"/>
      <c r="Q1086" s="32"/>
    </row>
    <row r="1087" spans="9:17" x14ac:dyDescent="0.4">
      <c r="I1087" s="46"/>
      <c r="J1087" s="32"/>
      <c r="K1087" s="32"/>
      <c r="L1087" s="32"/>
      <c r="M1087" s="32"/>
      <c r="N1087" s="32"/>
      <c r="O1087" s="32"/>
      <c r="P1087" s="32"/>
      <c r="Q1087" s="32"/>
    </row>
    <row r="1088" spans="9:17" x14ac:dyDescent="0.4">
      <c r="I1088" s="46"/>
      <c r="J1088" s="32"/>
      <c r="K1088" s="32"/>
      <c r="L1088" s="32"/>
      <c r="M1088" s="32"/>
      <c r="N1088" s="32"/>
      <c r="O1088" s="32"/>
      <c r="P1088" s="32"/>
      <c r="Q1088" s="32"/>
    </row>
    <row r="1089" spans="9:17" x14ac:dyDescent="0.4">
      <c r="I1089" s="46"/>
      <c r="J1089" s="32"/>
      <c r="K1089" s="32"/>
      <c r="L1089" s="32"/>
      <c r="M1089" s="32"/>
      <c r="N1089" s="32"/>
      <c r="O1089" s="32"/>
      <c r="P1089" s="32"/>
      <c r="Q1089" s="32"/>
    </row>
    <row r="1090" spans="9:17" x14ac:dyDescent="0.4">
      <c r="I1090" s="46"/>
      <c r="J1090" s="32"/>
      <c r="K1090" s="32"/>
      <c r="L1090" s="32"/>
      <c r="M1090" s="32"/>
      <c r="N1090" s="32"/>
      <c r="O1090" s="32"/>
      <c r="P1090" s="32"/>
      <c r="Q1090" s="32"/>
    </row>
    <row r="1091" spans="9:17" x14ac:dyDescent="0.4">
      <c r="I1091" s="46"/>
      <c r="J1091" s="32"/>
      <c r="K1091" s="32"/>
      <c r="L1091" s="32"/>
      <c r="M1091" s="32"/>
      <c r="N1091" s="32"/>
      <c r="O1091" s="32"/>
      <c r="P1091" s="32"/>
      <c r="Q1091" s="32"/>
    </row>
    <row r="1092" spans="9:17" x14ac:dyDescent="0.4">
      <c r="I1092" s="46"/>
      <c r="J1092" s="32"/>
      <c r="K1092" s="32"/>
      <c r="L1092" s="32"/>
      <c r="M1092" s="32"/>
      <c r="N1092" s="32"/>
      <c r="O1092" s="32"/>
      <c r="P1092" s="32"/>
      <c r="Q1092" s="32"/>
    </row>
    <row r="1093" spans="9:17" x14ac:dyDescent="0.4">
      <c r="I1093" s="46"/>
      <c r="J1093" s="32"/>
      <c r="K1093" s="32"/>
      <c r="L1093" s="32"/>
      <c r="M1093" s="32"/>
      <c r="N1093" s="32"/>
      <c r="O1093" s="32"/>
      <c r="P1093" s="32"/>
      <c r="Q1093" s="32"/>
    </row>
    <row r="1094" spans="9:17" x14ac:dyDescent="0.4">
      <c r="I1094" s="46"/>
      <c r="J1094" s="32"/>
      <c r="K1094" s="32"/>
      <c r="L1094" s="32"/>
      <c r="M1094" s="32"/>
      <c r="N1094" s="32"/>
      <c r="O1094" s="32"/>
      <c r="P1094" s="32"/>
      <c r="Q1094" s="32"/>
    </row>
    <row r="1095" spans="9:17" x14ac:dyDescent="0.4">
      <c r="I1095" s="46"/>
      <c r="J1095" s="32"/>
      <c r="K1095" s="32"/>
      <c r="L1095" s="32"/>
      <c r="M1095" s="32"/>
      <c r="N1095" s="32"/>
      <c r="O1095" s="32"/>
      <c r="P1095" s="32"/>
      <c r="Q1095" s="32"/>
    </row>
    <row r="1096" spans="9:17" x14ac:dyDescent="0.4">
      <c r="I1096" s="46"/>
      <c r="J1096" s="32"/>
      <c r="K1096" s="32"/>
      <c r="L1096" s="32"/>
      <c r="M1096" s="32"/>
      <c r="N1096" s="32"/>
      <c r="O1096" s="32"/>
      <c r="P1096" s="32"/>
      <c r="Q1096" s="32"/>
    </row>
    <row r="1097" spans="9:17" x14ac:dyDescent="0.4">
      <c r="I1097" s="46"/>
      <c r="J1097" s="32"/>
      <c r="K1097" s="32"/>
      <c r="L1097" s="32"/>
      <c r="M1097" s="32"/>
      <c r="N1097" s="32"/>
      <c r="O1097" s="32"/>
      <c r="P1097" s="32"/>
      <c r="Q1097" s="32"/>
    </row>
    <row r="1098" spans="9:17" x14ac:dyDescent="0.4">
      <c r="I1098" s="46"/>
      <c r="J1098" s="32"/>
      <c r="K1098" s="32"/>
      <c r="L1098" s="32"/>
      <c r="M1098" s="32"/>
      <c r="N1098" s="32"/>
      <c r="O1098" s="32"/>
      <c r="P1098" s="32"/>
      <c r="Q1098" s="32"/>
    </row>
    <row r="1099" spans="9:17" x14ac:dyDescent="0.4">
      <c r="I1099" s="46"/>
      <c r="J1099" s="32"/>
      <c r="K1099" s="32"/>
      <c r="L1099" s="32"/>
      <c r="M1099" s="32"/>
      <c r="N1099" s="32"/>
      <c r="O1099" s="32"/>
      <c r="P1099" s="32"/>
      <c r="Q1099" s="32"/>
    </row>
    <row r="1100" spans="9:17" x14ac:dyDescent="0.4">
      <c r="I1100" s="46"/>
      <c r="J1100" s="32"/>
      <c r="K1100" s="32"/>
      <c r="L1100" s="32"/>
      <c r="M1100" s="32"/>
      <c r="N1100" s="32"/>
      <c r="O1100" s="32"/>
      <c r="P1100" s="32"/>
      <c r="Q1100" s="32"/>
    </row>
    <row r="1101" spans="9:17" x14ac:dyDescent="0.4">
      <c r="I1101" s="46"/>
      <c r="J1101" s="32"/>
      <c r="K1101" s="32"/>
      <c r="L1101" s="32"/>
      <c r="M1101" s="32"/>
      <c r="N1101" s="32"/>
      <c r="O1101" s="32"/>
      <c r="P1101" s="32"/>
      <c r="Q1101" s="32"/>
    </row>
    <row r="1102" spans="9:17" x14ac:dyDescent="0.4">
      <c r="I1102" s="46"/>
      <c r="J1102" s="32"/>
      <c r="K1102" s="32"/>
      <c r="L1102" s="32"/>
      <c r="M1102" s="32"/>
      <c r="N1102" s="32"/>
      <c r="O1102" s="32"/>
      <c r="P1102" s="32"/>
      <c r="Q1102" s="32"/>
    </row>
    <row r="1103" spans="9:17" x14ac:dyDescent="0.4">
      <c r="I1103" s="46"/>
      <c r="J1103" s="32"/>
      <c r="K1103" s="32"/>
      <c r="L1103" s="32"/>
      <c r="M1103" s="32"/>
      <c r="N1103" s="32"/>
      <c r="O1103" s="32"/>
      <c r="P1103" s="32"/>
      <c r="Q1103" s="32"/>
    </row>
    <row r="1104" spans="9:17" x14ac:dyDescent="0.4">
      <c r="I1104" s="46"/>
      <c r="J1104" s="32"/>
      <c r="K1104" s="32"/>
      <c r="L1104" s="32"/>
      <c r="M1104" s="32"/>
      <c r="N1104" s="32"/>
      <c r="O1104" s="32"/>
      <c r="P1104" s="32"/>
      <c r="Q1104" s="32"/>
    </row>
    <row r="1105" spans="9:17" x14ac:dyDescent="0.4">
      <c r="I1105" s="46"/>
      <c r="J1105" s="32"/>
      <c r="K1105" s="32"/>
      <c r="L1105" s="32"/>
      <c r="M1105" s="32"/>
      <c r="N1105" s="32"/>
      <c r="O1105" s="32"/>
      <c r="P1105" s="32"/>
      <c r="Q1105" s="32"/>
    </row>
    <row r="1106" spans="9:17" x14ac:dyDescent="0.4">
      <c r="I1106" s="46"/>
      <c r="J1106" s="32"/>
      <c r="K1106" s="32"/>
      <c r="L1106" s="32"/>
      <c r="M1106" s="32"/>
      <c r="N1106" s="32"/>
      <c r="O1106" s="32"/>
      <c r="P1106" s="32"/>
      <c r="Q1106" s="32"/>
    </row>
    <row r="1107" spans="9:17" x14ac:dyDescent="0.4">
      <c r="I1107" s="46"/>
      <c r="J1107" s="32"/>
      <c r="K1107" s="32"/>
      <c r="L1107" s="32"/>
      <c r="M1107" s="32"/>
      <c r="N1107" s="32"/>
      <c r="O1107" s="32"/>
      <c r="P1107" s="32"/>
      <c r="Q1107" s="32"/>
    </row>
    <row r="1108" spans="9:17" x14ac:dyDescent="0.4">
      <c r="I1108" s="46"/>
      <c r="J1108" s="32"/>
      <c r="K1108" s="32"/>
      <c r="L1108" s="32"/>
      <c r="M1108" s="32"/>
      <c r="N1108" s="32"/>
      <c r="O1108" s="32"/>
      <c r="P1108" s="32"/>
      <c r="Q1108" s="32"/>
    </row>
    <row r="1109" spans="9:17" x14ac:dyDescent="0.4">
      <c r="I1109" s="46"/>
      <c r="J1109" s="32"/>
      <c r="K1109" s="32"/>
      <c r="L1109" s="32"/>
      <c r="M1109" s="32"/>
      <c r="N1109" s="32"/>
      <c r="O1109" s="32"/>
      <c r="P1109" s="32"/>
      <c r="Q1109" s="32"/>
    </row>
    <row r="1110" spans="9:17" x14ac:dyDescent="0.4">
      <c r="I1110" s="46"/>
      <c r="J1110" s="32"/>
      <c r="K1110" s="32"/>
      <c r="L1110" s="32"/>
      <c r="M1110" s="32"/>
      <c r="N1110" s="32"/>
      <c r="O1110" s="32"/>
      <c r="P1110" s="32"/>
      <c r="Q1110" s="32"/>
    </row>
    <row r="1111" spans="9:17" x14ac:dyDescent="0.4">
      <c r="I1111" s="46"/>
      <c r="J1111" s="32"/>
      <c r="K1111" s="32"/>
      <c r="L1111" s="32"/>
      <c r="M1111" s="32"/>
      <c r="N1111" s="32"/>
      <c r="O1111" s="32"/>
      <c r="P1111" s="32"/>
      <c r="Q1111" s="32"/>
    </row>
    <row r="1112" spans="9:17" x14ac:dyDescent="0.4">
      <c r="I1112" s="46"/>
      <c r="J1112" s="32"/>
      <c r="K1112" s="32"/>
      <c r="L1112" s="32"/>
      <c r="M1112" s="32"/>
      <c r="N1112" s="32"/>
      <c r="O1112" s="32"/>
      <c r="P1112" s="32"/>
      <c r="Q1112" s="32"/>
    </row>
    <row r="1113" spans="9:17" x14ac:dyDescent="0.4">
      <c r="I1113" s="46"/>
      <c r="J1113" s="32"/>
      <c r="K1113" s="32"/>
      <c r="L1113" s="32"/>
      <c r="M1113" s="32"/>
      <c r="N1113" s="32"/>
      <c r="O1113" s="32"/>
      <c r="P1113" s="32"/>
      <c r="Q1113" s="32"/>
    </row>
    <row r="1114" spans="9:17" x14ac:dyDescent="0.4">
      <c r="I1114" s="46"/>
      <c r="J1114" s="32"/>
      <c r="K1114" s="32"/>
      <c r="L1114" s="32"/>
      <c r="M1114" s="32"/>
      <c r="N1114" s="32"/>
      <c r="O1114" s="32"/>
      <c r="P1114" s="32"/>
      <c r="Q1114" s="32"/>
    </row>
    <row r="1115" spans="9:17" x14ac:dyDescent="0.4">
      <c r="I1115" s="46"/>
      <c r="J1115" s="32"/>
      <c r="K1115" s="32"/>
      <c r="L1115" s="32"/>
      <c r="M1115" s="32"/>
      <c r="N1115" s="32"/>
      <c r="O1115" s="32"/>
      <c r="P1115" s="32"/>
      <c r="Q1115" s="32"/>
    </row>
    <row r="1116" spans="9:17" x14ac:dyDescent="0.4">
      <c r="I1116" s="46"/>
      <c r="J1116" s="32"/>
      <c r="K1116" s="32"/>
      <c r="L1116" s="32"/>
      <c r="M1116" s="32"/>
      <c r="N1116" s="32"/>
      <c r="O1116" s="32"/>
      <c r="P1116" s="32"/>
      <c r="Q1116" s="32"/>
    </row>
    <row r="1117" spans="9:17" x14ac:dyDescent="0.4">
      <c r="I1117" s="46"/>
      <c r="J1117" s="32"/>
      <c r="K1117" s="32"/>
      <c r="L1117" s="32"/>
      <c r="M1117" s="32"/>
      <c r="N1117" s="32"/>
      <c r="O1117" s="32"/>
      <c r="P1117" s="32"/>
      <c r="Q1117" s="32"/>
    </row>
    <row r="1118" spans="9:17" x14ac:dyDescent="0.4">
      <c r="I1118" s="46"/>
      <c r="J1118" s="32"/>
      <c r="K1118" s="32"/>
      <c r="L1118" s="32"/>
      <c r="M1118" s="32"/>
      <c r="N1118" s="32"/>
      <c r="O1118" s="32"/>
      <c r="P1118" s="32"/>
      <c r="Q1118" s="32"/>
    </row>
    <row r="1119" spans="9:17" x14ac:dyDescent="0.4">
      <c r="I1119" s="46"/>
      <c r="J1119" s="32"/>
      <c r="K1119" s="32"/>
      <c r="L1119" s="32"/>
      <c r="M1119" s="32"/>
      <c r="N1119" s="32"/>
      <c r="O1119" s="32"/>
      <c r="P1119" s="32"/>
      <c r="Q1119" s="32"/>
    </row>
    <row r="1120" spans="9:17" x14ac:dyDescent="0.4">
      <c r="I1120" s="46"/>
      <c r="J1120" s="32"/>
      <c r="K1120" s="32"/>
      <c r="L1120" s="32"/>
      <c r="M1120" s="32"/>
      <c r="N1120" s="32"/>
      <c r="O1120" s="32"/>
      <c r="P1120" s="32"/>
      <c r="Q1120" s="32"/>
    </row>
    <row r="1121" spans="9:17" x14ac:dyDescent="0.4">
      <c r="I1121" s="46"/>
      <c r="J1121" s="32"/>
      <c r="K1121" s="32"/>
      <c r="L1121" s="32"/>
      <c r="M1121" s="32"/>
      <c r="N1121" s="32"/>
      <c r="O1121" s="32"/>
      <c r="P1121" s="32"/>
      <c r="Q1121" s="32"/>
    </row>
    <row r="1122" spans="9:17" x14ac:dyDescent="0.4">
      <c r="I1122" s="46"/>
      <c r="J1122" s="32"/>
      <c r="K1122" s="32"/>
      <c r="L1122" s="32"/>
      <c r="M1122" s="32"/>
      <c r="N1122" s="32"/>
      <c r="O1122" s="32"/>
      <c r="P1122" s="32"/>
      <c r="Q1122" s="32"/>
    </row>
    <row r="1123" spans="9:17" x14ac:dyDescent="0.4">
      <c r="I1123" s="46"/>
      <c r="J1123" s="32"/>
      <c r="K1123" s="32"/>
      <c r="L1123" s="32"/>
      <c r="M1123" s="32"/>
      <c r="N1123" s="32"/>
      <c r="O1123" s="32"/>
      <c r="P1123" s="32"/>
      <c r="Q1123" s="32"/>
    </row>
    <row r="1124" spans="9:17" x14ac:dyDescent="0.4">
      <c r="I1124" s="46"/>
      <c r="J1124" s="32"/>
      <c r="K1124" s="32"/>
      <c r="L1124" s="32"/>
      <c r="M1124" s="32"/>
      <c r="N1124" s="32"/>
      <c r="O1124" s="32"/>
      <c r="P1124" s="32"/>
      <c r="Q1124" s="32"/>
    </row>
    <row r="1125" spans="9:17" x14ac:dyDescent="0.4">
      <c r="I1125" s="46"/>
      <c r="J1125" s="32"/>
      <c r="K1125" s="32"/>
      <c r="L1125" s="32"/>
      <c r="M1125" s="32"/>
      <c r="N1125" s="32"/>
      <c r="O1125" s="32"/>
      <c r="P1125" s="32"/>
      <c r="Q1125" s="32"/>
    </row>
    <row r="1126" spans="9:17" x14ac:dyDescent="0.4">
      <c r="I1126" s="46"/>
      <c r="J1126" s="32"/>
      <c r="K1126" s="32"/>
      <c r="L1126" s="32"/>
      <c r="M1126" s="32"/>
      <c r="N1126" s="32"/>
      <c r="O1126" s="32"/>
      <c r="P1126" s="32"/>
      <c r="Q1126" s="32"/>
    </row>
    <row r="1127" spans="9:17" x14ac:dyDescent="0.4">
      <c r="I1127" s="46"/>
      <c r="J1127" s="32"/>
      <c r="K1127" s="32"/>
      <c r="L1127" s="32"/>
      <c r="M1127" s="32"/>
      <c r="N1127" s="32"/>
      <c r="O1127" s="32"/>
      <c r="P1127" s="32"/>
      <c r="Q1127" s="32"/>
    </row>
    <row r="1128" spans="9:17" x14ac:dyDescent="0.4">
      <c r="I1128" s="46"/>
      <c r="J1128" s="32"/>
      <c r="K1128" s="32"/>
      <c r="L1128" s="32"/>
      <c r="M1128" s="32"/>
      <c r="N1128" s="32"/>
      <c r="O1128" s="32"/>
      <c r="P1128" s="32"/>
      <c r="Q1128" s="32"/>
    </row>
    <row r="1129" spans="9:17" x14ac:dyDescent="0.4">
      <c r="I1129" s="46"/>
      <c r="J1129" s="32"/>
      <c r="K1129" s="32"/>
      <c r="L1129" s="32"/>
      <c r="M1129" s="32"/>
      <c r="N1129" s="32"/>
      <c r="O1129" s="32"/>
      <c r="P1129" s="32"/>
      <c r="Q1129" s="32"/>
    </row>
    <row r="1130" spans="9:17" x14ac:dyDescent="0.4">
      <c r="I1130" s="46"/>
      <c r="J1130" s="32"/>
      <c r="K1130" s="32"/>
      <c r="L1130" s="32"/>
      <c r="M1130" s="32"/>
      <c r="N1130" s="32"/>
      <c r="O1130" s="32"/>
      <c r="P1130" s="32"/>
      <c r="Q1130" s="32"/>
    </row>
    <row r="1131" spans="9:17" x14ac:dyDescent="0.4">
      <c r="I1131" s="46"/>
      <c r="J1131" s="32"/>
      <c r="K1131" s="32"/>
      <c r="L1131" s="32"/>
      <c r="M1131" s="32"/>
      <c r="N1131" s="32"/>
      <c r="O1131" s="32"/>
      <c r="P1131" s="32"/>
      <c r="Q1131" s="32"/>
    </row>
    <row r="1132" spans="9:17" x14ac:dyDescent="0.4">
      <c r="I1132" s="46"/>
      <c r="J1132" s="32"/>
      <c r="K1132" s="32"/>
      <c r="L1132" s="32"/>
      <c r="M1132" s="32"/>
      <c r="N1132" s="32"/>
      <c r="O1132" s="32"/>
      <c r="P1132" s="32"/>
      <c r="Q1132" s="32"/>
    </row>
    <row r="1133" spans="9:17" x14ac:dyDescent="0.4">
      <c r="I1133" s="46"/>
      <c r="J1133" s="32"/>
      <c r="K1133" s="32"/>
      <c r="L1133" s="32"/>
      <c r="M1133" s="32"/>
      <c r="N1133" s="32"/>
      <c r="O1133" s="32"/>
      <c r="P1133" s="32"/>
      <c r="Q1133" s="32"/>
    </row>
    <row r="1134" spans="9:17" x14ac:dyDescent="0.4">
      <c r="I1134" s="46"/>
      <c r="J1134" s="32"/>
      <c r="K1134" s="32"/>
      <c r="L1134" s="32"/>
      <c r="M1134" s="32"/>
      <c r="N1134" s="32"/>
      <c r="O1134" s="32"/>
      <c r="P1134" s="32"/>
      <c r="Q1134" s="32"/>
    </row>
    <row r="1135" spans="9:17" x14ac:dyDescent="0.4">
      <c r="I1135" s="46"/>
      <c r="J1135" s="32"/>
      <c r="K1135" s="32"/>
      <c r="L1135" s="32"/>
      <c r="M1135" s="32"/>
      <c r="N1135" s="32"/>
      <c r="O1135" s="32"/>
      <c r="P1135" s="32"/>
      <c r="Q1135" s="32"/>
    </row>
    <row r="1136" spans="9:17" x14ac:dyDescent="0.4">
      <c r="I1136" s="46"/>
      <c r="J1136" s="32"/>
      <c r="K1136" s="32"/>
      <c r="L1136" s="32"/>
      <c r="M1136" s="32"/>
      <c r="N1136" s="32"/>
      <c r="O1136" s="32"/>
      <c r="P1136" s="32"/>
      <c r="Q1136" s="32"/>
    </row>
    <row r="1137" spans="9:17" x14ac:dyDescent="0.4">
      <c r="I1137" s="46"/>
      <c r="J1137" s="32"/>
      <c r="K1137" s="32"/>
      <c r="L1137" s="32"/>
      <c r="M1137" s="32"/>
      <c r="N1137" s="32"/>
      <c r="O1137" s="32"/>
      <c r="P1137" s="32"/>
      <c r="Q1137" s="32"/>
    </row>
    <row r="1138" spans="9:17" x14ac:dyDescent="0.4">
      <c r="I1138" s="46"/>
      <c r="J1138" s="32"/>
      <c r="K1138" s="32"/>
      <c r="L1138" s="32"/>
      <c r="M1138" s="32"/>
      <c r="N1138" s="32"/>
      <c r="O1138" s="32"/>
      <c r="P1138" s="32"/>
      <c r="Q1138" s="32"/>
    </row>
    <row r="1139" spans="9:17" x14ac:dyDescent="0.4">
      <c r="I1139" s="46"/>
      <c r="J1139" s="32"/>
      <c r="K1139" s="32"/>
      <c r="L1139" s="32"/>
      <c r="M1139" s="32"/>
      <c r="N1139" s="32"/>
      <c r="O1139" s="32"/>
      <c r="P1139" s="32"/>
      <c r="Q1139" s="32"/>
    </row>
    <row r="1140" spans="9:17" x14ac:dyDescent="0.4">
      <c r="I1140" s="46"/>
      <c r="J1140" s="32"/>
      <c r="K1140" s="32"/>
      <c r="L1140" s="32"/>
      <c r="M1140" s="32"/>
      <c r="N1140" s="32"/>
      <c r="O1140" s="32"/>
      <c r="P1140" s="32"/>
      <c r="Q1140" s="32"/>
    </row>
    <row r="1141" spans="9:17" x14ac:dyDescent="0.4">
      <c r="I1141" s="46"/>
      <c r="J1141" s="32"/>
      <c r="K1141" s="32"/>
      <c r="L1141" s="32"/>
      <c r="M1141" s="32"/>
      <c r="N1141" s="32"/>
      <c r="O1141" s="32"/>
      <c r="P1141" s="32"/>
      <c r="Q1141" s="32"/>
    </row>
    <row r="1142" spans="9:17" x14ac:dyDescent="0.4">
      <c r="I1142" s="46"/>
      <c r="J1142" s="32"/>
      <c r="K1142" s="32"/>
      <c r="L1142" s="32"/>
      <c r="M1142" s="32"/>
      <c r="N1142" s="32"/>
      <c r="O1142" s="32"/>
      <c r="P1142" s="32"/>
      <c r="Q1142" s="32"/>
    </row>
    <row r="1143" spans="9:17" x14ac:dyDescent="0.4">
      <c r="I1143" s="46"/>
      <c r="J1143" s="32"/>
      <c r="K1143" s="32"/>
      <c r="L1143" s="32"/>
      <c r="M1143" s="32"/>
      <c r="N1143" s="32"/>
      <c r="O1143" s="32"/>
      <c r="P1143" s="32"/>
      <c r="Q1143" s="32"/>
    </row>
    <row r="1144" spans="9:17" x14ac:dyDescent="0.4">
      <c r="I1144" s="46"/>
      <c r="J1144" s="32"/>
      <c r="K1144" s="32"/>
      <c r="L1144" s="32"/>
      <c r="M1144" s="32"/>
      <c r="N1144" s="32"/>
      <c r="O1144" s="32"/>
      <c r="P1144" s="32"/>
      <c r="Q1144" s="32"/>
    </row>
    <row r="1145" spans="9:17" x14ac:dyDescent="0.4">
      <c r="I1145" s="46"/>
      <c r="J1145" s="32"/>
      <c r="K1145" s="32"/>
      <c r="L1145" s="32"/>
      <c r="M1145" s="32"/>
      <c r="N1145" s="32"/>
      <c r="O1145" s="32"/>
      <c r="P1145" s="32"/>
      <c r="Q1145" s="32"/>
    </row>
    <row r="1146" spans="9:17" x14ac:dyDescent="0.4">
      <c r="I1146" s="46"/>
      <c r="J1146" s="32"/>
      <c r="K1146" s="32"/>
      <c r="L1146" s="32"/>
      <c r="M1146" s="32"/>
      <c r="N1146" s="32"/>
      <c r="O1146" s="32"/>
      <c r="P1146" s="32"/>
      <c r="Q1146" s="32"/>
    </row>
    <row r="1147" spans="9:17" x14ac:dyDescent="0.4">
      <c r="I1147" s="46"/>
      <c r="J1147" s="32"/>
      <c r="K1147" s="32"/>
      <c r="L1147" s="32"/>
      <c r="M1147" s="32"/>
      <c r="N1147" s="32"/>
      <c r="O1147" s="32"/>
      <c r="P1147" s="32"/>
      <c r="Q1147" s="32"/>
    </row>
    <row r="1148" spans="9:17" x14ac:dyDescent="0.4">
      <c r="I1148" s="46"/>
      <c r="J1148" s="32"/>
      <c r="K1148" s="32"/>
      <c r="L1148" s="32"/>
      <c r="M1148" s="32"/>
      <c r="N1148" s="32"/>
      <c r="O1148" s="32"/>
      <c r="P1148" s="32"/>
      <c r="Q1148" s="32"/>
    </row>
    <row r="1149" spans="9:17" x14ac:dyDescent="0.4">
      <c r="I1149" s="46"/>
      <c r="J1149" s="32"/>
      <c r="K1149" s="32"/>
      <c r="L1149" s="32"/>
      <c r="M1149" s="32"/>
      <c r="N1149" s="32"/>
      <c r="O1149" s="32"/>
      <c r="P1149" s="32"/>
      <c r="Q1149" s="32"/>
    </row>
    <row r="1150" spans="9:17" x14ac:dyDescent="0.4">
      <c r="I1150" s="46"/>
      <c r="J1150" s="32"/>
      <c r="K1150" s="32"/>
      <c r="L1150" s="32"/>
      <c r="M1150" s="32"/>
      <c r="N1150" s="32"/>
      <c r="O1150" s="32"/>
      <c r="P1150" s="32"/>
      <c r="Q1150" s="32"/>
    </row>
    <row r="1151" spans="9:17" x14ac:dyDescent="0.4">
      <c r="I1151" s="46"/>
      <c r="J1151" s="32"/>
      <c r="K1151" s="32"/>
      <c r="L1151" s="32"/>
      <c r="M1151" s="32"/>
      <c r="N1151" s="32"/>
      <c r="O1151" s="32"/>
      <c r="P1151" s="32"/>
      <c r="Q1151" s="32"/>
    </row>
    <row r="1152" spans="9:17" x14ac:dyDescent="0.4">
      <c r="I1152" s="46"/>
      <c r="J1152" s="32"/>
      <c r="K1152" s="32"/>
      <c r="L1152" s="32"/>
      <c r="M1152" s="32"/>
      <c r="N1152" s="32"/>
      <c r="O1152" s="32"/>
      <c r="P1152" s="32"/>
      <c r="Q1152" s="32"/>
    </row>
    <row r="1153" spans="9:17" x14ac:dyDescent="0.4">
      <c r="I1153" s="46"/>
      <c r="J1153" s="32"/>
      <c r="K1153" s="32"/>
      <c r="L1153" s="32"/>
      <c r="M1153" s="32"/>
      <c r="N1153" s="32"/>
      <c r="O1153" s="32"/>
      <c r="P1153" s="32"/>
      <c r="Q1153" s="32"/>
    </row>
    <row r="1154" spans="9:17" x14ac:dyDescent="0.4">
      <c r="I1154" s="46"/>
      <c r="J1154" s="32"/>
      <c r="K1154" s="32"/>
      <c r="L1154" s="32"/>
      <c r="M1154" s="32"/>
      <c r="N1154" s="32"/>
      <c r="O1154" s="32"/>
      <c r="P1154" s="32"/>
      <c r="Q1154" s="32"/>
    </row>
    <row r="1155" spans="9:17" x14ac:dyDescent="0.4">
      <c r="I1155" s="46"/>
      <c r="J1155" s="32"/>
      <c r="K1155" s="32"/>
      <c r="L1155" s="32"/>
      <c r="M1155" s="32"/>
      <c r="N1155" s="32"/>
      <c r="O1155" s="32"/>
      <c r="P1155" s="32"/>
      <c r="Q1155" s="32"/>
    </row>
    <row r="1156" spans="9:17" x14ac:dyDescent="0.4">
      <c r="I1156" s="46"/>
      <c r="J1156" s="32"/>
      <c r="K1156" s="32"/>
      <c r="L1156" s="32"/>
      <c r="M1156" s="32"/>
      <c r="N1156" s="32"/>
      <c r="O1156" s="32"/>
      <c r="P1156" s="32"/>
      <c r="Q1156" s="32"/>
    </row>
    <row r="1157" spans="9:17" x14ac:dyDescent="0.4">
      <c r="I1157" s="46"/>
      <c r="J1157" s="32"/>
      <c r="K1157" s="32"/>
      <c r="L1157" s="32"/>
      <c r="M1157" s="32"/>
      <c r="N1157" s="32"/>
      <c r="O1157" s="32"/>
      <c r="P1157" s="32"/>
      <c r="Q1157" s="32"/>
    </row>
    <row r="1158" spans="9:17" x14ac:dyDescent="0.4">
      <c r="I1158" s="46"/>
      <c r="J1158" s="32"/>
      <c r="K1158" s="32"/>
      <c r="L1158" s="32"/>
      <c r="M1158" s="32"/>
      <c r="N1158" s="32"/>
      <c r="O1158" s="32"/>
      <c r="P1158" s="32"/>
      <c r="Q1158" s="32"/>
    </row>
    <row r="1159" spans="9:17" x14ac:dyDescent="0.4">
      <c r="I1159" s="46"/>
      <c r="J1159" s="32"/>
      <c r="K1159" s="32"/>
      <c r="L1159" s="32"/>
      <c r="M1159" s="32"/>
      <c r="N1159" s="32"/>
      <c r="O1159" s="32"/>
      <c r="P1159" s="32"/>
      <c r="Q1159" s="32"/>
    </row>
    <row r="1160" spans="9:17" x14ac:dyDescent="0.4">
      <c r="I1160" s="46"/>
      <c r="J1160" s="32"/>
      <c r="K1160" s="32"/>
      <c r="L1160" s="32"/>
      <c r="M1160" s="32"/>
      <c r="N1160" s="32"/>
      <c r="O1160" s="32"/>
      <c r="P1160" s="32"/>
      <c r="Q1160" s="32"/>
    </row>
    <row r="1161" spans="9:17" x14ac:dyDescent="0.4">
      <c r="I1161" s="46"/>
      <c r="J1161" s="32"/>
      <c r="K1161" s="32"/>
      <c r="L1161" s="32"/>
      <c r="M1161" s="32"/>
      <c r="N1161" s="32"/>
      <c r="O1161" s="32"/>
      <c r="P1161" s="32"/>
      <c r="Q1161" s="32"/>
    </row>
    <row r="1162" spans="9:17" x14ac:dyDescent="0.4">
      <c r="I1162" s="46"/>
      <c r="J1162" s="32"/>
      <c r="K1162" s="32"/>
      <c r="L1162" s="32"/>
      <c r="M1162" s="32"/>
      <c r="N1162" s="32"/>
      <c r="O1162" s="32"/>
      <c r="P1162" s="32"/>
      <c r="Q1162" s="32"/>
    </row>
    <row r="1163" spans="9:17" x14ac:dyDescent="0.4">
      <c r="I1163" s="46"/>
      <c r="J1163" s="32"/>
      <c r="K1163" s="32"/>
      <c r="L1163" s="32"/>
      <c r="M1163" s="32"/>
      <c r="N1163" s="32"/>
      <c r="O1163" s="32"/>
      <c r="P1163" s="32"/>
      <c r="Q1163" s="32"/>
    </row>
    <row r="1164" spans="9:17" x14ac:dyDescent="0.4">
      <c r="I1164" s="46"/>
      <c r="J1164" s="32"/>
      <c r="K1164" s="32"/>
      <c r="L1164" s="32"/>
      <c r="M1164" s="32"/>
      <c r="N1164" s="32"/>
      <c r="O1164" s="32"/>
      <c r="P1164" s="32"/>
      <c r="Q1164" s="32"/>
    </row>
    <row r="1165" spans="9:17" x14ac:dyDescent="0.4">
      <c r="I1165" s="46"/>
      <c r="J1165" s="32"/>
      <c r="K1165" s="32"/>
      <c r="L1165" s="32"/>
      <c r="M1165" s="32"/>
      <c r="N1165" s="32"/>
      <c r="O1165" s="32"/>
      <c r="P1165" s="32"/>
      <c r="Q1165" s="32"/>
    </row>
    <row r="1166" spans="9:17" x14ac:dyDescent="0.4">
      <c r="I1166" s="46"/>
      <c r="J1166" s="32"/>
      <c r="K1166" s="32"/>
      <c r="L1166" s="32"/>
      <c r="M1166" s="32"/>
      <c r="N1166" s="32"/>
      <c r="O1166" s="32"/>
      <c r="P1166" s="32"/>
      <c r="Q1166" s="32"/>
    </row>
    <row r="1167" spans="9:17" x14ac:dyDescent="0.4">
      <c r="I1167" s="46"/>
      <c r="J1167" s="32"/>
      <c r="K1167" s="32"/>
      <c r="L1167" s="32"/>
      <c r="M1167" s="32"/>
      <c r="N1167" s="32"/>
      <c r="O1167" s="32"/>
      <c r="P1167" s="32"/>
      <c r="Q1167" s="32"/>
    </row>
    <row r="1168" spans="9:17" x14ac:dyDescent="0.4">
      <c r="I1168" s="46"/>
      <c r="J1168" s="32"/>
      <c r="K1168" s="32"/>
      <c r="L1168" s="32"/>
      <c r="M1168" s="32"/>
      <c r="N1168" s="32"/>
      <c r="O1168" s="32"/>
      <c r="P1168" s="32"/>
      <c r="Q1168" s="32"/>
    </row>
    <row r="1169" spans="9:17" x14ac:dyDescent="0.4">
      <c r="I1169" s="46"/>
      <c r="J1169" s="32"/>
      <c r="K1169" s="32"/>
      <c r="L1169" s="32"/>
      <c r="M1169" s="32"/>
      <c r="N1169" s="32"/>
      <c r="O1169" s="32"/>
      <c r="P1169" s="32"/>
      <c r="Q1169" s="32"/>
    </row>
    <row r="1170" spans="9:17" x14ac:dyDescent="0.4">
      <c r="I1170" s="46"/>
      <c r="J1170" s="32"/>
      <c r="K1170" s="32"/>
      <c r="L1170" s="32"/>
      <c r="M1170" s="32"/>
      <c r="N1170" s="32"/>
      <c r="O1170" s="32"/>
      <c r="P1170" s="32"/>
      <c r="Q1170" s="32"/>
    </row>
    <row r="1171" spans="9:17" x14ac:dyDescent="0.4">
      <c r="I1171" s="46"/>
      <c r="J1171" s="32"/>
      <c r="K1171" s="32"/>
      <c r="L1171" s="32"/>
      <c r="M1171" s="32"/>
      <c r="N1171" s="32"/>
      <c r="O1171" s="32"/>
      <c r="P1171" s="32"/>
      <c r="Q1171" s="32"/>
    </row>
    <row r="1172" spans="9:17" x14ac:dyDescent="0.4">
      <c r="I1172" s="46"/>
      <c r="J1172" s="32"/>
      <c r="K1172" s="32"/>
      <c r="L1172" s="32"/>
      <c r="M1172" s="32"/>
      <c r="N1172" s="32"/>
      <c r="O1172" s="32"/>
      <c r="P1172" s="32"/>
      <c r="Q1172" s="32"/>
    </row>
    <row r="1173" spans="9:17" x14ac:dyDescent="0.4">
      <c r="I1173" s="46"/>
      <c r="J1173" s="32"/>
      <c r="K1173" s="32"/>
      <c r="L1173" s="32"/>
      <c r="M1173" s="32"/>
      <c r="N1173" s="32"/>
      <c r="O1173" s="32"/>
      <c r="P1173" s="32"/>
      <c r="Q1173" s="32"/>
    </row>
    <row r="1174" spans="9:17" x14ac:dyDescent="0.4">
      <c r="I1174" s="46"/>
      <c r="J1174" s="32"/>
      <c r="K1174" s="32"/>
      <c r="L1174" s="32"/>
      <c r="M1174" s="32"/>
      <c r="N1174" s="32"/>
      <c r="O1174" s="32"/>
      <c r="P1174" s="32"/>
      <c r="Q1174" s="32"/>
    </row>
    <row r="1175" spans="9:17" x14ac:dyDescent="0.4">
      <c r="I1175" s="46"/>
      <c r="J1175" s="32"/>
      <c r="K1175" s="32"/>
      <c r="L1175" s="32"/>
      <c r="M1175" s="32"/>
      <c r="N1175" s="32"/>
      <c r="O1175" s="32"/>
      <c r="P1175" s="32"/>
      <c r="Q1175" s="32"/>
    </row>
    <row r="1176" spans="9:17" x14ac:dyDescent="0.4">
      <c r="I1176" s="46"/>
      <c r="J1176" s="32"/>
      <c r="K1176" s="32"/>
      <c r="L1176" s="32"/>
      <c r="M1176" s="32"/>
      <c r="N1176" s="32"/>
      <c r="O1176" s="32"/>
      <c r="P1176" s="32"/>
      <c r="Q1176" s="32"/>
    </row>
    <row r="1177" spans="9:17" x14ac:dyDescent="0.4">
      <c r="I1177" s="46"/>
      <c r="J1177" s="32"/>
      <c r="K1177" s="32"/>
      <c r="L1177" s="32"/>
      <c r="M1177" s="32"/>
      <c r="N1177" s="32"/>
      <c r="O1177" s="32"/>
      <c r="P1177" s="32"/>
      <c r="Q1177" s="32"/>
    </row>
    <row r="1178" spans="9:17" x14ac:dyDescent="0.4">
      <c r="I1178" s="46"/>
      <c r="J1178" s="32"/>
      <c r="K1178" s="32"/>
      <c r="L1178" s="32"/>
      <c r="M1178" s="32"/>
      <c r="N1178" s="32"/>
      <c r="O1178" s="32"/>
      <c r="P1178" s="32"/>
      <c r="Q1178" s="32"/>
    </row>
    <row r="1179" spans="9:17" x14ac:dyDescent="0.4">
      <c r="I1179" s="46"/>
      <c r="J1179" s="32"/>
      <c r="K1179" s="32"/>
      <c r="L1179" s="32"/>
      <c r="M1179" s="32"/>
      <c r="N1179" s="32"/>
      <c r="O1179" s="32"/>
      <c r="P1179" s="32"/>
      <c r="Q1179" s="32"/>
    </row>
    <row r="1180" spans="9:17" x14ac:dyDescent="0.4">
      <c r="I1180" s="46"/>
      <c r="J1180" s="32"/>
      <c r="K1180" s="32"/>
      <c r="L1180" s="32"/>
      <c r="M1180" s="32"/>
      <c r="N1180" s="32"/>
      <c r="O1180" s="32"/>
      <c r="P1180" s="32"/>
      <c r="Q1180" s="32"/>
    </row>
    <row r="1181" spans="9:17" x14ac:dyDescent="0.4">
      <c r="I1181" s="46"/>
      <c r="J1181" s="32"/>
      <c r="K1181" s="32"/>
      <c r="L1181" s="32"/>
      <c r="M1181" s="32"/>
      <c r="N1181" s="32"/>
      <c r="O1181" s="32"/>
      <c r="P1181" s="32"/>
      <c r="Q1181" s="32"/>
    </row>
    <row r="1182" spans="9:17" x14ac:dyDescent="0.4">
      <c r="I1182" s="46"/>
      <c r="J1182" s="32"/>
      <c r="K1182" s="32"/>
      <c r="L1182" s="32"/>
      <c r="M1182" s="32"/>
      <c r="N1182" s="32"/>
      <c r="O1182" s="32"/>
      <c r="P1182" s="32"/>
      <c r="Q1182" s="32"/>
    </row>
    <row r="1183" spans="9:17" x14ac:dyDescent="0.4">
      <c r="I1183" s="46"/>
      <c r="J1183" s="32"/>
      <c r="K1183" s="32"/>
      <c r="L1183" s="32"/>
      <c r="M1183" s="32"/>
      <c r="N1183" s="32"/>
      <c r="O1183" s="32"/>
      <c r="P1183" s="32"/>
      <c r="Q1183" s="32"/>
    </row>
    <row r="1184" spans="9:17" x14ac:dyDescent="0.4">
      <c r="I1184" s="46"/>
      <c r="J1184" s="32"/>
      <c r="K1184" s="32"/>
      <c r="L1184" s="32"/>
      <c r="M1184" s="32"/>
      <c r="N1184" s="32"/>
      <c r="O1184" s="32"/>
      <c r="P1184" s="32"/>
      <c r="Q1184" s="32"/>
    </row>
    <row r="1185" spans="9:17" x14ac:dyDescent="0.4">
      <c r="I1185" s="46"/>
      <c r="J1185" s="32"/>
      <c r="K1185" s="32"/>
      <c r="L1185" s="32"/>
      <c r="M1185" s="32"/>
      <c r="N1185" s="32"/>
      <c r="O1185" s="32"/>
      <c r="P1185" s="32"/>
      <c r="Q1185" s="32"/>
    </row>
    <row r="1186" spans="9:17" x14ac:dyDescent="0.4">
      <c r="I1186" s="46"/>
      <c r="J1186" s="32"/>
      <c r="K1186" s="32"/>
      <c r="L1186" s="32"/>
      <c r="M1186" s="32"/>
      <c r="N1186" s="32"/>
      <c r="O1186" s="32"/>
      <c r="P1186" s="32"/>
      <c r="Q1186" s="32"/>
    </row>
    <row r="1187" spans="9:17" x14ac:dyDescent="0.4">
      <c r="I1187" s="46"/>
      <c r="J1187" s="32"/>
      <c r="K1187" s="32"/>
      <c r="L1187" s="32"/>
      <c r="M1187" s="32"/>
      <c r="N1187" s="32"/>
      <c r="O1187" s="32"/>
      <c r="P1187" s="32"/>
      <c r="Q1187" s="32"/>
    </row>
    <row r="1188" spans="9:17" x14ac:dyDescent="0.4">
      <c r="I1188" s="46"/>
      <c r="J1188" s="32"/>
      <c r="K1188" s="32"/>
      <c r="L1188" s="32"/>
      <c r="M1188" s="32"/>
      <c r="N1188" s="32"/>
      <c r="O1188" s="32"/>
      <c r="P1188" s="32"/>
      <c r="Q1188" s="32"/>
    </row>
    <row r="1189" spans="9:17" x14ac:dyDescent="0.4">
      <c r="I1189" s="46"/>
      <c r="J1189" s="32"/>
      <c r="K1189" s="32"/>
      <c r="L1189" s="32"/>
      <c r="M1189" s="32"/>
      <c r="N1189" s="32"/>
      <c r="O1189" s="32"/>
      <c r="P1189" s="32"/>
      <c r="Q1189" s="32"/>
    </row>
    <row r="1190" spans="9:17" x14ac:dyDescent="0.4">
      <c r="I1190" s="46"/>
      <c r="J1190" s="32"/>
      <c r="K1190" s="32"/>
      <c r="L1190" s="32"/>
      <c r="M1190" s="32"/>
      <c r="N1190" s="32"/>
      <c r="O1190" s="32"/>
      <c r="P1190" s="32"/>
      <c r="Q1190" s="32"/>
    </row>
    <row r="1191" spans="9:17" x14ac:dyDescent="0.4">
      <c r="I1191" s="46"/>
      <c r="J1191" s="32"/>
      <c r="K1191" s="32"/>
      <c r="L1191" s="32"/>
      <c r="M1191" s="32"/>
      <c r="N1191" s="32"/>
      <c r="O1191" s="32"/>
      <c r="P1191" s="32"/>
      <c r="Q1191" s="32"/>
    </row>
    <row r="1192" spans="9:17" x14ac:dyDescent="0.4">
      <c r="I1192" s="46"/>
      <c r="J1192" s="32"/>
      <c r="K1192" s="32"/>
      <c r="L1192" s="32"/>
      <c r="M1192" s="32"/>
      <c r="N1192" s="32"/>
      <c r="O1192" s="32"/>
      <c r="P1192" s="32"/>
      <c r="Q1192" s="32"/>
    </row>
    <row r="1193" spans="9:17" x14ac:dyDescent="0.4">
      <c r="I1193" s="46"/>
      <c r="J1193" s="32"/>
      <c r="K1193" s="32"/>
      <c r="L1193" s="32"/>
      <c r="M1193" s="32"/>
      <c r="N1193" s="32"/>
      <c r="O1193" s="32"/>
      <c r="P1193" s="32"/>
      <c r="Q1193" s="32"/>
    </row>
    <row r="1194" spans="9:17" x14ac:dyDescent="0.4">
      <c r="I1194" s="46"/>
      <c r="J1194" s="32"/>
      <c r="K1194" s="32"/>
      <c r="L1194" s="32"/>
      <c r="M1194" s="32"/>
      <c r="N1194" s="32"/>
      <c r="O1194" s="32"/>
      <c r="P1194" s="32"/>
      <c r="Q1194" s="32"/>
    </row>
    <row r="1195" spans="9:17" x14ac:dyDescent="0.4">
      <c r="I1195" s="46"/>
      <c r="J1195" s="32"/>
      <c r="K1195" s="32"/>
      <c r="L1195" s="32"/>
      <c r="M1195" s="32"/>
      <c r="N1195" s="32"/>
      <c r="O1195" s="32"/>
      <c r="P1195" s="32"/>
      <c r="Q1195" s="32"/>
    </row>
    <row r="1196" spans="9:17" x14ac:dyDescent="0.4">
      <c r="I1196" s="46"/>
      <c r="J1196" s="32"/>
      <c r="K1196" s="32"/>
      <c r="L1196" s="32"/>
      <c r="M1196" s="32"/>
      <c r="N1196" s="32"/>
      <c r="O1196" s="32"/>
      <c r="P1196" s="32"/>
      <c r="Q1196" s="32"/>
    </row>
    <row r="1197" spans="9:17" x14ac:dyDescent="0.4">
      <c r="I1197" s="46"/>
      <c r="J1197" s="32"/>
      <c r="K1197" s="32"/>
      <c r="L1197" s="32"/>
      <c r="M1197" s="32"/>
      <c r="N1197" s="32"/>
      <c r="O1197" s="32"/>
      <c r="P1197" s="32"/>
      <c r="Q1197" s="32"/>
    </row>
    <row r="1198" spans="9:17" x14ac:dyDescent="0.4">
      <c r="I1198" s="46"/>
      <c r="J1198" s="32"/>
      <c r="K1198" s="32"/>
      <c r="L1198" s="32"/>
      <c r="M1198" s="32"/>
      <c r="N1198" s="32"/>
      <c r="O1198" s="32"/>
      <c r="P1198" s="32"/>
      <c r="Q1198" s="32"/>
    </row>
    <row r="1199" spans="9:17" x14ac:dyDescent="0.4">
      <c r="I1199" s="46"/>
      <c r="J1199" s="32"/>
      <c r="K1199" s="32"/>
      <c r="L1199" s="32"/>
      <c r="M1199" s="32"/>
      <c r="N1199" s="32"/>
      <c r="O1199" s="32"/>
      <c r="P1199" s="32"/>
      <c r="Q1199" s="32"/>
    </row>
    <row r="1200" spans="9:17" x14ac:dyDescent="0.4">
      <c r="I1200" s="46"/>
      <c r="J1200" s="32"/>
      <c r="K1200" s="32"/>
      <c r="L1200" s="32"/>
      <c r="M1200" s="32"/>
      <c r="N1200" s="32"/>
      <c r="O1200" s="32"/>
      <c r="P1200" s="32"/>
      <c r="Q1200" s="32"/>
    </row>
    <row r="1201" spans="9:17" x14ac:dyDescent="0.4">
      <c r="I1201" s="46"/>
      <c r="J1201" s="32"/>
      <c r="K1201" s="32"/>
      <c r="L1201" s="32"/>
      <c r="M1201" s="32"/>
      <c r="N1201" s="32"/>
      <c r="O1201" s="32"/>
      <c r="P1201" s="32"/>
      <c r="Q1201" s="32"/>
    </row>
    <row r="1202" spans="9:17" x14ac:dyDescent="0.4">
      <c r="I1202" s="46"/>
      <c r="J1202" s="32"/>
      <c r="K1202" s="32"/>
      <c r="L1202" s="32"/>
      <c r="M1202" s="32"/>
      <c r="N1202" s="32"/>
      <c r="O1202" s="32"/>
      <c r="P1202" s="32"/>
      <c r="Q1202" s="32"/>
    </row>
    <row r="1203" spans="9:17" x14ac:dyDescent="0.4">
      <c r="I1203" s="46"/>
      <c r="J1203" s="32"/>
      <c r="K1203" s="32"/>
      <c r="L1203" s="32"/>
      <c r="M1203" s="32"/>
      <c r="N1203" s="32"/>
      <c r="O1203" s="32"/>
      <c r="P1203" s="32"/>
      <c r="Q1203" s="32"/>
    </row>
    <row r="1204" spans="9:17" x14ac:dyDescent="0.4">
      <c r="I1204" s="46"/>
      <c r="J1204" s="32"/>
      <c r="K1204" s="32"/>
      <c r="L1204" s="32"/>
      <c r="M1204" s="32"/>
      <c r="N1204" s="32"/>
      <c r="O1204" s="32"/>
      <c r="P1204" s="32"/>
      <c r="Q1204" s="32"/>
    </row>
    <row r="1205" spans="9:17" x14ac:dyDescent="0.4">
      <c r="I1205" s="46"/>
      <c r="J1205" s="32"/>
      <c r="K1205" s="32"/>
      <c r="L1205" s="32"/>
      <c r="M1205" s="32"/>
      <c r="N1205" s="32"/>
      <c r="O1205" s="32"/>
      <c r="P1205" s="32"/>
      <c r="Q1205" s="32"/>
    </row>
    <row r="1206" spans="9:17" x14ac:dyDescent="0.4">
      <c r="I1206" s="46"/>
      <c r="J1206" s="32"/>
      <c r="K1206" s="32"/>
      <c r="L1206" s="32"/>
      <c r="M1206" s="32"/>
      <c r="N1206" s="32"/>
      <c r="O1206" s="32"/>
      <c r="P1206" s="32"/>
      <c r="Q1206" s="32"/>
    </row>
    <row r="1207" spans="9:17" x14ac:dyDescent="0.4">
      <c r="I1207" s="46"/>
      <c r="J1207" s="32"/>
      <c r="K1207" s="32"/>
      <c r="L1207" s="32"/>
      <c r="M1207" s="32"/>
      <c r="N1207" s="32"/>
      <c r="O1207" s="32"/>
      <c r="P1207" s="32"/>
      <c r="Q1207" s="32"/>
    </row>
    <row r="1208" spans="9:17" x14ac:dyDescent="0.4">
      <c r="I1208" s="46"/>
      <c r="J1208" s="32"/>
      <c r="K1208" s="32"/>
      <c r="L1208" s="32"/>
      <c r="M1208" s="32"/>
      <c r="N1208" s="32"/>
      <c r="O1208" s="32"/>
      <c r="P1208" s="32"/>
      <c r="Q1208" s="32"/>
    </row>
    <row r="1209" spans="9:17" x14ac:dyDescent="0.4">
      <c r="I1209" s="46"/>
      <c r="J1209" s="32"/>
      <c r="K1209" s="32"/>
      <c r="L1209" s="32"/>
      <c r="M1209" s="32"/>
      <c r="N1209" s="32"/>
      <c r="O1209" s="32"/>
      <c r="P1209" s="32"/>
      <c r="Q1209" s="32"/>
    </row>
    <row r="1210" spans="9:17" x14ac:dyDescent="0.4">
      <c r="I1210" s="46"/>
      <c r="J1210" s="32"/>
      <c r="K1210" s="32"/>
      <c r="L1210" s="32"/>
      <c r="M1210" s="32"/>
      <c r="N1210" s="32"/>
      <c r="O1210" s="32"/>
      <c r="P1210" s="32"/>
      <c r="Q1210" s="32"/>
    </row>
    <row r="1211" spans="9:17" x14ac:dyDescent="0.4">
      <c r="I1211" s="46"/>
      <c r="J1211" s="32"/>
      <c r="K1211" s="32"/>
      <c r="L1211" s="32"/>
      <c r="M1211" s="32"/>
      <c r="N1211" s="32"/>
      <c r="O1211" s="32"/>
      <c r="P1211" s="32"/>
      <c r="Q1211" s="32"/>
    </row>
    <row r="1212" spans="9:17" x14ac:dyDescent="0.4">
      <c r="I1212" s="46"/>
      <c r="J1212" s="32"/>
      <c r="K1212" s="32"/>
      <c r="L1212" s="32"/>
      <c r="M1212" s="32"/>
      <c r="N1212" s="32"/>
      <c r="O1212" s="32"/>
      <c r="P1212" s="32"/>
      <c r="Q1212" s="32"/>
    </row>
    <row r="1213" spans="9:17" x14ac:dyDescent="0.4">
      <c r="I1213" s="46"/>
      <c r="J1213" s="32"/>
      <c r="K1213" s="32"/>
      <c r="L1213" s="32"/>
      <c r="M1213" s="32"/>
      <c r="N1213" s="32"/>
      <c r="O1213" s="32"/>
      <c r="P1213" s="32"/>
      <c r="Q1213" s="32"/>
    </row>
    <row r="1214" spans="9:17" x14ac:dyDescent="0.4">
      <c r="I1214" s="46"/>
      <c r="J1214" s="32"/>
      <c r="K1214" s="32"/>
      <c r="L1214" s="32"/>
      <c r="M1214" s="32"/>
      <c r="N1214" s="32"/>
      <c r="O1214" s="32"/>
      <c r="P1214" s="32"/>
      <c r="Q1214" s="32"/>
    </row>
    <row r="1215" spans="9:17" x14ac:dyDescent="0.4">
      <c r="I1215" s="46"/>
      <c r="J1215" s="32"/>
      <c r="K1215" s="32"/>
      <c r="L1215" s="32"/>
      <c r="M1215" s="32"/>
      <c r="N1215" s="32"/>
      <c r="O1215" s="32"/>
      <c r="P1215" s="32"/>
      <c r="Q1215" s="32"/>
    </row>
    <row r="1216" spans="9:17" x14ac:dyDescent="0.4">
      <c r="I1216" s="46"/>
      <c r="J1216" s="32"/>
      <c r="K1216" s="32"/>
      <c r="L1216" s="32"/>
      <c r="M1216" s="32"/>
      <c r="N1216" s="32"/>
      <c r="O1216" s="32"/>
      <c r="P1216" s="32"/>
      <c r="Q1216" s="32"/>
    </row>
    <row r="1217" spans="9:17" x14ac:dyDescent="0.4">
      <c r="I1217" s="46"/>
      <c r="J1217" s="32"/>
      <c r="K1217" s="32"/>
      <c r="L1217" s="32"/>
      <c r="M1217" s="32"/>
      <c r="N1217" s="32"/>
      <c r="O1217" s="32"/>
      <c r="P1217" s="32"/>
      <c r="Q1217" s="32"/>
    </row>
    <row r="1218" spans="9:17" x14ac:dyDescent="0.4">
      <c r="I1218" s="46"/>
      <c r="J1218" s="32"/>
      <c r="K1218" s="32"/>
      <c r="L1218" s="32"/>
      <c r="M1218" s="32"/>
      <c r="N1218" s="32"/>
      <c r="O1218" s="32"/>
      <c r="P1218" s="32"/>
      <c r="Q1218" s="32"/>
    </row>
    <row r="1219" spans="9:17" x14ac:dyDescent="0.4">
      <c r="I1219" s="46"/>
      <c r="J1219" s="32"/>
      <c r="K1219" s="32"/>
      <c r="L1219" s="32"/>
      <c r="M1219" s="32"/>
      <c r="N1219" s="32"/>
      <c r="O1219" s="32"/>
      <c r="P1219" s="32"/>
      <c r="Q1219" s="32"/>
    </row>
    <row r="1220" spans="9:17" x14ac:dyDescent="0.4">
      <c r="I1220" s="46"/>
      <c r="J1220" s="32"/>
      <c r="K1220" s="32"/>
      <c r="L1220" s="32"/>
      <c r="M1220" s="32"/>
      <c r="N1220" s="32"/>
      <c r="O1220" s="32"/>
      <c r="P1220" s="32"/>
      <c r="Q1220" s="32"/>
    </row>
    <row r="1221" spans="9:17" x14ac:dyDescent="0.4">
      <c r="I1221" s="46"/>
      <c r="J1221" s="32"/>
      <c r="K1221" s="32"/>
      <c r="L1221" s="32"/>
      <c r="M1221" s="32"/>
      <c r="N1221" s="32"/>
      <c r="O1221" s="32"/>
      <c r="P1221" s="32"/>
      <c r="Q1221" s="32"/>
    </row>
    <row r="1222" spans="9:17" x14ac:dyDescent="0.4">
      <c r="I1222" s="46"/>
      <c r="J1222" s="32"/>
      <c r="K1222" s="32"/>
      <c r="L1222" s="32"/>
      <c r="M1222" s="32"/>
      <c r="N1222" s="32"/>
      <c r="O1222" s="32"/>
      <c r="P1222" s="32"/>
      <c r="Q1222" s="32"/>
    </row>
    <row r="1223" spans="9:17" x14ac:dyDescent="0.4">
      <c r="I1223" s="46"/>
      <c r="J1223" s="32"/>
      <c r="K1223" s="32"/>
      <c r="L1223" s="32"/>
      <c r="M1223" s="32"/>
      <c r="N1223" s="32"/>
      <c r="O1223" s="32"/>
      <c r="P1223" s="32"/>
      <c r="Q1223" s="32"/>
    </row>
    <row r="1224" spans="9:17" x14ac:dyDescent="0.4">
      <c r="I1224" s="46"/>
      <c r="J1224" s="32"/>
      <c r="K1224" s="32"/>
      <c r="L1224" s="32"/>
      <c r="M1224" s="32"/>
      <c r="N1224" s="32"/>
      <c r="O1224" s="32"/>
      <c r="P1224" s="32"/>
      <c r="Q1224" s="32"/>
    </row>
    <row r="1225" spans="9:17" x14ac:dyDescent="0.4">
      <c r="I1225" s="46"/>
      <c r="J1225" s="32"/>
      <c r="K1225" s="32"/>
      <c r="L1225" s="32"/>
      <c r="M1225" s="32"/>
      <c r="N1225" s="32"/>
      <c r="O1225" s="32"/>
      <c r="P1225" s="32"/>
      <c r="Q1225" s="32"/>
    </row>
    <row r="1226" spans="9:17" x14ac:dyDescent="0.4">
      <c r="I1226" s="46"/>
      <c r="J1226" s="32"/>
      <c r="K1226" s="32"/>
      <c r="L1226" s="32"/>
      <c r="M1226" s="32"/>
      <c r="N1226" s="32"/>
      <c r="O1226" s="32"/>
      <c r="P1226" s="32"/>
      <c r="Q1226" s="32"/>
    </row>
    <row r="1227" spans="9:17" x14ac:dyDescent="0.4">
      <c r="I1227" s="46"/>
      <c r="J1227" s="32"/>
      <c r="K1227" s="32"/>
      <c r="L1227" s="32"/>
      <c r="M1227" s="32"/>
      <c r="N1227" s="32"/>
      <c r="O1227" s="32"/>
      <c r="P1227" s="32"/>
      <c r="Q1227" s="32"/>
    </row>
    <row r="1228" spans="9:17" x14ac:dyDescent="0.4">
      <c r="I1228" s="46"/>
      <c r="J1228" s="32"/>
      <c r="K1228" s="32"/>
      <c r="L1228" s="32"/>
      <c r="M1228" s="32"/>
      <c r="N1228" s="32"/>
      <c r="O1228" s="32"/>
      <c r="P1228" s="32"/>
      <c r="Q1228" s="32"/>
    </row>
    <row r="1229" spans="9:17" x14ac:dyDescent="0.4">
      <c r="I1229" s="46"/>
      <c r="J1229" s="32"/>
      <c r="K1229" s="32"/>
      <c r="L1229" s="32"/>
      <c r="M1229" s="32"/>
      <c r="N1229" s="32"/>
      <c r="O1229" s="32"/>
      <c r="P1229" s="32"/>
      <c r="Q1229" s="32"/>
    </row>
    <row r="1230" spans="9:17" x14ac:dyDescent="0.4">
      <c r="I1230" s="46"/>
      <c r="J1230" s="32"/>
      <c r="K1230" s="32"/>
      <c r="L1230" s="32"/>
      <c r="M1230" s="32"/>
      <c r="N1230" s="32"/>
      <c r="O1230" s="32"/>
      <c r="P1230" s="32"/>
      <c r="Q1230" s="32"/>
    </row>
    <row r="1231" spans="9:17" x14ac:dyDescent="0.4">
      <c r="I1231" s="46"/>
      <c r="J1231" s="32"/>
      <c r="K1231" s="32"/>
      <c r="L1231" s="32"/>
      <c r="M1231" s="32"/>
      <c r="N1231" s="32"/>
      <c r="O1231" s="32"/>
      <c r="P1231" s="32"/>
      <c r="Q1231" s="32"/>
    </row>
    <row r="1232" spans="9:17" x14ac:dyDescent="0.4">
      <c r="I1232" s="46"/>
      <c r="J1232" s="32"/>
      <c r="K1232" s="32"/>
      <c r="L1232" s="32"/>
      <c r="M1232" s="32"/>
      <c r="N1232" s="32"/>
      <c r="O1232" s="32"/>
      <c r="P1232" s="32"/>
      <c r="Q1232" s="32"/>
    </row>
    <row r="1233" spans="9:17" x14ac:dyDescent="0.4">
      <c r="I1233" s="46"/>
      <c r="J1233" s="32"/>
      <c r="K1233" s="32"/>
      <c r="L1233" s="32"/>
      <c r="M1233" s="32"/>
      <c r="N1233" s="32"/>
      <c r="O1233" s="32"/>
      <c r="P1233" s="32"/>
      <c r="Q1233" s="32"/>
    </row>
    <row r="1234" spans="9:17" x14ac:dyDescent="0.4">
      <c r="I1234" s="46"/>
      <c r="J1234" s="32"/>
      <c r="K1234" s="32"/>
      <c r="L1234" s="32"/>
      <c r="M1234" s="32"/>
      <c r="N1234" s="32"/>
      <c r="O1234" s="32"/>
      <c r="P1234" s="32"/>
      <c r="Q1234" s="32"/>
    </row>
    <row r="1235" spans="9:17" x14ac:dyDescent="0.4">
      <c r="I1235" s="46"/>
      <c r="J1235" s="32"/>
      <c r="K1235" s="32"/>
      <c r="L1235" s="32"/>
      <c r="M1235" s="32"/>
      <c r="N1235" s="32"/>
      <c r="O1235" s="32"/>
      <c r="P1235" s="32"/>
      <c r="Q1235" s="32"/>
    </row>
    <row r="1236" spans="9:17" x14ac:dyDescent="0.4">
      <c r="I1236" s="46"/>
      <c r="J1236" s="32"/>
      <c r="K1236" s="32"/>
      <c r="L1236" s="32"/>
      <c r="M1236" s="32"/>
      <c r="N1236" s="32"/>
      <c r="O1236" s="32"/>
      <c r="P1236" s="32"/>
      <c r="Q1236" s="32"/>
    </row>
    <row r="1237" spans="9:17" x14ac:dyDescent="0.4">
      <c r="I1237" s="46"/>
      <c r="J1237" s="32"/>
      <c r="K1237" s="32"/>
      <c r="L1237" s="32"/>
      <c r="M1237" s="32"/>
      <c r="N1237" s="32"/>
      <c r="O1237" s="32"/>
      <c r="P1237" s="32"/>
      <c r="Q1237" s="32"/>
    </row>
    <row r="1238" spans="9:17" x14ac:dyDescent="0.4">
      <c r="I1238" s="46"/>
      <c r="J1238" s="32"/>
      <c r="K1238" s="32"/>
      <c r="L1238" s="32"/>
      <c r="M1238" s="32"/>
      <c r="N1238" s="32"/>
      <c r="O1238" s="32"/>
      <c r="P1238" s="32"/>
      <c r="Q1238" s="32"/>
    </row>
    <row r="1239" spans="9:17" x14ac:dyDescent="0.4">
      <c r="I1239" s="46"/>
      <c r="J1239" s="32"/>
      <c r="K1239" s="32"/>
      <c r="L1239" s="32"/>
      <c r="M1239" s="32"/>
      <c r="N1239" s="32"/>
      <c r="O1239" s="32"/>
      <c r="P1239" s="32"/>
      <c r="Q1239" s="32"/>
    </row>
    <row r="1240" spans="9:17" x14ac:dyDescent="0.4">
      <c r="I1240" s="46"/>
      <c r="J1240" s="32"/>
      <c r="K1240" s="32"/>
      <c r="L1240" s="32"/>
      <c r="M1240" s="32"/>
      <c r="N1240" s="32"/>
      <c r="O1240" s="32"/>
      <c r="P1240" s="32"/>
      <c r="Q1240" s="32"/>
    </row>
    <row r="1241" spans="9:17" x14ac:dyDescent="0.4">
      <c r="I1241" s="46"/>
      <c r="J1241" s="32"/>
      <c r="K1241" s="32"/>
      <c r="L1241" s="32"/>
      <c r="M1241" s="32"/>
      <c r="N1241" s="32"/>
      <c r="O1241" s="32"/>
      <c r="P1241" s="32"/>
      <c r="Q1241" s="32"/>
    </row>
    <row r="1242" spans="9:17" x14ac:dyDescent="0.4">
      <c r="I1242" s="46"/>
      <c r="J1242" s="32"/>
      <c r="K1242" s="32"/>
      <c r="L1242" s="32"/>
      <c r="M1242" s="32"/>
      <c r="N1242" s="32"/>
      <c r="O1242" s="32"/>
      <c r="P1242" s="32"/>
      <c r="Q1242" s="32"/>
    </row>
    <row r="1243" spans="9:17" x14ac:dyDescent="0.4">
      <c r="I1243" s="46"/>
      <c r="J1243" s="32"/>
      <c r="K1243" s="32"/>
      <c r="L1243" s="32"/>
      <c r="M1243" s="32"/>
      <c r="N1243" s="32"/>
      <c r="O1243" s="32"/>
      <c r="P1243" s="32"/>
      <c r="Q1243" s="32"/>
    </row>
    <row r="1244" spans="9:17" x14ac:dyDescent="0.4">
      <c r="I1244" s="46"/>
      <c r="J1244" s="32"/>
      <c r="K1244" s="32"/>
      <c r="L1244" s="32"/>
      <c r="M1244" s="32"/>
      <c r="N1244" s="32"/>
      <c r="O1244" s="32"/>
      <c r="P1244" s="32"/>
      <c r="Q1244" s="32"/>
    </row>
    <row r="1245" spans="9:17" x14ac:dyDescent="0.4">
      <c r="I1245" s="46"/>
      <c r="J1245" s="32"/>
      <c r="K1245" s="32"/>
      <c r="L1245" s="32"/>
      <c r="M1245" s="32"/>
      <c r="N1245" s="32"/>
      <c r="O1245" s="32"/>
      <c r="P1245" s="32"/>
      <c r="Q1245" s="32"/>
    </row>
    <row r="1246" spans="9:17" x14ac:dyDescent="0.4">
      <c r="I1246" s="46"/>
      <c r="J1246" s="32"/>
      <c r="K1246" s="32"/>
      <c r="L1246" s="32"/>
      <c r="M1246" s="32"/>
      <c r="N1246" s="32"/>
      <c r="O1246" s="32"/>
      <c r="P1246" s="32"/>
      <c r="Q1246" s="32"/>
    </row>
    <row r="1247" spans="9:17" x14ac:dyDescent="0.4">
      <c r="I1247" s="46"/>
      <c r="J1247" s="32"/>
      <c r="K1247" s="32"/>
      <c r="L1247" s="32"/>
      <c r="M1247" s="32"/>
      <c r="N1247" s="32"/>
      <c r="O1247" s="32"/>
      <c r="P1247" s="32"/>
      <c r="Q1247" s="32"/>
    </row>
    <row r="1248" spans="9:17" x14ac:dyDescent="0.4">
      <c r="I1248" s="46"/>
      <c r="J1248" s="32"/>
      <c r="K1248" s="32"/>
      <c r="L1248" s="32"/>
      <c r="M1248" s="32"/>
      <c r="N1248" s="32"/>
      <c r="O1248" s="32"/>
      <c r="P1248" s="32"/>
      <c r="Q1248" s="32"/>
    </row>
    <row r="1249" spans="9:17" x14ac:dyDescent="0.4">
      <c r="I1249" s="46"/>
      <c r="J1249" s="32"/>
      <c r="K1249" s="32"/>
      <c r="L1249" s="32"/>
      <c r="M1249" s="32"/>
      <c r="N1249" s="32"/>
      <c r="O1249" s="32"/>
      <c r="P1249" s="32"/>
      <c r="Q1249" s="32"/>
    </row>
    <row r="1250" spans="9:17" x14ac:dyDescent="0.4">
      <c r="I1250" s="46"/>
      <c r="J1250" s="32"/>
      <c r="K1250" s="32"/>
      <c r="L1250" s="32"/>
      <c r="M1250" s="32"/>
      <c r="N1250" s="32"/>
      <c r="O1250" s="32"/>
      <c r="P1250" s="32"/>
      <c r="Q1250" s="32"/>
    </row>
    <row r="1251" spans="9:17" x14ac:dyDescent="0.4">
      <c r="I1251" s="46"/>
      <c r="J1251" s="32"/>
      <c r="K1251" s="32"/>
      <c r="L1251" s="32"/>
      <c r="M1251" s="32"/>
      <c r="N1251" s="32"/>
      <c r="O1251" s="32"/>
      <c r="P1251" s="32"/>
      <c r="Q1251" s="32"/>
    </row>
    <row r="1252" spans="9:17" x14ac:dyDescent="0.4">
      <c r="I1252" s="46"/>
      <c r="J1252" s="32"/>
      <c r="K1252" s="32"/>
      <c r="L1252" s="32"/>
      <c r="M1252" s="32"/>
      <c r="N1252" s="32"/>
      <c r="O1252" s="32"/>
      <c r="P1252" s="32"/>
      <c r="Q1252" s="32"/>
    </row>
    <row r="1253" spans="9:17" x14ac:dyDescent="0.4">
      <c r="I1253" s="46"/>
      <c r="J1253" s="32"/>
      <c r="K1253" s="32"/>
      <c r="L1253" s="32"/>
      <c r="M1253" s="32"/>
      <c r="N1253" s="32"/>
      <c r="O1253" s="32"/>
      <c r="P1253" s="32"/>
      <c r="Q1253" s="32"/>
    </row>
    <row r="1254" spans="9:17" x14ac:dyDescent="0.4">
      <c r="I1254" s="46"/>
      <c r="J1254" s="32"/>
      <c r="K1254" s="32"/>
      <c r="L1254" s="32"/>
      <c r="M1254" s="32"/>
      <c r="N1254" s="32"/>
      <c r="O1254" s="32"/>
      <c r="P1254" s="32"/>
      <c r="Q1254" s="32"/>
    </row>
    <row r="1255" spans="9:17" x14ac:dyDescent="0.4">
      <c r="I1255" s="46"/>
      <c r="J1255" s="32"/>
      <c r="K1255" s="32"/>
      <c r="L1255" s="32"/>
      <c r="M1255" s="32"/>
      <c r="N1255" s="32"/>
      <c r="O1255" s="32"/>
      <c r="P1255" s="32"/>
      <c r="Q1255" s="32"/>
    </row>
    <row r="1256" spans="9:17" x14ac:dyDescent="0.4">
      <c r="I1256" s="46"/>
      <c r="J1256" s="32"/>
      <c r="K1256" s="32"/>
      <c r="L1256" s="32"/>
      <c r="M1256" s="32"/>
      <c r="N1256" s="32"/>
      <c r="O1256" s="32"/>
      <c r="P1256" s="32"/>
      <c r="Q1256" s="32"/>
    </row>
    <row r="1257" spans="9:17" x14ac:dyDescent="0.4">
      <c r="I1257" s="46"/>
      <c r="J1257" s="32"/>
      <c r="K1257" s="32"/>
      <c r="L1257" s="32"/>
      <c r="M1257" s="32"/>
      <c r="N1257" s="32"/>
      <c r="O1257" s="32"/>
      <c r="P1257" s="32"/>
      <c r="Q1257" s="32"/>
    </row>
    <row r="1258" spans="9:17" x14ac:dyDescent="0.4">
      <c r="I1258" s="46"/>
      <c r="J1258" s="32"/>
      <c r="K1258" s="32"/>
      <c r="L1258" s="32"/>
      <c r="M1258" s="32"/>
      <c r="N1258" s="32"/>
      <c r="O1258" s="32"/>
      <c r="P1258" s="32"/>
      <c r="Q1258" s="32"/>
    </row>
    <row r="1259" spans="9:17" x14ac:dyDescent="0.4">
      <c r="I1259" s="46"/>
      <c r="J1259" s="32"/>
      <c r="K1259" s="32"/>
      <c r="L1259" s="32"/>
      <c r="M1259" s="32"/>
      <c r="N1259" s="32"/>
      <c r="O1259" s="32"/>
      <c r="P1259" s="32"/>
      <c r="Q1259" s="32"/>
    </row>
    <row r="1260" spans="9:17" x14ac:dyDescent="0.4">
      <c r="I1260" s="46"/>
      <c r="J1260" s="32"/>
      <c r="K1260" s="32"/>
      <c r="L1260" s="32"/>
      <c r="M1260" s="32"/>
      <c r="N1260" s="32"/>
      <c r="O1260" s="32"/>
      <c r="P1260" s="32"/>
      <c r="Q1260" s="32"/>
    </row>
    <row r="1261" spans="9:17" x14ac:dyDescent="0.4">
      <c r="I1261" s="46"/>
      <c r="J1261" s="32"/>
      <c r="K1261" s="32"/>
      <c r="L1261" s="32"/>
      <c r="M1261" s="32"/>
      <c r="N1261" s="32"/>
      <c r="O1261" s="32"/>
      <c r="P1261" s="32"/>
      <c r="Q1261" s="32"/>
    </row>
    <row r="1262" spans="9:17" x14ac:dyDescent="0.4">
      <c r="I1262" s="46"/>
      <c r="J1262" s="32"/>
      <c r="K1262" s="32"/>
      <c r="L1262" s="32"/>
      <c r="M1262" s="32"/>
      <c r="N1262" s="32"/>
      <c r="O1262" s="32"/>
      <c r="P1262" s="32"/>
      <c r="Q1262" s="32"/>
    </row>
    <row r="1263" spans="9:17" x14ac:dyDescent="0.4">
      <c r="I1263" s="46"/>
      <c r="J1263" s="32"/>
      <c r="K1263" s="32"/>
      <c r="L1263" s="32"/>
      <c r="M1263" s="32"/>
      <c r="N1263" s="32"/>
      <c r="O1263" s="32"/>
      <c r="P1263" s="32"/>
      <c r="Q1263" s="32"/>
    </row>
    <row r="1264" spans="9:17" x14ac:dyDescent="0.4">
      <c r="I1264" s="46"/>
      <c r="J1264" s="32"/>
      <c r="K1264" s="32"/>
      <c r="L1264" s="32"/>
      <c r="M1264" s="32"/>
      <c r="N1264" s="32"/>
      <c r="O1264" s="32"/>
      <c r="P1264" s="32"/>
      <c r="Q1264" s="32"/>
    </row>
    <row r="1265" spans="9:17" x14ac:dyDescent="0.4">
      <c r="I1265" s="46"/>
      <c r="J1265" s="32"/>
      <c r="K1265" s="32"/>
      <c r="L1265" s="32"/>
      <c r="M1265" s="32"/>
      <c r="N1265" s="32"/>
      <c r="O1265" s="32"/>
      <c r="P1265" s="32"/>
      <c r="Q1265" s="32"/>
    </row>
    <row r="1266" spans="9:17" x14ac:dyDescent="0.4">
      <c r="I1266" s="46"/>
      <c r="J1266" s="32"/>
      <c r="K1266" s="32"/>
      <c r="L1266" s="32"/>
      <c r="M1266" s="32"/>
      <c r="N1266" s="32"/>
      <c r="O1266" s="32"/>
      <c r="P1266" s="32"/>
      <c r="Q1266" s="32"/>
    </row>
    <row r="1267" spans="9:17" x14ac:dyDescent="0.4">
      <c r="I1267" s="46"/>
      <c r="J1267" s="32"/>
      <c r="K1267" s="32"/>
      <c r="L1267" s="32"/>
      <c r="M1267" s="32"/>
      <c r="N1267" s="32"/>
      <c r="O1267" s="32"/>
      <c r="P1267" s="32"/>
      <c r="Q1267" s="32"/>
    </row>
    <row r="1268" spans="9:17" x14ac:dyDescent="0.4">
      <c r="I1268" s="46"/>
      <c r="J1268" s="32"/>
      <c r="K1268" s="32"/>
      <c r="L1268" s="32"/>
      <c r="M1268" s="32"/>
      <c r="N1268" s="32"/>
      <c r="O1268" s="32"/>
      <c r="P1268" s="32"/>
      <c r="Q1268" s="32"/>
    </row>
    <row r="1269" spans="9:17" x14ac:dyDescent="0.4">
      <c r="I1269" s="46"/>
      <c r="J1269" s="32"/>
      <c r="K1269" s="32"/>
      <c r="L1269" s="32"/>
      <c r="M1269" s="32"/>
      <c r="N1269" s="32"/>
      <c r="O1269" s="32"/>
      <c r="P1269" s="32"/>
      <c r="Q1269" s="32"/>
    </row>
    <row r="1270" spans="9:17" x14ac:dyDescent="0.4">
      <c r="I1270" s="46"/>
      <c r="J1270" s="32"/>
      <c r="K1270" s="32"/>
      <c r="L1270" s="32"/>
      <c r="M1270" s="32"/>
      <c r="N1270" s="32"/>
      <c r="O1270" s="32"/>
      <c r="P1270" s="32"/>
      <c r="Q1270" s="32"/>
    </row>
    <row r="1271" spans="9:17" x14ac:dyDescent="0.4">
      <c r="I1271" s="46"/>
      <c r="J1271" s="32"/>
      <c r="K1271" s="32"/>
      <c r="L1271" s="32"/>
      <c r="M1271" s="32"/>
      <c r="N1271" s="32"/>
      <c r="O1271" s="32"/>
      <c r="P1271" s="32"/>
      <c r="Q1271" s="32"/>
    </row>
    <row r="1272" spans="9:17" x14ac:dyDescent="0.4">
      <c r="I1272" s="46"/>
      <c r="J1272" s="32"/>
      <c r="K1272" s="32"/>
      <c r="L1272" s="32"/>
      <c r="M1272" s="32"/>
      <c r="N1272" s="32"/>
      <c r="O1272" s="32"/>
      <c r="P1272" s="32"/>
      <c r="Q1272" s="32"/>
    </row>
    <row r="1273" spans="9:17" x14ac:dyDescent="0.4">
      <c r="I1273" s="46"/>
      <c r="J1273" s="32"/>
      <c r="K1273" s="32"/>
      <c r="L1273" s="32"/>
      <c r="M1273" s="32"/>
      <c r="N1273" s="32"/>
      <c r="O1273" s="32"/>
      <c r="P1273" s="32"/>
      <c r="Q1273" s="32"/>
    </row>
    <row r="1274" spans="9:17" x14ac:dyDescent="0.4">
      <c r="I1274" s="46"/>
      <c r="J1274" s="32"/>
      <c r="K1274" s="32"/>
      <c r="L1274" s="32"/>
      <c r="M1274" s="32"/>
      <c r="N1274" s="32"/>
      <c r="O1274" s="32"/>
      <c r="P1274" s="32"/>
      <c r="Q1274" s="32"/>
    </row>
    <row r="1275" spans="9:17" x14ac:dyDescent="0.4">
      <c r="I1275" s="46"/>
      <c r="J1275" s="32"/>
      <c r="K1275" s="32"/>
      <c r="L1275" s="32"/>
      <c r="M1275" s="32"/>
      <c r="N1275" s="32"/>
      <c r="O1275" s="32"/>
      <c r="P1275" s="32"/>
      <c r="Q1275" s="32"/>
    </row>
    <row r="1276" spans="9:17" x14ac:dyDescent="0.4">
      <c r="I1276" s="46"/>
      <c r="J1276" s="32"/>
      <c r="K1276" s="32"/>
      <c r="L1276" s="32"/>
      <c r="M1276" s="32"/>
      <c r="N1276" s="32"/>
      <c r="O1276" s="32"/>
      <c r="P1276" s="32"/>
      <c r="Q1276" s="32"/>
    </row>
    <row r="1277" spans="9:17" x14ac:dyDescent="0.4">
      <c r="I1277" s="46"/>
      <c r="J1277" s="32"/>
      <c r="K1277" s="32"/>
      <c r="L1277" s="32"/>
      <c r="M1277" s="32"/>
      <c r="N1277" s="32"/>
      <c r="O1277" s="32"/>
      <c r="P1277" s="32"/>
      <c r="Q1277" s="32"/>
    </row>
    <row r="1278" spans="9:17" x14ac:dyDescent="0.4">
      <c r="I1278" s="46"/>
      <c r="J1278" s="32"/>
      <c r="K1278" s="32"/>
      <c r="L1278" s="32"/>
      <c r="M1278" s="32"/>
      <c r="N1278" s="32"/>
      <c r="O1278" s="32"/>
      <c r="P1278" s="32"/>
      <c r="Q1278" s="32"/>
    </row>
    <row r="1279" spans="9:17" x14ac:dyDescent="0.4">
      <c r="I1279" s="46"/>
      <c r="J1279" s="32"/>
      <c r="K1279" s="32"/>
      <c r="L1279" s="32"/>
      <c r="M1279" s="32"/>
      <c r="N1279" s="32"/>
      <c r="O1279" s="32"/>
      <c r="P1279" s="32"/>
      <c r="Q1279" s="32"/>
    </row>
    <row r="1280" spans="9:17" x14ac:dyDescent="0.4">
      <c r="I1280" s="46"/>
      <c r="J1280" s="32"/>
      <c r="K1280" s="32"/>
      <c r="L1280" s="32"/>
      <c r="M1280" s="32"/>
      <c r="N1280" s="32"/>
      <c r="O1280" s="32"/>
      <c r="P1280" s="32"/>
      <c r="Q1280" s="32"/>
    </row>
    <row r="1281" spans="9:17" x14ac:dyDescent="0.4">
      <c r="I1281" s="46"/>
      <c r="J1281" s="32"/>
      <c r="K1281" s="32"/>
      <c r="L1281" s="32"/>
      <c r="M1281" s="32"/>
      <c r="N1281" s="32"/>
      <c r="O1281" s="32"/>
      <c r="P1281" s="32"/>
      <c r="Q1281" s="32"/>
    </row>
    <row r="1282" spans="9:17" x14ac:dyDescent="0.4">
      <c r="I1282" s="46"/>
      <c r="J1282" s="32"/>
      <c r="K1282" s="32"/>
      <c r="L1282" s="32"/>
      <c r="M1282" s="32"/>
      <c r="N1282" s="32"/>
      <c r="O1282" s="32"/>
      <c r="P1282" s="32"/>
      <c r="Q1282" s="32"/>
    </row>
    <row r="1283" spans="9:17" x14ac:dyDescent="0.4">
      <c r="I1283" s="46"/>
      <c r="J1283" s="32"/>
      <c r="K1283" s="32"/>
      <c r="L1283" s="32"/>
      <c r="M1283" s="32"/>
      <c r="N1283" s="32"/>
      <c r="O1283" s="32"/>
      <c r="P1283" s="32"/>
      <c r="Q1283" s="32"/>
    </row>
    <row r="1284" spans="9:17" x14ac:dyDescent="0.4">
      <c r="I1284" s="46"/>
      <c r="J1284" s="32"/>
      <c r="K1284" s="32"/>
      <c r="L1284" s="32"/>
      <c r="M1284" s="32"/>
      <c r="N1284" s="32"/>
      <c r="O1284" s="32"/>
      <c r="P1284" s="32"/>
      <c r="Q1284" s="32"/>
    </row>
    <row r="1285" spans="9:17" x14ac:dyDescent="0.4">
      <c r="I1285" s="46"/>
      <c r="J1285" s="32"/>
      <c r="K1285" s="32"/>
      <c r="L1285" s="32"/>
      <c r="M1285" s="32"/>
      <c r="N1285" s="32"/>
      <c r="O1285" s="32"/>
      <c r="P1285" s="32"/>
      <c r="Q1285" s="32"/>
    </row>
    <row r="1286" spans="9:17" x14ac:dyDescent="0.4">
      <c r="I1286" s="46"/>
      <c r="J1286" s="32"/>
      <c r="K1286" s="32"/>
      <c r="L1286" s="32"/>
      <c r="M1286" s="32"/>
      <c r="N1286" s="32"/>
      <c r="O1286" s="32"/>
      <c r="P1286" s="32"/>
      <c r="Q1286" s="32"/>
    </row>
    <row r="1287" spans="9:17" x14ac:dyDescent="0.4">
      <c r="I1287" s="46"/>
      <c r="J1287" s="32"/>
      <c r="K1287" s="32"/>
      <c r="L1287" s="32"/>
      <c r="M1287" s="32"/>
      <c r="N1287" s="32"/>
      <c r="O1287" s="32"/>
      <c r="P1287" s="32"/>
      <c r="Q1287" s="32"/>
    </row>
    <row r="1288" spans="9:17" x14ac:dyDescent="0.4">
      <c r="I1288" s="46"/>
      <c r="J1288" s="32"/>
      <c r="K1288" s="32"/>
      <c r="L1288" s="32"/>
      <c r="M1288" s="32"/>
      <c r="N1288" s="32"/>
      <c r="O1288" s="32"/>
      <c r="P1288" s="32"/>
      <c r="Q1288" s="32"/>
    </row>
    <row r="1289" spans="9:17" x14ac:dyDescent="0.4">
      <c r="I1289" s="46"/>
      <c r="J1289" s="32"/>
      <c r="K1289" s="32"/>
      <c r="L1289" s="32"/>
      <c r="M1289" s="32"/>
      <c r="N1289" s="32"/>
      <c r="O1289" s="32"/>
      <c r="P1289" s="32"/>
      <c r="Q1289" s="32"/>
    </row>
    <row r="1290" spans="9:17" x14ac:dyDescent="0.4">
      <c r="I1290" s="46"/>
      <c r="J1290" s="32"/>
      <c r="K1290" s="32"/>
      <c r="L1290" s="32"/>
      <c r="M1290" s="32"/>
      <c r="N1290" s="32"/>
      <c r="O1290" s="32"/>
      <c r="P1290" s="32"/>
      <c r="Q1290" s="32"/>
    </row>
    <row r="1291" spans="9:17" x14ac:dyDescent="0.4">
      <c r="I1291" s="46"/>
      <c r="J1291" s="32"/>
      <c r="K1291" s="32"/>
      <c r="L1291" s="32"/>
      <c r="M1291" s="32"/>
      <c r="N1291" s="32"/>
      <c r="O1291" s="32"/>
      <c r="P1291" s="32"/>
      <c r="Q1291" s="32"/>
    </row>
    <row r="1292" spans="9:17" x14ac:dyDescent="0.4">
      <c r="I1292" s="46"/>
      <c r="J1292" s="32"/>
      <c r="K1292" s="32"/>
      <c r="L1292" s="32"/>
      <c r="M1292" s="32"/>
      <c r="N1292" s="32"/>
      <c r="O1292" s="32"/>
      <c r="P1292" s="32"/>
      <c r="Q1292" s="32"/>
    </row>
    <row r="1293" spans="9:17" x14ac:dyDescent="0.4">
      <c r="I1293" s="46"/>
      <c r="J1293" s="32"/>
      <c r="K1293" s="32"/>
      <c r="L1293" s="32"/>
      <c r="M1293" s="32"/>
      <c r="N1293" s="32"/>
      <c r="O1293" s="32"/>
      <c r="P1293" s="32"/>
      <c r="Q1293" s="32"/>
    </row>
    <row r="1294" spans="9:17" x14ac:dyDescent="0.4">
      <c r="I1294" s="46"/>
      <c r="J1294" s="32"/>
      <c r="K1294" s="32"/>
      <c r="L1294" s="32"/>
      <c r="M1294" s="32"/>
      <c r="N1294" s="32"/>
      <c r="O1294" s="32"/>
      <c r="P1294" s="32"/>
      <c r="Q1294" s="32"/>
    </row>
    <row r="1295" spans="9:17" x14ac:dyDescent="0.4">
      <c r="I1295" s="46"/>
      <c r="J1295" s="32"/>
      <c r="K1295" s="32"/>
      <c r="L1295" s="32"/>
      <c r="M1295" s="32"/>
      <c r="N1295" s="32"/>
      <c r="O1295" s="32"/>
      <c r="P1295" s="32"/>
      <c r="Q1295" s="32"/>
    </row>
    <row r="1296" spans="9:17" x14ac:dyDescent="0.4">
      <c r="I1296" s="46"/>
      <c r="J1296" s="32"/>
      <c r="K1296" s="32"/>
      <c r="L1296" s="32"/>
      <c r="M1296" s="32"/>
      <c r="N1296" s="32"/>
      <c r="O1296" s="32"/>
      <c r="P1296" s="32"/>
      <c r="Q1296" s="32"/>
    </row>
    <row r="1297" spans="9:17" x14ac:dyDescent="0.4">
      <c r="I1297" s="46"/>
      <c r="J1297" s="32"/>
      <c r="K1297" s="32"/>
      <c r="L1297" s="32"/>
      <c r="M1297" s="32"/>
      <c r="N1297" s="32"/>
      <c r="O1297" s="32"/>
      <c r="P1297" s="32"/>
      <c r="Q1297" s="32"/>
    </row>
    <row r="1298" spans="9:17" x14ac:dyDescent="0.4">
      <c r="I1298" s="46"/>
      <c r="J1298" s="32"/>
      <c r="K1298" s="32"/>
      <c r="L1298" s="32"/>
      <c r="M1298" s="32"/>
      <c r="N1298" s="32"/>
      <c r="O1298" s="32"/>
      <c r="P1298" s="32"/>
      <c r="Q1298" s="32"/>
    </row>
    <row r="1299" spans="9:17" x14ac:dyDescent="0.4">
      <c r="I1299" s="46"/>
      <c r="J1299" s="32"/>
      <c r="K1299" s="32"/>
      <c r="L1299" s="32"/>
      <c r="M1299" s="32"/>
      <c r="N1299" s="32"/>
      <c r="O1299" s="32"/>
      <c r="P1299" s="32"/>
      <c r="Q1299" s="32"/>
    </row>
    <row r="1300" spans="9:17" x14ac:dyDescent="0.4">
      <c r="I1300" s="46"/>
      <c r="J1300" s="32"/>
      <c r="K1300" s="32"/>
      <c r="L1300" s="32"/>
      <c r="M1300" s="32"/>
      <c r="N1300" s="32"/>
      <c r="O1300" s="32"/>
      <c r="P1300" s="32"/>
      <c r="Q1300" s="32"/>
    </row>
    <row r="1301" spans="9:17" x14ac:dyDescent="0.4">
      <c r="I1301" s="46"/>
      <c r="J1301" s="32"/>
      <c r="K1301" s="32"/>
      <c r="L1301" s="32"/>
      <c r="M1301" s="32"/>
      <c r="N1301" s="32"/>
      <c r="O1301" s="32"/>
      <c r="P1301" s="32"/>
      <c r="Q1301" s="32"/>
    </row>
    <row r="1302" spans="9:17" x14ac:dyDescent="0.4">
      <c r="I1302" s="46"/>
      <c r="J1302" s="32"/>
      <c r="K1302" s="32"/>
      <c r="L1302" s="32"/>
      <c r="M1302" s="32"/>
      <c r="N1302" s="32"/>
      <c r="O1302" s="32"/>
      <c r="P1302" s="32"/>
      <c r="Q1302" s="32"/>
    </row>
    <row r="1303" spans="9:17" x14ac:dyDescent="0.4">
      <c r="I1303" s="46"/>
      <c r="J1303" s="32"/>
      <c r="K1303" s="32"/>
      <c r="L1303" s="32"/>
      <c r="M1303" s="32"/>
      <c r="N1303" s="32"/>
      <c r="O1303" s="32"/>
      <c r="P1303" s="32"/>
      <c r="Q1303" s="32"/>
    </row>
    <row r="1304" spans="9:17" x14ac:dyDescent="0.4">
      <c r="I1304" s="46"/>
      <c r="J1304" s="32"/>
      <c r="K1304" s="32"/>
      <c r="L1304" s="32"/>
      <c r="M1304" s="32"/>
      <c r="N1304" s="32"/>
      <c r="O1304" s="32"/>
      <c r="P1304" s="32"/>
      <c r="Q1304" s="32"/>
    </row>
    <row r="1305" spans="9:17" x14ac:dyDescent="0.4">
      <c r="I1305" s="46"/>
      <c r="J1305" s="32"/>
      <c r="K1305" s="32"/>
      <c r="L1305" s="32"/>
      <c r="M1305" s="32"/>
      <c r="N1305" s="32"/>
      <c r="O1305" s="32"/>
      <c r="P1305" s="32"/>
      <c r="Q1305" s="32"/>
    </row>
    <row r="1306" spans="9:17" x14ac:dyDescent="0.4">
      <c r="I1306" s="46"/>
      <c r="J1306" s="32"/>
      <c r="K1306" s="32"/>
      <c r="L1306" s="32"/>
      <c r="M1306" s="32"/>
      <c r="N1306" s="32"/>
      <c r="O1306" s="32"/>
      <c r="P1306" s="32"/>
      <c r="Q1306" s="32"/>
    </row>
    <row r="1307" spans="9:17" x14ac:dyDescent="0.4">
      <c r="I1307" s="46"/>
      <c r="J1307" s="32"/>
      <c r="K1307" s="32"/>
      <c r="L1307" s="32"/>
      <c r="M1307" s="32"/>
      <c r="N1307" s="32"/>
      <c r="O1307" s="32"/>
      <c r="P1307" s="32"/>
      <c r="Q1307" s="32"/>
    </row>
    <row r="1308" spans="9:17" x14ac:dyDescent="0.4">
      <c r="I1308" s="46"/>
      <c r="J1308" s="32"/>
      <c r="K1308" s="32"/>
      <c r="L1308" s="32"/>
      <c r="M1308" s="32"/>
      <c r="N1308" s="32"/>
      <c r="O1308" s="32"/>
      <c r="P1308" s="32"/>
      <c r="Q1308" s="32"/>
    </row>
    <row r="1309" spans="9:17" x14ac:dyDescent="0.4">
      <c r="I1309" s="46"/>
      <c r="J1309" s="32"/>
      <c r="K1309" s="32"/>
      <c r="L1309" s="32"/>
      <c r="M1309" s="32"/>
      <c r="N1309" s="32"/>
      <c r="O1309" s="32"/>
      <c r="P1309" s="32"/>
      <c r="Q1309" s="32"/>
    </row>
    <row r="1310" spans="9:17" x14ac:dyDescent="0.4">
      <c r="I1310" s="46"/>
      <c r="J1310" s="32"/>
      <c r="K1310" s="32"/>
      <c r="L1310" s="32"/>
      <c r="M1310" s="32"/>
      <c r="N1310" s="32"/>
      <c r="O1310" s="32"/>
      <c r="P1310" s="32"/>
      <c r="Q1310" s="32"/>
    </row>
    <row r="1311" spans="9:17" x14ac:dyDescent="0.4">
      <c r="I1311" s="46"/>
      <c r="J1311" s="32"/>
      <c r="K1311" s="32"/>
      <c r="L1311" s="32"/>
      <c r="M1311" s="32"/>
      <c r="N1311" s="32"/>
      <c r="O1311" s="32"/>
      <c r="P1311" s="32"/>
      <c r="Q1311" s="32"/>
    </row>
    <row r="1312" spans="9:17" x14ac:dyDescent="0.4">
      <c r="I1312" s="46"/>
      <c r="J1312" s="32"/>
      <c r="K1312" s="32"/>
      <c r="L1312" s="32"/>
      <c r="M1312" s="32"/>
      <c r="N1312" s="32"/>
      <c r="O1312" s="32"/>
      <c r="P1312" s="32"/>
      <c r="Q1312" s="32"/>
    </row>
    <row r="1313" spans="9:17" x14ac:dyDescent="0.4">
      <c r="I1313" s="46"/>
      <c r="J1313" s="32"/>
      <c r="K1313" s="32"/>
      <c r="L1313" s="32"/>
      <c r="M1313" s="32"/>
      <c r="N1313" s="32"/>
      <c r="O1313" s="32"/>
      <c r="P1313" s="32"/>
      <c r="Q1313" s="32"/>
    </row>
    <row r="1314" spans="9:17" x14ac:dyDescent="0.4">
      <c r="I1314" s="46"/>
      <c r="J1314" s="32"/>
      <c r="K1314" s="32"/>
      <c r="L1314" s="32"/>
      <c r="M1314" s="32"/>
      <c r="N1314" s="32"/>
      <c r="O1314" s="32"/>
      <c r="P1314" s="32"/>
      <c r="Q1314" s="32"/>
    </row>
    <row r="1315" spans="9:17" x14ac:dyDescent="0.4">
      <c r="I1315" s="46"/>
      <c r="J1315" s="32"/>
      <c r="K1315" s="32"/>
      <c r="L1315" s="32"/>
      <c r="M1315" s="32"/>
      <c r="N1315" s="32"/>
      <c r="O1315" s="32"/>
      <c r="P1315" s="32"/>
      <c r="Q1315" s="32"/>
    </row>
    <row r="1316" spans="9:17" x14ac:dyDescent="0.4">
      <c r="I1316" s="46"/>
      <c r="J1316" s="32"/>
      <c r="K1316" s="32"/>
      <c r="L1316" s="32"/>
      <c r="M1316" s="32"/>
      <c r="N1316" s="32"/>
      <c r="O1316" s="32"/>
      <c r="P1316" s="32"/>
      <c r="Q1316" s="32"/>
    </row>
    <row r="1317" spans="9:17" x14ac:dyDescent="0.4">
      <c r="I1317" s="46"/>
      <c r="J1317" s="32"/>
      <c r="K1317" s="32"/>
      <c r="L1317" s="32"/>
      <c r="M1317" s="32"/>
      <c r="N1317" s="32"/>
      <c r="O1317" s="32"/>
      <c r="P1317" s="32"/>
      <c r="Q1317" s="32"/>
    </row>
    <row r="1318" spans="9:17" x14ac:dyDescent="0.4">
      <c r="I1318" s="46"/>
      <c r="J1318" s="32"/>
      <c r="K1318" s="32"/>
      <c r="L1318" s="32"/>
      <c r="M1318" s="32"/>
      <c r="N1318" s="32"/>
      <c r="O1318" s="32"/>
      <c r="P1318" s="32"/>
      <c r="Q1318" s="32"/>
    </row>
    <row r="1319" spans="9:17" x14ac:dyDescent="0.4">
      <c r="I1319" s="46"/>
      <c r="J1319" s="32"/>
      <c r="K1319" s="32"/>
      <c r="L1319" s="32"/>
      <c r="M1319" s="32"/>
      <c r="N1319" s="32"/>
      <c r="O1319" s="32"/>
      <c r="P1319" s="32"/>
      <c r="Q1319" s="32"/>
    </row>
    <row r="1320" spans="9:17" x14ac:dyDescent="0.4">
      <c r="I1320" s="46"/>
      <c r="J1320" s="32"/>
      <c r="K1320" s="32"/>
      <c r="L1320" s="32"/>
      <c r="M1320" s="32"/>
      <c r="N1320" s="32"/>
      <c r="O1320" s="32"/>
      <c r="P1320" s="32"/>
      <c r="Q1320" s="32"/>
    </row>
    <row r="1321" spans="9:17" x14ac:dyDescent="0.4">
      <c r="I1321" s="46"/>
      <c r="J1321" s="32"/>
      <c r="K1321" s="32"/>
      <c r="L1321" s="32"/>
      <c r="M1321" s="32"/>
      <c r="N1321" s="32"/>
      <c r="O1321" s="32"/>
      <c r="P1321" s="32"/>
      <c r="Q1321" s="32"/>
    </row>
    <row r="1322" spans="9:17" x14ac:dyDescent="0.4">
      <c r="I1322" s="46"/>
      <c r="J1322" s="32"/>
      <c r="K1322" s="32"/>
      <c r="L1322" s="32"/>
      <c r="M1322" s="32"/>
      <c r="N1322" s="32"/>
      <c r="O1322" s="32"/>
      <c r="P1322" s="32"/>
      <c r="Q1322" s="32"/>
    </row>
    <row r="1323" spans="9:17" x14ac:dyDescent="0.4">
      <c r="I1323" s="46"/>
      <c r="J1323" s="32"/>
      <c r="K1323" s="32"/>
      <c r="L1323" s="32"/>
      <c r="M1323" s="32"/>
      <c r="N1323" s="32"/>
      <c r="O1323" s="32"/>
      <c r="P1323" s="32"/>
      <c r="Q1323" s="32"/>
    </row>
    <row r="1324" spans="9:17" x14ac:dyDescent="0.4">
      <c r="I1324" s="46"/>
      <c r="J1324" s="32"/>
      <c r="K1324" s="32"/>
      <c r="L1324" s="32"/>
      <c r="M1324" s="32"/>
      <c r="N1324" s="32"/>
      <c r="O1324" s="32"/>
      <c r="P1324" s="32"/>
      <c r="Q1324" s="32"/>
    </row>
    <row r="1325" spans="9:17" x14ac:dyDescent="0.4">
      <c r="I1325" s="46"/>
      <c r="J1325" s="32"/>
      <c r="K1325" s="32"/>
      <c r="L1325" s="32"/>
      <c r="M1325" s="32"/>
      <c r="N1325" s="32"/>
      <c r="O1325" s="32"/>
      <c r="P1325" s="32"/>
      <c r="Q1325" s="32"/>
    </row>
    <row r="1326" spans="9:17" x14ac:dyDescent="0.4">
      <c r="I1326" s="46"/>
      <c r="J1326" s="32"/>
      <c r="K1326" s="32"/>
      <c r="L1326" s="32"/>
      <c r="M1326" s="32"/>
      <c r="N1326" s="32"/>
      <c r="O1326" s="32"/>
      <c r="P1326" s="32"/>
      <c r="Q1326" s="32"/>
    </row>
    <row r="1327" spans="9:17" x14ac:dyDescent="0.4">
      <c r="I1327" s="46"/>
      <c r="J1327" s="32"/>
      <c r="K1327" s="32"/>
      <c r="L1327" s="32"/>
      <c r="M1327" s="32"/>
      <c r="N1327" s="32"/>
      <c r="O1327" s="32"/>
      <c r="P1327" s="32"/>
      <c r="Q1327" s="32"/>
    </row>
    <row r="1328" spans="9:17" x14ac:dyDescent="0.4">
      <c r="I1328" s="46"/>
      <c r="J1328" s="32"/>
      <c r="K1328" s="32"/>
      <c r="L1328" s="32"/>
      <c r="M1328" s="32"/>
      <c r="N1328" s="32"/>
      <c r="O1328" s="32"/>
      <c r="P1328" s="32"/>
      <c r="Q1328" s="32"/>
    </row>
    <row r="1329" spans="9:17" x14ac:dyDescent="0.4">
      <c r="I1329" s="46"/>
      <c r="J1329" s="32"/>
      <c r="K1329" s="32"/>
      <c r="L1329" s="32"/>
      <c r="M1329" s="32"/>
      <c r="N1329" s="32"/>
      <c r="O1329" s="32"/>
      <c r="P1329" s="32"/>
      <c r="Q1329" s="32"/>
    </row>
    <row r="1330" spans="9:17" x14ac:dyDescent="0.4">
      <c r="I1330" s="46"/>
      <c r="J1330" s="32"/>
      <c r="K1330" s="32"/>
      <c r="L1330" s="32"/>
      <c r="M1330" s="32"/>
      <c r="N1330" s="32"/>
      <c r="O1330" s="32"/>
      <c r="P1330" s="32"/>
      <c r="Q1330" s="32"/>
    </row>
    <row r="1331" spans="9:17" x14ac:dyDescent="0.4">
      <c r="I1331" s="46"/>
      <c r="J1331" s="32"/>
      <c r="K1331" s="32"/>
      <c r="L1331" s="32"/>
      <c r="M1331" s="32"/>
      <c r="N1331" s="32"/>
      <c r="O1331" s="32"/>
      <c r="P1331" s="32"/>
      <c r="Q1331" s="32"/>
    </row>
    <row r="1332" spans="9:17" x14ac:dyDescent="0.4">
      <c r="I1332" s="46"/>
      <c r="J1332" s="32"/>
      <c r="K1332" s="32"/>
      <c r="L1332" s="32"/>
      <c r="M1332" s="32"/>
      <c r="N1332" s="32"/>
      <c r="O1332" s="32"/>
      <c r="P1332" s="32"/>
      <c r="Q1332" s="32"/>
    </row>
    <row r="1333" spans="9:17" x14ac:dyDescent="0.4">
      <c r="I1333" s="46"/>
      <c r="J1333" s="32"/>
      <c r="K1333" s="32"/>
      <c r="L1333" s="32"/>
      <c r="M1333" s="32"/>
      <c r="N1333" s="32"/>
      <c r="O1333" s="32"/>
      <c r="P1333" s="32"/>
      <c r="Q1333" s="32"/>
    </row>
    <row r="1334" spans="9:17" x14ac:dyDescent="0.4">
      <c r="I1334" s="46"/>
      <c r="J1334" s="32"/>
      <c r="K1334" s="32"/>
      <c r="L1334" s="32"/>
      <c r="M1334" s="32"/>
      <c r="N1334" s="32"/>
      <c r="O1334" s="32"/>
      <c r="P1334" s="32"/>
      <c r="Q1334" s="32"/>
    </row>
    <row r="1335" spans="9:17" x14ac:dyDescent="0.4">
      <c r="I1335" s="46"/>
      <c r="J1335" s="32"/>
      <c r="K1335" s="32"/>
      <c r="L1335" s="32"/>
      <c r="M1335" s="32"/>
      <c r="N1335" s="32"/>
      <c r="O1335" s="32"/>
      <c r="P1335" s="32"/>
      <c r="Q1335" s="32"/>
    </row>
    <row r="1336" spans="9:17" x14ac:dyDescent="0.4">
      <c r="I1336" s="46"/>
      <c r="J1336" s="32"/>
      <c r="K1336" s="32"/>
      <c r="L1336" s="32"/>
      <c r="M1336" s="32"/>
      <c r="N1336" s="32"/>
      <c r="O1336" s="32"/>
      <c r="P1336" s="32"/>
      <c r="Q1336" s="32"/>
    </row>
    <row r="1337" spans="9:17" x14ac:dyDescent="0.4">
      <c r="I1337" s="46"/>
      <c r="J1337" s="32"/>
      <c r="K1337" s="32"/>
      <c r="L1337" s="32"/>
      <c r="M1337" s="32"/>
      <c r="N1337" s="32"/>
      <c r="O1337" s="32"/>
      <c r="P1337" s="32"/>
      <c r="Q1337" s="32"/>
    </row>
    <row r="1338" spans="9:17" x14ac:dyDescent="0.4">
      <c r="I1338" s="46"/>
      <c r="J1338" s="32"/>
      <c r="K1338" s="32"/>
      <c r="L1338" s="32"/>
      <c r="M1338" s="32"/>
      <c r="N1338" s="32"/>
      <c r="O1338" s="32"/>
      <c r="P1338" s="32"/>
      <c r="Q1338" s="32"/>
    </row>
    <row r="1339" spans="9:17" x14ac:dyDescent="0.4">
      <c r="I1339" s="46"/>
      <c r="J1339" s="32"/>
      <c r="K1339" s="32"/>
      <c r="L1339" s="32"/>
      <c r="M1339" s="32"/>
      <c r="N1339" s="32"/>
      <c r="O1339" s="32"/>
      <c r="P1339" s="32"/>
      <c r="Q1339" s="32"/>
    </row>
    <row r="1340" spans="9:17" x14ac:dyDescent="0.4">
      <c r="I1340" s="46"/>
      <c r="J1340" s="32"/>
      <c r="K1340" s="32"/>
      <c r="L1340" s="32"/>
      <c r="M1340" s="32"/>
      <c r="N1340" s="32"/>
      <c r="O1340" s="32"/>
      <c r="P1340" s="32"/>
      <c r="Q1340" s="32"/>
    </row>
    <row r="1341" spans="9:17" x14ac:dyDescent="0.4">
      <c r="I1341" s="46"/>
      <c r="J1341" s="32"/>
      <c r="K1341" s="32"/>
      <c r="L1341" s="32"/>
      <c r="M1341" s="32"/>
      <c r="N1341" s="32"/>
      <c r="O1341" s="32"/>
      <c r="P1341" s="32"/>
      <c r="Q1341" s="32"/>
    </row>
    <row r="1342" spans="9:17" x14ac:dyDescent="0.4">
      <c r="I1342" s="46"/>
      <c r="J1342" s="32"/>
      <c r="K1342" s="32"/>
      <c r="L1342" s="32"/>
      <c r="M1342" s="32"/>
      <c r="N1342" s="32"/>
      <c r="O1342" s="32"/>
      <c r="P1342" s="32"/>
      <c r="Q1342" s="32"/>
    </row>
    <row r="1343" spans="9:17" x14ac:dyDescent="0.4">
      <c r="I1343" s="46"/>
      <c r="J1343" s="32"/>
      <c r="K1343" s="32"/>
      <c r="L1343" s="32"/>
      <c r="M1343" s="32"/>
      <c r="N1343" s="32"/>
      <c r="O1343" s="32"/>
      <c r="P1343" s="32"/>
      <c r="Q1343" s="32"/>
    </row>
    <row r="1344" spans="9:17" x14ac:dyDescent="0.4">
      <c r="I1344" s="46"/>
      <c r="J1344" s="32"/>
      <c r="K1344" s="32"/>
      <c r="L1344" s="32"/>
      <c r="M1344" s="32"/>
      <c r="N1344" s="32"/>
      <c r="O1344" s="32"/>
      <c r="P1344" s="32"/>
      <c r="Q1344" s="32"/>
    </row>
    <row r="1345" spans="9:17" x14ac:dyDescent="0.4">
      <c r="I1345" s="46"/>
      <c r="J1345" s="32"/>
      <c r="K1345" s="32"/>
      <c r="L1345" s="32"/>
      <c r="M1345" s="32"/>
      <c r="N1345" s="32"/>
      <c r="O1345" s="32"/>
      <c r="P1345" s="32"/>
      <c r="Q1345" s="32"/>
    </row>
    <row r="1346" spans="9:17" x14ac:dyDescent="0.4">
      <c r="I1346" s="46"/>
      <c r="J1346" s="32"/>
      <c r="K1346" s="32"/>
      <c r="L1346" s="32"/>
      <c r="M1346" s="32"/>
      <c r="N1346" s="32"/>
      <c r="O1346" s="32"/>
      <c r="P1346" s="32"/>
      <c r="Q1346" s="32"/>
    </row>
    <row r="1347" spans="9:17" x14ac:dyDescent="0.4">
      <c r="I1347" s="46"/>
      <c r="J1347" s="32"/>
      <c r="K1347" s="32"/>
      <c r="L1347" s="32"/>
      <c r="M1347" s="32"/>
      <c r="N1347" s="32"/>
      <c r="O1347" s="32"/>
      <c r="P1347" s="32"/>
      <c r="Q1347" s="32"/>
    </row>
    <row r="1348" spans="9:17" x14ac:dyDescent="0.4">
      <c r="I1348" s="46"/>
      <c r="J1348" s="32"/>
      <c r="K1348" s="32"/>
      <c r="L1348" s="32"/>
      <c r="M1348" s="32"/>
      <c r="N1348" s="32"/>
      <c r="O1348" s="32"/>
      <c r="P1348" s="32"/>
      <c r="Q1348" s="32"/>
    </row>
    <row r="1349" spans="9:17" x14ac:dyDescent="0.4">
      <c r="I1349" s="46"/>
      <c r="J1349" s="32"/>
      <c r="K1349" s="32"/>
      <c r="L1349" s="32"/>
      <c r="M1349" s="32"/>
      <c r="N1349" s="32"/>
      <c r="O1349" s="32"/>
      <c r="P1349" s="32"/>
      <c r="Q1349" s="32"/>
    </row>
    <row r="1350" spans="9:17" x14ac:dyDescent="0.4">
      <c r="I1350" s="46"/>
      <c r="J1350" s="32"/>
      <c r="K1350" s="32"/>
      <c r="L1350" s="32"/>
      <c r="M1350" s="32"/>
      <c r="N1350" s="32"/>
      <c r="O1350" s="32"/>
      <c r="P1350" s="32"/>
      <c r="Q1350" s="32"/>
    </row>
    <row r="1351" spans="9:17" x14ac:dyDescent="0.4">
      <c r="I1351" s="46"/>
      <c r="J1351" s="32"/>
      <c r="K1351" s="32"/>
      <c r="L1351" s="32"/>
      <c r="M1351" s="32"/>
      <c r="N1351" s="32"/>
      <c r="O1351" s="32"/>
      <c r="P1351" s="32"/>
      <c r="Q1351" s="32"/>
    </row>
    <row r="1352" spans="9:17" x14ac:dyDescent="0.4">
      <c r="I1352" s="46"/>
      <c r="J1352" s="32"/>
      <c r="K1352" s="32"/>
      <c r="L1352" s="32"/>
      <c r="M1352" s="32"/>
      <c r="N1352" s="32"/>
      <c r="O1352" s="32"/>
      <c r="P1352" s="32"/>
      <c r="Q1352" s="32"/>
    </row>
    <row r="1353" spans="9:17" x14ac:dyDescent="0.4">
      <c r="I1353" s="46"/>
      <c r="J1353" s="32"/>
      <c r="K1353" s="32"/>
      <c r="L1353" s="32"/>
      <c r="M1353" s="32"/>
      <c r="N1353" s="32"/>
      <c r="O1353" s="32"/>
      <c r="P1353" s="32"/>
      <c r="Q1353" s="32"/>
    </row>
    <row r="1354" spans="9:17" x14ac:dyDescent="0.4">
      <c r="I1354" s="46"/>
      <c r="J1354" s="32"/>
      <c r="K1354" s="32"/>
      <c r="L1354" s="32"/>
      <c r="M1354" s="32"/>
      <c r="N1354" s="32"/>
      <c r="O1354" s="32"/>
      <c r="P1354" s="32"/>
      <c r="Q1354" s="32"/>
    </row>
    <row r="1355" spans="9:17" x14ac:dyDescent="0.4">
      <c r="I1355" s="46"/>
      <c r="J1355" s="32"/>
      <c r="K1355" s="32"/>
      <c r="L1355" s="32"/>
      <c r="M1355" s="32"/>
      <c r="N1355" s="32"/>
      <c r="O1355" s="32"/>
      <c r="P1355" s="32"/>
      <c r="Q1355" s="32"/>
    </row>
    <row r="1356" spans="9:17" x14ac:dyDescent="0.4">
      <c r="I1356" s="46"/>
      <c r="J1356" s="32"/>
      <c r="K1356" s="32"/>
      <c r="L1356" s="32"/>
      <c r="M1356" s="32"/>
      <c r="N1356" s="32"/>
      <c r="O1356" s="32"/>
      <c r="P1356" s="32"/>
      <c r="Q1356" s="32"/>
    </row>
    <row r="1357" spans="9:17" x14ac:dyDescent="0.4">
      <c r="I1357" s="46"/>
      <c r="J1357" s="32"/>
      <c r="K1357" s="32"/>
      <c r="L1357" s="32"/>
      <c r="M1357" s="32"/>
      <c r="N1357" s="32"/>
      <c r="O1357" s="32"/>
      <c r="P1357" s="32"/>
      <c r="Q1357" s="32"/>
    </row>
    <row r="1358" spans="9:17" x14ac:dyDescent="0.4">
      <c r="I1358" s="46"/>
      <c r="J1358" s="32"/>
      <c r="K1358" s="32"/>
      <c r="L1358" s="32"/>
      <c r="M1358" s="32"/>
      <c r="N1358" s="32"/>
      <c r="O1358" s="32"/>
      <c r="P1358" s="32"/>
      <c r="Q1358" s="32"/>
    </row>
    <row r="1359" spans="9:17" x14ac:dyDescent="0.4">
      <c r="I1359" s="46"/>
      <c r="J1359" s="32"/>
      <c r="K1359" s="32"/>
      <c r="L1359" s="32"/>
      <c r="M1359" s="32"/>
      <c r="N1359" s="32"/>
      <c r="O1359" s="32"/>
      <c r="P1359" s="32"/>
      <c r="Q1359" s="32"/>
    </row>
    <row r="1360" spans="9:17" x14ac:dyDescent="0.4">
      <c r="I1360" s="46"/>
      <c r="J1360" s="32"/>
      <c r="K1360" s="32"/>
      <c r="L1360" s="32"/>
      <c r="M1360" s="32"/>
      <c r="N1360" s="32"/>
      <c r="O1360" s="32"/>
      <c r="P1360" s="32"/>
      <c r="Q1360" s="32"/>
    </row>
    <row r="1361" spans="9:17" x14ac:dyDescent="0.4">
      <c r="I1361" s="46"/>
      <c r="J1361" s="32"/>
      <c r="K1361" s="32"/>
      <c r="L1361" s="32"/>
      <c r="M1361" s="32"/>
      <c r="N1361" s="32"/>
      <c r="O1361" s="32"/>
      <c r="P1361" s="32"/>
      <c r="Q1361" s="32"/>
    </row>
    <row r="1362" spans="9:17" x14ac:dyDescent="0.4">
      <c r="I1362" s="46"/>
      <c r="J1362" s="32"/>
      <c r="K1362" s="32"/>
      <c r="L1362" s="32"/>
      <c r="M1362" s="32"/>
      <c r="N1362" s="32"/>
      <c r="O1362" s="32"/>
      <c r="P1362" s="32"/>
      <c r="Q1362" s="32"/>
    </row>
    <row r="1363" spans="9:17" x14ac:dyDescent="0.4">
      <c r="I1363" s="46"/>
      <c r="J1363" s="32"/>
      <c r="K1363" s="32"/>
      <c r="L1363" s="32"/>
      <c r="M1363" s="32"/>
      <c r="N1363" s="32"/>
      <c r="O1363" s="32"/>
      <c r="P1363" s="32"/>
      <c r="Q1363" s="32"/>
    </row>
    <row r="1364" spans="9:17" x14ac:dyDescent="0.4">
      <c r="I1364" s="46"/>
      <c r="J1364" s="32"/>
      <c r="K1364" s="32"/>
      <c r="L1364" s="32"/>
      <c r="M1364" s="32"/>
      <c r="N1364" s="32"/>
      <c r="O1364" s="32"/>
      <c r="P1364" s="32"/>
      <c r="Q1364" s="32"/>
    </row>
    <row r="1365" spans="9:17" x14ac:dyDescent="0.4">
      <c r="I1365" s="46"/>
      <c r="J1365" s="32"/>
      <c r="K1365" s="32"/>
      <c r="L1365" s="32"/>
      <c r="M1365" s="32"/>
      <c r="N1365" s="32"/>
      <c r="O1365" s="32"/>
      <c r="P1365" s="32"/>
      <c r="Q1365" s="32"/>
    </row>
    <row r="1366" spans="9:17" x14ac:dyDescent="0.4">
      <c r="I1366" s="46"/>
      <c r="J1366" s="32"/>
      <c r="K1366" s="32"/>
      <c r="L1366" s="32"/>
      <c r="M1366" s="32"/>
      <c r="N1366" s="32"/>
      <c r="O1366" s="32"/>
      <c r="P1366" s="32"/>
      <c r="Q1366" s="32"/>
    </row>
    <row r="1367" spans="9:17" x14ac:dyDescent="0.4">
      <c r="I1367" s="46"/>
      <c r="J1367" s="32"/>
      <c r="K1367" s="32"/>
      <c r="L1367" s="32"/>
      <c r="M1367" s="32"/>
      <c r="N1367" s="32"/>
      <c r="O1367" s="32"/>
      <c r="P1367" s="32"/>
      <c r="Q1367" s="32"/>
    </row>
    <row r="1368" spans="9:17" x14ac:dyDescent="0.4">
      <c r="I1368" s="46"/>
      <c r="J1368" s="32"/>
      <c r="K1368" s="32"/>
      <c r="L1368" s="32"/>
      <c r="M1368" s="32"/>
      <c r="N1368" s="32"/>
      <c r="O1368" s="32"/>
      <c r="P1368" s="32"/>
      <c r="Q1368" s="32"/>
    </row>
    <row r="1369" spans="9:17" x14ac:dyDescent="0.4">
      <c r="I1369" s="46"/>
      <c r="J1369" s="32"/>
      <c r="K1369" s="32"/>
      <c r="L1369" s="32"/>
      <c r="M1369" s="32"/>
      <c r="N1369" s="32"/>
      <c r="O1369" s="32"/>
      <c r="P1369" s="32"/>
      <c r="Q1369" s="32"/>
    </row>
    <row r="1370" spans="9:17" x14ac:dyDescent="0.4">
      <c r="I1370" s="46"/>
      <c r="J1370" s="32"/>
      <c r="K1370" s="32"/>
      <c r="L1370" s="32"/>
      <c r="M1370" s="32"/>
      <c r="N1370" s="32"/>
      <c r="O1370" s="32"/>
      <c r="P1370" s="32"/>
      <c r="Q1370" s="32"/>
    </row>
    <row r="1371" spans="9:17" x14ac:dyDescent="0.4">
      <c r="I1371" s="46"/>
      <c r="J1371" s="32"/>
      <c r="K1371" s="32"/>
      <c r="L1371" s="32"/>
      <c r="M1371" s="32"/>
      <c r="N1371" s="32"/>
      <c r="O1371" s="32"/>
      <c r="P1371" s="32"/>
      <c r="Q1371" s="32"/>
    </row>
    <row r="1372" spans="9:17" x14ac:dyDescent="0.4">
      <c r="I1372" s="46"/>
      <c r="J1372" s="32"/>
      <c r="K1372" s="32"/>
      <c r="L1372" s="32"/>
      <c r="M1372" s="32"/>
      <c r="N1372" s="32"/>
      <c r="O1372" s="32"/>
      <c r="P1372" s="32"/>
      <c r="Q1372" s="32"/>
    </row>
    <row r="1373" spans="9:17" x14ac:dyDescent="0.4">
      <c r="I1373" s="46"/>
      <c r="J1373" s="32"/>
      <c r="K1373" s="32"/>
      <c r="L1373" s="32"/>
      <c r="M1373" s="32"/>
      <c r="N1373" s="32"/>
      <c r="O1373" s="32"/>
      <c r="P1373" s="32"/>
      <c r="Q1373" s="32"/>
    </row>
    <row r="1374" spans="9:17" x14ac:dyDescent="0.4">
      <c r="I1374" s="46"/>
      <c r="J1374" s="32"/>
      <c r="K1374" s="32"/>
      <c r="L1374" s="32"/>
      <c r="M1374" s="32"/>
      <c r="N1374" s="32"/>
      <c r="O1374" s="32"/>
      <c r="P1374" s="32"/>
      <c r="Q1374" s="32"/>
    </row>
    <row r="1375" spans="9:17" x14ac:dyDescent="0.4">
      <c r="I1375" s="46"/>
      <c r="J1375" s="32"/>
      <c r="K1375" s="32"/>
      <c r="L1375" s="32"/>
      <c r="M1375" s="32"/>
      <c r="N1375" s="32"/>
      <c r="O1375" s="32"/>
      <c r="P1375" s="32"/>
      <c r="Q1375" s="32"/>
    </row>
    <row r="1376" spans="9:17" x14ac:dyDescent="0.4">
      <c r="I1376" s="46"/>
      <c r="J1376" s="32"/>
      <c r="K1376" s="32"/>
      <c r="L1376" s="32"/>
      <c r="M1376" s="32"/>
      <c r="N1376" s="32"/>
      <c r="O1376" s="32"/>
      <c r="P1376" s="32"/>
      <c r="Q1376" s="32"/>
    </row>
    <row r="1377" spans="9:17" x14ac:dyDescent="0.4">
      <c r="I1377" s="46"/>
      <c r="J1377" s="32"/>
      <c r="K1377" s="32"/>
      <c r="L1377" s="32"/>
      <c r="M1377" s="32"/>
      <c r="N1377" s="32"/>
      <c r="O1377" s="32"/>
      <c r="P1377" s="32"/>
      <c r="Q1377" s="32"/>
    </row>
    <row r="1378" spans="9:17" x14ac:dyDescent="0.4">
      <c r="I1378" s="46"/>
      <c r="J1378" s="32"/>
      <c r="K1378" s="32"/>
      <c r="L1378" s="32"/>
      <c r="M1378" s="32"/>
      <c r="N1378" s="32"/>
      <c r="O1378" s="32"/>
      <c r="P1378" s="32"/>
      <c r="Q1378" s="32"/>
    </row>
    <row r="1379" spans="9:17" x14ac:dyDescent="0.4">
      <c r="I1379" s="46"/>
      <c r="J1379" s="32"/>
      <c r="K1379" s="32"/>
      <c r="L1379" s="32"/>
      <c r="M1379" s="32"/>
      <c r="N1379" s="32"/>
      <c r="O1379" s="32"/>
      <c r="P1379" s="32"/>
      <c r="Q1379" s="32"/>
    </row>
    <row r="1380" spans="9:17" x14ac:dyDescent="0.4">
      <c r="I1380" s="46"/>
      <c r="J1380" s="32"/>
      <c r="K1380" s="32"/>
      <c r="L1380" s="32"/>
      <c r="M1380" s="32"/>
      <c r="N1380" s="32"/>
      <c r="O1380" s="32"/>
      <c r="P1380" s="32"/>
      <c r="Q1380" s="32"/>
    </row>
    <row r="1381" spans="9:17" x14ac:dyDescent="0.4">
      <c r="I1381" s="46"/>
      <c r="J1381" s="32"/>
      <c r="K1381" s="32"/>
      <c r="L1381" s="32"/>
      <c r="M1381" s="32"/>
      <c r="N1381" s="32"/>
      <c r="O1381" s="32"/>
      <c r="P1381" s="32"/>
      <c r="Q1381" s="32"/>
    </row>
    <row r="1382" spans="9:17" x14ac:dyDescent="0.4">
      <c r="I1382" s="46"/>
      <c r="J1382" s="32"/>
      <c r="K1382" s="32"/>
      <c r="L1382" s="32"/>
      <c r="M1382" s="32"/>
      <c r="N1382" s="32"/>
      <c r="O1382" s="32"/>
      <c r="P1382" s="32"/>
      <c r="Q1382" s="32"/>
    </row>
    <row r="1383" spans="9:17" x14ac:dyDescent="0.4">
      <c r="I1383" s="46"/>
      <c r="J1383" s="32"/>
      <c r="K1383" s="32"/>
      <c r="L1383" s="32"/>
      <c r="M1383" s="32"/>
      <c r="N1383" s="32"/>
      <c r="O1383" s="32"/>
      <c r="P1383" s="32"/>
      <c r="Q1383" s="32"/>
    </row>
    <row r="1384" spans="9:17" x14ac:dyDescent="0.4">
      <c r="I1384" s="46"/>
      <c r="J1384" s="32"/>
      <c r="K1384" s="32"/>
      <c r="L1384" s="32"/>
      <c r="M1384" s="32"/>
      <c r="N1384" s="32"/>
      <c r="O1384" s="32"/>
      <c r="P1384" s="32"/>
      <c r="Q1384" s="32"/>
    </row>
    <row r="1385" spans="9:17" x14ac:dyDescent="0.4">
      <c r="I1385" s="46"/>
      <c r="J1385" s="32"/>
      <c r="K1385" s="32"/>
      <c r="L1385" s="32"/>
      <c r="M1385" s="32"/>
      <c r="N1385" s="32"/>
      <c r="O1385" s="32"/>
      <c r="P1385" s="32"/>
      <c r="Q1385" s="32"/>
    </row>
    <row r="1386" spans="9:17" x14ac:dyDescent="0.4">
      <c r="I1386" s="46"/>
      <c r="J1386" s="32"/>
      <c r="K1386" s="32"/>
      <c r="L1386" s="32"/>
      <c r="M1386" s="32"/>
      <c r="N1386" s="32"/>
      <c r="O1386" s="32"/>
      <c r="P1386" s="32"/>
      <c r="Q1386" s="32"/>
    </row>
    <row r="1387" spans="9:17" x14ac:dyDescent="0.4">
      <c r="I1387" s="46"/>
      <c r="J1387" s="32"/>
      <c r="K1387" s="32"/>
      <c r="L1387" s="32"/>
      <c r="M1387" s="32"/>
      <c r="N1387" s="32"/>
      <c r="O1387" s="32"/>
      <c r="P1387" s="32"/>
      <c r="Q1387" s="32"/>
    </row>
    <row r="1388" spans="9:17" x14ac:dyDescent="0.4">
      <c r="I1388" s="46"/>
      <c r="J1388" s="32"/>
      <c r="K1388" s="32"/>
      <c r="L1388" s="32"/>
      <c r="M1388" s="32"/>
      <c r="N1388" s="32"/>
      <c r="O1388" s="32"/>
      <c r="P1388" s="32"/>
      <c r="Q1388" s="32"/>
    </row>
    <row r="1389" spans="9:17" x14ac:dyDescent="0.4">
      <c r="I1389" s="46"/>
      <c r="J1389" s="32"/>
      <c r="K1389" s="32"/>
      <c r="L1389" s="32"/>
      <c r="M1389" s="32"/>
      <c r="N1389" s="32"/>
      <c r="O1389" s="32"/>
      <c r="P1389" s="32"/>
      <c r="Q1389" s="32"/>
    </row>
    <row r="1390" spans="9:17" x14ac:dyDescent="0.4">
      <c r="I1390" s="46"/>
      <c r="J1390" s="32"/>
      <c r="K1390" s="32"/>
      <c r="L1390" s="32"/>
      <c r="M1390" s="32"/>
      <c r="N1390" s="32"/>
      <c r="O1390" s="32"/>
      <c r="P1390" s="32"/>
      <c r="Q1390" s="32"/>
    </row>
    <row r="1391" spans="9:17" x14ac:dyDescent="0.4">
      <c r="I1391" s="46"/>
      <c r="J1391" s="32"/>
      <c r="K1391" s="32"/>
      <c r="L1391" s="32"/>
      <c r="M1391" s="32"/>
      <c r="N1391" s="32"/>
      <c r="O1391" s="32"/>
      <c r="P1391" s="32"/>
      <c r="Q1391" s="32"/>
    </row>
    <row r="1392" spans="9:17" x14ac:dyDescent="0.4">
      <c r="I1392" s="46"/>
      <c r="J1392" s="32"/>
      <c r="K1392" s="32"/>
      <c r="L1392" s="32"/>
      <c r="M1392" s="32"/>
      <c r="N1392" s="32"/>
      <c r="O1392" s="32"/>
      <c r="P1392" s="32"/>
      <c r="Q1392" s="32"/>
    </row>
    <row r="1393" spans="9:17" x14ac:dyDescent="0.4">
      <c r="I1393" s="46"/>
      <c r="J1393" s="32"/>
      <c r="K1393" s="32"/>
      <c r="L1393" s="32"/>
      <c r="M1393" s="32"/>
      <c r="N1393" s="32"/>
      <c r="O1393" s="32"/>
      <c r="P1393" s="32"/>
      <c r="Q1393" s="32"/>
    </row>
    <row r="1394" spans="9:17" x14ac:dyDescent="0.4">
      <c r="I1394" s="46"/>
      <c r="J1394" s="32"/>
      <c r="K1394" s="32"/>
      <c r="L1394" s="32"/>
      <c r="M1394" s="32"/>
      <c r="N1394" s="32"/>
      <c r="O1394" s="32"/>
      <c r="P1394" s="32"/>
      <c r="Q1394" s="32"/>
    </row>
    <row r="1395" spans="9:17" x14ac:dyDescent="0.4">
      <c r="I1395" s="46"/>
      <c r="J1395" s="32"/>
      <c r="K1395" s="32"/>
      <c r="L1395" s="32"/>
      <c r="M1395" s="32"/>
      <c r="N1395" s="32"/>
      <c r="O1395" s="32"/>
      <c r="P1395" s="32"/>
      <c r="Q1395" s="32"/>
    </row>
    <row r="1396" spans="9:17" x14ac:dyDescent="0.4">
      <c r="I1396" s="46"/>
      <c r="J1396" s="32"/>
      <c r="K1396" s="32"/>
      <c r="L1396" s="32"/>
      <c r="M1396" s="32"/>
      <c r="N1396" s="32"/>
      <c r="O1396" s="32"/>
      <c r="P1396" s="32"/>
      <c r="Q1396" s="32"/>
    </row>
    <row r="1397" spans="9:17" x14ac:dyDescent="0.4">
      <c r="I1397" s="46"/>
      <c r="J1397" s="32"/>
      <c r="K1397" s="32"/>
      <c r="L1397" s="32"/>
      <c r="M1397" s="32"/>
      <c r="N1397" s="32"/>
      <c r="O1397" s="32"/>
      <c r="P1397" s="32"/>
      <c r="Q1397" s="32"/>
    </row>
    <row r="1398" spans="9:17" x14ac:dyDescent="0.4">
      <c r="I1398" s="46"/>
      <c r="J1398" s="32"/>
      <c r="K1398" s="32"/>
      <c r="L1398" s="32"/>
      <c r="M1398" s="32"/>
      <c r="N1398" s="32"/>
      <c r="O1398" s="32"/>
      <c r="P1398" s="32"/>
      <c r="Q1398" s="32"/>
    </row>
    <row r="1399" spans="9:17" x14ac:dyDescent="0.4">
      <c r="I1399" s="46"/>
      <c r="J1399" s="32"/>
      <c r="K1399" s="32"/>
      <c r="L1399" s="32"/>
      <c r="M1399" s="32"/>
      <c r="N1399" s="32"/>
      <c r="O1399" s="32"/>
      <c r="P1399" s="32"/>
      <c r="Q1399" s="32"/>
    </row>
    <row r="1400" spans="9:17" x14ac:dyDescent="0.4">
      <c r="I1400" s="46"/>
      <c r="J1400" s="32"/>
      <c r="K1400" s="32"/>
      <c r="L1400" s="32"/>
      <c r="M1400" s="32"/>
      <c r="N1400" s="32"/>
      <c r="O1400" s="32"/>
      <c r="P1400" s="32"/>
      <c r="Q1400" s="32"/>
    </row>
    <row r="1401" spans="9:17" x14ac:dyDescent="0.4">
      <c r="I1401" s="46"/>
      <c r="J1401" s="32"/>
      <c r="K1401" s="32"/>
      <c r="L1401" s="32"/>
      <c r="M1401" s="32"/>
      <c r="N1401" s="32"/>
      <c r="O1401" s="32"/>
      <c r="P1401" s="32"/>
      <c r="Q1401" s="32"/>
    </row>
    <row r="1402" spans="9:17" x14ac:dyDescent="0.4">
      <c r="I1402" s="46"/>
      <c r="J1402" s="32"/>
      <c r="K1402" s="32"/>
      <c r="L1402" s="32"/>
      <c r="M1402" s="32"/>
      <c r="N1402" s="32"/>
      <c r="O1402" s="32"/>
      <c r="P1402" s="32"/>
      <c r="Q1402" s="32"/>
    </row>
    <row r="1403" spans="9:17" x14ac:dyDescent="0.4">
      <c r="I1403" s="46"/>
      <c r="J1403" s="32"/>
      <c r="K1403" s="32"/>
      <c r="L1403" s="32"/>
      <c r="M1403" s="32"/>
      <c r="N1403" s="32"/>
      <c r="O1403" s="32"/>
      <c r="P1403" s="32"/>
      <c r="Q1403" s="32"/>
    </row>
    <row r="1404" spans="9:17" x14ac:dyDescent="0.4">
      <c r="I1404" s="46"/>
      <c r="J1404" s="32"/>
      <c r="K1404" s="32"/>
      <c r="L1404" s="32"/>
      <c r="M1404" s="32"/>
      <c r="N1404" s="32"/>
      <c r="O1404" s="32"/>
      <c r="P1404" s="32"/>
      <c r="Q1404" s="32"/>
    </row>
    <row r="1405" spans="9:17" x14ac:dyDescent="0.4">
      <c r="I1405" s="46"/>
      <c r="J1405" s="32"/>
      <c r="K1405" s="32"/>
      <c r="L1405" s="32"/>
      <c r="M1405" s="32"/>
      <c r="N1405" s="32"/>
      <c r="O1405" s="32"/>
      <c r="P1405" s="32"/>
      <c r="Q1405" s="32"/>
    </row>
    <row r="1406" spans="9:17" x14ac:dyDescent="0.4">
      <c r="I1406" s="46"/>
      <c r="J1406" s="32"/>
      <c r="K1406" s="32"/>
      <c r="L1406" s="32"/>
      <c r="M1406" s="32"/>
      <c r="N1406" s="32"/>
      <c r="O1406" s="32"/>
      <c r="P1406" s="32"/>
      <c r="Q1406" s="32"/>
    </row>
    <row r="1407" spans="9:17" x14ac:dyDescent="0.4">
      <c r="I1407" s="46"/>
      <c r="J1407" s="32"/>
      <c r="K1407" s="32"/>
      <c r="L1407" s="32"/>
      <c r="M1407" s="32"/>
      <c r="N1407" s="32"/>
      <c r="O1407" s="32"/>
      <c r="P1407" s="32"/>
      <c r="Q1407" s="32"/>
    </row>
    <row r="1408" spans="9:17" x14ac:dyDescent="0.4">
      <c r="I1408" s="46"/>
      <c r="J1408" s="32"/>
      <c r="K1408" s="32"/>
      <c r="L1408" s="32"/>
      <c r="M1408" s="32"/>
      <c r="N1408" s="32"/>
      <c r="O1408" s="32"/>
      <c r="P1408" s="32"/>
      <c r="Q1408" s="32"/>
    </row>
    <row r="1409" spans="9:17" x14ac:dyDescent="0.4">
      <c r="I1409" s="46"/>
      <c r="J1409" s="32"/>
      <c r="K1409" s="32"/>
      <c r="L1409" s="32"/>
      <c r="M1409" s="32"/>
      <c r="N1409" s="32"/>
      <c r="O1409" s="32"/>
      <c r="P1409" s="32"/>
      <c r="Q1409" s="32"/>
    </row>
    <row r="1410" spans="9:17" x14ac:dyDescent="0.4">
      <c r="I1410" s="46"/>
      <c r="J1410" s="32"/>
      <c r="K1410" s="32"/>
      <c r="L1410" s="32"/>
      <c r="M1410" s="32"/>
      <c r="N1410" s="32"/>
      <c r="O1410" s="32"/>
      <c r="P1410" s="32"/>
      <c r="Q1410" s="32"/>
    </row>
    <row r="1411" spans="9:17" x14ac:dyDescent="0.4">
      <c r="I1411" s="46"/>
      <c r="J1411" s="32"/>
      <c r="K1411" s="32"/>
      <c r="L1411" s="32"/>
      <c r="M1411" s="32"/>
      <c r="N1411" s="32"/>
      <c r="O1411" s="32"/>
      <c r="P1411" s="32"/>
      <c r="Q1411" s="32"/>
    </row>
    <row r="1412" spans="9:17" x14ac:dyDescent="0.4">
      <c r="I1412" s="46"/>
      <c r="J1412" s="32"/>
      <c r="K1412" s="32"/>
      <c r="L1412" s="32"/>
      <c r="M1412" s="32"/>
      <c r="N1412" s="32"/>
      <c r="O1412" s="32"/>
      <c r="P1412" s="32"/>
      <c r="Q1412" s="32"/>
    </row>
    <row r="1413" spans="9:17" x14ac:dyDescent="0.4">
      <c r="I1413" s="46"/>
      <c r="J1413" s="32"/>
      <c r="K1413" s="32"/>
      <c r="L1413" s="32"/>
      <c r="M1413" s="32"/>
      <c r="N1413" s="32"/>
      <c r="O1413" s="32"/>
      <c r="P1413" s="32"/>
      <c r="Q1413" s="32"/>
    </row>
    <row r="1414" spans="9:17" x14ac:dyDescent="0.4">
      <c r="I1414" s="46"/>
      <c r="J1414" s="32"/>
      <c r="K1414" s="32"/>
      <c r="L1414" s="32"/>
      <c r="M1414" s="32"/>
      <c r="N1414" s="32"/>
      <c r="O1414" s="32"/>
      <c r="P1414" s="32"/>
      <c r="Q1414" s="32"/>
    </row>
    <row r="1415" spans="9:17" x14ac:dyDescent="0.4">
      <c r="I1415" s="46"/>
      <c r="J1415" s="32"/>
      <c r="K1415" s="32"/>
      <c r="L1415" s="32"/>
      <c r="M1415" s="32"/>
      <c r="N1415" s="32"/>
      <c r="O1415" s="32"/>
      <c r="P1415" s="32"/>
      <c r="Q1415" s="32"/>
    </row>
    <row r="1416" spans="9:17" x14ac:dyDescent="0.4">
      <c r="I1416" s="46"/>
      <c r="J1416" s="32"/>
      <c r="K1416" s="32"/>
      <c r="L1416" s="32"/>
      <c r="M1416" s="32"/>
      <c r="N1416" s="32"/>
      <c r="O1416" s="32"/>
      <c r="P1416" s="32"/>
      <c r="Q1416" s="32"/>
    </row>
    <row r="1417" spans="9:17" x14ac:dyDescent="0.4">
      <c r="I1417" s="46"/>
      <c r="J1417" s="32"/>
      <c r="K1417" s="32"/>
      <c r="L1417" s="32"/>
      <c r="M1417" s="32"/>
      <c r="N1417" s="32"/>
      <c r="O1417" s="32"/>
      <c r="P1417" s="32"/>
      <c r="Q1417" s="32"/>
    </row>
    <row r="1418" spans="9:17" x14ac:dyDescent="0.4">
      <c r="I1418" s="46"/>
      <c r="J1418" s="32"/>
      <c r="K1418" s="32"/>
      <c r="L1418" s="32"/>
      <c r="M1418" s="32"/>
      <c r="N1418" s="32"/>
      <c r="O1418" s="32"/>
      <c r="P1418" s="32"/>
      <c r="Q1418" s="32"/>
    </row>
    <row r="1419" spans="9:17" x14ac:dyDescent="0.4">
      <c r="I1419" s="46"/>
      <c r="J1419" s="32"/>
      <c r="K1419" s="32"/>
      <c r="L1419" s="32"/>
      <c r="M1419" s="32"/>
      <c r="N1419" s="32"/>
      <c r="O1419" s="32"/>
      <c r="P1419" s="32"/>
      <c r="Q1419" s="32"/>
    </row>
    <row r="1420" spans="9:17" x14ac:dyDescent="0.4">
      <c r="I1420" s="46"/>
      <c r="J1420" s="32"/>
      <c r="K1420" s="32"/>
      <c r="L1420" s="32"/>
      <c r="M1420" s="32"/>
      <c r="N1420" s="32"/>
      <c r="O1420" s="32"/>
      <c r="P1420" s="32"/>
      <c r="Q1420" s="32"/>
    </row>
    <row r="1421" spans="9:17" x14ac:dyDescent="0.4">
      <c r="I1421" s="46"/>
      <c r="J1421" s="32"/>
      <c r="K1421" s="32"/>
      <c r="L1421" s="32"/>
      <c r="M1421" s="32"/>
      <c r="N1421" s="32"/>
      <c r="O1421" s="32"/>
      <c r="P1421" s="32"/>
      <c r="Q1421" s="32"/>
    </row>
    <row r="1422" spans="9:17" x14ac:dyDescent="0.4">
      <c r="I1422" s="46"/>
      <c r="J1422" s="32"/>
      <c r="K1422" s="32"/>
      <c r="L1422" s="32"/>
      <c r="M1422" s="32"/>
      <c r="N1422" s="32"/>
      <c r="O1422" s="32"/>
      <c r="P1422" s="32"/>
      <c r="Q1422" s="32"/>
    </row>
    <row r="1423" spans="9:17" x14ac:dyDescent="0.4">
      <c r="I1423" s="46"/>
      <c r="J1423" s="32"/>
      <c r="K1423" s="32"/>
      <c r="L1423" s="32"/>
      <c r="M1423" s="32"/>
      <c r="N1423" s="32"/>
      <c r="O1423" s="32"/>
      <c r="P1423" s="32"/>
      <c r="Q1423" s="32"/>
    </row>
    <row r="1424" spans="9:17" x14ac:dyDescent="0.4">
      <c r="I1424" s="46"/>
      <c r="J1424" s="32"/>
      <c r="K1424" s="32"/>
      <c r="L1424" s="32"/>
      <c r="M1424" s="32"/>
      <c r="N1424" s="32"/>
      <c r="O1424" s="32"/>
      <c r="P1424" s="32"/>
      <c r="Q1424" s="32"/>
    </row>
    <row r="1425" spans="9:17" x14ac:dyDescent="0.4">
      <c r="I1425" s="46"/>
      <c r="J1425" s="32"/>
      <c r="K1425" s="32"/>
      <c r="L1425" s="32"/>
      <c r="M1425" s="32"/>
      <c r="N1425" s="32"/>
      <c r="O1425" s="32"/>
      <c r="P1425" s="32"/>
      <c r="Q1425" s="32"/>
    </row>
    <row r="1426" spans="9:17" x14ac:dyDescent="0.4">
      <c r="I1426" s="46"/>
      <c r="J1426" s="32"/>
      <c r="K1426" s="32"/>
      <c r="L1426" s="32"/>
      <c r="M1426" s="32"/>
      <c r="N1426" s="32"/>
      <c r="O1426" s="32"/>
      <c r="P1426" s="32"/>
      <c r="Q1426" s="32"/>
    </row>
    <row r="1427" spans="9:17" x14ac:dyDescent="0.4">
      <c r="I1427" s="46"/>
      <c r="J1427" s="32"/>
      <c r="K1427" s="32"/>
      <c r="L1427" s="32"/>
      <c r="M1427" s="32"/>
      <c r="N1427" s="32"/>
      <c r="O1427" s="32"/>
      <c r="P1427" s="32"/>
      <c r="Q1427" s="32"/>
    </row>
    <row r="1428" spans="9:17" x14ac:dyDescent="0.4">
      <c r="I1428" s="46"/>
      <c r="J1428" s="32"/>
      <c r="K1428" s="32"/>
      <c r="L1428" s="32"/>
      <c r="M1428" s="32"/>
      <c r="N1428" s="32"/>
      <c r="O1428" s="32"/>
      <c r="P1428" s="32"/>
      <c r="Q1428" s="32"/>
    </row>
    <row r="1429" spans="9:17" x14ac:dyDescent="0.4">
      <c r="I1429" s="46"/>
      <c r="J1429" s="32"/>
      <c r="K1429" s="32"/>
      <c r="L1429" s="32"/>
      <c r="M1429" s="32"/>
      <c r="N1429" s="32"/>
      <c r="O1429" s="32"/>
      <c r="P1429" s="32"/>
      <c r="Q1429" s="32"/>
    </row>
    <row r="1430" spans="9:17" x14ac:dyDescent="0.4">
      <c r="I1430" s="46"/>
      <c r="J1430" s="32"/>
      <c r="K1430" s="32"/>
      <c r="L1430" s="32"/>
      <c r="M1430" s="32"/>
      <c r="N1430" s="32"/>
      <c r="O1430" s="32"/>
      <c r="P1430" s="32"/>
      <c r="Q1430" s="32"/>
    </row>
    <row r="1431" spans="9:17" x14ac:dyDescent="0.4">
      <c r="I1431" s="46"/>
      <c r="J1431" s="32"/>
      <c r="K1431" s="32"/>
      <c r="L1431" s="32"/>
      <c r="M1431" s="32"/>
      <c r="N1431" s="32"/>
      <c r="O1431" s="32"/>
      <c r="P1431" s="32"/>
      <c r="Q1431" s="32"/>
    </row>
    <row r="1432" spans="9:17" x14ac:dyDescent="0.4">
      <c r="I1432" s="46"/>
      <c r="J1432" s="32"/>
      <c r="K1432" s="32"/>
      <c r="L1432" s="32"/>
      <c r="M1432" s="32"/>
      <c r="N1432" s="32"/>
      <c r="O1432" s="32"/>
      <c r="P1432" s="32"/>
      <c r="Q1432" s="32"/>
    </row>
    <row r="1433" spans="9:17" x14ac:dyDescent="0.4">
      <c r="I1433" s="46"/>
      <c r="J1433" s="32"/>
      <c r="K1433" s="32"/>
      <c r="L1433" s="32"/>
      <c r="M1433" s="32"/>
      <c r="N1433" s="32"/>
      <c r="O1433" s="32"/>
      <c r="P1433" s="32"/>
      <c r="Q1433" s="32"/>
    </row>
    <row r="1434" spans="9:17" x14ac:dyDescent="0.4">
      <c r="I1434" s="46"/>
      <c r="J1434" s="32"/>
      <c r="K1434" s="32"/>
      <c r="L1434" s="32"/>
      <c r="M1434" s="32"/>
      <c r="N1434" s="32"/>
      <c r="O1434" s="32"/>
      <c r="P1434" s="32"/>
      <c r="Q1434" s="32"/>
    </row>
    <row r="1435" spans="9:17" x14ac:dyDescent="0.4">
      <c r="I1435" s="46"/>
      <c r="J1435" s="32"/>
      <c r="K1435" s="32"/>
      <c r="L1435" s="32"/>
      <c r="M1435" s="32"/>
      <c r="N1435" s="32"/>
      <c r="O1435" s="32"/>
      <c r="P1435" s="32"/>
      <c r="Q1435" s="32"/>
    </row>
    <row r="1436" spans="9:17" x14ac:dyDescent="0.4">
      <c r="I1436" s="46"/>
      <c r="J1436" s="32"/>
      <c r="K1436" s="32"/>
      <c r="L1436" s="32"/>
      <c r="M1436" s="32"/>
      <c r="N1436" s="32"/>
      <c r="O1436" s="32"/>
      <c r="P1436" s="32"/>
      <c r="Q1436" s="32"/>
    </row>
    <row r="1437" spans="9:17" x14ac:dyDescent="0.4">
      <c r="I1437" s="46"/>
      <c r="J1437" s="32"/>
      <c r="K1437" s="32"/>
      <c r="L1437" s="32"/>
      <c r="M1437" s="32"/>
      <c r="N1437" s="32"/>
      <c r="O1437" s="32"/>
      <c r="P1437" s="32"/>
      <c r="Q1437" s="32"/>
    </row>
    <row r="1438" spans="9:17" x14ac:dyDescent="0.4">
      <c r="I1438" s="46"/>
      <c r="J1438" s="32"/>
      <c r="K1438" s="32"/>
      <c r="L1438" s="32"/>
      <c r="M1438" s="32"/>
      <c r="N1438" s="32"/>
      <c r="O1438" s="32"/>
      <c r="P1438" s="32"/>
      <c r="Q1438" s="32"/>
    </row>
    <row r="1439" spans="9:17" x14ac:dyDescent="0.4">
      <c r="I1439" s="46"/>
      <c r="J1439" s="32"/>
      <c r="K1439" s="32"/>
      <c r="L1439" s="32"/>
      <c r="M1439" s="32"/>
      <c r="N1439" s="32"/>
      <c r="O1439" s="32"/>
      <c r="P1439" s="32"/>
      <c r="Q1439" s="32"/>
    </row>
    <row r="1440" spans="9:17" x14ac:dyDescent="0.4">
      <c r="I1440" s="46"/>
      <c r="J1440" s="32"/>
      <c r="K1440" s="32"/>
      <c r="L1440" s="32"/>
      <c r="M1440" s="32"/>
      <c r="N1440" s="32"/>
      <c r="O1440" s="32"/>
      <c r="P1440" s="32"/>
      <c r="Q1440" s="32"/>
    </row>
    <row r="1441" spans="9:17" x14ac:dyDescent="0.4">
      <c r="I1441" s="46"/>
      <c r="J1441" s="32"/>
      <c r="K1441" s="32"/>
      <c r="L1441" s="32"/>
      <c r="M1441" s="32"/>
      <c r="N1441" s="32"/>
      <c r="O1441" s="32"/>
      <c r="P1441" s="32"/>
      <c r="Q1441" s="32"/>
    </row>
    <row r="1442" spans="9:17" x14ac:dyDescent="0.4">
      <c r="I1442" s="46"/>
      <c r="J1442" s="32"/>
      <c r="K1442" s="32"/>
      <c r="L1442" s="32"/>
      <c r="M1442" s="32"/>
      <c r="N1442" s="32"/>
      <c r="O1442" s="32"/>
      <c r="P1442" s="32"/>
      <c r="Q1442" s="32"/>
    </row>
    <row r="1443" spans="9:17" x14ac:dyDescent="0.4">
      <c r="I1443" s="46"/>
      <c r="J1443" s="32"/>
      <c r="K1443" s="32"/>
      <c r="L1443" s="32"/>
      <c r="M1443" s="32"/>
      <c r="N1443" s="32"/>
      <c r="O1443" s="32"/>
      <c r="P1443" s="32"/>
      <c r="Q1443" s="32"/>
    </row>
    <row r="1444" spans="9:17" x14ac:dyDescent="0.4">
      <c r="I1444" s="46"/>
      <c r="J1444" s="32"/>
      <c r="K1444" s="32"/>
      <c r="L1444" s="32"/>
      <c r="M1444" s="32"/>
      <c r="N1444" s="32"/>
      <c r="O1444" s="32"/>
      <c r="P1444" s="32"/>
      <c r="Q1444" s="32"/>
    </row>
    <row r="1445" spans="9:17" x14ac:dyDescent="0.4">
      <c r="I1445" s="46"/>
      <c r="J1445" s="32"/>
      <c r="K1445" s="32"/>
      <c r="L1445" s="32"/>
      <c r="M1445" s="32"/>
      <c r="N1445" s="32"/>
      <c r="O1445" s="32"/>
      <c r="P1445" s="32"/>
      <c r="Q1445" s="32"/>
    </row>
    <row r="1446" spans="9:17" x14ac:dyDescent="0.4">
      <c r="I1446" s="46"/>
      <c r="J1446" s="32"/>
      <c r="K1446" s="32"/>
      <c r="L1446" s="32"/>
      <c r="M1446" s="32"/>
      <c r="N1446" s="32"/>
      <c r="O1446" s="32"/>
      <c r="P1446" s="32"/>
      <c r="Q1446" s="32"/>
    </row>
    <row r="1447" spans="9:17" x14ac:dyDescent="0.4">
      <c r="I1447" s="46"/>
      <c r="J1447" s="32"/>
      <c r="K1447" s="32"/>
      <c r="L1447" s="32"/>
      <c r="M1447" s="32"/>
      <c r="N1447" s="32"/>
      <c r="O1447" s="32"/>
      <c r="P1447" s="32"/>
      <c r="Q1447" s="32"/>
    </row>
    <row r="1448" spans="9:17" x14ac:dyDescent="0.4">
      <c r="I1448" s="46"/>
      <c r="J1448" s="32"/>
      <c r="K1448" s="32"/>
      <c r="L1448" s="32"/>
      <c r="M1448" s="32"/>
      <c r="N1448" s="32"/>
      <c r="O1448" s="32"/>
      <c r="P1448" s="32"/>
      <c r="Q1448" s="32"/>
    </row>
    <row r="1449" spans="9:17" x14ac:dyDescent="0.4">
      <c r="I1449" s="46"/>
      <c r="J1449" s="32"/>
      <c r="K1449" s="32"/>
      <c r="L1449" s="32"/>
      <c r="M1449" s="32"/>
      <c r="N1449" s="32"/>
      <c r="O1449" s="32"/>
      <c r="P1449" s="32"/>
      <c r="Q1449" s="32"/>
    </row>
    <row r="1450" spans="9:17" x14ac:dyDescent="0.4">
      <c r="I1450" s="46"/>
      <c r="J1450" s="32"/>
      <c r="K1450" s="32"/>
      <c r="L1450" s="32"/>
      <c r="M1450" s="32"/>
      <c r="N1450" s="32"/>
      <c r="O1450" s="32"/>
      <c r="P1450" s="32"/>
      <c r="Q1450" s="32"/>
    </row>
    <row r="1451" spans="9:17" x14ac:dyDescent="0.4">
      <c r="I1451" s="46"/>
      <c r="J1451" s="32"/>
      <c r="K1451" s="32"/>
      <c r="L1451" s="32"/>
      <c r="M1451" s="32"/>
      <c r="N1451" s="32"/>
      <c r="O1451" s="32"/>
      <c r="P1451" s="32"/>
      <c r="Q1451" s="32"/>
    </row>
    <row r="1452" spans="9:17" x14ac:dyDescent="0.4">
      <c r="I1452" s="46"/>
      <c r="J1452" s="32"/>
      <c r="K1452" s="32"/>
      <c r="L1452" s="32"/>
      <c r="M1452" s="32"/>
      <c r="N1452" s="32"/>
      <c r="O1452" s="32"/>
      <c r="P1452" s="32"/>
      <c r="Q1452" s="32"/>
    </row>
    <row r="1453" spans="9:17" x14ac:dyDescent="0.4">
      <c r="I1453" s="46"/>
      <c r="J1453" s="32"/>
      <c r="K1453" s="32"/>
      <c r="L1453" s="32"/>
      <c r="M1453" s="32"/>
      <c r="N1453" s="32"/>
      <c r="O1453" s="32"/>
      <c r="P1453" s="32"/>
      <c r="Q1453" s="32"/>
    </row>
    <row r="1454" spans="9:17" x14ac:dyDescent="0.4">
      <c r="I1454" s="46"/>
      <c r="J1454" s="32"/>
      <c r="K1454" s="32"/>
      <c r="L1454" s="32"/>
      <c r="M1454" s="32"/>
      <c r="N1454" s="32"/>
      <c r="O1454" s="32"/>
      <c r="P1454" s="32"/>
      <c r="Q1454" s="32"/>
    </row>
    <row r="1455" spans="9:17" x14ac:dyDescent="0.4">
      <c r="I1455" s="46"/>
      <c r="J1455" s="32"/>
      <c r="K1455" s="32"/>
      <c r="L1455" s="32"/>
      <c r="M1455" s="32"/>
      <c r="N1455" s="32"/>
      <c r="O1455" s="32"/>
      <c r="P1455" s="32"/>
      <c r="Q1455" s="32"/>
    </row>
    <row r="1456" spans="9:17" x14ac:dyDescent="0.4">
      <c r="I1456" s="46"/>
      <c r="J1456" s="32"/>
      <c r="K1456" s="32"/>
      <c r="L1456" s="32"/>
      <c r="M1456" s="32"/>
      <c r="N1456" s="32"/>
      <c r="O1456" s="32"/>
      <c r="P1456" s="32"/>
      <c r="Q1456" s="32"/>
    </row>
    <row r="1457" spans="9:17" x14ac:dyDescent="0.4">
      <c r="I1457" s="46"/>
      <c r="J1457" s="32"/>
      <c r="K1457" s="32"/>
      <c r="L1457" s="32"/>
      <c r="M1457" s="32"/>
      <c r="N1457" s="32"/>
      <c r="O1457" s="32"/>
      <c r="P1457" s="32"/>
      <c r="Q1457" s="32"/>
    </row>
    <row r="1458" spans="9:17" x14ac:dyDescent="0.4">
      <c r="I1458" s="46"/>
      <c r="J1458" s="32"/>
      <c r="K1458" s="32"/>
      <c r="L1458" s="32"/>
      <c r="M1458" s="32"/>
      <c r="N1458" s="32"/>
      <c r="O1458" s="32"/>
      <c r="P1458" s="32"/>
      <c r="Q1458" s="32"/>
    </row>
    <row r="1459" spans="9:17" x14ac:dyDescent="0.4">
      <c r="I1459" s="46"/>
      <c r="J1459" s="32"/>
      <c r="K1459" s="32"/>
      <c r="L1459" s="32"/>
      <c r="M1459" s="32"/>
      <c r="N1459" s="32"/>
      <c r="O1459" s="32"/>
      <c r="P1459" s="32"/>
      <c r="Q1459" s="32"/>
    </row>
    <row r="1460" spans="9:17" x14ac:dyDescent="0.4">
      <c r="I1460" s="46"/>
      <c r="J1460" s="32"/>
      <c r="K1460" s="32"/>
      <c r="L1460" s="32"/>
      <c r="M1460" s="32"/>
      <c r="N1460" s="32"/>
      <c r="O1460" s="32"/>
      <c r="P1460" s="32"/>
      <c r="Q1460" s="32"/>
    </row>
    <row r="1461" spans="9:17" x14ac:dyDescent="0.4">
      <c r="I1461" s="46"/>
      <c r="J1461" s="32"/>
      <c r="K1461" s="32"/>
      <c r="L1461" s="32"/>
      <c r="M1461" s="32"/>
      <c r="N1461" s="32"/>
      <c r="O1461" s="32"/>
      <c r="P1461" s="32"/>
      <c r="Q1461" s="32"/>
    </row>
    <row r="1462" spans="9:17" x14ac:dyDescent="0.4">
      <c r="I1462" s="46"/>
      <c r="J1462" s="32"/>
      <c r="K1462" s="32"/>
      <c r="L1462" s="32"/>
      <c r="M1462" s="32"/>
      <c r="N1462" s="32"/>
      <c r="O1462" s="32"/>
      <c r="P1462" s="32"/>
      <c r="Q1462" s="32"/>
    </row>
    <row r="1463" spans="9:17" x14ac:dyDescent="0.4">
      <c r="I1463" s="46"/>
      <c r="J1463" s="32"/>
      <c r="K1463" s="32"/>
      <c r="L1463" s="32"/>
      <c r="M1463" s="32"/>
      <c r="N1463" s="32"/>
      <c r="O1463" s="32"/>
      <c r="P1463" s="32"/>
      <c r="Q1463" s="32"/>
    </row>
    <row r="1464" spans="9:17" x14ac:dyDescent="0.4">
      <c r="I1464" s="46"/>
      <c r="J1464" s="32"/>
      <c r="K1464" s="32"/>
      <c r="L1464" s="32"/>
      <c r="M1464" s="32"/>
      <c r="N1464" s="32"/>
      <c r="O1464" s="32"/>
      <c r="P1464" s="32"/>
      <c r="Q1464" s="32"/>
    </row>
    <row r="1465" spans="9:17" x14ac:dyDescent="0.4">
      <c r="I1465" s="46"/>
      <c r="J1465" s="32"/>
      <c r="K1465" s="32"/>
      <c r="L1465" s="32"/>
      <c r="M1465" s="32"/>
      <c r="N1465" s="32"/>
      <c r="O1465" s="32"/>
      <c r="P1465" s="32"/>
      <c r="Q1465" s="32"/>
    </row>
    <row r="1466" spans="9:17" x14ac:dyDescent="0.4">
      <c r="I1466" s="46"/>
      <c r="J1466" s="32"/>
      <c r="K1466" s="32"/>
      <c r="L1466" s="32"/>
      <c r="M1466" s="32"/>
      <c r="N1466" s="32"/>
      <c r="O1466" s="32"/>
      <c r="P1466" s="32"/>
      <c r="Q1466" s="32"/>
    </row>
    <row r="1467" spans="9:17" x14ac:dyDescent="0.4">
      <c r="I1467" s="46"/>
      <c r="J1467" s="32"/>
      <c r="K1467" s="32"/>
      <c r="L1467" s="32"/>
      <c r="M1467" s="32"/>
      <c r="N1467" s="32"/>
      <c r="O1467" s="32"/>
      <c r="P1467" s="32"/>
      <c r="Q1467" s="32"/>
    </row>
    <row r="1468" spans="9:17" x14ac:dyDescent="0.4">
      <c r="I1468" s="46"/>
      <c r="J1468" s="32"/>
      <c r="K1468" s="32"/>
      <c r="L1468" s="32"/>
      <c r="M1468" s="32"/>
      <c r="N1468" s="32"/>
      <c r="O1468" s="32"/>
      <c r="P1468" s="32"/>
      <c r="Q1468" s="32"/>
    </row>
    <row r="1469" spans="9:17" x14ac:dyDescent="0.4">
      <c r="I1469" s="46"/>
      <c r="J1469" s="32"/>
      <c r="K1469" s="32"/>
      <c r="L1469" s="32"/>
      <c r="M1469" s="32"/>
      <c r="N1469" s="32"/>
      <c r="O1469" s="32"/>
      <c r="P1469" s="32"/>
      <c r="Q1469" s="32"/>
    </row>
    <row r="1470" spans="9:17" x14ac:dyDescent="0.4">
      <c r="I1470" s="46"/>
      <c r="J1470" s="32"/>
      <c r="K1470" s="32"/>
      <c r="L1470" s="32"/>
      <c r="M1470" s="32"/>
      <c r="N1470" s="32"/>
      <c r="O1470" s="32"/>
      <c r="P1470" s="32"/>
      <c r="Q1470" s="32"/>
    </row>
    <row r="1471" spans="9:17" x14ac:dyDescent="0.4">
      <c r="I1471" s="46"/>
      <c r="J1471" s="32"/>
      <c r="K1471" s="32"/>
      <c r="L1471" s="32"/>
      <c r="M1471" s="32"/>
      <c r="N1471" s="32"/>
      <c r="O1471" s="32"/>
      <c r="P1471" s="32"/>
      <c r="Q1471" s="32"/>
    </row>
    <row r="1472" spans="9:17" x14ac:dyDescent="0.4">
      <c r="I1472" s="46"/>
      <c r="J1472" s="32"/>
      <c r="K1472" s="32"/>
      <c r="L1472" s="32"/>
      <c r="M1472" s="32"/>
      <c r="N1472" s="32"/>
      <c r="O1472" s="32"/>
      <c r="P1472" s="32"/>
      <c r="Q1472" s="32"/>
    </row>
    <row r="1473" spans="9:17" x14ac:dyDescent="0.4">
      <c r="I1473" s="46"/>
      <c r="J1473" s="32"/>
      <c r="K1473" s="32"/>
      <c r="L1473" s="32"/>
      <c r="M1473" s="32"/>
      <c r="N1473" s="32"/>
      <c r="O1473" s="32"/>
      <c r="P1473" s="32"/>
      <c r="Q1473" s="32"/>
    </row>
    <row r="1474" spans="9:17" x14ac:dyDescent="0.4">
      <c r="I1474" s="46"/>
      <c r="J1474" s="32"/>
      <c r="K1474" s="32"/>
      <c r="L1474" s="32"/>
      <c r="M1474" s="32"/>
      <c r="N1474" s="32"/>
      <c r="O1474" s="32"/>
      <c r="P1474" s="32"/>
      <c r="Q1474" s="32"/>
    </row>
    <row r="1475" spans="9:17" x14ac:dyDescent="0.4">
      <c r="I1475" s="46"/>
      <c r="J1475" s="32"/>
      <c r="K1475" s="32"/>
      <c r="L1475" s="32"/>
      <c r="M1475" s="32"/>
      <c r="N1475" s="32"/>
      <c r="O1475" s="32"/>
      <c r="P1475" s="32"/>
      <c r="Q1475" s="32"/>
    </row>
    <row r="1476" spans="9:17" x14ac:dyDescent="0.4">
      <c r="I1476" s="46"/>
      <c r="J1476" s="32"/>
      <c r="K1476" s="32"/>
      <c r="L1476" s="32"/>
      <c r="M1476" s="32"/>
      <c r="N1476" s="32"/>
      <c r="O1476" s="32"/>
      <c r="P1476" s="32"/>
      <c r="Q1476" s="32"/>
    </row>
    <row r="1477" spans="9:17" x14ac:dyDescent="0.4">
      <c r="I1477" s="46"/>
      <c r="J1477" s="32"/>
      <c r="K1477" s="32"/>
      <c r="L1477" s="32"/>
      <c r="M1477" s="32"/>
      <c r="N1477" s="32"/>
      <c r="O1477" s="32"/>
      <c r="P1477" s="32"/>
      <c r="Q1477" s="32"/>
    </row>
    <row r="1478" spans="9:17" x14ac:dyDescent="0.4">
      <c r="I1478" s="46"/>
      <c r="J1478" s="32"/>
      <c r="K1478" s="32"/>
      <c r="L1478" s="32"/>
      <c r="M1478" s="32"/>
      <c r="N1478" s="32"/>
      <c r="O1478" s="32"/>
      <c r="P1478" s="32"/>
      <c r="Q1478" s="32"/>
    </row>
    <row r="1479" spans="9:17" x14ac:dyDescent="0.4">
      <c r="I1479" s="46"/>
      <c r="J1479" s="32"/>
      <c r="K1479" s="32"/>
      <c r="L1479" s="32"/>
      <c r="M1479" s="32"/>
      <c r="N1479" s="32"/>
      <c r="O1479" s="32"/>
      <c r="P1479" s="32"/>
      <c r="Q1479" s="32"/>
    </row>
    <row r="1480" spans="9:17" x14ac:dyDescent="0.4">
      <c r="I1480" s="46"/>
      <c r="J1480" s="32"/>
      <c r="K1480" s="32"/>
      <c r="L1480" s="32"/>
      <c r="M1480" s="32"/>
      <c r="N1480" s="32"/>
      <c r="O1480" s="32"/>
      <c r="P1480" s="32"/>
      <c r="Q1480" s="32"/>
    </row>
    <row r="1481" spans="9:17" x14ac:dyDescent="0.4">
      <c r="I1481" s="46"/>
      <c r="J1481" s="32"/>
      <c r="K1481" s="32"/>
      <c r="L1481" s="32"/>
      <c r="M1481" s="32"/>
      <c r="N1481" s="32"/>
      <c r="O1481" s="32"/>
      <c r="P1481" s="32"/>
      <c r="Q1481" s="32"/>
    </row>
    <row r="1482" spans="9:17" x14ac:dyDescent="0.4">
      <c r="I1482" s="46"/>
      <c r="J1482" s="32"/>
      <c r="K1482" s="32"/>
      <c r="L1482" s="32"/>
      <c r="M1482" s="32"/>
      <c r="N1482" s="32"/>
      <c r="O1482" s="32"/>
      <c r="P1482" s="32"/>
      <c r="Q1482" s="32"/>
    </row>
    <row r="1483" spans="9:17" x14ac:dyDescent="0.4">
      <c r="I1483" s="46"/>
      <c r="J1483" s="32"/>
      <c r="K1483" s="32"/>
      <c r="L1483" s="32"/>
      <c r="M1483" s="32"/>
      <c r="N1483" s="32"/>
      <c r="O1483" s="32"/>
      <c r="P1483" s="32"/>
      <c r="Q1483" s="32"/>
    </row>
    <row r="1484" spans="9:17" x14ac:dyDescent="0.4">
      <c r="I1484" s="46"/>
      <c r="J1484" s="32"/>
      <c r="K1484" s="32"/>
      <c r="L1484" s="32"/>
      <c r="M1484" s="32"/>
      <c r="N1484" s="32"/>
      <c r="O1484" s="32"/>
      <c r="P1484" s="32"/>
      <c r="Q1484" s="32"/>
    </row>
    <row r="1485" spans="9:17" x14ac:dyDescent="0.4">
      <c r="I1485" s="46"/>
      <c r="J1485" s="32"/>
      <c r="K1485" s="32"/>
      <c r="L1485" s="32"/>
      <c r="M1485" s="32"/>
      <c r="N1485" s="32"/>
      <c r="O1485" s="32"/>
      <c r="P1485" s="32"/>
      <c r="Q1485" s="32"/>
    </row>
    <row r="1486" spans="9:17" x14ac:dyDescent="0.4">
      <c r="I1486" s="46"/>
      <c r="J1486" s="32"/>
      <c r="K1486" s="32"/>
      <c r="L1486" s="32"/>
      <c r="M1486" s="32"/>
      <c r="N1486" s="32"/>
      <c r="O1486" s="32"/>
      <c r="P1486" s="32"/>
      <c r="Q1486" s="32"/>
    </row>
    <row r="1487" spans="9:17" x14ac:dyDescent="0.4">
      <c r="I1487" s="46"/>
      <c r="J1487" s="32"/>
      <c r="K1487" s="32"/>
      <c r="L1487" s="32"/>
      <c r="M1487" s="32"/>
      <c r="N1487" s="32"/>
      <c r="O1487" s="32"/>
      <c r="P1487" s="32"/>
      <c r="Q1487" s="32"/>
    </row>
    <row r="1488" spans="9:17" x14ac:dyDescent="0.4">
      <c r="I1488" s="46"/>
      <c r="J1488" s="32"/>
      <c r="K1488" s="32"/>
      <c r="L1488" s="32"/>
      <c r="M1488" s="32"/>
      <c r="N1488" s="32"/>
      <c r="O1488" s="32"/>
      <c r="P1488" s="32"/>
      <c r="Q1488" s="32"/>
    </row>
    <row r="1489" spans="9:17" x14ac:dyDescent="0.4">
      <c r="I1489" s="46"/>
      <c r="J1489" s="32"/>
      <c r="K1489" s="32"/>
      <c r="L1489" s="32"/>
      <c r="M1489" s="32"/>
      <c r="N1489" s="32"/>
      <c r="O1489" s="32"/>
      <c r="P1489" s="32"/>
      <c r="Q1489" s="32"/>
    </row>
    <row r="1490" spans="9:17" x14ac:dyDescent="0.4">
      <c r="I1490" s="46"/>
      <c r="J1490" s="32"/>
      <c r="K1490" s="32"/>
      <c r="L1490" s="32"/>
      <c r="M1490" s="32"/>
      <c r="N1490" s="32"/>
      <c r="O1490" s="32"/>
      <c r="P1490" s="32"/>
      <c r="Q1490" s="32"/>
    </row>
    <row r="1491" spans="9:17" x14ac:dyDescent="0.4">
      <c r="I1491" s="46"/>
      <c r="J1491" s="32"/>
      <c r="K1491" s="32"/>
      <c r="L1491" s="32"/>
      <c r="M1491" s="32"/>
      <c r="N1491" s="32"/>
      <c r="O1491" s="32"/>
      <c r="P1491" s="32"/>
      <c r="Q1491" s="32"/>
    </row>
    <row r="1492" spans="9:17" x14ac:dyDescent="0.4">
      <c r="I1492" s="46"/>
      <c r="J1492" s="32"/>
      <c r="K1492" s="32"/>
      <c r="L1492" s="32"/>
      <c r="M1492" s="32"/>
      <c r="N1492" s="32"/>
      <c r="O1492" s="32"/>
      <c r="P1492" s="32"/>
      <c r="Q1492" s="32"/>
    </row>
    <row r="1493" spans="9:17" x14ac:dyDescent="0.4">
      <c r="I1493" s="46"/>
      <c r="J1493" s="32"/>
      <c r="K1493" s="32"/>
      <c r="L1493" s="32"/>
      <c r="M1493" s="32"/>
      <c r="N1493" s="32"/>
      <c r="O1493" s="32"/>
      <c r="P1493" s="32"/>
      <c r="Q1493" s="32"/>
    </row>
    <row r="1494" spans="9:17" x14ac:dyDescent="0.4">
      <c r="I1494" s="46"/>
      <c r="J1494" s="32"/>
      <c r="K1494" s="32"/>
      <c r="L1494" s="32"/>
      <c r="M1494" s="32"/>
      <c r="N1494" s="32"/>
      <c r="O1494" s="32"/>
      <c r="P1494" s="32"/>
      <c r="Q1494" s="32"/>
    </row>
    <row r="1495" spans="9:17" x14ac:dyDescent="0.4">
      <c r="I1495" s="46"/>
      <c r="J1495" s="32"/>
      <c r="K1495" s="32"/>
      <c r="L1495" s="32"/>
      <c r="M1495" s="32"/>
      <c r="N1495" s="32"/>
      <c r="O1495" s="32"/>
      <c r="P1495" s="32"/>
      <c r="Q1495" s="32"/>
    </row>
    <row r="1496" spans="9:17" x14ac:dyDescent="0.4">
      <c r="I1496" s="46"/>
      <c r="J1496" s="32"/>
      <c r="K1496" s="32"/>
      <c r="L1496" s="32"/>
      <c r="M1496" s="32"/>
      <c r="N1496" s="32"/>
      <c r="O1496" s="32"/>
      <c r="P1496" s="32"/>
      <c r="Q1496" s="32"/>
    </row>
    <row r="1497" spans="9:17" x14ac:dyDescent="0.4">
      <c r="I1497" s="46"/>
      <c r="J1497" s="32"/>
      <c r="K1497" s="32"/>
      <c r="L1497" s="32"/>
      <c r="M1497" s="32"/>
      <c r="N1497" s="32"/>
      <c r="O1497" s="32"/>
      <c r="P1497" s="32"/>
      <c r="Q1497" s="32"/>
    </row>
    <row r="1498" spans="9:17" x14ac:dyDescent="0.4">
      <c r="I1498" s="46"/>
      <c r="J1498" s="32"/>
      <c r="K1498" s="32"/>
      <c r="L1498" s="32"/>
      <c r="M1498" s="32"/>
      <c r="N1498" s="32"/>
      <c r="O1498" s="32"/>
      <c r="P1498" s="32"/>
      <c r="Q1498" s="32"/>
    </row>
    <row r="1499" spans="9:17" x14ac:dyDescent="0.4">
      <c r="I1499" s="46"/>
      <c r="J1499" s="32"/>
      <c r="K1499" s="32"/>
      <c r="L1499" s="32"/>
      <c r="M1499" s="32"/>
      <c r="N1499" s="32"/>
      <c r="O1499" s="32"/>
      <c r="P1499" s="32"/>
      <c r="Q1499" s="32"/>
    </row>
    <row r="1500" spans="9:17" x14ac:dyDescent="0.4">
      <c r="I1500" s="46"/>
      <c r="J1500" s="32"/>
      <c r="K1500" s="32"/>
      <c r="L1500" s="32"/>
      <c r="M1500" s="32"/>
      <c r="N1500" s="32"/>
      <c r="O1500" s="32"/>
      <c r="P1500" s="32"/>
      <c r="Q1500" s="32"/>
    </row>
    <row r="1501" spans="9:17" x14ac:dyDescent="0.4">
      <c r="I1501" s="46"/>
      <c r="J1501" s="32"/>
      <c r="K1501" s="32"/>
      <c r="L1501" s="32"/>
      <c r="M1501" s="32"/>
      <c r="N1501" s="32"/>
      <c r="O1501" s="32"/>
      <c r="P1501" s="32"/>
      <c r="Q1501" s="32"/>
    </row>
    <row r="1502" spans="9:17" x14ac:dyDescent="0.4">
      <c r="I1502" s="46"/>
      <c r="J1502" s="32"/>
      <c r="K1502" s="32"/>
      <c r="L1502" s="32"/>
      <c r="M1502" s="32"/>
      <c r="N1502" s="32"/>
      <c r="O1502" s="32"/>
      <c r="P1502" s="32"/>
      <c r="Q1502" s="32"/>
    </row>
    <row r="1503" spans="9:17" x14ac:dyDescent="0.4">
      <c r="I1503" s="46"/>
      <c r="J1503" s="32"/>
      <c r="K1503" s="32"/>
      <c r="L1503" s="32"/>
      <c r="M1503" s="32"/>
      <c r="N1503" s="32"/>
      <c r="O1503" s="32"/>
      <c r="P1503" s="32"/>
      <c r="Q1503" s="32"/>
    </row>
    <row r="1504" spans="9:17" x14ac:dyDescent="0.4">
      <c r="I1504" s="46"/>
      <c r="J1504" s="32"/>
      <c r="K1504" s="32"/>
      <c r="L1504" s="32"/>
      <c r="M1504" s="32"/>
      <c r="N1504" s="32"/>
      <c r="O1504" s="32"/>
      <c r="P1504" s="32"/>
      <c r="Q1504" s="32"/>
    </row>
    <row r="1505" spans="9:17" x14ac:dyDescent="0.4">
      <c r="I1505" s="46"/>
      <c r="J1505" s="32"/>
      <c r="K1505" s="32"/>
      <c r="L1505" s="32"/>
      <c r="M1505" s="32"/>
      <c r="N1505" s="32"/>
      <c r="O1505" s="32"/>
      <c r="P1505" s="32"/>
      <c r="Q1505" s="32"/>
    </row>
    <row r="1506" spans="9:17" x14ac:dyDescent="0.4">
      <c r="I1506" s="46"/>
      <c r="J1506" s="32"/>
      <c r="K1506" s="32"/>
      <c r="L1506" s="32"/>
      <c r="M1506" s="32"/>
      <c r="N1506" s="32"/>
      <c r="O1506" s="32"/>
      <c r="P1506" s="32"/>
      <c r="Q1506" s="32"/>
    </row>
    <row r="1507" spans="9:17" x14ac:dyDescent="0.4">
      <c r="I1507" s="46"/>
      <c r="J1507" s="32"/>
      <c r="K1507" s="32"/>
      <c r="L1507" s="32"/>
      <c r="M1507" s="32"/>
      <c r="N1507" s="32"/>
      <c r="O1507" s="32"/>
      <c r="P1507" s="32"/>
      <c r="Q1507" s="32"/>
    </row>
    <row r="1508" spans="9:17" x14ac:dyDescent="0.4">
      <c r="I1508" s="46"/>
      <c r="J1508" s="32"/>
      <c r="K1508" s="32"/>
      <c r="L1508" s="32"/>
      <c r="M1508" s="32"/>
      <c r="N1508" s="32"/>
      <c r="O1508" s="32"/>
      <c r="P1508" s="32"/>
      <c r="Q1508" s="32"/>
    </row>
    <row r="1509" spans="9:17" x14ac:dyDescent="0.4">
      <c r="I1509" s="46"/>
      <c r="J1509" s="32"/>
      <c r="K1509" s="32"/>
      <c r="L1509" s="32"/>
      <c r="M1509" s="32"/>
      <c r="N1509" s="32"/>
      <c r="O1509" s="32"/>
      <c r="P1509" s="32"/>
      <c r="Q1509" s="32"/>
    </row>
    <row r="1510" spans="9:17" x14ac:dyDescent="0.4">
      <c r="I1510" s="46"/>
      <c r="J1510" s="32"/>
      <c r="K1510" s="32"/>
      <c r="L1510" s="32"/>
      <c r="M1510" s="32"/>
      <c r="N1510" s="32"/>
      <c r="O1510" s="32"/>
      <c r="P1510" s="32"/>
      <c r="Q1510" s="32"/>
    </row>
    <row r="1511" spans="9:17" x14ac:dyDescent="0.4">
      <c r="I1511" s="46"/>
      <c r="J1511" s="32"/>
      <c r="K1511" s="32"/>
      <c r="L1511" s="32"/>
      <c r="M1511" s="32"/>
      <c r="N1511" s="32"/>
      <c r="O1511" s="32"/>
      <c r="P1511" s="32"/>
      <c r="Q1511" s="32"/>
    </row>
    <row r="1512" spans="9:17" x14ac:dyDescent="0.4">
      <c r="I1512" s="46"/>
      <c r="J1512" s="32"/>
      <c r="K1512" s="32"/>
      <c r="L1512" s="32"/>
      <c r="M1512" s="32"/>
      <c r="N1512" s="32"/>
      <c r="O1512" s="32"/>
      <c r="P1512" s="32"/>
      <c r="Q1512" s="32"/>
    </row>
    <row r="1513" spans="9:17" x14ac:dyDescent="0.4">
      <c r="I1513" s="46"/>
      <c r="J1513" s="32"/>
      <c r="K1513" s="32"/>
      <c r="L1513" s="32"/>
      <c r="M1513" s="32"/>
      <c r="N1513" s="32"/>
      <c r="O1513" s="32"/>
      <c r="P1513" s="32"/>
      <c r="Q1513" s="32"/>
    </row>
    <row r="1514" spans="9:17" x14ac:dyDescent="0.4">
      <c r="I1514" s="46"/>
      <c r="J1514" s="32"/>
      <c r="K1514" s="32"/>
      <c r="L1514" s="32"/>
      <c r="M1514" s="32"/>
      <c r="N1514" s="32"/>
      <c r="O1514" s="32"/>
      <c r="P1514" s="32"/>
      <c r="Q1514" s="32"/>
    </row>
    <row r="1515" spans="9:17" x14ac:dyDescent="0.4">
      <c r="I1515" s="46"/>
      <c r="J1515" s="32"/>
      <c r="K1515" s="32"/>
      <c r="L1515" s="32"/>
      <c r="M1515" s="32"/>
      <c r="N1515" s="32"/>
      <c r="O1515" s="32"/>
      <c r="P1515" s="32"/>
      <c r="Q1515" s="32"/>
    </row>
    <row r="1516" spans="9:17" x14ac:dyDescent="0.4">
      <c r="I1516" s="46"/>
      <c r="J1516" s="32"/>
      <c r="K1516" s="32"/>
      <c r="L1516" s="32"/>
      <c r="M1516" s="32"/>
      <c r="N1516" s="32"/>
      <c r="O1516" s="32"/>
      <c r="P1516" s="32"/>
      <c r="Q1516" s="32"/>
    </row>
    <row r="1517" spans="9:17" x14ac:dyDescent="0.4">
      <c r="I1517" s="46"/>
      <c r="J1517" s="32"/>
      <c r="K1517" s="32"/>
      <c r="L1517" s="32"/>
      <c r="M1517" s="32"/>
      <c r="N1517" s="32"/>
      <c r="O1517" s="32"/>
      <c r="P1517" s="32"/>
      <c r="Q1517" s="32"/>
    </row>
    <row r="1518" spans="9:17" x14ac:dyDescent="0.4">
      <c r="I1518" s="46"/>
      <c r="J1518" s="32"/>
      <c r="K1518" s="32"/>
      <c r="L1518" s="32"/>
      <c r="M1518" s="32"/>
      <c r="N1518" s="32"/>
      <c r="O1518" s="32"/>
      <c r="P1518" s="32"/>
      <c r="Q1518" s="32"/>
    </row>
    <row r="1519" spans="9:17" x14ac:dyDescent="0.4">
      <c r="I1519" s="46"/>
      <c r="J1519" s="32"/>
      <c r="K1519" s="32"/>
      <c r="L1519" s="32"/>
      <c r="M1519" s="32"/>
      <c r="N1519" s="32"/>
      <c r="O1519" s="32"/>
      <c r="P1519" s="32"/>
      <c r="Q1519" s="32"/>
    </row>
    <row r="1520" spans="9:17" x14ac:dyDescent="0.4">
      <c r="I1520" s="46"/>
      <c r="J1520" s="32"/>
      <c r="K1520" s="32"/>
      <c r="L1520" s="32"/>
      <c r="M1520" s="32"/>
      <c r="N1520" s="32"/>
      <c r="O1520" s="32"/>
      <c r="P1520" s="32"/>
      <c r="Q1520" s="32"/>
    </row>
    <row r="1521" spans="9:17" x14ac:dyDescent="0.4">
      <c r="I1521" s="46"/>
      <c r="J1521" s="32"/>
      <c r="K1521" s="32"/>
      <c r="L1521" s="32"/>
      <c r="M1521" s="32"/>
      <c r="N1521" s="32"/>
      <c r="O1521" s="32"/>
      <c r="P1521" s="32"/>
      <c r="Q1521" s="32"/>
    </row>
    <row r="1522" spans="9:17" x14ac:dyDescent="0.4">
      <c r="I1522" s="46"/>
      <c r="J1522" s="32"/>
      <c r="K1522" s="32"/>
      <c r="L1522" s="32"/>
      <c r="M1522" s="32"/>
      <c r="N1522" s="32"/>
      <c r="O1522" s="32"/>
      <c r="P1522" s="32"/>
      <c r="Q1522" s="32"/>
    </row>
    <row r="1523" spans="9:17" x14ac:dyDescent="0.4">
      <c r="I1523" s="46"/>
      <c r="J1523" s="32"/>
      <c r="K1523" s="32"/>
      <c r="L1523" s="32"/>
      <c r="M1523" s="32"/>
      <c r="N1523" s="32"/>
      <c r="O1523" s="32"/>
      <c r="P1523" s="32"/>
      <c r="Q1523" s="32"/>
    </row>
    <row r="1524" spans="9:17" x14ac:dyDescent="0.4">
      <c r="I1524" s="46"/>
      <c r="J1524" s="32"/>
      <c r="K1524" s="32"/>
      <c r="L1524" s="32"/>
      <c r="M1524" s="32"/>
      <c r="N1524" s="32"/>
      <c r="O1524" s="32"/>
      <c r="P1524" s="32"/>
      <c r="Q1524" s="32"/>
    </row>
    <row r="1525" spans="9:17" x14ac:dyDescent="0.4">
      <c r="I1525" s="46"/>
      <c r="J1525" s="32"/>
      <c r="K1525" s="32"/>
      <c r="L1525" s="32"/>
      <c r="M1525" s="32"/>
      <c r="N1525" s="32"/>
      <c r="O1525" s="32"/>
      <c r="P1525" s="32"/>
      <c r="Q1525" s="32"/>
    </row>
    <row r="1526" spans="9:17" x14ac:dyDescent="0.4">
      <c r="I1526" s="46"/>
      <c r="J1526" s="32"/>
      <c r="K1526" s="32"/>
      <c r="L1526" s="32"/>
      <c r="M1526" s="32"/>
      <c r="N1526" s="32"/>
      <c r="O1526" s="32"/>
      <c r="P1526" s="32"/>
      <c r="Q1526" s="32"/>
    </row>
    <row r="1527" spans="9:17" x14ac:dyDescent="0.4">
      <c r="I1527" s="46"/>
      <c r="J1527" s="32"/>
      <c r="K1527" s="32"/>
      <c r="L1527" s="32"/>
      <c r="M1527" s="32"/>
      <c r="N1527" s="32"/>
      <c r="O1527" s="32"/>
      <c r="P1527" s="32"/>
      <c r="Q1527" s="32"/>
    </row>
    <row r="1528" spans="9:17" x14ac:dyDescent="0.4">
      <c r="I1528" s="46"/>
      <c r="J1528" s="32"/>
      <c r="K1528" s="32"/>
      <c r="L1528" s="32"/>
      <c r="M1528" s="32"/>
      <c r="N1528" s="32"/>
      <c r="O1528" s="32"/>
      <c r="P1528" s="32"/>
      <c r="Q1528" s="32"/>
    </row>
    <row r="1529" spans="9:17" x14ac:dyDescent="0.4">
      <c r="I1529" s="46"/>
      <c r="J1529" s="32"/>
      <c r="K1529" s="32"/>
      <c r="L1529" s="32"/>
      <c r="M1529" s="32"/>
      <c r="N1529" s="32"/>
      <c r="O1529" s="32"/>
      <c r="P1529" s="32"/>
      <c r="Q1529" s="32"/>
    </row>
    <row r="1530" spans="9:17" x14ac:dyDescent="0.4">
      <c r="I1530" s="46"/>
      <c r="J1530" s="32"/>
      <c r="K1530" s="32"/>
      <c r="L1530" s="32"/>
      <c r="M1530" s="32"/>
      <c r="N1530" s="32"/>
      <c r="O1530" s="32"/>
      <c r="P1530" s="32"/>
      <c r="Q1530" s="32"/>
    </row>
    <row r="1531" spans="9:17" x14ac:dyDescent="0.4">
      <c r="I1531" s="46"/>
      <c r="J1531" s="32"/>
      <c r="K1531" s="32"/>
      <c r="L1531" s="32"/>
      <c r="M1531" s="32"/>
      <c r="N1531" s="32"/>
      <c r="O1531" s="32"/>
      <c r="P1531" s="32"/>
      <c r="Q1531" s="32"/>
    </row>
    <row r="1532" spans="9:17" x14ac:dyDescent="0.4">
      <c r="I1532" s="46"/>
      <c r="J1532" s="32"/>
      <c r="K1532" s="32"/>
      <c r="L1532" s="32"/>
      <c r="M1532" s="32"/>
      <c r="N1532" s="32"/>
      <c r="O1532" s="32"/>
      <c r="P1532" s="32"/>
      <c r="Q1532" s="32"/>
    </row>
    <row r="1533" spans="9:17" x14ac:dyDescent="0.4">
      <c r="I1533" s="46"/>
      <c r="J1533" s="32"/>
      <c r="K1533" s="32"/>
      <c r="L1533" s="32"/>
      <c r="M1533" s="32"/>
      <c r="N1533" s="32"/>
      <c r="O1533" s="32"/>
      <c r="P1533" s="32"/>
      <c r="Q1533" s="32"/>
    </row>
    <row r="1534" spans="9:17" x14ac:dyDescent="0.4">
      <c r="I1534" s="46"/>
      <c r="J1534" s="32"/>
      <c r="K1534" s="32"/>
      <c r="L1534" s="32"/>
      <c r="M1534" s="32"/>
      <c r="N1534" s="32"/>
      <c r="O1534" s="32"/>
      <c r="P1534" s="32"/>
      <c r="Q1534" s="32"/>
    </row>
    <row r="1535" spans="9:17" x14ac:dyDescent="0.4">
      <c r="I1535" s="46"/>
      <c r="J1535" s="32"/>
      <c r="K1535" s="32"/>
      <c r="L1535" s="32"/>
      <c r="M1535" s="32"/>
      <c r="N1535" s="32"/>
      <c r="O1535" s="32"/>
      <c r="P1535" s="32"/>
      <c r="Q1535" s="32"/>
    </row>
    <row r="1536" spans="9:17" x14ac:dyDescent="0.4">
      <c r="I1536" s="46"/>
      <c r="J1536" s="32"/>
      <c r="K1536" s="32"/>
      <c r="L1536" s="32"/>
      <c r="M1536" s="32"/>
      <c r="N1536" s="32"/>
      <c r="O1536" s="32"/>
      <c r="P1536" s="32"/>
      <c r="Q1536" s="32"/>
    </row>
    <row r="1537" spans="9:17" x14ac:dyDescent="0.4">
      <c r="I1537" s="46"/>
      <c r="J1537" s="32"/>
      <c r="K1537" s="32"/>
      <c r="L1537" s="32"/>
      <c r="M1537" s="32"/>
      <c r="N1537" s="32"/>
      <c r="O1537" s="32"/>
      <c r="P1537" s="32"/>
      <c r="Q1537" s="32"/>
    </row>
    <row r="1538" spans="9:17" x14ac:dyDescent="0.4">
      <c r="I1538" s="46"/>
      <c r="J1538" s="32"/>
      <c r="K1538" s="32"/>
      <c r="L1538" s="32"/>
      <c r="M1538" s="32"/>
      <c r="N1538" s="32"/>
      <c r="O1538" s="32"/>
      <c r="P1538" s="32"/>
      <c r="Q1538" s="32"/>
    </row>
    <row r="1539" spans="9:17" x14ac:dyDescent="0.4">
      <c r="I1539" s="46"/>
      <c r="J1539" s="32"/>
      <c r="K1539" s="32"/>
      <c r="L1539" s="32"/>
      <c r="M1539" s="32"/>
      <c r="N1539" s="32"/>
      <c r="O1539" s="32"/>
      <c r="P1539" s="32"/>
      <c r="Q1539" s="32"/>
    </row>
    <row r="1540" spans="9:17" x14ac:dyDescent="0.4">
      <c r="I1540" s="46"/>
      <c r="J1540" s="32"/>
      <c r="K1540" s="32"/>
      <c r="L1540" s="32"/>
      <c r="M1540" s="32"/>
      <c r="N1540" s="32"/>
      <c r="O1540" s="32"/>
      <c r="P1540" s="32"/>
      <c r="Q1540" s="32"/>
    </row>
    <row r="1541" spans="9:17" x14ac:dyDescent="0.4">
      <c r="I1541" s="46"/>
      <c r="J1541" s="32"/>
      <c r="K1541" s="32"/>
      <c r="L1541" s="32"/>
      <c r="M1541" s="32"/>
      <c r="N1541" s="32"/>
      <c r="O1541" s="32"/>
      <c r="P1541" s="32"/>
      <c r="Q1541" s="32"/>
    </row>
    <row r="1542" spans="9:17" x14ac:dyDescent="0.4">
      <c r="I1542" s="46"/>
      <c r="J1542" s="32"/>
      <c r="K1542" s="32"/>
      <c r="L1542" s="32"/>
      <c r="M1542" s="32"/>
      <c r="N1542" s="32"/>
      <c r="O1542" s="32"/>
      <c r="P1542" s="32"/>
      <c r="Q1542" s="32"/>
    </row>
    <row r="1543" spans="9:17" x14ac:dyDescent="0.4">
      <c r="I1543" s="46"/>
      <c r="J1543" s="32"/>
      <c r="K1543" s="32"/>
      <c r="L1543" s="32"/>
      <c r="M1543" s="32"/>
      <c r="N1543" s="32"/>
      <c r="O1543" s="32"/>
      <c r="P1543" s="32"/>
      <c r="Q1543" s="32"/>
    </row>
    <row r="1544" spans="9:17" x14ac:dyDescent="0.4">
      <c r="I1544" s="46"/>
      <c r="J1544" s="32"/>
      <c r="K1544" s="32"/>
      <c r="L1544" s="32"/>
      <c r="M1544" s="32"/>
      <c r="N1544" s="32"/>
      <c r="O1544" s="32"/>
      <c r="P1544" s="32"/>
      <c r="Q1544" s="32"/>
    </row>
    <row r="1545" spans="9:17" x14ac:dyDescent="0.4">
      <c r="I1545" s="46"/>
      <c r="J1545" s="32"/>
      <c r="K1545" s="32"/>
      <c r="L1545" s="32"/>
      <c r="M1545" s="32"/>
      <c r="N1545" s="32"/>
      <c r="O1545" s="32"/>
      <c r="P1545" s="32"/>
      <c r="Q1545" s="32"/>
    </row>
    <row r="1546" spans="9:17" x14ac:dyDescent="0.4">
      <c r="I1546" s="46"/>
      <c r="J1546" s="32"/>
      <c r="K1546" s="32"/>
      <c r="L1546" s="32"/>
      <c r="M1546" s="32"/>
      <c r="N1546" s="32"/>
      <c r="O1546" s="32"/>
      <c r="P1546" s="32"/>
      <c r="Q1546" s="32"/>
    </row>
    <row r="1547" spans="9:17" x14ac:dyDescent="0.4">
      <c r="I1547" s="46"/>
      <c r="J1547" s="32"/>
      <c r="K1547" s="32"/>
      <c r="L1547" s="32"/>
      <c r="M1547" s="32"/>
      <c r="N1547" s="32"/>
      <c r="O1547" s="32"/>
      <c r="P1547" s="32"/>
      <c r="Q1547" s="32"/>
    </row>
    <row r="1548" spans="9:17" x14ac:dyDescent="0.4">
      <c r="I1548" s="46"/>
      <c r="J1548" s="32"/>
      <c r="K1548" s="32"/>
      <c r="L1548" s="32"/>
      <c r="M1548" s="32"/>
      <c r="N1548" s="32"/>
      <c r="O1548" s="32"/>
      <c r="P1548" s="32"/>
      <c r="Q1548" s="32"/>
    </row>
    <row r="1549" spans="9:17" x14ac:dyDescent="0.4">
      <c r="I1549" s="46"/>
      <c r="J1549" s="32"/>
      <c r="K1549" s="32"/>
      <c r="L1549" s="32"/>
      <c r="M1549" s="32"/>
      <c r="N1549" s="32"/>
      <c r="O1549" s="32"/>
      <c r="P1549" s="32"/>
      <c r="Q1549" s="32"/>
    </row>
    <row r="1550" spans="9:17" x14ac:dyDescent="0.4">
      <c r="I1550" s="46"/>
      <c r="J1550" s="32"/>
      <c r="K1550" s="32"/>
      <c r="L1550" s="32"/>
      <c r="M1550" s="32"/>
      <c r="N1550" s="32"/>
      <c r="O1550" s="32"/>
      <c r="P1550" s="32"/>
      <c r="Q1550" s="32"/>
    </row>
    <row r="1551" spans="9:17" x14ac:dyDescent="0.4">
      <c r="I1551" s="46"/>
      <c r="J1551" s="32"/>
      <c r="K1551" s="32"/>
      <c r="L1551" s="32"/>
      <c r="M1551" s="32"/>
      <c r="N1551" s="32"/>
      <c r="O1551" s="32"/>
      <c r="P1551" s="32"/>
      <c r="Q1551" s="32"/>
    </row>
    <row r="1552" spans="9:17" x14ac:dyDescent="0.4">
      <c r="I1552" s="46"/>
      <c r="J1552" s="32"/>
      <c r="K1552" s="32"/>
      <c r="L1552" s="32"/>
      <c r="M1552" s="32"/>
      <c r="N1552" s="32"/>
      <c r="O1552" s="32"/>
      <c r="P1552" s="32"/>
      <c r="Q1552" s="32"/>
    </row>
    <row r="1553" spans="9:17" x14ac:dyDescent="0.4">
      <c r="I1553" s="46"/>
      <c r="J1553" s="32"/>
      <c r="K1553" s="32"/>
      <c r="L1553" s="32"/>
      <c r="M1553" s="32"/>
      <c r="N1553" s="32"/>
      <c r="O1553" s="32"/>
      <c r="P1553" s="32"/>
      <c r="Q1553" s="32"/>
    </row>
    <row r="1554" spans="9:17" x14ac:dyDescent="0.4">
      <c r="I1554" s="46"/>
      <c r="J1554" s="32"/>
      <c r="K1554" s="32"/>
      <c r="L1554" s="32"/>
      <c r="M1554" s="32"/>
      <c r="N1554" s="32"/>
      <c r="O1554" s="32"/>
      <c r="P1554" s="32"/>
      <c r="Q1554" s="32"/>
    </row>
    <row r="1555" spans="9:17" x14ac:dyDescent="0.4">
      <c r="I1555" s="46"/>
      <c r="J1555" s="32"/>
      <c r="K1555" s="32"/>
      <c r="L1555" s="32"/>
      <c r="M1555" s="32"/>
      <c r="N1555" s="32"/>
      <c r="O1555" s="32"/>
      <c r="P1555" s="32"/>
      <c r="Q1555" s="32"/>
    </row>
    <row r="1556" spans="9:17" x14ac:dyDescent="0.4">
      <c r="I1556" s="46"/>
      <c r="J1556" s="32"/>
      <c r="K1556" s="32"/>
      <c r="L1556" s="32"/>
      <c r="M1556" s="32"/>
      <c r="N1556" s="32"/>
      <c r="O1556" s="32"/>
      <c r="P1556" s="32"/>
      <c r="Q1556" s="32"/>
    </row>
    <row r="1557" spans="9:17" x14ac:dyDescent="0.4">
      <c r="I1557" s="46"/>
      <c r="J1557" s="32"/>
      <c r="K1557" s="32"/>
      <c r="L1557" s="32"/>
      <c r="M1557" s="32"/>
      <c r="N1557" s="32"/>
      <c r="O1557" s="32"/>
      <c r="P1557" s="32"/>
      <c r="Q1557" s="32"/>
    </row>
    <row r="1558" spans="9:17" x14ac:dyDescent="0.4">
      <c r="I1558" s="46"/>
      <c r="J1558" s="32"/>
      <c r="K1558" s="32"/>
      <c r="L1558" s="32"/>
      <c r="M1558" s="32"/>
      <c r="N1558" s="32"/>
      <c r="O1558" s="32"/>
      <c r="P1558" s="32"/>
      <c r="Q1558" s="32"/>
    </row>
    <row r="1559" spans="9:17" x14ac:dyDescent="0.4">
      <c r="I1559" s="46"/>
      <c r="J1559" s="32"/>
      <c r="K1559" s="32"/>
      <c r="L1559" s="32"/>
      <c r="M1559" s="32"/>
      <c r="N1559" s="32"/>
      <c r="O1559" s="32"/>
      <c r="P1559" s="32"/>
      <c r="Q1559" s="32"/>
    </row>
    <row r="1560" spans="9:17" x14ac:dyDescent="0.4">
      <c r="I1560" s="46"/>
      <c r="J1560" s="32"/>
      <c r="K1560" s="32"/>
      <c r="L1560" s="32"/>
      <c r="M1560" s="32"/>
      <c r="N1560" s="32"/>
      <c r="O1560" s="32"/>
      <c r="P1560" s="32"/>
      <c r="Q1560" s="32"/>
    </row>
    <row r="1561" spans="9:17" x14ac:dyDescent="0.4">
      <c r="I1561" s="46"/>
      <c r="J1561" s="32"/>
      <c r="K1561" s="32"/>
      <c r="L1561" s="32"/>
      <c r="M1561" s="32"/>
      <c r="N1561" s="32"/>
      <c r="O1561" s="32"/>
      <c r="P1561" s="32"/>
      <c r="Q1561" s="32"/>
    </row>
    <row r="1562" spans="9:17" x14ac:dyDescent="0.4">
      <c r="I1562" s="46"/>
      <c r="J1562" s="32"/>
      <c r="K1562" s="32"/>
      <c r="L1562" s="32"/>
      <c r="M1562" s="32"/>
      <c r="N1562" s="32"/>
      <c r="O1562" s="32"/>
      <c r="P1562" s="32"/>
      <c r="Q1562" s="32"/>
    </row>
    <row r="1563" spans="9:17" x14ac:dyDescent="0.4">
      <c r="I1563" s="46"/>
      <c r="J1563" s="32"/>
      <c r="K1563" s="32"/>
      <c r="L1563" s="32"/>
      <c r="M1563" s="32"/>
      <c r="N1563" s="32"/>
      <c r="O1563" s="32"/>
      <c r="P1563" s="32"/>
      <c r="Q1563" s="32"/>
    </row>
    <row r="1564" spans="9:17" x14ac:dyDescent="0.4">
      <c r="I1564" s="46"/>
      <c r="J1564" s="32"/>
      <c r="K1564" s="32"/>
      <c r="L1564" s="32"/>
      <c r="M1564" s="32"/>
      <c r="N1564" s="32"/>
      <c r="O1564" s="32"/>
      <c r="P1564" s="32"/>
      <c r="Q1564" s="32"/>
    </row>
    <row r="1565" spans="9:17" x14ac:dyDescent="0.4">
      <c r="I1565" s="46"/>
      <c r="J1565" s="32"/>
      <c r="K1565" s="32"/>
      <c r="L1565" s="32"/>
      <c r="M1565" s="32"/>
      <c r="N1565" s="32"/>
      <c r="O1565" s="32"/>
      <c r="P1565" s="32"/>
      <c r="Q1565" s="32"/>
    </row>
    <row r="1566" spans="9:17" x14ac:dyDescent="0.4">
      <c r="I1566" s="46"/>
      <c r="J1566" s="32"/>
      <c r="K1566" s="32"/>
      <c r="L1566" s="32"/>
      <c r="M1566" s="32"/>
      <c r="N1566" s="32"/>
      <c r="O1566" s="32"/>
      <c r="P1566" s="32"/>
      <c r="Q1566" s="32"/>
    </row>
    <row r="1567" spans="9:17" x14ac:dyDescent="0.4">
      <c r="I1567" s="46"/>
      <c r="J1567" s="32"/>
      <c r="K1567" s="32"/>
      <c r="L1567" s="32"/>
      <c r="M1567" s="32"/>
      <c r="N1567" s="32"/>
      <c r="O1567" s="32"/>
      <c r="P1567" s="32"/>
      <c r="Q1567" s="32"/>
    </row>
    <row r="1568" spans="9:17" x14ac:dyDescent="0.4">
      <c r="I1568" s="46"/>
      <c r="J1568" s="32"/>
      <c r="K1568" s="32"/>
      <c r="L1568" s="32"/>
      <c r="M1568" s="32"/>
      <c r="N1568" s="32"/>
      <c r="O1568" s="32"/>
      <c r="P1568" s="32"/>
      <c r="Q1568" s="32"/>
    </row>
    <row r="1569" spans="9:17" x14ac:dyDescent="0.4">
      <c r="I1569" s="46"/>
      <c r="J1569" s="32"/>
      <c r="K1569" s="32"/>
      <c r="L1569" s="32"/>
      <c r="M1569" s="32"/>
      <c r="N1569" s="32"/>
      <c r="O1569" s="32"/>
      <c r="P1569" s="32"/>
      <c r="Q1569" s="32"/>
    </row>
    <row r="1570" spans="9:17" x14ac:dyDescent="0.4">
      <c r="I1570" s="46"/>
      <c r="J1570" s="32"/>
      <c r="K1570" s="32"/>
      <c r="L1570" s="32"/>
      <c r="M1570" s="32"/>
      <c r="N1570" s="32"/>
      <c r="O1570" s="32"/>
      <c r="P1570" s="32"/>
      <c r="Q1570" s="32"/>
    </row>
    <row r="1571" spans="9:17" x14ac:dyDescent="0.4">
      <c r="I1571" s="46"/>
      <c r="J1571" s="32"/>
      <c r="K1571" s="32"/>
      <c r="L1571" s="32"/>
      <c r="M1571" s="32"/>
      <c r="N1571" s="32"/>
      <c r="O1571" s="32"/>
      <c r="P1571" s="32"/>
      <c r="Q1571" s="32"/>
    </row>
    <row r="1572" spans="9:17" x14ac:dyDescent="0.4">
      <c r="I1572" s="46"/>
      <c r="J1572" s="32"/>
      <c r="K1572" s="32"/>
      <c r="L1572" s="32"/>
      <c r="M1572" s="32"/>
      <c r="N1572" s="32"/>
      <c r="O1572" s="32"/>
      <c r="P1572" s="32"/>
      <c r="Q1572" s="32"/>
    </row>
    <row r="1573" spans="9:17" x14ac:dyDescent="0.4">
      <c r="I1573" s="46"/>
      <c r="J1573" s="32"/>
      <c r="K1573" s="32"/>
      <c r="L1573" s="32"/>
      <c r="M1573" s="32"/>
      <c r="N1573" s="32"/>
      <c r="O1573" s="32"/>
      <c r="P1573" s="32"/>
      <c r="Q1573" s="32"/>
    </row>
    <row r="1574" spans="9:17" x14ac:dyDescent="0.4">
      <c r="I1574" s="46"/>
      <c r="J1574" s="32"/>
      <c r="K1574" s="32"/>
      <c r="L1574" s="32"/>
      <c r="M1574" s="32"/>
      <c r="N1574" s="32"/>
      <c r="O1574" s="32"/>
      <c r="P1574" s="32"/>
      <c r="Q1574" s="32"/>
    </row>
    <row r="1575" spans="9:17" x14ac:dyDescent="0.4">
      <c r="I1575" s="46"/>
      <c r="J1575" s="32"/>
      <c r="K1575" s="32"/>
      <c r="L1575" s="32"/>
      <c r="M1575" s="32"/>
      <c r="N1575" s="32"/>
      <c r="O1575" s="32"/>
      <c r="P1575" s="32"/>
      <c r="Q1575" s="32"/>
    </row>
    <row r="1576" spans="9:17" x14ac:dyDescent="0.4">
      <c r="I1576" s="46"/>
      <c r="J1576" s="32"/>
      <c r="K1576" s="32"/>
      <c r="L1576" s="32"/>
      <c r="M1576" s="32"/>
      <c r="N1576" s="32"/>
      <c r="O1576" s="32"/>
      <c r="P1576" s="32"/>
      <c r="Q1576" s="32"/>
    </row>
    <row r="1577" spans="9:17" x14ac:dyDescent="0.4">
      <c r="I1577" s="46"/>
      <c r="J1577" s="32"/>
      <c r="K1577" s="32"/>
      <c r="L1577" s="32"/>
      <c r="M1577" s="32"/>
      <c r="N1577" s="32"/>
      <c r="O1577" s="32"/>
      <c r="P1577" s="32"/>
      <c r="Q1577" s="32"/>
    </row>
    <row r="1578" spans="9:17" x14ac:dyDescent="0.4">
      <c r="I1578" s="46"/>
      <c r="J1578" s="32"/>
      <c r="K1578" s="32"/>
      <c r="L1578" s="32"/>
      <c r="M1578" s="32"/>
      <c r="N1578" s="32"/>
      <c r="O1578" s="32"/>
      <c r="P1578" s="32"/>
      <c r="Q1578" s="32"/>
    </row>
    <row r="1579" spans="9:17" x14ac:dyDescent="0.4">
      <c r="I1579" s="46"/>
      <c r="J1579" s="32"/>
      <c r="K1579" s="32"/>
      <c r="L1579" s="32"/>
      <c r="M1579" s="32"/>
      <c r="N1579" s="32"/>
      <c r="O1579" s="32"/>
      <c r="P1579" s="32"/>
      <c r="Q1579" s="32"/>
    </row>
    <row r="1580" spans="9:17" x14ac:dyDescent="0.4">
      <c r="I1580" s="46"/>
      <c r="J1580" s="32"/>
      <c r="K1580" s="32"/>
      <c r="L1580" s="32"/>
      <c r="M1580" s="32"/>
      <c r="N1580" s="32"/>
      <c r="O1580" s="32"/>
      <c r="P1580" s="32"/>
      <c r="Q1580" s="32"/>
    </row>
    <row r="1581" spans="9:17" x14ac:dyDescent="0.4">
      <c r="I1581" s="46"/>
      <c r="J1581" s="32"/>
      <c r="K1581" s="32"/>
      <c r="L1581" s="32"/>
      <c r="M1581" s="32"/>
      <c r="N1581" s="32"/>
      <c r="O1581" s="32"/>
      <c r="P1581" s="32"/>
      <c r="Q1581" s="32"/>
    </row>
    <row r="1582" spans="9:17" x14ac:dyDescent="0.4">
      <c r="I1582" s="46"/>
      <c r="J1582" s="32"/>
      <c r="K1582" s="32"/>
      <c r="L1582" s="32"/>
      <c r="M1582" s="32"/>
      <c r="N1582" s="32"/>
      <c r="O1582" s="32"/>
      <c r="P1582" s="32"/>
      <c r="Q1582" s="32"/>
    </row>
    <row r="1583" spans="9:17" x14ac:dyDescent="0.4">
      <c r="I1583" s="46"/>
      <c r="J1583" s="32"/>
      <c r="K1583" s="32"/>
      <c r="L1583" s="32"/>
      <c r="M1583" s="32"/>
      <c r="N1583" s="32"/>
      <c r="O1583" s="32"/>
      <c r="P1583" s="32"/>
      <c r="Q1583" s="32"/>
    </row>
    <row r="1584" spans="9:17" x14ac:dyDescent="0.4">
      <c r="I1584" s="46"/>
      <c r="J1584" s="32"/>
      <c r="K1584" s="32"/>
      <c r="L1584" s="32"/>
      <c r="M1584" s="32"/>
      <c r="N1584" s="32"/>
      <c r="O1584" s="32"/>
      <c r="P1584" s="32"/>
      <c r="Q1584" s="32"/>
    </row>
    <row r="1585" spans="9:17" x14ac:dyDescent="0.4">
      <c r="I1585" s="46"/>
      <c r="J1585" s="32"/>
      <c r="K1585" s="32"/>
      <c r="L1585" s="32"/>
      <c r="M1585" s="32"/>
      <c r="N1585" s="32"/>
      <c r="O1585" s="32"/>
      <c r="P1585" s="32"/>
      <c r="Q1585" s="32"/>
    </row>
    <row r="1586" spans="9:17" x14ac:dyDescent="0.4">
      <c r="I1586" s="46"/>
      <c r="J1586" s="32"/>
      <c r="K1586" s="32"/>
      <c r="L1586" s="32"/>
      <c r="M1586" s="32"/>
      <c r="N1586" s="32"/>
      <c r="O1586" s="32"/>
      <c r="P1586" s="32"/>
      <c r="Q1586" s="32"/>
    </row>
    <row r="1587" spans="9:17" x14ac:dyDescent="0.4">
      <c r="I1587" s="46"/>
      <c r="J1587" s="32"/>
      <c r="K1587" s="32"/>
      <c r="L1587" s="32"/>
      <c r="M1587" s="32"/>
      <c r="N1587" s="32"/>
      <c r="O1587" s="32"/>
      <c r="P1587" s="32"/>
      <c r="Q1587" s="32"/>
    </row>
    <row r="1588" spans="9:17" x14ac:dyDescent="0.4">
      <c r="I1588" s="46"/>
      <c r="J1588" s="32"/>
      <c r="K1588" s="32"/>
      <c r="L1588" s="32"/>
      <c r="M1588" s="32"/>
      <c r="N1588" s="32"/>
      <c r="O1588" s="32"/>
      <c r="P1588" s="32"/>
      <c r="Q1588" s="32"/>
    </row>
    <row r="1589" spans="9:17" x14ac:dyDescent="0.4">
      <c r="I1589" s="46"/>
      <c r="J1589" s="32"/>
      <c r="K1589" s="32"/>
      <c r="L1589" s="32"/>
      <c r="M1589" s="32"/>
      <c r="N1589" s="32"/>
      <c r="O1589" s="32"/>
      <c r="P1589" s="32"/>
      <c r="Q1589" s="32"/>
    </row>
    <row r="1590" spans="9:17" x14ac:dyDescent="0.4">
      <c r="I1590" s="46"/>
      <c r="J1590" s="32"/>
      <c r="K1590" s="32"/>
      <c r="L1590" s="32"/>
      <c r="M1590" s="32"/>
      <c r="N1590" s="32"/>
      <c r="O1590" s="32"/>
      <c r="P1590" s="32"/>
      <c r="Q1590" s="32"/>
    </row>
    <row r="1591" spans="9:17" x14ac:dyDescent="0.4">
      <c r="I1591" s="46"/>
      <c r="J1591" s="32"/>
      <c r="K1591" s="32"/>
      <c r="L1591" s="32"/>
      <c r="M1591" s="32"/>
      <c r="N1591" s="32"/>
      <c r="O1591" s="32"/>
      <c r="P1591" s="32"/>
      <c r="Q1591" s="32"/>
    </row>
    <row r="1592" spans="9:17" x14ac:dyDescent="0.4">
      <c r="I1592" s="46"/>
      <c r="J1592" s="32"/>
      <c r="K1592" s="32"/>
      <c r="L1592" s="32"/>
      <c r="M1592" s="32"/>
      <c r="N1592" s="32"/>
      <c r="O1592" s="32"/>
      <c r="P1592" s="32"/>
      <c r="Q1592" s="32"/>
    </row>
    <row r="1593" spans="9:17" x14ac:dyDescent="0.4">
      <c r="I1593" s="46"/>
      <c r="J1593" s="32"/>
      <c r="K1593" s="32"/>
      <c r="L1593" s="32"/>
      <c r="M1593" s="32"/>
      <c r="N1593" s="32"/>
      <c r="O1593" s="32"/>
      <c r="P1593" s="32"/>
      <c r="Q1593" s="32"/>
    </row>
    <row r="1594" spans="9:17" x14ac:dyDescent="0.4">
      <c r="I1594" s="46"/>
      <c r="J1594" s="32"/>
      <c r="K1594" s="32"/>
      <c r="L1594" s="32"/>
      <c r="M1594" s="32"/>
      <c r="N1594" s="32"/>
      <c r="O1594" s="32"/>
      <c r="P1594" s="32"/>
      <c r="Q1594" s="32"/>
    </row>
    <row r="1595" spans="9:17" x14ac:dyDescent="0.4">
      <c r="I1595" s="46"/>
      <c r="J1595" s="32"/>
      <c r="K1595" s="32"/>
      <c r="L1595" s="32"/>
      <c r="M1595" s="32"/>
      <c r="N1595" s="32"/>
      <c r="O1595" s="32"/>
      <c r="P1595" s="32"/>
      <c r="Q1595" s="32"/>
    </row>
    <row r="1596" spans="9:17" x14ac:dyDescent="0.4">
      <c r="I1596" s="46"/>
      <c r="J1596" s="32"/>
      <c r="K1596" s="32"/>
      <c r="L1596" s="32"/>
      <c r="M1596" s="32"/>
      <c r="N1596" s="32"/>
      <c r="O1596" s="32"/>
      <c r="P1596" s="32"/>
      <c r="Q1596" s="32"/>
    </row>
    <row r="1597" spans="9:17" x14ac:dyDescent="0.4">
      <c r="I1597" s="46"/>
      <c r="J1597" s="32"/>
      <c r="K1597" s="32"/>
      <c r="L1597" s="32"/>
      <c r="M1597" s="32"/>
      <c r="N1597" s="32"/>
      <c r="O1597" s="32"/>
      <c r="P1597" s="32"/>
      <c r="Q1597" s="32"/>
    </row>
    <row r="1598" spans="9:17" x14ac:dyDescent="0.4">
      <c r="I1598" s="46"/>
      <c r="J1598" s="32"/>
      <c r="K1598" s="32"/>
      <c r="L1598" s="32"/>
      <c r="M1598" s="32"/>
      <c r="N1598" s="32"/>
      <c r="O1598" s="32"/>
      <c r="P1598" s="32"/>
      <c r="Q1598" s="32"/>
    </row>
    <row r="1599" spans="9:17" x14ac:dyDescent="0.4">
      <c r="I1599" s="46"/>
      <c r="J1599" s="32"/>
      <c r="K1599" s="32"/>
      <c r="L1599" s="32"/>
      <c r="M1599" s="32"/>
      <c r="N1599" s="32"/>
      <c r="O1599" s="32"/>
      <c r="P1599" s="32"/>
      <c r="Q1599" s="32"/>
    </row>
    <row r="1600" spans="9:17" x14ac:dyDescent="0.4">
      <c r="I1600" s="46"/>
      <c r="J1600" s="32"/>
      <c r="K1600" s="32"/>
      <c r="L1600" s="32"/>
      <c r="M1600" s="32"/>
      <c r="N1600" s="32"/>
      <c r="O1600" s="32"/>
      <c r="P1600" s="32"/>
      <c r="Q1600" s="32"/>
    </row>
    <row r="1601" spans="9:17" x14ac:dyDescent="0.4">
      <c r="I1601" s="46"/>
      <c r="J1601" s="32"/>
      <c r="K1601" s="32"/>
      <c r="L1601" s="32"/>
      <c r="M1601" s="32"/>
      <c r="N1601" s="32"/>
      <c r="O1601" s="32"/>
      <c r="P1601" s="32"/>
      <c r="Q1601" s="32"/>
    </row>
    <row r="1602" spans="9:17" x14ac:dyDescent="0.4">
      <c r="I1602" s="46"/>
      <c r="J1602" s="32"/>
      <c r="K1602" s="32"/>
      <c r="L1602" s="32"/>
      <c r="M1602" s="32"/>
      <c r="N1602" s="32"/>
      <c r="O1602" s="32"/>
      <c r="P1602" s="32"/>
      <c r="Q1602" s="32"/>
    </row>
    <row r="1603" spans="9:17" x14ac:dyDescent="0.4">
      <c r="I1603" s="46"/>
      <c r="J1603" s="32"/>
      <c r="K1603" s="32"/>
      <c r="L1603" s="32"/>
      <c r="M1603" s="32"/>
      <c r="N1603" s="32"/>
      <c r="O1603" s="32"/>
      <c r="P1603" s="32"/>
      <c r="Q1603" s="32"/>
    </row>
    <row r="1604" spans="9:17" x14ac:dyDescent="0.4">
      <c r="I1604" s="46"/>
      <c r="J1604" s="32"/>
      <c r="K1604" s="32"/>
      <c r="L1604" s="32"/>
      <c r="M1604" s="32"/>
      <c r="N1604" s="32"/>
      <c r="O1604" s="32"/>
      <c r="P1604" s="32"/>
      <c r="Q1604" s="32"/>
    </row>
    <row r="1605" spans="9:17" x14ac:dyDescent="0.4">
      <c r="I1605" s="46"/>
      <c r="J1605" s="32"/>
      <c r="K1605" s="32"/>
      <c r="L1605" s="32"/>
      <c r="M1605" s="32"/>
      <c r="N1605" s="32"/>
      <c r="O1605" s="32"/>
      <c r="P1605" s="32"/>
      <c r="Q1605" s="32"/>
    </row>
    <row r="1606" spans="9:17" x14ac:dyDescent="0.4">
      <c r="I1606" s="46"/>
      <c r="J1606" s="32"/>
      <c r="K1606" s="32"/>
      <c r="L1606" s="32"/>
      <c r="M1606" s="32"/>
      <c r="N1606" s="32"/>
      <c r="O1606" s="32"/>
      <c r="P1606" s="32"/>
      <c r="Q1606" s="32"/>
    </row>
    <row r="1607" spans="9:17" x14ac:dyDescent="0.4">
      <c r="I1607" s="46"/>
      <c r="J1607" s="32"/>
      <c r="K1607" s="32"/>
      <c r="L1607" s="32"/>
      <c r="M1607" s="32"/>
      <c r="N1607" s="32"/>
      <c r="O1607" s="32"/>
      <c r="P1607" s="32"/>
      <c r="Q1607" s="32"/>
    </row>
    <row r="1608" spans="9:17" x14ac:dyDescent="0.4">
      <c r="I1608" s="46"/>
      <c r="J1608" s="32"/>
      <c r="K1608" s="32"/>
      <c r="L1608" s="32"/>
      <c r="M1608" s="32"/>
      <c r="N1608" s="32"/>
      <c r="O1608" s="32"/>
      <c r="P1608" s="32"/>
      <c r="Q1608" s="32"/>
    </row>
    <row r="1609" spans="9:17" x14ac:dyDescent="0.4">
      <c r="I1609" s="46"/>
      <c r="J1609" s="32"/>
      <c r="K1609" s="32"/>
      <c r="L1609" s="32"/>
      <c r="M1609" s="32"/>
      <c r="N1609" s="32"/>
      <c r="O1609" s="32"/>
      <c r="P1609" s="32"/>
      <c r="Q1609" s="32"/>
    </row>
    <row r="1610" spans="9:17" x14ac:dyDescent="0.4">
      <c r="I1610" s="46"/>
      <c r="J1610" s="32"/>
      <c r="K1610" s="32"/>
      <c r="L1610" s="32"/>
      <c r="M1610" s="32"/>
      <c r="N1610" s="32"/>
      <c r="O1610" s="32"/>
      <c r="P1610" s="32"/>
      <c r="Q1610" s="32"/>
    </row>
    <row r="1611" spans="9:17" x14ac:dyDescent="0.4">
      <c r="I1611" s="46"/>
      <c r="J1611" s="32"/>
      <c r="K1611" s="32"/>
      <c r="L1611" s="32"/>
      <c r="M1611" s="32"/>
      <c r="N1611" s="32"/>
      <c r="O1611" s="32"/>
      <c r="P1611" s="32"/>
      <c r="Q1611" s="32"/>
    </row>
    <row r="1612" spans="9:17" x14ac:dyDescent="0.4">
      <c r="I1612" s="46"/>
      <c r="J1612" s="32"/>
      <c r="K1612" s="32"/>
      <c r="L1612" s="32"/>
      <c r="M1612" s="32"/>
      <c r="N1612" s="32"/>
      <c r="O1612" s="32"/>
      <c r="P1612" s="32"/>
      <c r="Q1612" s="32"/>
    </row>
    <row r="1613" spans="9:17" x14ac:dyDescent="0.4">
      <c r="I1613" s="46"/>
      <c r="J1613" s="32"/>
      <c r="K1613" s="32"/>
      <c r="L1613" s="32"/>
      <c r="M1613" s="32"/>
      <c r="N1613" s="32"/>
      <c r="O1613" s="32"/>
      <c r="P1613" s="32"/>
      <c r="Q1613" s="32"/>
    </row>
    <row r="1614" spans="9:17" x14ac:dyDescent="0.4">
      <c r="I1614" s="46"/>
      <c r="J1614" s="32"/>
      <c r="K1614" s="32"/>
      <c r="L1614" s="32"/>
      <c r="M1614" s="32"/>
      <c r="N1614" s="32"/>
      <c r="O1614" s="32"/>
      <c r="P1614" s="32"/>
      <c r="Q1614" s="32"/>
    </row>
    <row r="1615" spans="9:17" x14ac:dyDescent="0.4">
      <c r="I1615" s="46"/>
      <c r="J1615" s="32"/>
      <c r="K1615" s="32"/>
      <c r="L1615" s="32"/>
      <c r="M1615" s="32"/>
      <c r="N1615" s="32"/>
      <c r="O1615" s="32"/>
      <c r="P1615" s="32"/>
      <c r="Q1615" s="32"/>
    </row>
    <row r="1616" spans="9:17" x14ac:dyDescent="0.4">
      <c r="I1616" s="46"/>
      <c r="J1616" s="32"/>
      <c r="K1616" s="32"/>
      <c r="L1616" s="32"/>
      <c r="M1616" s="32"/>
      <c r="N1616" s="32"/>
      <c r="O1616" s="32"/>
      <c r="P1616" s="32"/>
      <c r="Q1616" s="32"/>
    </row>
    <row r="1617" spans="9:17" x14ac:dyDescent="0.4">
      <c r="I1617" s="46"/>
      <c r="J1617" s="32"/>
      <c r="K1617" s="32"/>
      <c r="L1617" s="32"/>
      <c r="M1617" s="32"/>
      <c r="N1617" s="32"/>
      <c r="O1617" s="32"/>
      <c r="P1617" s="32"/>
      <c r="Q1617" s="32"/>
    </row>
    <row r="1618" spans="9:17" x14ac:dyDescent="0.4">
      <c r="I1618" s="46"/>
      <c r="J1618" s="32"/>
      <c r="K1618" s="32"/>
      <c r="L1618" s="32"/>
      <c r="M1618" s="32"/>
      <c r="N1618" s="32"/>
      <c r="O1618" s="32"/>
      <c r="P1618" s="32"/>
      <c r="Q1618" s="32"/>
    </row>
    <row r="1619" spans="9:17" x14ac:dyDescent="0.4">
      <c r="I1619" s="46"/>
      <c r="J1619" s="32"/>
      <c r="K1619" s="32"/>
      <c r="L1619" s="32"/>
      <c r="M1619" s="32"/>
      <c r="N1619" s="32"/>
      <c r="O1619" s="32"/>
      <c r="P1619" s="32"/>
      <c r="Q1619" s="32"/>
    </row>
    <row r="1620" spans="9:17" x14ac:dyDescent="0.4">
      <c r="I1620" s="46"/>
      <c r="J1620" s="32"/>
      <c r="K1620" s="32"/>
      <c r="L1620" s="32"/>
      <c r="M1620" s="32"/>
      <c r="N1620" s="32"/>
      <c r="O1620" s="32"/>
      <c r="P1620" s="32"/>
      <c r="Q1620" s="32"/>
    </row>
    <row r="1621" spans="9:17" x14ac:dyDescent="0.4">
      <c r="I1621" s="46"/>
      <c r="J1621" s="32"/>
      <c r="K1621" s="32"/>
      <c r="L1621" s="32"/>
      <c r="M1621" s="32"/>
      <c r="N1621" s="32"/>
      <c r="O1621" s="32"/>
      <c r="P1621" s="32"/>
      <c r="Q1621" s="32"/>
    </row>
    <row r="1622" spans="9:17" x14ac:dyDescent="0.4">
      <c r="I1622" s="46"/>
      <c r="J1622" s="32"/>
      <c r="K1622" s="32"/>
      <c r="L1622" s="32"/>
      <c r="M1622" s="32"/>
      <c r="N1622" s="32"/>
      <c r="O1622" s="32"/>
      <c r="P1622" s="32"/>
      <c r="Q1622" s="32"/>
    </row>
    <row r="1623" spans="9:17" x14ac:dyDescent="0.4">
      <c r="I1623" s="46"/>
      <c r="J1623" s="32"/>
      <c r="K1623" s="32"/>
      <c r="L1623" s="32"/>
      <c r="M1623" s="32"/>
      <c r="N1623" s="32"/>
      <c r="O1623" s="32"/>
      <c r="P1623" s="32"/>
      <c r="Q1623" s="32"/>
    </row>
    <row r="1624" spans="9:17" x14ac:dyDescent="0.4">
      <c r="I1624" s="46"/>
      <c r="J1624" s="32"/>
      <c r="K1624" s="32"/>
      <c r="L1624" s="32"/>
      <c r="M1624" s="32"/>
      <c r="N1624" s="32"/>
      <c r="O1624" s="32"/>
      <c r="P1624" s="32"/>
      <c r="Q1624" s="32"/>
    </row>
    <row r="1625" spans="9:17" x14ac:dyDescent="0.4">
      <c r="I1625" s="46"/>
      <c r="J1625" s="32"/>
      <c r="K1625" s="32"/>
      <c r="L1625" s="32"/>
      <c r="M1625" s="32"/>
      <c r="N1625" s="32"/>
      <c r="O1625" s="32"/>
      <c r="P1625" s="32"/>
      <c r="Q1625" s="32"/>
    </row>
    <row r="1626" spans="9:17" x14ac:dyDescent="0.4">
      <c r="I1626" s="46"/>
      <c r="J1626" s="32"/>
      <c r="K1626" s="32"/>
      <c r="L1626" s="32"/>
      <c r="M1626" s="32"/>
      <c r="N1626" s="32"/>
      <c r="O1626" s="32"/>
      <c r="P1626" s="32"/>
      <c r="Q1626" s="32"/>
    </row>
    <row r="1627" spans="9:17" x14ac:dyDescent="0.4">
      <c r="I1627" s="46"/>
      <c r="J1627" s="32"/>
      <c r="K1627" s="32"/>
      <c r="L1627" s="32"/>
      <c r="M1627" s="32"/>
      <c r="N1627" s="32"/>
      <c r="O1627" s="32"/>
      <c r="P1627" s="32"/>
      <c r="Q1627" s="32"/>
    </row>
    <row r="1628" spans="9:17" x14ac:dyDescent="0.4">
      <c r="I1628" s="46"/>
      <c r="J1628" s="32"/>
      <c r="K1628" s="32"/>
      <c r="L1628" s="32"/>
      <c r="M1628" s="32"/>
      <c r="N1628" s="32"/>
      <c r="O1628" s="32"/>
      <c r="P1628" s="32"/>
      <c r="Q1628" s="32"/>
    </row>
    <row r="1629" spans="9:17" x14ac:dyDescent="0.4">
      <c r="I1629" s="46"/>
      <c r="J1629" s="32"/>
      <c r="K1629" s="32"/>
      <c r="L1629" s="32"/>
      <c r="M1629" s="32"/>
      <c r="N1629" s="32"/>
      <c r="O1629" s="32"/>
      <c r="P1629" s="32"/>
      <c r="Q1629" s="32"/>
    </row>
    <row r="1630" spans="9:17" x14ac:dyDescent="0.4">
      <c r="I1630" s="46"/>
      <c r="J1630" s="32"/>
      <c r="K1630" s="32"/>
      <c r="L1630" s="32"/>
      <c r="M1630" s="32"/>
      <c r="N1630" s="32"/>
      <c r="O1630" s="32"/>
      <c r="P1630" s="32"/>
      <c r="Q1630" s="32"/>
    </row>
    <row r="1631" spans="9:17" x14ac:dyDescent="0.4">
      <c r="I1631" s="46"/>
      <c r="J1631" s="32"/>
      <c r="K1631" s="32"/>
      <c r="L1631" s="32"/>
      <c r="M1631" s="32"/>
      <c r="N1631" s="32"/>
      <c r="O1631" s="32"/>
      <c r="P1631" s="32"/>
      <c r="Q1631" s="32"/>
    </row>
    <row r="1632" spans="9:17" x14ac:dyDescent="0.4">
      <c r="I1632" s="46"/>
      <c r="J1632" s="32"/>
      <c r="K1632" s="32"/>
      <c r="L1632" s="32"/>
      <c r="M1632" s="32"/>
      <c r="N1632" s="32"/>
      <c r="O1632" s="32"/>
      <c r="P1632" s="32"/>
      <c r="Q1632" s="32"/>
    </row>
    <row r="1633" spans="9:17" x14ac:dyDescent="0.4">
      <c r="I1633" s="46"/>
      <c r="J1633" s="32"/>
      <c r="K1633" s="32"/>
      <c r="L1633" s="32"/>
      <c r="M1633" s="32"/>
      <c r="N1633" s="32"/>
      <c r="O1633" s="32"/>
      <c r="P1633" s="32"/>
      <c r="Q1633" s="32"/>
    </row>
    <row r="1634" spans="9:17" x14ac:dyDescent="0.4">
      <c r="I1634" s="46"/>
      <c r="J1634" s="32"/>
      <c r="K1634" s="32"/>
      <c r="L1634" s="32"/>
      <c r="M1634" s="32"/>
      <c r="N1634" s="32"/>
      <c r="O1634" s="32"/>
      <c r="P1634" s="32"/>
      <c r="Q1634" s="32"/>
    </row>
    <row r="1635" spans="9:17" x14ac:dyDescent="0.4">
      <c r="I1635" s="46"/>
      <c r="J1635" s="32"/>
      <c r="K1635" s="32"/>
      <c r="L1635" s="32"/>
      <c r="M1635" s="32"/>
      <c r="N1635" s="32"/>
      <c r="O1635" s="32"/>
      <c r="P1635" s="32"/>
      <c r="Q1635" s="32"/>
    </row>
    <row r="1636" spans="9:17" x14ac:dyDescent="0.4">
      <c r="I1636" s="46"/>
      <c r="J1636" s="32"/>
      <c r="K1636" s="32"/>
      <c r="L1636" s="32"/>
      <c r="M1636" s="32"/>
      <c r="N1636" s="32"/>
      <c r="O1636" s="32"/>
      <c r="P1636" s="32"/>
      <c r="Q1636" s="32"/>
    </row>
    <row r="1637" spans="9:17" x14ac:dyDescent="0.4">
      <c r="I1637" s="46"/>
      <c r="J1637" s="32"/>
      <c r="K1637" s="32"/>
      <c r="L1637" s="32"/>
      <c r="M1637" s="32"/>
      <c r="N1637" s="32"/>
      <c r="O1637" s="32"/>
      <c r="P1637" s="32"/>
      <c r="Q1637" s="32"/>
    </row>
    <row r="1638" spans="9:17" x14ac:dyDescent="0.4">
      <c r="I1638" s="46"/>
      <c r="J1638" s="32"/>
      <c r="K1638" s="32"/>
      <c r="L1638" s="32"/>
      <c r="M1638" s="32"/>
      <c r="N1638" s="32"/>
      <c r="O1638" s="32"/>
      <c r="P1638" s="32"/>
      <c r="Q1638" s="32"/>
    </row>
    <row r="1639" spans="9:17" x14ac:dyDescent="0.4">
      <c r="I1639" s="46"/>
      <c r="J1639" s="32"/>
      <c r="K1639" s="32"/>
      <c r="L1639" s="32"/>
      <c r="M1639" s="32"/>
      <c r="N1639" s="32"/>
      <c r="O1639" s="32"/>
      <c r="P1639" s="32"/>
      <c r="Q1639" s="32"/>
    </row>
    <row r="1640" spans="9:17" x14ac:dyDescent="0.4">
      <c r="I1640" s="46"/>
      <c r="J1640" s="32"/>
      <c r="K1640" s="32"/>
      <c r="L1640" s="32"/>
      <c r="M1640" s="32"/>
      <c r="N1640" s="32"/>
      <c r="O1640" s="32"/>
      <c r="P1640" s="32"/>
      <c r="Q1640" s="32"/>
    </row>
    <row r="1641" spans="9:17" x14ac:dyDescent="0.4">
      <c r="I1641" s="46"/>
      <c r="J1641" s="32"/>
      <c r="K1641" s="32"/>
      <c r="L1641" s="32"/>
      <c r="M1641" s="32"/>
      <c r="N1641" s="32"/>
      <c r="O1641" s="32"/>
      <c r="P1641" s="32"/>
      <c r="Q1641" s="32"/>
    </row>
    <row r="1642" spans="9:17" x14ac:dyDescent="0.4">
      <c r="I1642" s="46"/>
      <c r="J1642" s="32"/>
      <c r="K1642" s="32"/>
      <c r="L1642" s="32"/>
      <c r="M1642" s="32"/>
      <c r="N1642" s="32"/>
      <c r="O1642" s="32"/>
      <c r="P1642" s="32"/>
      <c r="Q1642" s="32"/>
    </row>
    <row r="1643" spans="9:17" x14ac:dyDescent="0.4">
      <c r="I1643" s="46"/>
      <c r="J1643" s="32"/>
      <c r="K1643" s="32"/>
      <c r="L1643" s="32"/>
      <c r="M1643" s="32"/>
      <c r="N1643" s="32"/>
      <c r="O1643" s="32"/>
      <c r="P1643" s="32"/>
      <c r="Q1643" s="32"/>
    </row>
    <row r="1644" spans="9:17" x14ac:dyDescent="0.4">
      <c r="I1644" s="46"/>
      <c r="J1644" s="32"/>
      <c r="K1644" s="32"/>
      <c r="L1644" s="32"/>
      <c r="M1644" s="32"/>
      <c r="N1644" s="32"/>
      <c r="O1644" s="32"/>
      <c r="P1644" s="32"/>
      <c r="Q1644" s="32"/>
    </row>
    <row r="1645" spans="9:17" x14ac:dyDescent="0.4">
      <c r="I1645" s="46"/>
      <c r="J1645" s="32"/>
      <c r="K1645" s="32"/>
      <c r="L1645" s="32"/>
      <c r="M1645" s="32"/>
      <c r="N1645" s="32"/>
      <c r="O1645" s="32"/>
      <c r="P1645" s="32"/>
      <c r="Q1645" s="32"/>
    </row>
    <row r="1646" spans="9:17" x14ac:dyDescent="0.4">
      <c r="I1646" s="46"/>
      <c r="J1646" s="32"/>
      <c r="K1646" s="32"/>
      <c r="L1646" s="32"/>
      <c r="M1646" s="32"/>
      <c r="N1646" s="32"/>
      <c r="O1646" s="32"/>
      <c r="P1646" s="32"/>
      <c r="Q1646" s="32"/>
    </row>
    <row r="1647" spans="9:17" x14ac:dyDescent="0.4">
      <c r="I1647" s="46"/>
      <c r="J1647" s="32"/>
      <c r="K1647" s="32"/>
      <c r="L1647" s="32"/>
      <c r="M1647" s="32"/>
      <c r="N1647" s="32"/>
      <c r="O1647" s="32"/>
      <c r="P1647" s="32"/>
      <c r="Q1647" s="32"/>
    </row>
    <row r="1648" spans="9:17" x14ac:dyDescent="0.4">
      <c r="I1648" s="46"/>
      <c r="J1648" s="32"/>
      <c r="K1648" s="32"/>
      <c r="L1648" s="32"/>
      <c r="M1648" s="32"/>
      <c r="N1648" s="32"/>
      <c r="O1648" s="32"/>
      <c r="P1648" s="32"/>
      <c r="Q1648" s="32"/>
    </row>
    <row r="1649" spans="9:17" x14ac:dyDescent="0.4">
      <c r="I1649" s="46"/>
      <c r="J1649" s="32"/>
      <c r="K1649" s="32"/>
      <c r="L1649" s="32"/>
      <c r="M1649" s="32"/>
      <c r="N1649" s="32"/>
      <c r="O1649" s="32"/>
      <c r="P1649" s="32"/>
      <c r="Q1649" s="32"/>
    </row>
    <row r="1650" spans="9:17" x14ac:dyDescent="0.4">
      <c r="I1650" s="46"/>
      <c r="J1650" s="32"/>
      <c r="K1650" s="32"/>
      <c r="L1650" s="32"/>
      <c r="M1650" s="32"/>
      <c r="N1650" s="32"/>
      <c r="O1650" s="32"/>
      <c r="P1650" s="32"/>
      <c r="Q1650" s="32"/>
    </row>
    <row r="1651" spans="9:17" x14ac:dyDescent="0.4">
      <c r="I1651" s="46"/>
      <c r="J1651" s="32"/>
      <c r="K1651" s="32"/>
      <c r="L1651" s="32"/>
      <c r="M1651" s="32"/>
      <c r="N1651" s="32"/>
      <c r="O1651" s="32"/>
      <c r="P1651" s="32"/>
      <c r="Q1651" s="32"/>
    </row>
    <row r="1652" spans="9:17" x14ac:dyDescent="0.4">
      <c r="I1652" s="46"/>
      <c r="J1652" s="32"/>
      <c r="K1652" s="32"/>
      <c r="L1652" s="32"/>
      <c r="M1652" s="32"/>
      <c r="N1652" s="32"/>
      <c r="O1652" s="32"/>
      <c r="P1652" s="32"/>
      <c r="Q1652" s="32"/>
    </row>
    <row r="1653" spans="9:17" x14ac:dyDescent="0.4">
      <c r="I1653" s="46"/>
      <c r="J1653" s="32"/>
      <c r="K1653" s="32"/>
      <c r="L1653" s="32"/>
      <c r="M1653" s="32"/>
      <c r="N1653" s="32"/>
      <c r="O1653" s="32"/>
      <c r="P1653" s="32"/>
      <c r="Q1653" s="32"/>
    </row>
    <row r="1654" spans="9:17" x14ac:dyDescent="0.4">
      <c r="I1654" s="46"/>
      <c r="J1654" s="32"/>
      <c r="K1654" s="32"/>
      <c r="L1654" s="32"/>
      <c r="M1654" s="32"/>
      <c r="N1654" s="32"/>
      <c r="O1654" s="32"/>
      <c r="P1654" s="32"/>
      <c r="Q1654" s="32"/>
    </row>
    <row r="1655" spans="9:17" x14ac:dyDescent="0.4">
      <c r="I1655" s="46"/>
      <c r="J1655" s="32"/>
      <c r="K1655" s="32"/>
      <c r="L1655" s="32"/>
      <c r="M1655" s="32"/>
      <c r="N1655" s="32"/>
      <c r="O1655" s="32"/>
      <c r="P1655" s="32"/>
      <c r="Q1655" s="32"/>
    </row>
    <row r="1656" spans="9:17" x14ac:dyDescent="0.4">
      <c r="I1656" s="46"/>
      <c r="J1656" s="32"/>
      <c r="K1656" s="32"/>
      <c r="L1656" s="32"/>
      <c r="M1656" s="32"/>
      <c r="N1656" s="32"/>
      <c r="O1656" s="32"/>
      <c r="P1656" s="32"/>
      <c r="Q1656" s="32"/>
    </row>
    <row r="1657" spans="9:17" x14ac:dyDescent="0.4">
      <c r="I1657" s="46"/>
      <c r="J1657" s="32"/>
      <c r="K1657" s="32"/>
      <c r="L1657" s="32"/>
      <c r="M1657" s="32"/>
      <c r="N1657" s="32"/>
      <c r="O1657" s="32"/>
      <c r="P1657" s="32"/>
      <c r="Q1657" s="32"/>
    </row>
    <row r="1658" spans="9:17" x14ac:dyDescent="0.4">
      <c r="I1658" s="46"/>
      <c r="J1658" s="32"/>
      <c r="K1658" s="32"/>
      <c r="L1658" s="32"/>
      <c r="M1658" s="32"/>
      <c r="N1658" s="32"/>
      <c r="O1658" s="32"/>
      <c r="P1658" s="32"/>
      <c r="Q1658" s="32"/>
    </row>
    <row r="1659" spans="9:17" x14ac:dyDescent="0.4">
      <c r="I1659" s="46"/>
      <c r="J1659" s="32"/>
      <c r="K1659" s="32"/>
      <c r="L1659" s="32"/>
      <c r="M1659" s="32"/>
      <c r="N1659" s="32"/>
      <c r="O1659" s="32"/>
      <c r="P1659" s="32"/>
      <c r="Q1659" s="32"/>
    </row>
    <row r="1660" spans="9:17" x14ac:dyDescent="0.4">
      <c r="I1660" s="46"/>
      <c r="J1660" s="32"/>
      <c r="K1660" s="32"/>
      <c r="L1660" s="32"/>
      <c r="M1660" s="32"/>
      <c r="N1660" s="32"/>
      <c r="O1660" s="32"/>
      <c r="P1660" s="32"/>
      <c r="Q1660" s="32"/>
    </row>
    <row r="1661" spans="9:17" x14ac:dyDescent="0.4">
      <c r="I1661" s="46"/>
      <c r="J1661" s="32"/>
      <c r="K1661" s="32"/>
      <c r="L1661" s="32"/>
      <c r="M1661" s="32"/>
      <c r="N1661" s="32"/>
      <c r="O1661" s="32"/>
      <c r="P1661" s="32"/>
      <c r="Q1661" s="32"/>
    </row>
    <row r="1662" spans="9:17" x14ac:dyDescent="0.4">
      <c r="I1662" s="46"/>
      <c r="J1662" s="32"/>
      <c r="K1662" s="32"/>
      <c r="L1662" s="32"/>
      <c r="M1662" s="32"/>
      <c r="N1662" s="32"/>
      <c r="O1662" s="32"/>
      <c r="P1662" s="32"/>
      <c r="Q1662" s="32"/>
    </row>
    <row r="1663" spans="9:17" x14ac:dyDescent="0.4">
      <c r="I1663" s="46"/>
      <c r="J1663" s="32"/>
      <c r="K1663" s="32"/>
      <c r="L1663" s="32"/>
      <c r="M1663" s="32"/>
      <c r="N1663" s="32"/>
      <c r="O1663" s="32"/>
      <c r="P1663" s="32"/>
      <c r="Q1663" s="32"/>
    </row>
    <row r="1664" spans="9:17" x14ac:dyDescent="0.4">
      <c r="I1664" s="46"/>
      <c r="J1664" s="32"/>
      <c r="K1664" s="32"/>
      <c r="L1664" s="32"/>
      <c r="M1664" s="32"/>
      <c r="N1664" s="32"/>
      <c r="O1664" s="32"/>
      <c r="P1664" s="32"/>
      <c r="Q1664" s="32"/>
    </row>
    <row r="1665" spans="9:17" x14ac:dyDescent="0.4">
      <c r="I1665" s="46"/>
      <c r="J1665" s="32"/>
      <c r="K1665" s="32"/>
      <c r="L1665" s="32"/>
      <c r="M1665" s="32"/>
      <c r="N1665" s="32"/>
      <c r="O1665" s="32"/>
      <c r="P1665" s="32"/>
      <c r="Q1665" s="32"/>
    </row>
    <row r="1666" spans="9:17" x14ac:dyDescent="0.4">
      <c r="I1666" s="46"/>
      <c r="J1666" s="32"/>
      <c r="K1666" s="32"/>
      <c r="L1666" s="32"/>
      <c r="M1666" s="32"/>
      <c r="N1666" s="32"/>
      <c r="O1666" s="32"/>
      <c r="P1666" s="32"/>
      <c r="Q1666" s="32"/>
    </row>
    <row r="1667" spans="9:17" x14ac:dyDescent="0.4">
      <c r="I1667" s="46"/>
      <c r="J1667" s="32"/>
      <c r="K1667" s="32"/>
      <c r="L1667" s="32"/>
      <c r="M1667" s="32"/>
      <c r="N1667" s="32"/>
      <c r="O1667" s="32"/>
      <c r="P1667" s="32"/>
      <c r="Q1667" s="32"/>
    </row>
    <row r="1668" spans="9:17" x14ac:dyDescent="0.4">
      <c r="I1668" s="46"/>
      <c r="J1668" s="32"/>
      <c r="K1668" s="32"/>
      <c r="L1668" s="32"/>
      <c r="M1668" s="32"/>
      <c r="N1668" s="32"/>
      <c r="O1668" s="32"/>
      <c r="P1668" s="32"/>
      <c r="Q1668" s="32"/>
    </row>
    <row r="1669" spans="9:17" x14ac:dyDescent="0.4">
      <c r="I1669" s="46"/>
      <c r="J1669" s="32"/>
      <c r="K1669" s="32"/>
      <c r="L1669" s="32"/>
      <c r="M1669" s="32"/>
      <c r="N1669" s="32"/>
      <c r="O1669" s="32"/>
      <c r="P1669" s="32"/>
      <c r="Q1669" s="32"/>
    </row>
    <row r="1670" spans="9:17" x14ac:dyDescent="0.4">
      <c r="I1670" s="46"/>
      <c r="J1670" s="32"/>
      <c r="K1670" s="32"/>
      <c r="L1670" s="32"/>
      <c r="M1670" s="32"/>
      <c r="N1670" s="32"/>
      <c r="O1670" s="32"/>
      <c r="P1670" s="32"/>
      <c r="Q1670" s="32"/>
    </row>
    <row r="1671" spans="9:17" x14ac:dyDescent="0.4">
      <c r="I1671" s="46"/>
      <c r="J1671" s="32"/>
      <c r="K1671" s="32"/>
      <c r="L1671" s="32"/>
      <c r="M1671" s="32"/>
      <c r="N1671" s="32"/>
      <c r="O1671" s="32"/>
      <c r="P1671" s="32"/>
      <c r="Q1671" s="32"/>
    </row>
    <row r="1672" spans="9:17" x14ac:dyDescent="0.4">
      <c r="I1672" s="46"/>
      <c r="J1672" s="32"/>
      <c r="K1672" s="32"/>
      <c r="L1672" s="32"/>
      <c r="M1672" s="32"/>
      <c r="N1672" s="32"/>
      <c r="O1672" s="32"/>
      <c r="P1672" s="32"/>
      <c r="Q1672" s="32"/>
    </row>
    <row r="1673" spans="9:17" x14ac:dyDescent="0.4">
      <c r="I1673" s="46"/>
      <c r="J1673" s="32"/>
      <c r="K1673" s="32"/>
      <c r="L1673" s="32"/>
      <c r="M1673" s="32"/>
      <c r="N1673" s="32"/>
      <c r="O1673" s="32"/>
      <c r="P1673" s="32"/>
      <c r="Q1673" s="32"/>
    </row>
    <row r="1674" spans="9:17" x14ac:dyDescent="0.4">
      <c r="I1674" s="46"/>
      <c r="J1674" s="32"/>
      <c r="K1674" s="32"/>
      <c r="L1674" s="32"/>
      <c r="M1674" s="32"/>
      <c r="N1674" s="32"/>
      <c r="O1674" s="32"/>
      <c r="P1674" s="32"/>
      <c r="Q1674" s="32"/>
    </row>
    <row r="1675" spans="9:17" x14ac:dyDescent="0.4">
      <c r="I1675" s="46"/>
      <c r="J1675" s="32"/>
      <c r="K1675" s="32"/>
      <c r="L1675" s="32"/>
      <c r="M1675" s="32"/>
      <c r="N1675" s="32"/>
      <c r="O1675" s="32"/>
      <c r="P1675" s="32"/>
      <c r="Q1675" s="32"/>
    </row>
    <row r="1676" spans="9:17" x14ac:dyDescent="0.4">
      <c r="I1676" s="46"/>
      <c r="J1676" s="32"/>
      <c r="K1676" s="32"/>
      <c r="L1676" s="32"/>
      <c r="M1676" s="32"/>
      <c r="N1676" s="32"/>
      <c r="O1676" s="32"/>
      <c r="P1676" s="32"/>
      <c r="Q1676" s="32"/>
    </row>
    <row r="1677" spans="9:17" x14ac:dyDescent="0.4">
      <c r="I1677" s="46"/>
      <c r="J1677" s="32"/>
      <c r="K1677" s="32"/>
      <c r="L1677" s="32"/>
      <c r="M1677" s="32"/>
      <c r="N1677" s="32"/>
      <c r="O1677" s="32"/>
      <c r="P1677" s="32"/>
      <c r="Q1677" s="32"/>
    </row>
    <row r="1678" spans="9:17" x14ac:dyDescent="0.4">
      <c r="I1678" s="46"/>
      <c r="J1678" s="32"/>
      <c r="K1678" s="32"/>
      <c r="L1678" s="32"/>
      <c r="M1678" s="32"/>
      <c r="N1678" s="32"/>
      <c r="O1678" s="32"/>
      <c r="P1678" s="32"/>
      <c r="Q1678" s="32"/>
    </row>
    <row r="1679" spans="9:17" x14ac:dyDescent="0.4">
      <c r="I1679" s="46"/>
      <c r="J1679" s="32"/>
      <c r="K1679" s="32"/>
      <c r="L1679" s="32"/>
      <c r="M1679" s="32"/>
      <c r="N1679" s="32"/>
      <c r="O1679" s="32"/>
      <c r="P1679" s="32"/>
      <c r="Q1679" s="32"/>
    </row>
    <row r="1680" spans="9:17" x14ac:dyDescent="0.4">
      <c r="I1680" s="46"/>
      <c r="J1680" s="32"/>
      <c r="K1680" s="32"/>
      <c r="L1680" s="32"/>
      <c r="M1680" s="32"/>
      <c r="N1680" s="32"/>
      <c r="O1680" s="32"/>
      <c r="P1680" s="32"/>
      <c r="Q1680" s="32"/>
    </row>
    <row r="1681" spans="9:17" x14ac:dyDescent="0.4">
      <c r="I1681" s="46"/>
      <c r="J1681" s="32"/>
      <c r="K1681" s="32"/>
      <c r="L1681" s="32"/>
      <c r="M1681" s="32"/>
      <c r="N1681" s="32"/>
      <c r="O1681" s="32"/>
      <c r="P1681" s="32"/>
      <c r="Q1681" s="32"/>
    </row>
    <row r="1682" spans="9:17" x14ac:dyDescent="0.4">
      <c r="I1682" s="46"/>
      <c r="J1682" s="32"/>
      <c r="K1682" s="32"/>
      <c r="L1682" s="32"/>
      <c r="M1682" s="32"/>
      <c r="N1682" s="32"/>
      <c r="O1682" s="32"/>
      <c r="P1682" s="32"/>
      <c r="Q1682" s="32"/>
    </row>
    <row r="1683" spans="9:17" x14ac:dyDescent="0.4">
      <c r="I1683" s="46"/>
      <c r="J1683" s="32"/>
      <c r="K1683" s="32"/>
      <c r="L1683" s="32"/>
      <c r="M1683" s="32"/>
      <c r="N1683" s="32"/>
      <c r="O1683" s="32"/>
      <c r="P1683" s="32"/>
      <c r="Q1683" s="32"/>
    </row>
    <row r="1684" spans="9:17" x14ac:dyDescent="0.4">
      <c r="I1684" s="46"/>
      <c r="J1684" s="32"/>
      <c r="K1684" s="32"/>
      <c r="L1684" s="32"/>
      <c r="M1684" s="32"/>
      <c r="N1684" s="32"/>
      <c r="O1684" s="32"/>
      <c r="P1684" s="32"/>
      <c r="Q1684" s="32"/>
    </row>
    <row r="1685" spans="9:17" x14ac:dyDescent="0.4">
      <c r="I1685" s="46"/>
      <c r="J1685" s="32"/>
      <c r="K1685" s="32"/>
      <c r="L1685" s="32"/>
      <c r="M1685" s="32"/>
      <c r="N1685" s="32"/>
      <c r="O1685" s="32"/>
      <c r="P1685" s="32"/>
      <c r="Q1685" s="32"/>
    </row>
    <row r="1686" spans="9:17" x14ac:dyDescent="0.4">
      <c r="I1686" s="46"/>
      <c r="J1686" s="32"/>
      <c r="K1686" s="32"/>
      <c r="L1686" s="32"/>
      <c r="M1686" s="32"/>
      <c r="N1686" s="32"/>
      <c r="O1686" s="32"/>
      <c r="P1686" s="32"/>
      <c r="Q1686" s="32"/>
    </row>
    <row r="1687" spans="9:17" x14ac:dyDescent="0.4">
      <c r="I1687" s="46"/>
      <c r="J1687" s="32"/>
      <c r="K1687" s="32"/>
      <c r="L1687" s="32"/>
      <c r="M1687" s="32"/>
      <c r="N1687" s="32"/>
      <c r="O1687" s="32"/>
      <c r="P1687" s="32"/>
      <c r="Q1687" s="32"/>
    </row>
    <row r="1688" spans="9:17" x14ac:dyDescent="0.4">
      <c r="I1688" s="46"/>
      <c r="J1688" s="32"/>
      <c r="K1688" s="32"/>
      <c r="L1688" s="32"/>
      <c r="M1688" s="32"/>
      <c r="N1688" s="32"/>
      <c r="O1688" s="32"/>
      <c r="P1688" s="32"/>
      <c r="Q1688" s="32"/>
    </row>
    <row r="1689" spans="9:17" x14ac:dyDescent="0.4">
      <c r="I1689" s="46"/>
      <c r="J1689" s="32"/>
      <c r="K1689" s="32"/>
      <c r="L1689" s="32"/>
      <c r="M1689" s="32"/>
      <c r="N1689" s="32"/>
      <c r="O1689" s="32"/>
      <c r="P1689" s="32"/>
      <c r="Q1689" s="32"/>
    </row>
    <row r="1690" spans="9:17" x14ac:dyDescent="0.4">
      <c r="I1690" s="46"/>
      <c r="J1690" s="32"/>
      <c r="K1690" s="32"/>
      <c r="L1690" s="32"/>
      <c r="M1690" s="32"/>
      <c r="N1690" s="32"/>
      <c r="O1690" s="32"/>
      <c r="P1690" s="32"/>
      <c r="Q1690" s="32"/>
    </row>
    <row r="1691" spans="9:17" x14ac:dyDescent="0.4">
      <c r="I1691" s="46"/>
      <c r="J1691" s="32"/>
      <c r="K1691" s="32"/>
      <c r="L1691" s="32"/>
      <c r="M1691" s="32"/>
      <c r="N1691" s="32"/>
      <c r="O1691" s="32"/>
      <c r="P1691" s="32"/>
      <c r="Q1691" s="32"/>
    </row>
    <row r="1692" spans="9:17" x14ac:dyDescent="0.4">
      <c r="I1692" s="46"/>
      <c r="J1692" s="32"/>
      <c r="K1692" s="32"/>
      <c r="L1692" s="32"/>
      <c r="M1692" s="32"/>
      <c r="N1692" s="32"/>
      <c r="O1692" s="32"/>
      <c r="P1692" s="32"/>
      <c r="Q1692" s="32"/>
    </row>
    <row r="1693" spans="9:17" x14ac:dyDescent="0.4">
      <c r="I1693" s="46"/>
      <c r="J1693" s="32"/>
      <c r="K1693" s="32"/>
      <c r="L1693" s="32"/>
      <c r="M1693" s="32"/>
      <c r="N1693" s="32"/>
      <c r="O1693" s="32"/>
      <c r="P1693" s="32"/>
      <c r="Q1693" s="32"/>
    </row>
    <row r="1694" spans="9:17" x14ac:dyDescent="0.4">
      <c r="I1694" s="46"/>
      <c r="J1694" s="32"/>
      <c r="K1694" s="32"/>
      <c r="L1694" s="32"/>
      <c r="M1694" s="32"/>
      <c r="N1694" s="32"/>
      <c r="O1694" s="32"/>
      <c r="P1694" s="32"/>
      <c r="Q1694" s="32"/>
    </row>
    <row r="1695" spans="9:17" x14ac:dyDescent="0.4">
      <c r="I1695" s="46"/>
      <c r="J1695" s="32"/>
      <c r="K1695" s="32"/>
      <c r="L1695" s="32"/>
      <c r="M1695" s="32"/>
      <c r="N1695" s="32"/>
      <c r="O1695" s="32"/>
      <c r="P1695" s="32"/>
      <c r="Q1695" s="32"/>
    </row>
    <row r="1696" spans="9:17" x14ac:dyDescent="0.4">
      <c r="I1696" s="46"/>
      <c r="J1696" s="32"/>
      <c r="K1696" s="32"/>
      <c r="L1696" s="32"/>
      <c r="M1696" s="32"/>
      <c r="N1696" s="32"/>
      <c r="O1696" s="32"/>
      <c r="P1696" s="32"/>
      <c r="Q1696" s="32"/>
    </row>
    <row r="1697" spans="9:17" x14ac:dyDescent="0.4">
      <c r="I1697" s="46"/>
      <c r="J1697" s="32"/>
      <c r="K1697" s="32"/>
      <c r="L1697" s="32"/>
      <c r="M1697" s="32"/>
      <c r="N1697" s="32"/>
      <c r="O1697" s="32"/>
      <c r="P1697" s="32"/>
      <c r="Q1697" s="32"/>
    </row>
    <row r="1698" spans="9:17" x14ac:dyDescent="0.4">
      <c r="I1698" s="46"/>
      <c r="J1698" s="32"/>
      <c r="K1698" s="32"/>
      <c r="L1698" s="32"/>
      <c r="M1698" s="32"/>
      <c r="N1698" s="32"/>
      <c r="O1698" s="32"/>
      <c r="P1698" s="32"/>
      <c r="Q1698" s="32"/>
    </row>
    <row r="1699" spans="9:17" x14ac:dyDescent="0.4">
      <c r="I1699" s="46"/>
      <c r="J1699" s="32"/>
      <c r="K1699" s="32"/>
      <c r="L1699" s="32"/>
      <c r="M1699" s="32"/>
      <c r="N1699" s="32"/>
      <c r="O1699" s="32"/>
      <c r="P1699" s="32"/>
      <c r="Q1699" s="32"/>
    </row>
    <row r="1700" spans="9:17" x14ac:dyDescent="0.4">
      <c r="I1700" s="46"/>
      <c r="J1700" s="32"/>
      <c r="K1700" s="32"/>
      <c r="L1700" s="32"/>
      <c r="M1700" s="32"/>
      <c r="N1700" s="32"/>
      <c r="O1700" s="32"/>
      <c r="P1700" s="32"/>
      <c r="Q1700" s="32"/>
    </row>
    <row r="1701" spans="9:17" x14ac:dyDescent="0.4">
      <c r="I1701" s="46"/>
      <c r="J1701" s="32"/>
      <c r="K1701" s="32"/>
      <c r="L1701" s="32"/>
      <c r="M1701" s="32"/>
      <c r="N1701" s="32"/>
      <c r="O1701" s="32"/>
      <c r="P1701" s="32"/>
      <c r="Q1701" s="32"/>
    </row>
    <row r="1702" spans="9:17" x14ac:dyDescent="0.4">
      <c r="I1702" s="46"/>
      <c r="J1702" s="32"/>
      <c r="K1702" s="32"/>
      <c r="L1702" s="32"/>
      <c r="M1702" s="32"/>
      <c r="N1702" s="32"/>
      <c r="O1702" s="32"/>
      <c r="P1702" s="32"/>
      <c r="Q1702" s="32"/>
    </row>
    <row r="1703" spans="9:17" x14ac:dyDescent="0.4">
      <c r="I1703" s="46"/>
      <c r="J1703" s="32"/>
      <c r="K1703" s="32"/>
      <c r="L1703" s="32"/>
      <c r="M1703" s="32"/>
      <c r="N1703" s="32"/>
      <c r="O1703" s="32"/>
      <c r="P1703" s="32"/>
      <c r="Q1703" s="32"/>
    </row>
    <row r="1704" spans="9:17" x14ac:dyDescent="0.4">
      <c r="I1704" s="46"/>
      <c r="J1704" s="32"/>
      <c r="K1704" s="32"/>
      <c r="L1704" s="32"/>
      <c r="M1704" s="32"/>
      <c r="N1704" s="32"/>
      <c r="O1704" s="32"/>
      <c r="P1704" s="32"/>
      <c r="Q1704" s="32"/>
    </row>
    <row r="1705" spans="9:17" x14ac:dyDescent="0.4">
      <c r="I1705" s="46"/>
      <c r="J1705" s="32"/>
      <c r="K1705" s="32"/>
      <c r="L1705" s="32"/>
      <c r="M1705" s="32"/>
      <c r="N1705" s="32"/>
      <c r="O1705" s="32"/>
      <c r="P1705" s="32"/>
      <c r="Q1705" s="32"/>
    </row>
    <row r="1706" spans="9:17" x14ac:dyDescent="0.4">
      <c r="I1706" s="46"/>
      <c r="J1706" s="32"/>
      <c r="K1706" s="32"/>
      <c r="L1706" s="32"/>
      <c r="M1706" s="32"/>
      <c r="N1706" s="32"/>
      <c r="O1706" s="32"/>
      <c r="P1706" s="32"/>
      <c r="Q1706" s="32"/>
    </row>
    <row r="1707" spans="9:17" x14ac:dyDescent="0.4">
      <c r="I1707" s="46"/>
      <c r="J1707" s="32"/>
      <c r="K1707" s="32"/>
      <c r="L1707" s="32"/>
      <c r="M1707" s="32"/>
      <c r="N1707" s="32"/>
      <c r="O1707" s="32"/>
      <c r="P1707" s="32"/>
      <c r="Q1707" s="32"/>
    </row>
    <row r="1708" spans="9:17" x14ac:dyDescent="0.4">
      <c r="I1708" s="46"/>
      <c r="J1708" s="32"/>
      <c r="K1708" s="32"/>
      <c r="L1708" s="32"/>
      <c r="M1708" s="32"/>
      <c r="N1708" s="32"/>
      <c r="O1708" s="32"/>
      <c r="P1708" s="32"/>
      <c r="Q1708" s="32"/>
    </row>
    <row r="1709" spans="9:17" x14ac:dyDescent="0.4">
      <c r="I1709" s="46"/>
      <c r="J1709" s="32"/>
      <c r="K1709" s="32"/>
      <c r="L1709" s="32"/>
      <c r="M1709" s="32"/>
      <c r="N1709" s="32"/>
      <c r="O1709" s="32"/>
      <c r="P1709" s="32"/>
      <c r="Q1709" s="32"/>
    </row>
    <row r="1710" spans="9:17" x14ac:dyDescent="0.4">
      <c r="I1710" s="46"/>
      <c r="J1710" s="32"/>
      <c r="K1710" s="32"/>
      <c r="L1710" s="32"/>
      <c r="M1710" s="32"/>
      <c r="N1710" s="32"/>
      <c r="O1710" s="32"/>
      <c r="P1710" s="32"/>
      <c r="Q1710" s="32"/>
    </row>
    <row r="1711" spans="9:17" x14ac:dyDescent="0.4">
      <c r="I1711" s="46"/>
      <c r="J1711" s="32"/>
      <c r="K1711" s="32"/>
      <c r="L1711" s="32"/>
      <c r="M1711" s="32"/>
      <c r="N1711" s="32"/>
      <c r="O1711" s="32"/>
      <c r="P1711" s="32"/>
      <c r="Q1711" s="32"/>
    </row>
    <row r="1712" spans="9:17" x14ac:dyDescent="0.4">
      <c r="I1712" s="46"/>
      <c r="J1712" s="32"/>
      <c r="K1712" s="32"/>
      <c r="L1712" s="32"/>
      <c r="M1712" s="32"/>
      <c r="N1712" s="32"/>
      <c r="O1712" s="32"/>
      <c r="P1712" s="32"/>
      <c r="Q1712" s="32"/>
    </row>
    <row r="1713" spans="9:17" x14ac:dyDescent="0.4">
      <c r="I1713" s="46"/>
      <c r="J1713" s="32"/>
      <c r="K1713" s="32"/>
      <c r="L1713" s="32"/>
      <c r="M1713" s="32"/>
      <c r="N1713" s="32"/>
      <c r="O1713" s="32"/>
      <c r="P1713" s="32"/>
      <c r="Q1713" s="32"/>
    </row>
    <row r="1714" spans="9:17" x14ac:dyDescent="0.4">
      <c r="I1714" s="46"/>
      <c r="J1714" s="32"/>
      <c r="K1714" s="32"/>
      <c r="L1714" s="32"/>
      <c r="M1714" s="32"/>
      <c r="N1714" s="32"/>
      <c r="O1714" s="32"/>
      <c r="P1714" s="32"/>
      <c r="Q1714" s="32"/>
    </row>
    <row r="1715" spans="9:17" x14ac:dyDescent="0.4">
      <c r="I1715" s="46"/>
      <c r="J1715" s="32"/>
      <c r="K1715" s="32"/>
      <c r="L1715" s="32"/>
      <c r="M1715" s="32"/>
      <c r="N1715" s="32"/>
      <c r="O1715" s="32"/>
      <c r="P1715" s="32"/>
      <c r="Q1715" s="32"/>
    </row>
    <row r="1716" spans="9:17" x14ac:dyDescent="0.4">
      <c r="I1716" s="46"/>
      <c r="J1716" s="32"/>
      <c r="K1716" s="32"/>
      <c r="L1716" s="32"/>
      <c r="M1716" s="32"/>
      <c r="N1716" s="32"/>
      <c r="O1716" s="32"/>
      <c r="P1716" s="32"/>
      <c r="Q1716" s="32"/>
    </row>
    <row r="1717" spans="9:17" x14ac:dyDescent="0.4">
      <c r="I1717" s="46"/>
      <c r="J1717" s="32"/>
      <c r="K1717" s="32"/>
      <c r="L1717" s="32"/>
      <c r="M1717" s="32"/>
      <c r="N1717" s="32"/>
      <c r="O1717" s="32"/>
      <c r="P1717" s="32"/>
      <c r="Q1717" s="32"/>
    </row>
    <row r="1718" spans="9:17" x14ac:dyDescent="0.4">
      <c r="I1718" s="46"/>
      <c r="J1718" s="32"/>
      <c r="K1718" s="32"/>
      <c r="L1718" s="32"/>
      <c r="M1718" s="32"/>
      <c r="N1718" s="32"/>
      <c r="O1718" s="32"/>
      <c r="P1718" s="32"/>
      <c r="Q1718" s="32"/>
    </row>
    <row r="1719" spans="9:17" x14ac:dyDescent="0.4">
      <c r="I1719" s="46"/>
      <c r="J1719" s="32"/>
      <c r="K1719" s="32"/>
      <c r="L1719" s="32"/>
      <c r="M1719" s="32"/>
      <c r="N1719" s="32"/>
      <c r="O1719" s="32"/>
      <c r="P1719" s="32"/>
      <c r="Q1719" s="32"/>
    </row>
    <row r="1720" spans="9:17" x14ac:dyDescent="0.4">
      <c r="I1720" s="46"/>
      <c r="J1720" s="32"/>
      <c r="K1720" s="32"/>
      <c r="L1720" s="32"/>
      <c r="M1720" s="32"/>
      <c r="N1720" s="32"/>
      <c r="O1720" s="32"/>
      <c r="P1720" s="32"/>
      <c r="Q1720" s="32"/>
    </row>
    <row r="1721" spans="9:17" x14ac:dyDescent="0.4">
      <c r="I1721" s="46"/>
      <c r="J1721" s="32"/>
      <c r="K1721" s="32"/>
      <c r="L1721" s="32"/>
      <c r="M1721" s="32"/>
      <c r="N1721" s="32"/>
      <c r="O1721" s="32"/>
      <c r="P1721" s="32"/>
      <c r="Q1721" s="32"/>
    </row>
    <row r="1722" spans="9:17" x14ac:dyDescent="0.4">
      <c r="I1722" s="46"/>
      <c r="J1722" s="32"/>
      <c r="K1722" s="32"/>
      <c r="L1722" s="32"/>
      <c r="M1722" s="32"/>
      <c r="N1722" s="32"/>
      <c r="O1722" s="32"/>
      <c r="P1722" s="32"/>
      <c r="Q1722" s="32"/>
    </row>
    <row r="1723" spans="9:17" x14ac:dyDescent="0.4">
      <c r="I1723" s="46"/>
      <c r="J1723" s="32"/>
      <c r="K1723" s="32"/>
      <c r="L1723" s="32"/>
      <c r="M1723" s="32"/>
      <c r="N1723" s="32"/>
      <c r="O1723" s="32"/>
      <c r="P1723" s="32"/>
      <c r="Q1723" s="32"/>
    </row>
    <row r="1724" spans="9:17" x14ac:dyDescent="0.4">
      <c r="I1724" s="46"/>
      <c r="J1724" s="32"/>
      <c r="K1724" s="32"/>
      <c r="L1724" s="32"/>
      <c r="M1724" s="32"/>
      <c r="N1724" s="32"/>
      <c r="O1724" s="32"/>
      <c r="P1724" s="32"/>
      <c r="Q1724" s="32"/>
    </row>
    <row r="1725" spans="9:17" x14ac:dyDescent="0.4">
      <c r="I1725" s="46"/>
      <c r="J1725" s="32"/>
      <c r="K1725" s="32"/>
      <c r="L1725" s="32"/>
      <c r="M1725" s="32"/>
      <c r="N1725" s="32"/>
      <c r="O1725" s="32"/>
      <c r="P1725" s="32"/>
      <c r="Q1725" s="32"/>
    </row>
    <row r="1726" spans="9:17" x14ac:dyDescent="0.4">
      <c r="I1726" s="46"/>
      <c r="J1726" s="32"/>
      <c r="K1726" s="32"/>
      <c r="L1726" s="32"/>
      <c r="M1726" s="32"/>
      <c r="N1726" s="32"/>
      <c r="O1726" s="32"/>
      <c r="P1726" s="32"/>
      <c r="Q1726" s="32"/>
    </row>
    <row r="1727" spans="9:17" x14ac:dyDescent="0.4">
      <c r="I1727" s="46"/>
      <c r="J1727" s="32"/>
      <c r="K1727" s="32"/>
      <c r="L1727" s="32"/>
      <c r="M1727" s="32"/>
      <c r="N1727" s="32"/>
      <c r="O1727" s="32"/>
      <c r="P1727" s="32"/>
      <c r="Q1727" s="32"/>
    </row>
    <row r="1728" spans="9:17" x14ac:dyDescent="0.4">
      <c r="I1728" s="46"/>
      <c r="J1728" s="32"/>
      <c r="K1728" s="32"/>
      <c r="L1728" s="32"/>
      <c r="M1728" s="32"/>
      <c r="N1728" s="32"/>
      <c r="O1728" s="32"/>
      <c r="P1728" s="32"/>
      <c r="Q1728" s="32"/>
    </row>
    <row r="1729" spans="9:17" x14ac:dyDescent="0.4">
      <c r="I1729" s="46"/>
      <c r="J1729" s="32"/>
      <c r="K1729" s="32"/>
      <c r="L1729" s="32"/>
      <c r="M1729" s="32"/>
      <c r="N1729" s="32"/>
      <c r="O1729" s="32"/>
      <c r="P1729" s="32"/>
      <c r="Q1729" s="32"/>
    </row>
    <row r="1730" spans="9:17" x14ac:dyDescent="0.4">
      <c r="I1730" s="46"/>
      <c r="J1730" s="32"/>
      <c r="K1730" s="32"/>
      <c r="L1730" s="32"/>
      <c r="M1730" s="32"/>
      <c r="N1730" s="32"/>
      <c r="O1730" s="32"/>
      <c r="P1730" s="32"/>
      <c r="Q1730" s="32"/>
    </row>
    <row r="1731" spans="9:17" x14ac:dyDescent="0.4">
      <c r="I1731" s="46"/>
      <c r="J1731" s="32"/>
      <c r="K1731" s="32"/>
      <c r="L1731" s="32"/>
      <c r="M1731" s="32"/>
      <c r="N1731" s="32"/>
      <c r="O1731" s="32"/>
      <c r="P1731" s="32"/>
      <c r="Q1731" s="32"/>
    </row>
    <row r="1732" spans="9:17" x14ac:dyDescent="0.4">
      <c r="I1732" s="46"/>
      <c r="J1732" s="32"/>
      <c r="K1732" s="32"/>
      <c r="L1732" s="32"/>
      <c r="M1732" s="32"/>
      <c r="N1732" s="32"/>
      <c r="O1732" s="32"/>
      <c r="P1732" s="32"/>
      <c r="Q1732" s="32"/>
    </row>
    <row r="1733" spans="9:17" x14ac:dyDescent="0.4">
      <c r="I1733" s="46"/>
      <c r="J1733" s="32"/>
      <c r="K1733" s="32"/>
      <c r="L1733" s="32"/>
      <c r="M1733" s="32"/>
      <c r="N1733" s="32"/>
      <c r="O1733" s="32"/>
      <c r="P1733" s="32"/>
      <c r="Q1733" s="32"/>
    </row>
    <row r="1734" spans="9:17" x14ac:dyDescent="0.4">
      <c r="I1734" s="46"/>
      <c r="J1734" s="32"/>
      <c r="K1734" s="32"/>
      <c r="L1734" s="32"/>
      <c r="M1734" s="32"/>
      <c r="N1734" s="32"/>
      <c r="O1734" s="32"/>
      <c r="P1734" s="32"/>
      <c r="Q1734" s="32"/>
    </row>
    <row r="1735" spans="9:17" x14ac:dyDescent="0.4">
      <c r="I1735" s="46"/>
      <c r="J1735" s="32"/>
      <c r="K1735" s="32"/>
      <c r="L1735" s="32"/>
      <c r="M1735" s="32"/>
      <c r="N1735" s="32"/>
      <c r="O1735" s="32"/>
      <c r="P1735" s="32"/>
      <c r="Q1735" s="32"/>
    </row>
    <row r="1736" spans="9:17" x14ac:dyDescent="0.4">
      <c r="I1736" s="46"/>
      <c r="J1736" s="32"/>
      <c r="K1736" s="32"/>
      <c r="L1736" s="32"/>
      <c r="M1736" s="32"/>
      <c r="N1736" s="32"/>
      <c r="O1736" s="32"/>
      <c r="P1736" s="32"/>
      <c r="Q1736" s="32"/>
    </row>
    <row r="1737" spans="9:17" x14ac:dyDescent="0.4">
      <c r="I1737" s="46"/>
      <c r="J1737" s="32"/>
      <c r="K1737" s="32"/>
      <c r="L1737" s="32"/>
      <c r="M1737" s="32"/>
      <c r="N1737" s="32"/>
      <c r="O1737" s="32"/>
      <c r="P1737" s="32"/>
      <c r="Q1737" s="32"/>
    </row>
    <row r="1738" spans="9:17" x14ac:dyDescent="0.4">
      <c r="I1738" s="46"/>
      <c r="J1738" s="32"/>
      <c r="K1738" s="32"/>
      <c r="L1738" s="32"/>
      <c r="M1738" s="32"/>
      <c r="N1738" s="32"/>
      <c r="O1738" s="32"/>
      <c r="P1738" s="32"/>
      <c r="Q1738" s="32"/>
    </row>
    <row r="1739" spans="9:17" x14ac:dyDescent="0.4">
      <c r="I1739" s="46"/>
      <c r="J1739" s="32"/>
      <c r="K1739" s="32"/>
      <c r="L1739" s="32"/>
      <c r="M1739" s="32"/>
      <c r="N1739" s="32"/>
      <c r="O1739" s="32"/>
      <c r="P1739" s="32"/>
      <c r="Q1739" s="32"/>
    </row>
    <row r="1740" spans="9:17" x14ac:dyDescent="0.4">
      <c r="I1740" s="46"/>
      <c r="J1740" s="32"/>
      <c r="K1740" s="32"/>
      <c r="L1740" s="32"/>
      <c r="M1740" s="32"/>
      <c r="N1740" s="32"/>
      <c r="O1740" s="32"/>
      <c r="P1740" s="32"/>
      <c r="Q1740" s="32"/>
    </row>
    <row r="1741" spans="9:17" x14ac:dyDescent="0.4">
      <c r="I1741" s="46"/>
      <c r="J1741" s="32"/>
      <c r="K1741" s="32"/>
      <c r="L1741" s="32"/>
      <c r="M1741" s="32"/>
      <c r="N1741" s="32"/>
      <c r="O1741" s="32"/>
      <c r="P1741" s="32"/>
      <c r="Q1741" s="32"/>
    </row>
    <row r="1742" spans="9:17" x14ac:dyDescent="0.4">
      <c r="I1742" s="46"/>
      <c r="J1742" s="32"/>
      <c r="K1742" s="32"/>
      <c r="L1742" s="32"/>
      <c r="M1742" s="32"/>
      <c r="N1742" s="32"/>
      <c r="O1742" s="32"/>
      <c r="P1742" s="32"/>
      <c r="Q1742" s="32"/>
    </row>
    <row r="1743" spans="9:17" x14ac:dyDescent="0.4">
      <c r="I1743" s="46"/>
      <c r="J1743" s="32"/>
      <c r="K1743" s="32"/>
      <c r="L1743" s="32"/>
      <c r="M1743" s="32"/>
      <c r="N1743" s="32"/>
      <c r="O1743" s="32"/>
      <c r="P1743" s="32"/>
      <c r="Q1743" s="32"/>
    </row>
    <row r="1744" spans="9:17" x14ac:dyDescent="0.4">
      <c r="I1744" s="46"/>
      <c r="J1744" s="32"/>
      <c r="K1744" s="32"/>
      <c r="L1744" s="32"/>
      <c r="M1744" s="32"/>
      <c r="N1744" s="32"/>
      <c r="O1744" s="32"/>
      <c r="P1744" s="32"/>
      <c r="Q1744" s="32"/>
    </row>
    <row r="1745" spans="9:17" x14ac:dyDescent="0.4">
      <c r="I1745" s="46"/>
      <c r="J1745" s="32"/>
      <c r="K1745" s="32"/>
      <c r="L1745" s="32"/>
      <c r="M1745" s="32"/>
      <c r="N1745" s="32"/>
      <c r="O1745" s="32"/>
      <c r="P1745" s="32"/>
      <c r="Q1745" s="32"/>
    </row>
    <row r="1746" spans="9:17" x14ac:dyDescent="0.4">
      <c r="I1746" s="46"/>
      <c r="J1746" s="32"/>
      <c r="K1746" s="32"/>
      <c r="L1746" s="32"/>
      <c r="M1746" s="32"/>
      <c r="N1746" s="32"/>
      <c r="O1746" s="32"/>
      <c r="P1746" s="32"/>
      <c r="Q1746" s="32"/>
    </row>
    <row r="1747" spans="9:17" x14ac:dyDescent="0.4">
      <c r="I1747" s="46"/>
      <c r="J1747" s="32"/>
      <c r="K1747" s="32"/>
      <c r="L1747" s="32"/>
      <c r="M1747" s="32"/>
      <c r="N1747" s="32"/>
      <c r="O1747" s="32"/>
      <c r="P1747" s="32"/>
      <c r="Q1747" s="32"/>
    </row>
    <row r="1748" spans="9:17" x14ac:dyDescent="0.4">
      <c r="I1748" s="46"/>
      <c r="J1748" s="32"/>
      <c r="K1748" s="32"/>
      <c r="L1748" s="32"/>
      <c r="M1748" s="32"/>
      <c r="N1748" s="32"/>
      <c r="O1748" s="32"/>
      <c r="P1748" s="32"/>
      <c r="Q1748" s="32"/>
    </row>
    <row r="1749" spans="9:17" x14ac:dyDescent="0.4">
      <c r="I1749" s="46"/>
      <c r="J1749" s="32"/>
      <c r="K1749" s="32"/>
      <c r="L1749" s="32"/>
      <c r="M1749" s="32"/>
      <c r="N1749" s="32"/>
      <c r="O1749" s="32"/>
      <c r="P1749" s="32"/>
      <c r="Q1749" s="32"/>
    </row>
    <row r="1750" spans="9:17" x14ac:dyDescent="0.4">
      <c r="I1750" s="46"/>
      <c r="J1750" s="32"/>
      <c r="K1750" s="32"/>
      <c r="L1750" s="32"/>
      <c r="M1750" s="32"/>
      <c r="N1750" s="32"/>
      <c r="O1750" s="32"/>
      <c r="P1750" s="32"/>
      <c r="Q1750" s="32"/>
    </row>
    <row r="1751" spans="9:17" x14ac:dyDescent="0.4">
      <c r="I1751" s="46"/>
      <c r="J1751" s="32"/>
      <c r="K1751" s="32"/>
      <c r="L1751" s="32"/>
      <c r="M1751" s="32"/>
      <c r="N1751" s="32"/>
      <c r="O1751" s="32"/>
      <c r="P1751" s="32"/>
      <c r="Q1751" s="32"/>
    </row>
    <row r="1752" spans="9:17" x14ac:dyDescent="0.4">
      <c r="I1752" s="46"/>
      <c r="J1752" s="32"/>
      <c r="K1752" s="32"/>
      <c r="L1752" s="32"/>
      <c r="M1752" s="32"/>
      <c r="N1752" s="32"/>
      <c r="O1752" s="32"/>
      <c r="P1752" s="32"/>
      <c r="Q1752" s="32"/>
    </row>
    <row r="1753" spans="9:17" x14ac:dyDescent="0.4">
      <c r="I1753" s="46"/>
      <c r="J1753" s="32"/>
      <c r="K1753" s="32"/>
      <c r="L1753" s="32"/>
      <c r="M1753" s="32"/>
      <c r="N1753" s="32"/>
      <c r="O1753" s="32"/>
      <c r="P1753" s="32"/>
      <c r="Q1753" s="32"/>
    </row>
    <row r="1754" spans="9:17" x14ac:dyDescent="0.4">
      <c r="I1754" s="46"/>
      <c r="J1754" s="32"/>
      <c r="K1754" s="32"/>
      <c r="L1754" s="32"/>
      <c r="M1754" s="32"/>
      <c r="N1754" s="32"/>
      <c r="O1754" s="32"/>
      <c r="P1754" s="32"/>
      <c r="Q1754" s="32"/>
    </row>
    <row r="1755" spans="9:17" x14ac:dyDescent="0.4">
      <c r="I1755" s="46"/>
      <c r="J1755" s="32"/>
      <c r="K1755" s="32"/>
      <c r="L1755" s="32"/>
      <c r="M1755" s="32"/>
      <c r="N1755" s="32"/>
      <c r="O1755" s="32"/>
      <c r="P1755" s="32"/>
      <c r="Q1755" s="32"/>
    </row>
    <row r="1756" spans="9:17" x14ac:dyDescent="0.4">
      <c r="I1756" s="46"/>
      <c r="J1756" s="32"/>
      <c r="K1756" s="32"/>
      <c r="L1756" s="32"/>
      <c r="M1756" s="32"/>
      <c r="N1756" s="32"/>
      <c r="O1756" s="32"/>
      <c r="P1756" s="32"/>
      <c r="Q1756" s="32"/>
    </row>
    <row r="1757" spans="9:17" x14ac:dyDescent="0.4">
      <c r="I1757" s="46"/>
      <c r="J1757" s="32"/>
      <c r="K1757" s="32"/>
      <c r="L1757" s="32"/>
      <c r="M1757" s="32"/>
      <c r="N1757" s="32"/>
      <c r="O1757" s="32"/>
      <c r="P1757" s="32"/>
      <c r="Q1757" s="32"/>
    </row>
    <row r="1758" spans="9:17" x14ac:dyDescent="0.4">
      <c r="I1758" s="46"/>
      <c r="J1758" s="32"/>
      <c r="K1758" s="32"/>
      <c r="L1758" s="32"/>
      <c r="M1758" s="32"/>
      <c r="N1758" s="32"/>
      <c r="O1758" s="32"/>
      <c r="P1758" s="32"/>
      <c r="Q1758" s="32"/>
    </row>
    <row r="1759" spans="9:17" x14ac:dyDescent="0.4">
      <c r="I1759" s="46"/>
      <c r="J1759" s="32"/>
      <c r="K1759" s="32"/>
      <c r="L1759" s="32"/>
      <c r="M1759" s="32"/>
      <c r="N1759" s="32"/>
      <c r="O1759" s="32"/>
      <c r="P1759" s="32"/>
      <c r="Q1759" s="32"/>
    </row>
    <row r="1760" spans="9:17" x14ac:dyDescent="0.4">
      <c r="I1760" s="46"/>
      <c r="J1760" s="32"/>
      <c r="K1760" s="32"/>
      <c r="L1760" s="32"/>
      <c r="M1760" s="32"/>
      <c r="N1760" s="32"/>
      <c r="O1760" s="32"/>
      <c r="P1760" s="32"/>
      <c r="Q1760" s="32"/>
    </row>
    <row r="1761" spans="9:17" x14ac:dyDescent="0.4">
      <c r="I1761" s="46"/>
      <c r="J1761" s="32"/>
      <c r="K1761" s="32"/>
      <c r="L1761" s="32"/>
      <c r="M1761" s="32"/>
      <c r="N1761" s="32"/>
      <c r="O1761" s="32"/>
      <c r="P1761" s="32"/>
      <c r="Q1761" s="32"/>
    </row>
    <row r="1762" spans="9:17" x14ac:dyDescent="0.4">
      <c r="I1762" s="46"/>
      <c r="J1762" s="32"/>
      <c r="K1762" s="32"/>
      <c r="L1762" s="32"/>
      <c r="M1762" s="32"/>
      <c r="N1762" s="32"/>
      <c r="O1762" s="32"/>
      <c r="P1762" s="32"/>
      <c r="Q1762" s="32"/>
    </row>
    <row r="1763" spans="9:17" x14ac:dyDescent="0.4">
      <c r="I1763" s="46"/>
      <c r="J1763" s="32"/>
      <c r="K1763" s="32"/>
      <c r="L1763" s="32"/>
      <c r="M1763" s="32"/>
      <c r="N1763" s="32"/>
      <c r="O1763" s="32"/>
      <c r="P1763" s="32"/>
      <c r="Q1763" s="32"/>
    </row>
    <row r="1764" spans="9:17" x14ac:dyDescent="0.4">
      <c r="I1764" s="46"/>
      <c r="J1764" s="32"/>
      <c r="K1764" s="32"/>
      <c r="L1764" s="32"/>
      <c r="M1764" s="32"/>
      <c r="N1764" s="32"/>
      <c r="O1764" s="32"/>
      <c r="P1764" s="32"/>
      <c r="Q1764" s="32"/>
    </row>
    <row r="1765" spans="9:17" x14ac:dyDescent="0.4">
      <c r="I1765" s="46"/>
      <c r="J1765" s="32"/>
      <c r="K1765" s="32"/>
      <c r="L1765" s="32"/>
      <c r="M1765" s="32"/>
      <c r="N1765" s="32"/>
      <c r="O1765" s="32"/>
      <c r="P1765" s="32"/>
      <c r="Q1765" s="32"/>
    </row>
    <row r="1766" spans="9:17" x14ac:dyDescent="0.4">
      <c r="I1766" s="46"/>
      <c r="J1766" s="32"/>
      <c r="K1766" s="32"/>
      <c r="L1766" s="32"/>
      <c r="M1766" s="32"/>
      <c r="N1766" s="32"/>
      <c r="O1766" s="32"/>
      <c r="P1766" s="32"/>
      <c r="Q1766" s="32"/>
    </row>
    <row r="1767" spans="9:17" x14ac:dyDescent="0.4">
      <c r="I1767" s="46"/>
      <c r="J1767" s="32"/>
      <c r="K1767" s="32"/>
      <c r="L1767" s="32"/>
      <c r="M1767" s="32"/>
      <c r="N1767" s="32"/>
      <c r="O1767" s="32"/>
      <c r="P1767" s="32"/>
      <c r="Q1767" s="32"/>
    </row>
    <row r="1768" spans="9:17" x14ac:dyDescent="0.4">
      <c r="I1768" s="46"/>
      <c r="J1768" s="32"/>
      <c r="K1768" s="32"/>
      <c r="L1768" s="32"/>
      <c r="M1768" s="32"/>
      <c r="N1768" s="32"/>
      <c r="O1768" s="32"/>
      <c r="P1768" s="32"/>
      <c r="Q1768" s="32"/>
    </row>
    <row r="1769" spans="9:17" x14ac:dyDescent="0.4">
      <c r="I1769" s="46"/>
      <c r="J1769" s="32"/>
      <c r="K1769" s="32"/>
      <c r="L1769" s="32"/>
      <c r="M1769" s="32"/>
      <c r="N1769" s="32"/>
      <c r="O1769" s="32"/>
      <c r="P1769" s="32"/>
      <c r="Q1769" s="32"/>
    </row>
    <row r="1770" spans="9:17" x14ac:dyDescent="0.4">
      <c r="I1770" s="46"/>
      <c r="J1770" s="32"/>
      <c r="K1770" s="32"/>
      <c r="L1770" s="32"/>
      <c r="M1770" s="32"/>
      <c r="N1770" s="32"/>
      <c r="O1770" s="32"/>
      <c r="P1770" s="32"/>
      <c r="Q1770" s="32"/>
    </row>
    <row r="1771" spans="9:17" x14ac:dyDescent="0.4">
      <c r="I1771" s="46"/>
      <c r="J1771" s="32"/>
      <c r="K1771" s="32"/>
      <c r="L1771" s="32"/>
      <c r="M1771" s="32"/>
      <c r="N1771" s="32"/>
      <c r="O1771" s="32"/>
      <c r="P1771" s="32"/>
      <c r="Q1771" s="32"/>
    </row>
    <row r="1772" spans="9:17" x14ac:dyDescent="0.4">
      <c r="I1772" s="46"/>
      <c r="J1772" s="32"/>
      <c r="K1772" s="32"/>
      <c r="L1772" s="32"/>
      <c r="M1772" s="32"/>
      <c r="N1772" s="32"/>
      <c r="O1772" s="32"/>
      <c r="P1772" s="32"/>
      <c r="Q1772" s="32"/>
    </row>
    <row r="1773" spans="9:17" x14ac:dyDescent="0.4">
      <c r="I1773" s="46"/>
      <c r="J1773" s="32"/>
      <c r="K1773" s="32"/>
      <c r="L1773" s="32"/>
      <c r="M1773" s="32"/>
      <c r="N1773" s="32"/>
      <c r="O1773" s="32"/>
      <c r="P1773" s="32"/>
      <c r="Q1773" s="32"/>
    </row>
    <row r="1774" spans="9:17" x14ac:dyDescent="0.4">
      <c r="I1774" s="46"/>
      <c r="J1774" s="32"/>
      <c r="K1774" s="32"/>
      <c r="L1774" s="32"/>
      <c r="M1774" s="32"/>
      <c r="N1774" s="32"/>
      <c r="O1774" s="32"/>
      <c r="P1774" s="32"/>
      <c r="Q1774" s="32"/>
    </row>
    <row r="1775" spans="9:17" x14ac:dyDescent="0.4">
      <c r="I1775" s="46"/>
      <c r="J1775" s="32"/>
      <c r="K1775" s="32"/>
      <c r="L1775" s="32"/>
      <c r="M1775" s="32"/>
      <c r="N1775" s="32"/>
      <c r="O1775" s="32"/>
      <c r="P1775" s="32"/>
      <c r="Q1775" s="32"/>
    </row>
    <row r="1776" spans="9:17" x14ac:dyDescent="0.4">
      <c r="I1776" s="46"/>
      <c r="J1776" s="32"/>
      <c r="K1776" s="32"/>
      <c r="L1776" s="32"/>
      <c r="M1776" s="32"/>
      <c r="N1776" s="32"/>
      <c r="O1776" s="32"/>
      <c r="P1776" s="32"/>
      <c r="Q1776" s="32"/>
    </row>
    <row r="1777" spans="9:17" x14ac:dyDescent="0.4">
      <c r="I1777" s="46"/>
      <c r="J1777" s="32"/>
      <c r="K1777" s="32"/>
      <c r="L1777" s="32"/>
      <c r="M1777" s="32"/>
      <c r="N1777" s="32"/>
      <c r="O1777" s="32"/>
      <c r="P1777" s="32"/>
      <c r="Q1777" s="32"/>
    </row>
    <row r="1778" spans="9:17" x14ac:dyDescent="0.4">
      <c r="I1778" s="46"/>
      <c r="J1778" s="32"/>
      <c r="K1778" s="32"/>
      <c r="L1778" s="32"/>
      <c r="M1778" s="32"/>
      <c r="N1778" s="32"/>
      <c r="O1778" s="32"/>
      <c r="P1778" s="32"/>
      <c r="Q1778" s="32"/>
    </row>
    <row r="1779" spans="9:17" x14ac:dyDescent="0.4">
      <c r="I1779" s="46"/>
      <c r="J1779" s="32"/>
      <c r="K1779" s="32"/>
      <c r="L1779" s="32"/>
      <c r="M1779" s="32"/>
      <c r="N1779" s="32"/>
      <c r="O1779" s="32"/>
      <c r="P1779" s="32"/>
      <c r="Q1779" s="32"/>
    </row>
    <row r="1780" spans="9:17" x14ac:dyDescent="0.4">
      <c r="I1780" s="46"/>
      <c r="J1780" s="32"/>
      <c r="K1780" s="32"/>
      <c r="L1780" s="32"/>
      <c r="M1780" s="32"/>
      <c r="N1780" s="32"/>
      <c r="O1780" s="32"/>
      <c r="P1780" s="32"/>
      <c r="Q1780" s="32"/>
    </row>
    <row r="1781" spans="9:17" x14ac:dyDescent="0.4">
      <c r="I1781" s="46"/>
      <c r="J1781" s="32"/>
      <c r="K1781" s="32"/>
      <c r="L1781" s="32"/>
      <c r="M1781" s="32"/>
      <c r="N1781" s="32"/>
      <c r="O1781" s="32"/>
      <c r="P1781" s="32"/>
      <c r="Q1781" s="32"/>
    </row>
    <row r="1782" spans="9:17" x14ac:dyDescent="0.4">
      <c r="I1782" s="46"/>
      <c r="J1782" s="32"/>
      <c r="K1782" s="32"/>
      <c r="L1782" s="32"/>
      <c r="M1782" s="32"/>
      <c r="N1782" s="32"/>
      <c r="O1782" s="32"/>
      <c r="P1782" s="32"/>
      <c r="Q1782" s="32"/>
    </row>
    <row r="1783" spans="9:17" x14ac:dyDescent="0.4">
      <c r="I1783" s="46"/>
      <c r="J1783" s="32"/>
      <c r="K1783" s="32"/>
      <c r="L1783" s="32"/>
      <c r="M1783" s="32"/>
      <c r="N1783" s="32"/>
      <c r="O1783" s="32"/>
      <c r="P1783" s="32"/>
      <c r="Q1783" s="32"/>
    </row>
    <row r="1784" spans="9:17" x14ac:dyDescent="0.4">
      <c r="I1784" s="46"/>
      <c r="J1784" s="32"/>
      <c r="K1784" s="32"/>
      <c r="L1784" s="32"/>
      <c r="M1784" s="32"/>
      <c r="N1784" s="32"/>
      <c r="O1784" s="32"/>
      <c r="P1784" s="32"/>
      <c r="Q1784" s="32"/>
    </row>
    <row r="1785" spans="9:17" x14ac:dyDescent="0.4">
      <c r="I1785" s="46"/>
      <c r="J1785" s="32"/>
      <c r="K1785" s="32"/>
      <c r="L1785" s="32"/>
      <c r="M1785" s="32"/>
      <c r="N1785" s="32"/>
      <c r="O1785" s="32"/>
      <c r="P1785" s="32"/>
      <c r="Q1785" s="32"/>
    </row>
    <row r="1786" spans="9:17" x14ac:dyDescent="0.4">
      <c r="I1786" s="46"/>
      <c r="J1786" s="32"/>
      <c r="K1786" s="32"/>
      <c r="L1786" s="32"/>
      <c r="M1786" s="32"/>
      <c r="N1786" s="32"/>
      <c r="O1786" s="32"/>
      <c r="P1786" s="32"/>
      <c r="Q1786" s="32"/>
    </row>
    <row r="1787" spans="9:17" x14ac:dyDescent="0.4">
      <c r="I1787" s="46"/>
      <c r="J1787" s="32"/>
      <c r="K1787" s="32"/>
      <c r="L1787" s="32"/>
      <c r="M1787" s="32"/>
      <c r="N1787" s="32"/>
      <c r="O1787" s="32"/>
      <c r="P1787" s="32"/>
      <c r="Q1787" s="32"/>
    </row>
    <row r="1788" spans="9:17" x14ac:dyDescent="0.4">
      <c r="I1788" s="46"/>
      <c r="J1788" s="32"/>
      <c r="K1788" s="32"/>
      <c r="L1788" s="32"/>
      <c r="M1788" s="32"/>
      <c r="N1788" s="32"/>
      <c r="O1788" s="32"/>
      <c r="P1788" s="32"/>
      <c r="Q1788" s="32"/>
    </row>
    <row r="1789" spans="9:17" x14ac:dyDescent="0.4">
      <c r="I1789" s="46"/>
      <c r="J1789" s="32"/>
      <c r="K1789" s="32"/>
      <c r="L1789" s="32"/>
      <c r="M1789" s="32"/>
      <c r="N1789" s="32"/>
      <c r="O1789" s="32"/>
      <c r="P1789" s="32"/>
      <c r="Q1789" s="32"/>
    </row>
    <row r="1790" spans="9:17" x14ac:dyDescent="0.4">
      <c r="I1790" s="46"/>
      <c r="J1790" s="32"/>
      <c r="K1790" s="32"/>
      <c r="L1790" s="32"/>
      <c r="M1790" s="32"/>
      <c r="N1790" s="32"/>
      <c r="O1790" s="32"/>
      <c r="P1790" s="32"/>
      <c r="Q1790" s="32"/>
    </row>
    <row r="1791" spans="9:17" x14ac:dyDescent="0.4">
      <c r="I1791" s="46"/>
      <c r="J1791" s="32"/>
      <c r="K1791" s="32"/>
      <c r="L1791" s="32"/>
      <c r="M1791" s="32"/>
      <c r="N1791" s="32"/>
      <c r="O1791" s="32"/>
      <c r="P1791" s="32"/>
      <c r="Q1791" s="32"/>
    </row>
    <row r="1792" spans="9:17" x14ac:dyDescent="0.4">
      <c r="I1792" s="46"/>
      <c r="J1792" s="32"/>
      <c r="K1792" s="32"/>
      <c r="L1792" s="32"/>
      <c r="M1792" s="32"/>
      <c r="N1792" s="32"/>
      <c r="O1792" s="32"/>
      <c r="P1792" s="32"/>
      <c r="Q1792" s="32"/>
    </row>
    <row r="1793" spans="9:17" x14ac:dyDescent="0.4">
      <c r="I1793" s="46"/>
      <c r="J1793" s="32"/>
      <c r="K1793" s="32"/>
      <c r="L1793" s="32"/>
      <c r="M1793" s="32"/>
      <c r="N1793" s="32"/>
      <c r="O1793" s="32"/>
      <c r="P1793" s="32"/>
      <c r="Q1793" s="32"/>
    </row>
    <row r="1794" spans="9:17" x14ac:dyDescent="0.4">
      <c r="I1794" s="46"/>
      <c r="J1794" s="32"/>
      <c r="K1794" s="32"/>
      <c r="L1794" s="32"/>
      <c r="M1794" s="32"/>
      <c r="N1794" s="32"/>
      <c r="O1794" s="32"/>
      <c r="P1794" s="32"/>
      <c r="Q1794" s="32"/>
    </row>
    <row r="1795" spans="9:17" x14ac:dyDescent="0.4">
      <c r="I1795" s="46"/>
      <c r="J1795" s="32"/>
      <c r="K1795" s="32"/>
      <c r="L1795" s="32"/>
      <c r="M1795" s="32"/>
      <c r="N1795" s="32"/>
      <c r="O1795" s="32"/>
      <c r="P1795" s="32"/>
      <c r="Q1795" s="32"/>
    </row>
    <row r="1796" spans="9:17" x14ac:dyDescent="0.4">
      <c r="I1796" s="46"/>
      <c r="J1796" s="32"/>
      <c r="K1796" s="32"/>
      <c r="L1796" s="32"/>
      <c r="M1796" s="32"/>
      <c r="N1796" s="32"/>
      <c r="O1796" s="32"/>
      <c r="P1796" s="32"/>
      <c r="Q1796" s="32"/>
    </row>
    <row r="1797" spans="9:17" x14ac:dyDescent="0.4">
      <c r="I1797" s="46"/>
      <c r="J1797" s="32"/>
      <c r="K1797" s="32"/>
      <c r="L1797" s="32"/>
      <c r="M1797" s="32"/>
      <c r="N1797" s="32"/>
      <c r="O1797" s="32"/>
      <c r="P1797" s="32"/>
      <c r="Q1797" s="32"/>
    </row>
    <row r="1798" spans="9:17" x14ac:dyDescent="0.4">
      <c r="I1798" s="46"/>
      <c r="J1798" s="32"/>
      <c r="K1798" s="32"/>
      <c r="L1798" s="32"/>
      <c r="M1798" s="32"/>
      <c r="N1798" s="32"/>
      <c r="O1798" s="32"/>
      <c r="P1798" s="32"/>
      <c r="Q1798" s="32"/>
    </row>
    <row r="1799" spans="9:17" x14ac:dyDescent="0.4">
      <c r="I1799" s="46"/>
      <c r="J1799" s="32"/>
      <c r="K1799" s="32"/>
      <c r="L1799" s="32"/>
      <c r="M1799" s="32"/>
      <c r="N1799" s="32"/>
      <c r="O1799" s="32"/>
      <c r="P1799" s="32"/>
      <c r="Q1799" s="32"/>
    </row>
    <row r="1800" spans="9:17" x14ac:dyDescent="0.4">
      <c r="I1800" s="46"/>
      <c r="J1800" s="32"/>
      <c r="K1800" s="32"/>
      <c r="L1800" s="32"/>
      <c r="M1800" s="32"/>
      <c r="N1800" s="32"/>
      <c r="O1800" s="32"/>
      <c r="P1800" s="32"/>
      <c r="Q1800" s="32"/>
    </row>
    <row r="1801" spans="9:17" x14ac:dyDescent="0.4">
      <c r="I1801" s="46"/>
      <c r="J1801" s="32"/>
      <c r="K1801" s="32"/>
      <c r="L1801" s="32"/>
      <c r="M1801" s="32"/>
      <c r="N1801" s="32"/>
      <c r="O1801" s="32"/>
      <c r="P1801" s="32"/>
      <c r="Q1801" s="32"/>
    </row>
    <row r="1802" spans="9:17" x14ac:dyDescent="0.4">
      <c r="I1802" s="46"/>
      <c r="J1802" s="32"/>
      <c r="K1802" s="32"/>
      <c r="L1802" s="32"/>
      <c r="M1802" s="32"/>
      <c r="N1802" s="32"/>
      <c r="O1802" s="32"/>
      <c r="P1802" s="32"/>
      <c r="Q1802" s="32"/>
    </row>
    <row r="1803" spans="9:17" x14ac:dyDescent="0.4">
      <c r="I1803" s="46"/>
      <c r="J1803" s="32"/>
      <c r="K1803" s="32"/>
      <c r="L1803" s="32"/>
      <c r="M1803" s="32"/>
      <c r="N1803" s="32"/>
      <c r="O1803" s="32"/>
      <c r="P1803" s="32"/>
      <c r="Q1803" s="32"/>
    </row>
    <row r="1804" spans="9:17" x14ac:dyDescent="0.4">
      <c r="I1804" s="46"/>
      <c r="J1804" s="32"/>
      <c r="K1804" s="32"/>
      <c r="L1804" s="32"/>
      <c r="M1804" s="32"/>
      <c r="N1804" s="32"/>
      <c r="O1804" s="32"/>
      <c r="P1804" s="32"/>
      <c r="Q1804" s="32"/>
    </row>
    <row r="1805" spans="9:17" x14ac:dyDescent="0.4">
      <c r="I1805" s="46"/>
      <c r="J1805" s="32"/>
      <c r="K1805" s="32"/>
      <c r="L1805" s="32"/>
      <c r="M1805" s="32"/>
      <c r="N1805" s="32"/>
      <c r="O1805" s="32"/>
      <c r="P1805" s="32"/>
      <c r="Q1805" s="32"/>
    </row>
    <row r="1806" spans="9:17" x14ac:dyDescent="0.4">
      <c r="I1806" s="46"/>
      <c r="J1806" s="32"/>
      <c r="K1806" s="32"/>
      <c r="L1806" s="32"/>
      <c r="M1806" s="32"/>
      <c r="N1806" s="32"/>
      <c r="O1806" s="32"/>
      <c r="P1806" s="32"/>
      <c r="Q1806" s="32"/>
    </row>
    <row r="1807" spans="9:17" x14ac:dyDescent="0.4">
      <c r="I1807" s="46"/>
      <c r="J1807" s="32"/>
      <c r="K1807" s="32"/>
      <c r="L1807" s="32"/>
      <c r="M1807" s="32"/>
      <c r="N1807" s="32"/>
      <c r="O1807" s="32"/>
      <c r="P1807" s="32"/>
      <c r="Q1807" s="32"/>
    </row>
    <row r="1808" spans="9:17" x14ac:dyDescent="0.4">
      <c r="I1808" s="46"/>
      <c r="J1808" s="32"/>
      <c r="K1808" s="32"/>
      <c r="L1808" s="32"/>
      <c r="M1808" s="32"/>
      <c r="N1808" s="32"/>
      <c r="O1808" s="32"/>
      <c r="P1808" s="32"/>
      <c r="Q1808" s="32"/>
    </row>
    <row r="1809" spans="9:17" x14ac:dyDescent="0.4">
      <c r="I1809" s="46"/>
      <c r="J1809" s="32"/>
      <c r="K1809" s="32"/>
      <c r="L1809" s="32"/>
      <c r="M1809" s="32"/>
      <c r="N1809" s="32"/>
      <c r="O1809" s="32"/>
      <c r="P1809" s="32"/>
      <c r="Q1809" s="32"/>
    </row>
    <row r="1810" spans="9:17" x14ac:dyDescent="0.4">
      <c r="I1810" s="46"/>
      <c r="J1810" s="32"/>
      <c r="K1810" s="32"/>
      <c r="L1810" s="32"/>
      <c r="M1810" s="32"/>
      <c r="N1810" s="32"/>
      <c r="O1810" s="32"/>
      <c r="P1810" s="32"/>
      <c r="Q1810" s="32"/>
    </row>
    <row r="1811" spans="9:17" x14ac:dyDescent="0.4">
      <c r="I1811" s="46"/>
      <c r="J1811" s="32"/>
      <c r="K1811" s="32"/>
      <c r="L1811" s="32"/>
      <c r="M1811" s="32"/>
      <c r="N1811" s="32"/>
      <c r="O1811" s="32"/>
      <c r="P1811" s="32"/>
      <c r="Q1811" s="32"/>
    </row>
    <row r="1812" spans="9:17" x14ac:dyDescent="0.4">
      <c r="I1812" s="46"/>
      <c r="J1812" s="32"/>
      <c r="K1812" s="32"/>
      <c r="L1812" s="32"/>
      <c r="M1812" s="32"/>
      <c r="N1812" s="32"/>
      <c r="O1812" s="32"/>
      <c r="P1812" s="32"/>
      <c r="Q1812" s="32"/>
    </row>
    <row r="1813" spans="9:17" x14ac:dyDescent="0.4">
      <c r="I1813" s="46"/>
      <c r="J1813" s="32"/>
      <c r="K1813" s="32"/>
      <c r="L1813" s="32"/>
      <c r="M1813" s="32"/>
      <c r="N1813" s="32"/>
      <c r="O1813" s="32"/>
      <c r="P1813" s="32"/>
      <c r="Q1813" s="32"/>
    </row>
    <row r="1814" spans="9:17" x14ac:dyDescent="0.4">
      <c r="I1814" s="46"/>
      <c r="J1814" s="32"/>
      <c r="K1814" s="32"/>
      <c r="L1814" s="32"/>
      <c r="M1814" s="32"/>
      <c r="N1814" s="32"/>
      <c r="O1814" s="32"/>
      <c r="P1814" s="32"/>
      <c r="Q1814" s="32"/>
    </row>
    <row r="1815" spans="9:17" x14ac:dyDescent="0.4">
      <c r="I1815" s="46"/>
      <c r="J1815" s="32"/>
      <c r="K1815" s="32"/>
      <c r="L1815" s="32"/>
      <c r="M1815" s="32"/>
      <c r="N1815" s="32"/>
      <c r="O1815" s="32"/>
      <c r="P1815" s="32"/>
      <c r="Q1815" s="32"/>
    </row>
    <row r="1816" spans="9:17" x14ac:dyDescent="0.4">
      <c r="I1816" s="46"/>
      <c r="J1816" s="32"/>
      <c r="K1816" s="32"/>
      <c r="L1816" s="32"/>
      <c r="M1816" s="32"/>
      <c r="N1816" s="32"/>
      <c r="O1816" s="32"/>
      <c r="P1816" s="32"/>
      <c r="Q1816" s="32"/>
    </row>
    <row r="1817" spans="9:17" x14ac:dyDescent="0.4">
      <c r="I1817" s="46"/>
      <c r="J1817" s="32"/>
      <c r="K1817" s="32"/>
      <c r="L1817" s="32"/>
      <c r="M1817" s="32"/>
      <c r="N1817" s="32"/>
      <c r="O1817" s="32"/>
      <c r="P1817" s="32"/>
      <c r="Q1817" s="32"/>
    </row>
    <row r="1818" spans="9:17" x14ac:dyDescent="0.4">
      <c r="I1818" s="46"/>
      <c r="J1818" s="32"/>
      <c r="K1818" s="32"/>
      <c r="L1818" s="32"/>
      <c r="M1818" s="32"/>
      <c r="N1818" s="32"/>
      <c r="O1818" s="32"/>
      <c r="P1818" s="32"/>
      <c r="Q1818" s="32"/>
    </row>
    <row r="1819" spans="9:17" x14ac:dyDescent="0.4">
      <c r="I1819" s="46"/>
      <c r="J1819" s="32"/>
      <c r="K1819" s="32"/>
      <c r="L1819" s="32"/>
      <c r="M1819" s="32"/>
      <c r="N1819" s="32"/>
      <c r="O1819" s="32"/>
      <c r="P1819" s="32"/>
      <c r="Q1819" s="32"/>
    </row>
    <row r="1820" spans="9:17" x14ac:dyDescent="0.4">
      <c r="I1820" s="46"/>
      <c r="J1820" s="32"/>
      <c r="K1820" s="32"/>
      <c r="L1820" s="32"/>
      <c r="M1820" s="32"/>
      <c r="N1820" s="32"/>
      <c r="O1820" s="32"/>
      <c r="P1820" s="32"/>
      <c r="Q1820" s="32"/>
    </row>
    <row r="1821" spans="9:17" x14ac:dyDescent="0.4">
      <c r="I1821" s="46"/>
      <c r="J1821" s="32"/>
      <c r="K1821" s="32"/>
      <c r="L1821" s="32"/>
      <c r="M1821" s="32"/>
      <c r="N1821" s="32"/>
      <c r="O1821" s="32"/>
      <c r="P1821" s="32"/>
      <c r="Q1821" s="32"/>
    </row>
    <row r="1822" spans="9:17" x14ac:dyDescent="0.4">
      <c r="I1822" s="46"/>
      <c r="J1822" s="32"/>
      <c r="K1822" s="32"/>
      <c r="L1822" s="32"/>
      <c r="M1822" s="32"/>
      <c r="N1822" s="32"/>
      <c r="O1822" s="32"/>
      <c r="P1822" s="32"/>
      <c r="Q1822" s="32"/>
    </row>
    <row r="1823" spans="9:17" x14ac:dyDescent="0.4">
      <c r="I1823" s="46"/>
      <c r="J1823" s="32"/>
      <c r="K1823" s="32"/>
      <c r="L1823" s="32"/>
      <c r="M1823" s="32"/>
      <c r="N1823" s="32"/>
      <c r="O1823" s="32"/>
      <c r="P1823" s="32"/>
      <c r="Q1823" s="32"/>
    </row>
    <row r="1824" spans="9:17" x14ac:dyDescent="0.4">
      <c r="I1824" s="46"/>
      <c r="J1824" s="32"/>
      <c r="K1824" s="32"/>
      <c r="L1824" s="32"/>
      <c r="M1824" s="32"/>
      <c r="N1824" s="32"/>
      <c r="O1824" s="32"/>
      <c r="P1824" s="32"/>
      <c r="Q1824" s="32"/>
    </row>
    <row r="1825" spans="9:17" x14ac:dyDescent="0.4">
      <c r="I1825" s="46"/>
      <c r="J1825" s="32"/>
      <c r="K1825" s="32"/>
      <c r="L1825" s="32"/>
      <c r="M1825" s="32"/>
      <c r="N1825" s="32"/>
      <c r="O1825" s="32"/>
      <c r="P1825" s="32"/>
      <c r="Q1825" s="32"/>
    </row>
    <row r="1826" spans="9:17" x14ac:dyDescent="0.4">
      <c r="I1826" s="46"/>
      <c r="J1826" s="32"/>
      <c r="K1826" s="32"/>
      <c r="L1826" s="32"/>
      <c r="M1826" s="32"/>
      <c r="N1826" s="32"/>
      <c r="O1826" s="32"/>
      <c r="P1826" s="32"/>
      <c r="Q1826" s="32"/>
    </row>
    <row r="1827" spans="9:17" x14ac:dyDescent="0.4">
      <c r="I1827" s="46"/>
      <c r="J1827" s="32"/>
      <c r="K1827" s="32"/>
      <c r="L1827" s="32"/>
      <c r="M1827" s="32"/>
      <c r="N1827" s="32"/>
      <c r="O1827" s="32"/>
      <c r="P1827" s="32"/>
      <c r="Q1827" s="32"/>
    </row>
    <row r="1828" spans="9:17" x14ac:dyDescent="0.4">
      <c r="I1828" s="46"/>
      <c r="J1828" s="32"/>
      <c r="K1828" s="32"/>
      <c r="L1828" s="32"/>
      <c r="M1828" s="32"/>
      <c r="N1828" s="32"/>
      <c r="O1828" s="32"/>
      <c r="P1828" s="32"/>
      <c r="Q1828" s="32"/>
    </row>
    <row r="1829" spans="9:17" x14ac:dyDescent="0.4">
      <c r="I1829" s="46"/>
      <c r="J1829" s="32"/>
      <c r="K1829" s="32"/>
      <c r="L1829" s="32"/>
      <c r="M1829" s="32"/>
      <c r="N1829" s="32"/>
      <c r="O1829" s="32"/>
      <c r="P1829" s="32"/>
      <c r="Q1829" s="32"/>
    </row>
    <row r="1830" spans="9:17" x14ac:dyDescent="0.4">
      <c r="I1830" s="46"/>
      <c r="J1830" s="32"/>
      <c r="K1830" s="32"/>
      <c r="L1830" s="32"/>
      <c r="M1830" s="32"/>
      <c r="N1830" s="32"/>
      <c r="O1830" s="32"/>
      <c r="P1830" s="32"/>
      <c r="Q1830" s="32"/>
    </row>
    <row r="1831" spans="9:17" x14ac:dyDescent="0.4">
      <c r="I1831" s="46"/>
      <c r="J1831" s="32"/>
      <c r="K1831" s="32"/>
      <c r="L1831" s="32"/>
      <c r="M1831" s="32"/>
      <c r="N1831" s="32"/>
      <c r="O1831" s="32"/>
      <c r="P1831" s="32"/>
      <c r="Q1831" s="32"/>
    </row>
    <row r="1832" spans="9:17" x14ac:dyDescent="0.4">
      <c r="I1832" s="46"/>
      <c r="J1832" s="32"/>
      <c r="K1832" s="32"/>
      <c r="L1832" s="32"/>
      <c r="M1832" s="32"/>
      <c r="N1832" s="32"/>
      <c r="O1832" s="32"/>
      <c r="P1832" s="32"/>
      <c r="Q1832" s="32"/>
    </row>
    <row r="1833" spans="9:17" x14ac:dyDescent="0.4">
      <c r="I1833" s="46"/>
      <c r="J1833" s="32"/>
      <c r="K1833" s="32"/>
      <c r="L1833" s="32"/>
      <c r="M1833" s="32"/>
      <c r="N1833" s="32"/>
      <c r="O1833" s="32"/>
      <c r="P1833" s="32"/>
      <c r="Q1833" s="32"/>
    </row>
    <row r="1834" spans="9:17" x14ac:dyDescent="0.4">
      <c r="I1834" s="46"/>
      <c r="J1834" s="32"/>
      <c r="K1834" s="32"/>
      <c r="L1834" s="32"/>
      <c r="M1834" s="32"/>
      <c r="N1834" s="32"/>
      <c r="O1834" s="32"/>
      <c r="P1834" s="32"/>
      <c r="Q1834" s="32"/>
    </row>
    <row r="1835" spans="9:17" x14ac:dyDescent="0.4">
      <c r="I1835" s="46"/>
      <c r="J1835" s="32"/>
      <c r="K1835" s="32"/>
      <c r="L1835" s="32"/>
      <c r="M1835" s="32"/>
      <c r="N1835" s="32"/>
      <c r="O1835" s="32"/>
      <c r="P1835" s="32"/>
      <c r="Q1835" s="32"/>
    </row>
    <row r="1836" spans="9:17" x14ac:dyDescent="0.4">
      <c r="I1836" s="46"/>
      <c r="J1836" s="32"/>
      <c r="K1836" s="32"/>
      <c r="L1836" s="32"/>
      <c r="M1836" s="32"/>
      <c r="N1836" s="32"/>
      <c r="O1836" s="32"/>
      <c r="P1836" s="32"/>
      <c r="Q1836" s="32"/>
    </row>
    <row r="1837" spans="9:17" x14ac:dyDescent="0.4">
      <c r="I1837" s="46"/>
      <c r="J1837" s="32"/>
      <c r="K1837" s="32"/>
      <c r="L1837" s="32"/>
      <c r="M1837" s="32"/>
      <c r="N1837" s="32"/>
      <c r="O1837" s="32"/>
      <c r="P1837" s="32"/>
      <c r="Q1837" s="32"/>
    </row>
    <row r="1838" spans="9:17" x14ac:dyDescent="0.4">
      <c r="I1838" s="46"/>
      <c r="J1838" s="32"/>
      <c r="K1838" s="32"/>
      <c r="L1838" s="32"/>
      <c r="M1838" s="32"/>
      <c r="N1838" s="32"/>
      <c r="O1838" s="32"/>
      <c r="P1838" s="32"/>
      <c r="Q1838" s="32"/>
    </row>
    <row r="1839" spans="9:17" x14ac:dyDescent="0.4">
      <c r="I1839" s="46"/>
      <c r="J1839" s="32"/>
      <c r="K1839" s="32"/>
      <c r="L1839" s="32"/>
      <c r="M1839" s="32"/>
      <c r="N1839" s="32"/>
      <c r="O1839" s="32"/>
      <c r="P1839" s="32"/>
      <c r="Q1839" s="32"/>
    </row>
    <row r="1840" spans="9:17" x14ac:dyDescent="0.4">
      <c r="I1840" s="46"/>
      <c r="J1840" s="32"/>
      <c r="K1840" s="32"/>
      <c r="L1840" s="32"/>
      <c r="M1840" s="32"/>
      <c r="N1840" s="32"/>
      <c r="O1840" s="32"/>
      <c r="P1840" s="32"/>
      <c r="Q1840" s="32"/>
    </row>
    <row r="1841" spans="9:17" x14ac:dyDescent="0.4">
      <c r="I1841" s="46"/>
      <c r="J1841" s="32"/>
      <c r="K1841" s="32"/>
      <c r="L1841" s="32"/>
      <c r="M1841" s="32"/>
      <c r="N1841" s="32"/>
      <c r="O1841" s="32"/>
      <c r="P1841" s="32"/>
      <c r="Q1841" s="32"/>
    </row>
    <row r="1842" spans="9:17" x14ac:dyDescent="0.4">
      <c r="I1842" s="46"/>
      <c r="J1842" s="32"/>
      <c r="K1842" s="32"/>
      <c r="L1842" s="32"/>
      <c r="M1842" s="32"/>
      <c r="N1842" s="32"/>
      <c r="O1842" s="32"/>
      <c r="P1842" s="32"/>
      <c r="Q1842" s="32"/>
    </row>
    <row r="1843" spans="9:17" x14ac:dyDescent="0.4">
      <c r="I1843" s="46"/>
      <c r="J1843" s="32"/>
      <c r="K1843" s="32"/>
      <c r="L1843" s="32"/>
      <c r="M1843" s="32"/>
      <c r="N1843" s="32"/>
      <c r="O1843" s="32"/>
      <c r="P1843" s="32"/>
      <c r="Q1843" s="32"/>
    </row>
    <row r="1844" spans="9:17" x14ac:dyDescent="0.4">
      <c r="I1844" s="46"/>
      <c r="J1844" s="32"/>
      <c r="K1844" s="32"/>
      <c r="L1844" s="32"/>
      <c r="M1844" s="32"/>
      <c r="N1844" s="32"/>
      <c r="O1844" s="32"/>
      <c r="P1844" s="32"/>
      <c r="Q1844" s="32"/>
    </row>
    <row r="1845" spans="9:17" x14ac:dyDescent="0.4">
      <c r="I1845" s="46"/>
      <c r="J1845" s="32"/>
      <c r="K1845" s="32"/>
      <c r="L1845" s="32"/>
      <c r="M1845" s="32"/>
      <c r="N1845" s="32"/>
      <c r="O1845" s="32"/>
      <c r="P1845" s="32"/>
      <c r="Q1845" s="32"/>
    </row>
    <row r="1846" spans="9:17" x14ac:dyDescent="0.4">
      <c r="I1846" s="46"/>
      <c r="J1846" s="32"/>
      <c r="K1846" s="32"/>
      <c r="L1846" s="32"/>
      <c r="M1846" s="32"/>
      <c r="N1846" s="32"/>
      <c r="O1846" s="32"/>
      <c r="P1846" s="32"/>
      <c r="Q1846" s="32"/>
    </row>
    <row r="1847" spans="9:17" x14ac:dyDescent="0.4">
      <c r="I1847" s="46"/>
      <c r="J1847" s="32"/>
      <c r="K1847" s="32"/>
      <c r="L1847" s="32"/>
      <c r="M1847" s="32"/>
      <c r="N1847" s="32"/>
      <c r="O1847" s="32"/>
      <c r="P1847" s="32"/>
      <c r="Q1847" s="32"/>
    </row>
    <row r="1848" spans="9:17" x14ac:dyDescent="0.4">
      <c r="I1848" s="46"/>
      <c r="J1848" s="32"/>
      <c r="K1848" s="32"/>
      <c r="L1848" s="32"/>
      <c r="M1848" s="32"/>
      <c r="N1848" s="32"/>
      <c r="O1848" s="32"/>
      <c r="P1848" s="32"/>
      <c r="Q1848" s="32"/>
    </row>
    <row r="1849" spans="9:17" x14ac:dyDescent="0.4">
      <c r="I1849" s="46"/>
      <c r="J1849" s="32"/>
      <c r="K1849" s="32"/>
      <c r="L1849" s="32"/>
      <c r="M1849" s="32"/>
      <c r="N1849" s="32"/>
      <c r="O1849" s="32"/>
      <c r="P1849" s="32"/>
      <c r="Q1849" s="32"/>
    </row>
    <row r="1850" spans="9:17" x14ac:dyDescent="0.4">
      <c r="I1850" s="46"/>
      <c r="J1850" s="32"/>
      <c r="K1850" s="32"/>
      <c r="L1850" s="32"/>
      <c r="M1850" s="32"/>
      <c r="N1850" s="32"/>
      <c r="O1850" s="32"/>
      <c r="P1850" s="32"/>
      <c r="Q1850" s="32"/>
    </row>
    <row r="1851" spans="9:17" x14ac:dyDescent="0.4">
      <c r="I1851" s="46"/>
      <c r="J1851" s="32"/>
      <c r="K1851" s="32"/>
      <c r="L1851" s="32"/>
      <c r="M1851" s="32"/>
      <c r="N1851" s="32"/>
      <c r="O1851" s="32"/>
      <c r="P1851" s="32"/>
      <c r="Q1851" s="32"/>
    </row>
    <row r="1852" spans="9:17" x14ac:dyDescent="0.4">
      <c r="I1852" s="46"/>
      <c r="J1852" s="32"/>
      <c r="K1852" s="32"/>
      <c r="L1852" s="32"/>
      <c r="M1852" s="32"/>
      <c r="N1852" s="32"/>
      <c r="O1852" s="32"/>
      <c r="P1852" s="32"/>
      <c r="Q1852" s="32"/>
    </row>
    <row r="1853" spans="9:17" x14ac:dyDescent="0.4">
      <c r="I1853" s="46"/>
      <c r="J1853" s="32"/>
      <c r="K1853" s="32"/>
      <c r="L1853" s="32"/>
      <c r="M1853" s="32"/>
      <c r="N1853" s="32"/>
      <c r="O1853" s="32"/>
      <c r="P1853" s="32"/>
      <c r="Q1853" s="32"/>
    </row>
    <row r="1854" spans="9:17" x14ac:dyDescent="0.4">
      <c r="I1854" s="46"/>
      <c r="J1854" s="32"/>
      <c r="K1854" s="32"/>
      <c r="L1854" s="32"/>
      <c r="M1854" s="32"/>
      <c r="N1854" s="32"/>
      <c r="O1854" s="32"/>
      <c r="P1854" s="32"/>
      <c r="Q1854" s="32"/>
    </row>
    <row r="1855" spans="9:17" x14ac:dyDescent="0.4">
      <c r="I1855" s="46"/>
      <c r="J1855" s="32"/>
      <c r="K1855" s="32"/>
      <c r="L1855" s="32"/>
      <c r="M1855" s="32"/>
      <c r="N1855" s="32"/>
      <c r="O1855" s="32"/>
      <c r="P1855" s="32"/>
      <c r="Q1855" s="32"/>
    </row>
    <row r="1856" spans="9:17" x14ac:dyDescent="0.4">
      <c r="I1856" s="46"/>
      <c r="J1856" s="32"/>
      <c r="K1856" s="32"/>
      <c r="L1856" s="32"/>
      <c r="M1856" s="32"/>
      <c r="N1856" s="32"/>
      <c r="O1856" s="32"/>
      <c r="P1856" s="32"/>
      <c r="Q1856" s="32"/>
    </row>
    <row r="1857" spans="9:17" x14ac:dyDescent="0.4">
      <c r="I1857" s="46"/>
      <c r="J1857" s="32"/>
      <c r="K1857" s="32"/>
      <c r="L1857" s="32"/>
      <c r="M1857" s="32"/>
      <c r="N1857" s="32"/>
      <c r="O1857" s="32"/>
      <c r="P1857" s="32"/>
      <c r="Q1857" s="32"/>
    </row>
    <row r="1858" spans="9:17" x14ac:dyDescent="0.4">
      <c r="I1858" s="46"/>
      <c r="J1858" s="32"/>
      <c r="K1858" s="32"/>
      <c r="L1858" s="32"/>
      <c r="M1858" s="32"/>
      <c r="N1858" s="32"/>
      <c r="O1858" s="32"/>
      <c r="P1858" s="32"/>
      <c r="Q1858" s="32"/>
    </row>
    <row r="1859" spans="9:17" x14ac:dyDescent="0.4">
      <c r="I1859" s="46"/>
      <c r="J1859" s="32"/>
      <c r="K1859" s="32"/>
      <c r="L1859" s="32"/>
      <c r="M1859" s="32"/>
      <c r="N1859" s="32"/>
      <c r="O1859" s="32"/>
      <c r="P1859" s="32"/>
      <c r="Q1859" s="32"/>
    </row>
    <row r="1860" spans="9:17" x14ac:dyDescent="0.4">
      <c r="I1860" s="46"/>
      <c r="J1860" s="32"/>
      <c r="K1860" s="32"/>
      <c r="L1860" s="32"/>
      <c r="M1860" s="32"/>
      <c r="N1860" s="32"/>
      <c r="O1860" s="32"/>
      <c r="P1860" s="32"/>
      <c r="Q1860" s="32"/>
    </row>
    <row r="1861" spans="9:17" x14ac:dyDescent="0.4">
      <c r="I1861" s="46"/>
      <c r="J1861" s="32"/>
      <c r="K1861" s="32"/>
      <c r="L1861" s="32"/>
      <c r="M1861" s="32"/>
      <c r="N1861" s="32"/>
      <c r="O1861" s="32"/>
      <c r="P1861" s="32"/>
      <c r="Q1861" s="32"/>
    </row>
    <row r="1862" spans="9:17" x14ac:dyDescent="0.4">
      <c r="I1862" s="46"/>
      <c r="J1862" s="32"/>
      <c r="K1862" s="32"/>
      <c r="L1862" s="32"/>
      <c r="M1862" s="32"/>
      <c r="N1862" s="32"/>
      <c r="O1862" s="32"/>
      <c r="P1862" s="32"/>
      <c r="Q1862" s="32"/>
    </row>
    <row r="1863" spans="9:17" x14ac:dyDescent="0.4">
      <c r="I1863" s="46"/>
      <c r="J1863" s="32"/>
      <c r="K1863" s="32"/>
      <c r="L1863" s="32"/>
      <c r="M1863" s="32"/>
      <c r="N1863" s="32"/>
      <c r="O1863" s="32"/>
      <c r="P1863" s="32"/>
      <c r="Q1863" s="32"/>
    </row>
    <row r="1864" spans="9:17" x14ac:dyDescent="0.4">
      <c r="I1864" s="46"/>
      <c r="J1864" s="32"/>
      <c r="K1864" s="32"/>
      <c r="L1864" s="32"/>
      <c r="M1864" s="32"/>
      <c r="N1864" s="32"/>
      <c r="O1864" s="32"/>
      <c r="P1864" s="32"/>
      <c r="Q1864" s="32"/>
    </row>
    <row r="1865" spans="9:17" x14ac:dyDescent="0.4">
      <c r="I1865" s="46"/>
      <c r="J1865" s="32"/>
      <c r="K1865" s="32"/>
      <c r="L1865" s="32"/>
      <c r="M1865" s="32"/>
      <c r="N1865" s="32"/>
      <c r="O1865" s="32"/>
      <c r="P1865" s="32"/>
      <c r="Q1865" s="32"/>
    </row>
    <row r="1866" spans="9:17" x14ac:dyDescent="0.4">
      <c r="I1866" s="46"/>
      <c r="J1866" s="32"/>
      <c r="K1866" s="32"/>
      <c r="L1866" s="32"/>
      <c r="M1866" s="32"/>
      <c r="N1866" s="32"/>
      <c r="O1866" s="32"/>
      <c r="P1866" s="32"/>
      <c r="Q1866" s="32"/>
    </row>
    <row r="1867" spans="9:17" x14ac:dyDescent="0.4">
      <c r="I1867" s="46"/>
      <c r="J1867" s="32"/>
      <c r="K1867" s="32"/>
      <c r="L1867" s="32"/>
      <c r="M1867" s="32"/>
      <c r="N1867" s="32"/>
      <c r="O1867" s="32"/>
      <c r="P1867" s="32"/>
      <c r="Q1867" s="32"/>
    </row>
    <row r="1868" spans="9:17" x14ac:dyDescent="0.4">
      <c r="I1868" s="46"/>
      <c r="J1868" s="32"/>
      <c r="K1868" s="32"/>
      <c r="L1868" s="32"/>
      <c r="M1868" s="32"/>
      <c r="N1868" s="32"/>
      <c r="O1868" s="32"/>
      <c r="P1868" s="32"/>
      <c r="Q1868" s="32"/>
    </row>
    <row r="1869" spans="9:17" x14ac:dyDescent="0.4">
      <c r="I1869" s="46"/>
      <c r="J1869" s="32"/>
      <c r="K1869" s="32"/>
      <c r="L1869" s="32"/>
      <c r="M1869" s="32"/>
      <c r="N1869" s="32"/>
      <c r="O1869" s="32"/>
      <c r="P1869" s="32"/>
      <c r="Q1869" s="32"/>
    </row>
    <row r="1870" spans="9:17" x14ac:dyDescent="0.4">
      <c r="I1870" s="46"/>
      <c r="J1870" s="32"/>
      <c r="K1870" s="32"/>
      <c r="L1870" s="32"/>
      <c r="M1870" s="32"/>
      <c r="N1870" s="32"/>
      <c r="O1870" s="32"/>
      <c r="P1870" s="32"/>
      <c r="Q1870" s="32"/>
    </row>
    <row r="1871" spans="9:17" x14ac:dyDescent="0.4">
      <c r="I1871" s="46"/>
      <c r="J1871" s="32"/>
      <c r="K1871" s="32"/>
      <c r="L1871" s="32"/>
      <c r="M1871" s="32"/>
      <c r="N1871" s="32"/>
      <c r="O1871" s="32"/>
      <c r="P1871" s="32"/>
      <c r="Q1871" s="32"/>
    </row>
    <row r="1872" spans="9:17" x14ac:dyDescent="0.4">
      <c r="I1872" s="46"/>
      <c r="J1872" s="32"/>
      <c r="K1872" s="32"/>
      <c r="L1872" s="32"/>
      <c r="M1872" s="32"/>
      <c r="N1872" s="32"/>
      <c r="O1872" s="32"/>
      <c r="P1872" s="32"/>
      <c r="Q1872" s="32"/>
    </row>
    <row r="1873" spans="9:17" x14ac:dyDescent="0.4">
      <c r="I1873" s="46"/>
      <c r="J1873" s="32"/>
      <c r="K1873" s="32"/>
      <c r="L1873" s="32"/>
      <c r="M1873" s="32"/>
      <c r="N1873" s="32"/>
      <c r="O1873" s="32"/>
      <c r="P1873" s="32"/>
      <c r="Q1873" s="32"/>
    </row>
    <row r="1874" spans="9:17" x14ac:dyDescent="0.4">
      <c r="I1874" s="46"/>
      <c r="J1874" s="32"/>
      <c r="K1874" s="32"/>
      <c r="L1874" s="32"/>
      <c r="M1874" s="32"/>
      <c r="N1874" s="32"/>
      <c r="O1874" s="32"/>
      <c r="P1874" s="32"/>
      <c r="Q1874" s="32"/>
    </row>
    <row r="1875" spans="9:17" x14ac:dyDescent="0.4">
      <c r="I1875" s="46"/>
      <c r="J1875" s="32"/>
      <c r="K1875" s="32"/>
      <c r="L1875" s="32"/>
      <c r="M1875" s="32"/>
      <c r="N1875" s="32"/>
      <c r="O1875" s="32"/>
      <c r="P1875" s="32"/>
      <c r="Q1875" s="32"/>
    </row>
    <row r="1876" spans="9:17" x14ac:dyDescent="0.4">
      <c r="I1876" s="46"/>
      <c r="J1876" s="32"/>
      <c r="K1876" s="32"/>
      <c r="L1876" s="32"/>
      <c r="M1876" s="32"/>
      <c r="N1876" s="32"/>
      <c r="O1876" s="32"/>
      <c r="P1876" s="32"/>
      <c r="Q1876" s="32"/>
    </row>
    <row r="1877" spans="9:17" x14ac:dyDescent="0.4">
      <c r="I1877" s="46"/>
      <c r="J1877" s="32"/>
      <c r="K1877" s="32"/>
      <c r="L1877" s="32"/>
      <c r="M1877" s="32"/>
      <c r="N1877" s="32"/>
      <c r="O1877" s="32"/>
      <c r="P1877" s="32"/>
      <c r="Q1877" s="32"/>
    </row>
    <row r="1878" spans="9:17" x14ac:dyDescent="0.4">
      <c r="I1878" s="46"/>
      <c r="J1878" s="32"/>
      <c r="K1878" s="32"/>
      <c r="L1878" s="32"/>
      <c r="M1878" s="32"/>
      <c r="N1878" s="32"/>
      <c r="O1878" s="32"/>
      <c r="P1878" s="32"/>
      <c r="Q1878" s="32"/>
    </row>
    <row r="1879" spans="9:17" x14ac:dyDescent="0.4">
      <c r="I1879" s="46"/>
      <c r="J1879" s="32"/>
      <c r="K1879" s="32"/>
      <c r="L1879" s="32"/>
      <c r="M1879" s="32"/>
      <c r="N1879" s="32"/>
      <c r="O1879" s="32"/>
      <c r="P1879" s="32"/>
      <c r="Q1879" s="32"/>
    </row>
    <row r="1880" spans="9:17" x14ac:dyDescent="0.4">
      <c r="I1880" s="46"/>
      <c r="J1880" s="32"/>
      <c r="K1880" s="32"/>
      <c r="L1880" s="32"/>
      <c r="M1880" s="32"/>
      <c r="N1880" s="32"/>
      <c r="O1880" s="32"/>
      <c r="P1880" s="32"/>
      <c r="Q1880" s="32"/>
    </row>
    <row r="1881" spans="9:17" x14ac:dyDescent="0.4">
      <c r="I1881" s="46"/>
      <c r="J1881" s="32"/>
      <c r="K1881" s="32"/>
      <c r="L1881" s="32"/>
      <c r="M1881" s="32"/>
      <c r="N1881" s="32"/>
      <c r="O1881" s="32"/>
      <c r="P1881" s="32"/>
      <c r="Q1881" s="32"/>
    </row>
    <row r="1882" spans="9:17" x14ac:dyDescent="0.4">
      <c r="I1882" s="46"/>
      <c r="J1882" s="32"/>
      <c r="K1882" s="32"/>
      <c r="L1882" s="32"/>
      <c r="M1882" s="32"/>
      <c r="N1882" s="32"/>
      <c r="O1882" s="32"/>
      <c r="P1882" s="32"/>
      <c r="Q1882" s="32"/>
    </row>
    <row r="1883" spans="9:17" x14ac:dyDescent="0.4">
      <c r="I1883" s="46"/>
      <c r="J1883" s="32"/>
      <c r="K1883" s="32"/>
      <c r="L1883" s="32"/>
      <c r="M1883" s="32"/>
      <c r="N1883" s="32"/>
      <c r="O1883" s="32"/>
      <c r="P1883" s="32"/>
      <c r="Q1883" s="32"/>
    </row>
    <row r="1884" spans="9:17" x14ac:dyDescent="0.4">
      <c r="I1884" s="46"/>
      <c r="J1884" s="32"/>
      <c r="K1884" s="32"/>
      <c r="L1884" s="32"/>
      <c r="M1884" s="32"/>
      <c r="N1884" s="32"/>
      <c r="O1884" s="32"/>
      <c r="P1884" s="32"/>
      <c r="Q1884" s="32"/>
    </row>
    <row r="1885" spans="9:17" x14ac:dyDescent="0.4">
      <c r="I1885" s="46"/>
      <c r="J1885" s="32"/>
      <c r="K1885" s="32"/>
      <c r="L1885" s="32"/>
      <c r="M1885" s="32"/>
      <c r="N1885" s="32"/>
      <c r="O1885" s="32"/>
      <c r="P1885" s="32"/>
      <c r="Q1885" s="32"/>
    </row>
    <row r="1886" spans="9:17" x14ac:dyDescent="0.4">
      <c r="I1886" s="46"/>
      <c r="J1886" s="32"/>
      <c r="K1886" s="32"/>
      <c r="L1886" s="32"/>
      <c r="M1886" s="32"/>
      <c r="N1886" s="32"/>
      <c r="O1886" s="32"/>
      <c r="P1886" s="32"/>
      <c r="Q1886" s="32"/>
    </row>
    <row r="1887" spans="9:17" x14ac:dyDescent="0.4">
      <c r="I1887" s="46"/>
      <c r="J1887" s="32"/>
      <c r="K1887" s="32"/>
      <c r="L1887" s="32"/>
      <c r="M1887" s="32"/>
      <c r="N1887" s="32"/>
      <c r="O1887" s="32"/>
      <c r="P1887" s="32"/>
      <c r="Q1887" s="32"/>
    </row>
    <row r="1888" spans="9:17" x14ac:dyDescent="0.4">
      <c r="I1888" s="46"/>
      <c r="J1888" s="32"/>
      <c r="K1888" s="32"/>
      <c r="L1888" s="32"/>
      <c r="M1888" s="32"/>
      <c r="N1888" s="32"/>
      <c r="O1888" s="32"/>
      <c r="P1888" s="32"/>
      <c r="Q1888" s="32"/>
    </row>
    <row r="1889" spans="9:17" x14ac:dyDescent="0.4">
      <c r="I1889" s="46"/>
      <c r="J1889" s="32"/>
      <c r="K1889" s="32"/>
      <c r="L1889" s="32"/>
      <c r="M1889" s="32"/>
      <c r="N1889" s="32"/>
      <c r="O1889" s="32"/>
      <c r="P1889" s="32"/>
      <c r="Q1889" s="32"/>
    </row>
    <row r="1890" spans="9:17" x14ac:dyDescent="0.4">
      <c r="I1890" s="46"/>
      <c r="J1890" s="32"/>
      <c r="K1890" s="32"/>
      <c r="L1890" s="32"/>
      <c r="M1890" s="32"/>
      <c r="N1890" s="32"/>
      <c r="O1890" s="32"/>
      <c r="P1890" s="32"/>
      <c r="Q1890" s="32"/>
    </row>
    <row r="1891" spans="9:17" x14ac:dyDescent="0.4">
      <c r="I1891" s="46"/>
      <c r="J1891" s="32"/>
      <c r="K1891" s="32"/>
      <c r="L1891" s="32"/>
      <c r="M1891" s="32"/>
      <c r="N1891" s="32"/>
      <c r="O1891" s="32"/>
      <c r="P1891" s="32"/>
      <c r="Q1891" s="32"/>
    </row>
    <row r="1892" spans="9:17" x14ac:dyDescent="0.4">
      <c r="I1892" s="46"/>
      <c r="J1892" s="32"/>
      <c r="K1892" s="32"/>
      <c r="L1892" s="32"/>
      <c r="M1892" s="32"/>
      <c r="N1892" s="32"/>
      <c r="O1892" s="32"/>
      <c r="P1892" s="32"/>
      <c r="Q1892" s="32"/>
    </row>
    <row r="1893" spans="9:17" x14ac:dyDescent="0.4">
      <c r="I1893" s="46"/>
      <c r="J1893" s="32"/>
      <c r="K1893" s="32"/>
      <c r="L1893" s="32"/>
      <c r="M1893" s="32"/>
      <c r="N1893" s="32"/>
      <c r="O1893" s="32"/>
      <c r="P1893" s="32"/>
      <c r="Q1893" s="32"/>
    </row>
    <row r="1894" spans="9:17" x14ac:dyDescent="0.4">
      <c r="I1894" s="46"/>
      <c r="J1894" s="32"/>
      <c r="K1894" s="32"/>
      <c r="L1894" s="32"/>
      <c r="M1894" s="32"/>
      <c r="N1894" s="32"/>
      <c r="O1894" s="32"/>
      <c r="P1894" s="32"/>
      <c r="Q1894" s="32"/>
    </row>
    <row r="1895" spans="9:17" x14ac:dyDescent="0.4">
      <c r="I1895" s="46"/>
      <c r="J1895" s="32"/>
      <c r="K1895" s="32"/>
      <c r="L1895" s="32"/>
      <c r="M1895" s="32"/>
      <c r="N1895" s="32"/>
      <c r="O1895" s="32"/>
      <c r="P1895" s="32"/>
      <c r="Q1895" s="32"/>
    </row>
    <row r="1896" spans="9:17" x14ac:dyDescent="0.4">
      <c r="I1896" s="46"/>
      <c r="J1896" s="32"/>
      <c r="K1896" s="32"/>
      <c r="L1896" s="32"/>
      <c r="M1896" s="32"/>
      <c r="N1896" s="32"/>
      <c r="O1896" s="32"/>
      <c r="P1896" s="32"/>
      <c r="Q1896" s="32"/>
    </row>
    <row r="1897" spans="9:17" x14ac:dyDescent="0.4">
      <c r="I1897" s="46"/>
      <c r="J1897" s="32"/>
      <c r="K1897" s="32"/>
      <c r="L1897" s="32"/>
      <c r="M1897" s="32"/>
      <c r="N1897" s="32"/>
      <c r="O1897" s="32"/>
      <c r="P1897" s="32"/>
      <c r="Q1897" s="32"/>
    </row>
    <row r="1898" spans="9:17" x14ac:dyDescent="0.4">
      <c r="I1898" s="46"/>
      <c r="J1898" s="32"/>
      <c r="K1898" s="32"/>
      <c r="L1898" s="32"/>
      <c r="M1898" s="32"/>
      <c r="N1898" s="32"/>
      <c r="O1898" s="32"/>
      <c r="P1898" s="32"/>
      <c r="Q1898" s="32"/>
    </row>
    <row r="1899" spans="9:17" x14ac:dyDescent="0.4">
      <c r="I1899" s="46"/>
      <c r="J1899" s="32"/>
      <c r="K1899" s="32"/>
      <c r="L1899" s="32"/>
      <c r="M1899" s="32"/>
      <c r="N1899" s="32"/>
      <c r="O1899" s="32"/>
      <c r="P1899" s="32"/>
      <c r="Q1899" s="32"/>
    </row>
    <row r="1900" spans="9:17" x14ac:dyDescent="0.4">
      <c r="I1900" s="46"/>
      <c r="J1900" s="32"/>
      <c r="K1900" s="32"/>
      <c r="L1900" s="32"/>
      <c r="M1900" s="32"/>
      <c r="N1900" s="32"/>
      <c r="O1900" s="32"/>
      <c r="P1900" s="32"/>
      <c r="Q1900" s="32"/>
    </row>
    <row r="1901" spans="9:17" x14ac:dyDescent="0.4">
      <c r="I1901" s="46"/>
      <c r="J1901" s="32"/>
      <c r="K1901" s="32"/>
      <c r="L1901" s="32"/>
      <c r="M1901" s="32"/>
      <c r="N1901" s="32"/>
      <c r="O1901" s="32"/>
      <c r="P1901" s="32"/>
      <c r="Q1901" s="32"/>
    </row>
    <row r="1902" spans="9:17" x14ac:dyDescent="0.4">
      <c r="I1902" s="46"/>
      <c r="J1902" s="32"/>
      <c r="K1902" s="32"/>
      <c r="L1902" s="32"/>
      <c r="M1902" s="32"/>
      <c r="N1902" s="32"/>
      <c r="O1902" s="32"/>
      <c r="P1902" s="32"/>
      <c r="Q1902" s="32"/>
    </row>
    <row r="1903" spans="9:17" x14ac:dyDescent="0.4">
      <c r="I1903" s="46"/>
      <c r="J1903" s="32"/>
      <c r="K1903" s="32"/>
      <c r="L1903" s="32"/>
      <c r="M1903" s="32"/>
      <c r="N1903" s="32"/>
      <c r="O1903" s="32"/>
      <c r="P1903" s="32"/>
      <c r="Q1903" s="32"/>
    </row>
    <row r="1904" spans="9:17" x14ac:dyDescent="0.4">
      <c r="I1904" s="46"/>
      <c r="J1904" s="32"/>
      <c r="K1904" s="32"/>
      <c r="L1904" s="32"/>
      <c r="M1904" s="32"/>
      <c r="N1904" s="32"/>
      <c r="O1904" s="32"/>
      <c r="P1904" s="32"/>
      <c r="Q1904" s="32"/>
    </row>
    <row r="1905" spans="9:17" x14ac:dyDescent="0.4">
      <c r="I1905" s="46"/>
      <c r="J1905" s="32"/>
      <c r="K1905" s="32"/>
      <c r="L1905" s="32"/>
      <c r="M1905" s="32"/>
      <c r="N1905" s="32"/>
      <c r="O1905" s="32"/>
      <c r="P1905" s="32"/>
      <c r="Q1905" s="32"/>
    </row>
    <row r="1906" spans="9:17" x14ac:dyDescent="0.4">
      <c r="I1906" s="46"/>
      <c r="J1906" s="32"/>
      <c r="K1906" s="32"/>
      <c r="L1906" s="32"/>
      <c r="M1906" s="32"/>
      <c r="N1906" s="32"/>
      <c r="O1906" s="32"/>
      <c r="P1906" s="32"/>
      <c r="Q1906" s="32"/>
    </row>
    <row r="1907" spans="9:17" x14ac:dyDescent="0.4">
      <c r="I1907" s="46"/>
      <c r="J1907" s="32"/>
      <c r="K1907" s="32"/>
      <c r="L1907" s="32"/>
      <c r="M1907" s="32"/>
      <c r="N1907" s="32"/>
      <c r="O1907" s="32"/>
      <c r="P1907" s="32"/>
      <c r="Q1907" s="32"/>
    </row>
    <row r="1908" spans="9:17" x14ac:dyDescent="0.4">
      <c r="I1908" s="46"/>
      <c r="J1908" s="32"/>
      <c r="K1908" s="32"/>
      <c r="L1908" s="32"/>
      <c r="M1908" s="32"/>
      <c r="N1908" s="32"/>
      <c r="O1908" s="32"/>
      <c r="P1908" s="32"/>
      <c r="Q1908" s="32"/>
    </row>
    <row r="1909" spans="9:17" x14ac:dyDescent="0.4">
      <c r="I1909" s="46"/>
      <c r="J1909" s="32"/>
      <c r="K1909" s="32"/>
      <c r="L1909" s="32"/>
      <c r="M1909" s="32"/>
      <c r="N1909" s="32"/>
      <c r="O1909" s="32"/>
      <c r="P1909" s="32"/>
      <c r="Q1909" s="32"/>
    </row>
    <row r="1910" spans="9:17" x14ac:dyDescent="0.4">
      <c r="I1910" s="46"/>
      <c r="J1910" s="32"/>
      <c r="K1910" s="32"/>
      <c r="L1910" s="32"/>
      <c r="M1910" s="32"/>
      <c r="N1910" s="32"/>
      <c r="O1910" s="32"/>
      <c r="P1910" s="32"/>
      <c r="Q1910" s="32"/>
    </row>
    <row r="1911" spans="9:17" x14ac:dyDescent="0.4">
      <c r="I1911" s="46"/>
      <c r="J1911" s="32"/>
      <c r="K1911" s="32"/>
      <c r="L1911" s="32"/>
      <c r="M1911" s="32"/>
      <c r="N1911" s="32"/>
      <c r="O1911" s="32"/>
      <c r="P1911" s="32"/>
      <c r="Q1911" s="32"/>
    </row>
    <row r="1912" spans="9:17" x14ac:dyDescent="0.4">
      <c r="I1912" s="46"/>
      <c r="J1912" s="32"/>
      <c r="K1912" s="32"/>
      <c r="L1912" s="32"/>
      <c r="M1912" s="32"/>
      <c r="N1912" s="32"/>
      <c r="O1912" s="32"/>
      <c r="P1912" s="32"/>
      <c r="Q1912" s="32"/>
    </row>
    <row r="1913" spans="9:17" x14ac:dyDescent="0.4">
      <c r="I1913" s="46"/>
      <c r="J1913" s="32"/>
      <c r="K1913" s="32"/>
      <c r="L1913" s="32"/>
      <c r="M1913" s="32"/>
      <c r="N1913" s="32"/>
      <c r="O1913" s="32"/>
      <c r="P1913" s="32"/>
      <c r="Q1913" s="32"/>
    </row>
    <row r="1914" spans="9:17" x14ac:dyDescent="0.4">
      <c r="I1914" s="46"/>
      <c r="J1914" s="32"/>
      <c r="K1914" s="32"/>
      <c r="L1914" s="32"/>
      <c r="M1914" s="32"/>
      <c r="N1914" s="32"/>
      <c r="O1914" s="32"/>
      <c r="P1914" s="32"/>
      <c r="Q1914" s="32"/>
    </row>
    <row r="1915" spans="9:17" x14ac:dyDescent="0.4">
      <c r="I1915" s="46"/>
      <c r="J1915" s="32"/>
      <c r="K1915" s="32"/>
      <c r="L1915" s="32"/>
      <c r="M1915" s="32"/>
      <c r="N1915" s="32"/>
      <c r="O1915" s="32"/>
      <c r="P1915" s="32"/>
      <c r="Q1915" s="32"/>
    </row>
    <row r="1916" spans="9:17" x14ac:dyDescent="0.4">
      <c r="I1916" s="46"/>
      <c r="J1916" s="32"/>
      <c r="K1916" s="32"/>
      <c r="L1916" s="32"/>
      <c r="M1916" s="32"/>
      <c r="N1916" s="32"/>
      <c r="O1916" s="32"/>
      <c r="P1916" s="32"/>
      <c r="Q1916" s="32"/>
    </row>
    <row r="1917" spans="9:17" x14ac:dyDescent="0.4">
      <c r="I1917" s="46"/>
      <c r="J1917" s="32"/>
      <c r="K1917" s="32"/>
      <c r="L1917" s="32"/>
      <c r="M1917" s="32"/>
      <c r="N1917" s="32"/>
      <c r="O1917" s="32"/>
      <c r="P1917" s="32"/>
      <c r="Q1917" s="32"/>
    </row>
    <row r="1918" spans="9:17" x14ac:dyDescent="0.4">
      <c r="I1918" s="46"/>
      <c r="J1918" s="32"/>
      <c r="K1918" s="32"/>
      <c r="L1918" s="32"/>
      <c r="M1918" s="32"/>
      <c r="N1918" s="32"/>
      <c r="O1918" s="32"/>
      <c r="P1918" s="32"/>
      <c r="Q1918" s="32"/>
    </row>
    <row r="1919" spans="9:17" x14ac:dyDescent="0.4">
      <c r="I1919" s="46"/>
      <c r="J1919" s="32"/>
      <c r="K1919" s="32"/>
      <c r="L1919" s="32"/>
      <c r="M1919" s="32"/>
      <c r="N1919" s="32"/>
      <c r="O1919" s="32"/>
      <c r="P1919" s="32"/>
      <c r="Q1919" s="32"/>
    </row>
    <row r="1920" spans="9:17" x14ac:dyDescent="0.4">
      <c r="I1920" s="46"/>
      <c r="J1920" s="32"/>
      <c r="K1920" s="32"/>
      <c r="L1920" s="32"/>
      <c r="M1920" s="32"/>
      <c r="N1920" s="32"/>
      <c r="O1920" s="32"/>
      <c r="P1920" s="32"/>
      <c r="Q1920" s="32"/>
    </row>
    <row r="1921" spans="9:17" x14ac:dyDescent="0.4">
      <c r="I1921" s="46"/>
      <c r="J1921" s="32"/>
      <c r="K1921" s="32"/>
      <c r="L1921" s="32"/>
      <c r="M1921" s="32"/>
      <c r="N1921" s="32"/>
      <c r="O1921" s="32"/>
      <c r="P1921" s="32"/>
      <c r="Q1921" s="32"/>
    </row>
    <row r="1922" spans="9:17" x14ac:dyDescent="0.4">
      <c r="I1922" s="46"/>
      <c r="J1922" s="32"/>
      <c r="K1922" s="32"/>
      <c r="L1922" s="32"/>
      <c r="M1922" s="32"/>
      <c r="N1922" s="32"/>
      <c r="O1922" s="32"/>
      <c r="P1922" s="32"/>
      <c r="Q1922" s="32"/>
    </row>
    <row r="1923" spans="9:17" x14ac:dyDescent="0.4">
      <c r="I1923" s="46"/>
      <c r="J1923" s="32"/>
      <c r="K1923" s="32"/>
      <c r="L1923" s="32"/>
      <c r="M1923" s="32"/>
      <c r="N1923" s="32"/>
      <c r="O1923" s="32"/>
      <c r="P1923" s="32"/>
      <c r="Q1923" s="32"/>
    </row>
    <row r="1924" spans="9:17" x14ac:dyDescent="0.4">
      <c r="I1924" s="46"/>
      <c r="J1924" s="32"/>
      <c r="K1924" s="32"/>
      <c r="L1924" s="32"/>
      <c r="M1924" s="32"/>
      <c r="N1924" s="32"/>
      <c r="O1924" s="32"/>
      <c r="P1924" s="32"/>
      <c r="Q1924" s="32"/>
    </row>
    <row r="1925" spans="9:17" x14ac:dyDescent="0.4">
      <c r="I1925" s="46"/>
      <c r="J1925" s="32"/>
      <c r="K1925" s="32"/>
      <c r="L1925" s="32"/>
      <c r="M1925" s="32"/>
      <c r="N1925" s="32"/>
      <c r="O1925" s="32"/>
      <c r="P1925" s="32"/>
      <c r="Q1925" s="32"/>
    </row>
    <row r="1926" spans="9:17" x14ac:dyDescent="0.4">
      <c r="I1926" s="46"/>
      <c r="J1926" s="32"/>
      <c r="K1926" s="32"/>
      <c r="L1926" s="32"/>
      <c r="M1926" s="32"/>
      <c r="N1926" s="32"/>
      <c r="O1926" s="32"/>
      <c r="P1926" s="32"/>
      <c r="Q1926" s="32"/>
    </row>
    <row r="1927" spans="9:17" x14ac:dyDescent="0.4">
      <c r="I1927" s="46"/>
      <c r="J1927" s="32"/>
      <c r="K1927" s="32"/>
      <c r="L1927" s="32"/>
      <c r="M1927" s="32"/>
      <c r="N1927" s="32"/>
      <c r="O1927" s="32"/>
      <c r="P1927" s="32"/>
      <c r="Q1927" s="32"/>
    </row>
    <row r="1928" spans="9:17" x14ac:dyDescent="0.4">
      <c r="I1928" s="46"/>
      <c r="J1928" s="32"/>
      <c r="K1928" s="32"/>
      <c r="L1928" s="32"/>
      <c r="M1928" s="32"/>
      <c r="N1928" s="32"/>
      <c r="O1928" s="32"/>
      <c r="P1928" s="32"/>
      <c r="Q1928" s="32"/>
    </row>
    <row r="1929" spans="9:17" x14ac:dyDescent="0.4">
      <c r="I1929" s="46"/>
      <c r="J1929" s="32"/>
      <c r="K1929" s="32"/>
      <c r="L1929" s="32"/>
      <c r="M1929" s="32"/>
      <c r="N1929" s="32"/>
      <c r="O1929" s="32"/>
      <c r="P1929" s="32"/>
      <c r="Q1929" s="32"/>
    </row>
    <row r="1930" spans="9:17" x14ac:dyDescent="0.4">
      <c r="I1930" s="46"/>
      <c r="J1930" s="32"/>
      <c r="K1930" s="32"/>
      <c r="L1930" s="32"/>
      <c r="M1930" s="32"/>
      <c r="N1930" s="32"/>
      <c r="O1930" s="32"/>
      <c r="P1930" s="32"/>
      <c r="Q1930" s="32"/>
    </row>
    <row r="1931" spans="9:17" x14ac:dyDescent="0.4">
      <c r="I1931" s="46"/>
      <c r="J1931" s="32"/>
      <c r="K1931" s="32"/>
      <c r="L1931" s="32"/>
      <c r="M1931" s="32"/>
      <c r="N1931" s="32"/>
      <c r="O1931" s="32"/>
      <c r="P1931" s="32"/>
      <c r="Q1931" s="32"/>
    </row>
    <row r="1932" spans="9:17" x14ac:dyDescent="0.4">
      <c r="I1932" s="46"/>
      <c r="J1932" s="32"/>
      <c r="K1932" s="32"/>
      <c r="L1932" s="32"/>
      <c r="M1932" s="32"/>
      <c r="N1932" s="32"/>
      <c r="O1932" s="32"/>
      <c r="P1932" s="32"/>
      <c r="Q1932" s="32"/>
    </row>
    <row r="1933" spans="9:17" x14ac:dyDescent="0.4">
      <c r="I1933" s="46"/>
      <c r="J1933" s="32"/>
      <c r="K1933" s="32"/>
      <c r="L1933" s="32"/>
      <c r="M1933" s="32"/>
      <c r="N1933" s="32"/>
      <c r="O1933" s="32"/>
      <c r="P1933" s="32"/>
      <c r="Q1933" s="32"/>
    </row>
    <row r="1934" spans="9:17" x14ac:dyDescent="0.4">
      <c r="I1934" s="46"/>
      <c r="J1934" s="32"/>
      <c r="K1934" s="32"/>
      <c r="L1934" s="32"/>
      <c r="M1934" s="32"/>
      <c r="N1934" s="32"/>
      <c r="O1934" s="32"/>
      <c r="P1934" s="32"/>
      <c r="Q1934" s="32"/>
    </row>
    <row r="1935" spans="9:17" x14ac:dyDescent="0.4">
      <c r="I1935" s="46"/>
      <c r="J1935" s="32"/>
      <c r="K1935" s="32"/>
      <c r="L1935" s="32"/>
      <c r="M1935" s="32"/>
      <c r="N1935" s="32"/>
      <c r="O1935" s="32"/>
      <c r="P1935" s="32"/>
      <c r="Q1935" s="32"/>
    </row>
    <row r="1936" spans="9:17" x14ac:dyDescent="0.4">
      <c r="I1936" s="46"/>
      <c r="J1936" s="32"/>
      <c r="K1936" s="32"/>
      <c r="L1936" s="32"/>
      <c r="M1936" s="32"/>
      <c r="N1936" s="32"/>
      <c r="O1936" s="32"/>
      <c r="P1936" s="32"/>
      <c r="Q1936" s="32"/>
    </row>
    <row r="1937" spans="9:17" x14ac:dyDescent="0.4">
      <c r="I1937" s="46"/>
      <c r="J1937" s="32"/>
      <c r="K1937" s="32"/>
      <c r="L1937" s="32"/>
      <c r="M1937" s="32"/>
      <c r="N1937" s="32"/>
      <c r="O1937" s="32"/>
      <c r="P1937" s="32"/>
      <c r="Q1937" s="32"/>
    </row>
    <row r="1938" spans="9:17" x14ac:dyDescent="0.4">
      <c r="I1938" s="46"/>
      <c r="J1938" s="32"/>
      <c r="K1938" s="32"/>
      <c r="L1938" s="32"/>
      <c r="M1938" s="32"/>
      <c r="N1938" s="32"/>
      <c r="O1938" s="32"/>
      <c r="P1938" s="32"/>
      <c r="Q1938" s="32"/>
    </row>
    <row r="1939" spans="9:17" x14ac:dyDescent="0.4">
      <c r="I1939" s="46"/>
      <c r="J1939" s="32"/>
      <c r="K1939" s="32"/>
      <c r="L1939" s="32"/>
      <c r="M1939" s="32"/>
      <c r="N1939" s="32"/>
      <c r="O1939" s="32"/>
      <c r="P1939" s="32"/>
      <c r="Q1939" s="32"/>
    </row>
    <row r="1940" spans="9:17" x14ac:dyDescent="0.4">
      <c r="I1940" s="46"/>
      <c r="J1940" s="32"/>
      <c r="K1940" s="32"/>
      <c r="L1940" s="32"/>
      <c r="M1940" s="32"/>
      <c r="N1940" s="32"/>
      <c r="O1940" s="32"/>
      <c r="P1940" s="32"/>
      <c r="Q1940" s="32"/>
    </row>
    <row r="1941" spans="9:17" x14ac:dyDescent="0.4">
      <c r="I1941" s="46"/>
      <c r="J1941" s="32"/>
      <c r="K1941" s="32"/>
      <c r="L1941" s="32"/>
      <c r="M1941" s="32"/>
      <c r="N1941" s="32"/>
      <c r="O1941" s="32"/>
      <c r="P1941" s="32"/>
      <c r="Q1941" s="32"/>
    </row>
    <row r="1942" spans="9:17" x14ac:dyDescent="0.4">
      <c r="I1942" s="46"/>
      <c r="J1942" s="32"/>
      <c r="K1942" s="32"/>
      <c r="L1942" s="32"/>
      <c r="M1942" s="32"/>
      <c r="N1942" s="32"/>
      <c r="O1942" s="32"/>
      <c r="P1942" s="32"/>
      <c r="Q1942" s="32"/>
    </row>
    <row r="1943" spans="9:17" x14ac:dyDescent="0.4">
      <c r="I1943" s="46"/>
      <c r="J1943" s="32"/>
      <c r="K1943" s="32"/>
      <c r="L1943" s="32"/>
      <c r="M1943" s="32"/>
      <c r="N1943" s="32"/>
      <c r="O1943" s="32"/>
      <c r="P1943" s="32"/>
      <c r="Q1943" s="32"/>
    </row>
    <row r="1944" spans="9:17" x14ac:dyDescent="0.4">
      <c r="I1944" s="46"/>
      <c r="J1944" s="32"/>
      <c r="K1944" s="32"/>
      <c r="L1944" s="32"/>
      <c r="M1944" s="32"/>
      <c r="N1944" s="32"/>
      <c r="O1944" s="32"/>
      <c r="P1944" s="32"/>
      <c r="Q1944" s="32"/>
    </row>
    <row r="1945" spans="9:17" x14ac:dyDescent="0.4">
      <c r="I1945" s="46"/>
      <c r="J1945" s="32"/>
      <c r="K1945" s="32"/>
      <c r="L1945" s="32"/>
      <c r="M1945" s="32"/>
      <c r="N1945" s="32"/>
      <c r="O1945" s="32"/>
      <c r="P1945" s="32"/>
      <c r="Q1945" s="32"/>
    </row>
    <row r="1946" spans="9:17" x14ac:dyDescent="0.4">
      <c r="I1946" s="46"/>
      <c r="J1946" s="32"/>
      <c r="K1946" s="32"/>
      <c r="L1946" s="32"/>
      <c r="M1946" s="32"/>
      <c r="N1946" s="32"/>
      <c r="O1946" s="32"/>
      <c r="P1946" s="32"/>
      <c r="Q1946" s="32"/>
    </row>
    <row r="1947" spans="9:17" x14ac:dyDescent="0.4">
      <c r="I1947" s="46"/>
      <c r="J1947" s="32"/>
      <c r="K1947" s="32"/>
      <c r="L1947" s="32"/>
      <c r="M1947" s="32"/>
      <c r="N1947" s="32"/>
      <c r="O1947" s="32"/>
      <c r="P1947" s="32"/>
      <c r="Q1947" s="32"/>
    </row>
    <row r="1948" spans="9:17" x14ac:dyDescent="0.4">
      <c r="I1948" s="46"/>
      <c r="J1948" s="32"/>
      <c r="K1948" s="32"/>
      <c r="L1948" s="32"/>
      <c r="M1948" s="32"/>
      <c r="N1948" s="32"/>
      <c r="O1948" s="32"/>
      <c r="P1948" s="32"/>
      <c r="Q1948" s="32"/>
    </row>
    <row r="1949" spans="9:17" x14ac:dyDescent="0.4">
      <c r="I1949" s="46"/>
      <c r="J1949" s="32"/>
      <c r="K1949" s="32"/>
      <c r="L1949" s="32"/>
      <c r="M1949" s="32"/>
      <c r="N1949" s="32"/>
      <c r="O1949" s="32"/>
      <c r="P1949" s="32"/>
      <c r="Q1949" s="32"/>
    </row>
    <row r="1950" spans="9:17" x14ac:dyDescent="0.4">
      <c r="I1950" s="46"/>
      <c r="J1950" s="32"/>
      <c r="K1950" s="32"/>
      <c r="L1950" s="32"/>
      <c r="M1950" s="32"/>
      <c r="N1950" s="32"/>
      <c r="O1950" s="32"/>
      <c r="P1950" s="32"/>
      <c r="Q1950" s="32"/>
    </row>
    <row r="1951" spans="9:17" x14ac:dyDescent="0.4">
      <c r="I1951" s="46"/>
      <c r="J1951" s="32"/>
      <c r="K1951" s="32"/>
      <c r="L1951" s="32"/>
      <c r="M1951" s="32"/>
      <c r="N1951" s="32"/>
      <c r="O1951" s="32"/>
      <c r="P1951" s="32"/>
      <c r="Q1951" s="32"/>
    </row>
    <row r="1952" spans="9:17" x14ac:dyDescent="0.4">
      <c r="I1952" s="46"/>
      <c r="J1952" s="32"/>
      <c r="K1952" s="32"/>
      <c r="L1952" s="32"/>
      <c r="M1952" s="32"/>
      <c r="N1952" s="32"/>
      <c r="O1952" s="32"/>
      <c r="P1952" s="32"/>
      <c r="Q1952" s="32"/>
    </row>
    <row r="1953" spans="9:17" x14ac:dyDescent="0.4">
      <c r="I1953" s="46"/>
      <c r="J1953" s="32"/>
      <c r="K1953" s="32"/>
      <c r="L1953" s="32"/>
      <c r="M1953" s="32"/>
      <c r="N1953" s="32"/>
      <c r="O1953" s="32"/>
      <c r="P1953" s="32"/>
      <c r="Q1953" s="32"/>
    </row>
    <row r="1954" spans="9:17" x14ac:dyDescent="0.4">
      <c r="I1954" s="46"/>
      <c r="J1954" s="32"/>
      <c r="K1954" s="32"/>
      <c r="L1954" s="32"/>
      <c r="M1954" s="32"/>
      <c r="N1954" s="32"/>
      <c r="O1954" s="32"/>
      <c r="P1954" s="32"/>
      <c r="Q1954" s="32"/>
    </row>
    <row r="1955" spans="9:17" x14ac:dyDescent="0.4">
      <c r="I1955" s="46"/>
      <c r="J1955" s="32"/>
      <c r="K1955" s="32"/>
      <c r="L1955" s="32"/>
      <c r="M1955" s="32"/>
      <c r="N1955" s="32"/>
      <c r="O1955" s="32"/>
      <c r="P1955" s="32"/>
      <c r="Q1955" s="32"/>
    </row>
    <row r="1956" spans="9:17" x14ac:dyDescent="0.4">
      <c r="I1956" s="46"/>
      <c r="J1956" s="32"/>
      <c r="K1956" s="32"/>
      <c r="L1956" s="32"/>
      <c r="M1956" s="32"/>
      <c r="N1956" s="32"/>
      <c r="O1956" s="32"/>
      <c r="P1956" s="32"/>
      <c r="Q1956" s="32"/>
    </row>
    <row r="1957" spans="9:17" x14ac:dyDescent="0.4">
      <c r="I1957" s="46"/>
      <c r="J1957" s="32"/>
      <c r="K1957" s="32"/>
      <c r="L1957" s="32"/>
      <c r="M1957" s="32"/>
      <c r="N1957" s="32"/>
      <c r="O1957" s="32"/>
      <c r="P1957" s="32"/>
      <c r="Q1957" s="32"/>
    </row>
    <row r="1958" spans="9:17" x14ac:dyDescent="0.4">
      <c r="I1958" s="46"/>
      <c r="J1958" s="32"/>
      <c r="K1958" s="32"/>
      <c r="L1958" s="32"/>
      <c r="M1958" s="32"/>
      <c r="N1958" s="32"/>
      <c r="O1958" s="32"/>
      <c r="P1958" s="32"/>
      <c r="Q1958" s="32"/>
    </row>
    <row r="1959" spans="9:17" x14ac:dyDescent="0.4">
      <c r="I1959" s="46"/>
      <c r="J1959" s="32"/>
      <c r="K1959" s="32"/>
      <c r="L1959" s="32"/>
      <c r="M1959" s="32"/>
      <c r="N1959" s="32"/>
      <c r="O1959" s="32"/>
      <c r="P1959" s="32"/>
      <c r="Q1959" s="32"/>
    </row>
    <row r="1960" spans="9:17" x14ac:dyDescent="0.4">
      <c r="I1960" s="46"/>
      <c r="J1960" s="32"/>
      <c r="K1960" s="32"/>
      <c r="L1960" s="32"/>
      <c r="M1960" s="32"/>
      <c r="N1960" s="32"/>
      <c r="O1960" s="32"/>
      <c r="P1960" s="32"/>
      <c r="Q1960" s="32"/>
    </row>
    <row r="1961" spans="9:17" x14ac:dyDescent="0.4">
      <c r="I1961" s="46"/>
      <c r="J1961" s="32"/>
      <c r="K1961" s="32"/>
      <c r="L1961" s="32"/>
      <c r="M1961" s="32"/>
      <c r="N1961" s="32"/>
      <c r="O1961" s="32"/>
      <c r="P1961" s="32"/>
      <c r="Q1961" s="32"/>
    </row>
    <row r="1962" spans="9:17" x14ac:dyDescent="0.4">
      <c r="I1962" s="46"/>
      <c r="J1962" s="32"/>
      <c r="K1962" s="32"/>
      <c r="L1962" s="32"/>
      <c r="M1962" s="32"/>
      <c r="N1962" s="32"/>
      <c r="O1962" s="32"/>
      <c r="P1962" s="32"/>
      <c r="Q1962" s="32"/>
    </row>
    <row r="1963" spans="9:17" x14ac:dyDescent="0.4">
      <c r="I1963" s="46"/>
      <c r="J1963" s="32"/>
      <c r="K1963" s="32"/>
      <c r="L1963" s="32"/>
      <c r="M1963" s="32"/>
      <c r="N1963" s="32"/>
      <c r="O1963" s="32"/>
      <c r="P1963" s="32"/>
      <c r="Q1963" s="32"/>
    </row>
    <row r="1964" spans="9:17" x14ac:dyDescent="0.4">
      <c r="I1964" s="46"/>
      <c r="J1964" s="32"/>
      <c r="K1964" s="32"/>
      <c r="L1964" s="32"/>
      <c r="M1964" s="32"/>
      <c r="N1964" s="32"/>
      <c r="O1964" s="32"/>
      <c r="P1964" s="32"/>
      <c r="Q1964" s="32"/>
    </row>
    <row r="1965" spans="9:17" x14ac:dyDescent="0.4">
      <c r="I1965" s="46"/>
      <c r="J1965" s="32"/>
      <c r="K1965" s="32"/>
      <c r="L1965" s="32"/>
      <c r="M1965" s="32"/>
      <c r="N1965" s="32"/>
      <c r="O1965" s="32"/>
      <c r="P1965" s="32"/>
      <c r="Q1965" s="32"/>
    </row>
    <row r="1966" spans="9:17" x14ac:dyDescent="0.4">
      <c r="I1966" s="46"/>
      <c r="J1966" s="32"/>
      <c r="K1966" s="32"/>
      <c r="L1966" s="32"/>
      <c r="M1966" s="32"/>
      <c r="N1966" s="32"/>
      <c r="O1966" s="32"/>
      <c r="P1966" s="32"/>
      <c r="Q1966" s="32"/>
    </row>
    <row r="1967" spans="9:17" x14ac:dyDescent="0.4">
      <c r="I1967" s="46"/>
      <c r="J1967" s="32"/>
      <c r="K1967" s="32"/>
      <c r="L1967" s="32"/>
      <c r="M1967" s="32"/>
      <c r="N1967" s="32"/>
      <c r="O1967" s="32"/>
      <c r="P1967" s="32"/>
      <c r="Q1967" s="32"/>
    </row>
    <row r="1968" spans="9:17" x14ac:dyDescent="0.4">
      <c r="I1968" s="46"/>
      <c r="J1968" s="32"/>
      <c r="K1968" s="32"/>
      <c r="L1968" s="32"/>
      <c r="M1968" s="32"/>
      <c r="N1968" s="32"/>
      <c r="O1968" s="32"/>
      <c r="P1968" s="32"/>
      <c r="Q1968" s="32"/>
    </row>
    <row r="1969" spans="9:17" x14ac:dyDescent="0.4">
      <c r="I1969" s="46"/>
      <c r="J1969" s="32"/>
      <c r="K1969" s="32"/>
      <c r="L1969" s="32"/>
      <c r="M1969" s="32"/>
      <c r="N1969" s="32"/>
      <c r="O1969" s="32"/>
      <c r="P1969" s="32"/>
      <c r="Q1969" s="32"/>
    </row>
    <row r="1970" spans="9:17" x14ac:dyDescent="0.4">
      <c r="I1970" s="46"/>
      <c r="J1970" s="32"/>
      <c r="K1970" s="32"/>
      <c r="L1970" s="32"/>
      <c r="M1970" s="32"/>
      <c r="N1970" s="32"/>
      <c r="O1970" s="32"/>
      <c r="P1970" s="32"/>
      <c r="Q1970" s="32"/>
    </row>
    <row r="1971" spans="9:17" x14ac:dyDescent="0.4">
      <c r="I1971" s="46"/>
      <c r="J1971" s="32"/>
      <c r="K1971" s="32"/>
      <c r="L1971" s="32"/>
      <c r="M1971" s="32"/>
      <c r="N1971" s="32"/>
      <c r="O1971" s="32"/>
      <c r="P1971" s="32"/>
      <c r="Q1971" s="32"/>
    </row>
    <row r="1972" spans="9:17" x14ac:dyDescent="0.4">
      <c r="I1972" s="46"/>
      <c r="J1972" s="32"/>
      <c r="K1972" s="32"/>
      <c r="L1972" s="32"/>
      <c r="M1972" s="32"/>
      <c r="N1972" s="32"/>
      <c r="O1972" s="32"/>
      <c r="P1972" s="32"/>
      <c r="Q1972" s="32"/>
    </row>
    <row r="1973" spans="9:17" x14ac:dyDescent="0.4">
      <c r="I1973" s="46"/>
      <c r="J1973" s="32"/>
      <c r="K1973" s="32"/>
      <c r="L1973" s="32"/>
      <c r="M1973" s="32"/>
      <c r="N1973" s="32"/>
      <c r="O1973" s="32"/>
      <c r="P1973" s="32"/>
      <c r="Q1973" s="32"/>
    </row>
    <row r="1974" spans="9:17" x14ac:dyDescent="0.4">
      <c r="I1974" s="46"/>
      <c r="J1974" s="32"/>
      <c r="K1974" s="32"/>
      <c r="L1974" s="32"/>
      <c r="M1974" s="32"/>
      <c r="N1974" s="32"/>
      <c r="O1974" s="32"/>
      <c r="P1974" s="32"/>
      <c r="Q1974" s="32"/>
    </row>
    <row r="1975" spans="9:17" x14ac:dyDescent="0.4">
      <c r="I1975" s="46"/>
      <c r="J1975" s="32"/>
      <c r="K1975" s="32"/>
      <c r="L1975" s="32"/>
      <c r="M1975" s="32"/>
      <c r="N1975" s="32"/>
      <c r="O1975" s="32"/>
      <c r="P1975" s="32"/>
      <c r="Q1975" s="32"/>
    </row>
    <row r="1976" spans="9:17" x14ac:dyDescent="0.4">
      <c r="I1976" s="46"/>
      <c r="J1976" s="32"/>
      <c r="K1976" s="32"/>
      <c r="L1976" s="32"/>
      <c r="M1976" s="32"/>
      <c r="N1976" s="32"/>
      <c r="O1976" s="32"/>
      <c r="P1976" s="32"/>
      <c r="Q1976" s="32"/>
    </row>
    <row r="1977" spans="9:17" x14ac:dyDescent="0.4">
      <c r="I1977" s="46"/>
      <c r="J1977" s="32"/>
      <c r="K1977" s="32"/>
      <c r="L1977" s="32"/>
      <c r="M1977" s="32"/>
      <c r="N1977" s="32"/>
      <c r="O1977" s="32"/>
      <c r="P1977" s="32"/>
      <c r="Q1977" s="32"/>
    </row>
    <row r="1978" spans="9:17" x14ac:dyDescent="0.4">
      <c r="I1978" s="46"/>
      <c r="J1978" s="32"/>
      <c r="K1978" s="32"/>
      <c r="L1978" s="32"/>
      <c r="M1978" s="32"/>
      <c r="N1978" s="32"/>
      <c r="O1978" s="32"/>
      <c r="P1978" s="32"/>
      <c r="Q1978" s="32"/>
    </row>
    <row r="1979" spans="9:17" x14ac:dyDescent="0.4">
      <c r="I1979" s="46"/>
      <c r="J1979" s="32"/>
      <c r="K1979" s="32"/>
      <c r="L1979" s="32"/>
      <c r="M1979" s="32"/>
      <c r="N1979" s="32"/>
      <c r="O1979" s="32"/>
      <c r="P1979" s="32"/>
      <c r="Q1979" s="32"/>
    </row>
    <row r="1980" spans="9:17" x14ac:dyDescent="0.4">
      <c r="I1980" s="46"/>
      <c r="J1980" s="32"/>
      <c r="K1980" s="32"/>
      <c r="L1980" s="32"/>
      <c r="M1980" s="32"/>
      <c r="N1980" s="32"/>
      <c r="O1980" s="32"/>
      <c r="P1980" s="32"/>
      <c r="Q1980" s="32"/>
    </row>
    <row r="1981" spans="9:17" x14ac:dyDescent="0.4">
      <c r="I1981" s="46"/>
      <c r="J1981" s="32"/>
      <c r="K1981" s="32"/>
      <c r="L1981" s="32"/>
      <c r="M1981" s="32"/>
      <c r="N1981" s="32"/>
      <c r="O1981" s="32"/>
      <c r="P1981" s="32"/>
      <c r="Q1981" s="32"/>
    </row>
    <row r="1982" spans="9:17" x14ac:dyDescent="0.4">
      <c r="I1982" s="46"/>
      <c r="J1982" s="32"/>
      <c r="K1982" s="32"/>
      <c r="L1982" s="32"/>
      <c r="M1982" s="32"/>
      <c r="N1982" s="32"/>
      <c r="O1982" s="32"/>
      <c r="P1982" s="32"/>
      <c r="Q1982" s="32"/>
    </row>
    <row r="1983" spans="9:17" x14ac:dyDescent="0.4">
      <c r="I1983" s="46"/>
      <c r="J1983" s="32"/>
      <c r="K1983" s="32"/>
      <c r="L1983" s="32"/>
      <c r="M1983" s="32"/>
      <c r="N1983" s="32"/>
      <c r="O1983" s="32"/>
      <c r="P1983" s="32"/>
      <c r="Q1983" s="32"/>
    </row>
    <row r="1984" spans="9:17" x14ac:dyDescent="0.4">
      <c r="I1984" s="46"/>
      <c r="J1984" s="32"/>
      <c r="K1984" s="32"/>
      <c r="L1984" s="32"/>
      <c r="M1984" s="32"/>
      <c r="N1984" s="32"/>
      <c r="O1984" s="32"/>
      <c r="P1984" s="32"/>
      <c r="Q1984" s="32"/>
    </row>
    <row r="1985" spans="9:17" x14ac:dyDescent="0.4">
      <c r="I1985" s="46"/>
      <c r="J1985" s="32"/>
      <c r="K1985" s="32"/>
      <c r="L1985" s="32"/>
      <c r="M1985" s="32"/>
      <c r="N1985" s="32"/>
      <c r="O1985" s="32"/>
      <c r="P1985" s="32"/>
      <c r="Q1985" s="32"/>
    </row>
    <row r="1986" spans="9:17" x14ac:dyDescent="0.4">
      <c r="I1986" s="46"/>
      <c r="J1986" s="32"/>
      <c r="K1986" s="32"/>
      <c r="L1986" s="32"/>
      <c r="M1986" s="32"/>
      <c r="N1986" s="32"/>
      <c r="O1986" s="32"/>
      <c r="P1986" s="32"/>
      <c r="Q1986" s="32"/>
    </row>
    <row r="1987" spans="9:17" x14ac:dyDescent="0.4">
      <c r="I1987" s="46"/>
      <c r="J1987" s="32"/>
      <c r="K1987" s="32"/>
      <c r="L1987" s="32"/>
      <c r="M1987" s="32"/>
      <c r="N1987" s="32"/>
      <c r="O1987" s="32"/>
      <c r="P1987" s="32"/>
      <c r="Q1987" s="32"/>
    </row>
    <row r="1988" spans="9:17" x14ac:dyDescent="0.4">
      <c r="I1988" s="46"/>
      <c r="J1988" s="32"/>
      <c r="K1988" s="32"/>
      <c r="L1988" s="32"/>
      <c r="M1988" s="32"/>
      <c r="N1988" s="32"/>
      <c r="O1988" s="32"/>
      <c r="P1988" s="32"/>
      <c r="Q1988" s="32"/>
    </row>
    <row r="1989" spans="9:17" x14ac:dyDescent="0.4">
      <c r="I1989" s="46"/>
      <c r="J1989" s="32"/>
      <c r="K1989" s="32"/>
      <c r="L1989" s="32"/>
      <c r="M1989" s="32"/>
      <c r="N1989" s="32"/>
      <c r="O1989" s="32"/>
      <c r="P1989" s="32"/>
      <c r="Q1989" s="32"/>
    </row>
    <row r="1990" spans="9:17" x14ac:dyDescent="0.4">
      <c r="I1990" s="46"/>
      <c r="J1990" s="32"/>
      <c r="K1990" s="32"/>
      <c r="L1990" s="32"/>
      <c r="M1990" s="32"/>
      <c r="N1990" s="32"/>
      <c r="O1990" s="32"/>
      <c r="P1990" s="32"/>
      <c r="Q1990" s="32"/>
    </row>
    <row r="1991" spans="9:17" x14ac:dyDescent="0.4">
      <c r="I1991" s="46"/>
      <c r="J1991" s="32"/>
      <c r="K1991" s="32"/>
      <c r="L1991" s="32"/>
      <c r="M1991" s="32"/>
      <c r="N1991" s="32"/>
      <c r="O1991" s="32"/>
      <c r="P1991" s="32"/>
      <c r="Q1991" s="32"/>
    </row>
    <row r="1992" spans="9:17" x14ac:dyDescent="0.4">
      <c r="I1992" s="46"/>
      <c r="J1992" s="32"/>
      <c r="K1992" s="32"/>
      <c r="L1992" s="32"/>
      <c r="M1992" s="32"/>
      <c r="N1992" s="32"/>
      <c r="O1992" s="32"/>
      <c r="P1992" s="32"/>
      <c r="Q1992" s="32"/>
    </row>
    <row r="1993" spans="9:17" x14ac:dyDescent="0.4">
      <c r="I1993" s="46"/>
      <c r="J1993" s="32"/>
      <c r="K1993" s="32"/>
      <c r="L1993" s="32"/>
      <c r="M1993" s="32"/>
      <c r="N1993" s="32"/>
      <c r="O1993" s="32"/>
      <c r="P1993" s="32"/>
      <c r="Q1993" s="32"/>
    </row>
    <row r="1994" spans="9:17" x14ac:dyDescent="0.4">
      <c r="I1994" s="46"/>
      <c r="J1994" s="32"/>
      <c r="K1994" s="32"/>
      <c r="L1994" s="32"/>
      <c r="M1994" s="32"/>
      <c r="N1994" s="32"/>
      <c r="O1994" s="32"/>
      <c r="P1994" s="32"/>
      <c r="Q1994" s="32"/>
    </row>
    <row r="1995" spans="9:17" x14ac:dyDescent="0.4">
      <c r="I1995" s="46"/>
      <c r="J1995" s="32"/>
      <c r="K1995" s="32"/>
      <c r="L1995" s="32"/>
      <c r="M1995" s="32"/>
      <c r="N1995" s="32"/>
      <c r="O1995" s="32"/>
      <c r="P1995" s="32"/>
      <c r="Q1995" s="32"/>
    </row>
    <row r="1996" spans="9:17" x14ac:dyDescent="0.4">
      <c r="I1996" s="46"/>
      <c r="J1996" s="32"/>
      <c r="K1996" s="32"/>
      <c r="L1996" s="32"/>
      <c r="M1996" s="32"/>
      <c r="N1996" s="32"/>
      <c r="O1996" s="32"/>
      <c r="P1996" s="32"/>
      <c r="Q1996" s="32"/>
    </row>
    <row r="1997" spans="9:17" x14ac:dyDescent="0.4">
      <c r="I1997" s="46"/>
      <c r="J1997" s="32"/>
      <c r="K1997" s="32"/>
      <c r="L1997" s="32"/>
      <c r="M1997" s="32"/>
      <c r="N1997" s="32"/>
      <c r="O1997" s="32"/>
      <c r="P1997" s="32"/>
      <c r="Q1997" s="32"/>
    </row>
    <row r="1998" spans="9:17" x14ac:dyDescent="0.4">
      <c r="I1998" s="46"/>
      <c r="J1998" s="32"/>
      <c r="K1998" s="32"/>
      <c r="L1998" s="32"/>
      <c r="M1998" s="32"/>
      <c r="N1998" s="32"/>
      <c r="O1998" s="32"/>
      <c r="P1998" s="32"/>
      <c r="Q1998" s="32"/>
    </row>
    <row r="1999" spans="9:17" x14ac:dyDescent="0.4">
      <c r="I1999" s="46"/>
      <c r="J1999" s="32"/>
      <c r="K1999" s="32"/>
      <c r="L1999" s="32"/>
      <c r="M1999" s="32"/>
      <c r="N1999" s="32"/>
      <c r="O1999" s="32"/>
      <c r="P1999" s="32"/>
      <c r="Q1999" s="32"/>
    </row>
    <row r="2000" spans="9:17" x14ac:dyDescent="0.4">
      <c r="I2000" s="46"/>
      <c r="J2000" s="32"/>
      <c r="K2000" s="32"/>
      <c r="L2000" s="32"/>
      <c r="M2000" s="32"/>
      <c r="N2000" s="32"/>
      <c r="O2000" s="32"/>
      <c r="P2000" s="32"/>
      <c r="Q2000" s="32"/>
    </row>
    <row r="2001" spans="9:17" x14ac:dyDescent="0.4">
      <c r="I2001" s="46"/>
      <c r="J2001" s="32"/>
      <c r="K2001" s="32"/>
      <c r="L2001" s="32"/>
      <c r="M2001" s="32"/>
      <c r="N2001" s="32"/>
      <c r="O2001" s="32"/>
      <c r="P2001" s="32"/>
      <c r="Q2001" s="32"/>
    </row>
    <row r="2002" spans="9:17" x14ac:dyDescent="0.4">
      <c r="I2002" s="46"/>
      <c r="J2002" s="32"/>
      <c r="K2002" s="32"/>
      <c r="L2002" s="32"/>
      <c r="M2002" s="32"/>
      <c r="N2002" s="32"/>
      <c r="O2002" s="32"/>
      <c r="P2002" s="32"/>
      <c r="Q2002" s="32"/>
    </row>
    <row r="2003" spans="9:17" x14ac:dyDescent="0.4">
      <c r="I2003" s="46"/>
      <c r="J2003" s="32"/>
      <c r="K2003" s="32"/>
      <c r="L2003" s="32"/>
      <c r="M2003" s="32"/>
      <c r="N2003" s="32"/>
      <c r="O2003" s="32"/>
      <c r="P2003" s="32"/>
      <c r="Q2003" s="32"/>
    </row>
    <row r="2004" spans="9:17" x14ac:dyDescent="0.4">
      <c r="I2004" s="46"/>
      <c r="J2004" s="32"/>
      <c r="K2004" s="32"/>
      <c r="L2004" s="32"/>
      <c r="M2004" s="32"/>
      <c r="N2004" s="32"/>
      <c r="O2004" s="32"/>
      <c r="P2004" s="32"/>
      <c r="Q2004" s="32"/>
    </row>
    <row r="2005" spans="9:17" x14ac:dyDescent="0.4">
      <c r="I2005" s="46"/>
      <c r="J2005" s="32"/>
      <c r="K2005" s="32"/>
      <c r="L2005" s="32"/>
      <c r="M2005" s="32"/>
      <c r="N2005" s="32"/>
      <c r="O2005" s="32"/>
      <c r="P2005" s="32"/>
      <c r="Q2005" s="32"/>
    </row>
    <row r="2006" spans="9:17" x14ac:dyDescent="0.4">
      <c r="I2006" s="46"/>
      <c r="J2006" s="32"/>
      <c r="K2006" s="32"/>
      <c r="L2006" s="32"/>
      <c r="M2006" s="32"/>
      <c r="N2006" s="32"/>
      <c r="O2006" s="32"/>
      <c r="P2006" s="32"/>
      <c r="Q2006" s="32"/>
    </row>
    <row r="2007" spans="9:17" x14ac:dyDescent="0.4">
      <c r="I2007" s="46"/>
      <c r="J2007" s="32"/>
      <c r="K2007" s="32"/>
      <c r="L2007" s="32"/>
      <c r="M2007" s="32"/>
      <c r="N2007" s="32"/>
      <c r="O2007" s="32"/>
      <c r="P2007" s="32"/>
      <c r="Q2007" s="32"/>
    </row>
    <row r="2008" spans="9:17" x14ac:dyDescent="0.4">
      <c r="I2008" s="46"/>
      <c r="J2008" s="32"/>
      <c r="K2008" s="32"/>
      <c r="L2008" s="32"/>
      <c r="M2008" s="32"/>
      <c r="N2008" s="32"/>
      <c r="O2008" s="32"/>
      <c r="P2008" s="32"/>
      <c r="Q2008" s="32"/>
    </row>
    <row r="2009" spans="9:17" x14ac:dyDescent="0.4">
      <c r="I2009" s="46"/>
      <c r="J2009" s="32"/>
      <c r="K2009" s="32"/>
      <c r="L2009" s="32"/>
      <c r="M2009" s="32"/>
      <c r="N2009" s="32"/>
      <c r="O2009" s="32"/>
      <c r="P2009" s="32"/>
      <c r="Q2009" s="32"/>
    </row>
    <row r="2010" spans="9:17" x14ac:dyDescent="0.4">
      <c r="I2010" s="46"/>
      <c r="J2010" s="32"/>
      <c r="K2010" s="32"/>
      <c r="L2010" s="32"/>
      <c r="M2010" s="32"/>
      <c r="N2010" s="32"/>
      <c r="O2010" s="32"/>
      <c r="P2010" s="32"/>
      <c r="Q2010" s="32"/>
    </row>
    <row r="2011" spans="9:17" x14ac:dyDescent="0.4">
      <c r="I2011" s="46"/>
      <c r="J2011" s="32"/>
      <c r="K2011" s="32"/>
      <c r="L2011" s="32"/>
      <c r="M2011" s="32"/>
      <c r="N2011" s="32"/>
      <c r="O2011" s="32"/>
      <c r="P2011" s="32"/>
      <c r="Q2011" s="32"/>
    </row>
    <row r="2012" spans="9:17" x14ac:dyDescent="0.4">
      <c r="I2012" s="46"/>
      <c r="J2012" s="32"/>
      <c r="K2012" s="32"/>
      <c r="L2012" s="32"/>
      <c r="M2012" s="32"/>
      <c r="N2012" s="32"/>
      <c r="O2012" s="32"/>
      <c r="P2012" s="32"/>
      <c r="Q2012" s="32"/>
    </row>
    <row r="2013" spans="9:17" x14ac:dyDescent="0.4">
      <c r="I2013" s="46"/>
      <c r="J2013" s="32"/>
      <c r="K2013" s="32"/>
      <c r="L2013" s="32"/>
      <c r="M2013" s="32"/>
      <c r="N2013" s="32"/>
      <c r="O2013" s="32"/>
      <c r="P2013" s="32"/>
      <c r="Q2013" s="32"/>
    </row>
    <row r="2014" spans="9:17" x14ac:dyDescent="0.4">
      <c r="I2014" s="46"/>
      <c r="J2014" s="32"/>
      <c r="K2014" s="32"/>
      <c r="L2014" s="32"/>
      <c r="M2014" s="32"/>
      <c r="N2014" s="32"/>
      <c r="O2014" s="32"/>
      <c r="P2014" s="32"/>
      <c r="Q2014" s="32"/>
    </row>
    <row r="2015" spans="9:17" x14ac:dyDescent="0.4">
      <c r="I2015" s="46"/>
      <c r="J2015" s="32"/>
      <c r="K2015" s="32"/>
      <c r="L2015" s="32"/>
      <c r="M2015" s="32"/>
      <c r="N2015" s="32"/>
      <c r="O2015" s="32"/>
      <c r="P2015" s="32"/>
      <c r="Q2015" s="32"/>
    </row>
    <row r="2016" spans="9:17" x14ac:dyDescent="0.4">
      <c r="I2016" s="46"/>
      <c r="J2016" s="32"/>
      <c r="K2016" s="32"/>
      <c r="L2016" s="32"/>
      <c r="M2016" s="32"/>
      <c r="N2016" s="32"/>
      <c r="O2016" s="32"/>
      <c r="P2016" s="32"/>
      <c r="Q2016" s="32"/>
    </row>
    <row r="2017" spans="9:17" x14ac:dyDescent="0.4">
      <c r="I2017" s="46"/>
      <c r="J2017" s="32"/>
      <c r="K2017" s="32"/>
      <c r="L2017" s="32"/>
      <c r="M2017" s="32"/>
      <c r="N2017" s="32"/>
      <c r="O2017" s="32"/>
      <c r="P2017" s="32"/>
      <c r="Q2017" s="32"/>
    </row>
    <row r="2018" spans="9:17" x14ac:dyDescent="0.4">
      <c r="I2018" s="46"/>
      <c r="J2018" s="32"/>
      <c r="K2018" s="32"/>
      <c r="L2018" s="32"/>
      <c r="M2018" s="32"/>
      <c r="N2018" s="32"/>
      <c r="O2018" s="32"/>
      <c r="P2018" s="32"/>
      <c r="Q2018" s="32"/>
    </row>
    <row r="2019" spans="9:17" x14ac:dyDescent="0.4">
      <c r="I2019" s="46"/>
      <c r="J2019" s="32"/>
      <c r="K2019" s="32"/>
      <c r="L2019" s="32"/>
      <c r="M2019" s="32"/>
      <c r="N2019" s="32"/>
      <c r="O2019" s="32"/>
      <c r="P2019" s="32"/>
      <c r="Q2019" s="32"/>
    </row>
    <row r="2020" spans="9:17" x14ac:dyDescent="0.4">
      <c r="I2020" s="46"/>
      <c r="J2020" s="32"/>
      <c r="K2020" s="32"/>
      <c r="L2020" s="32"/>
      <c r="M2020" s="32"/>
      <c r="N2020" s="32"/>
      <c r="O2020" s="32"/>
      <c r="P2020" s="32"/>
      <c r="Q2020" s="32"/>
    </row>
    <row r="2021" spans="9:17" x14ac:dyDescent="0.4">
      <c r="I2021" s="46"/>
      <c r="J2021" s="32"/>
      <c r="K2021" s="32"/>
      <c r="L2021" s="32"/>
      <c r="M2021" s="32"/>
      <c r="N2021" s="32"/>
      <c r="O2021" s="32"/>
      <c r="P2021" s="32"/>
      <c r="Q2021" s="32"/>
    </row>
    <row r="2022" spans="9:17" x14ac:dyDescent="0.4">
      <c r="I2022" s="46"/>
      <c r="J2022" s="32"/>
      <c r="K2022" s="32"/>
      <c r="L2022" s="32"/>
      <c r="M2022" s="32"/>
      <c r="N2022" s="32"/>
      <c r="O2022" s="32"/>
      <c r="P2022" s="32"/>
      <c r="Q2022" s="32"/>
    </row>
    <row r="2023" spans="9:17" x14ac:dyDescent="0.4">
      <c r="I2023" s="46"/>
      <c r="J2023" s="32"/>
      <c r="K2023" s="32"/>
      <c r="L2023" s="32"/>
      <c r="M2023" s="32"/>
      <c r="N2023" s="32"/>
      <c r="O2023" s="32"/>
      <c r="P2023" s="32"/>
      <c r="Q2023" s="32"/>
    </row>
    <row r="2024" spans="9:17" x14ac:dyDescent="0.4">
      <c r="I2024" s="46"/>
      <c r="J2024" s="32"/>
      <c r="K2024" s="32"/>
      <c r="L2024" s="32"/>
      <c r="M2024" s="32"/>
      <c r="N2024" s="32"/>
      <c r="O2024" s="32"/>
      <c r="P2024" s="32"/>
      <c r="Q2024" s="32"/>
    </row>
    <row r="2025" spans="9:17" x14ac:dyDescent="0.4">
      <c r="I2025" s="46"/>
      <c r="J2025" s="32"/>
      <c r="K2025" s="32"/>
      <c r="L2025" s="32"/>
      <c r="M2025" s="32"/>
      <c r="N2025" s="32"/>
      <c r="O2025" s="32"/>
      <c r="P2025" s="32"/>
      <c r="Q2025" s="32"/>
    </row>
    <row r="2026" spans="9:17" x14ac:dyDescent="0.4">
      <c r="I2026" s="46"/>
      <c r="J2026" s="32"/>
      <c r="K2026" s="32"/>
      <c r="L2026" s="32"/>
      <c r="M2026" s="32"/>
      <c r="N2026" s="32"/>
      <c r="O2026" s="32"/>
      <c r="P2026" s="32"/>
      <c r="Q2026" s="32"/>
    </row>
    <row r="2027" spans="9:17" x14ac:dyDescent="0.4">
      <c r="I2027" s="46"/>
      <c r="J2027" s="32"/>
      <c r="K2027" s="32"/>
      <c r="L2027" s="32"/>
      <c r="M2027" s="32"/>
      <c r="N2027" s="32"/>
      <c r="O2027" s="32"/>
      <c r="P2027" s="32"/>
      <c r="Q2027" s="32"/>
    </row>
    <row r="2028" spans="9:17" x14ac:dyDescent="0.4">
      <c r="I2028" s="46"/>
      <c r="J2028" s="32"/>
      <c r="K2028" s="32"/>
      <c r="L2028" s="32"/>
      <c r="M2028" s="32"/>
      <c r="N2028" s="32"/>
      <c r="O2028" s="32"/>
      <c r="P2028" s="32"/>
      <c r="Q2028" s="32"/>
    </row>
    <row r="2029" spans="9:17" x14ac:dyDescent="0.4">
      <c r="I2029" s="46"/>
      <c r="J2029" s="32"/>
      <c r="K2029" s="32"/>
      <c r="L2029" s="32"/>
      <c r="M2029" s="32"/>
      <c r="N2029" s="32"/>
      <c r="O2029" s="32"/>
      <c r="P2029" s="32"/>
      <c r="Q2029" s="32"/>
    </row>
    <row r="2030" spans="9:17" x14ac:dyDescent="0.4">
      <c r="I2030" s="46"/>
      <c r="J2030" s="32"/>
      <c r="K2030" s="32"/>
      <c r="L2030" s="32"/>
      <c r="M2030" s="32"/>
      <c r="N2030" s="32"/>
      <c r="O2030" s="32"/>
      <c r="P2030" s="32"/>
      <c r="Q2030" s="32"/>
    </row>
    <row r="2031" spans="9:17" x14ac:dyDescent="0.4">
      <c r="I2031" s="46"/>
      <c r="J2031" s="32"/>
      <c r="K2031" s="32"/>
      <c r="L2031" s="32"/>
      <c r="M2031" s="32"/>
      <c r="N2031" s="32"/>
      <c r="O2031" s="32"/>
      <c r="P2031" s="32"/>
      <c r="Q2031" s="32"/>
    </row>
    <row r="2032" spans="9:17" x14ac:dyDescent="0.4">
      <c r="I2032" s="46"/>
      <c r="J2032" s="32"/>
      <c r="K2032" s="32"/>
      <c r="L2032" s="32"/>
      <c r="M2032" s="32"/>
      <c r="N2032" s="32"/>
      <c r="O2032" s="32"/>
      <c r="P2032" s="32"/>
      <c r="Q2032" s="32"/>
    </row>
    <row r="2033" spans="9:17" x14ac:dyDescent="0.4">
      <c r="I2033" s="46"/>
      <c r="J2033" s="32"/>
      <c r="K2033" s="32"/>
      <c r="L2033" s="32"/>
      <c r="M2033" s="32"/>
      <c r="N2033" s="32"/>
      <c r="O2033" s="32"/>
      <c r="P2033" s="32"/>
      <c r="Q2033" s="32"/>
    </row>
    <row r="2034" spans="9:17" x14ac:dyDescent="0.4">
      <c r="I2034" s="46"/>
      <c r="J2034" s="32"/>
      <c r="K2034" s="32"/>
      <c r="L2034" s="32"/>
      <c r="M2034" s="32"/>
      <c r="N2034" s="32"/>
      <c r="O2034" s="32"/>
      <c r="P2034" s="32"/>
      <c r="Q2034" s="32"/>
    </row>
    <row r="2035" spans="9:17" x14ac:dyDescent="0.4">
      <c r="I2035" s="46"/>
      <c r="J2035" s="32"/>
      <c r="K2035" s="32"/>
      <c r="L2035" s="32"/>
      <c r="M2035" s="32"/>
      <c r="N2035" s="32"/>
      <c r="O2035" s="32"/>
      <c r="P2035" s="32"/>
      <c r="Q2035" s="32"/>
    </row>
    <row r="2036" spans="9:17" x14ac:dyDescent="0.4">
      <c r="I2036" s="46"/>
      <c r="J2036" s="32"/>
      <c r="K2036" s="32"/>
      <c r="L2036" s="32"/>
      <c r="M2036" s="32"/>
      <c r="N2036" s="32"/>
      <c r="O2036" s="32"/>
      <c r="P2036" s="32"/>
      <c r="Q2036" s="32"/>
    </row>
    <row r="2037" spans="9:17" x14ac:dyDescent="0.4">
      <c r="I2037" s="46"/>
      <c r="J2037" s="32"/>
      <c r="K2037" s="32"/>
      <c r="L2037" s="32"/>
      <c r="M2037" s="32"/>
      <c r="N2037" s="32"/>
      <c r="O2037" s="32"/>
      <c r="P2037" s="32"/>
      <c r="Q2037" s="32"/>
    </row>
    <row r="2038" spans="9:17" x14ac:dyDescent="0.4">
      <c r="I2038" s="46"/>
      <c r="J2038" s="32"/>
      <c r="K2038" s="32"/>
      <c r="L2038" s="32"/>
      <c r="M2038" s="32"/>
      <c r="N2038" s="32"/>
      <c r="O2038" s="32"/>
      <c r="P2038" s="32"/>
      <c r="Q2038" s="32"/>
    </row>
    <row r="2039" spans="9:17" x14ac:dyDescent="0.4">
      <c r="I2039" s="46"/>
      <c r="J2039" s="32"/>
      <c r="K2039" s="32"/>
      <c r="L2039" s="32"/>
      <c r="M2039" s="32"/>
      <c r="N2039" s="32"/>
      <c r="O2039" s="32"/>
      <c r="P2039" s="32"/>
      <c r="Q2039" s="32"/>
    </row>
    <row r="2040" spans="9:17" x14ac:dyDescent="0.4">
      <c r="I2040" s="46"/>
      <c r="J2040" s="32"/>
      <c r="K2040" s="32"/>
      <c r="L2040" s="32"/>
      <c r="M2040" s="32"/>
      <c r="N2040" s="32"/>
      <c r="O2040" s="32"/>
      <c r="P2040" s="32"/>
      <c r="Q2040" s="32"/>
    </row>
    <row r="2041" spans="9:17" x14ac:dyDescent="0.4">
      <c r="I2041" s="46"/>
      <c r="J2041" s="32"/>
      <c r="K2041" s="32"/>
      <c r="L2041" s="32"/>
      <c r="M2041" s="32"/>
      <c r="N2041" s="32"/>
      <c r="O2041" s="32"/>
      <c r="P2041" s="32"/>
      <c r="Q2041" s="32"/>
    </row>
    <row r="2042" spans="9:17" x14ac:dyDescent="0.4">
      <c r="I2042" s="46"/>
      <c r="J2042" s="32"/>
      <c r="K2042" s="32"/>
      <c r="L2042" s="32"/>
      <c r="M2042" s="32"/>
      <c r="N2042" s="32"/>
      <c r="O2042" s="32"/>
      <c r="P2042" s="32"/>
      <c r="Q2042" s="32"/>
    </row>
    <row r="2043" spans="9:17" x14ac:dyDescent="0.4">
      <c r="I2043" s="46"/>
      <c r="J2043" s="32"/>
      <c r="K2043" s="32"/>
      <c r="L2043" s="32"/>
      <c r="M2043" s="32"/>
      <c r="N2043" s="32"/>
      <c r="O2043" s="32"/>
      <c r="P2043" s="32"/>
      <c r="Q2043" s="32"/>
    </row>
    <row r="2044" spans="9:17" x14ac:dyDescent="0.4">
      <c r="I2044" s="46"/>
      <c r="J2044" s="32"/>
      <c r="K2044" s="32"/>
      <c r="L2044" s="32"/>
      <c r="M2044" s="32"/>
      <c r="N2044" s="32"/>
      <c r="O2044" s="32"/>
      <c r="P2044" s="32"/>
      <c r="Q2044" s="32"/>
    </row>
    <row r="2045" spans="9:17" x14ac:dyDescent="0.4">
      <c r="I2045" s="46"/>
      <c r="J2045" s="32"/>
      <c r="K2045" s="32"/>
      <c r="L2045" s="32"/>
      <c r="M2045" s="32"/>
      <c r="N2045" s="32"/>
      <c r="O2045" s="32"/>
      <c r="P2045" s="32"/>
      <c r="Q2045" s="32"/>
    </row>
    <row r="2046" spans="9:17" x14ac:dyDescent="0.4">
      <c r="I2046" s="46"/>
      <c r="J2046" s="32"/>
      <c r="K2046" s="32"/>
      <c r="L2046" s="32"/>
      <c r="M2046" s="32"/>
      <c r="N2046" s="32"/>
      <c r="O2046" s="32"/>
      <c r="P2046" s="32"/>
      <c r="Q2046" s="32"/>
    </row>
    <row r="2047" spans="9:17" x14ac:dyDescent="0.4">
      <c r="I2047" s="46"/>
      <c r="J2047" s="32"/>
      <c r="K2047" s="32"/>
      <c r="L2047" s="32"/>
      <c r="M2047" s="32"/>
      <c r="N2047" s="32"/>
      <c r="O2047" s="32"/>
      <c r="P2047" s="32"/>
      <c r="Q2047" s="32"/>
    </row>
    <row r="2048" spans="9:17" x14ac:dyDescent="0.4">
      <c r="I2048" s="46"/>
      <c r="J2048" s="32"/>
      <c r="K2048" s="32"/>
      <c r="L2048" s="32"/>
      <c r="M2048" s="32"/>
      <c r="N2048" s="32"/>
      <c r="O2048" s="32"/>
      <c r="P2048" s="32"/>
      <c r="Q2048" s="32"/>
    </row>
    <row r="2049" spans="9:17" x14ac:dyDescent="0.4">
      <c r="I2049" s="46"/>
      <c r="J2049" s="32"/>
      <c r="K2049" s="32"/>
      <c r="L2049" s="32"/>
      <c r="M2049" s="32"/>
      <c r="N2049" s="32"/>
      <c r="O2049" s="32"/>
      <c r="P2049" s="32"/>
      <c r="Q2049" s="32"/>
    </row>
    <row r="2050" spans="9:17" x14ac:dyDescent="0.4">
      <c r="I2050" s="46"/>
      <c r="J2050" s="32"/>
      <c r="K2050" s="32"/>
      <c r="L2050" s="32"/>
      <c r="M2050" s="32"/>
      <c r="N2050" s="32"/>
      <c r="O2050" s="32"/>
      <c r="P2050" s="32"/>
      <c r="Q2050" s="32"/>
    </row>
    <row r="2051" spans="9:17" x14ac:dyDescent="0.4">
      <c r="I2051" s="46"/>
      <c r="J2051" s="32"/>
      <c r="K2051" s="32"/>
      <c r="L2051" s="32"/>
      <c r="M2051" s="32"/>
      <c r="N2051" s="32"/>
      <c r="O2051" s="32"/>
      <c r="P2051" s="32"/>
      <c r="Q2051" s="32"/>
    </row>
    <row r="2052" spans="9:17" x14ac:dyDescent="0.4">
      <c r="I2052" s="46"/>
      <c r="J2052" s="32"/>
      <c r="K2052" s="32"/>
      <c r="L2052" s="32"/>
      <c r="M2052" s="32"/>
      <c r="N2052" s="32"/>
      <c r="O2052" s="32"/>
      <c r="P2052" s="32"/>
      <c r="Q2052" s="32"/>
    </row>
    <row r="2053" spans="9:17" x14ac:dyDescent="0.4">
      <c r="I2053" s="46"/>
      <c r="J2053" s="32"/>
      <c r="K2053" s="32"/>
      <c r="L2053" s="32"/>
      <c r="M2053" s="32"/>
      <c r="N2053" s="32"/>
      <c r="O2053" s="32"/>
      <c r="P2053" s="32"/>
      <c r="Q2053" s="32"/>
    </row>
    <row r="2054" spans="9:17" x14ac:dyDescent="0.4">
      <c r="I2054" s="46"/>
      <c r="J2054" s="32"/>
      <c r="K2054" s="32"/>
      <c r="L2054" s="32"/>
      <c r="M2054" s="32"/>
      <c r="N2054" s="32"/>
      <c r="O2054" s="32"/>
      <c r="P2054" s="32"/>
      <c r="Q2054" s="32"/>
    </row>
    <row r="2055" spans="9:17" x14ac:dyDescent="0.4">
      <c r="I2055" s="46"/>
      <c r="J2055" s="32"/>
      <c r="K2055" s="32"/>
      <c r="L2055" s="32"/>
      <c r="M2055" s="32"/>
      <c r="N2055" s="32"/>
      <c r="O2055" s="32"/>
      <c r="P2055" s="32"/>
      <c r="Q2055" s="32"/>
    </row>
    <row r="2056" spans="9:17" x14ac:dyDescent="0.4">
      <c r="I2056" s="46"/>
      <c r="J2056" s="32"/>
      <c r="K2056" s="32"/>
      <c r="L2056" s="32"/>
      <c r="M2056" s="32"/>
      <c r="N2056" s="32"/>
      <c r="O2056" s="32"/>
      <c r="P2056" s="32"/>
      <c r="Q2056" s="32"/>
    </row>
    <row r="2057" spans="9:17" x14ac:dyDescent="0.4">
      <c r="I2057" s="46"/>
      <c r="J2057" s="32"/>
      <c r="K2057" s="32"/>
      <c r="L2057" s="32"/>
      <c r="M2057" s="32"/>
      <c r="N2057" s="32"/>
      <c r="O2057" s="32"/>
      <c r="P2057" s="32"/>
      <c r="Q2057" s="32"/>
    </row>
    <row r="2058" spans="9:17" x14ac:dyDescent="0.4">
      <c r="I2058" s="46"/>
      <c r="J2058" s="32"/>
      <c r="K2058" s="32"/>
      <c r="L2058" s="32"/>
      <c r="M2058" s="32"/>
      <c r="N2058" s="32"/>
      <c r="O2058" s="32"/>
      <c r="P2058" s="32"/>
      <c r="Q2058" s="32"/>
    </row>
    <row r="2059" spans="9:17" x14ac:dyDescent="0.4">
      <c r="I2059" s="46"/>
      <c r="J2059" s="32"/>
      <c r="K2059" s="32"/>
      <c r="L2059" s="32"/>
      <c r="M2059" s="32"/>
      <c r="N2059" s="32"/>
      <c r="O2059" s="32"/>
      <c r="P2059" s="32"/>
      <c r="Q2059" s="32"/>
    </row>
    <row r="2060" spans="9:17" x14ac:dyDescent="0.4">
      <c r="I2060" s="46"/>
      <c r="J2060" s="32"/>
      <c r="K2060" s="32"/>
      <c r="L2060" s="32"/>
      <c r="M2060" s="32"/>
      <c r="N2060" s="32"/>
      <c r="O2060" s="32"/>
      <c r="P2060" s="32"/>
      <c r="Q2060" s="32"/>
    </row>
    <row r="2061" spans="9:17" x14ac:dyDescent="0.4">
      <c r="I2061" s="46"/>
      <c r="J2061" s="32"/>
      <c r="K2061" s="32"/>
      <c r="L2061" s="32"/>
      <c r="M2061" s="32"/>
      <c r="N2061" s="32"/>
      <c r="O2061" s="32"/>
      <c r="P2061" s="32"/>
      <c r="Q2061" s="32"/>
    </row>
    <row r="2062" spans="9:17" x14ac:dyDescent="0.4">
      <c r="I2062" s="46"/>
      <c r="J2062" s="32"/>
      <c r="K2062" s="32"/>
      <c r="L2062" s="32"/>
      <c r="M2062" s="32"/>
      <c r="N2062" s="32"/>
      <c r="O2062" s="32"/>
      <c r="P2062" s="32"/>
      <c r="Q2062" s="32"/>
    </row>
    <row r="2063" spans="9:17" x14ac:dyDescent="0.4">
      <c r="I2063" s="46"/>
      <c r="J2063" s="32"/>
      <c r="K2063" s="32"/>
      <c r="L2063" s="32"/>
      <c r="M2063" s="32"/>
      <c r="N2063" s="32"/>
      <c r="O2063" s="32"/>
      <c r="P2063" s="32"/>
      <c r="Q2063" s="32"/>
    </row>
    <row r="2064" spans="9:17" x14ac:dyDescent="0.4">
      <c r="I2064" s="46"/>
      <c r="J2064" s="32"/>
      <c r="K2064" s="32"/>
      <c r="L2064" s="32"/>
      <c r="M2064" s="32"/>
      <c r="N2064" s="32"/>
      <c r="O2064" s="32"/>
      <c r="P2064" s="32"/>
      <c r="Q2064" s="32"/>
    </row>
    <row r="2065" spans="9:17" x14ac:dyDescent="0.4">
      <c r="I2065" s="46"/>
      <c r="J2065" s="32"/>
      <c r="K2065" s="32"/>
      <c r="L2065" s="32"/>
      <c r="M2065" s="32"/>
      <c r="N2065" s="32"/>
      <c r="O2065" s="32"/>
      <c r="P2065" s="32"/>
      <c r="Q2065" s="32"/>
    </row>
    <row r="2066" spans="9:17" x14ac:dyDescent="0.4">
      <c r="I2066" s="46"/>
      <c r="J2066" s="32"/>
      <c r="K2066" s="32"/>
      <c r="L2066" s="32"/>
      <c r="M2066" s="32"/>
      <c r="N2066" s="32"/>
      <c r="O2066" s="32"/>
      <c r="P2066" s="32"/>
      <c r="Q2066" s="32"/>
    </row>
    <row r="2067" spans="9:17" x14ac:dyDescent="0.4">
      <c r="I2067" s="46"/>
      <c r="J2067" s="32"/>
      <c r="K2067" s="32"/>
      <c r="L2067" s="32"/>
      <c r="M2067" s="32"/>
      <c r="N2067" s="32"/>
      <c r="O2067" s="32"/>
      <c r="P2067" s="32"/>
      <c r="Q2067" s="32"/>
    </row>
    <row r="2068" spans="9:17" x14ac:dyDescent="0.4">
      <c r="I2068" s="46"/>
      <c r="J2068" s="32"/>
      <c r="K2068" s="32"/>
      <c r="L2068" s="32"/>
      <c r="M2068" s="32"/>
      <c r="N2068" s="32"/>
      <c r="O2068" s="32"/>
      <c r="P2068" s="32"/>
      <c r="Q2068" s="32"/>
    </row>
    <row r="2069" spans="9:17" x14ac:dyDescent="0.4">
      <c r="I2069" s="46"/>
      <c r="J2069" s="32"/>
      <c r="K2069" s="32"/>
      <c r="L2069" s="32"/>
      <c r="M2069" s="32"/>
      <c r="N2069" s="32"/>
      <c r="O2069" s="32"/>
      <c r="P2069" s="32"/>
      <c r="Q2069" s="32"/>
    </row>
    <row r="2070" spans="9:17" x14ac:dyDescent="0.4">
      <c r="I2070" s="46"/>
      <c r="J2070" s="32"/>
      <c r="K2070" s="32"/>
      <c r="L2070" s="32"/>
      <c r="M2070" s="32"/>
      <c r="N2070" s="32"/>
      <c r="O2070" s="32"/>
      <c r="P2070" s="32"/>
      <c r="Q2070" s="32"/>
    </row>
    <row r="2071" spans="9:17" x14ac:dyDescent="0.4">
      <c r="I2071" s="46"/>
      <c r="J2071" s="32"/>
      <c r="K2071" s="32"/>
      <c r="L2071" s="32"/>
      <c r="M2071" s="32"/>
      <c r="N2071" s="32"/>
      <c r="O2071" s="32"/>
      <c r="P2071" s="32"/>
      <c r="Q2071" s="32"/>
    </row>
    <row r="2072" spans="9:17" x14ac:dyDescent="0.4">
      <c r="I2072" s="46"/>
      <c r="J2072" s="32"/>
      <c r="K2072" s="32"/>
      <c r="L2072" s="32"/>
      <c r="M2072" s="32"/>
      <c r="N2072" s="32"/>
      <c r="O2072" s="32"/>
      <c r="P2072" s="32"/>
      <c r="Q2072" s="32"/>
    </row>
    <row r="2073" spans="9:17" x14ac:dyDescent="0.4">
      <c r="I2073" s="46"/>
      <c r="J2073" s="32"/>
      <c r="K2073" s="32"/>
      <c r="L2073" s="32"/>
      <c r="M2073" s="32"/>
      <c r="N2073" s="32"/>
      <c r="O2073" s="32"/>
      <c r="P2073" s="32"/>
      <c r="Q2073" s="32"/>
    </row>
    <row r="2074" spans="9:17" x14ac:dyDescent="0.4">
      <c r="I2074" s="46"/>
      <c r="J2074" s="32"/>
      <c r="K2074" s="32"/>
      <c r="L2074" s="32"/>
      <c r="M2074" s="32"/>
      <c r="N2074" s="32"/>
      <c r="O2074" s="32"/>
      <c r="P2074" s="32"/>
      <c r="Q2074" s="32"/>
    </row>
    <row r="2075" spans="9:17" x14ac:dyDescent="0.4">
      <c r="I2075" s="46"/>
      <c r="J2075" s="32"/>
      <c r="K2075" s="32"/>
      <c r="L2075" s="32"/>
      <c r="M2075" s="32"/>
      <c r="N2075" s="32"/>
      <c r="O2075" s="32"/>
      <c r="P2075" s="32"/>
      <c r="Q2075" s="32"/>
    </row>
    <row r="2076" spans="9:17" x14ac:dyDescent="0.4">
      <c r="I2076" s="46"/>
      <c r="J2076" s="32"/>
      <c r="K2076" s="32"/>
      <c r="L2076" s="32"/>
      <c r="M2076" s="32"/>
      <c r="N2076" s="32"/>
      <c r="O2076" s="32"/>
      <c r="P2076" s="32"/>
      <c r="Q2076" s="32"/>
    </row>
    <row r="2077" spans="9:17" x14ac:dyDescent="0.4">
      <c r="I2077" s="46"/>
      <c r="J2077" s="32"/>
      <c r="K2077" s="32"/>
      <c r="L2077" s="32"/>
      <c r="M2077" s="32"/>
      <c r="N2077" s="32"/>
      <c r="O2077" s="32"/>
      <c r="P2077" s="32"/>
      <c r="Q2077" s="32"/>
    </row>
    <row r="2078" spans="9:17" x14ac:dyDescent="0.4">
      <c r="I2078" s="46"/>
      <c r="J2078" s="32"/>
      <c r="K2078" s="32"/>
      <c r="L2078" s="32"/>
      <c r="M2078" s="32"/>
      <c r="N2078" s="32"/>
      <c r="O2078" s="32"/>
      <c r="P2078" s="32"/>
      <c r="Q2078" s="32"/>
    </row>
    <row r="2079" spans="9:17" x14ac:dyDescent="0.4">
      <c r="I2079" s="46"/>
      <c r="J2079" s="32"/>
      <c r="K2079" s="32"/>
      <c r="L2079" s="32"/>
      <c r="M2079" s="32"/>
      <c r="N2079" s="32"/>
      <c r="O2079" s="32"/>
      <c r="P2079" s="32"/>
      <c r="Q2079" s="32"/>
    </row>
    <row r="2080" spans="9:17" x14ac:dyDescent="0.4">
      <c r="I2080" s="46"/>
      <c r="J2080" s="32"/>
      <c r="K2080" s="32"/>
      <c r="L2080" s="32"/>
      <c r="M2080" s="32"/>
      <c r="N2080" s="32"/>
      <c r="O2080" s="32"/>
      <c r="P2080" s="32"/>
      <c r="Q2080" s="32"/>
    </row>
    <row r="2081" spans="9:17" x14ac:dyDescent="0.4">
      <c r="I2081" s="46"/>
      <c r="J2081" s="32"/>
      <c r="K2081" s="32"/>
      <c r="L2081" s="32"/>
      <c r="M2081" s="32"/>
      <c r="N2081" s="32"/>
      <c r="O2081" s="32"/>
      <c r="P2081" s="32"/>
      <c r="Q2081" s="32"/>
    </row>
    <row r="2082" spans="9:17" x14ac:dyDescent="0.4">
      <c r="I2082" s="46"/>
      <c r="J2082" s="32"/>
      <c r="K2082" s="32"/>
      <c r="L2082" s="32"/>
      <c r="M2082" s="32"/>
      <c r="N2082" s="32"/>
      <c r="O2082" s="32"/>
      <c r="P2082" s="32"/>
      <c r="Q2082" s="32"/>
    </row>
    <row r="2083" spans="9:17" x14ac:dyDescent="0.4">
      <c r="I2083" s="46"/>
      <c r="J2083" s="32"/>
      <c r="K2083" s="32"/>
      <c r="L2083" s="32"/>
      <c r="M2083" s="32"/>
      <c r="N2083" s="32"/>
      <c r="O2083" s="32"/>
      <c r="P2083" s="32"/>
      <c r="Q2083" s="32"/>
    </row>
    <row r="2084" spans="9:17" x14ac:dyDescent="0.4">
      <c r="I2084" s="46"/>
      <c r="J2084" s="32"/>
      <c r="K2084" s="32"/>
      <c r="L2084" s="32"/>
      <c r="M2084" s="32"/>
      <c r="N2084" s="32"/>
      <c r="O2084" s="32"/>
      <c r="P2084" s="32"/>
      <c r="Q2084" s="32"/>
    </row>
    <row r="2085" spans="9:17" x14ac:dyDescent="0.4">
      <c r="I2085" s="46"/>
      <c r="J2085" s="32"/>
      <c r="K2085" s="32"/>
      <c r="L2085" s="32"/>
      <c r="M2085" s="32"/>
      <c r="N2085" s="32"/>
      <c r="O2085" s="32"/>
      <c r="P2085" s="32"/>
      <c r="Q2085" s="32"/>
    </row>
    <row r="2086" spans="9:17" x14ac:dyDescent="0.4">
      <c r="I2086" s="46"/>
      <c r="J2086" s="32"/>
      <c r="K2086" s="32"/>
      <c r="L2086" s="32"/>
      <c r="M2086" s="32"/>
      <c r="N2086" s="32"/>
      <c r="O2086" s="32"/>
      <c r="P2086" s="32"/>
      <c r="Q2086" s="32"/>
    </row>
    <row r="2087" spans="9:17" x14ac:dyDescent="0.4">
      <c r="I2087" s="46"/>
      <c r="J2087" s="32"/>
      <c r="K2087" s="32"/>
      <c r="L2087" s="32"/>
      <c r="M2087" s="32"/>
      <c r="N2087" s="32"/>
      <c r="O2087" s="32"/>
      <c r="P2087" s="32"/>
      <c r="Q2087" s="32"/>
    </row>
    <row r="2088" spans="9:17" x14ac:dyDescent="0.4">
      <c r="I2088" s="46"/>
      <c r="J2088" s="32"/>
      <c r="K2088" s="32"/>
      <c r="L2088" s="32"/>
      <c r="M2088" s="32"/>
      <c r="N2088" s="32"/>
      <c r="O2088" s="32"/>
      <c r="P2088" s="32"/>
      <c r="Q2088" s="32"/>
    </row>
    <row r="2089" spans="9:17" x14ac:dyDescent="0.4">
      <c r="I2089" s="46"/>
      <c r="J2089" s="32"/>
      <c r="K2089" s="32"/>
      <c r="L2089" s="32"/>
      <c r="M2089" s="32"/>
      <c r="N2089" s="32"/>
      <c r="O2089" s="32"/>
      <c r="P2089" s="32"/>
      <c r="Q2089" s="32"/>
    </row>
    <row r="2090" spans="9:17" x14ac:dyDescent="0.4">
      <c r="I2090" s="46"/>
      <c r="J2090" s="32"/>
      <c r="K2090" s="32"/>
      <c r="L2090" s="32"/>
      <c r="M2090" s="32"/>
      <c r="N2090" s="32"/>
      <c r="O2090" s="32"/>
      <c r="P2090" s="32"/>
      <c r="Q2090" s="32"/>
    </row>
    <row r="2091" spans="9:17" x14ac:dyDescent="0.4">
      <c r="I2091" s="46"/>
      <c r="J2091" s="32"/>
      <c r="K2091" s="32"/>
      <c r="L2091" s="32"/>
      <c r="M2091" s="32"/>
      <c r="N2091" s="32"/>
      <c r="O2091" s="32"/>
      <c r="P2091" s="32"/>
      <c r="Q2091" s="32"/>
    </row>
    <row r="2092" spans="9:17" x14ac:dyDescent="0.4">
      <c r="I2092" s="46"/>
      <c r="J2092" s="32"/>
      <c r="K2092" s="32"/>
      <c r="L2092" s="32"/>
      <c r="M2092" s="32"/>
      <c r="N2092" s="32"/>
      <c r="O2092" s="32"/>
      <c r="P2092" s="32"/>
      <c r="Q2092" s="32"/>
    </row>
    <row r="2093" spans="9:17" x14ac:dyDescent="0.4">
      <c r="I2093" s="46"/>
      <c r="J2093" s="32"/>
      <c r="K2093" s="32"/>
      <c r="L2093" s="32"/>
      <c r="M2093" s="32"/>
      <c r="N2093" s="32"/>
      <c r="O2093" s="32"/>
      <c r="P2093" s="32"/>
      <c r="Q2093" s="32"/>
    </row>
    <row r="2094" spans="9:17" x14ac:dyDescent="0.4">
      <c r="I2094" s="46"/>
      <c r="J2094" s="32"/>
      <c r="K2094" s="32"/>
      <c r="L2094" s="32"/>
      <c r="M2094" s="32"/>
      <c r="N2094" s="32"/>
      <c r="O2094" s="32"/>
      <c r="P2094" s="32"/>
      <c r="Q2094" s="32"/>
    </row>
    <row r="2095" spans="9:17" x14ac:dyDescent="0.4">
      <c r="I2095" s="46"/>
      <c r="J2095" s="32"/>
      <c r="K2095" s="32"/>
      <c r="L2095" s="32"/>
      <c r="M2095" s="32"/>
      <c r="N2095" s="32"/>
      <c r="O2095" s="32"/>
      <c r="P2095" s="32"/>
      <c r="Q2095" s="32"/>
    </row>
    <row r="2096" spans="9:17" x14ac:dyDescent="0.4">
      <c r="I2096" s="46"/>
      <c r="J2096" s="32"/>
      <c r="K2096" s="32"/>
      <c r="L2096" s="32"/>
      <c r="M2096" s="32"/>
      <c r="N2096" s="32"/>
      <c r="O2096" s="32"/>
      <c r="P2096" s="32"/>
      <c r="Q2096" s="32"/>
    </row>
    <row r="2097" spans="9:17" x14ac:dyDescent="0.4">
      <c r="I2097" s="46"/>
      <c r="J2097" s="32"/>
      <c r="K2097" s="32"/>
      <c r="L2097" s="32"/>
      <c r="M2097" s="32"/>
      <c r="N2097" s="32"/>
      <c r="O2097" s="32"/>
      <c r="P2097" s="32"/>
      <c r="Q2097" s="32"/>
    </row>
    <row r="2098" spans="9:17" x14ac:dyDescent="0.4">
      <c r="I2098" s="46"/>
      <c r="J2098" s="32"/>
      <c r="K2098" s="32"/>
      <c r="L2098" s="32"/>
      <c r="M2098" s="32"/>
      <c r="N2098" s="32"/>
      <c r="O2098" s="32"/>
      <c r="P2098" s="32"/>
      <c r="Q2098" s="32"/>
    </row>
    <row r="2099" spans="9:17" x14ac:dyDescent="0.4">
      <c r="I2099" s="46"/>
      <c r="J2099" s="32"/>
      <c r="K2099" s="32"/>
      <c r="L2099" s="32"/>
      <c r="M2099" s="32"/>
      <c r="N2099" s="32"/>
      <c r="O2099" s="32"/>
      <c r="P2099" s="32"/>
      <c r="Q2099" s="32"/>
    </row>
    <row r="2100" spans="9:17" x14ac:dyDescent="0.4">
      <c r="I2100" s="46"/>
      <c r="J2100" s="32"/>
      <c r="K2100" s="32"/>
      <c r="L2100" s="32"/>
      <c r="M2100" s="32"/>
      <c r="N2100" s="32"/>
      <c r="O2100" s="32"/>
      <c r="P2100" s="32"/>
      <c r="Q2100" s="32"/>
    </row>
    <row r="2101" spans="9:17" x14ac:dyDescent="0.4">
      <c r="I2101" s="46"/>
      <c r="J2101" s="32"/>
      <c r="K2101" s="32"/>
      <c r="L2101" s="32"/>
      <c r="M2101" s="32"/>
      <c r="N2101" s="32"/>
      <c r="O2101" s="32"/>
      <c r="P2101" s="32"/>
      <c r="Q2101" s="32"/>
    </row>
    <row r="2102" spans="9:17" x14ac:dyDescent="0.4">
      <c r="I2102" s="46"/>
      <c r="J2102" s="32"/>
      <c r="K2102" s="32"/>
      <c r="L2102" s="32"/>
      <c r="M2102" s="32"/>
      <c r="N2102" s="32"/>
      <c r="O2102" s="32"/>
      <c r="P2102" s="32"/>
      <c r="Q2102" s="32"/>
    </row>
    <row r="2103" spans="9:17" x14ac:dyDescent="0.4">
      <c r="I2103" s="46"/>
      <c r="J2103" s="32"/>
      <c r="K2103" s="32"/>
      <c r="L2103" s="32"/>
      <c r="M2103" s="32"/>
      <c r="N2103" s="32"/>
      <c r="O2103" s="32"/>
      <c r="P2103" s="32"/>
      <c r="Q2103" s="32"/>
    </row>
    <row r="2104" spans="9:17" x14ac:dyDescent="0.4">
      <c r="I2104" s="46"/>
      <c r="J2104" s="32"/>
      <c r="K2104" s="32"/>
      <c r="L2104" s="32"/>
      <c r="M2104" s="32"/>
      <c r="N2104" s="32"/>
      <c r="O2104" s="32"/>
      <c r="P2104" s="32"/>
      <c r="Q2104" s="32"/>
    </row>
    <row r="2105" spans="9:17" x14ac:dyDescent="0.4">
      <c r="I2105" s="46"/>
      <c r="J2105" s="32"/>
      <c r="K2105" s="32"/>
      <c r="L2105" s="32"/>
      <c r="M2105" s="32"/>
      <c r="N2105" s="32"/>
      <c r="O2105" s="32"/>
      <c r="P2105" s="32"/>
      <c r="Q2105" s="32"/>
    </row>
    <row r="2106" spans="9:17" x14ac:dyDescent="0.4">
      <c r="I2106" s="46"/>
      <c r="J2106" s="32"/>
      <c r="K2106" s="32"/>
      <c r="L2106" s="32"/>
      <c r="M2106" s="32"/>
      <c r="N2106" s="32"/>
      <c r="O2106" s="32"/>
      <c r="P2106" s="32"/>
      <c r="Q2106" s="32"/>
    </row>
    <row r="2107" spans="9:17" x14ac:dyDescent="0.4">
      <c r="I2107" s="46"/>
      <c r="J2107" s="32"/>
      <c r="K2107" s="32"/>
      <c r="L2107" s="32"/>
      <c r="M2107" s="32"/>
      <c r="N2107" s="32"/>
      <c r="O2107" s="32"/>
      <c r="P2107" s="32"/>
      <c r="Q2107" s="32"/>
    </row>
    <row r="2108" spans="9:17" x14ac:dyDescent="0.4">
      <c r="I2108" s="46"/>
      <c r="J2108" s="32"/>
      <c r="K2108" s="32"/>
      <c r="L2108" s="32"/>
      <c r="M2108" s="32"/>
      <c r="N2108" s="32"/>
      <c r="O2108" s="32"/>
      <c r="P2108" s="32"/>
      <c r="Q2108" s="32"/>
    </row>
    <row r="2109" spans="9:17" x14ac:dyDescent="0.4">
      <c r="I2109" s="46"/>
      <c r="J2109" s="32"/>
      <c r="K2109" s="32"/>
      <c r="L2109" s="32"/>
      <c r="M2109" s="32"/>
      <c r="N2109" s="32"/>
      <c r="O2109" s="32"/>
      <c r="P2109" s="32"/>
      <c r="Q2109" s="32"/>
    </row>
    <row r="2110" spans="9:17" x14ac:dyDescent="0.4">
      <c r="I2110" s="46"/>
      <c r="J2110" s="32"/>
      <c r="K2110" s="32"/>
      <c r="L2110" s="32"/>
      <c r="M2110" s="32"/>
      <c r="N2110" s="32"/>
      <c r="O2110" s="32"/>
      <c r="P2110" s="32"/>
      <c r="Q2110" s="32"/>
    </row>
    <row r="2111" spans="9:17" x14ac:dyDescent="0.4">
      <c r="I2111" s="46"/>
      <c r="J2111" s="32"/>
      <c r="K2111" s="32"/>
      <c r="L2111" s="32"/>
      <c r="M2111" s="32"/>
      <c r="N2111" s="32"/>
      <c r="O2111" s="32"/>
      <c r="P2111" s="32"/>
      <c r="Q2111" s="32"/>
    </row>
    <row r="2112" spans="9:17" x14ac:dyDescent="0.4">
      <c r="I2112" s="46"/>
      <c r="J2112" s="32"/>
      <c r="K2112" s="32"/>
      <c r="L2112" s="32"/>
      <c r="M2112" s="32"/>
      <c r="N2112" s="32"/>
      <c r="O2112" s="32"/>
      <c r="P2112" s="32"/>
      <c r="Q2112" s="32"/>
    </row>
    <row r="2113" spans="9:17" x14ac:dyDescent="0.4">
      <c r="I2113" s="46"/>
      <c r="J2113" s="32"/>
      <c r="K2113" s="32"/>
      <c r="L2113" s="32"/>
      <c r="M2113" s="32"/>
      <c r="N2113" s="32"/>
      <c r="O2113" s="32"/>
      <c r="P2113" s="32"/>
      <c r="Q2113" s="32"/>
    </row>
    <row r="2114" spans="9:17" x14ac:dyDescent="0.4">
      <c r="I2114" s="46"/>
      <c r="J2114" s="32"/>
      <c r="K2114" s="32"/>
      <c r="L2114" s="32"/>
      <c r="M2114" s="32"/>
      <c r="N2114" s="32"/>
      <c r="O2114" s="32"/>
      <c r="P2114" s="32"/>
      <c r="Q2114" s="32"/>
    </row>
    <row r="2115" spans="9:17" x14ac:dyDescent="0.4">
      <c r="I2115" s="46"/>
      <c r="J2115" s="32"/>
      <c r="K2115" s="32"/>
      <c r="L2115" s="32"/>
      <c r="M2115" s="32"/>
      <c r="N2115" s="32"/>
      <c r="O2115" s="32"/>
      <c r="P2115" s="32"/>
      <c r="Q2115" s="32"/>
    </row>
    <row r="2116" spans="9:17" x14ac:dyDescent="0.4">
      <c r="I2116" s="46"/>
      <c r="J2116" s="32"/>
      <c r="K2116" s="32"/>
      <c r="L2116" s="32"/>
      <c r="M2116" s="32"/>
      <c r="N2116" s="32"/>
      <c r="O2116" s="32"/>
      <c r="P2116" s="32"/>
      <c r="Q2116" s="32"/>
    </row>
    <row r="2117" spans="9:17" x14ac:dyDescent="0.4">
      <c r="I2117" s="46"/>
      <c r="J2117" s="32"/>
      <c r="K2117" s="32"/>
      <c r="L2117" s="32"/>
      <c r="M2117" s="32"/>
      <c r="N2117" s="32"/>
      <c r="O2117" s="32"/>
      <c r="P2117" s="32"/>
      <c r="Q2117" s="32"/>
    </row>
    <row r="2118" spans="9:17" x14ac:dyDescent="0.4">
      <c r="I2118" s="46"/>
      <c r="J2118" s="32"/>
      <c r="K2118" s="32"/>
      <c r="L2118" s="32"/>
      <c r="M2118" s="32"/>
      <c r="N2118" s="32"/>
      <c r="O2118" s="32"/>
      <c r="P2118" s="32"/>
      <c r="Q2118" s="32"/>
    </row>
    <row r="2119" spans="9:17" x14ac:dyDescent="0.4">
      <c r="I2119" s="46"/>
      <c r="J2119" s="32"/>
      <c r="K2119" s="32"/>
      <c r="L2119" s="32"/>
      <c r="M2119" s="32"/>
      <c r="N2119" s="32"/>
      <c r="O2119" s="32"/>
      <c r="P2119" s="32"/>
      <c r="Q2119" s="32"/>
    </row>
    <row r="2120" spans="9:17" x14ac:dyDescent="0.4">
      <c r="I2120" s="46"/>
      <c r="J2120" s="32"/>
      <c r="K2120" s="32"/>
      <c r="L2120" s="32"/>
      <c r="M2120" s="32"/>
      <c r="N2120" s="32"/>
      <c r="O2120" s="32"/>
      <c r="P2120" s="32"/>
      <c r="Q2120" s="32"/>
    </row>
    <row r="2121" spans="9:17" x14ac:dyDescent="0.4">
      <c r="I2121" s="46"/>
      <c r="J2121" s="32"/>
      <c r="K2121" s="32"/>
      <c r="L2121" s="32"/>
      <c r="M2121" s="32"/>
      <c r="N2121" s="32"/>
      <c r="O2121" s="32"/>
      <c r="P2121" s="32"/>
      <c r="Q2121" s="32"/>
    </row>
    <row r="2122" spans="9:17" x14ac:dyDescent="0.4">
      <c r="I2122" s="46"/>
      <c r="J2122" s="32"/>
      <c r="K2122" s="32"/>
      <c r="L2122" s="32"/>
      <c r="M2122" s="32"/>
      <c r="N2122" s="32"/>
      <c r="O2122" s="32"/>
      <c r="P2122" s="32"/>
      <c r="Q2122" s="32"/>
    </row>
    <row r="2123" spans="9:17" x14ac:dyDescent="0.4">
      <c r="I2123" s="46"/>
      <c r="J2123" s="32"/>
      <c r="K2123" s="32"/>
      <c r="L2123" s="32"/>
      <c r="M2123" s="32"/>
      <c r="N2123" s="32"/>
      <c r="O2123" s="32"/>
      <c r="P2123" s="32"/>
      <c r="Q2123" s="32"/>
    </row>
    <row r="2124" spans="9:17" x14ac:dyDescent="0.4">
      <c r="I2124" s="46"/>
      <c r="J2124" s="32"/>
      <c r="K2124" s="32"/>
      <c r="L2124" s="32"/>
      <c r="M2124" s="32"/>
      <c r="N2124" s="32"/>
      <c r="O2124" s="32"/>
      <c r="P2124" s="32"/>
      <c r="Q2124" s="32"/>
    </row>
    <row r="2125" spans="9:17" x14ac:dyDescent="0.4">
      <c r="I2125" s="46"/>
      <c r="J2125" s="32"/>
      <c r="K2125" s="32"/>
      <c r="L2125" s="32"/>
      <c r="M2125" s="32"/>
      <c r="N2125" s="32"/>
      <c r="O2125" s="32"/>
      <c r="P2125" s="32"/>
      <c r="Q2125" s="32"/>
    </row>
    <row r="2126" spans="9:17" x14ac:dyDescent="0.4">
      <c r="I2126" s="46"/>
      <c r="J2126" s="32"/>
      <c r="K2126" s="32"/>
      <c r="L2126" s="32"/>
      <c r="M2126" s="32"/>
      <c r="N2126" s="32"/>
      <c r="O2126" s="32"/>
      <c r="P2126" s="32"/>
      <c r="Q2126" s="32"/>
    </row>
    <row r="2127" spans="9:17" x14ac:dyDescent="0.4">
      <c r="I2127" s="46"/>
      <c r="J2127" s="32"/>
      <c r="K2127" s="32"/>
      <c r="L2127" s="32"/>
      <c r="M2127" s="32"/>
      <c r="N2127" s="32"/>
      <c r="O2127" s="32"/>
      <c r="P2127" s="32"/>
      <c r="Q2127" s="32"/>
    </row>
    <row r="2128" spans="9:17" x14ac:dyDescent="0.4">
      <c r="I2128" s="46"/>
      <c r="J2128" s="32"/>
      <c r="K2128" s="32"/>
      <c r="L2128" s="32"/>
      <c r="M2128" s="32"/>
      <c r="N2128" s="32"/>
      <c r="O2128" s="32"/>
      <c r="P2128" s="32"/>
      <c r="Q2128" s="32"/>
    </row>
    <row r="2129" spans="9:17" x14ac:dyDescent="0.4">
      <c r="I2129" s="46"/>
      <c r="J2129" s="32"/>
      <c r="K2129" s="32"/>
      <c r="L2129" s="32"/>
      <c r="M2129" s="32"/>
      <c r="N2129" s="32"/>
      <c r="O2129" s="32"/>
      <c r="P2129" s="32"/>
      <c r="Q2129" s="32"/>
    </row>
    <row r="2130" spans="9:17" x14ac:dyDescent="0.4">
      <c r="I2130" s="46"/>
      <c r="J2130" s="32"/>
      <c r="K2130" s="32"/>
      <c r="L2130" s="32"/>
      <c r="M2130" s="32"/>
      <c r="N2130" s="32"/>
      <c r="O2130" s="32"/>
      <c r="P2130" s="32"/>
      <c r="Q2130" s="32"/>
    </row>
    <row r="2131" spans="9:17" x14ac:dyDescent="0.4">
      <c r="I2131" s="46"/>
      <c r="J2131" s="32"/>
      <c r="K2131" s="32"/>
      <c r="L2131" s="32"/>
      <c r="M2131" s="32"/>
      <c r="N2131" s="32"/>
      <c r="O2131" s="32"/>
      <c r="P2131" s="32"/>
      <c r="Q2131" s="32"/>
    </row>
    <row r="2132" spans="9:17" x14ac:dyDescent="0.4">
      <c r="I2132" s="46"/>
      <c r="J2132" s="32"/>
      <c r="K2132" s="32"/>
      <c r="L2132" s="32"/>
      <c r="M2132" s="32"/>
      <c r="N2132" s="32"/>
      <c r="O2132" s="32"/>
      <c r="P2132" s="32"/>
      <c r="Q2132" s="32"/>
    </row>
    <row r="2133" spans="9:17" x14ac:dyDescent="0.4">
      <c r="I2133" s="46"/>
      <c r="J2133" s="32"/>
      <c r="K2133" s="32"/>
      <c r="L2133" s="32"/>
      <c r="M2133" s="32"/>
      <c r="N2133" s="32"/>
      <c r="O2133" s="32"/>
      <c r="P2133" s="32"/>
      <c r="Q2133" s="32"/>
    </row>
    <row r="2134" spans="9:17" x14ac:dyDescent="0.4">
      <c r="I2134" s="46"/>
      <c r="J2134" s="32"/>
      <c r="K2134" s="32"/>
      <c r="L2134" s="32"/>
      <c r="M2134" s="32"/>
      <c r="N2134" s="32"/>
      <c r="O2134" s="32"/>
      <c r="P2134" s="32"/>
      <c r="Q2134" s="32"/>
    </row>
    <row r="2135" spans="9:17" x14ac:dyDescent="0.4">
      <c r="I2135" s="46"/>
      <c r="J2135" s="32"/>
      <c r="K2135" s="32"/>
      <c r="L2135" s="32"/>
      <c r="M2135" s="32"/>
      <c r="N2135" s="32"/>
      <c r="O2135" s="32"/>
      <c r="P2135" s="32"/>
      <c r="Q2135" s="32"/>
    </row>
    <row r="2136" spans="9:17" x14ac:dyDescent="0.4">
      <c r="I2136" s="46"/>
      <c r="J2136" s="32"/>
      <c r="K2136" s="32"/>
      <c r="L2136" s="32"/>
      <c r="M2136" s="32"/>
      <c r="N2136" s="32"/>
      <c r="O2136" s="32"/>
      <c r="P2136" s="32"/>
      <c r="Q2136" s="32"/>
    </row>
    <row r="2137" spans="9:17" x14ac:dyDescent="0.4">
      <c r="I2137" s="46"/>
      <c r="J2137" s="32"/>
      <c r="K2137" s="32"/>
      <c r="L2137" s="32"/>
      <c r="M2137" s="32"/>
      <c r="N2137" s="32"/>
      <c r="O2137" s="32"/>
      <c r="P2137" s="32"/>
      <c r="Q2137" s="32"/>
    </row>
    <row r="2138" spans="9:17" x14ac:dyDescent="0.4">
      <c r="I2138" s="46"/>
      <c r="J2138" s="32"/>
      <c r="K2138" s="32"/>
      <c r="L2138" s="32"/>
      <c r="M2138" s="32"/>
      <c r="N2138" s="32"/>
      <c r="O2138" s="32"/>
      <c r="P2138" s="32"/>
      <c r="Q2138" s="32"/>
    </row>
    <row r="2139" spans="9:17" x14ac:dyDescent="0.4">
      <c r="I2139" s="46"/>
      <c r="J2139" s="32"/>
      <c r="K2139" s="32"/>
      <c r="L2139" s="32"/>
      <c r="M2139" s="32"/>
      <c r="N2139" s="32"/>
      <c r="O2139" s="32"/>
      <c r="P2139" s="32"/>
      <c r="Q2139" s="32"/>
    </row>
    <row r="2140" spans="9:17" x14ac:dyDescent="0.4">
      <c r="I2140" s="46"/>
      <c r="J2140" s="32"/>
      <c r="K2140" s="32"/>
      <c r="L2140" s="32"/>
      <c r="M2140" s="32"/>
      <c r="N2140" s="32"/>
      <c r="O2140" s="32"/>
      <c r="P2140" s="32"/>
      <c r="Q2140" s="32"/>
    </row>
    <row r="2141" spans="9:17" x14ac:dyDescent="0.4">
      <c r="I2141" s="46"/>
      <c r="J2141" s="32"/>
      <c r="K2141" s="32"/>
      <c r="L2141" s="32"/>
      <c r="M2141" s="32"/>
      <c r="N2141" s="32"/>
      <c r="O2141" s="32"/>
      <c r="P2141" s="32"/>
      <c r="Q2141" s="32"/>
    </row>
    <row r="2142" spans="9:17" x14ac:dyDescent="0.4">
      <c r="I2142" s="46"/>
      <c r="J2142" s="32"/>
      <c r="K2142" s="32"/>
      <c r="L2142" s="32"/>
      <c r="M2142" s="32"/>
      <c r="N2142" s="32"/>
      <c r="O2142" s="32"/>
      <c r="P2142" s="32"/>
      <c r="Q2142" s="32"/>
    </row>
    <row r="2143" spans="9:17" x14ac:dyDescent="0.4">
      <c r="I2143" s="46"/>
      <c r="J2143" s="32"/>
      <c r="K2143" s="32"/>
      <c r="L2143" s="32"/>
      <c r="M2143" s="32"/>
      <c r="N2143" s="32"/>
      <c r="O2143" s="32"/>
      <c r="P2143" s="32"/>
      <c r="Q2143" s="32"/>
    </row>
    <row r="2144" spans="9:17" x14ac:dyDescent="0.4">
      <c r="I2144" s="46"/>
      <c r="J2144" s="32"/>
      <c r="K2144" s="32"/>
      <c r="L2144" s="32"/>
      <c r="M2144" s="32"/>
      <c r="N2144" s="32"/>
      <c r="O2144" s="32"/>
      <c r="P2144" s="32"/>
      <c r="Q2144" s="32"/>
    </row>
    <row r="2145" spans="9:17" x14ac:dyDescent="0.4">
      <c r="I2145" s="46"/>
      <c r="J2145" s="32"/>
      <c r="K2145" s="32"/>
      <c r="L2145" s="32"/>
      <c r="M2145" s="32"/>
      <c r="N2145" s="32"/>
      <c r="O2145" s="32"/>
      <c r="P2145" s="32"/>
      <c r="Q2145" s="32"/>
    </row>
    <row r="2146" spans="9:17" x14ac:dyDescent="0.4">
      <c r="I2146" s="46"/>
      <c r="J2146" s="32"/>
      <c r="K2146" s="32"/>
      <c r="L2146" s="32"/>
      <c r="M2146" s="32"/>
      <c r="N2146" s="32"/>
      <c r="O2146" s="32"/>
      <c r="P2146" s="32"/>
      <c r="Q2146" s="32"/>
    </row>
    <row r="2147" spans="9:17" x14ac:dyDescent="0.4">
      <c r="I2147" s="46"/>
      <c r="J2147" s="32"/>
      <c r="K2147" s="32"/>
      <c r="L2147" s="32"/>
      <c r="M2147" s="32"/>
      <c r="N2147" s="32"/>
      <c r="O2147" s="32"/>
      <c r="P2147" s="32"/>
      <c r="Q2147" s="32"/>
    </row>
    <row r="2148" spans="9:17" x14ac:dyDescent="0.4">
      <c r="I2148" s="46"/>
      <c r="J2148" s="32"/>
      <c r="K2148" s="32"/>
      <c r="L2148" s="32"/>
      <c r="M2148" s="32"/>
      <c r="N2148" s="32"/>
      <c r="O2148" s="32"/>
      <c r="P2148" s="32"/>
      <c r="Q2148" s="32"/>
    </row>
    <row r="2149" spans="9:17" x14ac:dyDescent="0.4">
      <c r="I2149" s="46"/>
      <c r="J2149" s="32"/>
      <c r="K2149" s="32"/>
      <c r="L2149" s="32"/>
      <c r="M2149" s="32"/>
      <c r="N2149" s="32"/>
      <c r="O2149" s="32"/>
      <c r="P2149" s="32"/>
      <c r="Q2149" s="32"/>
    </row>
    <row r="2150" spans="9:17" x14ac:dyDescent="0.4">
      <c r="I2150" s="46"/>
      <c r="J2150" s="32"/>
      <c r="K2150" s="32"/>
      <c r="L2150" s="32"/>
      <c r="M2150" s="32"/>
      <c r="N2150" s="32"/>
      <c r="O2150" s="32"/>
      <c r="P2150" s="32"/>
      <c r="Q2150" s="32"/>
    </row>
    <row r="2151" spans="9:17" x14ac:dyDescent="0.4">
      <c r="I2151" s="46"/>
      <c r="J2151" s="32"/>
      <c r="K2151" s="32"/>
      <c r="L2151" s="32"/>
      <c r="M2151" s="32"/>
      <c r="N2151" s="32"/>
      <c r="O2151" s="32"/>
      <c r="P2151" s="32"/>
      <c r="Q2151" s="32"/>
    </row>
    <row r="2152" spans="9:17" x14ac:dyDescent="0.4">
      <c r="I2152" s="46"/>
      <c r="J2152" s="32"/>
      <c r="K2152" s="32"/>
      <c r="L2152" s="32"/>
      <c r="M2152" s="32"/>
      <c r="N2152" s="32"/>
      <c r="O2152" s="32"/>
      <c r="P2152" s="32"/>
      <c r="Q2152" s="32"/>
    </row>
    <row r="2153" spans="9:17" x14ac:dyDescent="0.4">
      <c r="I2153" s="46"/>
      <c r="J2153" s="32"/>
      <c r="K2153" s="32"/>
      <c r="L2153" s="32"/>
      <c r="M2153" s="32"/>
      <c r="N2153" s="32"/>
      <c r="O2153" s="32"/>
      <c r="P2153" s="32"/>
      <c r="Q2153" s="32"/>
    </row>
    <row r="2154" spans="9:17" x14ac:dyDescent="0.4">
      <c r="I2154" s="46"/>
      <c r="J2154" s="32"/>
      <c r="K2154" s="32"/>
      <c r="L2154" s="32"/>
      <c r="M2154" s="32"/>
      <c r="N2154" s="32"/>
      <c r="O2154" s="32"/>
      <c r="P2154" s="32"/>
      <c r="Q2154" s="32"/>
    </row>
    <row r="2155" spans="9:17" x14ac:dyDescent="0.4">
      <c r="I2155" s="46"/>
      <c r="J2155" s="32"/>
      <c r="K2155" s="32"/>
      <c r="L2155" s="32"/>
      <c r="M2155" s="32"/>
      <c r="N2155" s="32"/>
      <c r="O2155" s="32"/>
      <c r="P2155" s="32"/>
      <c r="Q2155" s="32"/>
    </row>
    <row r="2156" spans="9:17" x14ac:dyDescent="0.4">
      <c r="I2156" s="46"/>
      <c r="J2156" s="32"/>
      <c r="K2156" s="32"/>
      <c r="L2156" s="32"/>
      <c r="M2156" s="32"/>
      <c r="N2156" s="32"/>
      <c r="O2156" s="32"/>
      <c r="P2156" s="32"/>
      <c r="Q2156" s="32"/>
    </row>
    <row r="2157" spans="9:17" x14ac:dyDescent="0.4">
      <c r="I2157" s="46"/>
      <c r="J2157" s="32"/>
      <c r="K2157" s="32"/>
      <c r="L2157" s="32"/>
      <c r="M2157" s="32"/>
      <c r="N2157" s="32"/>
      <c r="O2157" s="32"/>
      <c r="P2157" s="32"/>
      <c r="Q2157" s="32"/>
    </row>
    <row r="2158" spans="9:17" x14ac:dyDescent="0.4">
      <c r="I2158" s="46"/>
      <c r="J2158" s="32"/>
      <c r="K2158" s="32"/>
      <c r="L2158" s="32"/>
      <c r="M2158" s="32"/>
      <c r="N2158" s="32"/>
      <c r="O2158" s="32"/>
      <c r="P2158" s="32"/>
      <c r="Q2158" s="32"/>
    </row>
    <row r="2159" spans="9:17" x14ac:dyDescent="0.4">
      <c r="I2159" s="46"/>
      <c r="J2159" s="32"/>
      <c r="K2159" s="32"/>
      <c r="L2159" s="32"/>
      <c r="M2159" s="32"/>
      <c r="N2159" s="32"/>
      <c r="O2159" s="32"/>
      <c r="P2159" s="32"/>
      <c r="Q2159" s="32"/>
    </row>
    <row r="2160" spans="9:17" x14ac:dyDescent="0.4">
      <c r="I2160" s="46"/>
      <c r="J2160" s="32"/>
      <c r="K2160" s="32"/>
      <c r="L2160" s="32"/>
      <c r="M2160" s="32"/>
      <c r="N2160" s="32"/>
      <c r="O2160" s="32"/>
      <c r="P2160" s="32"/>
      <c r="Q2160" s="32"/>
    </row>
    <row r="2161" spans="9:17" x14ac:dyDescent="0.4">
      <c r="I2161" s="46"/>
      <c r="J2161" s="32"/>
      <c r="K2161" s="32"/>
      <c r="L2161" s="32"/>
      <c r="M2161" s="32"/>
      <c r="N2161" s="32"/>
      <c r="O2161" s="32"/>
      <c r="P2161" s="32"/>
      <c r="Q2161" s="32"/>
    </row>
    <row r="2162" spans="9:17" x14ac:dyDescent="0.4">
      <c r="I2162" s="46"/>
      <c r="J2162" s="32"/>
      <c r="K2162" s="32"/>
      <c r="L2162" s="32"/>
      <c r="M2162" s="32"/>
      <c r="N2162" s="32"/>
      <c r="O2162" s="32"/>
      <c r="P2162" s="32"/>
      <c r="Q2162" s="32"/>
    </row>
    <row r="2163" spans="9:17" x14ac:dyDescent="0.4">
      <c r="I2163" s="46"/>
      <c r="J2163" s="32"/>
      <c r="K2163" s="32"/>
      <c r="L2163" s="32"/>
      <c r="M2163" s="32"/>
      <c r="N2163" s="32"/>
      <c r="O2163" s="32"/>
      <c r="P2163" s="32"/>
      <c r="Q2163" s="32"/>
    </row>
    <row r="2164" spans="9:17" x14ac:dyDescent="0.4">
      <c r="I2164" s="46"/>
      <c r="J2164" s="32"/>
      <c r="K2164" s="32"/>
      <c r="L2164" s="32"/>
      <c r="M2164" s="32"/>
      <c r="N2164" s="32"/>
      <c r="O2164" s="32"/>
      <c r="P2164" s="32"/>
      <c r="Q2164" s="32"/>
    </row>
    <row r="2165" spans="9:17" x14ac:dyDescent="0.4">
      <c r="I2165" s="46"/>
      <c r="J2165" s="32"/>
      <c r="K2165" s="32"/>
      <c r="L2165" s="32"/>
      <c r="M2165" s="32"/>
      <c r="N2165" s="32"/>
      <c r="O2165" s="32"/>
      <c r="P2165" s="32"/>
      <c r="Q2165" s="32"/>
    </row>
    <row r="2166" spans="9:17" x14ac:dyDescent="0.4">
      <c r="I2166" s="46"/>
      <c r="J2166" s="32"/>
      <c r="K2166" s="32"/>
      <c r="L2166" s="32"/>
      <c r="M2166" s="32"/>
      <c r="N2166" s="32"/>
      <c r="O2166" s="32"/>
      <c r="P2166" s="32"/>
      <c r="Q2166" s="32"/>
    </row>
    <row r="2167" spans="9:17" x14ac:dyDescent="0.4">
      <c r="I2167" s="46"/>
      <c r="J2167" s="32"/>
      <c r="K2167" s="32"/>
      <c r="L2167" s="32"/>
      <c r="M2167" s="32"/>
      <c r="N2167" s="32"/>
      <c r="O2167" s="32"/>
      <c r="P2167" s="32"/>
      <c r="Q2167" s="32"/>
    </row>
    <row r="2168" spans="9:17" x14ac:dyDescent="0.4">
      <c r="I2168" s="46"/>
      <c r="J2168" s="32"/>
      <c r="K2168" s="32"/>
      <c r="L2168" s="32"/>
      <c r="M2168" s="32"/>
      <c r="N2168" s="32"/>
      <c r="O2168" s="32"/>
      <c r="P2168" s="32"/>
      <c r="Q2168" s="32"/>
    </row>
    <row r="2169" spans="9:17" x14ac:dyDescent="0.4">
      <c r="I2169" s="46"/>
      <c r="J2169" s="32"/>
      <c r="K2169" s="32"/>
      <c r="L2169" s="32"/>
      <c r="M2169" s="32"/>
      <c r="N2169" s="32"/>
      <c r="O2169" s="32"/>
      <c r="P2169" s="32"/>
      <c r="Q2169" s="32"/>
    </row>
    <row r="2170" spans="9:17" x14ac:dyDescent="0.4">
      <c r="I2170" s="46"/>
      <c r="J2170" s="32"/>
      <c r="K2170" s="32"/>
      <c r="L2170" s="32"/>
      <c r="M2170" s="32"/>
      <c r="N2170" s="32"/>
      <c r="O2170" s="32"/>
      <c r="P2170" s="32"/>
      <c r="Q2170" s="32"/>
    </row>
    <row r="2171" spans="9:17" x14ac:dyDescent="0.4">
      <c r="I2171" s="46"/>
      <c r="J2171" s="32"/>
      <c r="K2171" s="32"/>
      <c r="L2171" s="32"/>
      <c r="M2171" s="32"/>
      <c r="N2171" s="32"/>
      <c r="O2171" s="32"/>
      <c r="P2171" s="32"/>
      <c r="Q2171" s="32"/>
    </row>
    <row r="2172" spans="9:17" x14ac:dyDescent="0.4">
      <c r="I2172" s="46"/>
      <c r="J2172" s="32"/>
      <c r="K2172" s="32"/>
      <c r="L2172" s="32"/>
      <c r="M2172" s="32"/>
      <c r="N2172" s="32"/>
      <c r="O2172" s="32"/>
      <c r="P2172" s="32"/>
      <c r="Q2172" s="32"/>
    </row>
    <row r="2173" spans="9:17" x14ac:dyDescent="0.4">
      <c r="I2173" s="46"/>
      <c r="J2173" s="32"/>
      <c r="K2173" s="32"/>
      <c r="L2173" s="32"/>
      <c r="M2173" s="32"/>
      <c r="N2173" s="32"/>
      <c r="O2173" s="32"/>
      <c r="P2173" s="32"/>
      <c r="Q2173" s="32"/>
    </row>
    <row r="2174" spans="9:17" x14ac:dyDescent="0.4">
      <c r="I2174" s="46"/>
      <c r="J2174" s="32"/>
      <c r="K2174" s="32"/>
      <c r="L2174" s="32"/>
      <c r="M2174" s="32"/>
      <c r="N2174" s="32"/>
      <c r="O2174" s="32"/>
      <c r="P2174" s="32"/>
      <c r="Q2174" s="32"/>
    </row>
    <row r="2175" spans="9:17" x14ac:dyDescent="0.4">
      <c r="I2175" s="46"/>
      <c r="J2175" s="32"/>
      <c r="K2175" s="32"/>
      <c r="L2175" s="32"/>
      <c r="M2175" s="32"/>
      <c r="N2175" s="32"/>
      <c r="O2175" s="32"/>
      <c r="P2175" s="32"/>
      <c r="Q2175" s="32"/>
    </row>
    <row r="2176" spans="9:17" x14ac:dyDescent="0.4">
      <c r="I2176" s="46"/>
      <c r="J2176" s="32"/>
      <c r="K2176" s="32"/>
      <c r="L2176" s="32"/>
      <c r="M2176" s="32"/>
      <c r="N2176" s="32"/>
      <c r="O2176" s="32"/>
      <c r="P2176" s="32"/>
      <c r="Q2176" s="32"/>
    </row>
    <row r="2177" spans="9:17" x14ac:dyDescent="0.4">
      <c r="I2177" s="46"/>
      <c r="J2177" s="32"/>
      <c r="K2177" s="32"/>
      <c r="L2177" s="32"/>
      <c r="M2177" s="32"/>
      <c r="N2177" s="32"/>
      <c r="O2177" s="32"/>
      <c r="P2177" s="32"/>
      <c r="Q2177" s="32"/>
    </row>
    <row r="2178" spans="9:17" x14ac:dyDescent="0.4">
      <c r="I2178" s="46"/>
      <c r="J2178" s="32"/>
      <c r="K2178" s="32"/>
      <c r="L2178" s="32"/>
      <c r="M2178" s="32"/>
      <c r="N2178" s="32"/>
      <c r="O2178" s="32"/>
      <c r="P2178" s="32"/>
      <c r="Q2178" s="32"/>
    </row>
    <row r="2179" spans="9:17" x14ac:dyDescent="0.4">
      <c r="I2179" s="46"/>
      <c r="J2179" s="32"/>
      <c r="K2179" s="32"/>
      <c r="L2179" s="32"/>
      <c r="M2179" s="32"/>
      <c r="N2179" s="32"/>
      <c r="O2179" s="32"/>
      <c r="P2179" s="32"/>
      <c r="Q2179" s="32"/>
    </row>
    <row r="2180" spans="9:17" x14ac:dyDescent="0.4">
      <c r="I2180" s="46"/>
      <c r="J2180" s="32"/>
      <c r="K2180" s="32"/>
      <c r="L2180" s="32"/>
      <c r="M2180" s="32"/>
      <c r="N2180" s="32"/>
      <c r="O2180" s="32"/>
      <c r="P2180" s="32"/>
      <c r="Q2180" s="32"/>
    </row>
    <row r="2181" spans="9:17" x14ac:dyDescent="0.4">
      <c r="I2181" s="46"/>
      <c r="J2181" s="32"/>
      <c r="K2181" s="32"/>
      <c r="L2181" s="32"/>
      <c r="M2181" s="32"/>
      <c r="N2181" s="32"/>
      <c r="O2181" s="32"/>
      <c r="P2181" s="32"/>
      <c r="Q2181" s="32"/>
    </row>
    <row r="2182" spans="9:17" x14ac:dyDescent="0.4">
      <c r="I2182" s="46"/>
      <c r="J2182" s="32"/>
      <c r="K2182" s="32"/>
      <c r="L2182" s="32"/>
      <c r="M2182" s="32"/>
      <c r="N2182" s="32"/>
      <c r="O2182" s="32"/>
      <c r="P2182" s="32"/>
      <c r="Q2182" s="32"/>
    </row>
    <row r="2183" spans="9:17" x14ac:dyDescent="0.4">
      <c r="I2183" s="46"/>
      <c r="J2183" s="32"/>
      <c r="K2183" s="32"/>
      <c r="L2183" s="32"/>
      <c r="M2183" s="32"/>
      <c r="N2183" s="32"/>
      <c r="O2183" s="32"/>
      <c r="P2183" s="32"/>
      <c r="Q2183" s="32"/>
    </row>
    <row r="2184" spans="9:17" x14ac:dyDescent="0.4">
      <c r="I2184" s="46"/>
      <c r="J2184" s="32"/>
      <c r="K2184" s="32"/>
      <c r="L2184" s="32"/>
      <c r="M2184" s="32"/>
      <c r="N2184" s="32"/>
      <c r="O2184" s="32"/>
      <c r="P2184" s="32"/>
      <c r="Q2184" s="32"/>
    </row>
    <row r="2185" spans="9:17" x14ac:dyDescent="0.4">
      <c r="I2185" s="46"/>
      <c r="J2185" s="32"/>
      <c r="K2185" s="32"/>
      <c r="L2185" s="32"/>
      <c r="M2185" s="32"/>
      <c r="N2185" s="32"/>
      <c r="O2185" s="32"/>
      <c r="P2185" s="32"/>
      <c r="Q2185" s="32"/>
    </row>
    <row r="2186" spans="9:17" x14ac:dyDescent="0.4">
      <c r="I2186" s="46"/>
      <c r="J2186" s="32"/>
      <c r="K2186" s="32"/>
      <c r="L2186" s="32"/>
      <c r="M2186" s="32"/>
      <c r="N2186" s="32"/>
      <c r="O2186" s="32"/>
      <c r="P2186" s="32"/>
      <c r="Q2186" s="32"/>
    </row>
    <row r="2187" spans="9:17" x14ac:dyDescent="0.4">
      <c r="I2187" s="46"/>
      <c r="J2187" s="32"/>
      <c r="K2187" s="32"/>
      <c r="L2187" s="32"/>
      <c r="M2187" s="32"/>
      <c r="N2187" s="32"/>
      <c r="O2187" s="32"/>
      <c r="P2187" s="32"/>
      <c r="Q2187" s="32"/>
    </row>
    <row r="2188" spans="9:17" x14ac:dyDescent="0.4">
      <c r="I2188" s="46"/>
      <c r="J2188" s="32"/>
      <c r="K2188" s="32"/>
      <c r="L2188" s="32"/>
      <c r="M2188" s="32"/>
      <c r="N2188" s="32"/>
      <c r="O2188" s="32"/>
      <c r="P2188" s="32"/>
      <c r="Q2188" s="32"/>
    </row>
    <row r="2189" spans="9:17" x14ac:dyDescent="0.4">
      <c r="I2189" s="46"/>
      <c r="J2189" s="32"/>
      <c r="K2189" s="32"/>
      <c r="L2189" s="32"/>
      <c r="M2189" s="32"/>
      <c r="N2189" s="32"/>
      <c r="O2189" s="32"/>
      <c r="P2189" s="32"/>
      <c r="Q2189" s="32"/>
    </row>
    <row r="2190" spans="9:17" x14ac:dyDescent="0.4">
      <c r="I2190" s="46"/>
      <c r="J2190" s="32"/>
      <c r="K2190" s="32"/>
      <c r="L2190" s="32"/>
      <c r="M2190" s="32"/>
      <c r="N2190" s="32"/>
      <c r="O2190" s="32"/>
      <c r="P2190" s="32"/>
      <c r="Q2190" s="32"/>
    </row>
    <row r="2191" spans="9:17" x14ac:dyDescent="0.4">
      <c r="I2191" s="46"/>
      <c r="J2191" s="32"/>
      <c r="K2191" s="32"/>
      <c r="L2191" s="32"/>
      <c r="M2191" s="32"/>
      <c r="N2191" s="32"/>
      <c r="O2191" s="32"/>
      <c r="P2191" s="32"/>
      <c r="Q2191" s="32"/>
    </row>
    <row r="2192" spans="9:17" x14ac:dyDescent="0.4">
      <c r="I2192" s="46"/>
      <c r="J2192" s="32"/>
      <c r="K2192" s="32"/>
      <c r="L2192" s="32"/>
      <c r="M2192" s="32"/>
      <c r="N2192" s="32"/>
      <c r="O2192" s="32"/>
      <c r="P2192" s="32"/>
      <c r="Q2192" s="32"/>
    </row>
    <row r="2193" spans="9:17" x14ac:dyDescent="0.4">
      <c r="I2193" s="46"/>
      <c r="J2193" s="32"/>
      <c r="K2193" s="32"/>
      <c r="L2193" s="32"/>
      <c r="M2193" s="32"/>
      <c r="N2193" s="32"/>
      <c r="O2193" s="32"/>
      <c r="P2193" s="32"/>
      <c r="Q2193" s="32"/>
    </row>
    <row r="2194" spans="9:17" x14ac:dyDescent="0.4">
      <c r="I2194" s="46"/>
      <c r="J2194" s="32"/>
      <c r="K2194" s="32"/>
      <c r="L2194" s="32"/>
      <c r="M2194" s="32"/>
      <c r="N2194" s="32"/>
      <c r="O2194" s="32"/>
      <c r="P2194" s="32"/>
      <c r="Q2194" s="32"/>
    </row>
    <row r="2195" spans="9:17" x14ac:dyDescent="0.4">
      <c r="I2195" s="46"/>
      <c r="J2195" s="32"/>
      <c r="K2195" s="32"/>
      <c r="L2195" s="32"/>
      <c r="M2195" s="32"/>
      <c r="N2195" s="32"/>
      <c r="O2195" s="32"/>
      <c r="P2195" s="32"/>
      <c r="Q2195" s="32"/>
    </row>
    <row r="2196" spans="9:17" x14ac:dyDescent="0.4">
      <c r="I2196" s="46"/>
      <c r="J2196" s="32"/>
      <c r="K2196" s="32"/>
      <c r="L2196" s="32"/>
      <c r="M2196" s="32"/>
      <c r="N2196" s="32"/>
      <c r="O2196" s="32"/>
      <c r="P2196" s="32"/>
      <c r="Q2196" s="32"/>
    </row>
    <row r="2197" spans="9:17" x14ac:dyDescent="0.4">
      <c r="I2197" s="46"/>
      <c r="J2197" s="32"/>
      <c r="K2197" s="32"/>
      <c r="L2197" s="32"/>
      <c r="M2197" s="32"/>
      <c r="N2197" s="32"/>
      <c r="O2197" s="32"/>
      <c r="P2197" s="32"/>
      <c r="Q2197" s="32"/>
    </row>
    <row r="2198" spans="9:17" x14ac:dyDescent="0.4">
      <c r="I2198" s="46"/>
      <c r="J2198" s="32"/>
      <c r="K2198" s="32"/>
      <c r="L2198" s="32"/>
      <c r="M2198" s="32"/>
      <c r="N2198" s="32"/>
      <c r="O2198" s="32"/>
      <c r="P2198" s="32"/>
      <c r="Q2198" s="32"/>
    </row>
    <row r="2199" spans="9:17" x14ac:dyDescent="0.4">
      <c r="I2199" s="46"/>
      <c r="J2199" s="32"/>
      <c r="K2199" s="32"/>
      <c r="L2199" s="32"/>
      <c r="M2199" s="32"/>
      <c r="N2199" s="32"/>
      <c r="O2199" s="32"/>
      <c r="P2199" s="32"/>
      <c r="Q2199" s="32"/>
    </row>
    <row r="2200" spans="9:17" x14ac:dyDescent="0.4">
      <c r="I2200" s="46"/>
      <c r="J2200" s="32"/>
      <c r="K2200" s="32"/>
      <c r="L2200" s="32"/>
      <c r="M2200" s="32"/>
      <c r="N2200" s="32"/>
      <c r="O2200" s="32"/>
      <c r="P2200" s="32"/>
      <c r="Q2200" s="32"/>
    </row>
    <row r="2201" spans="9:17" x14ac:dyDescent="0.4">
      <c r="I2201" s="46"/>
      <c r="J2201" s="32"/>
      <c r="K2201" s="32"/>
      <c r="L2201" s="32"/>
      <c r="M2201" s="32"/>
      <c r="N2201" s="32"/>
      <c r="O2201" s="32"/>
      <c r="P2201" s="32"/>
      <c r="Q2201" s="32"/>
    </row>
    <row r="2202" spans="9:17" x14ac:dyDescent="0.4">
      <c r="I2202" s="46"/>
      <c r="J2202" s="32"/>
      <c r="K2202" s="32"/>
      <c r="L2202" s="32"/>
      <c r="M2202" s="32"/>
      <c r="N2202" s="32"/>
      <c r="O2202" s="32"/>
      <c r="P2202" s="32"/>
      <c r="Q2202" s="32"/>
    </row>
    <row r="2203" spans="9:17" x14ac:dyDescent="0.4">
      <c r="I2203" s="46"/>
      <c r="J2203" s="32"/>
      <c r="K2203" s="32"/>
      <c r="L2203" s="32"/>
      <c r="M2203" s="32"/>
      <c r="N2203" s="32"/>
      <c r="O2203" s="32"/>
      <c r="P2203" s="32"/>
      <c r="Q2203" s="32"/>
    </row>
    <row r="2204" spans="9:17" x14ac:dyDescent="0.4">
      <c r="I2204" s="46"/>
      <c r="J2204" s="32"/>
      <c r="K2204" s="32"/>
      <c r="L2204" s="32"/>
      <c r="M2204" s="32"/>
      <c r="N2204" s="32"/>
      <c r="O2204" s="32"/>
      <c r="P2204" s="32"/>
      <c r="Q2204" s="32"/>
    </row>
    <row r="2205" spans="9:17" x14ac:dyDescent="0.4">
      <c r="I2205" s="46"/>
      <c r="J2205" s="32"/>
      <c r="K2205" s="32"/>
      <c r="L2205" s="32"/>
      <c r="M2205" s="32"/>
      <c r="N2205" s="32"/>
      <c r="O2205" s="32"/>
      <c r="P2205" s="32"/>
      <c r="Q2205" s="32"/>
    </row>
    <row r="2206" spans="9:17" x14ac:dyDescent="0.4">
      <c r="I2206" s="46"/>
      <c r="J2206" s="32"/>
      <c r="K2206" s="32"/>
      <c r="L2206" s="32"/>
      <c r="M2206" s="32"/>
      <c r="N2206" s="32"/>
      <c r="O2206" s="32"/>
      <c r="P2206" s="32"/>
      <c r="Q2206" s="32"/>
    </row>
    <row r="2207" spans="9:17" x14ac:dyDescent="0.4">
      <c r="I2207" s="46"/>
      <c r="J2207" s="32"/>
      <c r="K2207" s="32"/>
      <c r="L2207" s="32"/>
      <c r="M2207" s="32"/>
      <c r="N2207" s="32"/>
      <c r="O2207" s="32"/>
      <c r="P2207" s="32"/>
      <c r="Q2207" s="32"/>
    </row>
    <row r="2208" spans="9:17" x14ac:dyDescent="0.4">
      <c r="I2208" s="46"/>
      <c r="J2208" s="32"/>
      <c r="K2208" s="32"/>
      <c r="L2208" s="32"/>
      <c r="M2208" s="32"/>
      <c r="N2208" s="32"/>
      <c r="O2208" s="32"/>
      <c r="P2208" s="32"/>
      <c r="Q2208" s="32"/>
    </row>
    <row r="2209" spans="9:17" x14ac:dyDescent="0.4">
      <c r="I2209" s="46"/>
      <c r="J2209" s="32"/>
      <c r="K2209" s="32"/>
      <c r="L2209" s="32"/>
      <c r="M2209" s="32"/>
      <c r="N2209" s="32"/>
      <c r="O2209" s="32"/>
      <c r="P2209" s="32"/>
      <c r="Q2209" s="32"/>
    </row>
    <row r="2210" spans="9:17" x14ac:dyDescent="0.4">
      <c r="I2210" s="46"/>
      <c r="J2210" s="32"/>
      <c r="K2210" s="32"/>
      <c r="L2210" s="32"/>
      <c r="M2210" s="32"/>
      <c r="N2210" s="32"/>
      <c r="O2210" s="32"/>
      <c r="P2210" s="32"/>
      <c r="Q2210" s="32"/>
    </row>
    <row r="2211" spans="9:17" x14ac:dyDescent="0.4">
      <c r="I2211" s="46"/>
      <c r="J2211" s="32"/>
      <c r="K2211" s="32"/>
      <c r="L2211" s="32"/>
      <c r="M2211" s="32"/>
      <c r="N2211" s="32"/>
      <c r="O2211" s="32"/>
      <c r="P2211" s="32"/>
      <c r="Q2211" s="32"/>
    </row>
    <row r="2212" spans="9:17" x14ac:dyDescent="0.4">
      <c r="I2212" s="46"/>
      <c r="J2212" s="32"/>
      <c r="K2212" s="32"/>
      <c r="L2212" s="32"/>
      <c r="M2212" s="32"/>
      <c r="N2212" s="32"/>
      <c r="O2212" s="32"/>
      <c r="P2212" s="32"/>
      <c r="Q2212" s="32"/>
    </row>
    <row r="2213" spans="9:17" x14ac:dyDescent="0.4">
      <c r="I2213" s="46"/>
      <c r="J2213" s="32"/>
      <c r="K2213" s="32"/>
      <c r="L2213" s="32"/>
      <c r="M2213" s="32"/>
      <c r="N2213" s="32"/>
      <c r="O2213" s="32"/>
      <c r="P2213" s="32"/>
      <c r="Q2213" s="32"/>
    </row>
    <row r="2214" spans="9:17" x14ac:dyDescent="0.4">
      <c r="I2214" s="46"/>
      <c r="J2214" s="32"/>
      <c r="K2214" s="32"/>
      <c r="L2214" s="32"/>
      <c r="M2214" s="32"/>
      <c r="N2214" s="32"/>
      <c r="O2214" s="32"/>
      <c r="P2214" s="32"/>
      <c r="Q2214" s="32"/>
    </row>
    <row r="2215" spans="9:17" x14ac:dyDescent="0.4">
      <c r="I2215" s="46"/>
      <c r="J2215" s="32"/>
      <c r="K2215" s="32"/>
      <c r="L2215" s="32"/>
      <c r="M2215" s="32"/>
      <c r="N2215" s="32"/>
      <c r="O2215" s="32"/>
      <c r="P2215" s="32"/>
      <c r="Q2215" s="32"/>
    </row>
    <row r="2216" spans="9:17" x14ac:dyDescent="0.4">
      <c r="I2216" s="46"/>
      <c r="J2216" s="32"/>
      <c r="K2216" s="32"/>
      <c r="L2216" s="32"/>
      <c r="M2216" s="32"/>
      <c r="N2216" s="32"/>
      <c r="O2216" s="32"/>
      <c r="P2216" s="32"/>
      <c r="Q2216" s="32"/>
    </row>
    <row r="2217" spans="9:17" x14ac:dyDescent="0.4">
      <c r="I2217" s="46"/>
      <c r="J2217" s="32"/>
      <c r="K2217" s="32"/>
      <c r="L2217" s="32"/>
      <c r="M2217" s="32"/>
      <c r="N2217" s="32"/>
      <c r="O2217" s="32"/>
      <c r="P2217" s="32"/>
      <c r="Q2217" s="32"/>
    </row>
    <row r="2218" spans="9:17" x14ac:dyDescent="0.4">
      <c r="I2218" s="46"/>
      <c r="J2218" s="32"/>
      <c r="K2218" s="32"/>
      <c r="L2218" s="32"/>
      <c r="M2218" s="32"/>
      <c r="N2218" s="32"/>
      <c r="O2218" s="32"/>
      <c r="P2218" s="32"/>
      <c r="Q2218" s="32"/>
    </row>
    <row r="2219" spans="9:17" x14ac:dyDescent="0.4">
      <c r="I2219" s="46"/>
      <c r="J2219" s="32"/>
      <c r="K2219" s="32"/>
      <c r="L2219" s="32"/>
      <c r="M2219" s="32"/>
      <c r="N2219" s="32"/>
      <c r="O2219" s="32"/>
      <c r="P2219" s="32"/>
      <c r="Q2219" s="32"/>
    </row>
    <row r="2220" spans="9:17" x14ac:dyDescent="0.4">
      <c r="I2220" s="46"/>
      <c r="J2220" s="32"/>
      <c r="K2220" s="32"/>
      <c r="L2220" s="32"/>
      <c r="M2220" s="32"/>
      <c r="N2220" s="32"/>
      <c r="O2220" s="32"/>
      <c r="P2220" s="32"/>
      <c r="Q2220" s="32"/>
    </row>
    <row r="2221" spans="9:17" x14ac:dyDescent="0.4">
      <c r="I2221" s="46"/>
      <c r="J2221" s="32"/>
      <c r="K2221" s="32"/>
      <c r="L2221" s="32"/>
      <c r="M2221" s="32"/>
      <c r="N2221" s="32"/>
      <c r="O2221" s="32"/>
      <c r="P2221" s="32"/>
      <c r="Q2221" s="32"/>
    </row>
    <row r="2222" spans="9:17" x14ac:dyDescent="0.4">
      <c r="I2222" s="46"/>
      <c r="J2222" s="32"/>
      <c r="K2222" s="32"/>
      <c r="L2222" s="32"/>
      <c r="M2222" s="32"/>
      <c r="N2222" s="32"/>
      <c r="O2222" s="32"/>
      <c r="P2222" s="32"/>
      <c r="Q2222" s="32"/>
    </row>
    <row r="2223" spans="9:17" x14ac:dyDescent="0.4">
      <c r="I2223" s="46"/>
      <c r="J2223" s="32"/>
      <c r="K2223" s="32"/>
      <c r="L2223" s="32"/>
      <c r="M2223" s="32"/>
      <c r="N2223" s="32"/>
      <c r="O2223" s="32"/>
      <c r="P2223" s="32"/>
      <c r="Q2223" s="32"/>
    </row>
    <row r="2224" spans="9:17" x14ac:dyDescent="0.4">
      <c r="I2224" s="46"/>
      <c r="J2224" s="32"/>
      <c r="K2224" s="32"/>
      <c r="L2224" s="32"/>
      <c r="M2224" s="32"/>
      <c r="N2224" s="32"/>
      <c r="O2224" s="32"/>
      <c r="P2224" s="32"/>
      <c r="Q2224" s="32"/>
    </row>
    <row r="2225" spans="9:17" x14ac:dyDescent="0.4">
      <c r="I2225" s="46"/>
      <c r="J2225" s="32"/>
      <c r="K2225" s="32"/>
      <c r="L2225" s="32"/>
      <c r="M2225" s="32"/>
      <c r="N2225" s="32"/>
      <c r="O2225" s="32"/>
      <c r="P2225" s="32"/>
      <c r="Q2225" s="32"/>
    </row>
    <row r="2226" spans="9:17" x14ac:dyDescent="0.4">
      <c r="I2226" s="46"/>
      <c r="J2226" s="32"/>
      <c r="K2226" s="32"/>
      <c r="L2226" s="32"/>
      <c r="M2226" s="32"/>
      <c r="N2226" s="32"/>
      <c r="O2226" s="32"/>
      <c r="P2226" s="32"/>
      <c r="Q2226" s="32"/>
    </row>
    <row r="2227" spans="9:17" x14ac:dyDescent="0.4">
      <c r="I2227" s="46"/>
      <c r="J2227" s="32"/>
      <c r="K2227" s="32"/>
      <c r="L2227" s="32"/>
      <c r="M2227" s="32"/>
      <c r="N2227" s="32"/>
      <c r="O2227" s="32"/>
      <c r="P2227" s="32"/>
      <c r="Q2227" s="32"/>
    </row>
    <row r="2228" spans="9:17" x14ac:dyDescent="0.4">
      <c r="I2228" s="46"/>
      <c r="J2228" s="32"/>
      <c r="K2228" s="32"/>
      <c r="L2228" s="32"/>
      <c r="M2228" s="32"/>
      <c r="N2228" s="32"/>
      <c r="O2228" s="32"/>
      <c r="P2228" s="32"/>
      <c r="Q2228" s="32"/>
    </row>
    <row r="2229" spans="9:17" x14ac:dyDescent="0.4">
      <c r="I2229" s="46"/>
      <c r="J2229" s="32"/>
      <c r="K2229" s="32"/>
      <c r="L2229" s="32"/>
      <c r="M2229" s="32"/>
      <c r="N2229" s="32"/>
      <c r="O2229" s="32"/>
      <c r="P2229" s="32"/>
      <c r="Q2229" s="32"/>
    </row>
    <row r="2230" spans="9:17" x14ac:dyDescent="0.4">
      <c r="I2230" s="46"/>
      <c r="J2230" s="32"/>
      <c r="K2230" s="32"/>
      <c r="L2230" s="32"/>
      <c r="M2230" s="32"/>
      <c r="N2230" s="32"/>
      <c r="O2230" s="32"/>
      <c r="P2230" s="32"/>
      <c r="Q2230" s="32"/>
    </row>
    <row r="2231" spans="9:17" x14ac:dyDescent="0.4">
      <c r="I2231" s="46"/>
      <c r="J2231" s="32"/>
      <c r="K2231" s="32"/>
      <c r="L2231" s="32"/>
      <c r="M2231" s="32"/>
      <c r="N2231" s="32"/>
      <c r="O2231" s="32"/>
      <c r="P2231" s="32"/>
      <c r="Q2231" s="32"/>
    </row>
    <row r="2232" spans="9:17" x14ac:dyDescent="0.4">
      <c r="I2232" s="46"/>
      <c r="J2232" s="32"/>
      <c r="K2232" s="32"/>
      <c r="L2232" s="32"/>
      <c r="M2232" s="32"/>
      <c r="N2232" s="32"/>
      <c r="O2232" s="32"/>
      <c r="P2232" s="32"/>
      <c r="Q2232" s="32"/>
    </row>
    <row r="2233" spans="9:17" x14ac:dyDescent="0.4">
      <c r="I2233" s="46"/>
      <c r="J2233" s="32"/>
      <c r="K2233" s="32"/>
      <c r="L2233" s="32"/>
      <c r="M2233" s="32"/>
      <c r="N2233" s="32"/>
      <c r="O2233" s="32"/>
      <c r="P2233" s="32"/>
      <c r="Q2233" s="32"/>
    </row>
    <row r="2234" spans="9:17" x14ac:dyDescent="0.4">
      <c r="I2234" s="46"/>
      <c r="J2234" s="32"/>
      <c r="K2234" s="32"/>
      <c r="L2234" s="32"/>
      <c r="M2234" s="32"/>
      <c r="N2234" s="32"/>
      <c r="O2234" s="32"/>
      <c r="P2234" s="32"/>
      <c r="Q2234" s="32"/>
    </row>
    <row r="2235" spans="9:17" x14ac:dyDescent="0.4">
      <c r="I2235" s="46"/>
      <c r="J2235" s="32"/>
      <c r="K2235" s="32"/>
      <c r="L2235" s="32"/>
      <c r="M2235" s="32"/>
      <c r="N2235" s="32"/>
      <c r="O2235" s="32"/>
      <c r="P2235" s="32"/>
      <c r="Q2235" s="32"/>
    </row>
    <row r="2236" spans="9:17" x14ac:dyDescent="0.4">
      <c r="I2236" s="46"/>
      <c r="J2236" s="32"/>
      <c r="K2236" s="32"/>
      <c r="L2236" s="32"/>
      <c r="M2236" s="32"/>
      <c r="N2236" s="32"/>
      <c r="O2236" s="32"/>
      <c r="P2236" s="32"/>
      <c r="Q2236" s="32"/>
    </row>
    <row r="2237" spans="9:17" x14ac:dyDescent="0.4">
      <c r="I2237" s="46"/>
      <c r="J2237" s="32"/>
      <c r="K2237" s="32"/>
      <c r="L2237" s="32"/>
      <c r="M2237" s="32"/>
      <c r="N2237" s="32"/>
      <c r="O2237" s="32"/>
      <c r="P2237" s="32"/>
      <c r="Q2237" s="32"/>
    </row>
    <row r="2238" spans="9:17" x14ac:dyDescent="0.4">
      <c r="I2238" s="46"/>
      <c r="J2238" s="32"/>
      <c r="K2238" s="32"/>
      <c r="L2238" s="32"/>
      <c r="M2238" s="32"/>
      <c r="N2238" s="32"/>
      <c r="O2238" s="32"/>
      <c r="P2238" s="32"/>
      <c r="Q2238" s="32"/>
    </row>
    <row r="2239" spans="9:17" x14ac:dyDescent="0.4">
      <c r="I2239" s="46"/>
      <c r="J2239" s="32"/>
      <c r="K2239" s="32"/>
      <c r="L2239" s="32"/>
      <c r="M2239" s="32"/>
      <c r="N2239" s="32"/>
      <c r="O2239" s="32"/>
      <c r="P2239" s="32"/>
      <c r="Q2239" s="32"/>
    </row>
    <row r="2240" spans="9:17" x14ac:dyDescent="0.4">
      <c r="I2240" s="46"/>
      <c r="J2240" s="32"/>
      <c r="K2240" s="32"/>
      <c r="L2240" s="32"/>
      <c r="M2240" s="32"/>
      <c r="N2240" s="32"/>
      <c r="O2240" s="32"/>
      <c r="P2240" s="32"/>
      <c r="Q2240" s="32"/>
    </row>
    <row r="2241" spans="9:17" x14ac:dyDescent="0.4">
      <c r="I2241" s="46"/>
      <c r="J2241" s="32"/>
      <c r="K2241" s="32"/>
      <c r="L2241" s="32"/>
      <c r="M2241" s="32"/>
      <c r="N2241" s="32"/>
      <c r="O2241" s="32"/>
      <c r="P2241" s="32"/>
      <c r="Q2241" s="32"/>
    </row>
    <row r="2242" spans="9:17" x14ac:dyDescent="0.4">
      <c r="I2242" s="46"/>
      <c r="J2242" s="32"/>
      <c r="K2242" s="32"/>
      <c r="L2242" s="32"/>
      <c r="M2242" s="32"/>
      <c r="N2242" s="32"/>
      <c r="O2242" s="32"/>
      <c r="P2242" s="32"/>
      <c r="Q2242" s="32"/>
    </row>
    <row r="2243" spans="9:17" x14ac:dyDescent="0.4">
      <c r="I2243" s="46"/>
      <c r="J2243" s="32"/>
      <c r="K2243" s="32"/>
      <c r="L2243" s="32"/>
      <c r="M2243" s="32"/>
      <c r="N2243" s="32"/>
      <c r="O2243" s="32"/>
      <c r="P2243" s="32"/>
      <c r="Q2243" s="32"/>
    </row>
    <row r="2244" spans="9:17" x14ac:dyDescent="0.4">
      <c r="I2244" s="46"/>
      <c r="J2244" s="32"/>
      <c r="K2244" s="32"/>
      <c r="L2244" s="32"/>
      <c r="M2244" s="32"/>
      <c r="N2244" s="32"/>
      <c r="O2244" s="32"/>
      <c r="P2244" s="32"/>
      <c r="Q2244" s="32"/>
    </row>
    <row r="2245" spans="9:17" x14ac:dyDescent="0.4">
      <c r="I2245" s="46"/>
      <c r="J2245" s="32"/>
      <c r="K2245" s="32"/>
      <c r="L2245" s="32"/>
      <c r="M2245" s="32"/>
      <c r="N2245" s="32"/>
      <c r="O2245" s="32"/>
      <c r="P2245" s="32"/>
      <c r="Q2245" s="32"/>
    </row>
    <row r="2246" spans="9:17" x14ac:dyDescent="0.4">
      <c r="I2246" s="46"/>
      <c r="J2246" s="32"/>
      <c r="K2246" s="32"/>
      <c r="L2246" s="32"/>
      <c r="M2246" s="32"/>
      <c r="N2246" s="32"/>
      <c r="O2246" s="32"/>
      <c r="P2246" s="32"/>
      <c r="Q2246" s="32"/>
    </row>
    <row r="2247" spans="9:17" x14ac:dyDescent="0.4">
      <c r="I2247" s="46"/>
      <c r="J2247" s="32"/>
      <c r="K2247" s="32"/>
      <c r="L2247" s="32"/>
      <c r="M2247" s="32"/>
      <c r="N2247" s="32"/>
      <c r="O2247" s="32"/>
      <c r="P2247" s="32"/>
      <c r="Q2247" s="32"/>
    </row>
    <row r="2248" spans="9:17" x14ac:dyDescent="0.4">
      <c r="I2248" s="46"/>
      <c r="J2248" s="32"/>
      <c r="K2248" s="32"/>
      <c r="L2248" s="32"/>
      <c r="M2248" s="32"/>
      <c r="N2248" s="32"/>
      <c r="O2248" s="32"/>
      <c r="P2248" s="32"/>
      <c r="Q2248" s="32"/>
    </row>
    <row r="2249" spans="9:17" x14ac:dyDescent="0.4">
      <c r="I2249" s="46"/>
      <c r="J2249" s="32"/>
      <c r="K2249" s="32"/>
      <c r="L2249" s="32"/>
      <c r="M2249" s="32"/>
      <c r="N2249" s="32"/>
      <c r="O2249" s="32"/>
      <c r="P2249" s="32"/>
      <c r="Q2249" s="32"/>
    </row>
    <row r="2250" spans="9:17" x14ac:dyDescent="0.4">
      <c r="I2250" s="46"/>
      <c r="J2250" s="32"/>
      <c r="K2250" s="32"/>
      <c r="L2250" s="32"/>
      <c r="M2250" s="32"/>
      <c r="N2250" s="32"/>
      <c r="O2250" s="32"/>
      <c r="P2250" s="32"/>
      <c r="Q2250" s="32"/>
    </row>
    <row r="2251" spans="9:17" x14ac:dyDescent="0.4">
      <c r="I2251" s="46"/>
      <c r="J2251" s="32"/>
      <c r="K2251" s="32"/>
      <c r="L2251" s="32"/>
      <c r="M2251" s="32"/>
      <c r="N2251" s="32"/>
      <c r="O2251" s="32"/>
      <c r="P2251" s="32"/>
      <c r="Q2251" s="32"/>
    </row>
    <row r="2252" spans="9:17" x14ac:dyDescent="0.4">
      <c r="I2252" s="46"/>
      <c r="J2252" s="32"/>
      <c r="K2252" s="32"/>
      <c r="L2252" s="32"/>
      <c r="M2252" s="32"/>
      <c r="N2252" s="32"/>
      <c r="O2252" s="32"/>
      <c r="P2252" s="32"/>
      <c r="Q2252" s="32"/>
    </row>
    <row r="2253" spans="9:17" x14ac:dyDescent="0.4">
      <c r="I2253" s="46"/>
      <c r="J2253" s="32"/>
      <c r="K2253" s="32"/>
      <c r="L2253" s="32"/>
      <c r="M2253" s="32"/>
      <c r="N2253" s="32"/>
      <c r="O2253" s="32"/>
      <c r="P2253" s="32"/>
      <c r="Q2253" s="32"/>
    </row>
    <row r="2254" spans="9:17" x14ac:dyDescent="0.4">
      <c r="I2254" s="46"/>
      <c r="J2254" s="32"/>
      <c r="K2254" s="32"/>
      <c r="L2254" s="32"/>
      <c r="M2254" s="32"/>
      <c r="N2254" s="32"/>
      <c r="O2254" s="32"/>
      <c r="P2254" s="32"/>
      <c r="Q2254" s="32"/>
    </row>
    <row r="2255" spans="9:17" x14ac:dyDescent="0.4">
      <c r="I2255" s="46"/>
      <c r="J2255" s="32"/>
      <c r="K2255" s="32"/>
      <c r="L2255" s="32"/>
      <c r="M2255" s="32"/>
      <c r="N2255" s="32"/>
      <c r="O2255" s="32"/>
      <c r="P2255" s="32"/>
      <c r="Q2255" s="32"/>
    </row>
    <row r="2256" spans="9:17" x14ac:dyDescent="0.4">
      <c r="I2256" s="46"/>
      <c r="J2256" s="32"/>
      <c r="K2256" s="32"/>
      <c r="L2256" s="32"/>
      <c r="M2256" s="32"/>
      <c r="N2256" s="32"/>
      <c r="O2256" s="32"/>
      <c r="P2256" s="32"/>
      <c r="Q2256" s="32"/>
    </row>
    <row r="2257" spans="9:17" x14ac:dyDescent="0.4">
      <c r="I2257" s="46"/>
      <c r="J2257" s="32"/>
      <c r="K2257" s="32"/>
      <c r="L2257" s="32"/>
      <c r="M2257" s="32"/>
      <c r="N2257" s="32"/>
      <c r="O2257" s="32"/>
      <c r="P2257" s="32"/>
      <c r="Q2257" s="32"/>
    </row>
    <row r="2258" spans="9:17" x14ac:dyDescent="0.4">
      <c r="I2258" s="46"/>
      <c r="J2258" s="32"/>
      <c r="K2258" s="32"/>
      <c r="L2258" s="32"/>
      <c r="M2258" s="32"/>
      <c r="N2258" s="32"/>
      <c r="O2258" s="32"/>
      <c r="P2258" s="32"/>
      <c r="Q2258" s="32"/>
    </row>
    <row r="2259" spans="9:17" x14ac:dyDescent="0.4">
      <c r="I2259" s="46"/>
      <c r="J2259" s="32"/>
      <c r="K2259" s="32"/>
      <c r="L2259" s="32"/>
      <c r="M2259" s="32"/>
      <c r="N2259" s="32"/>
      <c r="O2259" s="32"/>
      <c r="P2259" s="32"/>
      <c r="Q2259" s="32"/>
    </row>
    <row r="2260" spans="9:17" x14ac:dyDescent="0.4">
      <c r="I2260" s="46"/>
      <c r="J2260" s="32"/>
      <c r="K2260" s="32"/>
      <c r="L2260" s="32"/>
      <c r="M2260" s="32"/>
      <c r="N2260" s="32"/>
      <c r="O2260" s="32"/>
      <c r="P2260" s="32"/>
      <c r="Q2260" s="32"/>
    </row>
    <row r="2261" spans="9:17" x14ac:dyDescent="0.4">
      <c r="I2261" s="46"/>
      <c r="J2261" s="32"/>
      <c r="K2261" s="32"/>
      <c r="L2261" s="32"/>
      <c r="M2261" s="32"/>
      <c r="N2261" s="32"/>
      <c r="O2261" s="32"/>
      <c r="P2261" s="32"/>
      <c r="Q2261" s="32"/>
    </row>
    <row r="2262" spans="9:17" x14ac:dyDescent="0.4">
      <c r="I2262" s="46"/>
      <c r="J2262" s="32"/>
      <c r="K2262" s="32"/>
      <c r="L2262" s="32"/>
      <c r="M2262" s="32"/>
      <c r="N2262" s="32"/>
      <c r="O2262" s="32"/>
      <c r="P2262" s="32"/>
      <c r="Q2262" s="32"/>
    </row>
    <row r="2263" spans="9:17" x14ac:dyDescent="0.4">
      <c r="I2263" s="46"/>
      <c r="J2263" s="32"/>
      <c r="K2263" s="32"/>
      <c r="L2263" s="32"/>
      <c r="M2263" s="32"/>
      <c r="N2263" s="32"/>
      <c r="O2263" s="32"/>
      <c r="P2263" s="32"/>
      <c r="Q2263" s="32"/>
    </row>
    <row r="2264" spans="9:17" x14ac:dyDescent="0.4">
      <c r="I2264" s="46"/>
      <c r="J2264" s="32"/>
      <c r="K2264" s="32"/>
      <c r="L2264" s="32"/>
      <c r="M2264" s="32"/>
      <c r="N2264" s="32"/>
      <c r="O2264" s="32"/>
      <c r="P2264" s="32"/>
      <c r="Q2264" s="32"/>
    </row>
    <row r="2265" spans="9:17" x14ac:dyDescent="0.4">
      <c r="I2265" s="46"/>
      <c r="J2265" s="32"/>
      <c r="K2265" s="32"/>
      <c r="L2265" s="32"/>
      <c r="M2265" s="32"/>
      <c r="N2265" s="32"/>
      <c r="O2265" s="32"/>
      <c r="P2265" s="32"/>
      <c r="Q2265" s="32"/>
    </row>
    <row r="2266" spans="9:17" x14ac:dyDescent="0.4">
      <c r="I2266" s="46"/>
      <c r="J2266" s="32"/>
      <c r="K2266" s="32"/>
      <c r="L2266" s="32"/>
      <c r="M2266" s="32"/>
      <c r="N2266" s="32"/>
      <c r="O2266" s="32"/>
      <c r="P2266" s="32"/>
      <c r="Q2266" s="32"/>
    </row>
    <row r="2267" spans="9:17" x14ac:dyDescent="0.4">
      <c r="I2267" s="46"/>
      <c r="J2267" s="32"/>
      <c r="K2267" s="32"/>
      <c r="L2267" s="32"/>
      <c r="M2267" s="32"/>
      <c r="N2267" s="32"/>
      <c r="O2267" s="32"/>
      <c r="P2267" s="32"/>
      <c r="Q2267" s="32"/>
    </row>
    <row r="2268" spans="9:17" x14ac:dyDescent="0.4">
      <c r="I2268" s="46"/>
      <c r="J2268" s="32"/>
      <c r="K2268" s="32"/>
      <c r="L2268" s="32"/>
      <c r="M2268" s="32"/>
      <c r="N2268" s="32"/>
      <c r="O2268" s="32"/>
      <c r="P2268" s="32"/>
      <c r="Q2268" s="32"/>
    </row>
    <row r="2269" spans="9:17" x14ac:dyDescent="0.4">
      <c r="I2269" s="46"/>
      <c r="J2269" s="32"/>
      <c r="K2269" s="32"/>
      <c r="L2269" s="32"/>
      <c r="M2269" s="32"/>
      <c r="N2269" s="32"/>
      <c r="O2269" s="32"/>
      <c r="P2269" s="32"/>
      <c r="Q2269" s="32"/>
    </row>
    <row r="2270" spans="9:17" x14ac:dyDescent="0.4">
      <c r="I2270" s="46"/>
      <c r="J2270" s="32"/>
      <c r="K2270" s="32"/>
      <c r="L2270" s="32"/>
      <c r="M2270" s="32"/>
      <c r="N2270" s="32"/>
      <c r="O2270" s="32"/>
      <c r="P2270" s="32"/>
      <c r="Q2270" s="32"/>
    </row>
    <row r="2271" spans="9:17" x14ac:dyDescent="0.4">
      <c r="I2271" s="46"/>
      <c r="J2271" s="32"/>
      <c r="K2271" s="32"/>
      <c r="L2271" s="32"/>
      <c r="M2271" s="32"/>
      <c r="N2271" s="32"/>
      <c r="O2271" s="32"/>
      <c r="P2271" s="32"/>
      <c r="Q2271" s="32"/>
    </row>
    <row r="2272" spans="9:17" x14ac:dyDescent="0.4">
      <c r="I2272" s="46"/>
      <c r="J2272" s="32"/>
      <c r="K2272" s="32"/>
      <c r="L2272" s="32"/>
      <c r="M2272" s="32"/>
      <c r="N2272" s="32"/>
      <c r="O2272" s="32"/>
      <c r="P2272" s="32"/>
      <c r="Q2272" s="32"/>
    </row>
    <row r="2273" spans="9:17" x14ac:dyDescent="0.4">
      <c r="I2273" s="46"/>
      <c r="J2273" s="32"/>
      <c r="K2273" s="32"/>
      <c r="L2273" s="32"/>
      <c r="M2273" s="32"/>
      <c r="N2273" s="32"/>
      <c r="O2273" s="32"/>
      <c r="P2273" s="32"/>
      <c r="Q2273" s="32"/>
    </row>
    <row r="2274" spans="9:17" x14ac:dyDescent="0.4">
      <c r="I2274" s="46"/>
      <c r="J2274" s="32"/>
      <c r="K2274" s="32"/>
      <c r="L2274" s="32"/>
      <c r="M2274" s="32"/>
      <c r="N2274" s="32"/>
      <c r="O2274" s="32"/>
      <c r="P2274" s="32"/>
      <c r="Q2274" s="32"/>
    </row>
    <row r="2275" spans="9:17" x14ac:dyDescent="0.4">
      <c r="I2275" s="46"/>
      <c r="J2275" s="32"/>
      <c r="K2275" s="32"/>
      <c r="L2275" s="32"/>
      <c r="M2275" s="32"/>
      <c r="N2275" s="32"/>
      <c r="O2275" s="32"/>
      <c r="P2275" s="32"/>
      <c r="Q2275" s="32"/>
    </row>
    <row r="2276" spans="9:17" x14ac:dyDescent="0.4">
      <c r="I2276" s="46"/>
      <c r="J2276" s="32"/>
      <c r="K2276" s="32"/>
      <c r="L2276" s="32"/>
      <c r="M2276" s="32"/>
      <c r="N2276" s="32"/>
      <c r="O2276" s="32"/>
      <c r="P2276" s="32"/>
      <c r="Q2276" s="32"/>
    </row>
    <row r="2277" spans="9:17" x14ac:dyDescent="0.4">
      <c r="I2277" s="46"/>
      <c r="J2277" s="32"/>
      <c r="K2277" s="32"/>
      <c r="L2277" s="32"/>
      <c r="M2277" s="32"/>
      <c r="N2277" s="32"/>
      <c r="O2277" s="32"/>
      <c r="P2277" s="32"/>
      <c r="Q2277" s="32"/>
    </row>
    <row r="2278" spans="9:17" x14ac:dyDescent="0.4">
      <c r="I2278" s="46"/>
      <c r="J2278" s="32"/>
      <c r="K2278" s="32"/>
      <c r="L2278" s="32"/>
      <c r="M2278" s="32"/>
      <c r="N2278" s="32"/>
      <c r="O2278" s="32"/>
      <c r="P2278" s="32"/>
      <c r="Q2278" s="32"/>
    </row>
    <row r="2279" spans="9:17" x14ac:dyDescent="0.4">
      <c r="I2279" s="46"/>
      <c r="J2279" s="32"/>
      <c r="K2279" s="32"/>
      <c r="L2279" s="32"/>
      <c r="M2279" s="32"/>
      <c r="N2279" s="32"/>
      <c r="O2279" s="32"/>
      <c r="P2279" s="32"/>
      <c r="Q2279" s="32"/>
    </row>
    <row r="2280" spans="9:17" x14ac:dyDescent="0.4">
      <c r="I2280" s="46"/>
      <c r="J2280" s="32"/>
      <c r="K2280" s="32"/>
      <c r="L2280" s="32"/>
      <c r="M2280" s="32"/>
      <c r="N2280" s="32"/>
      <c r="O2280" s="32"/>
      <c r="P2280" s="32"/>
      <c r="Q2280" s="32"/>
    </row>
    <row r="2281" spans="9:17" x14ac:dyDescent="0.4">
      <c r="I2281" s="46"/>
      <c r="J2281" s="32"/>
      <c r="K2281" s="32"/>
      <c r="L2281" s="32"/>
      <c r="M2281" s="32"/>
      <c r="N2281" s="32"/>
      <c r="O2281" s="32"/>
      <c r="P2281" s="32"/>
      <c r="Q2281" s="32"/>
    </row>
    <row r="2282" spans="9:17" x14ac:dyDescent="0.4">
      <c r="I2282" s="46"/>
      <c r="J2282" s="32"/>
      <c r="K2282" s="32"/>
      <c r="L2282" s="32"/>
      <c r="M2282" s="32"/>
      <c r="N2282" s="32"/>
      <c r="O2282" s="32"/>
      <c r="P2282" s="32"/>
      <c r="Q2282" s="32"/>
    </row>
    <row r="2283" spans="9:17" x14ac:dyDescent="0.4">
      <c r="I2283" s="46"/>
      <c r="J2283" s="32"/>
      <c r="K2283" s="32"/>
      <c r="L2283" s="32"/>
      <c r="M2283" s="32"/>
      <c r="N2283" s="32"/>
      <c r="O2283" s="32"/>
      <c r="P2283" s="32"/>
      <c r="Q2283" s="32"/>
    </row>
    <row r="2284" spans="9:17" x14ac:dyDescent="0.4">
      <c r="I2284" s="46"/>
      <c r="J2284" s="32"/>
      <c r="K2284" s="32"/>
      <c r="L2284" s="32"/>
      <c r="M2284" s="32"/>
      <c r="N2284" s="32"/>
      <c r="O2284" s="32"/>
      <c r="P2284" s="32"/>
      <c r="Q2284" s="32"/>
    </row>
    <row r="2285" spans="9:17" x14ac:dyDescent="0.4">
      <c r="I2285" s="46"/>
      <c r="J2285" s="32"/>
      <c r="K2285" s="32"/>
      <c r="L2285" s="32"/>
      <c r="M2285" s="32"/>
      <c r="N2285" s="32"/>
      <c r="O2285" s="32"/>
      <c r="P2285" s="32"/>
      <c r="Q2285" s="32"/>
    </row>
    <row r="2286" spans="9:17" x14ac:dyDescent="0.4">
      <c r="I2286" s="46"/>
      <c r="J2286" s="32"/>
      <c r="K2286" s="32"/>
      <c r="L2286" s="32"/>
      <c r="M2286" s="32"/>
      <c r="N2286" s="32"/>
      <c r="O2286" s="32"/>
      <c r="P2286" s="32"/>
      <c r="Q2286" s="32"/>
    </row>
    <row r="2287" spans="9:17" x14ac:dyDescent="0.4">
      <c r="I2287" s="46"/>
      <c r="J2287" s="32"/>
      <c r="K2287" s="32"/>
      <c r="L2287" s="32"/>
      <c r="M2287" s="32"/>
      <c r="N2287" s="32"/>
      <c r="O2287" s="32"/>
      <c r="P2287" s="32"/>
      <c r="Q2287" s="32"/>
    </row>
    <row r="2288" spans="9:17" x14ac:dyDescent="0.4">
      <c r="I2288" s="46"/>
      <c r="J2288" s="32"/>
      <c r="K2288" s="32"/>
      <c r="L2288" s="32"/>
      <c r="M2288" s="32"/>
      <c r="N2288" s="32"/>
      <c r="O2288" s="32"/>
      <c r="P2288" s="32"/>
      <c r="Q2288" s="32"/>
    </row>
    <row r="2289" spans="9:17" x14ac:dyDescent="0.4">
      <c r="I2289" s="46"/>
      <c r="J2289" s="32"/>
      <c r="K2289" s="32"/>
      <c r="L2289" s="32"/>
      <c r="M2289" s="32"/>
      <c r="N2289" s="32"/>
      <c r="O2289" s="32"/>
      <c r="P2289" s="32"/>
      <c r="Q2289" s="32"/>
    </row>
    <row r="2290" spans="9:17" x14ac:dyDescent="0.4">
      <c r="I2290" s="46"/>
      <c r="J2290" s="32"/>
      <c r="K2290" s="32"/>
      <c r="L2290" s="32"/>
      <c r="M2290" s="32"/>
      <c r="N2290" s="32"/>
      <c r="O2290" s="32"/>
      <c r="P2290" s="32"/>
      <c r="Q2290" s="32"/>
    </row>
    <row r="2291" spans="9:17" x14ac:dyDescent="0.4">
      <c r="I2291" s="46"/>
      <c r="J2291" s="32"/>
      <c r="K2291" s="32"/>
      <c r="L2291" s="32"/>
      <c r="M2291" s="32"/>
      <c r="N2291" s="32"/>
      <c r="O2291" s="32"/>
      <c r="P2291" s="32"/>
      <c r="Q2291" s="32"/>
    </row>
    <row r="2292" spans="9:17" x14ac:dyDescent="0.4">
      <c r="I2292" s="46"/>
      <c r="J2292" s="32"/>
      <c r="K2292" s="32"/>
      <c r="L2292" s="32"/>
      <c r="M2292" s="32"/>
      <c r="N2292" s="32"/>
      <c r="O2292" s="32"/>
      <c r="P2292" s="32"/>
      <c r="Q2292" s="32"/>
    </row>
    <row r="2293" spans="9:17" x14ac:dyDescent="0.4">
      <c r="I2293" s="46"/>
      <c r="J2293" s="32"/>
      <c r="K2293" s="32"/>
      <c r="L2293" s="32"/>
      <c r="M2293" s="32"/>
      <c r="N2293" s="32"/>
      <c r="O2293" s="32"/>
      <c r="P2293" s="32"/>
      <c r="Q2293" s="32"/>
    </row>
    <row r="2294" spans="9:17" x14ac:dyDescent="0.4">
      <c r="I2294" s="46"/>
      <c r="J2294" s="32"/>
      <c r="K2294" s="32"/>
      <c r="L2294" s="32"/>
      <c r="M2294" s="32"/>
      <c r="N2294" s="32"/>
      <c r="O2294" s="32"/>
      <c r="P2294" s="32"/>
      <c r="Q2294" s="32"/>
    </row>
    <row r="2295" spans="9:17" x14ac:dyDescent="0.4">
      <c r="I2295" s="46"/>
      <c r="J2295" s="32"/>
      <c r="K2295" s="32"/>
      <c r="L2295" s="32"/>
      <c r="M2295" s="32"/>
      <c r="N2295" s="32"/>
      <c r="O2295" s="32"/>
      <c r="P2295" s="32"/>
      <c r="Q2295" s="32"/>
    </row>
    <row r="2296" spans="9:17" x14ac:dyDescent="0.4">
      <c r="I2296" s="46"/>
      <c r="J2296" s="32"/>
      <c r="K2296" s="32"/>
      <c r="L2296" s="32"/>
      <c r="M2296" s="32"/>
      <c r="N2296" s="32"/>
      <c r="O2296" s="32"/>
      <c r="P2296" s="32"/>
      <c r="Q2296" s="32"/>
    </row>
    <row r="2297" spans="9:17" x14ac:dyDescent="0.4">
      <c r="I2297" s="46"/>
      <c r="J2297" s="32"/>
      <c r="K2297" s="32"/>
      <c r="L2297" s="32"/>
      <c r="M2297" s="32"/>
      <c r="N2297" s="32"/>
      <c r="O2297" s="32"/>
      <c r="P2297" s="32"/>
      <c r="Q2297" s="32"/>
    </row>
    <row r="2298" spans="9:17" x14ac:dyDescent="0.4">
      <c r="I2298" s="46"/>
      <c r="J2298" s="32"/>
      <c r="K2298" s="32"/>
      <c r="L2298" s="32"/>
      <c r="M2298" s="32"/>
      <c r="N2298" s="32"/>
      <c r="O2298" s="32"/>
      <c r="P2298" s="32"/>
      <c r="Q2298" s="32"/>
    </row>
    <row r="2299" spans="9:17" x14ac:dyDescent="0.4">
      <c r="I2299" s="46"/>
      <c r="J2299" s="32"/>
      <c r="K2299" s="32"/>
      <c r="L2299" s="32"/>
      <c r="M2299" s="32"/>
      <c r="N2299" s="32"/>
      <c r="O2299" s="32"/>
      <c r="P2299" s="32"/>
      <c r="Q2299" s="32"/>
    </row>
    <row r="2300" spans="9:17" x14ac:dyDescent="0.4">
      <c r="I2300" s="46"/>
      <c r="J2300" s="32"/>
      <c r="K2300" s="32"/>
      <c r="L2300" s="32"/>
      <c r="M2300" s="32"/>
      <c r="N2300" s="32"/>
      <c r="O2300" s="32"/>
      <c r="P2300" s="32"/>
      <c r="Q2300" s="32"/>
    </row>
    <row r="2301" spans="9:17" x14ac:dyDescent="0.4">
      <c r="I2301" s="46"/>
      <c r="J2301" s="32"/>
      <c r="K2301" s="32"/>
      <c r="L2301" s="32"/>
      <c r="M2301" s="32"/>
      <c r="N2301" s="32"/>
      <c r="O2301" s="32"/>
      <c r="P2301" s="32"/>
      <c r="Q2301" s="32"/>
    </row>
    <row r="2302" spans="9:17" x14ac:dyDescent="0.4">
      <c r="I2302" s="46"/>
      <c r="J2302" s="32"/>
      <c r="K2302" s="32"/>
      <c r="L2302" s="32"/>
      <c r="M2302" s="32"/>
      <c r="N2302" s="32"/>
      <c r="O2302" s="32"/>
      <c r="P2302" s="32"/>
      <c r="Q2302" s="32"/>
    </row>
    <row r="2303" spans="9:17" x14ac:dyDescent="0.4">
      <c r="I2303" s="46"/>
      <c r="J2303" s="32"/>
      <c r="K2303" s="32"/>
      <c r="L2303" s="32"/>
      <c r="M2303" s="32"/>
      <c r="N2303" s="32"/>
      <c r="O2303" s="32"/>
      <c r="P2303" s="32"/>
      <c r="Q2303" s="32"/>
    </row>
    <row r="2304" spans="9:17" x14ac:dyDescent="0.4">
      <c r="I2304" s="46"/>
      <c r="J2304" s="32"/>
      <c r="K2304" s="32"/>
      <c r="L2304" s="32"/>
      <c r="M2304" s="32"/>
      <c r="N2304" s="32"/>
      <c r="O2304" s="32"/>
      <c r="P2304" s="32"/>
      <c r="Q2304" s="32"/>
    </row>
    <row r="2305" spans="9:17" x14ac:dyDescent="0.4">
      <c r="I2305" s="46"/>
      <c r="J2305" s="32"/>
      <c r="K2305" s="32"/>
      <c r="L2305" s="32"/>
      <c r="M2305" s="32"/>
      <c r="N2305" s="32"/>
      <c r="O2305" s="32"/>
      <c r="P2305" s="32"/>
      <c r="Q2305" s="32"/>
    </row>
    <row r="2306" spans="9:17" x14ac:dyDescent="0.4">
      <c r="I2306" s="46"/>
      <c r="J2306" s="32"/>
      <c r="K2306" s="32"/>
      <c r="L2306" s="32"/>
      <c r="M2306" s="32"/>
      <c r="N2306" s="32"/>
      <c r="O2306" s="32"/>
      <c r="P2306" s="32"/>
      <c r="Q2306" s="32"/>
    </row>
    <row r="2307" spans="9:17" x14ac:dyDescent="0.4">
      <c r="I2307" s="46"/>
      <c r="J2307" s="32"/>
      <c r="K2307" s="32"/>
      <c r="L2307" s="32"/>
      <c r="M2307" s="32"/>
      <c r="N2307" s="32"/>
      <c r="O2307" s="32"/>
      <c r="P2307" s="32"/>
      <c r="Q2307" s="32"/>
    </row>
    <row r="2308" spans="9:17" x14ac:dyDescent="0.4">
      <c r="I2308" s="46"/>
      <c r="J2308" s="32"/>
      <c r="K2308" s="32"/>
      <c r="L2308" s="32"/>
      <c r="M2308" s="32"/>
      <c r="N2308" s="32"/>
      <c r="O2308" s="32"/>
      <c r="P2308" s="32"/>
      <c r="Q2308" s="32"/>
    </row>
    <row r="2309" spans="9:17" x14ac:dyDescent="0.4">
      <c r="I2309" s="46"/>
      <c r="J2309" s="32"/>
      <c r="K2309" s="32"/>
      <c r="L2309" s="32"/>
      <c r="M2309" s="32"/>
      <c r="N2309" s="32"/>
      <c r="O2309" s="32"/>
      <c r="P2309" s="32"/>
      <c r="Q2309" s="32"/>
    </row>
    <row r="2310" spans="9:17" x14ac:dyDescent="0.4">
      <c r="I2310" s="46"/>
      <c r="J2310" s="32"/>
      <c r="K2310" s="32"/>
      <c r="L2310" s="32"/>
      <c r="M2310" s="32"/>
      <c r="N2310" s="32"/>
      <c r="O2310" s="32"/>
      <c r="P2310" s="32"/>
      <c r="Q2310" s="32"/>
    </row>
    <row r="2311" spans="9:17" x14ac:dyDescent="0.4">
      <c r="I2311" s="46"/>
      <c r="J2311" s="32"/>
      <c r="K2311" s="32"/>
      <c r="L2311" s="32"/>
      <c r="M2311" s="32"/>
      <c r="N2311" s="32"/>
      <c r="O2311" s="32"/>
      <c r="P2311" s="32"/>
      <c r="Q2311" s="32"/>
    </row>
    <row r="2312" spans="9:17" x14ac:dyDescent="0.4">
      <c r="I2312" s="46"/>
      <c r="J2312" s="32"/>
      <c r="K2312" s="32"/>
      <c r="L2312" s="32"/>
      <c r="M2312" s="32"/>
      <c r="N2312" s="32"/>
      <c r="O2312" s="32"/>
      <c r="P2312" s="32"/>
      <c r="Q2312" s="32"/>
    </row>
    <row r="2313" spans="9:17" x14ac:dyDescent="0.4">
      <c r="I2313" s="46"/>
      <c r="J2313" s="32"/>
      <c r="K2313" s="32"/>
      <c r="L2313" s="32"/>
      <c r="M2313" s="32"/>
      <c r="N2313" s="32"/>
      <c r="O2313" s="32"/>
      <c r="P2313" s="32"/>
      <c r="Q2313" s="32"/>
    </row>
    <row r="2314" spans="9:17" x14ac:dyDescent="0.4">
      <c r="I2314" s="46"/>
      <c r="J2314" s="32"/>
      <c r="K2314" s="32"/>
      <c r="L2314" s="32"/>
      <c r="M2314" s="32"/>
      <c r="N2314" s="32"/>
      <c r="O2314" s="32"/>
      <c r="P2314" s="32"/>
      <c r="Q2314" s="32"/>
    </row>
    <row r="2315" spans="9:17" x14ac:dyDescent="0.4">
      <c r="I2315" s="46"/>
      <c r="J2315" s="32"/>
      <c r="K2315" s="32"/>
      <c r="L2315" s="32"/>
      <c r="M2315" s="32"/>
      <c r="N2315" s="32"/>
      <c r="O2315" s="32"/>
      <c r="P2315" s="32"/>
      <c r="Q2315" s="32"/>
    </row>
    <row r="2316" spans="9:17" x14ac:dyDescent="0.4">
      <c r="I2316" s="46"/>
      <c r="J2316" s="32"/>
      <c r="K2316" s="32"/>
      <c r="L2316" s="32"/>
      <c r="M2316" s="32"/>
      <c r="N2316" s="32"/>
      <c r="O2316" s="32"/>
      <c r="P2316" s="32"/>
      <c r="Q2316" s="32"/>
    </row>
    <row r="2317" spans="9:17" x14ac:dyDescent="0.4">
      <c r="I2317" s="46"/>
      <c r="J2317" s="32"/>
      <c r="K2317" s="32"/>
      <c r="L2317" s="32"/>
      <c r="M2317" s="32"/>
      <c r="N2317" s="32"/>
      <c r="O2317" s="32"/>
      <c r="P2317" s="32"/>
      <c r="Q2317" s="32"/>
    </row>
    <row r="2318" spans="9:17" x14ac:dyDescent="0.4">
      <c r="I2318" s="46"/>
      <c r="J2318" s="32"/>
      <c r="K2318" s="32"/>
      <c r="L2318" s="32"/>
      <c r="M2318" s="32"/>
      <c r="N2318" s="32"/>
      <c r="O2318" s="32"/>
      <c r="P2318" s="32"/>
      <c r="Q2318" s="32"/>
    </row>
    <row r="2319" spans="9:17" x14ac:dyDescent="0.4">
      <c r="I2319" s="46"/>
      <c r="J2319" s="32"/>
      <c r="K2319" s="32"/>
      <c r="L2319" s="32"/>
      <c r="M2319" s="32"/>
      <c r="N2319" s="32"/>
      <c r="O2319" s="32"/>
      <c r="P2319" s="32"/>
      <c r="Q2319" s="32"/>
    </row>
    <row r="2320" spans="9:17" x14ac:dyDescent="0.4">
      <c r="I2320" s="46"/>
      <c r="J2320" s="32"/>
      <c r="K2320" s="32"/>
      <c r="L2320" s="32"/>
      <c r="M2320" s="32"/>
      <c r="N2320" s="32"/>
      <c r="O2320" s="32"/>
      <c r="P2320" s="32"/>
      <c r="Q2320" s="32"/>
    </row>
    <row r="2321" spans="9:17" x14ac:dyDescent="0.4">
      <c r="I2321" s="46"/>
      <c r="J2321" s="32"/>
      <c r="K2321" s="32"/>
      <c r="L2321" s="32"/>
      <c r="M2321" s="32"/>
      <c r="N2321" s="32"/>
      <c r="O2321" s="32"/>
      <c r="P2321" s="32"/>
      <c r="Q2321" s="32"/>
    </row>
    <row r="2322" spans="9:17" x14ac:dyDescent="0.4">
      <c r="I2322" s="46"/>
      <c r="J2322" s="32"/>
      <c r="K2322" s="32"/>
      <c r="L2322" s="32"/>
      <c r="M2322" s="32"/>
      <c r="N2322" s="32"/>
      <c r="O2322" s="32"/>
      <c r="P2322" s="32"/>
      <c r="Q2322" s="32"/>
    </row>
    <row r="2323" spans="9:17" x14ac:dyDescent="0.4">
      <c r="I2323" s="46"/>
      <c r="J2323" s="32"/>
      <c r="K2323" s="32"/>
      <c r="L2323" s="32"/>
      <c r="M2323" s="32"/>
      <c r="N2323" s="32"/>
      <c r="O2323" s="32"/>
      <c r="P2323" s="32"/>
      <c r="Q2323" s="32"/>
    </row>
    <row r="2324" spans="9:17" x14ac:dyDescent="0.4">
      <c r="I2324" s="46"/>
      <c r="J2324" s="32"/>
      <c r="K2324" s="32"/>
      <c r="L2324" s="32"/>
      <c r="M2324" s="32"/>
      <c r="N2324" s="32"/>
      <c r="O2324" s="32"/>
      <c r="P2324" s="32"/>
      <c r="Q2324" s="32"/>
    </row>
    <row r="2325" spans="9:17" x14ac:dyDescent="0.4">
      <c r="I2325" s="46"/>
      <c r="J2325" s="32"/>
      <c r="K2325" s="32"/>
      <c r="L2325" s="32"/>
      <c r="M2325" s="32"/>
      <c r="N2325" s="32"/>
      <c r="O2325" s="32"/>
      <c r="P2325" s="32"/>
      <c r="Q2325" s="32"/>
    </row>
    <row r="2326" spans="9:17" x14ac:dyDescent="0.4">
      <c r="I2326" s="46"/>
      <c r="J2326" s="32"/>
      <c r="K2326" s="32"/>
      <c r="L2326" s="32"/>
      <c r="M2326" s="32"/>
      <c r="N2326" s="32"/>
      <c r="O2326" s="32"/>
      <c r="P2326" s="32"/>
      <c r="Q2326" s="32"/>
    </row>
    <row r="2327" spans="9:17" x14ac:dyDescent="0.4">
      <c r="I2327" s="46"/>
      <c r="J2327" s="32"/>
      <c r="K2327" s="32"/>
      <c r="L2327" s="32"/>
      <c r="M2327" s="32"/>
      <c r="N2327" s="32"/>
      <c r="O2327" s="32"/>
      <c r="P2327" s="32"/>
      <c r="Q2327" s="32"/>
    </row>
    <row r="2328" spans="9:17" x14ac:dyDescent="0.4">
      <c r="I2328" s="46"/>
      <c r="J2328" s="32"/>
      <c r="K2328" s="32"/>
      <c r="L2328" s="32"/>
      <c r="M2328" s="32"/>
      <c r="N2328" s="32"/>
      <c r="O2328" s="32"/>
      <c r="P2328" s="32"/>
      <c r="Q2328" s="32"/>
    </row>
    <row r="2329" spans="9:17" x14ac:dyDescent="0.4">
      <c r="I2329" s="46"/>
      <c r="J2329" s="32"/>
      <c r="K2329" s="32"/>
      <c r="L2329" s="32"/>
      <c r="M2329" s="32"/>
      <c r="N2329" s="32"/>
      <c r="O2329" s="32"/>
      <c r="P2329" s="32"/>
      <c r="Q2329" s="32"/>
    </row>
    <row r="2330" spans="9:17" x14ac:dyDescent="0.4">
      <c r="I2330" s="46"/>
      <c r="J2330" s="32"/>
      <c r="K2330" s="32"/>
      <c r="L2330" s="32"/>
      <c r="M2330" s="32"/>
      <c r="N2330" s="32"/>
      <c r="O2330" s="32"/>
      <c r="P2330" s="32"/>
      <c r="Q2330" s="32"/>
    </row>
    <row r="2331" spans="9:17" x14ac:dyDescent="0.4">
      <c r="I2331" s="46"/>
      <c r="J2331" s="32"/>
      <c r="K2331" s="32"/>
      <c r="L2331" s="32"/>
      <c r="M2331" s="32"/>
      <c r="N2331" s="32"/>
      <c r="O2331" s="32"/>
      <c r="P2331" s="32"/>
      <c r="Q2331" s="32"/>
    </row>
    <row r="2332" spans="9:17" x14ac:dyDescent="0.4">
      <c r="I2332" s="46"/>
      <c r="J2332" s="32"/>
      <c r="K2332" s="32"/>
      <c r="L2332" s="32"/>
      <c r="M2332" s="32"/>
      <c r="N2332" s="32"/>
      <c r="O2332" s="32"/>
      <c r="P2332" s="32"/>
      <c r="Q2332" s="32"/>
    </row>
    <row r="2333" spans="9:17" x14ac:dyDescent="0.4">
      <c r="I2333" s="46"/>
      <c r="J2333" s="32"/>
      <c r="K2333" s="32"/>
      <c r="L2333" s="32"/>
      <c r="M2333" s="32"/>
      <c r="N2333" s="32"/>
      <c r="O2333" s="32"/>
      <c r="P2333" s="32"/>
      <c r="Q2333" s="32"/>
    </row>
    <row r="2334" spans="9:17" x14ac:dyDescent="0.4">
      <c r="I2334" s="46"/>
      <c r="J2334" s="32"/>
      <c r="K2334" s="32"/>
      <c r="L2334" s="32"/>
      <c r="M2334" s="32"/>
      <c r="N2334" s="32"/>
      <c r="O2334" s="32"/>
      <c r="P2334" s="32"/>
      <c r="Q2334" s="32"/>
    </row>
    <row r="2335" spans="9:17" x14ac:dyDescent="0.4">
      <c r="I2335" s="46"/>
      <c r="J2335" s="32"/>
      <c r="K2335" s="32"/>
      <c r="L2335" s="32"/>
      <c r="M2335" s="32"/>
      <c r="N2335" s="32"/>
      <c r="O2335" s="32"/>
      <c r="P2335" s="32"/>
      <c r="Q2335" s="32"/>
    </row>
    <row r="2336" spans="9:17" x14ac:dyDescent="0.4">
      <c r="I2336" s="46"/>
      <c r="J2336" s="32"/>
      <c r="K2336" s="32"/>
      <c r="L2336" s="32"/>
      <c r="M2336" s="32"/>
      <c r="N2336" s="32"/>
      <c r="O2336" s="32"/>
      <c r="P2336" s="32"/>
      <c r="Q2336" s="32"/>
    </row>
    <row r="2337" spans="9:17" x14ac:dyDescent="0.4">
      <c r="I2337" s="46"/>
      <c r="J2337" s="32"/>
      <c r="K2337" s="32"/>
      <c r="L2337" s="32"/>
      <c r="M2337" s="32"/>
      <c r="N2337" s="32"/>
      <c r="O2337" s="32"/>
      <c r="P2337" s="32"/>
      <c r="Q2337" s="32"/>
    </row>
    <row r="2338" spans="9:17" x14ac:dyDescent="0.4">
      <c r="I2338" s="46"/>
      <c r="J2338" s="32"/>
      <c r="K2338" s="32"/>
      <c r="L2338" s="32"/>
      <c r="M2338" s="32"/>
      <c r="N2338" s="32"/>
      <c r="O2338" s="32"/>
      <c r="P2338" s="32"/>
      <c r="Q2338" s="32"/>
    </row>
    <row r="2339" spans="9:17" x14ac:dyDescent="0.4">
      <c r="I2339" s="46"/>
      <c r="J2339" s="32"/>
      <c r="K2339" s="32"/>
      <c r="L2339" s="32"/>
      <c r="M2339" s="32"/>
      <c r="N2339" s="32"/>
      <c r="O2339" s="32"/>
      <c r="P2339" s="32"/>
      <c r="Q2339" s="32"/>
    </row>
    <row r="2340" spans="9:17" x14ac:dyDescent="0.4">
      <c r="I2340" s="46"/>
      <c r="J2340" s="32"/>
      <c r="K2340" s="32"/>
      <c r="L2340" s="32"/>
      <c r="M2340" s="32"/>
      <c r="N2340" s="32"/>
      <c r="O2340" s="32"/>
      <c r="P2340" s="32"/>
      <c r="Q2340" s="32"/>
    </row>
    <row r="2341" spans="9:17" x14ac:dyDescent="0.4">
      <c r="I2341" s="46"/>
      <c r="J2341" s="32"/>
      <c r="K2341" s="32"/>
      <c r="L2341" s="32"/>
      <c r="M2341" s="32"/>
      <c r="N2341" s="32"/>
      <c r="O2341" s="32"/>
      <c r="P2341" s="32"/>
      <c r="Q2341" s="32"/>
    </row>
    <row r="2342" spans="9:17" x14ac:dyDescent="0.4">
      <c r="I2342" s="46"/>
      <c r="J2342" s="32"/>
      <c r="K2342" s="32"/>
      <c r="L2342" s="32"/>
      <c r="M2342" s="32"/>
      <c r="N2342" s="32"/>
      <c r="O2342" s="32"/>
      <c r="P2342" s="32"/>
      <c r="Q2342" s="32"/>
    </row>
    <row r="2343" spans="9:17" x14ac:dyDescent="0.4">
      <c r="I2343" s="46"/>
      <c r="J2343" s="32"/>
      <c r="K2343" s="32"/>
      <c r="L2343" s="32"/>
      <c r="M2343" s="32"/>
      <c r="N2343" s="32"/>
      <c r="O2343" s="32"/>
      <c r="P2343" s="32"/>
      <c r="Q2343" s="32"/>
    </row>
    <row r="2344" spans="9:17" x14ac:dyDescent="0.4">
      <c r="I2344" s="46"/>
      <c r="J2344" s="32"/>
      <c r="K2344" s="32"/>
      <c r="L2344" s="32"/>
      <c r="M2344" s="32"/>
      <c r="N2344" s="32"/>
      <c r="O2344" s="32"/>
      <c r="P2344" s="32"/>
      <c r="Q2344" s="32"/>
    </row>
    <row r="2345" spans="9:17" x14ac:dyDescent="0.4">
      <c r="I2345" s="46"/>
      <c r="J2345" s="32"/>
      <c r="K2345" s="32"/>
      <c r="L2345" s="32"/>
      <c r="M2345" s="32"/>
      <c r="N2345" s="32"/>
      <c r="O2345" s="32"/>
      <c r="P2345" s="32"/>
      <c r="Q2345" s="32"/>
    </row>
    <row r="2346" spans="9:17" x14ac:dyDescent="0.4">
      <c r="I2346" s="46"/>
      <c r="J2346" s="32"/>
      <c r="K2346" s="32"/>
      <c r="L2346" s="32"/>
      <c r="M2346" s="32"/>
      <c r="N2346" s="32"/>
      <c r="O2346" s="32"/>
      <c r="P2346" s="32"/>
      <c r="Q2346" s="32"/>
    </row>
    <row r="2347" spans="9:17" x14ac:dyDescent="0.4">
      <c r="I2347" s="46"/>
      <c r="J2347" s="32"/>
      <c r="K2347" s="32"/>
      <c r="L2347" s="32"/>
      <c r="M2347" s="32"/>
      <c r="N2347" s="32"/>
      <c r="O2347" s="32"/>
      <c r="P2347" s="32"/>
      <c r="Q2347" s="32"/>
    </row>
    <row r="2348" spans="9:17" x14ac:dyDescent="0.4">
      <c r="I2348" s="46"/>
      <c r="J2348" s="32"/>
      <c r="K2348" s="32"/>
      <c r="L2348" s="32"/>
      <c r="M2348" s="32"/>
      <c r="N2348" s="32"/>
      <c r="O2348" s="32"/>
      <c r="P2348" s="32"/>
      <c r="Q2348" s="32"/>
    </row>
    <row r="2349" spans="9:17" x14ac:dyDescent="0.4">
      <c r="I2349" s="46"/>
      <c r="J2349" s="32"/>
      <c r="K2349" s="32"/>
      <c r="L2349" s="32"/>
      <c r="M2349" s="32"/>
      <c r="N2349" s="32"/>
      <c r="O2349" s="32"/>
      <c r="P2349" s="32"/>
      <c r="Q2349" s="32"/>
    </row>
    <row r="2350" spans="9:17" x14ac:dyDescent="0.4">
      <c r="I2350" s="46"/>
      <c r="J2350" s="32"/>
      <c r="K2350" s="32"/>
      <c r="L2350" s="32"/>
      <c r="M2350" s="32"/>
      <c r="N2350" s="32"/>
      <c r="O2350" s="32"/>
      <c r="P2350" s="32"/>
      <c r="Q2350" s="32"/>
    </row>
    <row r="2351" spans="9:17" x14ac:dyDescent="0.4">
      <c r="I2351" s="46"/>
      <c r="J2351" s="32"/>
      <c r="K2351" s="32"/>
      <c r="L2351" s="32"/>
      <c r="M2351" s="32"/>
      <c r="N2351" s="32"/>
      <c r="O2351" s="32"/>
      <c r="P2351" s="32"/>
      <c r="Q2351" s="32"/>
    </row>
    <row r="2352" spans="9:17" x14ac:dyDescent="0.4">
      <c r="I2352" s="46"/>
      <c r="J2352" s="32"/>
      <c r="K2352" s="32"/>
      <c r="L2352" s="32"/>
      <c r="M2352" s="32"/>
      <c r="N2352" s="32"/>
      <c r="O2352" s="32"/>
      <c r="P2352" s="32"/>
      <c r="Q2352" s="32"/>
    </row>
    <row r="2353" spans="9:17" x14ac:dyDescent="0.4">
      <c r="I2353" s="46"/>
      <c r="J2353" s="32"/>
      <c r="K2353" s="32"/>
      <c r="L2353" s="32"/>
      <c r="M2353" s="32"/>
      <c r="N2353" s="32"/>
      <c r="O2353" s="32"/>
      <c r="P2353" s="32"/>
      <c r="Q2353" s="32"/>
    </row>
    <row r="2354" spans="9:17" x14ac:dyDescent="0.4">
      <c r="I2354" s="46"/>
      <c r="J2354" s="32"/>
      <c r="K2354" s="32"/>
      <c r="L2354" s="32"/>
      <c r="M2354" s="32"/>
      <c r="N2354" s="32"/>
      <c r="O2354" s="32"/>
      <c r="P2354" s="32"/>
      <c r="Q2354" s="32"/>
    </row>
    <row r="2355" spans="9:17" x14ac:dyDescent="0.4">
      <c r="I2355" s="46"/>
      <c r="J2355" s="32"/>
      <c r="K2355" s="32"/>
      <c r="L2355" s="32"/>
      <c r="M2355" s="32"/>
      <c r="N2355" s="32"/>
      <c r="O2355" s="32"/>
      <c r="P2355" s="32"/>
      <c r="Q2355" s="32"/>
    </row>
    <row r="2356" spans="9:17" x14ac:dyDescent="0.4">
      <c r="I2356" s="46"/>
      <c r="J2356" s="32"/>
      <c r="K2356" s="32"/>
      <c r="L2356" s="32"/>
      <c r="M2356" s="32"/>
      <c r="N2356" s="32"/>
      <c r="O2356" s="32"/>
      <c r="P2356" s="32"/>
      <c r="Q2356" s="32"/>
    </row>
    <row r="2357" spans="9:17" x14ac:dyDescent="0.4">
      <c r="I2357" s="46"/>
      <c r="J2357" s="32"/>
      <c r="K2357" s="32"/>
      <c r="L2357" s="32"/>
      <c r="M2357" s="32"/>
      <c r="N2357" s="32"/>
      <c r="O2357" s="32"/>
      <c r="P2357" s="32"/>
      <c r="Q2357" s="32"/>
    </row>
    <row r="2358" spans="9:17" x14ac:dyDescent="0.4">
      <c r="I2358" s="46"/>
      <c r="J2358" s="32"/>
      <c r="K2358" s="32"/>
      <c r="L2358" s="32"/>
      <c r="M2358" s="32"/>
      <c r="N2358" s="32"/>
      <c r="O2358" s="32"/>
      <c r="P2358" s="32"/>
      <c r="Q2358" s="32"/>
    </row>
    <row r="2359" spans="9:17" x14ac:dyDescent="0.4">
      <c r="I2359" s="46"/>
      <c r="J2359" s="32"/>
      <c r="K2359" s="32"/>
      <c r="L2359" s="32"/>
      <c r="M2359" s="32"/>
      <c r="N2359" s="32"/>
      <c r="O2359" s="32"/>
      <c r="P2359" s="32"/>
      <c r="Q2359" s="32"/>
    </row>
    <row r="2360" spans="9:17" x14ac:dyDescent="0.4">
      <c r="I2360" s="46"/>
      <c r="J2360" s="32"/>
      <c r="K2360" s="32"/>
      <c r="L2360" s="32"/>
      <c r="M2360" s="32"/>
      <c r="N2360" s="32"/>
      <c r="O2360" s="32"/>
      <c r="P2360" s="32"/>
      <c r="Q2360" s="32"/>
    </row>
    <row r="2361" spans="9:17" x14ac:dyDescent="0.4">
      <c r="I2361" s="46"/>
      <c r="J2361" s="32"/>
      <c r="K2361" s="32"/>
      <c r="L2361" s="32"/>
      <c r="M2361" s="32"/>
      <c r="N2361" s="32"/>
      <c r="O2361" s="32"/>
      <c r="P2361" s="32"/>
      <c r="Q2361" s="32"/>
    </row>
    <row r="2362" spans="9:17" x14ac:dyDescent="0.4">
      <c r="I2362" s="46"/>
      <c r="J2362" s="32"/>
      <c r="K2362" s="32"/>
      <c r="L2362" s="32"/>
      <c r="M2362" s="32"/>
      <c r="N2362" s="32"/>
      <c r="O2362" s="32"/>
      <c r="P2362" s="32"/>
      <c r="Q2362" s="32"/>
    </row>
    <row r="2363" spans="9:17" x14ac:dyDescent="0.4">
      <c r="I2363" s="46"/>
      <c r="J2363" s="32"/>
      <c r="K2363" s="32"/>
      <c r="L2363" s="32"/>
      <c r="M2363" s="32"/>
      <c r="N2363" s="32"/>
      <c r="O2363" s="32"/>
      <c r="P2363" s="32"/>
      <c r="Q2363" s="32"/>
    </row>
    <row r="2364" spans="9:17" x14ac:dyDescent="0.4">
      <c r="I2364" s="46"/>
      <c r="J2364" s="32"/>
      <c r="K2364" s="32"/>
      <c r="L2364" s="32"/>
      <c r="M2364" s="32"/>
      <c r="N2364" s="32"/>
      <c r="O2364" s="32"/>
      <c r="P2364" s="32"/>
      <c r="Q2364" s="32"/>
    </row>
    <row r="2365" spans="9:17" x14ac:dyDescent="0.4">
      <c r="I2365" s="46"/>
      <c r="J2365" s="32"/>
      <c r="K2365" s="32"/>
      <c r="L2365" s="32"/>
      <c r="M2365" s="32"/>
      <c r="N2365" s="32"/>
      <c r="O2365" s="32"/>
      <c r="P2365" s="32"/>
      <c r="Q2365" s="32"/>
    </row>
    <row r="2366" spans="9:17" x14ac:dyDescent="0.4">
      <c r="I2366" s="46"/>
      <c r="J2366" s="32"/>
      <c r="K2366" s="32"/>
      <c r="L2366" s="32"/>
      <c r="M2366" s="32"/>
      <c r="N2366" s="32"/>
      <c r="O2366" s="32"/>
      <c r="P2366" s="32"/>
      <c r="Q2366" s="32"/>
    </row>
    <row r="2367" spans="9:17" x14ac:dyDescent="0.4">
      <c r="I2367" s="46"/>
      <c r="J2367" s="32"/>
      <c r="K2367" s="32"/>
      <c r="L2367" s="32"/>
      <c r="M2367" s="32"/>
      <c r="N2367" s="32"/>
      <c r="O2367" s="32"/>
      <c r="P2367" s="32"/>
      <c r="Q2367" s="32"/>
    </row>
    <row r="2368" spans="9:17" x14ac:dyDescent="0.4">
      <c r="I2368" s="46"/>
      <c r="J2368" s="32"/>
      <c r="K2368" s="32"/>
      <c r="L2368" s="32"/>
      <c r="M2368" s="32"/>
      <c r="N2368" s="32"/>
      <c r="O2368" s="32"/>
      <c r="P2368" s="32"/>
      <c r="Q2368" s="32"/>
    </row>
    <row r="2369" spans="9:17" x14ac:dyDescent="0.4">
      <c r="I2369" s="46"/>
      <c r="J2369" s="32"/>
      <c r="K2369" s="32"/>
      <c r="L2369" s="32"/>
      <c r="M2369" s="32"/>
      <c r="N2369" s="32"/>
      <c r="O2369" s="32"/>
      <c r="P2369" s="32"/>
      <c r="Q2369" s="32"/>
    </row>
    <row r="2370" spans="9:17" x14ac:dyDescent="0.4">
      <c r="I2370" s="46"/>
      <c r="J2370" s="32"/>
      <c r="K2370" s="32"/>
      <c r="L2370" s="32"/>
      <c r="M2370" s="32"/>
      <c r="N2370" s="32"/>
      <c r="O2370" s="32"/>
      <c r="P2370" s="32"/>
      <c r="Q2370" s="32"/>
    </row>
    <row r="2371" spans="9:17" x14ac:dyDescent="0.4">
      <c r="I2371" s="46"/>
      <c r="J2371" s="32"/>
      <c r="K2371" s="32"/>
      <c r="L2371" s="32"/>
      <c r="M2371" s="32"/>
      <c r="N2371" s="32"/>
      <c r="O2371" s="32"/>
      <c r="P2371" s="32"/>
      <c r="Q2371" s="32"/>
    </row>
    <row r="2372" spans="9:17" x14ac:dyDescent="0.4">
      <c r="I2372" s="46"/>
      <c r="J2372" s="32"/>
      <c r="K2372" s="32"/>
      <c r="L2372" s="32"/>
      <c r="M2372" s="32"/>
      <c r="N2372" s="32"/>
      <c r="O2372" s="32"/>
      <c r="P2372" s="32"/>
      <c r="Q2372" s="32"/>
    </row>
    <row r="2373" spans="9:17" x14ac:dyDescent="0.4">
      <c r="I2373" s="46"/>
      <c r="J2373" s="32"/>
      <c r="K2373" s="32"/>
      <c r="L2373" s="32"/>
      <c r="M2373" s="32"/>
      <c r="N2373" s="32"/>
      <c r="O2373" s="32"/>
      <c r="P2373" s="32"/>
      <c r="Q2373" s="32"/>
    </row>
    <row r="2374" spans="9:17" x14ac:dyDescent="0.4">
      <c r="I2374" s="46"/>
      <c r="J2374" s="32"/>
      <c r="K2374" s="32"/>
      <c r="L2374" s="32"/>
      <c r="M2374" s="32"/>
      <c r="N2374" s="32"/>
      <c r="O2374" s="32"/>
      <c r="P2374" s="32"/>
      <c r="Q2374" s="32"/>
    </row>
    <row r="2375" spans="9:17" x14ac:dyDescent="0.4">
      <c r="I2375" s="46"/>
      <c r="J2375" s="32"/>
      <c r="K2375" s="32"/>
      <c r="L2375" s="32"/>
      <c r="M2375" s="32"/>
      <c r="N2375" s="32"/>
      <c r="O2375" s="32"/>
      <c r="P2375" s="32"/>
      <c r="Q2375" s="32"/>
    </row>
    <row r="2376" spans="9:17" x14ac:dyDescent="0.4">
      <c r="I2376" s="46"/>
      <c r="J2376" s="32"/>
      <c r="K2376" s="32"/>
      <c r="L2376" s="32"/>
      <c r="M2376" s="32"/>
      <c r="N2376" s="32"/>
      <c r="O2376" s="32"/>
      <c r="P2376" s="32"/>
      <c r="Q2376" s="32"/>
    </row>
    <row r="2377" spans="9:17" x14ac:dyDescent="0.4">
      <c r="I2377" s="46"/>
      <c r="J2377" s="32"/>
      <c r="K2377" s="32"/>
      <c r="L2377" s="32"/>
      <c r="M2377" s="32"/>
      <c r="N2377" s="32"/>
      <c r="O2377" s="32"/>
      <c r="P2377" s="32"/>
      <c r="Q2377" s="32"/>
    </row>
    <row r="2378" spans="9:17" x14ac:dyDescent="0.4">
      <c r="I2378" s="46"/>
      <c r="J2378" s="32"/>
      <c r="K2378" s="32"/>
      <c r="L2378" s="32"/>
      <c r="M2378" s="32"/>
      <c r="N2378" s="32"/>
      <c r="O2378" s="32"/>
      <c r="P2378" s="32"/>
      <c r="Q2378" s="32"/>
    </row>
    <row r="2379" spans="9:17" x14ac:dyDescent="0.4">
      <c r="I2379" s="46"/>
      <c r="J2379" s="32"/>
      <c r="K2379" s="32"/>
      <c r="L2379" s="32"/>
      <c r="M2379" s="32"/>
      <c r="N2379" s="32"/>
      <c r="O2379" s="32"/>
      <c r="P2379" s="32"/>
      <c r="Q2379" s="32"/>
    </row>
    <row r="2380" spans="9:17" x14ac:dyDescent="0.4">
      <c r="I2380" s="46"/>
      <c r="J2380" s="32"/>
      <c r="K2380" s="32"/>
      <c r="L2380" s="32"/>
      <c r="M2380" s="32"/>
      <c r="N2380" s="32"/>
      <c r="O2380" s="32"/>
      <c r="P2380" s="32"/>
      <c r="Q2380" s="32"/>
    </row>
    <row r="2381" spans="9:17" x14ac:dyDescent="0.4">
      <c r="I2381" s="46"/>
      <c r="J2381" s="32"/>
      <c r="K2381" s="32"/>
      <c r="L2381" s="32"/>
      <c r="M2381" s="32"/>
      <c r="N2381" s="32"/>
      <c r="O2381" s="32"/>
      <c r="P2381" s="32"/>
      <c r="Q2381" s="32"/>
    </row>
    <row r="2382" spans="9:17" x14ac:dyDescent="0.4">
      <c r="I2382" s="46"/>
      <c r="J2382" s="32"/>
      <c r="K2382" s="32"/>
      <c r="L2382" s="32"/>
      <c r="M2382" s="32"/>
      <c r="N2382" s="32"/>
      <c r="O2382" s="32"/>
      <c r="P2382" s="32"/>
      <c r="Q2382" s="32"/>
    </row>
    <row r="2383" spans="9:17" x14ac:dyDescent="0.4">
      <c r="I2383" s="46"/>
      <c r="J2383" s="32"/>
      <c r="K2383" s="32"/>
      <c r="L2383" s="32"/>
      <c r="M2383" s="32"/>
      <c r="N2383" s="32"/>
      <c r="O2383" s="32"/>
      <c r="P2383" s="32"/>
      <c r="Q2383" s="32"/>
    </row>
    <row r="2384" spans="9:17" x14ac:dyDescent="0.4">
      <c r="I2384" s="46"/>
      <c r="J2384" s="32"/>
      <c r="K2384" s="32"/>
      <c r="L2384" s="32"/>
      <c r="M2384" s="32"/>
      <c r="N2384" s="32"/>
      <c r="O2384" s="32"/>
      <c r="P2384" s="32"/>
      <c r="Q2384" s="32"/>
    </row>
    <row r="2385" spans="9:17" x14ac:dyDescent="0.4">
      <c r="I2385" s="46"/>
      <c r="J2385" s="32"/>
      <c r="K2385" s="32"/>
      <c r="L2385" s="32"/>
      <c r="M2385" s="32"/>
      <c r="N2385" s="32"/>
      <c r="O2385" s="32"/>
      <c r="P2385" s="32"/>
      <c r="Q2385" s="32"/>
    </row>
    <row r="2386" spans="9:17" x14ac:dyDescent="0.4">
      <c r="I2386" s="46"/>
      <c r="J2386" s="32"/>
      <c r="K2386" s="32"/>
      <c r="L2386" s="32"/>
      <c r="M2386" s="32"/>
      <c r="N2386" s="32"/>
      <c r="O2386" s="32"/>
      <c r="P2386" s="32"/>
      <c r="Q2386" s="32"/>
    </row>
    <row r="2387" spans="9:17" x14ac:dyDescent="0.4">
      <c r="I2387" s="46"/>
      <c r="J2387" s="32"/>
      <c r="K2387" s="32"/>
      <c r="L2387" s="32"/>
      <c r="M2387" s="32"/>
      <c r="N2387" s="32"/>
      <c r="O2387" s="32"/>
      <c r="P2387" s="32"/>
      <c r="Q2387" s="32"/>
    </row>
    <row r="2388" spans="9:17" x14ac:dyDescent="0.4">
      <c r="I2388" s="46"/>
      <c r="J2388" s="32"/>
      <c r="K2388" s="32"/>
      <c r="L2388" s="32"/>
      <c r="M2388" s="32"/>
      <c r="N2388" s="32"/>
      <c r="O2388" s="32"/>
      <c r="P2388" s="32"/>
      <c r="Q2388" s="32"/>
    </row>
    <row r="2389" spans="9:17" x14ac:dyDescent="0.4">
      <c r="I2389" s="46"/>
      <c r="J2389" s="32"/>
      <c r="K2389" s="32"/>
      <c r="L2389" s="32"/>
      <c r="M2389" s="32"/>
      <c r="N2389" s="32"/>
      <c r="O2389" s="32"/>
      <c r="P2389" s="32"/>
      <c r="Q2389" s="32"/>
    </row>
    <row r="2390" spans="9:17" x14ac:dyDescent="0.4">
      <c r="I2390" s="46"/>
      <c r="J2390" s="32"/>
      <c r="K2390" s="32"/>
      <c r="L2390" s="32"/>
      <c r="M2390" s="32"/>
      <c r="N2390" s="32"/>
      <c r="O2390" s="32"/>
      <c r="P2390" s="32"/>
      <c r="Q2390" s="32"/>
    </row>
    <row r="2391" spans="9:17" x14ac:dyDescent="0.4">
      <c r="I2391" s="46"/>
      <c r="J2391" s="32"/>
      <c r="K2391" s="32"/>
      <c r="L2391" s="32"/>
      <c r="M2391" s="32"/>
      <c r="N2391" s="32"/>
      <c r="O2391" s="32"/>
      <c r="P2391" s="32"/>
      <c r="Q2391" s="32"/>
    </row>
    <row r="2392" spans="9:17" x14ac:dyDescent="0.4">
      <c r="I2392" s="46"/>
      <c r="J2392" s="32"/>
      <c r="K2392" s="32"/>
      <c r="L2392" s="32"/>
      <c r="M2392" s="32"/>
      <c r="N2392" s="32"/>
      <c r="O2392" s="32"/>
      <c r="P2392" s="32"/>
      <c r="Q2392" s="32"/>
    </row>
    <row r="2393" spans="9:17" x14ac:dyDescent="0.4">
      <c r="I2393" s="46"/>
      <c r="J2393" s="32"/>
      <c r="K2393" s="32"/>
      <c r="L2393" s="32"/>
      <c r="M2393" s="32"/>
      <c r="N2393" s="32"/>
      <c r="O2393" s="32"/>
      <c r="P2393" s="32"/>
      <c r="Q2393" s="32"/>
    </row>
    <row r="2394" spans="9:17" x14ac:dyDescent="0.4">
      <c r="I2394" s="46"/>
      <c r="J2394" s="32"/>
      <c r="K2394" s="32"/>
      <c r="L2394" s="32"/>
      <c r="M2394" s="32"/>
      <c r="N2394" s="32"/>
      <c r="O2394" s="32"/>
      <c r="P2394" s="32"/>
      <c r="Q2394" s="32"/>
    </row>
    <row r="2395" spans="9:17" x14ac:dyDescent="0.4">
      <c r="I2395" s="46"/>
      <c r="J2395" s="32"/>
      <c r="K2395" s="32"/>
      <c r="L2395" s="32"/>
      <c r="M2395" s="32"/>
      <c r="N2395" s="32"/>
      <c r="O2395" s="32"/>
      <c r="P2395" s="32"/>
      <c r="Q2395" s="32"/>
    </row>
    <row r="2396" spans="9:17" x14ac:dyDescent="0.4">
      <c r="I2396" s="46"/>
      <c r="J2396" s="32"/>
      <c r="K2396" s="32"/>
      <c r="L2396" s="32"/>
      <c r="M2396" s="32"/>
      <c r="N2396" s="32"/>
      <c r="O2396" s="32"/>
      <c r="P2396" s="32"/>
      <c r="Q2396" s="32"/>
    </row>
    <row r="2397" spans="9:17" x14ac:dyDescent="0.4">
      <c r="I2397" s="46"/>
      <c r="J2397" s="32"/>
      <c r="K2397" s="32"/>
      <c r="L2397" s="32"/>
      <c r="M2397" s="32"/>
      <c r="N2397" s="32"/>
      <c r="O2397" s="32"/>
      <c r="P2397" s="32"/>
      <c r="Q2397" s="32"/>
    </row>
    <row r="2398" spans="9:17" x14ac:dyDescent="0.4">
      <c r="I2398" s="46"/>
      <c r="J2398" s="32"/>
      <c r="K2398" s="32"/>
      <c r="L2398" s="32"/>
      <c r="M2398" s="32"/>
      <c r="N2398" s="32"/>
      <c r="O2398" s="32"/>
      <c r="P2398" s="32"/>
      <c r="Q2398" s="32"/>
    </row>
    <row r="2399" spans="9:17" x14ac:dyDescent="0.4">
      <c r="I2399" s="46"/>
      <c r="J2399" s="32"/>
      <c r="K2399" s="32"/>
      <c r="L2399" s="32"/>
      <c r="M2399" s="32"/>
      <c r="N2399" s="32"/>
      <c r="O2399" s="32"/>
      <c r="P2399" s="32"/>
      <c r="Q2399" s="32"/>
    </row>
    <row r="2400" spans="9:17" x14ac:dyDescent="0.4">
      <c r="I2400" s="46"/>
      <c r="J2400" s="32"/>
      <c r="K2400" s="32"/>
      <c r="L2400" s="32"/>
      <c r="M2400" s="32"/>
      <c r="N2400" s="32"/>
      <c r="O2400" s="32"/>
      <c r="P2400" s="32"/>
      <c r="Q2400" s="32"/>
    </row>
    <row r="2401" spans="9:17" x14ac:dyDescent="0.4">
      <c r="I2401" s="46"/>
      <c r="J2401" s="32"/>
      <c r="K2401" s="32"/>
      <c r="L2401" s="32"/>
      <c r="M2401" s="32"/>
      <c r="N2401" s="32"/>
      <c r="O2401" s="32"/>
      <c r="P2401" s="32"/>
      <c r="Q2401" s="32"/>
    </row>
    <row r="2402" spans="9:17" x14ac:dyDescent="0.4">
      <c r="I2402" s="46"/>
      <c r="J2402" s="32"/>
      <c r="K2402" s="32"/>
      <c r="L2402" s="32"/>
      <c r="M2402" s="32"/>
      <c r="N2402" s="32"/>
      <c r="O2402" s="32"/>
      <c r="P2402" s="32"/>
      <c r="Q2402" s="32"/>
    </row>
    <row r="2403" spans="9:17" x14ac:dyDescent="0.4">
      <c r="I2403" s="46"/>
      <c r="J2403" s="32"/>
      <c r="K2403" s="32"/>
      <c r="L2403" s="32"/>
      <c r="M2403" s="32"/>
      <c r="N2403" s="32"/>
      <c r="O2403" s="32"/>
      <c r="P2403" s="32"/>
      <c r="Q2403" s="32"/>
    </row>
    <row r="2404" spans="9:17" x14ac:dyDescent="0.4">
      <c r="I2404" s="46"/>
      <c r="J2404" s="32"/>
      <c r="K2404" s="32"/>
      <c r="L2404" s="32"/>
      <c r="M2404" s="32"/>
      <c r="N2404" s="32"/>
      <c r="O2404" s="32"/>
      <c r="P2404" s="32"/>
      <c r="Q2404" s="32"/>
    </row>
    <row r="2405" spans="9:17" x14ac:dyDescent="0.4">
      <c r="I2405" s="46"/>
      <c r="J2405" s="32"/>
      <c r="K2405" s="32"/>
      <c r="L2405" s="32"/>
      <c r="M2405" s="32"/>
      <c r="N2405" s="32"/>
      <c r="O2405" s="32"/>
      <c r="P2405" s="32"/>
      <c r="Q2405" s="32"/>
    </row>
    <row r="2406" spans="9:17" x14ac:dyDescent="0.4">
      <c r="I2406" s="46"/>
      <c r="J2406" s="32"/>
      <c r="K2406" s="32"/>
      <c r="L2406" s="32"/>
      <c r="M2406" s="32"/>
      <c r="N2406" s="32"/>
      <c r="O2406" s="32"/>
      <c r="P2406" s="32"/>
      <c r="Q2406" s="32"/>
    </row>
    <row r="2407" spans="9:17" x14ac:dyDescent="0.4">
      <c r="I2407" s="46"/>
      <c r="J2407" s="32"/>
      <c r="K2407" s="32"/>
      <c r="L2407" s="32"/>
      <c r="M2407" s="32"/>
      <c r="N2407" s="32"/>
      <c r="O2407" s="32"/>
      <c r="P2407" s="32"/>
      <c r="Q2407" s="32"/>
    </row>
    <row r="2408" spans="9:17" x14ac:dyDescent="0.4">
      <c r="I2408" s="46"/>
      <c r="J2408" s="32"/>
      <c r="K2408" s="32"/>
      <c r="L2408" s="32"/>
      <c r="M2408" s="32"/>
      <c r="N2408" s="32"/>
      <c r="O2408" s="32"/>
      <c r="P2408" s="32"/>
      <c r="Q2408" s="32"/>
    </row>
    <row r="2409" spans="9:17" x14ac:dyDescent="0.4">
      <c r="I2409" s="46"/>
      <c r="J2409" s="32"/>
      <c r="K2409" s="32"/>
      <c r="L2409" s="32"/>
      <c r="M2409" s="32"/>
      <c r="N2409" s="32"/>
      <c r="O2409" s="32"/>
      <c r="P2409" s="32"/>
      <c r="Q2409" s="32"/>
    </row>
    <row r="2410" spans="9:17" x14ac:dyDescent="0.4">
      <c r="I2410" s="46"/>
      <c r="J2410" s="32"/>
      <c r="K2410" s="32"/>
      <c r="L2410" s="32"/>
      <c r="M2410" s="32"/>
      <c r="N2410" s="32"/>
      <c r="O2410" s="32"/>
      <c r="P2410" s="32"/>
      <c r="Q2410" s="32"/>
    </row>
    <row r="2411" spans="9:17" x14ac:dyDescent="0.4">
      <c r="I2411" s="46"/>
      <c r="J2411" s="32"/>
      <c r="K2411" s="32"/>
      <c r="L2411" s="32"/>
      <c r="M2411" s="32"/>
      <c r="N2411" s="32"/>
      <c r="O2411" s="32"/>
      <c r="P2411" s="32"/>
      <c r="Q2411" s="32"/>
    </row>
    <row r="2412" spans="9:17" x14ac:dyDescent="0.4">
      <c r="I2412" s="46"/>
      <c r="J2412" s="32"/>
      <c r="K2412" s="32"/>
      <c r="L2412" s="32"/>
      <c r="M2412" s="32"/>
      <c r="N2412" s="32"/>
      <c r="O2412" s="32"/>
      <c r="P2412" s="32"/>
      <c r="Q2412" s="32"/>
    </row>
    <row r="2413" spans="9:17" x14ac:dyDescent="0.4">
      <c r="I2413" s="46"/>
      <c r="J2413" s="32"/>
      <c r="K2413" s="32"/>
      <c r="L2413" s="32"/>
      <c r="M2413" s="32"/>
      <c r="N2413" s="32"/>
      <c r="O2413" s="32"/>
      <c r="P2413" s="32"/>
      <c r="Q2413" s="32"/>
    </row>
    <row r="2414" spans="9:17" x14ac:dyDescent="0.4">
      <c r="I2414" s="46"/>
      <c r="J2414" s="32"/>
      <c r="K2414" s="32"/>
      <c r="L2414" s="32"/>
      <c r="M2414" s="32"/>
      <c r="N2414" s="32"/>
      <c r="O2414" s="32"/>
      <c r="P2414" s="32"/>
      <c r="Q2414" s="32"/>
    </row>
    <row r="2415" spans="9:17" x14ac:dyDescent="0.4">
      <c r="I2415" s="46"/>
      <c r="J2415" s="32"/>
      <c r="K2415" s="32"/>
      <c r="L2415" s="32"/>
      <c r="M2415" s="32"/>
      <c r="N2415" s="32"/>
      <c r="O2415" s="32"/>
      <c r="P2415" s="32"/>
      <c r="Q2415" s="32"/>
    </row>
    <row r="2416" spans="9:17" x14ac:dyDescent="0.4">
      <c r="I2416" s="46"/>
      <c r="J2416" s="32"/>
      <c r="K2416" s="32"/>
      <c r="L2416" s="32"/>
      <c r="M2416" s="32"/>
      <c r="N2416" s="32"/>
      <c r="O2416" s="32"/>
      <c r="P2416" s="32"/>
      <c r="Q2416" s="32"/>
    </row>
    <row r="2417" spans="9:17" x14ac:dyDescent="0.4">
      <c r="I2417" s="46"/>
      <c r="J2417" s="32"/>
      <c r="K2417" s="32"/>
      <c r="L2417" s="32"/>
      <c r="M2417" s="32"/>
      <c r="N2417" s="32"/>
      <c r="O2417" s="32"/>
      <c r="P2417" s="32"/>
      <c r="Q2417" s="32"/>
    </row>
    <row r="2418" spans="9:17" x14ac:dyDescent="0.4">
      <c r="I2418" s="46"/>
      <c r="J2418" s="32"/>
      <c r="K2418" s="32"/>
      <c r="L2418" s="32"/>
      <c r="M2418" s="32"/>
      <c r="N2418" s="32"/>
      <c r="O2418" s="32"/>
      <c r="P2418" s="32"/>
      <c r="Q2418" s="32"/>
    </row>
    <row r="2419" spans="9:17" x14ac:dyDescent="0.4">
      <c r="I2419" s="46"/>
      <c r="J2419" s="32"/>
      <c r="K2419" s="32"/>
      <c r="L2419" s="32"/>
      <c r="M2419" s="32"/>
      <c r="N2419" s="32"/>
      <c r="O2419" s="32"/>
      <c r="P2419" s="32"/>
      <c r="Q2419" s="32"/>
    </row>
    <row r="2420" spans="9:17" x14ac:dyDescent="0.4">
      <c r="I2420" s="46"/>
      <c r="J2420" s="32"/>
      <c r="K2420" s="32"/>
      <c r="L2420" s="32"/>
      <c r="M2420" s="32"/>
      <c r="N2420" s="32"/>
      <c r="O2420" s="32"/>
      <c r="P2420" s="32"/>
      <c r="Q2420" s="32"/>
    </row>
    <row r="2421" spans="9:17" x14ac:dyDescent="0.4">
      <c r="I2421" s="46"/>
      <c r="J2421" s="32"/>
      <c r="K2421" s="32"/>
      <c r="L2421" s="32"/>
      <c r="M2421" s="32"/>
      <c r="N2421" s="32"/>
      <c r="O2421" s="32"/>
      <c r="P2421" s="32"/>
      <c r="Q2421" s="32"/>
    </row>
    <row r="2422" spans="9:17" x14ac:dyDescent="0.4">
      <c r="I2422" s="46"/>
      <c r="J2422" s="32"/>
      <c r="K2422" s="32"/>
      <c r="L2422" s="32"/>
      <c r="M2422" s="32"/>
      <c r="N2422" s="32"/>
      <c r="O2422" s="32"/>
      <c r="P2422" s="32"/>
      <c r="Q2422" s="32"/>
    </row>
    <row r="2423" spans="9:17" x14ac:dyDescent="0.4">
      <c r="I2423" s="46"/>
      <c r="J2423" s="32"/>
      <c r="K2423" s="32"/>
      <c r="L2423" s="32"/>
      <c r="M2423" s="32"/>
      <c r="N2423" s="32"/>
      <c r="O2423" s="32"/>
      <c r="P2423" s="32"/>
      <c r="Q2423" s="32"/>
    </row>
    <row r="2424" spans="9:17" x14ac:dyDescent="0.4">
      <c r="I2424" s="46"/>
      <c r="J2424" s="32"/>
      <c r="K2424" s="32"/>
      <c r="L2424" s="32"/>
      <c r="M2424" s="32"/>
      <c r="N2424" s="32"/>
      <c r="O2424" s="32"/>
      <c r="P2424" s="32"/>
      <c r="Q2424" s="32"/>
    </row>
    <row r="2425" spans="9:17" x14ac:dyDescent="0.4">
      <c r="I2425" s="46"/>
      <c r="J2425" s="32"/>
      <c r="K2425" s="32"/>
      <c r="L2425" s="32"/>
      <c r="M2425" s="32"/>
      <c r="N2425" s="32"/>
      <c r="O2425" s="32"/>
      <c r="P2425" s="32"/>
      <c r="Q2425" s="32"/>
    </row>
    <row r="2426" spans="9:17" x14ac:dyDescent="0.4">
      <c r="I2426" s="46"/>
      <c r="J2426" s="32"/>
      <c r="K2426" s="32"/>
      <c r="L2426" s="32"/>
      <c r="M2426" s="32"/>
      <c r="N2426" s="32"/>
      <c r="O2426" s="32"/>
      <c r="P2426" s="32"/>
      <c r="Q2426" s="32"/>
    </row>
    <row r="2427" spans="9:17" x14ac:dyDescent="0.4">
      <c r="I2427" s="46"/>
      <c r="J2427" s="32"/>
      <c r="K2427" s="32"/>
      <c r="L2427" s="32"/>
      <c r="M2427" s="32"/>
      <c r="N2427" s="32"/>
      <c r="O2427" s="32"/>
      <c r="P2427" s="32"/>
      <c r="Q2427" s="32"/>
    </row>
    <row r="2428" spans="9:17" x14ac:dyDescent="0.4">
      <c r="I2428" s="46"/>
      <c r="J2428" s="32"/>
      <c r="K2428" s="32"/>
      <c r="L2428" s="32"/>
      <c r="M2428" s="32"/>
      <c r="N2428" s="32"/>
      <c r="O2428" s="32"/>
      <c r="P2428" s="32"/>
      <c r="Q2428" s="32"/>
    </row>
    <row r="2429" spans="9:17" x14ac:dyDescent="0.4">
      <c r="I2429" s="46"/>
      <c r="J2429" s="32"/>
      <c r="K2429" s="32"/>
      <c r="L2429" s="32"/>
      <c r="M2429" s="32"/>
      <c r="N2429" s="32"/>
      <c r="O2429" s="32"/>
      <c r="P2429" s="32"/>
      <c r="Q2429" s="32"/>
    </row>
    <row r="2430" spans="9:17" x14ac:dyDescent="0.4">
      <c r="I2430" s="46"/>
      <c r="J2430" s="32"/>
      <c r="K2430" s="32"/>
      <c r="L2430" s="32"/>
      <c r="M2430" s="32"/>
      <c r="N2430" s="32"/>
      <c r="O2430" s="32"/>
      <c r="P2430" s="32"/>
      <c r="Q2430" s="32"/>
    </row>
    <row r="2431" spans="9:17" x14ac:dyDescent="0.4">
      <c r="I2431" s="46"/>
      <c r="J2431" s="32"/>
      <c r="K2431" s="32"/>
      <c r="L2431" s="32"/>
      <c r="M2431" s="32"/>
      <c r="N2431" s="32"/>
      <c r="O2431" s="32"/>
      <c r="P2431" s="32"/>
      <c r="Q2431" s="32"/>
    </row>
    <row r="2432" spans="9:17" x14ac:dyDescent="0.4">
      <c r="I2432" s="46"/>
      <c r="J2432" s="32"/>
      <c r="K2432" s="32"/>
      <c r="L2432" s="32"/>
      <c r="M2432" s="32"/>
      <c r="N2432" s="32"/>
      <c r="O2432" s="32"/>
      <c r="P2432" s="32"/>
      <c r="Q2432" s="32"/>
    </row>
    <row r="2433" spans="9:17" x14ac:dyDescent="0.4">
      <c r="I2433" s="46"/>
      <c r="J2433" s="32"/>
      <c r="K2433" s="32"/>
      <c r="L2433" s="32"/>
      <c r="M2433" s="32"/>
      <c r="N2433" s="32"/>
      <c r="O2433" s="32"/>
      <c r="P2433" s="32"/>
      <c r="Q2433" s="32"/>
    </row>
    <row r="2434" spans="9:17" x14ac:dyDescent="0.4">
      <c r="I2434" s="46"/>
      <c r="J2434" s="32"/>
      <c r="K2434" s="32"/>
      <c r="L2434" s="32"/>
      <c r="M2434" s="32"/>
      <c r="N2434" s="32"/>
      <c r="O2434" s="32"/>
      <c r="P2434" s="32"/>
      <c r="Q2434" s="32"/>
    </row>
    <row r="2435" spans="9:17" x14ac:dyDescent="0.4">
      <c r="I2435" s="46"/>
      <c r="J2435" s="32"/>
      <c r="K2435" s="32"/>
      <c r="L2435" s="32"/>
      <c r="M2435" s="32"/>
      <c r="N2435" s="32"/>
      <c r="O2435" s="32"/>
      <c r="P2435" s="32"/>
      <c r="Q2435" s="32"/>
    </row>
    <row r="2436" spans="9:17" x14ac:dyDescent="0.4">
      <c r="I2436" s="46"/>
      <c r="J2436" s="32"/>
      <c r="K2436" s="32"/>
      <c r="L2436" s="32"/>
      <c r="M2436" s="32"/>
      <c r="N2436" s="32"/>
      <c r="O2436" s="32"/>
      <c r="P2436" s="32"/>
      <c r="Q2436" s="32"/>
    </row>
    <row r="2437" spans="9:17" x14ac:dyDescent="0.4">
      <c r="I2437" s="46"/>
      <c r="J2437" s="32"/>
      <c r="K2437" s="32"/>
      <c r="L2437" s="32"/>
      <c r="M2437" s="32"/>
      <c r="N2437" s="32"/>
      <c r="O2437" s="32"/>
      <c r="P2437" s="32"/>
      <c r="Q2437" s="32"/>
    </row>
    <row r="2438" spans="9:17" x14ac:dyDescent="0.4">
      <c r="I2438" s="46"/>
      <c r="J2438" s="32"/>
      <c r="K2438" s="32"/>
      <c r="L2438" s="32"/>
      <c r="M2438" s="32"/>
      <c r="N2438" s="32"/>
      <c r="O2438" s="32"/>
      <c r="P2438" s="32"/>
      <c r="Q2438" s="32"/>
    </row>
    <row r="2439" spans="9:17" x14ac:dyDescent="0.4">
      <c r="I2439" s="46"/>
      <c r="J2439" s="32"/>
      <c r="K2439" s="32"/>
      <c r="L2439" s="32"/>
      <c r="M2439" s="32"/>
      <c r="N2439" s="32"/>
      <c r="O2439" s="32"/>
      <c r="P2439" s="32"/>
      <c r="Q2439" s="32"/>
    </row>
    <row r="2440" spans="9:17" x14ac:dyDescent="0.4">
      <c r="I2440" s="46"/>
      <c r="J2440" s="32"/>
      <c r="K2440" s="32"/>
      <c r="L2440" s="32"/>
      <c r="M2440" s="32"/>
      <c r="N2440" s="32"/>
      <c r="O2440" s="32"/>
      <c r="P2440" s="32"/>
      <c r="Q2440" s="32"/>
    </row>
    <row r="2441" spans="9:17" x14ac:dyDescent="0.4">
      <c r="I2441" s="46"/>
      <c r="J2441" s="32"/>
      <c r="K2441" s="32"/>
      <c r="L2441" s="32"/>
      <c r="M2441" s="32"/>
      <c r="N2441" s="32"/>
      <c r="O2441" s="32"/>
      <c r="P2441" s="32"/>
      <c r="Q2441" s="32"/>
    </row>
    <row r="2442" spans="9:17" x14ac:dyDescent="0.4">
      <c r="I2442" s="46"/>
      <c r="J2442" s="32"/>
      <c r="K2442" s="32"/>
      <c r="L2442" s="32"/>
      <c r="M2442" s="32"/>
      <c r="N2442" s="32"/>
      <c r="O2442" s="32"/>
      <c r="P2442" s="32"/>
      <c r="Q2442" s="32"/>
    </row>
    <row r="2443" spans="9:17" x14ac:dyDescent="0.4">
      <c r="I2443" s="46"/>
      <c r="J2443" s="32"/>
      <c r="K2443" s="32"/>
      <c r="L2443" s="32"/>
      <c r="M2443" s="32"/>
      <c r="N2443" s="32"/>
      <c r="O2443" s="32"/>
      <c r="P2443" s="32"/>
      <c r="Q2443" s="32"/>
    </row>
    <row r="2444" spans="9:17" x14ac:dyDescent="0.4">
      <c r="I2444" s="46"/>
      <c r="J2444" s="32"/>
      <c r="K2444" s="32"/>
      <c r="L2444" s="32"/>
      <c r="M2444" s="32"/>
      <c r="N2444" s="32"/>
      <c r="O2444" s="32"/>
      <c r="P2444" s="32"/>
      <c r="Q2444" s="32"/>
    </row>
    <row r="2445" spans="9:17" x14ac:dyDescent="0.4">
      <c r="I2445" s="46"/>
      <c r="J2445" s="32"/>
      <c r="K2445" s="32"/>
      <c r="L2445" s="32"/>
      <c r="M2445" s="32"/>
      <c r="N2445" s="32"/>
      <c r="O2445" s="32"/>
      <c r="P2445" s="32"/>
      <c r="Q2445" s="32"/>
    </row>
    <row r="2446" spans="9:17" x14ac:dyDescent="0.4">
      <c r="I2446" s="46"/>
      <c r="J2446" s="32"/>
      <c r="K2446" s="32"/>
      <c r="L2446" s="32"/>
      <c r="M2446" s="32"/>
      <c r="N2446" s="32"/>
      <c r="O2446" s="32"/>
      <c r="P2446" s="32"/>
      <c r="Q2446" s="32"/>
    </row>
    <row r="2447" spans="9:17" x14ac:dyDescent="0.4">
      <c r="I2447" s="46"/>
      <c r="J2447" s="32"/>
      <c r="K2447" s="32"/>
      <c r="L2447" s="32"/>
      <c r="M2447" s="32"/>
      <c r="N2447" s="32"/>
      <c r="O2447" s="32"/>
      <c r="P2447" s="32"/>
      <c r="Q2447" s="32"/>
    </row>
    <row r="2448" spans="9:17" x14ac:dyDescent="0.4">
      <c r="I2448" s="46"/>
      <c r="J2448" s="32"/>
      <c r="K2448" s="32"/>
      <c r="L2448" s="32"/>
      <c r="M2448" s="32"/>
      <c r="N2448" s="32"/>
      <c r="O2448" s="32"/>
      <c r="P2448" s="32"/>
      <c r="Q2448" s="32"/>
    </row>
    <row r="2449" spans="9:17" x14ac:dyDescent="0.4">
      <c r="I2449" s="46"/>
      <c r="J2449" s="32"/>
      <c r="K2449" s="32"/>
      <c r="L2449" s="32"/>
      <c r="M2449" s="32"/>
      <c r="N2449" s="32"/>
      <c r="O2449" s="32"/>
      <c r="P2449" s="32"/>
      <c r="Q2449" s="32"/>
    </row>
    <row r="2450" spans="9:17" x14ac:dyDescent="0.4">
      <c r="I2450" s="46"/>
      <c r="J2450" s="32"/>
      <c r="K2450" s="32"/>
      <c r="L2450" s="32"/>
      <c r="M2450" s="32"/>
      <c r="N2450" s="32"/>
      <c r="O2450" s="32"/>
      <c r="P2450" s="32"/>
      <c r="Q2450" s="32"/>
    </row>
    <row r="2451" spans="9:17" x14ac:dyDescent="0.4">
      <c r="I2451" s="46"/>
      <c r="J2451" s="32"/>
      <c r="K2451" s="32"/>
      <c r="L2451" s="32"/>
      <c r="M2451" s="32"/>
      <c r="N2451" s="32"/>
      <c r="O2451" s="32"/>
      <c r="P2451" s="32"/>
      <c r="Q2451" s="32"/>
    </row>
    <row r="2452" spans="9:17" x14ac:dyDescent="0.4">
      <c r="I2452" s="46"/>
      <c r="J2452" s="32"/>
      <c r="K2452" s="32"/>
      <c r="L2452" s="32"/>
      <c r="M2452" s="32"/>
      <c r="N2452" s="32"/>
      <c r="O2452" s="32"/>
      <c r="P2452" s="32"/>
      <c r="Q2452" s="32"/>
    </row>
    <row r="2453" spans="9:17" x14ac:dyDescent="0.4">
      <c r="I2453" s="46"/>
      <c r="J2453" s="32"/>
      <c r="K2453" s="32"/>
      <c r="L2453" s="32"/>
      <c r="M2453" s="32"/>
      <c r="N2453" s="32"/>
      <c r="O2453" s="32"/>
      <c r="P2453" s="32"/>
      <c r="Q2453" s="32"/>
    </row>
    <row r="2454" spans="9:17" x14ac:dyDescent="0.4">
      <c r="I2454" s="46"/>
      <c r="J2454" s="32"/>
      <c r="K2454" s="32"/>
      <c r="L2454" s="32"/>
      <c r="M2454" s="32"/>
      <c r="N2454" s="32"/>
      <c r="O2454" s="32"/>
      <c r="P2454" s="32"/>
      <c r="Q2454" s="32"/>
    </row>
    <row r="2455" spans="9:17" x14ac:dyDescent="0.4">
      <c r="I2455" s="46"/>
      <c r="J2455" s="32"/>
      <c r="K2455" s="32"/>
      <c r="L2455" s="32"/>
      <c r="M2455" s="32"/>
      <c r="N2455" s="32"/>
      <c r="O2455" s="32"/>
      <c r="P2455" s="32"/>
      <c r="Q2455" s="32"/>
    </row>
    <row r="2456" spans="9:17" x14ac:dyDescent="0.4">
      <c r="I2456" s="46"/>
      <c r="J2456" s="32"/>
      <c r="K2456" s="32"/>
      <c r="L2456" s="32"/>
      <c r="M2456" s="32"/>
      <c r="N2456" s="32"/>
      <c r="O2456" s="32"/>
      <c r="P2456" s="32"/>
      <c r="Q2456" s="32"/>
    </row>
    <row r="2457" spans="9:17" x14ac:dyDescent="0.4">
      <c r="I2457" s="46"/>
      <c r="J2457" s="32"/>
      <c r="K2457" s="32"/>
      <c r="L2457" s="32"/>
      <c r="M2457" s="32"/>
      <c r="N2457" s="32"/>
      <c r="O2457" s="32"/>
      <c r="P2457" s="32"/>
      <c r="Q2457" s="32"/>
    </row>
    <row r="2458" spans="9:17" x14ac:dyDescent="0.4">
      <c r="I2458" s="46"/>
      <c r="J2458" s="32"/>
      <c r="K2458" s="32"/>
      <c r="L2458" s="32"/>
      <c r="M2458" s="32"/>
      <c r="N2458" s="32"/>
      <c r="O2458" s="32"/>
      <c r="P2458" s="32"/>
      <c r="Q2458" s="32"/>
    </row>
    <row r="2459" spans="9:17" x14ac:dyDescent="0.4">
      <c r="I2459" s="46"/>
      <c r="J2459" s="32"/>
      <c r="K2459" s="32"/>
      <c r="L2459" s="32"/>
      <c r="M2459" s="32"/>
      <c r="N2459" s="32"/>
      <c r="O2459" s="32"/>
      <c r="P2459" s="32"/>
      <c r="Q2459" s="32"/>
    </row>
    <row r="2460" spans="9:17" x14ac:dyDescent="0.4">
      <c r="I2460" s="46"/>
      <c r="J2460" s="32"/>
      <c r="K2460" s="32"/>
      <c r="L2460" s="32"/>
      <c r="M2460" s="32"/>
      <c r="N2460" s="32"/>
      <c r="O2460" s="32"/>
      <c r="P2460" s="32"/>
      <c r="Q2460" s="32"/>
    </row>
    <row r="2461" spans="9:17" x14ac:dyDescent="0.4">
      <c r="I2461" s="46"/>
      <c r="J2461" s="32"/>
      <c r="K2461" s="32"/>
      <c r="L2461" s="32"/>
      <c r="M2461" s="32"/>
      <c r="N2461" s="32"/>
      <c r="O2461" s="32"/>
      <c r="P2461" s="32"/>
      <c r="Q2461" s="32"/>
    </row>
    <row r="2462" spans="9:17" x14ac:dyDescent="0.4">
      <c r="I2462" s="46"/>
      <c r="J2462" s="32"/>
      <c r="K2462" s="32"/>
      <c r="L2462" s="32"/>
      <c r="M2462" s="32"/>
      <c r="N2462" s="32"/>
      <c r="O2462" s="32"/>
      <c r="P2462" s="32"/>
      <c r="Q2462" s="32"/>
    </row>
    <row r="2463" spans="9:17" x14ac:dyDescent="0.4">
      <c r="I2463" s="46"/>
      <c r="J2463" s="32"/>
      <c r="K2463" s="32"/>
      <c r="L2463" s="32"/>
      <c r="M2463" s="32"/>
      <c r="N2463" s="32"/>
      <c r="O2463" s="32"/>
      <c r="P2463" s="32"/>
      <c r="Q2463" s="32"/>
    </row>
    <row r="2464" spans="9:17" x14ac:dyDescent="0.4">
      <c r="I2464" s="46"/>
      <c r="J2464" s="32"/>
      <c r="K2464" s="32"/>
      <c r="L2464" s="32"/>
      <c r="M2464" s="32"/>
      <c r="N2464" s="32"/>
      <c r="O2464" s="32"/>
      <c r="P2464" s="32"/>
      <c r="Q2464" s="32"/>
    </row>
    <row r="2465" spans="9:17" x14ac:dyDescent="0.4">
      <c r="I2465" s="46"/>
      <c r="J2465" s="32"/>
      <c r="K2465" s="32"/>
      <c r="L2465" s="32"/>
      <c r="M2465" s="32"/>
      <c r="N2465" s="32"/>
      <c r="O2465" s="32"/>
      <c r="P2465" s="32"/>
      <c r="Q2465" s="32"/>
    </row>
    <row r="2466" spans="9:17" x14ac:dyDescent="0.4">
      <c r="I2466" s="46"/>
      <c r="J2466" s="32"/>
      <c r="K2466" s="32"/>
      <c r="L2466" s="32"/>
      <c r="M2466" s="32"/>
      <c r="N2466" s="32"/>
      <c r="O2466" s="32"/>
      <c r="P2466" s="32"/>
      <c r="Q2466" s="32"/>
    </row>
    <row r="2467" spans="9:17" x14ac:dyDescent="0.4">
      <c r="I2467" s="46"/>
      <c r="J2467" s="32"/>
      <c r="K2467" s="32"/>
      <c r="L2467" s="32"/>
      <c r="M2467" s="32"/>
      <c r="N2467" s="32"/>
      <c r="O2467" s="32"/>
      <c r="P2467" s="32"/>
      <c r="Q2467" s="32"/>
    </row>
    <row r="2468" spans="9:17" x14ac:dyDescent="0.4">
      <c r="I2468" s="46"/>
      <c r="J2468" s="32"/>
      <c r="K2468" s="32"/>
      <c r="L2468" s="32"/>
      <c r="M2468" s="32"/>
      <c r="N2468" s="32"/>
      <c r="O2468" s="32"/>
      <c r="P2468" s="32"/>
      <c r="Q2468" s="32"/>
    </row>
    <row r="2469" spans="9:17" x14ac:dyDescent="0.4">
      <c r="I2469" s="46"/>
      <c r="J2469" s="32"/>
      <c r="K2469" s="32"/>
      <c r="L2469" s="32"/>
      <c r="M2469" s="32"/>
      <c r="N2469" s="32"/>
      <c r="O2469" s="32"/>
      <c r="P2469" s="32"/>
      <c r="Q2469" s="32"/>
    </row>
    <row r="2470" spans="9:17" x14ac:dyDescent="0.4">
      <c r="I2470" s="46"/>
      <c r="J2470" s="32"/>
      <c r="K2470" s="32"/>
      <c r="L2470" s="32"/>
      <c r="M2470" s="32"/>
      <c r="N2470" s="32"/>
      <c r="O2470" s="32"/>
      <c r="P2470" s="32"/>
      <c r="Q2470" s="32"/>
    </row>
    <row r="2471" spans="9:17" x14ac:dyDescent="0.4">
      <c r="I2471" s="46"/>
      <c r="J2471" s="32"/>
      <c r="K2471" s="32"/>
      <c r="L2471" s="32"/>
      <c r="M2471" s="32"/>
      <c r="N2471" s="32"/>
      <c r="O2471" s="32"/>
      <c r="P2471" s="32"/>
      <c r="Q2471" s="32"/>
    </row>
    <row r="2472" spans="9:17" x14ac:dyDescent="0.4">
      <c r="I2472" s="46"/>
      <c r="J2472" s="32"/>
      <c r="K2472" s="32"/>
      <c r="L2472" s="32"/>
      <c r="M2472" s="32"/>
      <c r="N2472" s="32"/>
      <c r="O2472" s="32"/>
      <c r="P2472" s="32"/>
      <c r="Q2472" s="32"/>
    </row>
    <row r="2473" spans="9:17" x14ac:dyDescent="0.4">
      <c r="I2473" s="46"/>
      <c r="J2473" s="32"/>
      <c r="K2473" s="32"/>
      <c r="L2473" s="32"/>
      <c r="M2473" s="32"/>
      <c r="N2473" s="32"/>
      <c r="O2473" s="32"/>
      <c r="P2473" s="32"/>
      <c r="Q2473" s="32"/>
    </row>
    <row r="2474" spans="9:17" x14ac:dyDescent="0.4">
      <c r="I2474" s="46"/>
      <c r="J2474" s="32"/>
      <c r="K2474" s="32"/>
      <c r="L2474" s="32"/>
      <c r="M2474" s="32"/>
      <c r="N2474" s="32"/>
      <c r="O2474" s="32"/>
      <c r="P2474" s="32"/>
      <c r="Q2474" s="32"/>
    </row>
    <row r="2475" spans="9:17" x14ac:dyDescent="0.4">
      <c r="I2475" s="46"/>
      <c r="J2475" s="32"/>
      <c r="K2475" s="32"/>
      <c r="L2475" s="32"/>
      <c r="M2475" s="32"/>
      <c r="N2475" s="32"/>
      <c r="O2475" s="32"/>
      <c r="P2475" s="32"/>
      <c r="Q2475" s="32"/>
    </row>
    <row r="2476" spans="9:17" x14ac:dyDescent="0.4">
      <c r="I2476" s="46"/>
      <c r="J2476" s="32"/>
      <c r="K2476" s="32"/>
      <c r="L2476" s="32"/>
      <c r="M2476" s="32"/>
      <c r="N2476" s="32"/>
      <c r="O2476" s="32"/>
      <c r="P2476" s="32"/>
      <c r="Q2476" s="32"/>
    </row>
    <row r="2477" spans="9:17" x14ac:dyDescent="0.4">
      <c r="I2477" s="46"/>
      <c r="J2477" s="32"/>
      <c r="K2477" s="32"/>
      <c r="L2477" s="32"/>
      <c r="M2477" s="32"/>
      <c r="N2477" s="32"/>
      <c r="O2477" s="32"/>
      <c r="P2477" s="32"/>
      <c r="Q2477" s="32"/>
    </row>
    <row r="2478" spans="9:17" x14ac:dyDescent="0.4">
      <c r="I2478" s="46"/>
      <c r="J2478" s="32"/>
      <c r="K2478" s="32"/>
      <c r="L2478" s="32"/>
      <c r="M2478" s="32"/>
      <c r="N2478" s="32"/>
      <c r="O2478" s="32"/>
      <c r="P2478" s="32"/>
      <c r="Q2478" s="32"/>
    </row>
    <row r="2479" spans="9:17" x14ac:dyDescent="0.4">
      <c r="I2479" s="46"/>
      <c r="J2479" s="32"/>
      <c r="K2479" s="32"/>
      <c r="L2479" s="32"/>
      <c r="M2479" s="32"/>
      <c r="N2479" s="32"/>
      <c r="O2479" s="32"/>
      <c r="P2479" s="32"/>
      <c r="Q2479" s="32"/>
    </row>
    <row r="2480" spans="9:17" x14ac:dyDescent="0.4">
      <c r="I2480" s="46"/>
      <c r="J2480" s="32"/>
      <c r="K2480" s="32"/>
      <c r="L2480" s="32"/>
      <c r="M2480" s="32"/>
      <c r="N2480" s="32"/>
      <c r="O2480" s="32"/>
      <c r="P2480" s="32"/>
      <c r="Q2480" s="32"/>
    </row>
    <row r="2481" spans="9:17" x14ac:dyDescent="0.4">
      <c r="I2481" s="46"/>
      <c r="J2481" s="32"/>
      <c r="K2481" s="32"/>
      <c r="L2481" s="32"/>
      <c r="M2481" s="32"/>
      <c r="N2481" s="32"/>
      <c r="O2481" s="32"/>
      <c r="P2481" s="32"/>
      <c r="Q2481" s="32"/>
    </row>
    <row r="2482" spans="9:17" x14ac:dyDescent="0.4">
      <c r="I2482" s="46"/>
      <c r="J2482" s="32"/>
      <c r="K2482" s="32"/>
      <c r="L2482" s="32"/>
      <c r="M2482" s="32"/>
      <c r="N2482" s="32"/>
      <c r="O2482" s="32"/>
      <c r="P2482" s="32"/>
      <c r="Q2482" s="32"/>
    </row>
    <row r="2483" spans="9:17" x14ac:dyDescent="0.4">
      <c r="I2483" s="46"/>
      <c r="J2483" s="32"/>
      <c r="K2483" s="32"/>
      <c r="L2483" s="32"/>
      <c r="M2483" s="32"/>
      <c r="N2483" s="32"/>
      <c r="O2483" s="32"/>
      <c r="P2483" s="32"/>
      <c r="Q2483" s="32"/>
    </row>
    <row r="2484" spans="9:17" x14ac:dyDescent="0.4">
      <c r="I2484" s="46"/>
      <c r="J2484" s="32"/>
      <c r="K2484" s="32"/>
      <c r="L2484" s="32"/>
      <c r="M2484" s="32"/>
      <c r="N2484" s="32"/>
      <c r="O2484" s="32"/>
      <c r="P2484" s="32"/>
      <c r="Q2484" s="32"/>
    </row>
    <row r="2485" spans="9:17" x14ac:dyDescent="0.4">
      <c r="I2485" s="46"/>
      <c r="J2485" s="32"/>
      <c r="K2485" s="32"/>
      <c r="L2485" s="32"/>
      <c r="M2485" s="32"/>
      <c r="N2485" s="32"/>
      <c r="O2485" s="32"/>
      <c r="P2485" s="32"/>
      <c r="Q2485" s="32"/>
    </row>
    <row r="2486" spans="9:17" x14ac:dyDescent="0.4">
      <c r="I2486" s="46"/>
      <c r="J2486" s="32"/>
      <c r="K2486" s="32"/>
      <c r="L2486" s="32"/>
      <c r="M2486" s="32"/>
      <c r="N2486" s="32"/>
      <c r="O2486" s="32"/>
      <c r="P2486" s="32"/>
      <c r="Q2486" s="32"/>
    </row>
    <row r="2487" spans="9:17" x14ac:dyDescent="0.4">
      <c r="I2487" s="46"/>
      <c r="J2487" s="32"/>
      <c r="K2487" s="32"/>
      <c r="L2487" s="32"/>
      <c r="M2487" s="32"/>
      <c r="N2487" s="32"/>
      <c r="O2487" s="32"/>
      <c r="P2487" s="32"/>
      <c r="Q2487" s="32"/>
    </row>
    <row r="2488" spans="9:17" x14ac:dyDescent="0.4">
      <c r="I2488" s="46"/>
      <c r="J2488" s="32"/>
      <c r="K2488" s="32"/>
      <c r="L2488" s="32"/>
      <c r="M2488" s="32"/>
      <c r="N2488" s="32"/>
      <c r="O2488" s="32"/>
      <c r="P2488" s="32"/>
      <c r="Q2488" s="32"/>
    </row>
    <row r="2489" spans="9:17" x14ac:dyDescent="0.4">
      <c r="I2489" s="46"/>
      <c r="J2489" s="32"/>
      <c r="K2489" s="32"/>
      <c r="L2489" s="32"/>
      <c r="M2489" s="32"/>
      <c r="N2489" s="32"/>
      <c r="O2489" s="32"/>
      <c r="P2489" s="32"/>
      <c r="Q2489" s="32"/>
    </row>
    <row r="2490" spans="9:17" x14ac:dyDescent="0.4">
      <c r="I2490" s="46"/>
      <c r="J2490" s="32"/>
      <c r="K2490" s="32"/>
      <c r="L2490" s="32"/>
      <c r="M2490" s="32"/>
      <c r="N2490" s="32"/>
      <c r="O2490" s="32"/>
      <c r="P2490" s="32"/>
      <c r="Q2490" s="32"/>
    </row>
    <row r="2491" spans="9:17" x14ac:dyDescent="0.4">
      <c r="I2491" s="46"/>
      <c r="J2491" s="32"/>
      <c r="K2491" s="32"/>
      <c r="L2491" s="32"/>
      <c r="M2491" s="32"/>
      <c r="N2491" s="32"/>
      <c r="O2491" s="32"/>
      <c r="P2491" s="32"/>
      <c r="Q2491" s="32"/>
    </row>
    <row r="2492" spans="9:17" x14ac:dyDescent="0.4">
      <c r="I2492" s="46"/>
      <c r="J2492" s="32"/>
      <c r="K2492" s="32"/>
      <c r="L2492" s="32"/>
      <c r="M2492" s="32"/>
      <c r="N2492" s="32"/>
      <c r="O2492" s="32"/>
      <c r="P2492" s="32"/>
      <c r="Q2492" s="32"/>
    </row>
    <row r="2493" spans="9:17" x14ac:dyDescent="0.4">
      <c r="I2493" s="46"/>
      <c r="J2493" s="32"/>
      <c r="K2493" s="32"/>
      <c r="L2493" s="32"/>
      <c r="M2493" s="32"/>
      <c r="N2493" s="32"/>
      <c r="O2493" s="32"/>
      <c r="P2493" s="32"/>
      <c r="Q2493" s="32"/>
    </row>
    <row r="2494" spans="9:17" x14ac:dyDescent="0.4">
      <c r="I2494" s="46"/>
      <c r="J2494" s="32"/>
      <c r="K2494" s="32"/>
      <c r="L2494" s="32"/>
      <c r="M2494" s="32"/>
      <c r="N2494" s="32"/>
      <c r="O2494" s="32"/>
      <c r="P2494" s="32"/>
      <c r="Q2494" s="32"/>
    </row>
    <row r="2495" spans="9:17" x14ac:dyDescent="0.4">
      <c r="I2495" s="46"/>
      <c r="J2495" s="32"/>
      <c r="K2495" s="32"/>
      <c r="L2495" s="32"/>
      <c r="M2495" s="32"/>
      <c r="N2495" s="32"/>
      <c r="O2495" s="32"/>
      <c r="P2495" s="32"/>
      <c r="Q2495" s="32"/>
    </row>
    <row r="2496" spans="9:17" x14ac:dyDescent="0.4">
      <c r="I2496" s="46"/>
      <c r="J2496" s="32"/>
      <c r="K2496" s="32"/>
      <c r="L2496" s="32"/>
      <c r="M2496" s="32"/>
      <c r="N2496" s="32"/>
      <c r="O2496" s="32"/>
      <c r="P2496" s="32"/>
      <c r="Q2496" s="32"/>
    </row>
    <row r="2497" spans="9:17" x14ac:dyDescent="0.4">
      <c r="I2497" s="46"/>
      <c r="J2497" s="32"/>
      <c r="K2497" s="32"/>
      <c r="L2497" s="32"/>
      <c r="M2497" s="32"/>
      <c r="N2497" s="32"/>
      <c r="O2497" s="32"/>
      <c r="P2497" s="32"/>
      <c r="Q2497" s="32"/>
    </row>
    <row r="2498" spans="9:17" x14ac:dyDescent="0.4">
      <c r="I2498" s="46"/>
      <c r="J2498" s="32"/>
      <c r="K2498" s="32"/>
      <c r="L2498" s="32"/>
      <c r="M2498" s="32"/>
      <c r="N2498" s="32"/>
      <c r="O2498" s="32"/>
      <c r="P2498" s="32"/>
      <c r="Q2498" s="32"/>
    </row>
    <row r="2499" spans="9:17" x14ac:dyDescent="0.4">
      <c r="I2499" s="46"/>
      <c r="J2499" s="32"/>
      <c r="K2499" s="32"/>
      <c r="L2499" s="32"/>
      <c r="M2499" s="32"/>
      <c r="N2499" s="32"/>
      <c r="O2499" s="32"/>
      <c r="P2499" s="32"/>
      <c r="Q2499" s="32"/>
    </row>
    <row r="2500" spans="9:17" x14ac:dyDescent="0.4">
      <c r="I2500" s="46"/>
      <c r="J2500" s="32"/>
      <c r="K2500" s="32"/>
      <c r="L2500" s="32"/>
      <c r="M2500" s="32"/>
      <c r="N2500" s="32"/>
      <c r="O2500" s="32"/>
      <c r="P2500" s="32"/>
      <c r="Q2500" s="32"/>
    </row>
    <row r="2501" spans="9:17" x14ac:dyDescent="0.4">
      <c r="I2501" s="46"/>
      <c r="J2501" s="32"/>
      <c r="K2501" s="32"/>
      <c r="L2501" s="32"/>
      <c r="M2501" s="32"/>
      <c r="N2501" s="32"/>
      <c r="O2501" s="32"/>
      <c r="P2501" s="32"/>
      <c r="Q2501" s="32"/>
    </row>
    <row r="2502" spans="9:17" x14ac:dyDescent="0.4">
      <c r="I2502" s="46"/>
      <c r="J2502" s="32"/>
      <c r="K2502" s="32"/>
      <c r="L2502" s="32"/>
      <c r="M2502" s="32"/>
      <c r="N2502" s="32"/>
      <c r="O2502" s="32"/>
      <c r="P2502" s="32"/>
      <c r="Q2502" s="32"/>
    </row>
    <row r="2503" spans="9:17" x14ac:dyDescent="0.4">
      <c r="I2503" s="46"/>
      <c r="J2503" s="32"/>
      <c r="K2503" s="32"/>
      <c r="L2503" s="32"/>
      <c r="M2503" s="32"/>
      <c r="N2503" s="32"/>
      <c r="O2503" s="32"/>
      <c r="P2503" s="32"/>
      <c r="Q2503" s="32"/>
    </row>
    <row r="2504" spans="9:17" x14ac:dyDescent="0.4">
      <c r="I2504" s="46"/>
      <c r="J2504" s="32"/>
      <c r="K2504" s="32"/>
      <c r="L2504" s="32"/>
      <c r="M2504" s="32"/>
      <c r="N2504" s="32"/>
      <c r="O2504" s="32"/>
      <c r="P2504" s="32"/>
      <c r="Q2504" s="32"/>
    </row>
    <row r="2505" spans="9:17" x14ac:dyDescent="0.4">
      <c r="I2505" s="46"/>
      <c r="J2505" s="32"/>
      <c r="K2505" s="32"/>
      <c r="L2505" s="32"/>
      <c r="M2505" s="32"/>
      <c r="N2505" s="32"/>
      <c r="O2505" s="32"/>
      <c r="P2505" s="32"/>
      <c r="Q2505" s="32"/>
    </row>
    <row r="2506" spans="9:17" x14ac:dyDescent="0.4">
      <c r="I2506" s="46"/>
      <c r="J2506" s="32"/>
      <c r="K2506" s="32"/>
      <c r="L2506" s="32"/>
      <c r="M2506" s="32"/>
      <c r="N2506" s="32"/>
      <c r="O2506" s="32"/>
      <c r="P2506" s="32"/>
      <c r="Q2506" s="32"/>
    </row>
    <row r="2507" spans="9:17" x14ac:dyDescent="0.4">
      <c r="I2507" s="46"/>
      <c r="J2507" s="32"/>
      <c r="K2507" s="32"/>
      <c r="L2507" s="32"/>
      <c r="M2507" s="32"/>
      <c r="N2507" s="32"/>
      <c r="O2507" s="32"/>
      <c r="P2507" s="32"/>
      <c r="Q2507" s="32"/>
    </row>
    <row r="2508" spans="9:17" x14ac:dyDescent="0.4">
      <c r="I2508" s="46"/>
      <c r="J2508" s="32"/>
      <c r="K2508" s="32"/>
      <c r="L2508" s="32"/>
      <c r="M2508" s="32"/>
      <c r="N2508" s="32"/>
      <c r="O2508" s="32"/>
      <c r="P2508" s="32"/>
      <c r="Q2508" s="32"/>
    </row>
    <row r="2509" spans="9:17" x14ac:dyDescent="0.4">
      <c r="I2509" s="46"/>
      <c r="J2509" s="32"/>
      <c r="K2509" s="32"/>
      <c r="L2509" s="32"/>
      <c r="M2509" s="32"/>
      <c r="N2509" s="32"/>
      <c r="O2509" s="32"/>
      <c r="P2509" s="32"/>
      <c r="Q2509" s="32"/>
    </row>
    <row r="2510" spans="9:17" x14ac:dyDescent="0.4">
      <c r="I2510" s="46"/>
      <c r="J2510" s="32"/>
      <c r="K2510" s="32"/>
      <c r="L2510" s="32"/>
      <c r="M2510" s="32"/>
      <c r="N2510" s="32"/>
      <c r="O2510" s="32"/>
      <c r="P2510" s="32"/>
      <c r="Q2510" s="32"/>
    </row>
    <row r="2511" spans="9:17" x14ac:dyDescent="0.4">
      <c r="I2511" s="46"/>
      <c r="J2511" s="32"/>
      <c r="K2511" s="32"/>
      <c r="L2511" s="32"/>
      <c r="M2511" s="32"/>
      <c r="N2511" s="32"/>
      <c r="O2511" s="32"/>
      <c r="P2511" s="32"/>
      <c r="Q2511" s="32"/>
    </row>
    <row r="2512" spans="9:17" x14ac:dyDescent="0.4">
      <c r="I2512" s="46"/>
      <c r="J2512" s="32"/>
      <c r="K2512" s="32"/>
      <c r="L2512" s="32"/>
      <c r="M2512" s="32"/>
      <c r="N2512" s="32"/>
      <c r="O2512" s="32"/>
      <c r="P2512" s="32"/>
      <c r="Q2512" s="32"/>
    </row>
    <row r="2513" spans="9:17" x14ac:dyDescent="0.4">
      <c r="I2513" s="46"/>
      <c r="J2513" s="32"/>
      <c r="K2513" s="32"/>
      <c r="L2513" s="32"/>
      <c r="M2513" s="32"/>
      <c r="N2513" s="32"/>
      <c r="O2513" s="32"/>
      <c r="P2513" s="32"/>
      <c r="Q2513" s="32"/>
    </row>
    <row r="2514" spans="9:17" x14ac:dyDescent="0.4">
      <c r="I2514" s="46"/>
      <c r="J2514" s="32"/>
      <c r="K2514" s="32"/>
      <c r="L2514" s="32"/>
      <c r="M2514" s="32"/>
      <c r="N2514" s="32"/>
      <c r="O2514" s="32"/>
      <c r="P2514" s="32"/>
      <c r="Q2514" s="32"/>
    </row>
    <row r="2515" spans="9:17" x14ac:dyDescent="0.4">
      <c r="I2515" s="46"/>
      <c r="J2515" s="32"/>
      <c r="K2515" s="32"/>
      <c r="L2515" s="32"/>
      <c r="M2515" s="32"/>
      <c r="N2515" s="32"/>
      <c r="O2515" s="32"/>
      <c r="P2515" s="32"/>
      <c r="Q2515" s="32"/>
    </row>
    <row r="2516" spans="9:17" x14ac:dyDescent="0.4">
      <c r="I2516" s="46"/>
      <c r="J2516" s="32"/>
      <c r="K2516" s="32"/>
      <c r="L2516" s="32"/>
      <c r="M2516" s="32"/>
      <c r="N2516" s="32"/>
      <c r="O2516" s="32"/>
      <c r="P2516" s="32"/>
      <c r="Q2516" s="32"/>
    </row>
    <row r="2517" spans="9:17" x14ac:dyDescent="0.4">
      <c r="I2517" s="46"/>
      <c r="J2517" s="32"/>
      <c r="K2517" s="32"/>
      <c r="L2517" s="32"/>
      <c r="M2517" s="32"/>
      <c r="N2517" s="32"/>
      <c r="O2517" s="32"/>
      <c r="P2517" s="32"/>
      <c r="Q2517" s="32"/>
    </row>
    <row r="2518" spans="9:17" x14ac:dyDescent="0.4">
      <c r="I2518" s="46"/>
      <c r="J2518" s="32"/>
      <c r="K2518" s="32"/>
      <c r="L2518" s="32"/>
      <c r="M2518" s="32"/>
      <c r="N2518" s="32"/>
      <c r="O2518" s="32"/>
      <c r="P2518" s="32"/>
      <c r="Q2518" s="32"/>
    </row>
    <row r="2519" spans="9:17" x14ac:dyDescent="0.4">
      <c r="I2519" s="46"/>
      <c r="J2519" s="32"/>
      <c r="K2519" s="32"/>
      <c r="L2519" s="32"/>
      <c r="M2519" s="32"/>
      <c r="N2519" s="32"/>
      <c r="O2519" s="32"/>
      <c r="P2519" s="32"/>
      <c r="Q2519" s="32"/>
    </row>
    <row r="2520" spans="9:17" x14ac:dyDescent="0.4">
      <c r="I2520" s="46"/>
      <c r="J2520" s="32"/>
      <c r="K2520" s="32"/>
      <c r="L2520" s="32"/>
      <c r="M2520" s="32"/>
      <c r="N2520" s="32"/>
      <c r="O2520" s="32"/>
      <c r="P2520" s="32"/>
      <c r="Q2520" s="32"/>
    </row>
    <row r="2521" spans="9:17" x14ac:dyDescent="0.4">
      <c r="I2521" s="46"/>
      <c r="J2521" s="32"/>
      <c r="K2521" s="32"/>
      <c r="L2521" s="32"/>
      <c r="M2521" s="32"/>
      <c r="N2521" s="32"/>
      <c r="O2521" s="32"/>
      <c r="P2521" s="32"/>
      <c r="Q2521" s="32"/>
    </row>
    <row r="2522" spans="9:17" x14ac:dyDescent="0.4">
      <c r="I2522" s="46"/>
      <c r="J2522" s="32"/>
      <c r="K2522" s="32"/>
      <c r="L2522" s="32"/>
      <c r="M2522" s="32"/>
      <c r="N2522" s="32"/>
      <c r="O2522" s="32"/>
      <c r="P2522" s="32"/>
      <c r="Q2522" s="32"/>
    </row>
    <row r="2523" spans="9:17" x14ac:dyDescent="0.4">
      <c r="I2523" s="46"/>
      <c r="J2523" s="32"/>
      <c r="K2523" s="32"/>
      <c r="L2523" s="32"/>
      <c r="M2523" s="32"/>
      <c r="N2523" s="32"/>
      <c r="O2523" s="32"/>
      <c r="P2523" s="32"/>
      <c r="Q2523" s="32"/>
    </row>
    <row r="2524" spans="9:17" x14ac:dyDescent="0.4">
      <c r="I2524" s="46"/>
      <c r="J2524" s="32"/>
      <c r="K2524" s="32"/>
      <c r="L2524" s="32"/>
      <c r="M2524" s="32"/>
      <c r="N2524" s="32"/>
      <c r="O2524" s="32"/>
      <c r="P2524" s="32"/>
      <c r="Q2524" s="32"/>
    </row>
    <row r="2525" spans="9:17" x14ac:dyDescent="0.4">
      <c r="I2525" s="46"/>
      <c r="J2525" s="32"/>
      <c r="K2525" s="32"/>
      <c r="L2525" s="32"/>
      <c r="M2525" s="32"/>
      <c r="N2525" s="32"/>
      <c r="O2525" s="32"/>
      <c r="P2525" s="32"/>
      <c r="Q2525" s="32"/>
    </row>
    <row r="2526" spans="9:17" x14ac:dyDescent="0.4">
      <c r="I2526" s="46"/>
      <c r="J2526" s="32"/>
      <c r="K2526" s="32"/>
      <c r="L2526" s="32"/>
      <c r="M2526" s="32"/>
      <c r="N2526" s="32"/>
      <c r="O2526" s="32"/>
      <c r="P2526" s="32"/>
      <c r="Q2526" s="32"/>
    </row>
    <row r="2527" spans="9:17" x14ac:dyDescent="0.4">
      <c r="I2527" s="46"/>
      <c r="J2527" s="32"/>
      <c r="K2527" s="32"/>
      <c r="L2527" s="32"/>
      <c r="M2527" s="32"/>
      <c r="N2527" s="32"/>
      <c r="O2527" s="32"/>
      <c r="P2527" s="32"/>
      <c r="Q2527" s="32"/>
    </row>
    <row r="2528" spans="9:17" x14ac:dyDescent="0.4">
      <c r="I2528" s="46"/>
      <c r="J2528" s="32"/>
      <c r="K2528" s="32"/>
      <c r="L2528" s="32"/>
      <c r="M2528" s="32"/>
      <c r="N2528" s="32"/>
      <c r="O2528" s="32"/>
      <c r="P2528" s="32"/>
      <c r="Q2528" s="32"/>
    </row>
    <row r="2529" spans="9:17" x14ac:dyDescent="0.4">
      <c r="I2529" s="46"/>
      <c r="J2529" s="32"/>
      <c r="K2529" s="32"/>
      <c r="L2529" s="32"/>
      <c r="M2529" s="32"/>
      <c r="N2529" s="32"/>
      <c r="O2529" s="32"/>
      <c r="P2529" s="32"/>
      <c r="Q2529" s="32"/>
    </row>
    <row r="2530" spans="9:17" x14ac:dyDescent="0.4">
      <c r="I2530" s="46"/>
      <c r="J2530" s="32"/>
      <c r="K2530" s="32"/>
      <c r="L2530" s="32"/>
      <c r="M2530" s="32"/>
      <c r="N2530" s="32"/>
      <c r="O2530" s="32"/>
      <c r="P2530" s="32"/>
      <c r="Q2530" s="32"/>
    </row>
    <row r="2531" spans="9:17" x14ac:dyDescent="0.4">
      <c r="I2531" s="46"/>
      <c r="J2531" s="32"/>
      <c r="K2531" s="32"/>
      <c r="L2531" s="32"/>
      <c r="M2531" s="32"/>
      <c r="N2531" s="32"/>
      <c r="O2531" s="32"/>
      <c r="P2531" s="32"/>
      <c r="Q2531" s="32"/>
    </row>
    <row r="2532" spans="9:17" x14ac:dyDescent="0.4">
      <c r="I2532" s="46"/>
      <c r="J2532" s="32"/>
      <c r="K2532" s="32"/>
      <c r="L2532" s="32"/>
      <c r="M2532" s="32"/>
      <c r="N2532" s="32"/>
      <c r="O2532" s="32"/>
      <c r="P2532" s="32"/>
      <c r="Q2532" s="32"/>
    </row>
    <row r="2533" spans="9:17" x14ac:dyDescent="0.4">
      <c r="I2533" s="46"/>
      <c r="J2533" s="32"/>
      <c r="K2533" s="32"/>
      <c r="L2533" s="32"/>
      <c r="M2533" s="32"/>
      <c r="N2533" s="32"/>
      <c r="O2533" s="32"/>
      <c r="P2533" s="32"/>
      <c r="Q2533" s="32"/>
    </row>
    <row r="2534" spans="9:17" x14ac:dyDescent="0.4">
      <c r="I2534" s="46"/>
      <c r="J2534" s="32"/>
      <c r="K2534" s="32"/>
      <c r="L2534" s="32"/>
      <c r="M2534" s="32"/>
      <c r="N2534" s="32"/>
      <c r="O2534" s="32"/>
      <c r="P2534" s="32"/>
      <c r="Q2534" s="32"/>
    </row>
    <row r="2535" spans="9:17" x14ac:dyDescent="0.4">
      <c r="I2535" s="46"/>
      <c r="J2535" s="32"/>
      <c r="K2535" s="32"/>
      <c r="L2535" s="32"/>
      <c r="M2535" s="32"/>
      <c r="N2535" s="32"/>
      <c r="O2535" s="32"/>
      <c r="P2535" s="32"/>
      <c r="Q2535" s="32"/>
    </row>
    <row r="2536" spans="9:17" x14ac:dyDescent="0.4">
      <c r="I2536" s="46"/>
      <c r="J2536" s="32"/>
      <c r="K2536" s="32"/>
      <c r="L2536" s="32"/>
      <c r="M2536" s="32"/>
      <c r="N2536" s="32"/>
      <c r="O2536" s="32"/>
      <c r="P2536" s="32"/>
      <c r="Q2536" s="32"/>
    </row>
    <row r="2537" spans="9:17" x14ac:dyDescent="0.4">
      <c r="I2537" s="46"/>
      <c r="J2537" s="32"/>
      <c r="K2537" s="32"/>
      <c r="L2537" s="32"/>
      <c r="M2537" s="32"/>
      <c r="N2537" s="32"/>
      <c r="O2537" s="32"/>
      <c r="P2537" s="32"/>
      <c r="Q2537" s="32"/>
    </row>
    <row r="2538" spans="9:17" x14ac:dyDescent="0.4">
      <c r="I2538" s="46"/>
      <c r="J2538" s="32"/>
      <c r="K2538" s="32"/>
      <c r="L2538" s="32"/>
      <c r="M2538" s="32"/>
      <c r="N2538" s="32"/>
      <c r="O2538" s="32"/>
      <c r="P2538" s="32"/>
      <c r="Q2538" s="32"/>
    </row>
    <row r="2539" spans="9:17" x14ac:dyDescent="0.4">
      <c r="I2539" s="46"/>
      <c r="J2539" s="32"/>
      <c r="K2539" s="32"/>
      <c r="L2539" s="32"/>
      <c r="M2539" s="32"/>
      <c r="N2539" s="32"/>
      <c r="O2539" s="32"/>
      <c r="P2539" s="32"/>
      <c r="Q2539" s="32"/>
    </row>
    <row r="2540" spans="9:17" x14ac:dyDescent="0.4">
      <c r="I2540" s="46"/>
      <c r="J2540" s="32"/>
      <c r="K2540" s="32"/>
      <c r="L2540" s="32"/>
      <c r="M2540" s="32"/>
      <c r="N2540" s="32"/>
      <c r="O2540" s="32"/>
      <c r="P2540" s="32"/>
      <c r="Q2540" s="32"/>
    </row>
    <row r="2541" spans="9:17" x14ac:dyDescent="0.4">
      <c r="I2541" s="46"/>
      <c r="J2541" s="32"/>
      <c r="K2541" s="32"/>
      <c r="L2541" s="32"/>
      <c r="M2541" s="32"/>
      <c r="N2541" s="32"/>
      <c r="O2541" s="32"/>
      <c r="P2541" s="32"/>
      <c r="Q2541" s="32"/>
    </row>
    <row r="2542" spans="9:17" x14ac:dyDescent="0.4">
      <c r="I2542" s="46"/>
      <c r="J2542" s="32"/>
      <c r="K2542" s="32"/>
      <c r="L2542" s="32"/>
      <c r="M2542" s="32"/>
      <c r="N2542" s="32"/>
      <c r="O2542" s="32"/>
      <c r="P2542" s="32"/>
      <c r="Q2542" s="32"/>
    </row>
    <row r="2543" spans="9:17" x14ac:dyDescent="0.4">
      <c r="I2543" s="46"/>
      <c r="J2543" s="32"/>
      <c r="K2543" s="32"/>
      <c r="L2543" s="32"/>
      <c r="M2543" s="32"/>
      <c r="N2543" s="32"/>
      <c r="O2543" s="32"/>
      <c r="P2543" s="32"/>
      <c r="Q2543" s="32"/>
    </row>
    <row r="2544" spans="9:17" x14ac:dyDescent="0.4">
      <c r="I2544" s="46"/>
      <c r="J2544" s="32"/>
      <c r="K2544" s="32"/>
      <c r="L2544" s="32"/>
      <c r="M2544" s="32"/>
      <c r="N2544" s="32"/>
      <c r="O2544" s="32"/>
      <c r="P2544" s="32"/>
      <c r="Q2544" s="32"/>
    </row>
    <row r="2545" spans="9:17" x14ac:dyDescent="0.4">
      <c r="I2545" s="46"/>
      <c r="J2545" s="32"/>
      <c r="K2545" s="32"/>
      <c r="L2545" s="32"/>
      <c r="M2545" s="32"/>
      <c r="N2545" s="32"/>
      <c r="O2545" s="32"/>
      <c r="P2545" s="32"/>
      <c r="Q2545" s="32"/>
    </row>
    <row r="2546" spans="9:17" x14ac:dyDescent="0.4">
      <c r="I2546" s="46"/>
      <c r="J2546" s="32"/>
      <c r="K2546" s="32"/>
      <c r="L2546" s="32"/>
      <c r="M2546" s="32"/>
      <c r="N2546" s="32"/>
      <c r="O2546" s="32"/>
      <c r="P2546" s="32"/>
      <c r="Q2546" s="32"/>
    </row>
    <row r="2547" spans="9:17" x14ac:dyDescent="0.4">
      <c r="I2547" s="46"/>
      <c r="J2547" s="32"/>
      <c r="K2547" s="32"/>
      <c r="L2547" s="32"/>
      <c r="M2547" s="32"/>
      <c r="N2547" s="32"/>
      <c r="O2547" s="32"/>
      <c r="P2547" s="32"/>
      <c r="Q2547" s="32"/>
    </row>
    <row r="2548" spans="9:17" x14ac:dyDescent="0.4">
      <c r="I2548" s="46"/>
      <c r="J2548" s="32"/>
      <c r="K2548" s="32"/>
      <c r="L2548" s="32"/>
      <c r="M2548" s="32"/>
      <c r="N2548" s="32"/>
      <c r="O2548" s="32"/>
      <c r="P2548" s="32"/>
      <c r="Q2548" s="32"/>
    </row>
    <row r="2549" spans="9:17" x14ac:dyDescent="0.4">
      <c r="I2549" s="46"/>
      <c r="J2549" s="32"/>
      <c r="K2549" s="32"/>
      <c r="L2549" s="32"/>
      <c r="M2549" s="32"/>
      <c r="N2549" s="32"/>
      <c r="O2549" s="32"/>
      <c r="P2549" s="32"/>
      <c r="Q2549" s="32"/>
    </row>
    <row r="2550" spans="9:17" x14ac:dyDescent="0.4">
      <c r="I2550" s="46"/>
      <c r="J2550" s="32"/>
      <c r="K2550" s="32"/>
      <c r="L2550" s="32"/>
      <c r="M2550" s="32"/>
      <c r="N2550" s="32"/>
      <c r="O2550" s="32"/>
      <c r="P2550" s="32"/>
      <c r="Q2550" s="32"/>
    </row>
    <row r="2551" spans="9:17" x14ac:dyDescent="0.4">
      <c r="I2551" s="46"/>
      <c r="J2551" s="32"/>
      <c r="K2551" s="32"/>
      <c r="L2551" s="32"/>
      <c r="M2551" s="32"/>
      <c r="N2551" s="32"/>
      <c r="O2551" s="32"/>
      <c r="P2551" s="32"/>
      <c r="Q2551" s="32"/>
    </row>
    <row r="2552" spans="9:17" x14ac:dyDescent="0.4">
      <c r="I2552" s="46"/>
      <c r="J2552" s="32"/>
      <c r="K2552" s="32"/>
      <c r="L2552" s="32"/>
      <c r="M2552" s="32"/>
      <c r="N2552" s="32"/>
      <c r="O2552" s="32"/>
      <c r="P2552" s="32"/>
      <c r="Q2552" s="32"/>
    </row>
    <row r="2553" spans="9:17" x14ac:dyDescent="0.4">
      <c r="I2553" s="46"/>
      <c r="J2553" s="32"/>
      <c r="K2553" s="32"/>
      <c r="L2553" s="32"/>
      <c r="M2553" s="32"/>
      <c r="N2553" s="32"/>
      <c r="O2553" s="32"/>
      <c r="P2553" s="32"/>
      <c r="Q2553" s="32"/>
    </row>
    <row r="2554" spans="9:17" x14ac:dyDescent="0.4">
      <c r="I2554" s="46"/>
      <c r="J2554" s="32"/>
      <c r="K2554" s="32"/>
      <c r="L2554" s="32"/>
      <c r="M2554" s="32"/>
      <c r="N2554" s="32"/>
      <c r="O2554" s="32"/>
      <c r="P2554" s="32"/>
      <c r="Q2554" s="32"/>
    </row>
    <row r="2555" spans="9:17" x14ac:dyDescent="0.4">
      <c r="I2555" s="46"/>
      <c r="J2555" s="32"/>
      <c r="K2555" s="32"/>
      <c r="L2555" s="32"/>
      <c r="M2555" s="32"/>
      <c r="N2555" s="32"/>
      <c r="O2555" s="32"/>
      <c r="P2555" s="32"/>
      <c r="Q2555" s="32"/>
    </row>
    <row r="2556" spans="9:17" x14ac:dyDescent="0.4">
      <c r="I2556" s="46"/>
      <c r="J2556" s="32"/>
      <c r="K2556" s="32"/>
      <c r="L2556" s="32"/>
      <c r="M2556" s="32"/>
      <c r="N2556" s="32"/>
      <c r="O2556" s="32"/>
      <c r="P2556" s="32"/>
      <c r="Q2556" s="32"/>
    </row>
    <row r="2557" spans="9:17" x14ac:dyDescent="0.4">
      <c r="I2557" s="46"/>
      <c r="J2557" s="32"/>
      <c r="K2557" s="32"/>
      <c r="L2557" s="32"/>
      <c r="M2557" s="32"/>
      <c r="N2557" s="32"/>
      <c r="O2557" s="32"/>
      <c r="P2557" s="32"/>
      <c r="Q2557" s="32"/>
    </row>
    <row r="2558" spans="9:17" x14ac:dyDescent="0.4">
      <c r="I2558" s="46"/>
      <c r="J2558" s="32"/>
      <c r="K2558" s="32"/>
      <c r="L2558" s="32"/>
      <c r="M2558" s="32"/>
      <c r="N2558" s="32"/>
      <c r="O2558" s="32"/>
      <c r="P2558" s="32"/>
      <c r="Q2558" s="32"/>
    </row>
    <row r="2559" spans="9:17" x14ac:dyDescent="0.4">
      <c r="I2559" s="46"/>
      <c r="J2559" s="32"/>
      <c r="K2559" s="32"/>
      <c r="L2559" s="32"/>
      <c r="M2559" s="32"/>
      <c r="N2559" s="32"/>
      <c r="O2559" s="32"/>
      <c r="P2559" s="32"/>
      <c r="Q2559" s="32"/>
    </row>
    <row r="2560" spans="9:17" x14ac:dyDescent="0.4">
      <c r="I2560" s="46"/>
      <c r="J2560" s="32"/>
      <c r="K2560" s="32"/>
      <c r="L2560" s="32"/>
      <c r="M2560" s="32"/>
      <c r="N2560" s="32"/>
      <c r="O2560" s="32"/>
      <c r="P2560" s="32"/>
      <c r="Q2560" s="32"/>
    </row>
    <row r="2561" spans="9:17" x14ac:dyDescent="0.4">
      <c r="I2561" s="46"/>
      <c r="J2561" s="32"/>
      <c r="K2561" s="32"/>
      <c r="L2561" s="32"/>
      <c r="M2561" s="32"/>
      <c r="N2561" s="32"/>
      <c r="O2561" s="32"/>
      <c r="P2561" s="32"/>
      <c r="Q2561" s="32"/>
    </row>
    <row r="2562" spans="9:17" x14ac:dyDescent="0.4">
      <c r="I2562" s="46"/>
      <c r="J2562" s="32"/>
      <c r="K2562" s="32"/>
      <c r="L2562" s="32"/>
      <c r="M2562" s="32"/>
      <c r="N2562" s="32"/>
      <c r="O2562" s="32"/>
      <c r="P2562" s="32"/>
      <c r="Q2562" s="32"/>
    </row>
    <row r="2563" spans="9:17" x14ac:dyDescent="0.4">
      <c r="I2563" s="46"/>
      <c r="J2563" s="32"/>
      <c r="K2563" s="32"/>
      <c r="L2563" s="32"/>
      <c r="M2563" s="32"/>
      <c r="N2563" s="32"/>
      <c r="O2563" s="32"/>
      <c r="P2563" s="32"/>
      <c r="Q2563" s="32"/>
    </row>
    <row r="2564" spans="9:17" x14ac:dyDescent="0.4">
      <c r="I2564" s="46"/>
      <c r="J2564" s="32"/>
      <c r="K2564" s="32"/>
      <c r="L2564" s="32"/>
      <c r="M2564" s="32"/>
      <c r="N2564" s="32"/>
      <c r="O2564" s="32"/>
      <c r="P2564" s="32"/>
      <c r="Q2564" s="32"/>
    </row>
    <row r="2565" spans="9:17" x14ac:dyDescent="0.4">
      <c r="I2565" s="46"/>
      <c r="J2565" s="32"/>
      <c r="K2565" s="32"/>
      <c r="L2565" s="32"/>
      <c r="M2565" s="32"/>
      <c r="N2565" s="32"/>
      <c r="O2565" s="32"/>
      <c r="P2565" s="32"/>
      <c r="Q2565" s="32"/>
    </row>
    <row r="2566" spans="9:17" x14ac:dyDescent="0.4">
      <c r="I2566" s="46"/>
      <c r="J2566" s="32"/>
      <c r="K2566" s="32"/>
      <c r="L2566" s="32"/>
      <c r="M2566" s="32"/>
      <c r="N2566" s="32"/>
      <c r="O2566" s="32"/>
      <c r="P2566" s="32"/>
      <c r="Q2566" s="32"/>
    </row>
    <row r="2567" spans="9:17" x14ac:dyDescent="0.4">
      <c r="I2567" s="46"/>
      <c r="J2567" s="32"/>
      <c r="K2567" s="32"/>
      <c r="L2567" s="32"/>
      <c r="M2567" s="32"/>
      <c r="N2567" s="32"/>
      <c r="O2567" s="32"/>
      <c r="P2567" s="32"/>
      <c r="Q2567" s="32"/>
    </row>
    <row r="2568" spans="9:17" x14ac:dyDescent="0.4">
      <c r="I2568" s="46"/>
      <c r="J2568" s="32"/>
      <c r="K2568" s="32"/>
      <c r="L2568" s="32"/>
      <c r="M2568" s="32"/>
      <c r="N2568" s="32"/>
      <c r="O2568" s="32"/>
      <c r="P2568" s="32"/>
      <c r="Q2568" s="32"/>
    </row>
    <row r="2569" spans="9:17" x14ac:dyDescent="0.4">
      <c r="I2569" s="46"/>
      <c r="J2569" s="32"/>
      <c r="K2569" s="32"/>
      <c r="L2569" s="32"/>
      <c r="M2569" s="32"/>
      <c r="N2569" s="32"/>
      <c r="O2569" s="32"/>
      <c r="P2569" s="32"/>
      <c r="Q2569" s="32"/>
    </row>
    <row r="2570" spans="9:17" x14ac:dyDescent="0.4">
      <c r="I2570" s="46"/>
      <c r="J2570" s="32"/>
      <c r="K2570" s="32"/>
      <c r="L2570" s="32"/>
      <c r="M2570" s="32"/>
      <c r="N2570" s="32"/>
      <c r="O2570" s="32"/>
      <c r="P2570" s="32"/>
      <c r="Q2570" s="32"/>
    </row>
    <row r="2571" spans="9:17" x14ac:dyDescent="0.4">
      <c r="I2571" s="46"/>
      <c r="J2571" s="32"/>
      <c r="K2571" s="32"/>
      <c r="L2571" s="32"/>
      <c r="M2571" s="32"/>
      <c r="N2571" s="32"/>
      <c r="O2571" s="32"/>
      <c r="P2571" s="32"/>
      <c r="Q2571" s="32"/>
    </row>
    <row r="2572" spans="9:17" x14ac:dyDescent="0.4">
      <c r="I2572" s="46"/>
      <c r="J2572" s="32"/>
      <c r="K2572" s="32"/>
      <c r="L2572" s="32"/>
      <c r="M2572" s="32"/>
      <c r="N2572" s="32"/>
      <c r="O2572" s="32"/>
      <c r="P2572" s="32"/>
      <c r="Q2572" s="32"/>
    </row>
    <row r="2573" spans="9:17" x14ac:dyDescent="0.4">
      <c r="I2573" s="46"/>
      <c r="J2573" s="32"/>
      <c r="K2573" s="32"/>
      <c r="L2573" s="32"/>
      <c r="M2573" s="32"/>
      <c r="N2573" s="32"/>
      <c r="O2573" s="32"/>
      <c r="P2573" s="32"/>
      <c r="Q2573" s="32"/>
    </row>
    <row r="2574" spans="9:17" x14ac:dyDescent="0.4">
      <c r="I2574" s="46"/>
      <c r="J2574" s="32"/>
      <c r="K2574" s="32"/>
      <c r="L2574" s="32"/>
      <c r="M2574" s="32"/>
      <c r="N2574" s="32"/>
      <c r="O2574" s="32"/>
      <c r="P2574" s="32"/>
      <c r="Q2574" s="32"/>
    </row>
    <row r="2575" spans="9:17" x14ac:dyDescent="0.4">
      <c r="I2575" s="46"/>
      <c r="J2575" s="32"/>
      <c r="K2575" s="32"/>
      <c r="L2575" s="32"/>
      <c r="M2575" s="32"/>
      <c r="N2575" s="32"/>
      <c r="O2575" s="32"/>
      <c r="P2575" s="32"/>
      <c r="Q2575" s="32"/>
    </row>
    <row r="2576" spans="9:17" x14ac:dyDescent="0.4">
      <c r="I2576" s="46"/>
      <c r="J2576" s="32"/>
      <c r="K2576" s="32"/>
      <c r="L2576" s="32"/>
      <c r="M2576" s="32"/>
      <c r="N2576" s="32"/>
      <c r="O2576" s="32"/>
      <c r="P2576" s="32"/>
      <c r="Q2576" s="32"/>
    </row>
    <row r="2577" spans="9:17" x14ac:dyDescent="0.4">
      <c r="I2577" s="46"/>
      <c r="J2577" s="32"/>
      <c r="K2577" s="32"/>
      <c r="L2577" s="32"/>
      <c r="M2577" s="32"/>
      <c r="N2577" s="32"/>
      <c r="O2577" s="32"/>
      <c r="P2577" s="32"/>
      <c r="Q2577" s="32"/>
    </row>
    <row r="2578" spans="9:17" x14ac:dyDescent="0.4">
      <c r="I2578" s="46"/>
      <c r="J2578" s="32"/>
      <c r="K2578" s="32"/>
      <c r="L2578" s="32"/>
      <c r="M2578" s="32"/>
      <c r="N2578" s="32"/>
      <c r="O2578" s="32"/>
      <c r="P2578" s="32"/>
      <c r="Q2578" s="32"/>
    </row>
    <row r="2579" spans="9:17" x14ac:dyDescent="0.4">
      <c r="I2579" s="46"/>
      <c r="J2579" s="32"/>
      <c r="K2579" s="32"/>
      <c r="L2579" s="32"/>
      <c r="M2579" s="32"/>
      <c r="N2579" s="32"/>
      <c r="O2579" s="32"/>
      <c r="P2579" s="32"/>
      <c r="Q2579" s="32"/>
    </row>
    <row r="2580" spans="9:17" x14ac:dyDescent="0.4">
      <c r="I2580" s="46"/>
      <c r="J2580" s="32"/>
      <c r="K2580" s="32"/>
      <c r="L2580" s="32"/>
      <c r="M2580" s="32"/>
      <c r="N2580" s="32"/>
      <c r="O2580" s="32"/>
      <c r="P2580" s="32"/>
      <c r="Q2580" s="32"/>
    </row>
    <row r="2581" spans="9:17" x14ac:dyDescent="0.4">
      <c r="I2581" s="46"/>
      <c r="J2581" s="32"/>
      <c r="K2581" s="32"/>
      <c r="L2581" s="32"/>
      <c r="M2581" s="32"/>
      <c r="N2581" s="32"/>
      <c r="O2581" s="32"/>
      <c r="P2581" s="32"/>
      <c r="Q2581" s="32"/>
    </row>
    <row r="2582" spans="9:17" x14ac:dyDescent="0.4">
      <c r="I2582" s="46"/>
      <c r="J2582" s="32"/>
      <c r="K2582" s="32"/>
      <c r="L2582" s="32"/>
      <c r="M2582" s="32"/>
      <c r="N2582" s="32"/>
      <c r="O2582" s="32"/>
      <c r="P2582" s="32"/>
      <c r="Q2582" s="32"/>
    </row>
    <row r="2583" spans="9:17" x14ac:dyDescent="0.4">
      <c r="I2583" s="46"/>
      <c r="J2583" s="32"/>
      <c r="K2583" s="32"/>
      <c r="L2583" s="32"/>
      <c r="M2583" s="32"/>
      <c r="N2583" s="32"/>
      <c r="O2583" s="32"/>
      <c r="P2583" s="32"/>
      <c r="Q2583" s="32"/>
    </row>
    <row r="2584" spans="9:17" x14ac:dyDescent="0.4">
      <c r="I2584" s="46"/>
      <c r="J2584" s="32"/>
      <c r="K2584" s="32"/>
      <c r="L2584" s="32"/>
      <c r="M2584" s="32"/>
      <c r="N2584" s="32"/>
      <c r="O2584" s="32"/>
      <c r="P2584" s="32"/>
      <c r="Q2584" s="32"/>
    </row>
    <row r="2585" spans="9:17" x14ac:dyDescent="0.4">
      <c r="I2585" s="46"/>
      <c r="J2585" s="32"/>
      <c r="K2585" s="32"/>
      <c r="L2585" s="32"/>
      <c r="M2585" s="32"/>
      <c r="N2585" s="32"/>
      <c r="O2585" s="32"/>
      <c r="P2585" s="32"/>
      <c r="Q2585" s="32"/>
    </row>
    <row r="2586" spans="9:17" x14ac:dyDescent="0.4">
      <c r="I2586" s="46"/>
      <c r="J2586" s="32"/>
      <c r="K2586" s="32"/>
      <c r="L2586" s="32"/>
      <c r="M2586" s="32"/>
      <c r="N2586" s="32"/>
      <c r="O2586" s="32"/>
      <c r="P2586" s="32"/>
      <c r="Q2586" s="32"/>
    </row>
    <row r="2587" spans="9:17" x14ac:dyDescent="0.4">
      <c r="I2587" s="46"/>
      <c r="J2587" s="32"/>
      <c r="K2587" s="32"/>
      <c r="L2587" s="32"/>
      <c r="M2587" s="32"/>
      <c r="N2587" s="32"/>
      <c r="O2587" s="32"/>
      <c r="P2587" s="32"/>
      <c r="Q2587" s="32"/>
    </row>
    <row r="2588" spans="9:17" x14ac:dyDescent="0.4">
      <c r="I2588" s="46"/>
      <c r="J2588" s="32"/>
      <c r="K2588" s="32"/>
      <c r="L2588" s="32"/>
      <c r="M2588" s="32"/>
      <c r="N2588" s="32"/>
      <c r="O2588" s="32"/>
      <c r="P2588" s="32"/>
      <c r="Q2588" s="32"/>
    </row>
    <row r="2589" spans="9:17" x14ac:dyDescent="0.4">
      <c r="I2589" s="46"/>
      <c r="J2589" s="32"/>
      <c r="K2589" s="32"/>
      <c r="L2589" s="32"/>
      <c r="M2589" s="32"/>
      <c r="N2589" s="32"/>
      <c r="O2589" s="32"/>
      <c r="P2589" s="32"/>
      <c r="Q2589" s="32"/>
    </row>
    <row r="2590" spans="9:17" x14ac:dyDescent="0.4">
      <c r="I2590" s="46"/>
      <c r="J2590" s="32"/>
      <c r="K2590" s="32"/>
      <c r="L2590" s="32"/>
      <c r="M2590" s="32"/>
      <c r="N2590" s="32"/>
      <c r="O2590" s="32"/>
      <c r="P2590" s="32"/>
      <c r="Q2590" s="32"/>
    </row>
    <row r="2591" spans="9:17" x14ac:dyDescent="0.4">
      <c r="I2591" s="46"/>
      <c r="J2591" s="32"/>
      <c r="K2591" s="32"/>
      <c r="L2591" s="32"/>
      <c r="M2591" s="32"/>
      <c r="N2591" s="32"/>
      <c r="O2591" s="32"/>
      <c r="P2591" s="32"/>
      <c r="Q2591" s="32"/>
    </row>
    <row r="2592" spans="9:17" x14ac:dyDescent="0.4">
      <c r="I2592" s="46"/>
      <c r="J2592" s="32"/>
      <c r="K2592" s="32"/>
      <c r="L2592" s="32"/>
      <c r="M2592" s="32"/>
      <c r="N2592" s="32"/>
      <c r="O2592" s="32"/>
      <c r="P2592" s="32"/>
      <c r="Q2592" s="32"/>
    </row>
    <row r="2593" spans="9:17" x14ac:dyDescent="0.4">
      <c r="I2593" s="46"/>
      <c r="J2593" s="32"/>
      <c r="K2593" s="32"/>
      <c r="L2593" s="32"/>
      <c r="M2593" s="32"/>
      <c r="N2593" s="32"/>
      <c r="O2593" s="32"/>
      <c r="P2593" s="32"/>
      <c r="Q2593" s="32"/>
    </row>
    <row r="2594" spans="9:17" x14ac:dyDescent="0.4">
      <c r="I2594" s="46"/>
      <c r="J2594" s="32"/>
      <c r="K2594" s="32"/>
      <c r="L2594" s="32"/>
      <c r="M2594" s="32"/>
      <c r="N2594" s="32"/>
      <c r="O2594" s="32"/>
      <c r="P2594" s="32"/>
      <c r="Q2594" s="32"/>
    </row>
    <row r="2595" spans="9:17" x14ac:dyDescent="0.4">
      <c r="I2595" s="46"/>
      <c r="J2595" s="32"/>
      <c r="K2595" s="32"/>
      <c r="L2595" s="32"/>
      <c r="M2595" s="32"/>
      <c r="N2595" s="32"/>
      <c r="O2595" s="32"/>
      <c r="P2595" s="32"/>
      <c r="Q2595" s="32"/>
    </row>
    <row r="2596" spans="9:17" x14ac:dyDescent="0.4">
      <c r="I2596" s="46"/>
      <c r="J2596" s="32"/>
      <c r="K2596" s="32"/>
      <c r="L2596" s="32"/>
      <c r="M2596" s="32"/>
      <c r="N2596" s="32"/>
      <c r="O2596" s="32"/>
      <c r="P2596" s="32"/>
      <c r="Q2596" s="32"/>
    </row>
    <row r="2597" spans="9:17" x14ac:dyDescent="0.4">
      <c r="I2597" s="46"/>
      <c r="J2597" s="32"/>
      <c r="K2597" s="32"/>
      <c r="L2597" s="32"/>
      <c r="M2597" s="32"/>
      <c r="N2597" s="32"/>
      <c r="O2597" s="32"/>
      <c r="P2597" s="32"/>
      <c r="Q2597" s="32"/>
    </row>
    <row r="2598" spans="9:17" x14ac:dyDescent="0.4">
      <c r="I2598" s="46"/>
      <c r="J2598" s="32"/>
      <c r="K2598" s="32"/>
      <c r="L2598" s="32"/>
      <c r="M2598" s="32"/>
      <c r="N2598" s="32"/>
      <c r="O2598" s="32"/>
      <c r="P2598" s="32"/>
      <c r="Q2598" s="32"/>
    </row>
    <row r="2599" spans="9:17" x14ac:dyDescent="0.4">
      <c r="I2599" s="46"/>
      <c r="J2599" s="32"/>
      <c r="K2599" s="32"/>
      <c r="L2599" s="32"/>
      <c r="M2599" s="32"/>
      <c r="N2599" s="32"/>
      <c r="O2599" s="32"/>
      <c r="P2599" s="32"/>
      <c r="Q2599" s="32"/>
    </row>
    <row r="2600" spans="9:17" x14ac:dyDescent="0.4">
      <c r="I2600" s="46"/>
      <c r="J2600" s="32"/>
      <c r="K2600" s="32"/>
      <c r="L2600" s="32"/>
      <c r="M2600" s="32"/>
      <c r="N2600" s="32"/>
      <c r="O2600" s="32"/>
      <c r="P2600" s="32"/>
      <c r="Q2600" s="32"/>
    </row>
  </sheetData>
  <conditionalFormatting sqref="D9:D815">
    <cfRule type="cellIs" dxfId="5217" priority="5198" operator="equal">
      <formula>"EM PROCESSO"</formula>
    </cfRule>
    <cfRule type="cellIs" dxfId="5216" priority="5227" operator="equal">
      <formula>"FINALIZADO"</formula>
    </cfRule>
    <cfRule type="cellIs" dxfId="5215" priority="5228" operator="equal">
      <formula>"NÃO INICIADO"</formula>
    </cfRule>
    <cfRule type="cellIs" dxfId="5214" priority="5098" operator="equal">
      <formula>"PEDIDO INTERROMPIDO"</formula>
    </cfRule>
  </conditionalFormatting>
  <conditionalFormatting sqref="B9">
    <cfRule type="cellIs" dxfId="5213" priority="5212" operator="equal">
      <formula>"FINALIZADO"</formula>
    </cfRule>
    <cfRule type="cellIs" dxfId="5212" priority="5213" operator="equal">
      <formula>"NÃO INICIADO"</formula>
    </cfRule>
    <cfRule type="cellIs" dxfId="5211" priority="5214" operator="equal">
      <formula>"FINALIZADO"</formula>
    </cfRule>
    <cfRule type="cellIs" dxfId="5210" priority="5215" operator="equal">
      <formula>"NÃO INICIADO"</formula>
    </cfRule>
    <cfRule type="cellIs" dxfId="5209" priority="5216" operator="equal">
      <formula>"FINALIZADO"</formula>
    </cfRule>
    <cfRule type="cellIs" dxfId="5208" priority="5217" operator="equal">
      <formula>"NÃO INICIADO"</formula>
    </cfRule>
    <cfRule type="cellIs" dxfId="5207" priority="5218" operator="equal">
      <formula>"FINALIZADO"</formula>
    </cfRule>
    <cfRule type="cellIs" dxfId="5206" priority="5219" operator="equal">
      <formula>"NÃO INICIADO"</formula>
    </cfRule>
    <cfRule type="cellIs" dxfId="5205" priority="5220" operator="equal">
      <formula>"FINALIZADO"</formula>
    </cfRule>
    <cfRule type="cellIs" dxfId="5204" priority="5221" operator="equal">
      <formula>"NÃO INICIADO"</formula>
    </cfRule>
    <cfRule type="cellIs" dxfId="5203" priority="5225" operator="equal">
      <formula>"FINALIZADO"</formula>
    </cfRule>
    <cfRule type="cellIs" dxfId="5202" priority="5226" operator="equal">
      <formula>"NÃO INICIADO"</formula>
    </cfRule>
  </conditionalFormatting>
  <conditionalFormatting sqref="C5:C6">
    <cfRule type="dataBar" priority="522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{C1F3992D-BC7A-42B5-A740-D09B0149001A}</x14:id>
        </ext>
      </extLst>
    </cfRule>
  </conditionalFormatting>
  <conditionalFormatting sqref="C6">
    <cfRule type="dataBar" priority="522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{DCF82D28-DCE0-45BB-94C6-64B0CCB896CF}</x14:id>
        </ext>
      </extLst>
    </cfRule>
  </conditionalFormatting>
  <conditionalFormatting sqref="D9:D815">
    <cfRule type="cellIs" dxfId="5201" priority="5210" operator="equal">
      <formula>"FINALIZADO"</formula>
    </cfRule>
    <cfRule type="cellIs" dxfId="5200" priority="5211" operator="equal">
      <formula>"NÃO INICIADO"</formula>
    </cfRule>
  </conditionalFormatting>
  <conditionalFormatting sqref="D9:D815">
    <cfRule type="cellIs" dxfId="5199" priority="5204" operator="equal">
      <formula>"FINALIZADO"</formula>
    </cfRule>
    <cfRule type="cellIs" dxfId="5198" priority="5205" operator="equal">
      <formula>"NÃO INICIADO"</formula>
    </cfRule>
    <cfRule type="cellIs" dxfId="5197" priority="5206" operator="equal">
      <formula>"FINALIZADO"</formula>
    </cfRule>
    <cfRule type="cellIs" dxfId="5196" priority="5207" operator="equal">
      <formula>"NÃO INICIADO"</formula>
    </cfRule>
  </conditionalFormatting>
  <conditionalFormatting sqref="D9:D815">
    <cfRule type="cellIs" dxfId="5195" priority="5202" operator="equal">
      <formula>"FINALIZADO"</formula>
    </cfRule>
    <cfRule type="cellIs" dxfId="5194" priority="5203" operator="equal">
      <formula>"NÃO INICIADO"</formula>
    </cfRule>
  </conditionalFormatting>
  <conditionalFormatting sqref="P12">
    <cfRule type="cellIs" dxfId="5193" priority="5200" operator="equal">
      <formula>"OK"</formula>
    </cfRule>
    <cfRule type="cellIs" dxfId="5192" priority="5201" operator="equal">
      <formula>"AT"</formula>
    </cfRule>
  </conditionalFormatting>
  <conditionalFormatting sqref="Q12">
    <cfRule type="dataBar" priority="519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{9C23E4D6-585C-4CA7-A0E3-43D6E8A91B6A}</x14:id>
        </ext>
      </extLst>
    </cfRule>
  </conditionalFormatting>
  <conditionalFormatting sqref="D9:D815">
    <cfRule type="cellIs" dxfId="5191" priority="5174" operator="equal">
      <formula>"EM PROCESSO"</formula>
    </cfRule>
    <cfRule type="cellIs" dxfId="5190" priority="5175" operator="equal">
      <formula>"FINALIZADO"</formula>
    </cfRule>
    <cfRule type="cellIs" dxfId="5189" priority="5176" operator="equal">
      <formula>"NÃO INICIADO"</formula>
    </cfRule>
    <cfRule type="cellIs" dxfId="5188" priority="5177" operator="equal">
      <formula>"EM PROCESSO"</formula>
    </cfRule>
    <cfRule type="cellIs" dxfId="5187" priority="5178" operator="equal">
      <formula>"FINALIZADO"</formula>
    </cfRule>
    <cfRule type="cellIs" dxfId="5186" priority="5179" operator="equal">
      <formula>"NÃO INICIADO"</formula>
    </cfRule>
    <cfRule type="cellIs" dxfId="5185" priority="5180" operator="equal">
      <formula>"EM PROCESSO"</formula>
    </cfRule>
    <cfRule type="cellIs" dxfId="5184" priority="5181" operator="equal">
      <formula>"FINALIZADO"</formula>
    </cfRule>
    <cfRule type="cellIs" dxfId="5183" priority="5182" operator="equal">
      <formula>"NÃO INICIADO"</formula>
    </cfRule>
    <cfRule type="cellIs" dxfId="5182" priority="5183" operator="equal">
      <formula>"EM PROCESSO"</formula>
    </cfRule>
    <cfRule type="cellIs" dxfId="5181" priority="5184" operator="equal">
      <formula>"FINALIZADO"</formula>
    </cfRule>
    <cfRule type="cellIs" dxfId="5180" priority="5185" operator="equal">
      <formula>"NÃO INICIADO"</formula>
    </cfRule>
    <cfRule type="cellIs" dxfId="5179" priority="5186" operator="equal">
      <formula>"EM PROCESSO"</formula>
    </cfRule>
    <cfRule type="cellIs" dxfId="5178" priority="5187" operator="equal">
      <formula>"FINALIZADO"</formula>
    </cfRule>
    <cfRule type="cellIs" dxfId="5177" priority="5188" operator="equal">
      <formula>"NÃO INICIADO"</formula>
    </cfRule>
    <cfRule type="cellIs" dxfId="5176" priority="5189" operator="equal">
      <formula>"EM PROCESSO"</formula>
    </cfRule>
    <cfRule type="cellIs" dxfId="5175" priority="5190" operator="equal">
      <formula>"FINALIZADO"</formula>
    </cfRule>
    <cfRule type="cellIs" dxfId="5174" priority="5191" operator="equal">
      <formula>"NÃO INICIADO"</formula>
    </cfRule>
    <cfRule type="cellIs" dxfId="5173" priority="5193" operator="equal">
      <formula>"FINALIZADO"</formula>
    </cfRule>
    <cfRule type="cellIs" dxfId="5172" priority="5194" operator="equal">
      <formula>"NÃO INICIADO"</formula>
    </cfRule>
  </conditionalFormatting>
  <conditionalFormatting sqref="D9:D815">
    <cfRule type="cellIs" dxfId="5171" priority="5192" operator="equal">
      <formula>"EM PROCESSO"</formula>
    </cfRule>
  </conditionalFormatting>
  <conditionalFormatting sqref="D9:D815">
    <cfRule type="cellIs" dxfId="5170" priority="5159" operator="equal">
      <formula>"EM PROCESSO"</formula>
    </cfRule>
    <cfRule type="cellIs" dxfId="5169" priority="5160" operator="equal">
      <formula>"FINALIZADO"</formula>
    </cfRule>
    <cfRule type="cellIs" dxfId="5168" priority="5161" operator="equal">
      <formula>"NÃO INICIADO"</formula>
    </cfRule>
    <cfRule type="cellIs" dxfId="5167" priority="5162" operator="equal">
      <formula>"EM PROCESSO"</formula>
    </cfRule>
    <cfRule type="cellIs" dxfId="5166" priority="5163" operator="equal">
      <formula>"FINALIZADO"</formula>
    </cfRule>
    <cfRule type="cellIs" dxfId="5165" priority="5164" operator="equal">
      <formula>"NÃO INICIADO"</formula>
    </cfRule>
    <cfRule type="cellIs" dxfId="5164" priority="5165" operator="equal">
      <formula>"EM PROCESSO"</formula>
    </cfRule>
    <cfRule type="cellIs" dxfId="5163" priority="5166" operator="equal">
      <formula>"FINALIZADO"</formula>
    </cfRule>
    <cfRule type="cellIs" dxfId="5162" priority="5167" operator="equal">
      <formula>"NÃO INICIADO"</formula>
    </cfRule>
    <cfRule type="cellIs" dxfId="5161" priority="5168" operator="equal">
      <formula>"EM PROCESSO"</formula>
    </cfRule>
    <cfRule type="cellIs" dxfId="5160" priority="5169" operator="equal">
      <formula>"FINALIZADO"</formula>
    </cfRule>
    <cfRule type="cellIs" dxfId="5159" priority="5170" operator="equal">
      <formula>"NÃO INICIADO"</formula>
    </cfRule>
    <cfRule type="cellIs" dxfId="5158" priority="5171" operator="equal">
      <formula>"EM PROCESSO"</formula>
    </cfRule>
    <cfRule type="cellIs" dxfId="5157" priority="5172" operator="equal">
      <formula>"FINALIZADO"</formula>
    </cfRule>
    <cfRule type="cellIs" dxfId="5156" priority="5173" operator="equal">
      <formula>"NÃO INICIADO"</formula>
    </cfRule>
  </conditionalFormatting>
  <conditionalFormatting sqref="D9:D815">
    <cfRule type="cellIs" dxfId="5155" priority="5156" operator="equal">
      <formula>"EM PROCESSO"</formula>
    </cfRule>
    <cfRule type="cellIs" dxfId="5154" priority="5157" operator="equal">
      <formula>"FINALIZADO"</formula>
    </cfRule>
    <cfRule type="cellIs" dxfId="5153" priority="5158" operator="equal">
      <formula>"NÃO INICIADO"</formula>
    </cfRule>
  </conditionalFormatting>
  <conditionalFormatting sqref="D9:D815">
    <cfRule type="cellIs" dxfId="5152" priority="5126" operator="equal">
      <formula>"EM PROCESSO"</formula>
    </cfRule>
    <cfRule type="cellIs" dxfId="5151" priority="5127" operator="equal">
      <formula>"FINALIZADO"</formula>
    </cfRule>
    <cfRule type="cellIs" dxfId="5150" priority="5128" operator="equal">
      <formula>"NÃO INICIADO"</formula>
    </cfRule>
    <cfRule type="cellIs" dxfId="5149" priority="5129" operator="equal">
      <formula>"EM PROCESSO"</formula>
    </cfRule>
    <cfRule type="cellIs" dxfId="5148" priority="5130" operator="equal">
      <formula>"FINALIZADO"</formula>
    </cfRule>
    <cfRule type="cellIs" dxfId="5147" priority="5131" operator="equal">
      <formula>"NÃO INICIADO"</formula>
    </cfRule>
    <cfRule type="cellIs" dxfId="5146" priority="5132" operator="equal">
      <formula>"EM PROCESSO"</formula>
    </cfRule>
    <cfRule type="cellIs" dxfId="5145" priority="5133" operator="equal">
      <formula>"FINALIZADO"</formula>
    </cfRule>
    <cfRule type="cellIs" dxfId="5144" priority="5134" operator="equal">
      <formula>"NÃO INICIADO"</formula>
    </cfRule>
    <cfRule type="cellIs" dxfId="5143" priority="5135" operator="equal">
      <formula>"EM PROCESSO"</formula>
    </cfRule>
    <cfRule type="cellIs" dxfId="5142" priority="5136" operator="equal">
      <formula>"FINALIZADO"</formula>
    </cfRule>
    <cfRule type="cellIs" dxfId="5141" priority="5137" operator="equal">
      <formula>"NÃO INICIADO"</formula>
    </cfRule>
    <cfRule type="cellIs" dxfId="5140" priority="5138" operator="equal">
      <formula>"EM PROCESSO"</formula>
    </cfRule>
    <cfRule type="cellIs" dxfId="5139" priority="5139" operator="equal">
      <formula>"FINALIZADO"</formula>
    </cfRule>
    <cfRule type="cellIs" dxfId="5138" priority="5140" operator="equal">
      <formula>"NÃO INICIADO"</formula>
    </cfRule>
    <cfRule type="cellIs" dxfId="5137" priority="5141" operator="equal">
      <formula>"EM PROCESSO"</formula>
    </cfRule>
    <cfRule type="cellIs" dxfId="5136" priority="5142" operator="equal">
      <formula>"FINALIZADO"</formula>
    </cfRule>
    <cfRule type="cellIs" dxfId="5135" priority="5143" operator="equal">
      <formula>"NÃO INICIADO"</formula>
    </cfRule>
    <cfRule type="cellIs" dxfId="5134" priority="5144" operator="equal">
      <formula>"EM PROCESSO"</formula>
    </cfRule>
    <cfRule type="cellIs" dxfId="5133" priority="5145" operator="equal">
      <formula>"FINALIZADO"</formula>
    </cfRule>
    <cfRule type="cellIs" dxfId="5132" priority="5146" operator="equal">
      <formula>"NÃO INICIADO"</formula>
    </cfRule>
    <cfRule type="cellIs" dxfId="5131" priority="5147" operator="equal">
      <formula>"EM PROCESSO"</formula>
    </cfRule>
    <cfRule type="cellIs" dxfId="5130" priority="5148" operator="equal">
      <formula>"FINALIZADO"</formula>
    </cfRule>
    <cfRule type="cellIs" dxfId="5129" priority="5149" operator="equal">
      <formula>"NÃO INICIADO"</formula>
    </cfRule>
    <cfRule type="cellIs" dxfId="5128" priority="5150" operator="equal">
      <formula>"EM PROCESSO"</formula>
    </cfRule>
    <cfRule type="cellIs" dxfId="5127" priority="5151" operator="equal">
      <formula>"FINALIZADO"</formula>
    </cfRule>
    <cfRule type="cellIs" dxfId="5126" priority="5152" operator="equal">
      <formula>"NÃO INICIADO"</formula>
    </cfRule>
    <cfRule type="cellIs" dxfId="5125" priority="5153" operator="equal">
      <formula>"EM PROCESSO"</formula>
    </cfRule>
    <cfRule type="cellIs" dxfId="5124" priority="5154" operator="equal">
      <formula>"FINALIZADO"</formula>
    </cfRule>
    <cfRule type="cellIs" dxfId="5123" priority="5155" operator="equal">
      <formula>"NÃO INICIADO"</formula>
    </cfRule>
  </conditionalFormatting>
  <conditionalFormatting sqref="D9:D815">
    <cfRule type="cellIs" dxfId="5122" priority="5102" operator="equal">
      <formula>"EM PROCESSO"</formula>
    </cfRule>
    <cfRule type="cellIs" dxfId="5121" priority="5103" operator="equal">
      <formula>"FINALIZADO"</formula>
    </cfRule>
    <cfRule type="cellIs" dxfId="5120" priority="5104" operator="equal">
      <formula>"NÃO INICIADO"</formula>
    </cfRule>
    <cfRule type="cellIs" dxfId="5119" priority="5105" operator="equal">
      <formula>"EM PROCESSO"</formula>
    </cfRule>
    <cfRule type="cellIs" dxfId="5118" priority="5106" operator="equal">
      <formula>"FINALIZADO"</formula>
    </cfRule>
    <cfRule type="cellIs" dxfId="5117" priority="5107" operator="equal">
      <formula>"NÃO INICIADO"</formula>
    </cfRule>
    <cfRule type="cellIs" dxfId="5116" priority="5108" operator="equal">
      <formula>"EM PROCESSO"</formula>
    </cfRule>
    <cfRule type="cellIs" dxfId="5115" priority="5109" operator="equal">
      <formula>"FINALIZADO"</formula>
    </cfRule>
    <cfRule type="cellIs" dxfId="5114" priority="5110" operator="equal">
      <formula>"NÃO INICIADO"</formula>
    </cfRule>
    <cfRule type="cellIs" dxfId="5113" priority="5111" operator="equal">
      <formula>"EM PROCESSO"</formula>
    </cfRule>
    <cfRule type="cellIs" dxfId="5112" priority="5112" operator="equal">
      <formula>"FINALIZADO"</formula>
    </cfRule>
    <cfRule type="cellIs" dxfId="5111" priority="5113" operator="equal">
      <formula>"NÃO INICIADO"</formula>
    </cfRule>
    <cfRule type="cellIs" dxfId="5110" priority="5114" operator="equal">
      <formula>"EM PROCESSO"</formula>
    </cfRule>
    <cfRule type="cellIs" dxfId="5109" priority="5115" operator="equal">
      <formula>"FINALIZADO"</formula>
    </cfRule>
    <cfRule type="cellIs" dxfId="5108" priority="5116" operator="equal">
      <formula>"NÃO INICIADO"</formula>
    </cfRule>
    <cfRule type="cellIs" dxfId="5107" priority="5117" operator="equal">
      <formula>"EM PROCESSO"</formula>
    </cfRule>
    <cfRule type="cellIs" dxfId="5106" priority="5118" operator="equal">
      <formula>"FINALIZADO"</formula>
    </cfRule>
    <cfRule type="cellIs" dxfId="5105" priority="5119" operator="equal">
      <formula>"NÃO INICIADO"</formula>
    </cfRule>
    <cfRule type="cellIs" dxfId="5104" priority="5120" operator="equal">
      <formula>"EM PROCESSO"</formula>
    </cfRule>
    <cfRule type="cellIs" dxfId="5103" priority="5121" operator="equal">
      <formula>"FINALIZADO"</formula>
    </cfRule>
    <cfRule type="cellIs" dxfId="5102" priority="5122" operator="equal">
      <formula>"NÃO INICIADO"</formula>
    </cfRule>
    <cfRule type="cellIs" dxfId="5101" priority="5123" operator="equal">
      <formula>"EM PROCESSO"</formula>
    </cfRule>
    <cfRule type="cellIs" dxfId="5100" priority="5124" operator="equal">
      <formula>"FINALIZADO"</formula>
    </cfRule>
    <cfRule type="cellIs" dxfId="5099" priority="5125" operator="equal">
      <formula>"NÃO INICIADO"</formula>
    </cfRule>
  </conditionalFormatting>
  <conditionalFormatting sqref="D9:D815">
    <cfRule type="cellIs" dxfId="5098" priority="5099" operator="equal">
      <formula>"EM PROCESSO"</formula>
    </cfRule>
    <cfRule type="cellIs" dxfId="5097" priority="5100" operator="equal">
      <formula>"FINALIZADO"</formula>
    </cfRule>
    <cfRule type="cellIs" dxfId="5096" priority="5101" operator="equal">
      <formula>"NÃO INICIADO"</formula>
    </cfRule>
  </conditionalFormatting>
  <conditionalFormatting sqref="D9:D77">
    <cfRule type="cellIs" dxfId="5095" priority="5097" operator="equal">
      <formula>"NÃO INICIADO"</formula>
    </cfRule>
    <cfRule type="cellIs" dxfId="5094" priority="5096" operator="equal">
      <formula>"FINALIZADO"</formula>
    </cfRule>
    <cfRule type="cellIs" dxfId="5093" priority="5095" operator="equal">
      <formula>"EM PROCESSO"</formula>
    </cfRule>
    <cfRule type="cellIs" dxfId="5092" priority="5094" operator="equal">
      <formula>"NÃO INICIADO"</formula>
    </cfRule>
    <cfRule type="cellIs" dxfId="5091" priority="5093" operator="equal">
      <formula>"FINALIZADO"</formula>
    </cfRule>
    <cfRule type="cellIs" dxfId="5090" priority="5092" operator="equal">
      <formula>"EM PROCESSO"</formula>
    </cfRule>
    <cfRule type="cellIs" dxfId="5089" priority="5091" operator="equal">
      <formula>"NÃO INICIADO"</formula>
    </cfRule>
    <cfRule type="cellIs" dxfId="5088" priority="5090" operator="equal">
      <formula>"FINALIZADO"</formula>
    </cfRule>
    <cfRule type="cellIs" dxfId="5087" priority="5089" operator="equal">
      <formula>"EM PROCESSO"</formula>
    </cfRule>
    <cfRule type="cellIs" dxfId="5086" priority="4548" operator="equal">
      <formula>"NÃO INICIADO"</formula>
    </cfRule>
    <cfRule type="cellIs" dxfId="5085" priority="4547" operator="equal">
      <formula>"FINALIZADO"</formula>
    </cfRule>
    <cfRule type="cellIs" dxfId="5084" priority="4546" operator="equal">
      <formula>"EM PROCESSO"</formula>
    </cfRule>
    <cfRule type="cellIs" dxfId="5083" priority="4455" operator="equal">
      <formula>"NÃO INICIADO"</formula>
    </cfRule>
    <cfRule type="cellIs" dxfId="5082" priority="4454" operator="equal">
      <formula>"FINALIZADO"</formula>
    </cfRule>
    <cfRule type="cellIs" dxfId="5081" priority="4453" operator="equal">
      <formula>"EM PROCESSO"</formula>
    </cfRule>
    <cfRule type="cellIs" dxfId="5080" priority="3948" operator="equal">
      <formula>"NÃO INICIADO"</formula>
    </cfRule>
    <cfRule type="cellIs" dxfId="5079" priority="3947" operator="equal">
      <formula>"FINALIZADO"</formula>
    </cfRule>
    <cfRule type="cellIs" dxfId="5078" priority="3946" operator="equal">
      <formula>"EM PROCESSO"</formula>
    </cfRule>
    <cfRule type="cellIs" dxfId="5077" priority="3066" operator="equal">
      <formula>"NÃO INICIADO"</formula>
    </cfRule>
    <cfRule type="cellIs" dxfId="5076" priority="531" operator="equal">
      <formula>"NÃO INICIADO"</formula>
    </cfRule>
    <cfRule type="cellIs" dxfId="5075" priority="357" operator="equal">
      <formula>"NÃO INICIADO"</formula>
    </cfRule>
  </conditionalFormatting>
  <conditionalFormatting sqref="D9:D78">
    <cfRule type="cellIs" dxfId="5074" priority="5088" operator="equal">
      <formula>"NÃO INICIADO"</formula>
    </cfRule>
    <cfRule type="cellIs" dxfId="5073" priority="5087" operator="equal">
      <formula>"FINALIZADO"</formula>
    </cfRule>
    <cfRule type="cellIs" dxfId="5072" priority="5086" operator="equal">
      <formula>"EM PROCESSO"</formula>
    </cfRule>
    <cfRule type="cellIs" dxfId="5071" priority="3996" operator="equal">
      <formula>"NÃO INICIADO"</formula>
    </cfRule>
    <cfRule type="cellIs" dxfId="5070" priority="3995" operator="equal">
      <formula>"FINALIZADO"</formula>
    </cfRule>
    <cfRule type="cellIs" dxfId="5069" priority="3994" operator="equal">
      <formula>"EM PROCESSO"</formula>
    </cfRule>
    <cfRule type="cellIs" dxfId="5068" priority="2154" operator="equal">
      <formula>"NÃO INICIADO"</formula>
    </cfRule>
    <cfRule type="cellIs" dxfId="5067" priority="1905" operator="equal">
      <formula>"NÃO INICIADO"</formula>
    </cfRule>
  </conditionalFormatting>
  <conditionalFormatting sqref="D9:D13">
    <cfRule type="cellIs" dxfId="5066" priority="5085" operator="equal">
      <formula>"NÃO INICIADO"</formula>
    </cfRule>
    <cfRule type="cellIs" dxfId="5065" priority="5084" operator="equal">
      <formula>"FINALIZADO"</formula>
    </cfRule>
    <cfRule type="cellIs" dxfId="5064" priority="5083" operator="equal">
      <formula>"EM PROCESSO"</formula>
    </cfRule>
    <cfRule type="cellIs" dxfId="5063" priority="5082" operator="equal">
      <formula>"NÃO INICIADO"</formula>
    </cfRule>
    <cfRule type="cellIs" dxfId="5062" priority="5081" operator="equal">
      <formula>"FINALIZADO"</formula>
    </cfRule>
    <cfRule type="cellIs" dxfId="5061" priority="5080" operator="equal">
      <formula>"EM PROCESSO"</formula>
    </cfRule>
    <cfRule type="cellIs" dxfId="5060" priority="4989" operator="equal">
      <formula>"NÃO INICIADO"</formula>
    </cfRule>
    <cfRule type="cellIs" dxfId="5059" priority="4988" operator="equal">
      <formula>"FINALIZADO"</formula>
    </cfRule>
    <cfRule type="cellIs" dxfId="5058" priority="4987" operator="equal">
      <formula>"EM PROCESSO"</formula>
    </cfRule>
    <cfRule type="cellIs" dxfId="5057" priority="4959" operator="equal">
      <formula>"NÃO INICIADO"</formula>
    </cfRule>
    <cfRule type="cellIs" dxfId="5056" priority="4958" operator="equal">
      <formula>"FINALIZADO"</formula>
    </cfRule>
    <cfRule type="cellIs" dxfId="5055" priority="4957" operator="equal">
      <formula>"EM PROCESSO"</formula>
    </cfRule>
    <cfRule type="cellIs" dxfId="5054" priority="4860" operator="equal">
      <formula>"NÃO INICIADO"</formula>
    </cfRule>
    <cfRule type="cellIs" dxfId="5053" priority="4859" operator="equal">
      <formula>"FINALIZADO"</formula>
    </cfRule>
    <cfRule type="cellIs" dxfId="5052" priority="4858" operator="equal">
      <formula>"EM PROCESSO"</formula>
    </cfRule>
    <cfRule type="cellIs" dxfId="5051" priority="4755" operator="equal">
      <formula>"NÃO INICIADO"</formula>
    </cfRule>
    <cfRule type="cellIs" dxfId="5050" priority="4754" operator="equal">
      <formula>"FINALIZADO"</formula>
    </cfRule>
    <cfRule type="cellIs" dxfId="5049" priority="4753" operator="equal">
      <formula>"EM PROCESSO"</formula>
    </cfRule>
    <cfRule type="cellIs" dxfId="5048" priority="4497" operator="equal">
      <formula>"NÃO INICIADO"</formula>
    </cfRule>
    <cfRule type="cellIs" dxfId="5047" priority="4496" operator="equal">
      <formula>"FINALIZADO"</formula>
    </cfRule>
    <cfRule type="cellIs" dxfId="5046" priority="4495" operator="equal">
      <formula>"EM PROCESSO"</formula>
    </cfRule>
    <cfRule type="cellIs" dxfId="5045" priority="4464" operator="equal">
      <formula>"NÃO INICIADO"</formula>
    </cfRule>
    <cfRule type="cellIs" dxfId="5044" priority="4463" operator="equal">
      <formula>"FINALIZADO"</formula>
    </cfRule>
    <cfRule type="cellIs" dxfId="5043" priority="4462" operator="equal">
      <formula>"EM PROCESSO"</formula>
    </cfRule>
    <cfRule type="cellIs" dxfId="5042" priority="4431" operator="equal">
      <formula>"NÃO INICIADO"</formula>
    </cfRule>
    <cfRule type="cellIs" dxfId="5041" priority="4430" operator="equal">
      <formula>"FINALIZADO"</formula>
    </cfRule>
    <cfRule type="cellIs" dxfId="5040" priority="4429" operator="equal">
      <formula>"EM PROCESSO"</formula>
    </cfRule>
    <cfRule type="cellIs" dxfId="5039" priority="4308" operator="equal">
      <formula>"NÃO INICIADO"</formula>
    </cfRule>
    <cfRule type="cellIs" dxfId="5038" priority="4307" operator="equal">
      <formula>"FINALIZADO"</formula>
    </cfRule>
    <cfRule type="cellIs" dxfId="5037" priority="4306" operator="equal">
      <formula>"EM PROCESSO"</formula>
    </cfRule>
    <cfRule type="cellIs" dxfId="5036" priority="4122" operator="equal">
      <formula>"NÃO INICIADO"</formula>
    </cfRule>
    <cfRule type="cellIs" dxfId="5035" priority="4121" operator="equal">
      <formula>"FINALIZADO"</formula>
    </cfRule>
    <cfRule type="cellIs" dxfId="5034" priority="4120" operator="equal">
      <formula>"EM PROCESSO"</formula>
    </cfRule>
    <cfRule type="cellIs" dxfId="5033" priority="3984" operator="equal">
      <formula>"NÃO INICIADO"</formula>
    </cfRule>
    <cfRule type="cellIs" dxfId="5032" priority="3983" operator="equal">
      <formula>"FINALIZADO"</formula>
    </cfRule>
    <cfRule type="cellIs" dxfId="5031" priority="3982" operator="equal">
      <formula>"EM PROCESSO"</formula>
    </cfRule>
    <cfRule type="cellIs" dxfId="5030" priority="3888" operator="equal">
      <formula>"NÃO INICIADO"</formula>
    </cfRule>
    <cfRule type="cellIs" dxfId="5029" priority="3887" operator="equal">
      <formula>"FINALIZADO"</formula>
    </cfRule>
    <cfRule type="cellIs" dxfId="5028" priority="3886" operator="equal">
      <formula>"EM PROCESSO"</formula>
    </cfRule>
    <cfRule type="cellIs" dxfId="5027" priority="3741" operator="equal">
      <formula>"NÃO INICIADO"</formula>
    </cfRule>
    <cfRule type="cellIs" dxfId="5026" priority="3627" operator="equal">
      <formula>"NÃO INICIADO"</formula>
    </cfRule>
    <cfRule type="cellIs" dxfId="5025" priority="3375" operator="equal">
      <formula>"NÃO INICIADO"</formula>
    </cfRule>
    <cfRule type="cellIs" dxfId="5024" priority="3336" operator="equal">
      <formula>"NÃO INICIADO"</formula>
    </cfRule>
    <cfRule type="cellIs" dxfId="5023" priority="3270" operator="equal">
      <formula>"NÃO INICIADO"</formula>
    </cfRule>
    <cfRule type="cellIs" dxfId="5022" priority="3192" operator="equal">
      <formula>"NÃO INICIADO"</formula>
    </cfRule>
    <cfRule type="cellIs" dxfId="5021" priority="3135" operator="equal">
      <formula>"NÃO INICIADO"</formula>
    </cfRule>
    <cfRule type="cellIs" dxfId="5020" priority="3078" operator="equal">
      <formula>"NÃO INICIADO"</formula>
    </cfRule>
    <cfRule type="cellIs" dxfId="5019" priority="3015" operator="equal">
      <formula>"NÃO INICIADO"</formula>
    </cfRule>
    <cfRule type="cellIs" dxfId="5018" priority="2628" operator="equal">
      <formula>"NÃO INICIADO"</formula>
    </cfRule>
    <cfRule type="cellIs" dxfId="5017" priority="2553" operator="equal">
      <formula>"NÃO INICIADO"</formula>
    </cfRule>
    <cfRule type="cellIs" dxfId="5016" priority="2493" operator="equal">
      <formula>"NÃO INICIADO"</formula>
    </cfRule>
    <cfRule type="cellIs" dxfId="5015" priority="2064" operator="equal">
      <formula>"NÃO INICIADO"</formula>
    </cfRule>
    <cfRule type="cellIs" dxfId="5014" priority="2058" operator="equal">
      <formula>"NÃO INICIADO"</formula>
    </cfRule>
    <cfRule type="cellIs" dxfId="5013" priority="2040" operator="equal">
      <formula>"NÃO INICIADO"</formula>
    </cfRule>
    <cfRule type="cellIs" dxfId="5012" priority="2028" operator="equal">
      <formula>"NÃO INICIADO"</formula>
    </cfRule>
    <cfRule type="cellIs" dxfId="5011" priority="2007" operator="equal">
      <formula>"NÃO INICIADO"</formula>
    </cfRule>
    <cfRule type="cellIs" dxfId="5010" priority="1728" operator="equal">
      <formula>"NÃO INICIADO"</formula>
    </cfRule>
    <cfRule type="cellIs" dxfId="5009" priority="1308" operator="equal">
      <formula>"NÃO INICIADO"</formula>
    </cfRule>
    <cfRule type="cellIs" dxfId="5008" priority="996" operator="equal">
      <formula>"NÃO INICIADO"</formula>
    </cfRule>
    <cfRule type="cellIs" dxfId="5007" priority="885" operator="equal">
      <formula>"NÃO INICIADO"</formula>
    </cfRule>
    <cfRule type="cellIs" dxfId="5006" priority="846" operator="equal">
      <formula>"NÃO INICIADO"</formula>
    </cfRule>
    <cfRule type="cellIs" dxfId="5005" priority="396" operator="equal">
      <formula>"NÃO INICIADO"</formula>
    </cfRule>
    <cfRule type="cellIs" dxfId="5004" priority="261" operator="equal">
      <formula>"NÃO INICIADO"</formula>
    </cfRule>
    <cfRule type="cellIs" dxfId="5003" priority="138" operator="equal">
      <formula>"NÃO INICIADO"</formula>
    </cfRule>
    <cfRule type="cellIs" dxfId="5002" priority="96" operator="equal">
      <formula>"NÃO INICIADO"</formula>
    </cfRule>
  </conditionalFormatting>
  <conditionalFormatting sqref="D9:D30">
    <cfRule type="cellIs" dxfId="5001" priority="5079" operator="equal">
      <formula>"NÃO INICIADO"</formula>
    </cfRule>
    <cfRule type="cellIs" dxfId="5000" priority="5078" operator="equal">
      <formula>"FINALIZADO"</formula>
    </cfRule>
    <cfRule type="cellIs" dxfId="4999" priority="5077" operator="equal">
      <formula>"EM PROCESSO"</formula>
    </cfRule>
    <cfRule type="cellIs" dxfId="4998" priority="5043" operator="equal">
      <formula>"NÃO INICIADO"</formula>
    </cfRule>
    <cfRule type="cellIs" dxfId="4997" priority="5042" operator="equal">
      <formula>"FINALIZADO"</formula>
    </cfRule>
    <cfRule type="cellIs" dxfId="4996" priority="5041" operator="equal">
      <formula>"EM PROCESSO"</formula>
    </cfRule>
    <cfRule type="cellIs" dxfId="4995" priority="4809" operator="equal">
      <formula>"NÃO INICIADO"</formula>
    </cfRule>
    <cfRule type="cellIs" dxfId="4994" priority="4808" operator="equal">
      <formula>"FINALIZADO"</formula>
    </cfRule>
    <cfRule type="cellIs" dxfId="4993" priority="4807" operator="equal">
      <formula>"EM PROCESSO"</formula>
    </cfRule>
    <cfRule type="cellIs" dxfId="4992" priority="4161" operator="equal">
      <formula>"NÃO INICIADO"</formula>
    </cfRule>
    <cfRule type="cellIs" dxfId="4991" priority="4160" operator="equal">
      <formula>"FINALIZADO"</formula>
    </cfRule>
    <cfRule type="cellIs" dxfId="4990" priority="4159" operator="equal">
      <formula>"EM PROCESSO"</formula>
    </cfRule>
    <cfRule type="cellIs" dxfId="4989" priority="3885" operator="equal">
      <formula>"NÃO INICIADO"</formula>
    </cfRule>
    <cfRule type="cellIs" dxfId="4988" priority="3884" operator="equal">
      <formula>"FINALIZADO"</formula>
    </cfRule>
    <cfRule type="cellIs" dxfId="4987" priority="3883" operator="equal">
      <formula>"EM PROCESSO"</formula>
    </cfRule>
    <cfRule type="cellIs" dxfId="4986" priority="3735" operator="equal">
      <formula>"NÃO INICIADO"</formula>
    </cfRule>
    <cfRule type="cellIs" dxfId="4985" priority="2724" operator="equal">
      <formula>"NÃO INICIADO"</formula>
    </cfRule>
    <cfRule type="cellIs" dxfId="4984" priority="2466" operator="equal">
      <formula>"NÃO INICIADO"</formula>
    </cfRule>
    <cfRule type="cellIs" dxfId="4983" priority="2439" operator="equal">
      <formula>"NÃO INICIADO"</formula>
    </cfRule>
    <cfRule type="cellIs" dxfId="4982" priority="2004" operator="equal">
      <formula>"NÃO INICIADO"</formula>
    </cfRule>
    <cfRule type="cellIs" dxfId="4981" priority="1935" operator="equal">
      <formula>"NÃO INICIADO"</formula>
    </cfRule>
    <cfRule type="cellIs" dxfId="4980" priority="1758" operator="equal">
      <formula>"NÃO INICIADO"</formula>
    </cfRule>
    <cfRule type="cellIs" dxfId="4979" priority="1608" operator="equal">
      <formula>"NÃO INICIADO"</formula>
    </cfRule>
    <cfRule type="cellIs" dxfId="4978" priority="1503" operator="equal">
      <formula>"NÃO INICIADO"</formula>
    </cfRule>
    <cfRule type="cellIs" dxfId="4977" priority="687" operator="equal">
      <formula>"NÃO INICIADO"</formula>
    </cfRule>
    <cfRule type="cellIs" dxfId="4976" priority="564" operator="equal">
      <formula>"NÃO INICIADO"</formula>
    </cfRule>
    <cfRule type="cellIs" dxfId="4975" priority="114" operator="equal">
      <formula>"NÃO INICIADO"</formula>
    </cfRule>
    <cfRule type="cellIs" dxfId="4974" priority="110" operator="equal">
      <formula>"FINALIZADO"</formula>
    </cfRule>
  </conditionalFormatting>
  <conditionalFormatting sqref="D9:D25">
    <cfRule type="cellIs" dxfId="4973" priority="5076" operator="equal">
      <formula>"NÃO INICIADO"</formula>
    </cfRule>
    <cfRule type="cellIs" dxfId="4972" priority="5075" operator="equal">
      <formula>"FINALIZADO"</formula>
    </cfRule>
    <cfRule type="cellIs" dxfId="4971" priority="5074" operator="equal">
      <formula>"EM PROCESSO"</formula>
    </cfRule>
  </conditionalFormatting>
  <conditionalFormatting sqref="D9:D14">
    <cfRule type="cellIs" dxfId="4970" priority="5073" operator="equal">
      <formula>"NÃO INICIADO"</formula>
    </cfRule>
    <cfRule type="cellIs" dxfId="4969" priority="5072" operator="equal">
      <formula>"FINALIZADO"</formula>
    </cfRule>
    <cfRule type="cellIs" dxfId="4968" priority="5071" operator="equal">
      <formula>"EM PROCESSO"</formula>
    </cfRule>
    <cfRule type="cellIs" dxfId="4967" priority="3863" operator="equal">
      <formula>"FINALIZADO"</formula>
    </cfRule>
    <cfRule type="cellIs" dxfId="4966" priority="3338" operator="equal">
      <formula>"FINALIZADO"</formula>
    </cfRule>
    <cfRule type="cellIs" dxfId="4965" priority="447" operator="equal">
      <formula>"NÃO INICIADO"</formula>
    </cfRule>
    <cfRule type="cellIs" dxfId="4964" priority="347" operator="equal">
      <formula>"FINALIZADO"</formula>
    </cfRule>
    <cfRule type="cellIs" dxfId="4963" priority="126" operator="equal">
      <formula>"NÃO INICIADO"</formula>
    </cfRule>
  </conditionalFormatting>
  <conditionalFormatting sqref="P13:P411">
    <cfRule type="cellIs" dxfId="4962" priority="5069" operator="equal">
      <formula>"OK"</formula>
    </cfRule>
    <cfRule type="cellIs" dxfId="4961" priority="5070" operator="equal">
      <formula>"AT"</formula>
    </cfRule>
  </conditionalFormatting>
  <conditionalFormatting sqref="Q13:Q411">
    <cfRule type="dataBar" priority="506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{80F6347E-0288-4319-A5D2-E5F60F6BB72C}</x14:id>
        </ext>
      </extLst>
    </cfRule>
  </conditionalFormatting>
  <conditionalFormatting sqref="D9:D33">
    <cfRule type="cellIs" dxfId="4960" priority="5067" operator="equal">
      <formula>"NÃO INICIADO"</formula>
    </cfRule>
    <cfRule type="cellIs" dxfId="4959" priority="5066" operator="equal">
      <formula>"FINALIZADO"</formula>
    </cfRule>
    <cfRule type="cellIs" dxfId="4958" priority="5065" operator="equal">
      <formula>"EM PROCESSO"</formula>
    </cfRule>
  </conditionalFormatting>
  <conditionalFormatting sqref="D9">
    <cfRule type="cellIs" dxfId="4957" priority="5064" operator="equal">
      <formula>"NÃO INICIADO"</formula>
    </cfRule>
    <cfRule type="cellIs" dxfId="4956" priority="5063" operator="equal">
      <formula>"FINALIZADO"</formula>
    </cfRule>
    <cfRule type="cellIs" dxfId="4955" priority="5062" operator="equal">
      <formula>"EM PROCESSO"</formula>
    </cfRule>
  </conditionalFormatting>
  <conditionalFormatting sqref="D9:D88">
    <cfRule type="cellIs" dxfId="4954" priority="5061" operator="equal">
      <formula>"NÃO INICIADO"</formula>
    </cfRule>
    <cfRule type="cellIs" dxfId="4953" priority="5060" operator="equal">
      <formula>"FINALIZADO"</formula>
    </cfRule>
    <cfRule type="cellIs" dxfId="4952" priority="5059" operator="equal">
      <formula>"EM PROCESSO"</formula>
    </cfRule>
  </conditionalFormatting>
  <conditionalFormatting sqref="D9:D73">
    <cfRule type="cellIs" dxfId="4951" priority="5058" operator="equal">
      <formula>"NÃO INICIADO"</formula>
    </cfRule>
    <cfRule type="cellIs" dxfId="4950" priority="5057" operator="equal">
      <formula>"FINALIZADO"</formula>
    </cfRule>
    <cfRule type="cellIs" dxfId="4949" priority="5056" operator="equal">
      <formula>"EM PROCESSO"</formula>
    </cfRule>
  </conditionalFormatting>
  <conditionalFormatting sqref="D9:D11">
    <cfRule type="cellIs" dxfId="4948" priority="5055" operator="equal">
      <formula>"NÃO INICIADO"</formula>
    </cfRule>
    <cfRule type="cellIs" dxfId="4947" priority="5054" operator="equal">
      <formula>"FINALIZADO"</formula>
    </cfRule>
    <cfRule type="cellIs" dxfId="4946" priority="5053" operator="equal">
      <formula>"EM PROCESSO"</formula>
    </cfRule>
    <cfRule type="cellIs" dxfId="4945" priority="4566" operator="equal">
      <formula>"NÃO INICIADO"</formula>
    </cfRule>
    <cfRule type="cellIs" dxfId="4944" priority="4565" operator="equal">
      <formula>"FINALIZADO"</formula>
    </cfRule>
    <cfRule type="cellIs" dxfId="4943" priority="4564" operator="equal">
      <formula>"EM PROCESSO"</formula>
    </cfRule>
    <cfRule type="cellIs" dxfId="4942" priority="4002" operator="equal">
      <formula>"NÃO INICIADO"</formula>
    </cfRule>
    <cfRule type="cellIs" dxfId="4941" priority="4001" operator="equal">
      <formula>"FINALIZADO"</formula>
    </cfRule>
    <cfRule type="cellIs" dxfId="4940" priority="4000" operator="equal">
      <formula>"EM PROCESSO"</formula>
    </cfRule>
    <cfRule type="cellIs" dxfId="4939" priority="3795" operator="equal">
      <formula>"NÃO INICIADO"</formula>
    </cfRule>
    <cfRule type="cellIs" dxfId="4938" priority="3265" operator="equal">
      <formula>"EM PROCESSO"</formula>
    </cfRule>
    <cfRule type="cellIs" dxfId="4937" priority="1908" operator="equal">
      <formula>"NÃO INICIADO"</formula>
    </cfRule>
    <cfRule type="cellIs" dxfId="4936" priority="1078" operator="equal">
      <formula>"EM PROCESSO"</formula>
    </cfRule>
  </conditionalFormatting>
  <conditionalFormatting sqref="D9:D307">
    <cfRule type="cellIs" dxfId="4935" priority="5052" operator="equal">
      <formula>"NÃO INICIADO"</formula>
    </cfRule>
    <cfRule type="cellIs" dxfId="4934" priority="5051" operator="equal">
      <formula>"FINALIZADO"</formula>
    </cfRule>
    <cfRule type="cellIs" dxfId="4933" priority="5050" operator="equal">
      <formula>"EM PROCESSO"</formula>
    </cfRule>
  </conditionalFormatting>
  <conditionalFormatting sqref="D9:D27">
    <cfRule type="cellIs" dxfId="4932" priority="5049" operator="equal">
      <formula>"NÃO INICIADO"</formula>
    </cfRule>
    <cfRule type="cellIs" dxfId="4931" priority="5048" operator="equal">
      <formula>"FINALIZADO"</formula>
    </cfRule>
    <cfRule type="cellIs" dxfId="4930" priority="5047" operator="equal">
      <formula>"EM PROCESSO"</formula>
    </cfRule>
  </conditionalFormatting>
  <conditionalFormatting sqref="D9:D10">
    <cfRule type="cellIs" dxfId="4929" priority="5046" operator="equal">
      <formula>"NÃO INICIADO"</formula>
    </cfRule>
    <cfRule type="cellIs" dxfId="4928" priority="5045" operator="equal">
      <formula>"FINALIZADO"</formula>
    </cfRule>
    <cfRule type="cellIs" dxfId="4927" priority="5044" operator="equal">
      <formula>"EM PROCESSO"</formula>
    </cfRule>
    <cfRule type="cellIs" dxfId="4926" priority="3157" operator="equal">
      <formula>"EM PROCESSO"</formula>
    </cfRule>
  </conditionalFormatting>
  <conditionalFormatting sqref="D9">
    <cfRule type="cellIs" dxfId="4925" priority="5040" operator="equal">
      <formula>"NÃO INICIADO"</formula>
    </cfRule>
    <cfRule type="cellIs" dxfId="4924" priority="5039" operator="equal">
      <formula>"FINALIZADO"</formula>
    </cfRule>
    <cfRule type="cellIs" dxfId="4923" priority="5038" operator="equal">
      <formula>"EM PROCESSO"</formula>
    </cfRule>
  </conditionalFormatting>
  <conditionalFormatting sqref="D9:D104">
    <cfRule type="cellIs" dxfId="4922" priority="5037" operator="equal">
      <formula>"NÃO INICIADO"</formula>
    </cfRule>
    <cfRule type="cellIs" dxfId="4921" priority="5036" operator="equal">
      <formula>"FINALIZADO"</formula>
    </cfRule>
    <cfRule type="cellIs" dxfId="4920" priority="5035" operator="equal">
      <formula>"EM PROCESSO"</formula>
    </cfRule>
    <cfRule type="cellIs" dxfId="4919" priority="4568" operator="equal">
      <formula>"FINALIZADO"</formula>
    </cfRule>
  </conditionalFormatting>
  <conditionalFormatting sqref="D9:D11">
    <cfRule type="cellIs" dxfId="4918" priority="5034" operator="equal">
      <formula>"NÃO INICIADO"</formula>
    </cfRule>
    <cfRule type="cellIs" dxfId="4917" priority="5033" operator="equal">
      <formula>"FINALIZADO"</formula>
    </cfRule>
    <cfRule type="cellIs" dxfId="4916" priority="5032" operator="equal">
      <formula>"EM PROCESSO"</formula>
    </cfRule>
    <cfRule type="cellIs" dxfId="4915" priority="3939" operator="equal">
      <formula>"NÃO INICIADO"</formula>
    </cfRule>
    <cfRule type="cellIs" dxfId="4914" priority="3937" operator="equal">
      <formula>"EM PROCESSO"</formula>
    </cfRule>
    <cfRule type="cellIs" dxfId="4913" priority="2414" operator="equal">
      <formula>"FINALIZADO"</formula>
    </cfRule>
    <cfRule type="cellIs" dxfId="4912" priority="2402" operator="equal">
      <formula>"FINALIZADO"</formula>
    </cfRule>
    <cfRule type="cellIs" dxfId="4911" priority="1906" operator="equal">
      <formula>"EM PROCESSO"</formula>
    </cfRule>
    <cfRule type="cellIs" dxfId="4910" priority="1632" operator="equal">
      <formula>"NÃO INICIADO"</formula>
    </cfRule>
    <cfRule type="cellIs" dxfId="4909" priority="1626" operator="equal">
      <formula>"NÃO INICIADO"</formula>
    </cfRule>
    <cfRule type="cellIs" dxfId="4908" priority="1199" operator="equal">
      <formula>"FINALIZADO"</formula>
    </cfRule>
    <cfRule type="cellIs" dxfId="4907" priority="1196" operator="equal">
      <formula>"FINALIZADO"</formula>
    </cfRule>
    <cfRule type="cellIs" dxfId="4906" priority="1193" operator="equal">
      <formula>"FINALIZADO"</formula>
    </cfRule>
    <cfRule type="cellIs" dxfId="4905" priority="1190" operator="equal">
      <formula>"FINALIZADO"</formula>
    </cfRule>
    <cfRule type="cellIs" dxfId="4904" priority="57" operator="equal">
      <formula>"NÃO INICIADO"</formula>
    </cfRule>
  </conditionalFormatting>
  <conditionalFormatting sqref="D9:D10">
    <cfRule type="cellIs" dxfId="4903" priority="5031" operator="equal">
      <formula>"NÃO INICIADO"</formula>
    </cfRule>
    <cfRule type="cellIs" dxfId="4902" priority="5030" operator="equal">
      <formula>"FINALIZADO"</formula>
    </cfRule>
    <cfRule type="cellIs" dxfId="4901" priority="5029" operator="equal">
      <formula>"EM PROCESSO"</formula>
    </cfRule>
    <cfRule type="cellIs" dxfId="4900" priority="4380" operator="equal">
      <formula>"NÃO INICIADO"</formula>
    </cfRule>
    <cfRule type="cellIs" dxfId="4899" priority="4379" operator="equal">
      <formula>"FINALIZADO"</formula>
    </cfRule>
    <cfRule type="cellIs" dxfId="4898" priority="4378" operator="equal">
      <formula>"EM PROCESSO"</formula>
    </cfRule>
    <cfRule type="cellIs" dxfId="4897" priority="4374" operator="equal">
      <formula>"NÃO INICIADO"</formula>
    </cfRule>
    <cfRule type="cellIs" dxfId="4896" priority="4373" operator="equal">
      <formula>"FINALIZADO"</formula>
    </cfRule>
    <cfRule type="cellIs" dxfId="4895" priority="4372" operator="equal">
      <formula>"EM PROCESSO"</formula>
    </cfRule>
    <cfRule type="cellIs" dxfId="4894" priority="4371" operator="equal">
      <formula>"NÃO INICIADO"</formula>
    </cfRule>
    <cfRule type="cellIs" dxfId="4893" priority="4370" operator="equal">
      <formula>"FINALIZADO"</formula>
    </cfRule>
    <cfRule type="cellIs" dxfId="4892" priority="4369" operator="equal">
      <formula>"EM PROCESSO"</formula>
    </cfRule>
    <cfRule type="cellIs" dxfId="4891" priority="3382" operator="equal">
      <formula>"EM PROCESSO"</formula>
    </cfRule>
    <cfRule type="cellIs" dxfId="4890" priority="2943" operator="equal">
      <formula>"NÃO INICIADO"</formula>
    </cfRule>
    <cfRule type="cellIs" dxfId="4889" priority="2766" operator="equal">
      <formula>"NÃO INICIADO"</formula>
    </cfRule>
    <cfRule type="cellIs" dxfId="4888" priority="2670" operator="equal">
      <formula>"NÃO INICIADO"</formula>
    </cfRule>
    <cfRule type="cellIs" dxfId="4887" priority="2664" operator="equal">
      <formula>"NÃO INICIADO"</formula>
    </cfRule>
    <cfRule type="cellIs" dxfId="4886" priority="2214" operator="equal">
      <formula>"NÃO INICIADO"</formula>
    </cfRule>
    <cfRule type="cellIs" dxfId="4885" priority="2211" operator="equal">
      <formula>"NÃO INICIADO"</formula>
    </cfRule>
    <cfRule type="cellIs" dxfId="4884" priority="1985" operator="equal">
      <formula>"FINALIZADO"</formula>
    </cfRule>
    <cfRule type="cellIs" dxfId="4883" priority="1146" operator="equal">
      <formula>"NÃO INICIADO"</formula>
    </cfRule>
    <cfRule type="cellIs" dxfId="4882" priority="483" operator="equal">
      <formula>"NÃO INICIADO"</formula>
    </cfRule>
  </conditionalFormatting>
  <conditionalFormatting sqref="D9:D19">
    <cfRule type="cellIs" dxfId="4881" priority="5028" operator="equal">
      <formula>"NÃO INICIADO"</formula>
    </cfRule>
    <cfRule type="cellIs" dxfId="4880" priority="5027" operator="equal">
      <formula>"FINALIZADO"</formula>
    </cfRule>
    <cfRule type="cellIs" dxfId="4879" priority="5026" operator="equal">
      <formula>"EM PROCESSO"</formula>
    </cfRule>
    <cfRule type="cellIs" dxfId="4878" priority="2250" operator="equal">
      <formula>"NÃO INICIADO"</formula>
    </cfRule>
    <cfRule type="cellIs" dxfId="4877" priority="437" operator="equal">
      <formula>"FINALIZADO"</formula>
    </cfRule>
  </conditionalFormatting>
  <conditionalFormatting sqref="D9:D522">
    <cfRule type="cellIs" dxfId="4876" priority="5025" operator="equal">
      <formula>"NÃO INICIADO"</formula>
    </cfRule>
    <cfRule type="cellIs" dxfId="4875" priority="5024" operator="equal">
      <formula>"FINALIZADO"</formula>
    </cfRule>
    <cfRule type="cellIs" dxfId="4874" priority="5023" operator="equal">
      <formula>"EM PROCESSO"</formula>
    </cfRule>
  </conditionalFormatting>
  <conditionalFormatting sqref="D9:D53">
    <cfRule type="cellIs" dxfId="4873" priority="5022" operator="equal">
      <formula>"NÃO INICIADO"</formula>
    </cfRule>
    <cfRule type="cellIs" dxfId="4872" priority="5021" operator="equal">
      <formula>"FINALIZADO"</formula>
    </cfRule>
    <cfRule type="cellIs" dxfId="4871" priority="5020" operator="equal">
      <formula>"EM PROCESSO"</formula>
    </cfRule>
  </conditionalFormatting>
  <conditionalFormatting sqref="D9:D281">
    <cfRule type="cellIs" dxfId="4870" priority="5019" operator="equal">
      <formula>"NÃO INICIADO"</formula>
    </cfRule>
    <cfRule type="cellIs" dxfId="4869" priority="5018" operator="equal">
      <formula>"FINALIZADO"</formula>
    </cfRule>
    <cfRule type="cellIs" dxfId="4868" priority="5017" operator="equal">
      <formula>"EM PROCESSO"</formula>
    </cfRule>
  </conditionalFormatting>
  <conditionalFormatting sqref="D9:D315">
    <cfRule type="cellIs" dxfId="4867" priority="5016" operator="equal">
      <formula>"NÃO INICIADO"</formula>
    </cfRule>
    <cfRule type="cellIs" dxfId="4866" priority="5015" operator="equal">
      <formula>"FINALIZADO"</formula>
    </cfRule>
    <cfRule type="cellIs" dxfId="4865" priority="5014" operator="equal">
      <formula>"EM PROCESSO"</formula>
    </cfRule>
  </conditionalFormatting>
  <conditionalFormatting sqref="D9:D104">
    <cfRule type="cellIs" dxfId="4864" priority="5013" operator="equal">
      <formula>"NÃO INICIADO"</formula>
    </cfRule>
    <cfRule type="cellIs" dxfId="4863" priority="5012" operator="equal">
      <formula>"FINALIZADO"</formula>
    </cfRule>
    <cfRule type="cellIs" dxfId="4862" priority="5011" operator="equal">
      <formula>"EM PROCESSO"</formula>
    </cfRule>
  </conditionalFormatting>
  <conditionalFormatting sqref="D9:D58">
    <cfRule type="cellIs" dxfId="4861" priority="5010" operator="equal">
      <formula>"NÃO INICIADO"</formula>
    </cfRule>
    <cfRule type="cellIs" dxfId="4860" priority="5009" operator="equal">
      <formula>"FINALIZADO"</formula>
    </cfRule>
    <cfRule type="cellIs" dxfId="4859" priority="5008" operator="equal">
      <formula>"EM PROCESSO"</formula>
    </cfRule>
  </conditionalFormatting>
  <conditionalFormatting sqref="D9">
    <cfRule type="cellIs" dxfId="4858" priority="5007" operator="equal">
      <formula>"NÃO INICIADO"</formula>
    </cfRule>
    <cfRule type="cellIs" dxfId="4857" priority="5006" operator="equal">
      <formula>"FINALIZADO"</formula>
    </cfRule>
    <cfRule type="cellIs" dxfId="4856" priority="5005" operator="equal">
      <formula>"EM PROCESSO"</formula>
    </cfRule>
    <cfRule type="cellIs" dxfId="4855" priority="3725" operator="equal">
      <formula>"FINALIZADO"</formula>
    </cfRule>
    <cfRule type="cellIs" dxfId="4854" priority="3722" operator="equal">
      <formula>"FINALIZADO"</formula>
    </cfRule>
    <cfRule type="cellIs" dxfId="4853" priority="3719" operator="equal">
      <formula>"FINALIZADO"</formula>
    </cfRule>
    <cfRule type="cellIs" dxfId="4852" priority="3415" operator="equal">
      <formula>"EM PROCESSO"</formula>
    </cfRule>
    <cfRule type="cellIs" dxfId="4851" priority="3409" operator="equal">
      <formula>"EM PROCESSO"</formula>
    </cfRule>
    <cfRule type="cellIs" dxfId="4850" priority="3406" operator="equal">
      <formula>"EM PROCESSO"</formula>
    </cfRule>
    <cfRule type="cellIs" dxfId="4849" priority="2888" operator="equal">
      <formula>"FINALIZADO"</formula>
    </cfRule>
    <cfRule type="cellIs" dxfId="4848" priority="2597" operator="equal">
      <formula>"FINALIZADO"</formula>
    </cfRule>
    <cfRule type="cellIs" dxfId="4847" priority="2126" operator="equal">
      <formula>"FINALIZADO"</formula>
    </cfRule>
    <cfRule type="cellIs" dxfId="4846" priority="2123" operator="equal">
      <formula>"FINALIZADO"</formula>
    </cfRule>
    <cfRule type="cellIs" dxfId="4845" priority="1940" operator="equal">
      <formula>"FINALIZADO"</formula>
    </cfRule>
    <cfRule type="cellIs" dxfId="4844" priority="1693" operator="equal">
      <formula>"EM PROCESSO"</formula>
    </cfRule>
    <cfRule type="cellIs" dxfId="4843" priority="1690" operator="equal">
      <formula>"EM PROCESSO"</formula>
    </cfRule>
    <cfRule type="cellIs" dxfId="4842" priority="1684" operator="equal">
      <formula>"EM PROCESSO"</formula>
    </cfRule>
    <cfRule type="cellIs" dxfId="4841" priority="1507" operator="equal">
      <formula>"EM PROCESSO"</formula>
    </cfRule>
    <cfRule type="cellIs" dxfId="4840" priority="1394" operator="equal">
      <formula>"FINALIZADO"</formula>
    </cfRule>
    <cfRule type="cellIs" dxfId="4839" priority="1316" operator="equal">
      <formula>"FINALIZADO"</formula>
    </cfRule>
    <cfRule type="cellIs" dxfId="4838" priority="1310" operator="equal">
      <formula>"FINALIZADO"</formula>
    </cfRule>
    <cfRule type="cellIs" dxfId="4837" priority="907" operator="equal">
      <formula>"EM PROCESSO"</formula>
    </cfRule>
    <cfRule type="cellIs" dxfId="4836" priority="785" operator="equal">
      <formula>"FINALIZADO"</formula>
    </cfRule>
    <cfRule type="cellIs" dxfId="4835" priority="782" operator="equal">
      <formula>"FINALIZADO"</formula>
    </cfRule>
    <cfRule type="cellIs" dxfId="4834" priority="380" operator="equal">
      <formula>"FINALIZADO"</formula>
    </cfRule>
    <cfRule type="cellIs" dxfId="4833" priority="374" operator="equal">
      <formula>"FINALIZADO"</formula>
    </cfRule>
    <cfRule type="cellIs" dxfId="4832" priority="317" operator="equal">
      <formula>"FINALIZADO"</formula>
    </cfRule>
    <cfRule type="cellIs" dxfId="4831" priority="305" operator="equal">
      <formula>"FINALIZADO"</formula>
    </cfRule>
    <cfRule type="cellIs" dxfId="4830" priority="302" operator="equal">
      <formula>"FINALIZADO"</formula>
    </cfRule>
    <cfRule type="cellIs" dxfId="4829" priority="176" operator="equal">
      <formula>"FINALIZADO"</formula>
    </cfRule>
    <cfRule type="cellIs" dxfId="4828" priority="61" operator="equal">
      <formula>"EM PROCESSO"</formula>
    </cfRule>
  </conditionalFormatting>
  <conditionalFormatting sqref="D9:D384">
    <cfRule type="cellIs" dxfId="4827" priority="5004" operator="equal">
      <formula>"NÃO INICIADO"</formula>
    </cfRule>
    <cfRule type="cellIs" dxfId="4826" priority="5003" operator="equal">
      <formula>"FINALIZADO"</formula>
    </cfRule>
    <cfRule type="cellIs" dxfId="4825" priority="5002" operator="equal">
      <formula>"EM PROCESSO"</formula>
    </cfRule>
  </conditionalFormatting>
  <conditionalFormatting sqref="D9:D62">
    <cfRule type="cellIs" dxfId="4824" priority="5001" operator="equal">
      <formula>"NÃO INICIADO"</formula>
    </cfRule>
    <cfRule type="cellIs" dxfId="4823" priority="5000" operator="equal">
      <formula>"FINALIZADO"</formula>
    </cfRule>
    <cfRule type="cellIs" dxfId="4822" priority="4999" operator="equal">
      <formula>"EM PROCESSO"</formula>
    </cfRule>
  </conditionalFormatting>
  <conditionalFormatting sqref="D9:D54">
    <cfRule type="cellIs" dxfId="4821" priority="4998" operator="equal">
      <formula>"NÃO INICIADO"</formula>
    </cfRule>
    <cfRule type="cellIs" dxfId="4820" priority="4997" operator="equal">
      <formula>"FINALIZADO"</formula>
    </cfRule>
    <cfRule type="cellIs" dxfId="4819" priority="4996" operator="equal">
      <formula>"EM PROCESSO"</formula>
    </cfRule>
  </conditionalFormatting>
  <conditionalFormatting sqref="D9:D54">
    <cfRule type="cellIs" dxfId="4818" priority="4995" operator="equal">
      <formula>"NÃO INICIADO"</formula>
    </cfRule>
    <cfRule type="cellIs" dxfId="4817" priority="4994" operator="equal">
      <formula>"FINALIZADO"</formula>
    </cfRule>
    <cfRule type="cellIs" dxfId="4816" priority="4993" operator="equal">
      <formula>"EM PROCESSO"</formula>
    </cfRule>
  </conditionalFormatting>
  <conditionalFormatting sqref="D9:D321">
    <cfRule type="cellIs" dxfId="4815" priority="4992" operator="equal">
      <formula>"NÃO INICIADO"</formula>
    </cfRule>
    <cfRule type="cellIs" dxfId="4814" priority="4991" operator="equal">
      <formula>"FINALIZADO"</formula>
    </cfRule>
    <cfRule type="cellIs" dxfId="4813" priority="4990" operator="equal">
      <formula>"EM PROCESSO"</formula>
    </cfRule>
  </conditionalFormatting>
  <conditionalFormatting sqref="D9:D10">
    <cfRule type="cellIs" dxfId="4812" priority="4986" operator="equal">
      <formula>"NÃO INICIADO"</formula>
    </cfRule>
    <cfRule type="cellIs" dxfId="4811" priority="4985" operator="equal">
      <formula>"FINALIZADO"</formula>
    </cfRule>
    <cfRule type="cellIs" dxfId="4810" priority="4984" operator="equal">
      <formula>"EM PROCESSO"</formula>
    </cfRule>
    <cfRule type="cellIs" dxfId="4809" priority="4980" operator="equal">
      <formula>"NÃO INICIADO"</formula>
    </cfRule>
    <cfRule type="cellIs" dxfId="4808" priority="4979" operator="equal">
      <formula>"FINALIZADO"</formula>
    </cfRule>
    <cfRule type="cellIs" dxfId="4807" priority="4978" operator="equal">
      <formula>"EM PROCESSO"</formula>
    </cfRule>
    <cfRule type="cellIs" dxfId="4806" priority="4506" operator="equal">
      <formula>"NÃO INICIADO"</formula>
    </cfRule>
    <cfRule type="cellIs" dxfId="4805" priority="4505" operator="equal">
      <formula>"FINALIZADO"</formula>
    </cfRule>
    <cfRule type="cellIs" dxfId="4804" priority="4504" operator="equal">
      <formula>"EM PROCESSO"</formula>
    </cfRule>
  </conditionalFormatting>
  <conditionalFormatting sqref="D9:D98">
    <cfRule type="cellIs" dxfId="4803" priority="4983" operator="equal">
      <formula>"NÃO INICIADO"</formula>
    </cfRule>
    <cfRule type="cellIs" dxfId="4802" priority="4982" operator="equal">
      <formula>"FINALIZADO"</formula>
    </cfRule>
    <cfRule type="cellIs" dxfId="4801" priority="4981" operator="equal">
      <formula>"EM PROCESSO"</formula>
    </cfRule>
  </conditionalFormatting>
  <conditionalFormatting sqref="D9:D88">
    <cfRule type="cellIs" dxfId="4800" priority="4977" operator="equal">
      <formula>"NÃO INICIADO"</formula>
    </cfRule>
    <cfRule type="cellIs" dxfId="4799" priority="4976" operator="equal">
      <formula>"FINALIZADO"</formula>
    </cfRule>
    <cfRule type="cellIs" dxfId="4798" priority="4975" operator="equal">
      <formula>"EM PROCESSO"</formula>
    </cfRule>
  </conditionalFormatting>
  <conditionalFormatting sqref="D9:D295">
    <cfRule type="cellIs" dxfId="4797" priority="4974" operator="equal">
      <formula>"NÃO INICIADO"</formula>
    </cfRule>
    <cfRule type="cellIs" dxfId="4796" priority="4973" operator="equal">
      <formula>"FINALIZADO"</formula>
    </cfRule>
    <cfRule type="cellIs" dxfId="4795" priority="4972" operator="equal">
      <formula>"EM PROCESSO"</formula>
    </cfRule>
  </conditionalFormatting>
  <conditionalFormatting sqref="D9:D231">
    <cfRule type="cellIs" dxfId="4794" priority="4971" operator="equal">
      <formula>"NÃO INICIADO"</formula>
    </cfRule>
    <cfRule type="cellIs" dxfId="4793" priority="4970" operator="equal">
      <formula>"FINALIZADO"</formula>
    </cfRule>
    <cfRule type="cellIs" dxfId="4792" priority="4969" operator="equal">
      <formula>"EM PROCESSO"</formula>
    </cfRule>
  </conditionalFormatting>
  <conditionalFormatting sqref="D9:D195">
    <cfRule type="cellIs" dxfId="4791" priority="4968" operator="equal">
      <formula>"NÃO INICIADO"</formula>
    </cfRule>
    <cfRule type="cellIs" dxfId="4790" priority="4967" operator="equal">
      <formula>"FINALIZADO"</formula>
    </cfRule>
    <cfRule type="cellIs" dxfId="4789" priority="4966" operator="equal">
      <formula>"EM PROCESSO"</formula>
    </cfRule>
  </conditionalFormatting>
  <conditionalFormatting sqref="D9:D173">
    <cfRule type="cellIs" dxfId="4788" priority="4965" operator="equal">
      <formula>"NÃO INICIADO"</formula>
    </cfRule>
    <cfRule type="cellIs" dxfId="4787" priority="4964" operator="equal">
      <formula>"FINALIZADO"</formula>
    </cfRule>
    <cfRule type="cellIs" dxfId="4786" priority="4963" operator="equal">
      <formula>"EM PROCESSO"</formula>
    </cfRule>
  </conditionalFormatting>
  <conditionalFormatting sqref="D9:D18">
    <cfRule type="cellIs" dxfId="4785" priority="4962" operator="equal">
      <formula>"NÃO INICIADO"</formula>
    </cfRule>
    <cfRule type="cellIs" dxfId="4784" priority="4961" operator="equal">
      <formula>"FINALIZADO"</formula>
    </cfRule>
    <cfRule type="cellIs" dxfId="4783" priority="4960" operator="equal">
      <formula>"EM PROCESSO"</formula>
    </cfRule>
    <cfRule type="cellIs" dxfId="4782" priority="3889" operator="equal">
      <formula>"EM PROCESSO"</formula>
    </cfRule>
    <cfRule type="cellIs" dxfId="4781" priority="3586" operator="equal">
      <formula>"EM PROCESSO"</formula>
    </cfRule>
    <cfRule type="cellIs" dxfId="4780" priority="2418" operator="equal">
      <formula>"NÃO INICIADO"</formula>
    </cfRule>
    <cfRule type="cellIs" dxfId="4779" priority="1560" operator="equal">
      <formula>"NÃO INICIADO"</formula>
    </cfRule>
    <cfRule type="cellIs" dxfId="4778" priority="664" operator="equal">
      <formula>"EM PROCESSO"</formula>
    </cfRule>
  </conditionalFormatting>
  <conditionalFormatting sqref="D9:D10">
    <cfRule type="cellIs" dxfId="4777" priority="4956" operator="equal">
      <formula>"NÃO INICIADO"</formula>
    </cfRule>
    <cfRule type="cellIs" dxfId="4776" priority="4955" operator="equal">
      <formula>"FINALIZADO"</formula>
    </cfRule>
    <cfRule type="cellIs" dxfId="4775" priority="4954" operator="equal">
      <formula>"EM PROCESSO"</formula>
    </cfRule>
  </conditionalFormatting>
  <conditionalFormatting sqref="D9:D92">
    <cfRule type="cellIs" dxfId="4774" priority="4953" operator="equal">
      <formula>"NÃO INICIADO"</formula>
    </cfRule>
    <cfRule type="cellIs" dxfId="4773" priority="4952" operator="equal">
      <formula>"FINALIZADO"</formula>
    </cfRule>
    <cfRule type="cellIs" dxfId="4772" priority="4951" operator="equal">
      <formula>"EM PROCESSO"</formula>
    </cfRule>
  </conditionalFormatting>
  <conditionalFormatting sqref="D9:D146">
    <cfRule type="cellIs" dxfId="4771" priority="4950" operator="equal">
      <formula>"NÃO INICIADO"</formula>
    </cfRule>
    <cfRule type="cellIs" dxfId="4770" priority="4949" operator="equal">
      <formula>"FINALIZADO"</formula>
    </cfRule>
    <cfRule type="cellIs" dxfId="4769" priority="4948" operator="equal">
      <formula>"EM PROCESSO"</formula>
    </cfRule>
  </conditionalFormatting>
  <conditionalFormatting sqref="D9:D67">
    <cfRule type="cellIs" dxfId="4768" priority="4947" operator="equal">
      <formula>"NÃO INICIADO"</formula>
    </cfRule>
    <cfRule type="cellIs" dxfId="4767" priority="4946" operator="equal">
      <formula>"FINALIZADO"</formula>
    </cfRule>
    <cfRule type="cellIs" dxfId="4766" priority="4945" operator="equal">
      <formula>"EM PROCESSO"</formula>
    </cfRule>
  </conditionalFormatting>
  <conditionalFormatting sqref="D9:D33">
    <cfRule type="cellIs" dxfId="4765" priority="4944" operator="equal">
      <formula>"NÃO INICIADO"</formula>
    </cfRule>
    <cfRule type="cellIs" dxfId="4764" priority="4943" operator="equal">
      <formula>"FINALIZADO"</formula>
    </cfRule>
    <cfRule type="cellIs" dxfId="4763" priority="4942" operator="equal">
      <formula>"EM PROCESSO"</formula>
    </cfRule>
  </conditionalFormatting>
  <conditionalFormatting sqref="D9:D196">
    <cfRule type="cellIs" dxfId="4762" priority="4941" operator="equal">
      <formula>"NÃO INICIADO"</formula>
    </cfRule>
    <cfRule type="cellIs" dxfId="4761" priority="4940" operator="equal">
      <formula>"FINALIZADO"</formula>
    </cfRule>
    <cfRule type="cellIs" dxfId="4760" priority="4939" operator="equal">
      <formula>"EM PROCESSO"</formula>
    </cfRule>
  </conditionalFormatting>
  <conditionalFormatting sqref="D9:D25">
    <cfRule type="cellIs" dxfId="4759" priority="4938" operator="equal">
      <formula>"NÃO INICIADO"</formula>
    </cfRule>
    <cfRule type="cellIs" dxfId="4758" priority="4937" operator="equal">
      <formula>"FINALIZADO"</formula>
    </cfRule>
    <cfRule type="cellIs" dxfId="4757" priority="4936" operator="equal">
      <formula>"EM PROCESSO"</formula>
    </cfRule>
    <cfRule type="cellIs" dxfId="4756" priority="231" operator="equal">
      <formula>"NÃO INICIADO"</formula>
    </cfRule>
  </conditionalFormatting>
  <conditionalFormatting sqref="D9">
    <cfRule type="cellIs" dxfId="4755" priority="4935" operator="equal">
      <formula>"NÃO INICIADO"</formula>
    </cfRule>
    <cfRule type="cellIs" dxfId="4754" priority="4934" operator="equal">
      <formula>"FINALIZADO"</formula>
    </cfRule>
    <cfRule type="cellIs" dxfId="4753" priority="4933" operator="equal">
      <formula>"EM PROCESSO"</formula>
    </cfRule>
    <cfRule type="cellIs" dxfId="4752" priority="3749" operator="equal">
      <formula>"FINALIZADO"</formula>
    </cfRule>
    <cfRule type="cellIs" dxfId="4751" priority="3629" operator="equal">
      <formula>"FINALIZADO"</formula>
    </cfRule>
    <cfRule type="cellIs" dxfId="4750" priority="3623" operator="equal">
      <formula>"FINALIZADO"</formula>
    </cfRule>
    <cfRule type="cellIs" dxfId="4749" priority="3188" operator="equal">
      <formula>"FINALIZADO"</formula>
    </cfRule>
    <cfRule type="cellIs" dxfId="4748" priority="3144" operator="equal">
      <formula>"NÃO INICIADO"</formula>
    </cfRule>
    <cfRule type="cellIs" dxfId="4747" priority="3092" operator="equal">
      <formula>"FINALIZADO"</formula>
    </cfRule>
    <cfRule type="cellIs" dxfId="4746" priority="2985" operator="equal">
      <formula>"NÃO INICIADO"</formula>
    </cfRule>
    <cfRule type="cellIs" dxfId="4745" priority="2978" operator="equal">
      <formula>"FINALIZADO"</formula>
    </cfRule>
    <cfRule type="cellIs" dxfId="4744" priority="2975" operator="equal">
      <formula>"FINALIZADO"</formula>
    </cfRule>
    <cfRule type="cellIs" dxfId="4743" priority="2596" operator="equal">
      <formula>"EM PROCESSO"</formula>
    </cfRule>
    <cfRule type="cellIs" dxfId="4742" priority="2588" operator="equal">
      <formula>"FINALIZADO"</formula>
    </cfRule>
    <cfRule type="cellIs" dxfId="4741" priority="2585" operator="equal">
      <formula>"FINALIZADO"</formula>
    </cfRule>
    <cfRule type="cellIs" dxfId="4740" priority="2489" operator="equal">
      <formula>"FINALIZADO"</formula>
    </cfRule>
    <cfRule type="cellIs" dxfId="4739" priority="2321" operator="equal">
      <formula>"FINALIZADO"</formula>
    </cfRule>
    <cfRule type="cellIs" dxfId="4738" priority="2315" operator="equal">
      <formula>"FINALIZADO"</formula>
    </cfRule>
    <cfRule type="cellIs" dxfId="4737" priority="2252" operator="equal">
      <formula>"FINALIZADO"</formula>
    </cfRule>
    <cfRule type="cellIs" dxfId="4736" priority="2246" operator="equal">
      <formula>"FINALIZADO"</formula>
    </cfRule>
    <cfRule type="cellIs" dxfId="4735" priority="1766" operator="equal">
      <formula>"FINALIZADO"</formula>
    </cfRule>
    <cfRule type="cellIs" dxfId="4734" priority="1763" operator="equal">
      <formula>"FINALIZADO"</formula>
    </cfRule>
    <cfRule type="cellIs" dxfId="4733" priority="1760" operator="equal">
      <formula>"FINALIZADO"</formula>
    </cfRule>
    <cfRule type="cellIs" dxfId="4732" priority="1736" operator="equal">
      <formula>"FINALIZADO"</formula>
    </cfRule>
    <cfRule type="cellIs" dxfId="4731" priority="1562" operator="equal">
      <formula>"FINALIZADO"</formula>
    </cfRule>
    <cfRule type="cellIs" dxfId="4730" priority="1550" operator="equal">
      <formula>"FINALIZADO"</formula>
    </cfRule>
    <cfRule type="cellIs" dxfId="4729" priority="1547" operator="equal">
      <formula>"FINALIZADO"</formula>
    </cfRule>
    <cfRule type="cellIs" dxfId="4728" priority="1544" operator="equal">
      <formula>"FINALIZADO"</formula>
    </cfRule>
    <cfRule type="cellIs" dxfId="4727" priority="1514" operator="equal">
      <formula>"FINALIZADO"</formula>
    </cfRule>
    <cfRule type="cellIs" dxfId="4726" priority="1278" operator="equal">
      <formula>"NÃO INICIADO"</formula>
    </cfRule>
    <cfRule type="cellIs" dxfId="4725" priority="1275" operator="equal">
      <formula>"NÃO INICIADO"</formula>
    </cfRule>
    <cfRule type="cellIs" dxfId="4724" priority="1203" operator="equal">
      <formula>"NÃO INICIADO"</formula>
    </cfRule>
    <cfRule type="cellIs" dxfId="4723" priority="1110" operator="equal">
      <formula>"NÃO INICIADO"</formula>
    </cfRule>
    <cfRule type="cellIs" dxfId="4722" priority="1107" operator="equal">
      <formula>"NÃO INICIADO"</formula>
    </cfRule>
    <cfRule type="cellIs" dxfId="4721" priority="1028" operator="equal">
      <formula>"FINALIZADO"</formula>
    </cfRule>
    <cfRule type="cellIs" dxfId="4720" priority="823" operator="equal">
      <formula>"EM PROCESSO"</formula>
    </cfRule>
    <cfRule type="cellIs" dxfId="4719" priority="817" operator="equal">
      <formula>"EM PROCESSO"</formula>
    </cfRule>
    <cfRule type="cellIs" dxfId="4718" priority="784" operator="equal">
      <formula>"EM PROCESSO"</formula>
    </cfRule>
    <cfRule type="cellIs" dxfId="4717" priority="781" operator="equal">
      <formula>"EM PROCESSO"</formula>
    </cfRule>
    <cfRule type="cellIs" dxfId="4716" priority="751" operator="equal">
      <formula>"EM PROCESSO"</formula>
    </cfRule>
    <cfRule type="cellIs" dxfId="4715" priority="443" operator="equal">
      <formula>"FINALIZADO"</formula>
    </cfRule>
    <cfRule type="cellIs" dxfId="4714" priority="316" operator="equal">
      <formula>"EM PROCESSO"</formula>
    </cfRule>
    <cfRule type="cellIs" dxfId="4713" priority="304" operator="equal">
      <formula>"EM PROCESSO"</formula>
    </cfRule>
    <cfRule type="cellIs" dxfId="4712" priority="301" operator="equal">
      <formula>"EM PROCESSO"</formula>
    </cfRule>
    <cfRule type="cellIs" dxfId="4711" priority="236" operator="equal">
      <formula>"FINALIZADO"</formula>
    </cfRule>
    <cfRule type="cellIs" dxfId="4710" priority="233" operator="equal">
      <formula>"FINALIZADO"</formula>
    </cfRule>
    <cfRule type="cellIs" dxfId="4709" priority="175" operator="equal">
      <formula>"EM PROCESSO"</formula>
    </cfRule>
  </conditionalFormatting>
  <conditionalFormatting sqref="D9:D132">
    <cfRule type="cellIs" dxfId="4708" priority="4932" operator="equal">
      <formula>"NÃO INICIADO"</formula>
    </cfRule>
    <cfRule type="cellIs" dxfId="4707" priority="4931" operator="equal">
      <formula>"FINALIZADO"</formula>
    </cfRule>
    <cfRule type="cellIs" dxfId="4706" priority="4930" operator="equal">
      <formula>"EM PROCESSO"</formula>
    </cfRule>
  </conditionalFormatting>
  <conditionalFormatting sqref="D9:D44">
    <cfRule type="cellIs" dxfId="4705" priority="4929" operator="equal">
      <formula>"NÃO INICIADO"</formula>
    </cfRule>
    <cfRule type="cellIs" dxfId="4704" priority="4928" operator="equal">
      <formula>"FINALIZADO"</formula>
    </cfRule>
    <cfRule type="cellIs" dxfId="4703" priority="4927" operator="equal">
      <formula>"EM PROCESSO"</formula>
    </cfRule>
  </conditionalFormatting>
  <conditionalFormatting sqref="D9:D75">
    <cfRule type="cellIs" dxfId="4702" priority="4926" operator="equal">
      <formula>"NÃO INICIADO"</formula>
    </cfRule>
    <cfRule type="cellIs" dxfId="4701" priority="4925" operator="equal">
      <formula>"FINALIZADO"</formula>
    </cfRule>
    <cfRule type="cellIs" dxfId="4700" priority="4924" operator="equal">
      <formula>"EM PROCESSO"</formula>
    </cfRule>
  </conditionalFormatting>
  <conditionalFormatting sqref="D9:D120">
    <cfRule type="cellIs" dxfId="4699" priority="4923" operator="equal">
      <formula>"NÃO INICIADO"</formula>
    </cfRule>
    <cfRule type="cellIs" dxfId="4698" priority="4922" operator="equal">
      <formula>"FINALIZADO"</formula>
    </cfRule>
    <cfRule type="cellIs" dxfId="4697" priority="4921" operator="equal">
      <formula>"EM PROCESSO"</formula>
    </cfRule>
  </conditionalFormatting>
  <conditionalFormatting sqref="D9:D100">
    <cfRule type="cellIs" dxfId="4696" priority="4920" operator="equal">
      <formula>"NÃO INICIADO"</formula>
    </cfRule>
    <cfRule type="cellIs" dxfId="4695" priority="4919" operator="equal">
      <formula>"FINALIZADO"</formula>
    </cfRule>
    <cfRule type="cellIs" dxfId="4694" priority="4918" operator="equal">
      <formula>"EM PROCESSO"</formula>
    </cfRule>
  </conditionalFormatting>
  <conditionalFormatting sqref="D9:D72">
    <cfRule type="cellIs" dxfId="4693" priority="4917" operator="equal">
      <formula>"NÃO INICIADO"</formula>
    </cfRule>
    <cfRule type="cellIs" dxfId="4692" priority="4916" operator="equal">
      <formula>"FINALIZADO"</formula>
    </cfRule>
    <cfRule type="cellIs" dxfId="4691" priority="4915" operator="equal">
      <formula>"EM PROCESSO"</formula>
    </cfRule>
  </conditionalFormatting>
  <conditionalFormatting sqref="D9:D83">
    <cfRule type="cellIs" dxfId="4690" priority="4914" operator="equal">
      <formula>"NÃO INICIADO"</formula>
    </cfRule>
    <cfRule type="cellIs" dxfId="4689" priority="4913" operator="equal">
      <formula>"FINALIZADO"</formula>
    </cfRule>
    <cfRule type="cellIs" dxfId="4688" priority="4912" operator="equal">
      <formula>"EM PROCESSO"</formula>
    </cfRule>
  </conditionalFormatting>
  <conditionalFormatting sqref="D9:D87">
    <cfRule type="cellIs" dxfId="4687" priority="4911" operator="equal">
      <formula>"NÃO INICIADO"</formula>
    </cfRule>
    <cfRule type="cellIs" dxfId="4686" priority="4910" operator="equal">
      <formula>"FINALIZADO"</formula>
    </cfRule>
    <cfRule type="cellIs" dxfId="4685" priority="4909" operator="equal">
      <formula>"EM PROCESSO"</formula>
    </cfRule>
  </conditionalFormatting>
  <conditionalFormatting sqref="D9:D10">
    <cfRule type="cellIs" dxfId="4684" priority="4908" operator="equal">
      <formula>"NÃO INICIADO"</formula>
    </cfRule>
    <cfRule type="cellIs" dxfId="4683" priority="4907" operator="equal">
      <formula>"FINALIZADO"</formula>
    </cfRule>
    <cfRule type="cellIs" dxfId="4682" priority="4906" operator="equal">
      <formula>"EM PROCESSO"</formula>
    </cfRule>
    <cfRule type="cellIs" dxfId="4681" priority="3742" operator="equal">
      <formula>"EM PROCESSO"</formula>
    </cfRule>
    <cfRule type="cellIs" dxfId="4680" priority="1556" operator="equal">
      <formula>"FINALIZADO"</formula>
    </cfRule>
    <cfRule type="cellIs" dxfId="4679" priority="1553" operator="equal">
      <formula>"FINALIZADO"</formula>
    </cfRule>
    <cfRule type="cellIs" dxfId="4678" priority="1541" operator="equal">
      <formula>"FINALIZADO"</formula>
    </cfRule>
    <cfRule type="cellIs" dxfId="4677" priority="700" operator="equal">
      <formula>"EM PROCESSO"</formula>
    </cfRule>
  </conditionalFormatting>
  <conditionalFormatting sqref="D9:D14">
    <cfRule type="cellIs" dxfId="4676" priority="4905" operator="equal">
      <formula>"NÃO INICIADO"</formula>
    </cfRule>
    <cfRule type="cellIs" dxfId="4675" priority="4904" operator="equal">
      <formula>"FINALIZADO"</formula>
    </cfRule>
    <cfRule type="cellIs" dxfId="4674" priority="4903" operator="equal">
      <formula>"EM PROCESSO"</formula>
    </cfRule>
    <cfRule type="cellIs" dxfId="4673" priority="3577" operator="equal">
      <formula>"EM PROCESSO"</formula>
    </cfRule>
    <cfRule type="cellIs" dxfId="4672" priority="598" operator="equal">
      <formula>"EM PROCESSO"</formula>
    </cfRule>
    <cfRule type="cellIs" dxfId="4671" priority="445" operator="equal">
      <formula>"EM PROCESSO"</formula>
    </cfRule>
    <cfRule type="cellIs" dxfId="4670" priority="407" operator="equal">
      <formula>"FINALIZADO"</formula>
    </cfRule>
  </conditionalFormatting>
  <conditionalFormatting sqref="D9:D96">
    <cfRule type="cellIs" dxfId="4669" priority="4902" operator="equal">
      <formula>"NÃO INICIADO"</formula>
    </cfRule>
    <cfRule type="cellIs" dxfId="4668" priority="4901" operator="equal">
      <formula>"FINALIZADO"</formula>
    </cfRule>
    <cfRule type="cellIs" dxfId="4667" priority="4900" operator="equal">
      <formula>"EM PROCESSO"</formula>
    </cfRule>
  </conditionalFormatting>
  <conditionalFormatting sqref="D9:D41">
    <cfRule type="cellIs" dxfId="4666" priority="4899" operator="equal">
      <formula>"NÃO INICIADO"</formula>
    </cfRule>
    <cfRule type="cellIs" dxfId="4665" priority="4898" operator="equal">
      <formula>"FINALIZADO"</formula>
    </cfRule>
    <cfRule type="cellIs" dxfId="4664" priority="4897" operator="equal">
      <formula>"EM PROCESSO"</formula>
    </cfRule>
  </conditionalFormatting>
  <conditionalFormatting sqref="D9:D99">
    <cfRule type="cellIs" dxfId="4663" priority="4896" operator="equal">
      <formula>"NÃO INICIADO"</formula>
    </cfRule>
    <cfRule type="cellIs" dxfId="4662" priority="4895" operator="equal">
      <formula>"FINALIZADO"</formula>
    </cfRule>
    <cfRule type="cellIs" dxfId="4661" priority="4894" operator="equal">
      <formula>"EM PROCESSO"</formula>
    </cfRule>
  </conditionalFormatting>
  <conditionalFormatting sqref="D9:D81">
    <cfRule type="cellIs" dxfId="4660" priority="4893" operator="equal">
      <formula>"NÃO INICIADO"</formula>
    </cfRule>
    <cfRule type="cellIs" dxfId="4659" priority="4892" operator="equal">
      <formula>"FINALIZADO"</formula>
    </cfRule>
    <cfRule type="cellIs" dxfId="4658" priority="4891" operator="equal">
      <formula>"EM PROCESSO"</formula>
    </cfRule>
  </conditionalFormatting>
  <conditionalFormatting sqref="D9:D19">
    <cfRule type="cellIs" dxfId="4657" priority="4890" operator="equal">
      <formula>"NÃO INICIADO"</formula>
    </cfRule>
    <cfRule type="cellIs" dxfId="4656" priority="4889" operator="equal">
      <formula>"FINALIZADO"</formula>
    </cfRule>
    <cfRule type="cellIs" dxfId="4655" priority="4888" operator="equal">
      <formula>"EM PROCESSO"</formula>
    </cfRule>
    <cfRule type="cellIs" dxfId="4654" priority="1741" operator="equal">
      <formula>"EM PROCESSO"</formula>
    </cfRule>
  </conditionalFormatting>
  <conditionalFormatting sqref="D9:D62">
    <cfRule type="cellIs" dxfId="4653" priority="4887" operator="equal">
      <formula>"NÃO INICIADO"</formula>
    </cfRule>
    <cfRule type="cellIs" dxfId="4652" priority="4886" operator="equal">
      <formula>"FINALIZADO"</formula>
    </cfRule>
    <cfRule type="cellIs" dxfId="4651" priority="4885" operator="equal">
      <formula>"EM PROCESSO"</formula>
    </cfRule>
  </conditionalFormatting>
  <conditionalFormatting sqref="D9:D27">
    <cfRule type="cellIs" dxfId="4650" priority="4884" operator="equal">
      <formula>"NÃO INICIADO"</formula>
    </cfRule>
    <cfRule type="cellIs" dxfId="4649" priority="4883" operator="equal">
      <formula>"FINALIZADO"</formula>
    </cfRule>
    <cfRule type="cellIs" dxfId="4648" priority="4882" operator="equal">
      <formula>"EM PROCESSO"</formula>
    </cfRule>
  </conditionalFormatting>
  <conditionalFormatting sqref="D9:D14">
    <cfRule type="cellIs" dxfId="4647" priority="4881" operator="equal">
      <formula>"NÃO INICIADO"</formula>
    </cfRule>
    <cfRule type="cellIs" dxfId="4646" priority="4880" operator="equal">
      <formula>"FINALIZADO"</formula>
    </cfRule>
    <cfRule type="cellIs" dxfId="4645" priority="4879" operator="equal">
      <formula>"EM PROCESSO"</formula>
    </cfRule>
  </conditionalFormatting>
  <conditionalFormatting sqref="D9:D70">
    <cfRule type="cellIs" dxfId="4644" priority="4878" operator="equal">
      <formula>"NÃO INICIADO"</formula>
    </cfRule>
    <cfRule type="cellIs" dxfId="4643" priority="4877" operator="equal">
      <formula>"FINALIZADO"</formula>
    </cfRule>
    <cfRule type="cellIs" dxfId="4642" priority="4876" operator="equal">
      <formula>"EM PROCESSO"</formula>
    </cfRule>
  </conditionalFormatting>
  <conditionalFormatting sqref="D9:D19">
    <cfRule type="cellIs" dxfId="4641" priority="4875" operator="equal">
      <formula>"NÃO INICIADO"</formula>
    </cfRule>
    <cfRule type="cellIs" dxfId="4640" priority="4874" operator="equal">
      <formula>"FINALIZADO"</formula>
    </cfRule>
    <cfRule type="cellIs" dxfId="4639" priority="4873" operator="equal">
      <formula>"EM PROCESSO"</formula>
    </cfRule>
    <cfRule type="cellIs" dxfId="4638" priority="436" operator="equal">
      <formula>"EM PROCESSO"</formula>
    </cfRule>
  </conditionalFormatting>
  <conditionalFormatting sqref="D9:D158">
    <cfRule type="cellIs" dxfId="4637" priority="4872" operator="equal">
      <formula>"NÃO INICIADO"</formula>
    </cfRule>
    <cfRule type="cellIs" dxfId="4636" priority="4871" operator="equal">
      <formula>"FINALIZADO"</formula>
    </cfRule>
    <cfRule type="cellIs" dxfId="4635" priority="4870" operator="equal">
      <formula>"EM PROCESSO"</formula>
    </cfRule>
  </conditionalFormatting>
  <conditionalFormatting sqref="D9:D74">
    <cfRule type="cellIs" dxfId="4634" priority="4869" operator="equal">
      <formula>"NÃO INICIADO"</formula>
    </cfRule>
    <cfRule type="cellIs" dxfId="4633" priority="4868" operator="equal">
      <formula>"FINALIZADO"</formula>
    </cfRule>
    <cfRule type="cellIs" dxfId="4632" priority="4867" operator="equal">
      <formula>"EM PROCESSO"</formula>
    </cfRule>
  </conditionalFormatting>
  <conditionalFormatting sqref="D9:D24">
    <cfRule type="cellIs" dxfId="4631" priority="4866" operator="equal">
      <formula>"NÃO INICIADO"</formula>
    </cfRule>
    <cfRule type="cellIs" dxfId="4630" priority="4865" operator="equal">
      <formula>"FINALIZADO"</formula>
    </cfRule>
    <cfRule type="cellIs" dxfId="4629" priority="4864" operator="equal">
      <formula>"EM PROCESSO"</formula>
    </cfRule>
  </conditionalFormatting>
  <conditionalFormatting sqref="D9:D111">
    <cfRule type="cellIs" dxfId="4628" priority="4863" operator="equal">
      <formula>"NÃO INICIADO"</formula>
    </cfRule>
    <cfRule type="cellIs" dxfId="4627" priority="4862" operator="equal">
      <formula>"FINALIZADO"</formula>
    </cfRule>
    <cfRule type="cellIs" dxfId="4626" priority="4861" operator="equal">
      <formula>"EM PROCESSO"</formula>
    </cfRule>
  </conditionalFormatting>
  <conditionalFormatting sqref="D9:D170">
    <cfRule type="cellIs" dxfId="4625" priority="4857" operator="equal">
      <formula>"NÃO INICIADO"</formula>
    </cfRule>
    <cfRule type="cellIs" dxfId="4624" priority="4856" operator="equal">
      <formula>"FINALIZADO"</formula>
    </cfRule>
    <cfRule type="cellIs" dxfId="4623" priority="4855" operator="equal">
      <formula>"EM PROCESSO"</formula>
    </cfRule>
  </conditionalFormatting>
  <conditionalFormatting sqref="D9:D143">
    <cfRule type="cellIs" dxfId="4622" priority="4854" operator="equal">
      <formula>"NÃO INICIADO"</formula>
    </cfRule>
    <cfRule type="cellIs" dxfId="4621" priority="4853" operator="equal">
      <formula>"FINALIZADO"</formula>
    </cfRule>
    <cfRule type="cellIs" dxfId="4620" priority="4852" operator="equal">
      <formula>"EM PROCESSO"</formula>
    </cfRule>
  </conditionalFormatting>
  <conditionalFormatting sqref="D9:D282">
    <cfRule type="cellIs" dxfId="4619" priority="4851" operator="equal">
      <formula>"NÃO INICIADO"</formula>
    </cfRule>
    <cfRule type="cellIs" dxfId="4618" priority="4850" operator="equal">
      <formula>"FINALIZADO"</formula>
    </cfRule>
    <cfRule type="cellIs" dxfId="4617" priority="4849" operator="equal">
      <formula>"EM PROCESSO"</formula>
    </cfRule>
  </conditionalFormatting>
  <conditionalFormatting sqref="D9:D220">
    <cfRule type="cellIs" dxfId="4616" priority="4848" operator="equal">
      <formula>"NÃO INICIADO"</formula>
    </cfRule>
    <cfRule type="cellIs" dxfId="4615" priority="4847" operator="equal">
      <formula>"FINALIZADO"</formula>
    </cfRule>
    <cfRule type="cellIs" dxfId="4614" priority="4846" operator="equal">
      <formula>"EM PROCESSO"</formula>
    </cfRule>
  </conditionalFormatting>
  <conditionalFormatting sqref="D9:D186">
    <cfRule type="cellIs" dxfId="4613" priority="4845" operator="equal">
      <formula>"NÃO INICIADO"</formula>
    </cfRule>
    <cfRule type="cellIs" dxfId="4612" priority="4844" operator="equal">
      <formula>"FINALIZADO"</formula>
    </cfRule>
    <cfRule type="cellIs" dxfId="4611" priority="4843" operator="equal">
      <formula>"EM PROCESSO"</formula>
    </cfRule>
  </conditionalFormatting>
  <conditionalFormatting sqref="D9:D38">
    <cfRule type="cellIs" dxfId="4610" priority="4842" operator="equal">
      <formula>"NÃO INICIADO"</formula>
    </cfRule>
    <cfRule type="cellIs" dxfId="4609" priority="4841" operator="equal">
      <formula>"FINALIZADO"</formula>
    </cfRule>
    <cfRule type="cellIs" dxfId="4608" priority="4840" operator="equal">
      <formula>"EM PROCESSO"</formula>
    </cfRule>
    <cfRule type="cellIs" dxfId="4607" priority="1777" operator="equal">
      <formula>"EM PROCESSO"</formula>
    </cfRule>
  </conditionalFormatting>
  <conditionalFormatting sqref="D9:D287">
    <cfRule type="cellIs" dxfId="4606" priority="4839" operator="equal">
      <formula>"NÃO INICIADO"</formula>
    </cfRule>
    <cfRule type="cellIs" dxfId="4605" priority="4838" operator="equal">
      <formula>"FINALIZADO"</formula>
    </cfRule>
    <cfRule type="cellIs" dxfId="4604" priority="4837" operator="equal">
      <formula>"EM PROCESSO"</formula>
    </cfRule>
  </conditionalFormatting>
  <conditionalFormatting sqref="D9:D11">
    <cfRule type="cellIs" dxfId="4603" priority="4836" operator="equal">
      <formula>"NÃO INICIADO"</formula>
    </cfRule>
    <cfRule type="cellIs" dxfId="4602" priority="4835" operator="equal">
      <formula>"FINALIZADO"</formula>
    </cfRule>
    <cfRule type="cellIs" dxfId="4601" priority="4834" operator="equal">
      <formula>"EM PROCESSO"</formula>
    </cfRule>
    <cfRule type="cellIs" dxfId="4600" priority="4011" operator="equal">
      <formula>"NÃO INICIADO"</formula>
    </cfRule>
    <cfRule type="cellIs" dxfId="4599" priority="4010" operator="equal">
      <formula>"FINALIZADO"</formula>
    </cfRule>
    <cfRule type="cellIs" dxfId="4598" priority="4009" operator="equal">
      <formula>"EM PROCESSO"</formula>
    </cfRule>
    <cfRule type="cellIs" dxfId="4597" priority="4008" operator="equal">
      <formula>"NÃO INICIADO"</formula>
    </cfRule>
    <cfRule type="cellIs" dxfId="4596" priority="4007" operator="equal">
      <formula>"FINALIZADO"</formula>
    </cfRule>
    <cfRule type="cellIs" dxfId="4595" priority="4006" operator="equal">
      <formula>"EM PROCESSO"</formula>
    </cfRule>
    <cfRule type="cellIs" dxfId="4594" priority="3938" operator="equal">
      <formula>"FINALIZADO"</formula>
    </cfRule>
    <cfRule type="cellIs" dxfId="4593" priority="3414" operator="equal">
      <formula>"NÃO INICIADO"</formula>
    </cfRule>
    <cfRule type="cellIs" dxfId="4592" priority="3225" operator="equal">
      <formula>"NÃO INICIADO"</formula>
    </cfRule>
    <cfRule type="cellIs" dxfId="4591" priority="1271" operator="equal">
      <formula>"FINALIZADO"</formula>
    </cfRule>
    <cfRule type="cellIs" dxfId="4590" priority="1158" operator="equal">
      <formula>"NÃO INICIADO"</formula>
    </cfRule>
    <cfRule type="cellIs" dxfId="4589" priority="1155" operator="equal">
      <formula>"NÃO INICIADO"</formula>
    </cfRule>
    <cfRule type="cellIs" dxfId="4588" priority="602" operator="equal">
      <formula>"FINALIZADO"</formula>
    </cfRule>
    <cfRule type="cellIs" dxfId="4587" priority="378" operator="equal">
      <formula>"NÃO INICIADO"</formula>
    </cfRule>
  </conditionalFormatting>
  <conditionalFormatting sqref="D9">
    <cfRule type="cellIs" dxfId="4586" priority="4833" operator="equal">
      <formula>"NÃO INICIADO"</formula>
    </cfRule>
    <cfRule type="cellIs" dxfId="4585" priority="4832" operator="equal">
      <formula>"FINALIZADO"</formula>
    </cfRule>
    <cfRule type="cellIs" dxfId="4584" priority="4831" operator="equal">
      <formula>"EM PROCESSO"</formula>
    </cfRule>
    <cfRule type="cellIs" dxfId="4583" priority="3856" operator="equal">
      <formula>"EM PROCESSO"</formula>
    </cfRule>
    <cfRule type="cellIs" dxfId="4582" priority="3179" operator="equal">
      <formula>"FINALIZADO"</formula>
    </cfRule>
    <cfRule type="cellIs" dxfId="4581" priority="3176" operator="equal">
      <formula>"FINALIZADO"</formula>
    </cfRule>
    <cfRule type="cellIs" dxfId="4580" priority="3130" operator="equal">
      <formula>"EM PROCESSO"</formula>
    </cfRule>
    <cfRule type="cellIs" dxfId="4579" priority="2940" operator="equal">
      <formula>"NÃO INICIADO"</formula>
    </cfRule>
    <cfRule type="cellIs" dxfId="4578" priority="2703" operator="equal">
      <formula>"NÃO INICIADO"</formula>
    </cfRule>
    <cfRule type="cellIs" dxfId="4577" priority="2700" operator="equal">
      <formula>"NÃO INICIADO"</formula>
    </cfRule>
    <cfRule type="cellIs" dxfId="4576" priority="2444" operator="equal">
      <formula>"FINALIZADO"</formula>
    </cfRule>
    <cfRule type="cellIs" dxfId="4575" priority="1315" operator="equal">
      <formula>"EM PROCESSO"</formula>
    </cfRule>
    <cfRule type="cellIs" dxfId="4574" priority="1309" operator="equal">
      <formula>"EM PROCESSO"</formula>
    </cfRule>
    <cfRule type="cellIs" dxfId="4573" priority="1202" operator="equal">
      <formula>"FINALIZADO"</formula>
    </cfRule>
    <cfRule type="cellIs" dxfId="4572" priority="278" operator="equal">
      <formula>"FINALIZADO"</formula>
    </cfRule>
    <cfRule type="cellIs" dxfId="4571" priority="275" operator="equal">
      <formula>"FINALIZADO"</formula>
    </cfRule>
    <cfRule type="cellIs" dxfId="4570" priority="266" operator="equal">
      <formula>"FINALIZADO"</formula>
    </cfRule>
    <cfRule type="cellIs" dxfId="4569" priority="263" operator="equal">
      <formula>"FINALIZADO"</formula>
    </cfRule>
  </conditionalFormatting>
  <conditionalFormatting sqref="D9:D37">
    <cfRule type="cellIs" dxfId="4568" priority="4830" operator="equal">
      <formula>"NÃO INICIADO"</formula>
    </cfRule>
    <cfRule type="cellIs" dxfId="4567" priority="4829" operator="equal">
      <formula>"FINALIZADO"</formula>
    </cfRule>
    <cfRule type="cellIs" dxfId="4566" priority="4828" operator="equal">
      <formula>"EM PROCESSO"</formula>
    </cfRule>
  </conditionalFormatting>
  <conditionalFormatting sqref="D9:D186">
    <cfRule type="cellIs" dxfId="4565" priority="4827" operator="equal">
      <formula>"NÃO INICIADO"</formula>
    </cfRule>
    <cfRule type="cellIs" dxfId="4564" priority="4826" operator="equal">
      <formula>"FINALIZADO"</formula>
    </cfRule>
    <cfRule type="cellIs" dxfId="4563" priority="4825" operator="equal">
      <formula>"EM PROCESSO"</formula>
    </cfRule>
  </conditionalFormatting>
  <conditionalFormatting sqref="D9:D81">
    <cfRule type="cellIs" dxfId="4562" priority="4824" operator="equal">
      <formula>"NÃO INICIADO"</formula>
    </cfRule>
    <cfRule type="cellIs" dxfId="4561" priority="4823" operator="equal">
      <formula>"FINALIZADO"</formula>
    </cfRule>
    <cfRule type="cellIs" dxfId="4560" priority="4822" operator="equal">
      <formula>"EM PROCESSO"</formula>
    </cfRule>
    <cfRule type="cellIs" dxfId="4559" priority="809" operator="equal">
      <formula>"FINALIZADO"</formula>
    </cfRule>
  </conditionalFormatting>
  <conditionalFormatting sqref="D9:D108">
    <cfRule type="cellIs" dxfId="4558" priority="4821" operator="equal">
      <formula>"NÃO INICIADO"</formula>
    </cfRule>
    <cfRule type="cellIs" dxfId="4557" priority="4820" operator="equal">
      <formula>"FINALIZADO"</formula>
    </cfRule>
    <cfRule type="cellIs" dxfId="4556" priority="4819" operator="equal">
      <formula>"EM PROCESSO"</formula>
    </cfRule>
  </conditionalFormatting>
  <conditionalFormatting sqref="D9:D76">
    <cfRule type="cellIs" dxfId="4555" priority="4818" operator="equal">
      <formula>"NÃO INICIADO"</formula>
    </cfRule>
    <cfRule type="cellIs" dxfId="4554" priority="4817" operator="equal">
      <formula>"FINALIZADO"</formula>
    </cfRule>
    <cfRule type="cellIs" dxfId="4553" priority="4816" operator="equal">
      <formula>"EM PROCESSO"</formula>
    </cfRule>
  </conditionalFormatting>
  <conditionalFormatting sqref="D9:D111">
    <cfRule type="cellIs" dxfId="4552" priority="4815" operator="equal">
      <formula>"NÃO INICIADO"</formula>
    </cfRule>
    <cfRule type="cellIs" dxfId="4551" priority="4814" operator="equal">
      <formula>"FINALIZADO"</formula>
    </cfRule>
    <cfRule type="cellIs" dxfId="4550" priority="4813" operator="equal">
      <formula>"EM PROCESSO"</formula>
    </cfRule>
  </conditionalFormatting>
  <conditionalFormatting sqref="D9:D114">
    <cfRule type="cellIs" dxfId="4549" priority="4812" operator="equal">
      <formula>"NÃO INICIADO"</formula>
    </cfRule>
    <cfRule type="cellIs" dxfId="4548" priority="4811" operator="equal">
      <formula>"FINALIZADO"</formula>
    </cfRule>
    <cfRule type="cellIs" dxfId="4547" priority="4810" operator="equal">
      <formula>"EM PROCESSO"</formula>
    </cfRule>
  </conditionalFormatting>
  <conditionalFormatting sqref="D9">
    <cfRule type="cellIs" dxfId="4546" priority="4806" operator="equal">
      <formula>"NÃO INICIADO"</formula>
    </cfRule>
    <cfRule type="cellIs" dxfId="4545" priority="4805" operator="equal">
      <formula>"FINALIZADO"</formula>
    </cfRule>
    <cfRule type="cellIs" dxfId="4544" priority="4804" operator="equal">
      <formula>"EM PROCESSO"</formula>
    </cfRule>
    <cfRule type="cellIs" dxfId="4543" priority="4113" operator="equal">
      <formula>"NÃO INICIADO"</formula>
    </cfRule>
    <cfRule type="cellIs" dxfId="4542" priority="4112" operator="equal">
      <formula>"FINALIZADO"</formula>
    </cfRule>
    <cfRule type="cellIs" dxfId="4541" priority="4111" operator="equal">
      <formula>"EM PROCESSO"</formula>
    </cfRule>
    <cfRule type="cellIs" dxfId="4540" priority="3858" operator="equal">
      <formula>"NÃO INICIADO"</formula>
    </cfRule>
    <cfRule type="cellIs" dxfId="4539" priority="3522" operator="equal">
      <formula>"NÃO INICIADO"</formula>
    </cfRule>
    <cfRule type="cellIs" dxfId="4538" priority="3228" operator="equal">
      <formula>"NÃO INICIADO"</formula>
    </cfRule>
    <cfRule type="cellIs" dxfId="4537" priority="3222" operator="equal">
      <formula>"NÃO INICIADO"</formula>
    </cfRule>
    <cfRule type="cellIs" dxfId="4536" priority="2796" operator="equal">
      <formula>"NÃO INICIADO"</formula>
    </cfRule>
    <cfRule type="cellIs" dxfId="4535" priority="2556" operator="equal">
      <formula>"NÃO INICIADO"</formula>
    </cfRule>
    <cfRule type="cellIs" dxfId="4534" priority="2550" operator="equal">
      <formula>"NÃO INICIADO"</formula>
    </cfRule>
    <cfRule type="cellIs" dxfId="4533" priority="2421" operator="equal">
      <formula>"NÃO INICIADO"</formula>
    </cfRule>
    <cfRule type="cellIs" dxfId="4532" priority="2412" operator="equal">
      <formula>"NÃO INICIADO"</formula>
    </cfRule>
    <cfRule type="cellIs" dxfId="4531" priority="2409" operator="equal">
      <formula>"NÃO INICIADO"</formula>
    </cfRule>
    <cfRule type="cellIs" dxfId="4530" priority="2406" operator="equal">
      <formula>"NÃO INICIADO"</formula>
    </cfRule>
    <cfRule type="cellIs" dxfId="4529" priority="2400" operator="equal">
      <formula>"NÃO INICIADO"</formula>
    </cfRule>
    <cfRule type="cellIs" dxfId="4528" priority="2367" operator="equal">
      <formula>"NÃO INICIADO"</formula>
    </cfRule>
    <cfRule type="cellIs" dxfId="4527" priority="2364" operator="equal">
      <formula>"NÃO INICIADO"</formula>
    </cfRule>
    <cfRule type="cellIs" dxfId="4526" priority="2358" operator="equal">
      <formula>"NÃO INICIADO"</formula>
    </cfRule>
    <cfRule type="cellIs" dxfId="4525" priority="2322" operator="equal">
      <formula>"NÃO INICIADO"</formula>
    </cfRule>
    <cfRule type="cellIs" dxfId="4524" priority="2316" operator="equal">
      <formula>"NÃO INICIADO"</formula>
    </cfRule>
    <cfRule type="cellIs" dxfId="4523" priority="1878" operator="equal">
      <formula>"NÃO INICIADO"</formula>
    </cfRule>
    <cfRule type="cellIs" dxfId="4522" priority="1875" operator="equal">
      <formula>"NÃO INICIADO"</formula>
    </cfRule>
    <cfRule type="cellIs" dxfId="4521" priority="1869" operator="equal">
      <formula>"NÃO INICIADO"</formula>
    </cfRule>
    <cfRule type="cellIs" dxfId="4520" priority="1694" operator="equal">
      <formula>"FINALIZADO"</formula>
    </cfRule>
    <cfRule type="cellIs" dxfId="4519" priority="1691" operator="equal">
      <formula>"FINALIZADO"</formula>
    </cfRule>
    <cfRule type="cellIs" dxfId="4518" priority="1685" operator="equal">
      <formula>"FINALIZADO"</formula>
    </cfRule>
    <cfRule type="cellIs" dxfId="4517" priority="961" operator="equal">
      <formula>"EM PROCESSO"</formula>
    </cfRule>
    <cfRule type="cellIs" dxfId="4516" priority="344" operator="equal">
      <formula>"FINALIZADO"</formula>
    </cfRule>
    <cfRule type="cellIs" dxfId="4515" priority="237" operator="equal">
      <formula>"NÃO INICIADO"</formula>
    </cfRule>
    <cfRule type="cellIs" dxfId="4514" priority="234" operator="equal">
      <formula>"NÃO INICIADO"</formula>
    </cfRule>
  </conditionalFormatting>
  <conditionalFormatting sqref="D9:D123">
    <cfRule type="cellIs" dxfId="4513" priority="4803" operator="equal">
      <formula>"NÃO INICIADO"</formula>
    </cfRule>
    <cfRule type="cellIs" dxfId="4512" priority="4802" operator="equal">
      <formula>"FINALIZADO"</formula>
    </cfRule>
    <cfRule type="cellIs" dxfId="4511" priority="4801" operator="equal">
      <formula>"EM PROCESSO"</formula>
    </cfRule>
  </conditionalFormatting>
  <conditionalFormatting sqref="D9:D144">
    <cfRule type="cellIs" dxfId="4510" priority="4800" operator="equal">
      <formula>"NÃO INICIADO"</formula>
    </cfRule>
    <cfRule type="cellIs" dxfId="4509" priority="4799" operator="equal">
      <formula>"FINALIZADO"</formula>
    </cfRule>
    <cfRule type="cellIs" dxfId="4508" priority="4798" operator="equal">
      <formula>"EM PROCESSO"</formula>
    </cfRule>
  </conditionalFormatting>
  <conditionalFormatting sqref="D9:D87">
    <cfRule type="cellIs" dxfId="4507" priority="4797" operator="equal">
      <formula>"NÃO INICIADO"</formula>
    </cfRule>
    <cfRule type="cellIs" dxfId="4506" priority="4796" operator="equal">
      <formula>"FINALIZADO"</formula>
    </cfRule>
    <cfRule type="cellIs" dxfId="4505" priority="4795" operator="equal">
      <formula>"EM PROCESSO"</formula>
    </cfRule>
    <cfRule type="cellIs" dxfId="4504" priority="978" operator="equal">
      <formula>"NÃO INICIADO"</formula>
    </cfRule>
  </conditionalFormatting>
  <conditionalFormatting sqref="D9:D63">
    <cfRule type="cellIs" dxfId="4503" priority="4794" operator="equal">
      <formula>"NÃO INICIADO"</formula>
    </cfRule>
    <cfRule type="cellIs" dxfId="4502" priority="4793" operator="equal">
      <formula>"FINALIZADO"</formula>
    </cfRule>
    <cfRule type="cellIs" dxfId="4501" priority="4792" operator="equal">
      <formula>"EM PROCESSO"</formula>
    </cfRule>
  </conditionalFormatting>
  <conditionalFormatting sqref="D9:D69">
    <cfRule type="cellIs" dxfId="4500" priority="4791" operator="equal">
      <formula>"NÃO INICIADO"</formula>
    </cfRule>
    <cfRule type="cellIs" dxfId="4499" priority="4790" operator="equal">
      <formula>"FINALIZADO"</formula>
    </cfRule>
    <cfRule type="cellIs" dxfId="4498" priority="4789" operator="equal">
      <formula>"EM PROCESSO"</formula>
    </cfRule>
  </conditionalFormatting>
  <conditionalFormatting sqref="D9:D12">
    <cfRule type="cellIs" dxfId="4497" priority="4788" operator="equal">
      <formula>"NÃO INICIADO"</formula>
    </cfRule>
    <cfRule type="cellIs" dxfId="4496" priority="4787" operator="equal">
      <formula>"FINALIZADO"</formula>
    </cfRule>
    <cfRule type="cellIs" dxfId="4495" priority="4786" operator="equal">
      <formula>"EM PROCESSO"</formula>
    </cfRule>
    <cfRule type="cellIs" dxfId="4494" priority="3294" operator="equal">
      <formula>"NÃO INICIADO"</formula>
    </cfRule>
    <cfRule type="cellIs" dxfId="4493" priority="2931" operator="equal">
      <formula>"NÃO INICIADO"</formula>
    </cfRule>
    <cfRule type="cellIs" dxfId="4492" priority="2694" operator="equal">
      <formula>"NÃO INICIADO"</formula>
    </cfRule>
    <cfRule type="cellIs" dxfId="4491" priority="2518" operator="equal">
      <formula>"EM PROCESSO"</formula>
    </cfRule>
    <cfRule type="cellIs" dxfId="4490" priority="1944" operator="equal">
      <formula>"NÃO INICIADO"</formula>
    </cfRule>
    <cfRule type="cellIs" dxfId="4489" priority="1805" operator="equal">
      <formula>"FINALIZADO"</formula>
    </cfRule>
    <cfRule type="cellIs" dxfId="4488" priority="1655" operator="equal">
      <formula>"FINALIZADO"</formula>
    </cfRule>
  </conditionalFormatting>
  <conditionalFormatting sqref="D9:D10">
    <cfRule type="cellIs" dxfId="4487" priority="4785" operator="equal">
      <formula>"NÃO INICIADO"</formula>
    </cfRule>
    <cfRule type="cellIs" dxfId="4486" priority="4784" operator="equal">
      <formula>"FINALIZADO"</formula>
    </cfRule>
    <cfRule type="cellIs" dxfId="4485" priority="4783" operator="equal">
      <formula>"EM PROCESSO"</formula>
    </cfRule>
    <cfRule type="cellIs" dxfId="4484" priority="3045" operator="equal">
      <formula>"NÃO INICIADO"</formula>
    </cfRule>
    <cfRule type="cellIs" dxfId="4483" priority="2636" operator="equal">
      <formula>"FINALIZADO"</formula>
    </cfRule>
    <cfRule type="cellIs" dxfId="4482" priority="2633" operator="equal">
      <formula>"FINALIZADO"</formula>
    </cfRule>
    <cfRule type="cellIs" dxfId="4481" priority="2242" operator="equal">
      <formula>"EM PROCESSO"</formula>
    </cfRule>
    <cfRule type="cellIs" dxfId="4480" priority="1984" operator="equal">
      <formula>"EM PROCESSO"</formula>
    </cfRule>
    <cfRule type="cellIs" dxfId="4479" priority="1803" operator="equal">
      <formula>"NÃO INICIADO"</formula>
    </cfRule>
    <cfRule type="cellIs" dxfId="4478" priority="789" operator="equal">
      <formula>"NÃO INICIADO"</formula>
    </cfRule>
    <cfRule type="cellIs" dxfId="4477" priority="728" operator="equal">
      <formula>"FINALIZADO"</formula>
    </cfRule>
    <cfRule type="cellIs" dxfId="4476" priority="566" operator="equal">
      <formula>"FINALIZADO"</formula>
    </cfRule>
    <cfRule type="cellIs" dxfId="4475" priority="147" operator="equal">
      <formula>"NÃO INICIADO"</formula>
    </cfRule>
    <cfRule type="cellIs" dxfId="4474" priority="135" operator="equal">
      <formula>"NÃO INICIADO"</formula>
    </cfRule>
  </conditionalFormatting>
  <conditionalFormatting sqref="D9">
    <cfRule type="cellIs" dxfId="4473" priority="4782" operator="equal">
      <formula>"NÃO INICIADO"</formula>
    </cfRule>
    <cfRule type="cellIs" dxfId="4472" priority="4781" operator="equal">
      <formula>"FINALIZADO"</formula>
    </cfRule>
    <cfRule type="cellIs" dxfId="4471" priority="4780" operator="equal">
      <formula>"EM PROCESSO"</formula>
    </cfRule>
    <cfRule type="cellIs" dxfId="4470" priority="3527" operator="equal">
      <formula>"FINALIZADO"</formula>
    </cfRule>
    <cfRule type="cellIs" dxfId="4469" priority="3331" operator="equal">
      <formula>"EM PROCESSO"</formula>
    </cfRule>
    <cfRule type="cellIs" dxfId="4468" priority="3227" operator="equal">
      <formula>"FINALIZADO"</formula>
    </cfRule>
    <cfRule type="cellIs" dxfId="4467" priority="3221" operator="equal">
      <formula>"FINALIZADO"</formula>
    </cfRule>
    <cfRule type="cellIs" dxfId="4466" priority="3050" operator="equal">
      <formula>"FINALIZADO"</formula>
    </cfRule>
    <cfRule type="cellIs" dxfId="4465" priority="2702" operator="equal">
      <formula>"FINALIZADO"</formula>
    </cfRule>
    <cfRule type="cellIs" dxfId="4464" priority="2699" operator="equal">
      <formula>"FINALIZADO"</formula>
    </cfRule>
    <cfRule type="cellIs" dxfId="4463" priority="2598" operator="equal">
      <formula>"NÃO INICIADO"</formula>
    </cfRule>
    <cfRule type="cellIs" dxfId="4462" priority="2445" operator="equal">
      <formula>"NÃO INICIADO"</formula>
    </cfRule>
    <cfRule type="cellIs" dxfId="4461" priority="2320" operator="equal">
      <formula>"EM PROCESSO"</formula>
    </cfRule>
    <cfRule type="cellIs" dxfId="4460" priority="2314" operator="equal">
      <formula>"EM PROCESSO"</formula>
    </cfRule>
    <cfRule type="cellIs" dxfId="4459" priority="1980" operator="equal">
      <formula>"NÃO INICIADO"</formula>
    </cfRule>
    <cfRule type="cellIs" dxfId="4458" priority="1974" operator="equal">
      <formula>"NÃO INICIADO"</formula>
    </cfRule>
    <cfRule type="cellIs" dxfId="4457" priority="1841" operator="equal">
      <formula>"FINALIZADO"</formula>
    </cfRule>
    <cfRule type="cellIs" dxfId="4456" priority="1838" operator="equal">
      <formula>"FINALIZADO"</formula>
    </cfRule>
    <cfRule type="cellIs" dxfId="4455" priority="1767" operator="equal">
      <formula>"NÃO INICIADO"</formula>
    </cfRule>
    <cfRule type="cellIs" dxfId="4454" priority="1764" operator="equal">
      <formula>"NÃO INICIADO"</formula>
    </cfRule>
    <cfRule type="cellIs" dxfId="4453" priority="1761" operator="equal">
      <formula>"NÃO INICIADO"</formula>
    </cfRule>
    <cfRule type="cellIs" dxfId="4452" priority="1723" operator="equal">
      <formula>"EM PROCESSO"</formula>
    </cfRule>
    <cfRule type="cellIs" dxfId="4451" priority="1720" operator="equal">
      <formula>"EM PROCESSO"</formula>
    </cfRule>
    <cfRule type="cellIs" dxfId="4450" priority="318" operator="equal">
      <formula>"NÃO INICIADO"</formula>
    </cfRule>
    <cfRule type="cellIs" dxfId="4449" priority="306" operator="equal">
      <formula>"NÃO INICIADO"</formula>
    </cfRule>
    <cfRule type="cellIs" dxfId="4448" priority="303" operator="equal">
      <formula>"NÃO INICIADO"</formula>
    </cfRule>
    <cfRule type="cellIs" dxfId="4447" priority="142" operator="equal">
      <formula>"EM PROCESSO"</formula>
    </cfRule>
    <cfRule type="cellIs" dxfId="4446" priority="139" operator="equal">
      <formula>"EM PROCESSO"</formula>
    </cfRule>
    <cfRule type="cellIs" dxfId="4445" priority="130" operator="equal">
      <formula>"EM PROCESSO"</formula>
    </cfRule>
    <cfRule type="cellIs" dxfId="4444" priority="127" operator="equal">
      <formula>"EM PROCESSO"</formula>
    </cfRule>
  </conditionalFormatting>
  <conditionalFormatting sqref="D9:D155">
    <cfRule type="cellIs" dxfId="4443" priority="4779" operator="equal">
      <formula>"NÃO INICIADO"</formula>
    </cfRule>
    <cfRule type="cellIs" dxfId="4442" priority="4778" operator="equal">
      <formula>"FINALIZADO"</formula>
    </cfRule>
    <cfRule type="cellIs" dxfId="4441" priority="4777" operator="equal">
      <formula>"EM PROCESSO"</formula>
    </cfRule>
  </conditionalFormatting>
  <conditionalFormatting sqref="D9:D107">
    <cfRule type="cellIs" dxfId="4440" priority="4776" operator="equal">
      <formula>"NÃO INICIADO"</formula>
    </cfRule>
    <cfRule type="cellIs" dxfId="4439" priority="4775" operator="equal">
      <formula>"FINALIZADO"</formula>
    </cfRule>
    <cfRule type="cellIs" dxfId="4438" priority="4774" operator="equal">
      <formula>"EM PROCESSO"</formula>
    </cfRule>
  </conditionalFormatting>
  <conditionalFormatting sqref="D9:D14">
    <cfRule type="cellIs" dxfId="4437" priority="4773" operator="equal">
      <formula>"NÃO INICIADO"</formula>
    </cfRule>
    <cfRule type="cellIs" dxfId="4436" priority="4772" operator="equal">
      <formula>"FINALIZADO"</formula>
    </cfRule>
    <cfRule type="cellIs" dxfId="4435" priority="4771" operator="equal">
      <formula>"EM PROCESSO"</formula>
    </cfRule>
  </conditionalFormatting>
  <conditionalFormatting sqref="D9:D66">
    <cfRule type="cellIs" dxfId="4434" priority="4770" operator="equal">
      <formula>"NÃO INICIADO"</formula>
    </cfRule>
    <cfRule type="cellIs" dxfId="4433" priority="4769" operator="equal">
      <formula>"FINALIZADO"</formula>
    </cfRule>
    <cfRule type="cellIs" dxfId="4432" priority="4768" operator="equal">
      <formula>"EM PROCESSO"</formula>
    </cfRule>
  </conditionalFormatting>
  <conditionalFormatting sqref="D9:D183">
    <cfRule type="cellIs" dxfId="4431" priority="4767" operator="equal">
      <formula>"NÃO INICIADO"</formula>
    </cfRule>
    <cfRule type="cellIs" dxfId="4430" priority="4766" operator="equal">
      <formula>"FINALIZADO"</formula>
    </cfRule>
    <cfRule type="cellIs" dxfId="4429" priority="4765" operator="equal">
      <formula>"EM PROCESSO"</formula>
    </cfRule>
  </conditionalFormatting>
  <conditionalFormatting sqref="D9:D53">
    <cfRule type="cellIs" dxfId="4428" priority="4764" operator="equal">
      <formula>"NÃO INICIADO"</formula>
    </cfRule>
    <cfRule type="cellIs" dxfId="4427" priority="4763" operator="equal">
      <formula>"FINALIZADO"</formula>
    </cfRule>
    <cfRule type="cellIs" dxfId="4426" priority="4762" operator="equal">
      <formula>"EM PROCESSO"</formula>
    </cfRule>
  </conditionalFormatting>
  <conditionalFormatting sqref="D9:D85">
    <cfRule type="cellIs" dxfId="4425" priority="4761" operator="equal">
      <formula>"NÃO INICIADO"</formula>
    </cfRule>
    <cfRule type="cellIs" dxfId="4424" priority="4760" operator="equal">
      <formula>"FINALIZADO"</formula>
    </cfRule>
    <cfRule type="cellIs" dxfId="4423" priority="4759" operator="equal">
      <formula>"EM PROCESSO"</formula>
    </cfRule>
  </conditionalFormatting>
  <conditionalFormatting sqref="D9:D104">
    <cfRule type="cellIs" dxfId="4422" priority="4758" operator="equal">
      <formula>"NÃO INICIADO"</formula>
    </cfRule>
    <cfRule type="cellIs" dxfId="4421" priority="4757" operator="equal">
      <formula>"FINALIZADO"</formula>
    </cfRule>
    <cfRule type="cellIs" dxfId="4420" priority="4756" operator="equal">
      <formula>"EM PROCESSO"</formula>
    </cfRule>
    <cfRule type="cellIs" dxfId="4419" priority="4569" operator="equal">
      <formula>"NÃO INICIADO"</formula>
    </cfRule>
    <cfRule type="cellIs" dxfId="4418" priority="4567" operator="equal">
      <formula>"EM PROCESSO"</formula>
    </cfRule>
  </conditionalFormatting>
  <conditionalFormatting sqref="D9:D206">
    <cfRule type="cellIs" dxfId="4417" priority="4752" operator="equal">
      <formula>"NÃO INICIADO"</formula>
    </cfRule>
    <cfRule type="cellIs" dxfId="4416" priority="4751" operator="equal">
      <formula>"FINALIZADO"</formula>
    </cfRule>
    <cfRule type="cellIs" dxfId="4415" priority="4750" operator="equal">
      <formula>"EM PROCESSO"</formula>
    </cfRule>
  </conditionalFormatting>
  <conditionalFormatting sqref="D9:D208">
    <cfRule type="cellIs" dxfId="4414" priority="4749" operator="equal">
      <formula>"NÃO INICIADO"</formula>
    </cfRule>
    <cfRule type="cellIs" dxfId="4413" priority="4748" operator="equal">
      <formula>"FINALIZADO"</formula>
    </cfRule>
    <cfRule type="cellIs" dxfId="4412" priority="4747" operator="equal">
      <formula>"EM PROCESSO"</formula>
    </cfRule>
    <cfRule type="cellIs" dxfId="4411" priority="4743" operator="equal">
      <formula>"NÃO INICIADO"</formula>
    </cfRule>
    <cfRule type="cellIs" dxfId="4410" priority="4742" operator="equal">
      <formula>"FINALIZADO"</formula>
    </cfRule>
    <cfRule type="cellIs" dxfId="4409" priority="4741" operator="equal">
      <formula>"EM PROCESSO"</formula>
    </cfRule>
  </conditionalFormatting>
  <conditionalFormatting sqref="D9:D12">
    <cfRule type="cellIs" dxfId="4408" priority="4746" operator="equal">
      <formula>"NÃO INICIADO"</formula>
    </cfRule>
    <cfRule type="cellIs" dxfId="4407" priority="4745" operator="equal">
      <formula>"FINALIZADO"</formula>
    </cfRule>
    <cfRule type="cellIs" dxfId="4406" priority="4744" operator="equal">
      <formula>"EM PROCESSO"</formula>
    </cfRule>
    <cfRule type="cellIs" dxfId="4405" priority="3097" operator="equal">
      <formula>"EM PROCESSO"</formula>
    </cfRule>
    <cfRule type="cellIs" dxfId="4404" priority="2770" operator="equal">
      <formula>"EM PROCESSO"</formula>
    </cfRule>
    <cfRule type="cellIs" dxfId="4403" priority="747" operator="equal">
      <formula>"NÃO INICIADO"</formula>
    </cfRule>
  </conditionalFormatting>
  <conditionalFormatting sqref="D9:D185">
    <cfRule type="cellIs" dxfId="4402" priority="4740" operator="equal">
      <formula>"NÃO INICIADO"</formula>
    </cfRule>
    <cfRule type="cellIs" dxfId="4401" priority="4739" operator="equal">
      <formula>"FINALIZADO"</formula>
    </cfRule>
    <cfRule type="cellIs" dxfId="4400" priority="4738" operator="equal">
      <formula>"EM PROCESSO"</formula>
    </cfRule>
    <cfRule type="cellIs" dxfId="4399" priority="4734" operator="equal">
      <formula>"NÃO INICIADO"</formula>
    </cfRule>
    <cfRule type="cellIs" dxfId="4398" priority="4733" operator="equal">
      <formula>"FINALIZADO"</formula>
    </cfRule>
    <cfRule type="cellIs" dxfId="4397" priority="4732" operator="equal">
      <formula>"EM PROCESSO"</formula>
    </cfRule>
  </conditionalFormatting>
  <conditionalFormatting sqref="D9:D31">
    <cfRule type="cellIs" dxfId="4396" priority="4737" operator="equal">
      <formula>"NÃO INICIADO"</formula>
    </cfRule>
    <cfRule type="cellIs" dxfId="4395" priority="4736" operator="equal">
      <formula>"FINALIZADO"</formula>
    </cfRule>
    <cfRule type="cellIs" dxfId="4394" priority="4735" operator="equal">
      <formula>"EM PROCESSO"</formula>
    </cfRule>
    <cfRule type="cellIs" dxfId="4393" priority="4731" operator="equal">
      <formula>"NÃO INICIADO"</formula>
    </cfRule>
    <cfRule type="cellIs" dxfId="4392" priority="4730" operator="equal">
      <formula>"FINALIZADO"</formula>
    </cfRule>
    <cfRule type="cellIs" dxfId="4391" priority="4729" operator="equal">
      <formula>"EM PROCESSO"</formula>
    </cfRule>
  </conditionalFormatting>
  <conditionalFormatting sqref="D9:D208">
    <cfRule type="cellIs" dxfId="4390" priority="4728" operator="equal">
      <formula>"NÃO INICIADO"</formula>
    </cfRule>
    <cfRule type="cellIs" dxfId="4389" priority="4727" operator="equal">
      <formula>"FINALIZADO"</formula>
    </cfRule>
    <cfRule type="cellIs" dxfId="4388" priority="4726" operator="equal">
      <formula>"EM PROCESSO"</formula>
    </cfRule>
    <cfRule type="cellIs" dxfId="4387" priority="4722" operator="equal">
      <formula>"NÃO INICIADO"</formula>
    </cfRule>
    <cfRule type="cellIs" dxfId="4386" priority="4721" operator="equal">
      <formula>"FINALIZADO"</formula>
    </cfRule>
    <cfRule type="cellIs" dxfId="4385" priority="4720" operator="equal">
      <formula>"EM PROCESSO"</formula>
    </cfRule>
    <cfRule type="cellIs" dxfId="4384" priority="4719" operator="equal">
      <formula>"NÃO INICIADO"</formula>
    </cfRule>
    <cfRule type="cellIs" dxfId="4383" priority="4718" operator="equal">
      <formula>"FINALIZADO"</formula>
    </cfRule>
    <cfRule type="cellIs" dxfId="4382" priority="4717" operator="equal">
      <formula>"EM PROCESSO"</formula>
    </cfRule>
    <cfRule type="cellIs" dxfId="4381" priority="4716" operator="equal">
      <formula>"NÃO INICIADO"</formula>
    </cfRule>
    <cfRule type="cellIs" dxfId="4380" priority="4715" operator="equal">
      <formula>"FINALIZADO"</formula>
    </cfRule>
    <cfRule type="cellIs" dxfId="4379" priority="4714" operator="equal">
      <formula>"EM PROCESSO"</formula>
    </cfRule>
  </conditionalFormatting>
  <conditionalFormatting sqref="D9:D208">
    <cfRule type="cellIs" dxfId="4378" priority="4725" operator="equal">
      <formula>"NÃO INICIADO"</formula>
    </cfRule>
    <cfRule type="cellIs" dxfId="4377" priority="4724" operator="equal">
      <formula>"FINALIZADO"</formula>
    </cfRule>
    <cfRule type="cellIs" dxfId="4376" priority="4723" operator="equal">
      <formula>"EM PROCESSO"</formula>
    </cfRule>
    <cfRule type="cellIs" dxfId="4375" priority="4707" operator="equal">
      <formula>"NÃO INICIADO"</formula>
    </cfRule>
    <cfRule type="cellIs" dxfId="4374" priority="4706" operator="equal">
      <formula>"FINALIZADO"</formula>
    </cfRule>
    <cfRule type="cellIs" dxfId="4373" priority="4705" operator="equal">
      <formula>"EM PROCESSO"</formula>
    </cfRule>
    <cfRule type="cellIs" dxfId="4372" priority="4704" operator="equal">
      <formula>"NÃO INICIADO"</formula>
    </cfRule>
    <cfRule type="cellIs" dxfId="4371" priority="4703" operator="equal">
      <formula>"FINALIZADO"</formula>
    </cfRule>
    <cfRule type="cellIs" dxfId="4370" priority="4702" operator="equal">
      <formula>"EM PROCESSO"</formula>
    </cfRule>
    <cfRule type="cellIs" dxfId="4369" priority="4701" operator="equal">
      <formula>"NÃO INICIADO"</formula>
    </cfRule>
    <cfRule type="cellIs" dxfId="4368" priority="4700" operator="equal">
      <formula>"FINALIZADO"</formula>
    </cfRule>
    <cfRule type="cellIs" dxfId="4367" priority="4699" operator="equal">
      <formula>"EM PROCESSO"</formula>
    </cfRule>
    <cfRule type="cellIs" dxfId="4366" priority="4698" operator="equal">
      <formula>"NÃO INICIADO"</formula>
    </cfRule>
    <cfRule type="cellIs" dxfId="4365" priority="4697" operator="equal">
      <formula>"FINALIZADO"</formula>
    </cfRule>
    <cfRule type="cellIs" dxfId="4364" priority="4696" operator="equal">
      <formula>"EM PROCESSO"</formula>
    </cfRule>
    <cfRule type="cellIs" dxfId="4363" priority="4695" operator="equal">
      <formula>"NÃO INICIADO"</formula>
    </cfRule>
    <cfRule type="cellIs" dxfId="4362" priority="4694" operator="equal">
      <formula>"FINALIZADO"</formula>
    </cfRule>
    <cfRule type="cellIs" dxfId="4361" priority="4693" operator="equal">
      <formula>"EM PROCESSO"</formula>
    </cfRule>
  </conditionalFormatting>
  <conditionalFormatting sqref="D9:D205">
    <cfRule type="cellIs" dxfId="4360" priority="4713" operator="equal">
      <formula>"NÃO INICIADO"</formula>
    </cfRule>
    <cfRule type="cellIs" dxfId="4359" priority="4712" operator="equal">
      <formula>"FINALIZADO"</formula>
    </cfRule>
    <cfRule type="cellIs" dxfId="4358" priority="4711" operator="equal">
      <formula>"EM PROCESSO"</formula>
    </cfRule>
  </conditionalFormatting>
  <conditionalFormatting sqref="D9:D207">
    <cfRule type="cellIs" dxfId="4357" priority="4710" operator="equal">
      <formula>"NÃO INICIADO"</formula>
    </cfRule>
    <cfRule type="cellIs" dxfId="4356" priority="4709" operator="equal">
      <formula>"FINALIZADO"</formula>
    </cfRule>
    <cfRule type="cellIs" dxfId="4355" priority="4708" operator="equal">
      <formula>"EM PROCESSO"</formula>
    </cfRule>
  </conditionalFormatting>
  <conditionalFormatting sqref="D9:D108">
    <cfRule type="cellIs" dxfId="4354" priority="4692" operator="equal">
      <formula>"NÃO INICIADO"</formula>
    </cfRule>
    <cfRule type="cellIs" dxfId="4353" priority="4691" operator="equal">
      <formula>"FINALIZADO"</formula>
    </cfRule>
    <cfRule type="cellIs" dxfId="4352" priority="4690" operator="equal">
      <formula>"EM PROCESSO"</formula>
    </cfRule>
  </conditionalFormatting>
  <conditionalFormatting sqref="D9:D25">
    <cfRule type="cellIs" dxfId="4351" priority="4689" operator="equal">
      <formula>"NÃO INICIADO"</formula>
    </cfRule>
    <cfRule type="cellIs" dxfId="4350" priority="4688" operator="equal">
      <formula>"FINALIZADO"</formula>
    </cfRule>
    <cfRule type="cellIs" dxfId="4349" priority="4687" operator="equal">
      <formula>"EM PROCESSO"</formula>
    </cfRule>
  </conditionalFormatting>
  <conditionalFormatting sqref="D9:D64">
    <cfRule type="cellIs" dxfId="4348" priority="4686" operator="equal">
      <formula>"NÃO INICIADO"</formula>
    </cfRule>
    <cfRule type="cellIs" dxfId="4347" priority="4685" operator="equal">
      <formula>"FINALIZADO"</formula>
    </cfRule>
    <cfRule type="cellIs" dxfId="4346" priority="4684" operator="equal">
      <formula>"EM PROCESSO"</formula>
    </cfRule>
  </conditionalFormatting>
  <conditionalFormatting sqref="D9:D137">
    <cfRule type="cellIs" dxfId="4345" priority="4683" operator="equal">
      <formula>"NÃO INICIADO"</formula>
    </cfRule>
    <cfRule type="cellIs" dxfId="4344" priority="4682" operator="equal">
      <formula>"FINALIZADO"</formula>
    </cfRule>
    <cfRule type="cellIs" dxfId="4343" priority="4681" operator="equal">
      <formula>"EM PROCESSO"</formula>
    </cfRule>
  </conditionalFormatting>
  <conditionalFormatting sqref="D9:D141">
    <cfRule type="cellIs" dxfId="4342" priority="4680" operator="equal">
      <formula>"NÃO INICIADO"</formula>
    </cfRule>
    <cfRule type="cellIs" dxfId="4341" priority="4679" operator="equal">
      <formula>"FINALIZADO"</formula>
    </cfRule>
    <cfRule type="cellIs" dxfId="4340" priority="4678" operator="equal">
      <formula>"EM PROCESSO"</formula>
    </cfRule>
  </conditionalFormatting>
  <conditionalFormatting sqref="D9:D53">
    <cfRule type="cellIs" dxfId="4339" priority="4677" operator="equal">
      <formula>"NÃO INICIADO"</formula>
    </cfRule>
    <cfRule type="cellIs" dxfId="4338" priority="4676" operator="equal">
      <formula>"FINALIZADO"</formula>
    </cfRule>
    <cfRule type="cellIs" dxfId="4337" priority="4675" operator="equal">
      <formula>"EM PROCESSO"</formula>
    </cfRule>
  </conditionalFormatting>
  <conditionalFormatting sqref="D9:D72">
    <cfRule type="cellIs" dxfId="4336" priority="4674" operator="equal">
      <formula>"NÃO INICIADO"</formula>
    </cfRule>
    <cfRule type="cellIs" dxfId="4335" priority="4673" operator="equal">
      <formula>"FINALIZADO"</formula>
    </cfRule>
    <cfRule type="cellIs" dxfId="4334" priority="4672" operator="equal">
      <formula>"EM PROCESSO"</formula>
    </cfRule>
  </conditionalFormatting>
  <conditionalFormatting sqref="D9:D11">
    <cfRule type="cellIs" dxfId="4333" priority="4671" operator="equal">
      <formula>"NÃO INICIADO"</formula>
    </cfRule>
    <cfRule type="cellIs" dxfId="4332" priority="4670" operator="equal">
      <formula>"FINALIZADO"</formula>
    </cfRule>
    <cfRule type="cellIs" dxfId="4331" priority="4669" operator="equal">
      <formula>"EM PROCESSO"</formula>
    </cfRule>
    <cfRule type="cellIs" dxfId="4330" priority="4659" operator="equal">
      <formula>"NÃO INICIADO"</formula>
    </cfRule>
    <cfRule type="cellIs" dxfId="4329" priority="4658" operator="equal">
      <formula>"FINALIZADO"</formula>
    </cfRule>
    <cfRule type="cellIs" dxfId="4328" priority="4657" operator="equal">
      <formula>"EM PROCESSO"</formula>
    </cfRule>
    <cfRule type="cellIs" dxfId="4327" priority="3918" operator="equal">
      <formula>"NÃO INICIADO"</formula>
    </cfRule>
    <cfRule type="cellIs" dxfId="4326" priority="3916" operator="equal">
      <formula>"EM PROCESSO"</formula>
    </cfRule>
    <cfRule type="cellIs" dxfId="4325" priority="3412" operator="equal">
      <formula>"EM PROCESSO"</formula>
    </cfRule>
    <cfRule type="cellIs" dxfId="4324" priority="2768" operator="equal">
      <formula>"FINALIZADO"</formula>
    </cfRule>
    <cfRule type="cellIs" dxfId="4323" priority="2450" operator="equal">
      <formula>"FINALIZADO"</formula>
    </cfRule>
    <cfRule type="cellIs" dxfId="4322" priority="2447" operator="equal">
      <formula>"FINALIZADO"</formula>
    </cfRule>
    <cfRule type="cellIs" dxfId="4321" priority="1976" operator="equal">
      <formula>"FINALIZADO"</formula>
    </cfRule>
    <cfRule type="cellIs" dxfId="4320" priority="1032" operator="equal">
      <formula>"NÃO INICIADO"</formula>
    </cfRule>
    <cfRule type="cellIs" dxfId="4319" priority="992" operator="equal">
      <formula>"FINALIZADO"</formula>
    </cfRule>
    <cfRule type="cellIs" dxfId="4318" priority="603" operator="equal">
      <formula>"NÃO INICIADO"</formula>
    </cfRule>
  </conditionalFormatting>
  <conditionalFormatting sqref="D9">
    <cfRule type="cellIs" dxfId="4317" priority="4668" operator="equal">
      <formula>"NÃO INICIADO"</formula>
    </cfRule>
    <cfRule type="cellIs" dxfId="4316" priority="4667" operator="equal">
      <formula>"FINALIZADO"</formula>
    </cfRule>
    <cfRule type="cellIs" dxfId="4315" priority="4666" operator="equal">
      <formula>"EM PROCESSO"</formula>
    </cfRule>
    <cfRule type="cellIs" dxfId="4314" priority="4662" operator="equal">
      <formula>"NÃO INICIADO"</formula>
    </cfRule>
    <cfRule type="cellIs" dxfId="4313" priority="4661" operator="equal">
      <formula>"FINALIZADO"</formula>
    </cfRule>
    <cfRule type="cellIs" dxfId="4312" priority="4660" operator="equal">
      <formula>"EM PROCESSO"</formula>
    </cfRule>
    <cfRule type="cellIs" dxfId="4311" priority="4656" operator="equal">
      <formula>"NÃO INICIADO"</formula>
    </cfRule>
    <cfRule type="cellIs" dxfId="4310" priority="4655" operator="equal">
      <formula>"FINALIZADO"</formula>
    </cfRule>
    <cfRule type="cellIs" dxfId="4309" priority="4654" operator="equal">
      <formula>"EM PROCESSO"</formula>
    </cfRule>
    <cfRule type="cellIs" dxfId="4308" priority="4650" operator="equal">
      <formula>"NÃO INICIADO"</formula>
    </cfRule>
    <cfRule type="cellIs" dxfId="4307" priority="4649" operator="equal">
      <formula>"FINALIZADO"</formula>
    </cfRule>
    <cfRule type="cellIs" dxfId="4306" priority="4648" operator="equal">
      <formula>"EM PROCESSO"</formula>
    </cfRule>
    <cfRule type="cellIs" dxfId="4305" priority="4230" operator="equal">
      <formula>"NÃO INICIADO"</formula>
    </cfRule>
    <cfRule type="cellIs" dxfId="4304" priority="4229" operator="equal">
      <formula>"FINALIZADO"</formula>
    </cfRule>
    <cfRule type="cellIs" dxfId="4303" priority="4228" operator="equal">
      <formula>"EM PROCESSO"</formula>
    </cfRule>
    <cfRule type="cellIs" dxfId="4302" priority="4227" operator="equal">
      <formula>"NÃO INICIADO"</formula>
    </cfRule>
    <cfRule type="cellIs" dxfId="4301" priority="4226" operator="equal">
      <formula>"FINALIZADO"</formula>
    </cfRule>
    <cfRule type="cellIs" dxfId="4300" priority="4225" operator="equal">
      <formula>"EM PROCESSO"</formula>
    </cfRule>
    <cfRule type="cellIs" dxfId="4299" priority="4224" operator="equal">
      <formula>"NÃO INICIADO"</formula>
    </cfRule>
    <cfRule type="cellIs" dxfId="4298" priority="4223" operator="equal">
      <formula>"FINALIZADO"</formula>
    </cfRule>
    <cfRule type="cellIs" dxfId="4297" priority="4222" operator="equal">
      <formula>"EM PROCESSO"</formula>
    </cfRule>
    <cfRule type="cellIs" dxfId="4296" priority="4176" operator="equal">
      <formula>"NÃO INICIADO"</formula>
    </cfRule>
    <cfRule type="cellIs" dxfId="4295" priority="4175" operator="equal">
      <formula>"FINALIZADO"</formula>
    </cfRule>
    <cfRule type="cellIs" dxfId="4294" priority="4174" operator="equal">
      <formula>"EM PROCESSO"</formula>
    </cfRule>
    <cfRule type="cellIs" dxfId="4293" priority="3780" operator="equal">
      <formula>"NÃO INICIADO"</formula>
    </cfRule>
    <cfRule type="cellIs" dxfId="4292" priority="3777" operator="equal">
      <formula>"NÃO INICIADO"</formula>
    </cfRule>
    <cfRule type="cellIs" dxfId="4291" priority="3724" operator="equal">
      <formula>"EM PROCESSO"</formula>
    </cfRule>
    <cfRule type="cellIs" dxfId="4290" priority="3721" operator="equal">
      <formula>"EM PROCESSO"</formula>
    </cfRule>
    <cfRule type="cellIs" dxfId="4289" priority="3718" operator="equal">
      <formula>"EM PROCESSO"</formula>
    </cfRule>
    <cfRule type="cellIs" dxfId="4288" priority="3687" operator="equal">
      <formula>"NÃO INICIADO"</formula>
    </cfRule>
    <cfRule type="cellIs" dxfId="4287" priority="3684" operator="equal">
      <formula>"NÃO INICIADO"</formula>
    </cfRule>
    <cfRule type="cellIs" dxfId="4286" priority="3681" operator="equal">
      <formula>"NÃO INICIADO"</formula>
    </cfRule>
    <cfRule type="cellIs" dxfId="4285" priority="3462" operator="equal">
      <formula>"NÃO INICIADO"</formula>
    </cfRule>
    <cfRule type="cellIs" dxfId="4284" priority="3456" operator="equal">
      <formula>"NÃO INICIADO"</formula>
    </cfRule>
    <cfRule type="cellIs" dxfId="4283" priority="3369" operator="equal">
      <formula>"NÃO INICIADO"</formula>
    </cfRule>
    <cfRule type="cellIs" dxfId="4282" priority="3131" operator="equal">
      <formula>"FINALIZADO"</formula>
    </cfRule>
    <cfRule type="cellIs" dxfId="4281" priority="3093" operator="equal">
      <formula>"NÃO INICIADO"</formula>
    </cfRule>
    <cfRule type="cellIs" dxfId="4280" priority="2938" operator="equal">
      <formula>"EM PROCESSO"</formula>
    </cfRule>
    <cfRule type="cellIs" dxfId="4279" priority="2889" operator="equal">
      <formula>"NÃO INICIADO"</formula>
    </cfRule>
    <cfRule type="cellIs" dxfId="4278" priority="2794" operator="equal">
      <formula>"EM PROCESSO"</formula>
    </cfRule>
    <cfRule type="cellIs" dxfId="4277" priority="2631" operator="equal">
      <formula>"NÃO INICIADO"</formula>
    </cfRule>
    <cfRule type="cellIs" dxfId="4276" priority="2365" operator="equal">
      <formula>"EM PROCESSO"</formula>
    </cfRule>
    <cfRule type="cellIs" dxfId="4275" priority="2362" operator="equal">
      <formula>"EM PROCESSO"</formula>
    </cfRule>
    <cfRule type="cellIs" dxfId="4274" priority="2356" operator="equal">
      <formula>"EM PROCESSO"</formula>
    </cfRule>
    <cfRule type="cellIs" dxfId="4273" priority="2025" operator="equal">
      <formula>"NÃO INICIADO"</formula>
    </cfRule>
    <cfRule type="cellIs" dxfId="4272" priority="1840" operator="equal">
      <formula>"EM PROCESSO"</formula>
    </cfRule>
    <cfRule type="cellIs" dxfId="4271" priority="1837" operator="equal">
      <formula>"EM PROCESSO"</formula>
    </cfRule>
    <cfRule type="cellIs" dxfId="4270" priority="1783" operator="equal">
      <formula>"EM PROCESSO"</formula>
    </cfRule>
    <cfRule type="cellIs" dxfId="4269" priority="235" operator="equal">
      <formula>"EM PROCESSO"</formula>
    </cfRule>
    <cfRule type="cellIs" dxfId="4268" priority="232" operator="equal">
      <formula>"EM PROCESSO"</formula>
    </cfRule>
  </conditionalFormatting>
  <conditionalFormatting sqref="D9:D12">
    <cfRule type="cellIs" dxfId="4267" priority="4665" operator="equal">
      <formula>"NÃO INICIADO"</formula>
    </cfRule>
    <cfRule type="cellIs" dxfId="4266" priority="4664" operator="equal">
      <formula>"FINALIZADO"</formula>
    </cfRule>
    <cfRule type="cellIs" dxfId="4265" priority="4663" operator="equal">
      <formula>"EM PROCESSO"</formula>
    </cfRule>
    <cfRule type="cellIs" dxfId="4264" priority="3183" operator="equal">
      <formula>"NÃO INICIADO"</formula>
    </cfRule>
    <cfRule type="cellIs" dxfId="4263" priority="3141" operator="equal">
      <formula>"NÃO INICIADO"</formula>
    </cfRule>
    <cfRule type="cellIs" dxfId="4262" priority="2929" operator="equal">
      <formula>"EM PROCESSO"</formula>
    </cfRule>
    <cfRule type="cellIs" dxfId="4261" priority="2313" operator="equal">
      <formula>"NÃO INICIADO"</formula>
    </cfRule>
    <cfRule type="cellIs" dxfId="4260" priority="1872" operator="equal">
      <formula>"NÃO INICIADO"</formula>
    </cfRule>
    <cfRule type="cellIs" dxfId="4259" priority="745" operator="equal">
      <formula>"EM PROCESSO"</formula>
    </cfRule>
  </conditionalFormatting>
  <conditionalFormatting sqref="D9:D363">
    <cfRule type="cellIs" dxfId="4258" priority="4653" operator="equal">
      <formula>"NÃO INICIADO"</formula>
    </cfRule>
    <cfRule type="cellIs" dxfId="4257" priority="4652" operator="equal">
      <formula>"FINALIZADO"</formula>
    </cfRule>
    <cfRule type="cellIs" dxfId="4256" priority="4651" operator="equal">
      <formula>"EM PROCESSO"</formula>
    </cfRule>
  </conditionalFormatting>
  <conditionalFormatting sqref="D9:D32">
    <cfRule type="cellIs" dxfId="4255" priority="4647" operator="equal">
      <formula>"NÃO INICIADO"</formula>
    </cfRule>
    <cfRule type="cellIs" dxfId="4254" priority="4646" operator="equal">
      <formula>"FINALIZADO"</formula>
    </cfRule>
    <cfRule type="cellIs" dxfId="4253" priority="4645" operator="equal">
      <formula>"EM PROCESSO"</formula>
    </cfRule>
  </conditionalFormatting>
  <conditionalFormatting sqref="D9:D115">
    <cfRule type="cellIs" dxfId="4252" priority="4644" operator="equal">
      <formula>"NÃO INICIADO"</formula>
    </cfRule>
    <cfRule type="cellIs" dxfId="4251" priority="4643" operator="equal">
      <formula>"FINALIZADO"</formula>
    </cfRule>
    <cfRule type="cellIs" dxfId="4250" priority="4642" operator="equal">
      <formula>"EM PROCESSO"</formula>
    </cfRule>
  </conditionalFormatting>
  <conditionalFormatting sqref="D9:D322">
    <cfRule type="cellIs" dxfId="4249" priority="4641" operator="equal">
      <formula>"NÃO INICIADO"</formula>
    </cfRule>
    <cfRule type="cellIs" dxfId="4248" priority="4640" operator="equal">
      <formula>"FINALIZADO"</formula>
    </cfRule>
    <cfRule type="cellIs" dxfId="4247" priority="4639" operator="equal">
      <formula>"EM PROCESSO"</formula>
    </cfRule>
  </conditionalFormatting>
  <conditionalFormatting sqref="D9:D187">
    <cfRule type="cellIs" dxfId="4246" priority="4638" operator="equal">
      <formula>"NÃO INICIADO"</formula>
    </cfRule>
    <cfRule type="cellIs" dxfId="4245" priority="4637" operator="equal">
      <formula>"FINALIZADO"</formula>
    </cfRule>
    <cfRule type="cellIs" dxfId="4244" priority="4636" operator="equal">
      <formula>"EM PROCESSO"</formula>
    </cfRule>
  </conditionalFormatting>
  <conditionalFormatting sqref="D9:D165">
    <cfRule type="cellIs" dxfId="4243" priority="4635" operator="equal">
      <formula>"NÃO INICIADO"</formula>
    </cfRule>
    <cfRule type="cellIs" dxfId="4242" priority="4634" operator="equal">
      <formula>"FINALIZADO"</formula>
    </cfRule>
    <cfRule type="cellIs" dxfId="4241" priority="4633" operator="equal">
      <formula>"EM PROCESSO"</formula>
    </cfRule>
  </conditionalFormatting>
  <conditionalFormatting sqref="D9:D148">
    <cfRule type="cellIs" dxfId="4240" priority="4632" operator="equal">
      <formula>"NÃO INICIADO"</formula>
    </cfRule>
    <cfRule type="cellIs" dxfId="4239" priority="4631" operator="equal">
      <formula>"FINALIZADO"</formula>
    </cfRule>
    <cfRule type="cellIs" dxfId="4238" priority="4630" operator="equal">
      <formula>"EM PROCESSO"</formula>
    </cfRule>
  </conditionalFormatting>
  <conditionalFormatting sqref="D9:D19">
    <cfRule type="cellIs" dxfId="4237" priority="4629" operator="equal">
      <formula>"NÃO INICIADO"</formula>
    </cfRule>
    <cfRule type="cellIs" dxfId="4236" priority="4628" operator="equal">
      <formula>"FINALIZADO"</formula>
    </cfRule>
    <cfRule type="cellIs" dxfId="4235" priority="4627" operator="equal">
      <formula>"EM PROCESSO"</formula>
    </cfRule>
    <cfRule type="cellIs" dxfId="4234" priority="468" operator="equal">
      <formula>"NÃO INICIADO"</formula>
    </cfRule>
  </conditionalFormatting>
  <conditionalFormatting sqref="D9">
    <cfRule type="cellIs" dxfId="4233" priority="4626" operator="equal">
      <formula>"NÃO INICIADO"</formula>
    </cfRule>
    <cfRule type="cellIs" dxfId="4232" priority="4625" operator="equal">
      <formula>"FINALIZADO"</formula>
    </cfRule>
    <cfRule type="cellIs" dxfId="4231" priority="4624" operator="equal">
      <formula>"EM PROCESSO"</formula>
    </cfRule>
    <cfRule type="cellIs" dxfId="4230" priority="4617" operator="equal">
      <formula>"NÃO INICIADO"</formula>
    </cfRule>
    <cfRule type="cellIs" dxfId="4229" priority="4616" operator="equal">
      <formula>"FINALIZADO"</formula>
    </cfRule>
    <cfRule type="cellIs" dxfId="4228" priority="4615" operator="equal">
      <formula>"EM PROCESSO"</formula>
    </cfRule>
    <cfRule type="cellIs" dxfId="4227" priority="4614" operator="equal">
      <formula>"NÃO INICIADO"</formula>
    </cfRule>
    <cfRule type="cellIs" dxfId="4226" priority="4613" operator="equal">
      <formula>"FINALIZADO"</formula>
    </cfRule>
    <cfRule type="cellIs" dxfId="4225" priority="4612" operator="equal">
      <formula>"EM PROCESSO"</formula>
    </cfRule>
    <cfRule type="cellIs" dxfId="4224" priority="3367" operator="equal">
      <formula>"EM PROCESSO"</formula>
    </cfRule>
    <cfRule type="cellIs" dxfId="4223" priority="3300" operator="equal">
      <formula>"NÃO INICIADO"</formula>
    </cfRule>
    <cfRule type="cellIs" dxfId="4222" priority="3226" operator="equal">
      <formula>"EM PROCESSO"</formula>
    </cfRule>
    <cfRule type="cellIs" dxfId="4221" priority="3220" operator="equal">
      <formula>"EM PROCESSO"</formula>
    </cfRule>
    <cfRule type="cellIs" dxfId="4220" priority="2554" operator="equal">
      <formula>"EM PROCESSO"</formula>
    </cfRule>
    <cfRule type="cellIs" dxfId="4219" priority="2548" operator="equal">
      <formula>"EM PROCESSO"</formula>
    </cfRule>
    <cfRule type="cellIs" dxfId="4218" priority="2443" operator="equal">
      <formula>"EM PROCESSO"</formula>
    </cfRule>
    <cfRule type="cellIs" dxfId="4217" priority="2183" operator="equal">
      <formula>"FINALIZADO"</formula>
    </cfRule>
    <cfRule type="cellIs" dxfId="4216" priority="2127" operator="equal">
      <formula>"NÃO INICIADO"</formula>
    </cfRule>
    <cfRule type="cellIs" dxfId="4215" priority="2124" operator="equal">
      <formula>"NÃO INICIADO"</formula>
    </cfRule>
    <cfRule type="cellIs" dxfId="4214" priority="1941" operator="equal">
      <formula>"NÃO INICIADO"</formula>
    </cfRule>
    <cfRule type="cellIs" dxfId="4213" priority="1910" operator="equal">
      <formula>"FINALIZADO"</formula>
    </cfRule>
    <cfRule type="cellIs" dxfId="4212" priority="1842" operator="equal">
      <formula>"NÃO INICIADO"</formula>
    </cfRule>
    <cfRule type="cellIs" dxfId="4211" priority="1839" operator="equal">
      <formula>"NÃO INICIADO"</formula>
    </cfRule>
    <cfRule type="cellIs" dxfId="4210" priority="1765" operator="equal">
      <formula>"EM PROCESSO"</formula>
    </cfRule>
    <cfRule type="cellIs" dxfId="4209" priority="1762" operator="equal">
      <formula>"EM PROCESSO"</formula>
    </cfRule>
    <cfRule type="cellIs" dxfId="4208" priority="1759" operator="equal">
      <formula>"EM PROCESSO"</formula>
    </cfRule>
    <cfRule type="cellIs" dxfId="4207" priority="1561" operator="equal">
      <formula>"EM PROCESSO"</formula>
    </cfRule>
    <cfRule type="cellIs" dxfId="4206" priority="1549" operator="equal">
      <formula>"EM PROCESSO"</formula>
    </cfRule>
    <cfRule type="cellIs" dxfId="4205" priority="1546" operator="equal">
      <formula>"EM PROCESSO"</formula>
    </cfRule>
    <cfRule type="cellIs" dxfId="4204" priority="1543" operator="equal">
      <formula>"EM PROCESSO"</formula>
    </cfRule>
    <cfRule type="cellIs" dxfId="4203" priority="1393" operator="equal">
      <formula>"EM PROCESSO"</formula>
    </cfRule>
    <cfRule type="cellIs" dxfId="4202" priority="1368" operator="equal">
      <formula>"NÃO INICIADO"</formula>
    </cfRule>
    <cfRule type="cellIs" dxfId="4201" priority="1359" operator="equal">
      <formula>"NÃO INICIADO"</formula>
    </cfRule>
    <cfRule type="cellIs" dxfId="4200" priority="1317" operator="equal">
      <formula>"NÃO INICIADO"</formula>
    </cfRule>
    <cfRule type="cellIs" dxfId="4199" priority="1311" operator="equal">
      <formula>"NÃO INICIADO"</formula>
    </cfRule>
    <cfRule type="cellIs" dxfId="4198" priority="1276" operator="equal">
      <formula>"EM PROCESSO"</formula>
    </cfRule>
    <cfRule type="cellIs" dxfId="4197" priority="1273" operator="equal">
      <formula>"EM PROCESSO"</formula>
    </cfRule>
    <cfRule type="cellIs" dxfId="4196" priority="1109" operator="equal">
      <formula>"FINALIZADO"</formula>
    </cfRule>
    <cfRule type="cellIs" dxfId="4195" priority="1106" operator="equal">
      <formula>"FINALIZADO"</formula>
    </cfRule>
    <cfRule type="cellIs" dxfId="4194" priority="963" operator="equal">
      <formula>"NÃO INICIADO"</formula>
    </cfRule>
    <cfRule type="cellIs" dxfId="4193" priority="753" operator="equal">
      <formula>"NÃO INICIADO"</formula>
    </cfRule>
    <cfRule type="cellIs" dxfId="4192" priority="568" operator="equal">
      <formula>"EM PROCESSO"</formula>
    </cfRule>
  </conditionalFormatting>
  <conditionalFormatting sqref="D9:D10">
    <cfRule type="cellIs" dxfId="4191" priority="4623" operator="equal">
      <formula>"NÃO INICIADO"</formula>
    </cfRule>
    <cfRule type="cellIs" dxfId="4190" priority="4622" operator="equal">
      <formula>"FINALIZADO"</formula>
    </cfRule>
    <cfRule type="cellIs" dxfId="4189" priority="4621" operator="equal">
      <formula>"EM PROCESSO"</formula>
    </cfRule>
    <cfRule type="cellIs" dxfId="4188" priority="4260" operator="equal">
      <formula>"NÃO INICIADO"</formula>
    </cfRule>
    <cfRule type="cellIs" dxfId="4187" priority="4259" operator="equal">
      <formula>"FINALIZADO"</formula>
    </cfRule>
    <cfRule type="cellIs" dxfId="4186" priority="4258" operator="equal">
      <formula>"EM PROCESSO"</formula>
    </cfRule>
    <cfRule type="cellIs" dxfId="4185" priority="3383" operator="equal">
      <formula>"FINALIZADO"</formula>
    </cfRule>
    <cfRule type="cellIs" dxfId="4184" priority="3044" operator="equal">
      <formula>"FINALIZADO"</formula>
    </cfRule>
    <cfRule type="cellIs" dxfId="4183" priority="2213" operator="equal">
      <formula>"FINALIZADO"</formula>
    </cfRule>
    <cfRule type="cellIs" dxfId="4182" priority="2210" operator="equal">
      <formula>"FINALIZADO"</formula>
    </cfRule>
    <cfRule type="cellIs" dxfId="4181" priority="1145" operator="equal">
      <formula>"FINALIZADO"</formula>
    </cfRule>
    <cfRule type="cellIs" dxfId="4180" priority="1116" operator="equal">
      <formula>"NÃO INICIADO"</formula>
    </cfRule>
  </conditionalFormatting>
  <conditionalFormatting sqref="D9:D10">
    <cfRule type="cellIs" dxfId="4179" priority="4620" operator="equal">
      <formula>"NÃO INICIADO"</formula>
    </cfRule>
    <cfRule type="cellIs" dxfId="4178" priority="4619" operator="equal">
      <formula>"FINALIZADO"</formula>
    </cfRule>
    <cfRule type="cellIs" dxfId="4177" priority="4618" operator="equal">
      <formula>"EM PROCESSO"</formula>
    </cfRule>
    <cfRule type="cellIs" dxfId="4176" priority="3944" operator="equal">
      <formula>"FINALIZADO"</formula>
    </cfRule>
    <cfRule type="cellIs" dxfId="4175" priority="3561" operator="equal">
      <formula>"NÃO INICIADO"</formula>
    </cfRule>
    <cfRule type="cellIs" dxfId="4174" priority="3043" operator="equal">
      <formula>"EM PROCESSO"</formula>
    </cfRule>
    <cfRule type="cellIs" dxfId="4173" priority="2803" operator="equal">
      <formula>"EM PROCESSO"</formula>
    </cfRule>
    <cfRule type="cellIs" dxfId="4172" priority="2325" operator="equal">
      <formula>"NÃO INICIADO"</formula>
    </cfRule>
    <cfRule type="cellIs" dxfId="4171" priority="2319" operator="equal">
      <formula>"NÃO INICIADO"</formula>
    </cfRule>
    <cfRule type="cellIs" dxfId="4170" priority="1802" operator="equal">
      <formula>"FINALIZADO"</formula>
    </cfRule>
    <cfRule type="cellIs" dxfId="4169" priority="1557" operator="equal">
      <formula>"NÃO INICIADO"</formula>
    </cfRule>
    <cfRule type="cellIs" dxfId="4168" priority="1554" operator="equal">
      <formula>"NÃO INICIADO"</formula>
    </cfRule>
    <cfRule type="cellIs" dxfId="4167" priority="1542" operator="equal">
      <formula>"NÃO INICIADO"</formula>
    </cfRule>
    <cfRule type="cellIs" dxfId="4166" priority="21" operator="equal">
      <formula>"NÃO INICIADO"</formula>
    </cfRule>
    <cfRule type="cellIs" dxfId="4165" priority="15" operator="equal">
      <formula>"NÃO INICIADO"</formula>
    </cfRule>
  </conditionalFormatting>
  <conditionalFormatting sqref="D9:D31">
    <cfRule type="cellIs" dxfId="4164" priority="4611" operator="equal">
      <formula>"NÃO INICIADO"</formula>
    </cfRule>
    <cfRule type="cellIs" dxfId="4163" priority="4610" operator="equal">
      <formula>"FINALIZADO"</formula>
    </cfRule>
    <cfRule type="cellIs" dxfId="4162" priority="4609" operator="equal">
      <formula>"EM PROCESSO"</formula>
    </cfRule>
    <cfRule type="cellIs" dxfId="4161" priority="3035" operator="equal">
      <formula>"FINALIZADO"</formula>
    </cfRule>
  </conditionalFormatting>
  <conditionalFormatting sqref="D9:D182">
    <cfRule type="cellIs" dxfId="4160" priority="4608" operator="equal">
      <formula>"NÃO INICIADO"</formula>
    </cfRule>
    <cfRule type="cellIs" dxfId="4159" priority="4607" operator="equal">
      <formula>"FINALIZADO"</formula>
    </cfRule>
    <cfRule type="cellIs" dxfId="4158" priority="4606" operator="equal">
      <formula>"EM PROCESSO"</formula>
    </cfRule>
  </conditionalFormatting>
  <conditionalFormatting sqref="D9:D168">
    <cfRule type="cellIs" dxfId="4157" priority="4605" operator="equal">
      <formula>"NÃO INICIADO"</formula>
    </cfRule>
    <cfRule type="cellIs" dxfId="4156" priority="4604" operator="equal">
      <formula>"FINALIZADO"</formula>
    </cfRule>
    <cfRule type="cellIs" dxfId="4155" priority="4603" operator="equal">
      <formula>"EM PROCESSO"</formula>
    </cfRule>
  </conditionalFormatting>
  <conditionalFormatting sqref="D9:D112">
    <cfRule type="cellIs" dxfId="4154" priority="4602" operator="equal">
      <formula>"NÃO INICIADO"</formula>
    </cfRule>
    <cfRule type="cellIs" dxfId="4153" priority="4601" operator="equal">
      <formula>"FINALIZADO"</formula>
    </cfRule>
    <cfRule type="cellIs" dxfId="4152" priority="4600" operator="equal">
      <formula>"EM PROCESSO"</formula>
    </cfRule>
    <cfRule type="cellIs" dxfId="4151" priority="29" operator="equal">
      <formula>"FINALIZADO"</formula>
    </cfRule>
  </conditionalFormatting>
  <conditionalFormatting sqref="D9:D97">
    <cfRule type="cellIs" dxfId="4150" priority="4599" operator="equal">
      <formula>"NÃO INICIADO"</formula>
    </cfRule>
    <cfRule type="cellIs" dxfId="4149" priority="4598" operator="equal">
      <formula>"FINALIZADO"</formula>
    </cfRule>
    <cfRule type="cellIs" dxfId="4148" priority="4597" operator="equal">
      <formula>"EM PROCESSO"</formula>
    </cfRule>
  </conditionalFormatting>
  <conditionalFormatting sqref="D9:D103">
    <cfRule type="cellIs" dxfId="4147" priority="4596" operator="equal">
      <formula>"NÃO INICIADO"</formula>
    </cfRule>
    <cfRule type="cellIs" dxfId="4146" priority="4595" operator="equal">
      <formula>"FINALIZADO"</formula>
    </cfRule>
    <cfRule type="cellIs" dxfId="4145" priority="4594" operator="equal">
      <formula>"EM PROCESSO"</formula>
    </cfRule>
  </conditionalFormatting>
  <conditionalFormatting sqref="D9:D21">
    <cfRule type="cellIs" dxfId="4144" priority="4593" operator="equal">
      <formula>"NÃO INICIADO"</formula>
    </cfRule>
    <cfRule type="cellIs" dxfId="4143" priority="4592" operator="equal">
      <formula>"FINALIZADO"</formula>
    </cfRule>
    <cfRule type="cellIs" dxfId="4142" priority="4591" operator="equal">
      <formula>"EM PROCESSO"</formula>
    </cfRule>
    <cfRule type="cellIs" dxfId="4141" priority="3676" operator="equal">
      <formula>"EM PROCESSO"</formula>
    </cfRule>
    <cfRule type="cellIs" dxfId="4140" priority="3145" operator="equal">
      <formula>"EM PROCESSO"</formula>
    </cfRule>
  </conditionalFormatting>
  <conditionalFormatting sqref="D9:D10">
    <cfRule type="cellIs" dxfId="4139" priority="4590" operator="equal">
      <formula>"NÃO INICIADO"</formula>
    </cfRule>
    <cfRule type="cellIs" dxfId="4138" priority="4589" operator="equal">
      <formula>"FINALIZADO"</formula>
    </cfRule>
    <cfRule type="cellIs" dxfId="4137" priority="4588" operator="equal">
      <formula>"EM PROCESSO"</formula>
    </cfRule>
    <cfRule type="cellIs" dxfId="4136" priority="4584" operator="equal">
      <formula>"NÃO INICIADO"</formula>
    </cfRule>
    <cfRule type="cellIs" dxfId="4135" priority="4583" operator="equal">
      <formula>"FINALIZADO"</formula>
    </cfRule>
    <cfRule type="cellIs" dxfId="4134" priority="4582" operator="equal">
      <formula>"EM PROCESSO"</formula>
    </cfRule>
    <cfRule type="cellIs" dxfId="4133" priority="3495" operator="equal">
      <formula>"NÃO INICIADO"</formula>
    </cfRule>
    <cfRule type="cellIs" dxfId="4132" priority="2765" operator="equal">
      <formula>"FINALIZADO"</formula>
    </cfRule>
    <cfRule type="cellIs" dxfId="4131" priority="1801" operator="equal">
      <formula>"EM PROCESSO"</formula>
    </cfRule>
    <cfRule type="cellIs" dxfId="4130" priority="1396" operator="equal">
      <formula>"EM PROCESSO"</formula>
    </cfRule>
    <cfRule type="cellIs" dxfId="4129" priority="20" operator="equal">
      <formula>"FINALIZADO"</formula>
    </cfRule>
    <cfRule type="cellIs" dxfId="4128" priority="14" operator="equal">
      <formula>"FINALIZADO"</formula>
    </cfRule>
  </conditionalFormatting>
  <conditionalFormatting sqref="D9:D31">
    <cfRule type="cellIs" dxfId="4127" priority="4587" operator="equal">
      <formula>"NÃO INICIADO"</formula>
    </cfRule>
    <cfRule type="cellIs" dxfId="4126" priority="4586" operator="equal">
      <formula>"FINALIZADO"</formula>
    </cfRule>
    <cfRule type="cellIs" dxfId="4125" priority="4585" operator="equal">
      <formula>"EM PROCESSO"</formula>
    </cfRule>
    <cfRule type="cellIs" dxfId="4124" priority="3036" operator="equal">
      <formula>"NÃO INICIADO"</formula>
    </cfRule>
  </conditionalFormatting>
  <conditionalFormatting sqref="D9:D23">
    <cfRule type="cellIs" dxfId="4123" priority="4581" operator="equal">
      <formula>"NÃO INICIADO"</formula>
    </cfRule>
    <cfRule type="cellIs" dxfId="4122" priority="4580" operator="equal">
      <formula>"FINALIZADO"</formula>
    </cfRule>
    <cfRule type="cellIs" dxfId="4121" priority="4579" operator="equal">
      <formula>"EM PROCESSO"</formula>
    </cfRule>
    <cfRule type="cellIs" dxfId="4120" priority="1569" operator="equal">
      <formula>"NÃO INICIADO"</formula>
    </cfRule>
  </conditionalFormatting>
  <conditionalFormatting sqref="D9:D87">
    <cfRule type="cellIs" dxfId="4119" priority="4578" operator="equal">
      <formula>"NÃO INICIADO"</formula>
    </cfRule>
    <cfRule type="cellIs" dxfId="4118" priority="4577" operator="equal">
      <formula>"FINALIZADO"</formula>
    </cfRule>
    <cfRule type="cellIs" dxfId="4117" priority="4576" operator="equal">
      <formula>"EM PROCESSO"</formula>
    </cfRule>
  </conditionalFormatting>
  <conditionalFormatting sqref="D9:D140">
    <cfRule type="cellIs" dxfId="4116" priority="4575" operator="equal">
      <formula>"NÃO INICIADO"</formula>
    </cfRule>
    <cfRule type="cellIs" dxfId="4115" priority="4574" operator="equal">
      <formula>"FINALIZADO"</formula>
    </cfRule>
    <cfRule type="cellIs" dxfId="4114" priority="4573" operator="equal">
      <formula>"EM PROCESSO"</formula>
    </cfRule>
  </conditionalFormatting>
  <conditionalFormatting sqref="D9:D46">
    <cfRule type="cellIs" dxfId="4113" priority="4572" operator="equal">
      <formula>"NÃO INICIADO"</formula>
    </cfRule>
    <cfRule type="cellIs" dxfId="4112" priority="4571" operator="equal">
      <formula>"FINALIZADO"</formula>
    </cfRule>
    <cfRule type="cellIs" dxfId="4111" priority="4570" operator="equal">
      <formula>"EM PROCESSO"</formula>
    </cfRule>
  </conditionalFormatting>
  <conditionalFormatting sqref="D9:D309">
    <cfRule type="cellIs" dxfId="4110" priority="4563" operator="equal">
      <formula>"NÃO INICIADO"</formula>
    </cfRule>
    <cfRule type="cellIs" dxfId="4109" priority="4562" operator="equal">
      <formula>"FINALIZADO"</formula>
    </cfRule>
    <cfRule type="cellIs" dxfId="4108" priority="4561" operator="equal">
      <formula>"EM PROCESSO"</formula>
    </cfRule>
  </conditionalFormatting>
  <conditionalFormatting sqref="D9:D335">
    <cfRule type="cellIs" dxfId="4107" priority="4560" operator="equal">
      <formula>"NÃO INICIADO"</formula>
    </cfRule>
    <cfRule type="cellIs" dxfId="4106" priority="4559" operator="equal">
      <formula>"FINALIZADO"</formula>
    </cfRule>
    <cfRule type="cellIs" dxfId="4105" priority="4558" operator="equal">
      <formula>"EM PROCESSO"</formula>
    </cfRule>
  </conditionalFormatting>
  <conditionalFormatting sqref="D9:D45">
    <cfRule type="cellIs" dxfId="4104" priority="4557" operator="equal">
      <formula>"NÃO INICIADO"</formula>
    </cfRule>
    <cfRule type="cellIs" dxfId="4103" priority="4556" operator="equal">
      <formula>"FINALIZADO"</formula>
    </cfRule>
    <cfRule type="cellIs" dxfId="4102" priority="4555" operator="equal">
      <formula>"EM PROCESSO"</formula>
    </cfRule>
  </conditionalFormatting>
  <conditionalFormatting sqref="D9:D93">
    <cfRule type="cellIs" dxfId="4101" priority="4554" operator="equal">
      <formula>"NÃO INICIADO"</formula>
    </cfRule>
    <cfRule type="cellIs" dxfId="4100" priority="4553" operator="equal">
      <formula>"FINALIZADO"</formula>
    </cfRule>
    <cfRule type="cellIs" dxfId="4099" priority="4552" operator="equal">
      <formula>"EM PROCESSO"</formula>
    </cfRule>
  </conditionalFormatting>
  <conditionalFormatting sqref="D9:D109">
    <cfRule type="cellIs" dxfId="4098" priority="4551" operator="equal">
      <formula>"NÃO INICIADO"</formula>
    </cfRule>
    <cfRule type="cellIs" dxfId="4097" priority="4550" operator="equal">
      <formula>"FINALIZADO"</formula>
    </cfRule>
    <cfRule type="cellIs" dxfId="4096" priority="4549" operator="equal">
      <formula>"EM PROCESSO"</formula>
    </cfRule>
  </conditionalFormatting>
  <conditionalFormatting sqref="D9:D75">
    <cfRule type="cellIs" dxfId="4095" priority="4545" operator="equal">
      <formula>"NÃO INICIADO"</formula>
    </cfRule>
    <cfRule type="cellIs" dxfId="4094" priority="4544" operator="equal">
      <formula>"FINALIZADO"</formula>
    </cfRule>
    <cfRule type="cellIs" dxfId="4093" priority="4543" operator="equal">
      <formula>"EM PROCESSO"</formula>
    </cfRule>
  </conditionalFormatting>
  <conditionalFormatting sqref="D9:D90">
    <cfRule type="cellIs" dxfId="4092" priority="4542" operator="equal">
      <formula>"NÃO INICIADO"</formula>
    </cfRule>
    <cfRule type="cellIs" dxfId="4091" priority="4541" operator="equal">
      <formula>"FINALIZADO"</formula>
    </cfRule>
    <cfRule type="cellIs" dxfId="4090" priority="4540" operator="equal">
      <formula>"EM PROCESSO"</formula>
    </cfRule>
  </conditionalFormatting>
  <conditionalFormatting sqref="D9:D12">
    <cfRule type="cellIs" dxfId="4089" priority="4539" operator="equal">
      <formula>"NÃO INICIADO"</formula>
    </cfRule>
    <cfRule type="cellIs" dxfId="4088" priority="4538" operator="equal">
      <formula>"FINALIZADO"</formula>
    </cfRule>
    <cfRule type="cellIs" dxfId="4087" priority="4537" operator="equal">
      <formula>"EM PROCESSO"</formula>
    </cfRule>
    <cfRule type="cellIs" dxfId="4086" priority="3657" operator="equal">
      <formula>"NÃO INICIADO"</formula>
    </cfRule>
    <cfRule type="cellIs" dxfId="4085" priority="2461" operator="equal">
      <formula>"EM PROCESSO"</formula>
    </cfRule>
    <cfRule type="cellIs" dxfId="4084" priority="2458" operator="equal">
      <formula>"EM PROCESSO"</formula>
    </cfRule>
    <cfRule type="cellIs" dxfId="4083" priority="746" operator="equal">
      <formula>"FINALIZADO"</formula>
    </cfRule>
  </conditionalFormatting>
  <conditionalFormatting sqref="D9:D12">
    <cfRule type="cellIs" dxfId="4082" priority="4536" operator="equal">
      <formula>"NÃO INICIADO"</formula>
    </cfRule>
    <cfRule type="cellIs" dxfId="4081" priority="4535" operator="equal">
      <formula>"FINALIZADO"</formula>
    </cfRule>
    <cfRule type="cellIs" dxfId="4080" priority="4534" operator="equal">
      <formula>"EM PROCESSO"</formula>
    </cfRule>
    <cfRule type="cellIs" dxfId="4079" priority="3458" operator="equal">
      <formula>"FINALIZADO"</formula>
    </cfRule>
    <cfRule type="cellIs" dxfId="4078" priority="2771" operator="equal">
      <formula>"FINALIZADO"</formula>
    </cfRule>
    <cfRule type="cellIs" dxfId="4077" priority="1943" operator="equal">
      <formula>"FINALIZADO"</formula>
    </cfRule>
    <cfRule type="cellIs" dxfId="4076" priority="1806" operator="equal">
      <formula>"NÃO INICIADO"</formula>
    </cfRule>
    <cfRule type="cellIs" dxfId="4075" priority="224" operator="equal">
      <formula>"FINALIZADO"</formula>
    </cfRule>
  </conditionalFormatting>
  <conditionalFormatting sqref="D9">
    <cfRule type="cellIs" dxfId="4074" priority="4533" operator="equal">
      <formula>"NÃO INICIADO"</formula>
    </cfRule>
    <cfRule type="cellIs" dxfId="4073" priority="4532" operator="equal">
      <formula>"FINALIZADO"</formula>
    </cfRule>
    <cfRule type="cellIs" dxfId="4072" priority="4531" operator="equal">
      <formula>"EM PROCESSO"</formula>
    </cfRule>
    <cfRule type="cellIs" dxfId="4071" priority="3691" operator="equal">
      <formula>"EM PROCESSO"</formula>
    </cfRule>
    <cfRule type="cellIs" dxfId="4070" priority="3652" operator="equal">
      <formula>"EM PROCESSO"</formula>
    </cfRule>
    <cfRule type="cellIs" dxfId="4069" priority="3649" operator="equal">
      <formula>"EM PROCESSO"</formula>
    </cfRule>
    <cfRule type="cellIs" dxfId="4068" priority="3460" operator="equal">
      <formula>"EM PROCESSO"</formula>
    </cfRule>
    <cfRule type="cellIs" dxfId="4067" priority="3454" operator="equal">
      <formula>"EM PROCESSO"</formula>
    </cfRule>
    <cfRule type="cellIs" dxfId="4066" priority="3178" operator="equal">
      <formula>"EM PROCESSO"</formula>
    </cfRule>
    <cfRule type="cellIs" dxfId="4065" priority="3175" operator="equal">
      <formula>"EM PROCESSO"</formula>
    </cfRule>
    <cfRule type="cellIs" dxfId="4064" priority="2939" operator="equal">
      <formula>"FINALIZADO"</formula>
    </cfRule>
    <cfRule type="cellIs" dxfId="4063" priority="2629" operator="equal">
      <formula>"EM PROCESSO"</formula>
    </cfRule>
    <cfRule type="cellIs" dxfId="4062" priority="2488" operator="equal">
      <formula>"EM PROCESSO"</formula>
    </cfRule>
    <cfRule type="cellIs" dxfId="4061" priority="2251" operator="equal">
      <formula>"EM PROCESSO"</formula>
    </cfRule>
    <cfRule type="cellIs" dxfId="4060" priority="2245" operator="equal">
      <formula>"EM PROCESSO"</formula>
    </cfRule>
    <cfRule type="cellIs" dxfId="4059" priority="2125" operator="equal">
      <formula>"EM PROCESSO"</formula>
    </cfRule>
    <cfRule type="cellIs" dxfId="4058" priority="2122" operator="equal">
      <formula>"EM PROCESSO"</formula>
    </cfRule>
    <cfRule type="cellIs" dxfId="4057" priority="1737" operator="equal">
      <formula>"NÃO INICIADO"</formula>
    </cfRule>
    <cfRule type="cellIs" dxfId="4056" priority="1695" operator="equal">
      <formula>"NÃO INICIADO"</formula>
    </cfRule>
    <cfRule type="cellIs" dxfId="4055" priority="1692" operator="equal">
      <formula>"NÃO INICIADO"</formula>
    </cfRule>
    <cfRule type="cellIs" dxfId="4054" priority="1686" operator="equal">
      <formula>"NÃO INICIADO"</formula>
    </cfRule>
    <cfRule type="cellIs" dxfId="4053" priority="1508" operator="equal">
      <formula>"FINALIZADO"</formula>
    </cfRule>
  </conditionalFormatting>
  <conditionalFormatting sqref="D9:D10">
    <cfRule type="cellIs" dxfId="4052" priority="4530" operator="equal">
      <formula>"NÃO INICIADO"</formula>
    </cfRule>
    <cfRule type="cellIs" dxfId="4051" priority="4529" operator="equal">
      <formula>"FINALIZADO"</formula>
    </cfRule>
    <cfRule type="cellIs" dxfId="4050" priority="4528" operator="equal">
      <formula>"EM PROCESSO"</formula>
    </cfRule>
    <cfRule type="cellIs" dxfId="4049" priority="4332" operator="equal">
      <formula>"NÃO INICIADO"</formula>
    </cfRule>
    <cfRule type="cellIs" dxfId="4048" priority="4331" operator="equal">
      <formula>"FINALIZADO"</formula>
    </cfRule>
    <cfRule type="cellIs" dxfId="4047" priority="4330" operator="equal">
      <formula>"EM PROCESSO"</formula>
    </cfRule>
    <cfRule type="cellIs" dxfId="4046" priority="3494" operator="equal">
      <formula>"FINALIZADO"</formula>
    </cfRule>
    <cfRule type="cellIs" dxfId="4045" priority="2668" operator="equal">
      <formula>"EM PROCESSO"</formula>
    </cfRule>
    <cfRule type="cellIs" dxfId="4044" priority="2662" operator="equal">
      <formula>"EM PROCESSO"</formula>
    </cfRule>
    <cfRule type="cellIs" dxfId="4043" priority="2093" operator="equal">
      <formula>"FINALIZADO"</formula>
    </cfRule>
    <cfRule type="cellIs" dxfId="4042" priority="2090" operator="equal">
      <formula>"FINALIZADO"</formula>
    </cfRule>
    <cfRule type="cellIs" dxfId="4041" priority="2017" operator="equal">
      <formula>"EM PROCESSO"</formula>
    </cfRule>
    <cfRule type="cellIs" dxfId="4040" priority="2014" operator="equal">
      <formula>"EM PROCESSO"</formula>
    </cfRule>
    <cfRule type="cellIs" dxfId="4039" priority="701" operator="equal">
      <formula>"FINALIZADO"</formula>
    </cfRule>
    <cfRule type="cellIs" dxfId="4038" priority="482" operator="equal">
      <formula>"FINALIZADO"</formula>
    </cfRule>
  </conditionalFormatting>
  <conditionalFormatting sqref="D9:D10">
    <cfRule type="cellIs" dxfId="4037" priority="4527" operator="equal">
      <formula>"NÃO INICIADO"</formula>
    </cfRule>
    <cfRule type="cellIs" dxfId="4036" priority="4526" operator="equal">
      <formula>"FINALIZADO"</formula>
    </cfRule>
    <cfRule type="cellIs" dxfId="4035" priority="4525" operator="equal">
      <formula>"EM PROCESSO"</formula>
    </cfRule>
    <cfRule type="cellIs" dxfId="4034" priority="4404" operator="equal">
      <formula>"NÃO INICIADO"</formula>
    </cfRule>
    <cfRule type="cellIs" dxfId="4033" priority="4403" operator="equal">
      <formula>"FINALIZADO"</formula>
    </cfRule>
    <cfRule type="cellIs" dxfId="4032" priority="4402" operator="equal">
      <formula>"EM PROCESSO"</formula>
    </cfRule>
    <cfRule type="cellIs" dxfId="4031" priority="3559" operator="equal">
      <formula>"EM PROCESSO"</formula>
    </cfRule>
    <cfRule type="cellIs" dxfId="4030" priority="3261" operator="equal">
      <formula>"NÃO INICIADO"</formula>
    </cfRule>
    <cfRule type="cellIs" dxfId="4029" priority="2244" operator="equal">
      <formula>"NÃO INICIADO"</formula>
    </cfRule>
    <cfRule type="cellIs" dxfId="4028" priority="2092" operator="equal">
      <formula>"EM PROCESSO"</formula>
    </cfRule>
    <cfRule type="cellIs" dxfId="4027" priority="2089" operator="equal">
      <formula>"EM PROCESSO"</formula>
    </cfRule>
    <cfRule type="cellIs" dxfId="4026" priority="1621" operator="equal">
      <formula>"EM PROCESSO"</formula>
    </cfRule>
    <cfRule type="cellIs" dxfId="4025" priority="1618" operator="equal">
      <formula>"EM PROCESSO"</formula>
    </cfRule>
    <cfRule type="cellIs" dxfId="4024" priority="1615" operator="equal">
      <formula>"EM PROCESSO"</formula>
    </cfRule>
    <cfRule type="cellIs" dxfId="4023" priority="1593" operator="equal">
      <formula>"NÃO INICIADO"</formula>
    </cfRule>
    <cfRule type="cellIs" dxfId="4022" priority="1398" operator="equal">
      <formula>"NÃO INICIADO"</formula>
    </cfRule>
    <cfRule type="cellIs" dxfId="4021" priority="1114" operator="equal">
      <formula>"EM PROCESSO"</formula>
    </cfRule>
    <cfRule type="cellIs" dxfId="4020" priority="504" operator="equal">
      <formula>"NÃO INICIADO"</formula>
    </cfRule>
  </conditionalFormatting>
  <conditionalFormatting sqref="D9:D24">
    <cfRule type="cellIs" dxfId="4019" priority="4524" operator="equal">
      <formula>"NÃO INICIADO"</formula>
    </cfRule>
    <cfRule type="cellIs" dxfId="4018" priority="4523" operator="equal">
      <formula>"FINALIZADO"</formula>
    </cfRule>
    <cfRule type="cellIs" dxfId="4017" priority="4522" operator="equal">
      <formula>"EM PROCESSO"</formula>
    </cfRule>
  </conditionalFormatting>
  <conditionalFormatting sqref="D9:D75">
    <cfRule type="cellIs" dxfId="4016" priority="4521" operator="equal">
      <formula>"NÃO INICIADO"</formula>
    </cfRule>
    <cfRule type="cellIs" dxfId="4015" priority="4520" operator="equal">
      <formula>"FINALIZADO"</formula>
    </cfRule>
    <cfRule type="cellIs" dxfId="4014" priority="4519" operator="equal">
      <formula>"EM PROCESSO"</formula>
    </cfRule>
    <cfRule type="cellIs" dxfId="4013" priority="4065" operator="equal">
      <formula>"NÃO INICIADO"</formula>
    </cfRule>
    <cfRule type="cellIs" dxfId="4012" priority="4064" operator="equal">
      <formula>"FINALIZADO"</formula>
    </cfRule>
    <cfRule type="cellIs" dxfId="4011" priority="4063" operator="equal">
      <formula>"EM PROCESSO"</formula>
    </cfRule>
  </conditionalFormatting>
  <conditionalFormatting sqref="D9:D76">
    <cfRule type="cellIs" dxfId="4010" priority="4518" operator="equal">
      <formula>"NÃO INICIADO"</formula>
    </cfRule>
    <cfRule type="cellIs" dxfId="4009" priority="4517" operator="equal">
      <formula>"FINALIZADO"</formula>
    </cfRule>
    <cfRule type="cellIs" dxfId="4008" priority="4516" operator="equal">
      <formula>"EM PROCESSO"</formula>
    </cfRule>
    <cfRule type="cellIs" dxfId="4007" priority="4299" operator="equal">
      <formula>"NÃO INICIADO"</formula>
    </cfRule>
    <cfRule type="cellIs" dxfId="4006" priority="4298" operator="equal">
      <formula>"FINALIZADO"</formula>
    </cfRule>
    <cfRule type="cellIs" dxfId="4005" priority="4297" operator="equal">
      <formula>"EM PROCESSO"</formula>
    </cfRule>
  </conditionalFormatting>
  <conditionalFormatting sqref="D9:D76">
    <cfRule type="cellIs" dxfId="4004" priority="4515" operator="equal">
      <formula>"NÃO INICIADO"</formula>
    </cfRule>
    <cfRule type="cellIs" dxfId="4003" priority="4514" operator="equal">
      <formula>"FINALIZADO"</formula>
    </cfRule>
    <cfRule type="cellIs" dxfId="4002" priority="4513" operator="equal">
      <formula>"EM PROCESSO"</formula>
    </cfRule>
  </conditionalFormatting>
  <conditionalFormatting sqref="D9:D15">
    <cfRule type="cellIs" dxfId="4001" priority="4512" operator="equal">
      <formula>"NÃO INICIADO"</formula>
    </cfRule>
    <cfRule type="cellIs" dxfId="4000" priority="4511" operator="equal">
      <formula>"FINALIZADO"</formula>
    </cfRule>
    <cfRule type="cellIs" dxfId="3999" priority="4510" operator="equal">
      <formula>"EM PROCESSO"</formula>
    </cfRule>
    <cfRule type="cellIs" dxfId="3998" priority="3262" operator="equal">
      <formula>"EM PROCESSO"</formula>
    </cfRule>
    <cfRule type="cellIs" dxfId="3997" priority="697" operator="equal">
      <formula>"EM PROCESSO"</formula>
    </cfRule>
  </conditionalFormatting>
  <conditionalFormatting sqref="D9:D155">
    <cfRule type="cellIs" dxfId="3996" priority="4509" operator="equal">
      <formula>"NÃO INICIADO"</formula>
    </cfRule>
    <cfRule type="cellIs" dxfId="3995" priority="4508" operator="equal">
      <formula>"FINALIZADO"</formula>
    </cfRule>
    <cfRule type="cellIs" dxfId="3994" priority="4507" operator="equal">
      <formula>"EM PROCESSO"</formula>
    </cfRule>
  </conditionalFormatting>
  <conditionalFormatting sqref="D9">
    <cfRule type="cellIs" dxfId="3993" priority="4503" operator="equal">
      <formula>"NÃO INICIADO"</formula>
    </cfRule>
    <cfRule type="cellIs" dxfId="3992" priority="4502" operator="equal">
      <formula>"FINALIZADO"</formula>
    </cfRule>
    <cfRule type="cellIs" dxfId="3991" priority="4501" operator="equal">
      <formula>"EM PROCESSO"</formula>
    </cfRule>
    <cfRule type="cellIs" dxfId="3990" priority="3526" operator="equal">
      <formula>"EM PROCESSO"</formula>
    </cfRule>
    <cfRule type="cellIs" dxfId="3989" priority="3333" operator="equal">
      <formula>"NÃO INICIADO"</formula>
    </cfRule>
    <cfRule type="cellIs" dxfId="3988" priority="3180" operator="equal">
      <formula>"NÃO INICIADO"</formula>
    </cfRule>
    <cfRule type="cellIs" dxfId="3987" priority="3177" operator="equal">
      <formula>"NÃO INICIADO"</formula>
    </cfRule>
    <cfRule type="cellIs" dxfId="3986" priority="3091" operator="equal">
      <formula>"EM PROCESSO"</formula>
    </cfRule>
    <cfRule type="cellIs" dxfId="3985" priority="2630" operator="equal">
      <formula>"FINALIZADO"</formula>
    </cfRule>
    <cfRule type="cellIs" dxfId="3984" priority="2555" operator="equal">
      <formula>"FINALIZADO"</formula>
    </cfRule>
    <cfRule type="cellIs" dxfId="3983" priority="2549" operator="equal">
      <formula>"FINALIZADO"</formula>
    </cfRule>
    <cfRule type="cellIs" dxfId="3982" priority="2366" operator="equal">
      <formula>"FINALIZADO"</formula>
    </cfRule>
    <cfRule type="cellIs" dxfId="3981" priority="2363" operator="equal">
      <formula>"FINALIZADO"</formula>
    </cfRule>
    <cfRule type="cellIs" dxfId="3980" priority="2357" operator="equal">
      <formula>"FINALIZADO"</formula>
    </cfRule>
    <cfRule type="cellIs" dxfId="3979" priority="2155" operator="equal">
      <formula>"EM PROCESSO"</formula>
    </cfRule>
    <cfRule type="cellIs" dxfId="3978" priority="1939" operator="equal">
      <formula>"EM PROCESSO"</formula>
    </cfRule>
    <cfRule type="cellIs" dxfId="3977" priority="1785" operator="equal">
      <formula>"NÃO INICIADO"</formula>
    </cfRule>
    <cfRule type="cellIs" dxfId="3976" priority="1663" operator="equal">
      <formula>"EM PROCESSO"</formula>
    </cfRule>
    <cfRule type="cellIs" dxfId="3975" priority="1657" operator="equal">
      <formula>"EM PROCESSO"</formula>
    </cfRule>
    <cfRule type="cellIs" dxfId="3974" priority="1509" operator="equal">
      <formula>"NÃO INICIADO"</formula>
    </cfRule>
    <cfRule type="cellIs" dxfId="3973" priority="1437" operator="equal">
      <formula>"NÃO INICIADO"</formula>
    </cfRule>
    <cfRule type="cellIs" dxfId="3972" priority="909" operator="equal">
      <formula>"NÃO INICIADO"</formula>
    </cfRule>
    <cfRule type="cellIs" dxfId="3971" priority="825" operator="equal">
      <formula>"NÃO INICIADO"</formula>
    </cfRule>
    <cfRule type="cellIs" dxfId="3970" priority="819" operator="equal">
      <formula>"NÃO INICIADO"</formula>
    </cfRule>
    <cfRule type="cellIs" dxfId="3969" priority="417" operator="equal">
      <formula>"NÃO INICIADO"</formula>
    </cfRule>
    <cfRule type="cellIs" dxfId="3968" priority="414" operator="equal">
      <formula>"NÃO INICIADO"</formula>
    </cfRule>
    <cfRule type="cellIs" dxfId="3967" priority="411" operator="equal">
      <formula>"NÃO INICIADO"</formula>
    </cfRule>
  </conditionalFormatting>
  <conditionalFormatting sqref="D9">
    <cfRule type="cellIs" dxfId="3966" priority="4500" operator="equal">
      <formula>"NÃO INICIADO"</formula>
    </cfRule>
    <cfRule type="cellIs" dxfId="3965" priority="4499" operator="equal">
      <formula>"FINALIZADO"</formula>
    </cfRule>
    <cfRule type="cellIs" dxfId="3964" priority="4498" operator="equal">
      <formula>"EM PROCESSO"</formula>
    </cfRule>
    <cfRule type="cellIs" dxfId="3963" priority="3941" operator="equal">
      <formula>"FINALIZADO"</formula>
    </cfRule>
    <cfRule type="cellIs" dxfId="3962" priority="3726" operator="equal">
      <formula>"NÃO INICIADO"</formula>
    </cfRule>
    <cfRule type="cellIs" dxfId="3961" priority="3723" operator="equal">
      <formula>"NÃO INICIADO"</formula>
    </cfRule>
    <cfRule type="cellIs" dxfId="3960" priority="3720" operator="equal">
      <formula>"NÃO INICIADO"</formula>
    </cfRule>
    <cfRule type="cellIs" dxfId="3959" priority="3654" operator="equal">
      <formula>"NÃO INICIADO"</formula>
    </cfRule>
    <cfRule type="cellIs" dxfId="3958" priority="3651" operator="equal">
      <formula>"NÃO INICIADO"</formula>
    </cfRule>
    <cfRule type="cellIs" dxfId="3957" priority="3521" operator="equal">
      <formula>"FINALIZADO"</formula>
    </cfRule>
    <cfRule type="cellIs" dxfId="3956" priority="3461" operator="equal">
      <formula>"FINALIZADO"</formula>
    </cfRule>
    <cfRule type="cellIs" dxfId="3955" priority="3455" operator="equal">
      <formula>"FINALIZADO"</formula>
    </cfRule>
    <cfRule type="cellIs" dxfId="3954" priority="3417" operator="equal">
      <formula>"NÃO INICIADO"</formula>
    </cfRule>
    <cfRule type="cellIs" dxfId="3953" priority="3411" operator="equal">
      <formula>"NÃO INICIADO"</formula>
    </cfRule>
    <cfRule type="cellIs" dxfId="3952" priority="3408" operator="equal">
      <formula>"NÃO INICIADO"</formula>
    </cfRule>
    <cfRule type="cellIs" dxfId="3951" priority="3187" operator="equal">
      <formula>"EM PROCESSO"</formula>
    </cfRule>
    <cfRule type="cellIs" dxfId="3950" priority="3132" operator="equal">
      <formula>"NÃO INICIADO"</formula>
    </cfRule>
    <cfRule type="cellIs" dxfId="3949" priority="2761" operator="equal">
      <formula>"EM PROCESSO"</formula>
    </cfRule>
    <cfRule type="cellIs" dxfId="3948" priority="2758" operator="equal">
      <formula>"EM PROCESSO"</formula>
    </cfRule>
    <cfRule type="cellIs" dxfId="3947" priority="1108" operator="equal">
      <formula>"EM PROCESSO"</formula>
    </cfRule>
    <cfRule type="cellIs" dxfId="3946" priority="1105" operator="equal">
      <formula>"EM PROCESSO"</formula>
    </cfRule>
    <cfRule type="cellIs" dxfId="3945" priority="1027" operator="equal">
      <formula>"EM PROCESSO"</formula>
    </cfRule>
    <cfRule type="cellIs" dxfId="3944" priority="908" operator="equal">
      <formula>"FINALIZADO"</formula>
    </cfRule>
    <cfRule type="cellIs" dxfId="3943" priority="824" operator="equal">
      <formula>"FINALIZADO"</formula>
    </cfRule>
    <cfRule type="cellIs" dxfId="3942" priority="818" operator="equal">
      <formula>"FINALIZADO"</formula>
    </cfRule>
    <cfRule type="cellIs" dxfId="3941" priority="143" operator="equal">
      <formula>"FINALIZADO"</formula>
    </cfRule>
    <cfRule type="cellIs" dxfId="3940" priority="140" operator="equal">
      <formula>"FINALIZADO"</formula>
    </cfRule>
    <cfRule type="cellIs" dxfId="3939" priority="131" operator="equal">
      <formula>"FINALIZADO"</formula>
    </cfRule>
    <cfRule type="cellIs" dxfId="3938" priority="128" operator="equal">
      <formula>"FINALIZADO"</formula>
    </cfRule>
  </conditionalFormatting>
  <conditionalFormatting sqref="D9:D15">
    <cfRule type="cellIs" dxfId="3937" priority="4494" operator="equal">
      <formula>"NÃO INICIADO"</formula>
    </cfRule>
    <cfRule type="cellIs" dxfId="3936" priority="4493" operator="equal">
      <formula>"FINALIZADO"</formula>
    </cfRule>
    <cfRule type="cellIs" dxfId="3935" priority="4492" operator="equal">
      <formula>"EM PROCESSO"</formula>
    </cfRule>
    <cfRule type="cellIs" dxfId="3934" priority="2351" operator="equal">
      <formula>"FINALIZADO"</formula>
    </cfRule>
  </conditionalFormatting>
  <conditionalFormatting sqref="D9:D189">
    <cfRule type="cellIs" dxfId="3933" priority="4491" operator="equal">
      <formula>"NÃO INICIADO"</formula>
    </cfRule>
    <cfRule type="cellIs" dxfId="3932" priority="4490" operator="equal">
      <formula>"FINALIZADO"</formula>
    </cfRule>
    <cfRule type="cellIs" dxfId="3931" priority="4489" operator="equal">
      <formula>"EM PROCESSO"</formula>
    </cfRule>
  </conditionalFormatting>
  <conditionalFormatting sqref="D9:D170">
    <cfRule type="cellIs" dxfId="3930" priority="4488" operator="equal">
      <formula>"NÃO INICIADO"</formula>
    </cfRule>
    <cfRule type="cellIs" dxfId="3929" priority="4487" operator="equal">
      <formula>"FINALIZADO"</formula>
    </cfRule>
    <cfRule type="cellIs" dxfId="3928" priority="4486" operator="equal">
      <formula>"EM PROCESSO"</formula>
    </cfRule>
  </conditionalFormatting>
  <conditionalFormatting sqref="D9:D332">
    <cfRule type="cellIs" dxfId="3927" priority="4485" operator="equal">
      <formula>"NÃO INICIADO"</formula>
    </cfRule>
    <cfRule type="cellIs" dxfId="3926" priority="4484" operator="equal">
      <formula>"FINALIZADO"</formula>
    </cfRule>
    <cfRule type="cellIs" dxfId="3925" priority="4483" operator="equal">
      <formula>"EM PROCESSO"</formula>
    </cfRule>
  </conditionalFormatting>
  <conditionalFormatting sqref="D9:D116">
    <cfRule type="cellIs" dxfId="3924" priority="4482" operator="equal">
      <formula>"NÃO INICIADO"</formula>
    </cfRule>
    <cfRule type="cellIs" dxfId="3923" priority="4481" operator="equal">
      <formula>"FINALIZADO"</formula>
    </cfRule>
    <cfRule type="cellIs" dxfId="3922" priority="4480" operator="equal">
      <formula>"EM PROCESSO"</formula>
    </cfRule>
  </conditionalFormatting>
  <conditionalFormatting sqref="D9:D121">
    <cfRule type="cellIs" dxfId="3921" priority="4479" operator="equal">
      <formula>"NÃO INICIADO"</formula>
    </cfRule>
    <cfRule type="cellIs" dxfId="3920" priority="4478" operator="equal">
      <formula>"FINALIZADO"</formula>
    </cfRule>
    <cfRule type="cellIs" dxfId="3919" priority="4477" operator="equal">
      <formula>"EM PROCESSO"</formula>
    </cfRule>
  </conditionalFormatting>
  <conditionalFormatting sqref="D9:D168">
    <cfRule type="cellIs" dxfId="3918" priority="4476" operator="equal">
      <formula>"NÃO INICIADO"</formula>
    </cfRule>
    <cfRule type="cellIs" dxfId="3917" priority="4475" operator="equal">
      <formula>"FINALIZADO"</formula>
    </cfRule>
    <cfRule type="cellIs" dxfId="3916" priority="4474" operator="equal">
      <formula>"EM PROCESSO"</formula>
    </cfRule>
    <cfRule type="cellIs" dxfId="3915" priority="1859" operator="equal">
      <formula>"FINALIZADO"</formula>
    </cfRule>
  </conditionalFormatting>
  <conditionalFormatting sqref="D9:D34">
    <cfRule type="cellIs" dxfId="3914" priority="4473" operator="equal">
      <formula>"NÃO INICIADO"</formula>
    </cfRule>
    <cfRule type="cellIs" dxfId="3913" priority="4472" operator="equal">
      <formula>"FINALIZADO"</formula>
    </cfRule>
    <cfRule type="cellIs" dxfId="3912" priority="4471" operator="equal">
      <formula>"EM PROCESSO"</formula>
    </cfRule>
    <cfRule type="cellIs" dxfId="3911" priority="2619" operator="equal">
      <formula>"NÃO INICIADO"</formula>
    </cfRule>
  </conditionalFormatting>
  <conditionalFormatting sqref="D9:D37">
    <cfRule type="cellIs" dxfId="3910" priority="4470" operator="equal">
      <formula>"NÃO INICIADO"</formula>
    </cfRule>
    <cfRule type="cellIs" dxfId="3909" priority="4469" operator="equal">
      <formula>"FINALIZADO"</formula>
    </cfRule>
    <cfRule type="cellIs" dxfId="3908" priority="4468" operator="equal">
      <formula>"EM PROCESSO"</formula>
    </cfRule>
  </conditionalFormatting>
  <conditionalFormatting sqref="D9:D11">
    <cfRule type="cellIs" dxfId="3907" priority="4467" operator="equal">
      <formula>"NÃO INICIADO"</formula>
    </cfRule>
    <cfRule type="cellIs" dxfId="3906" priority="4466" operator="equal">
      <formula>"FINALIZADO"</formula>
    </cfRule>
    <cfRule type="cellIs" dxfId="3905" priority="4465" operator="equal">
      <formula>"EM PROCESSO"</formula>
    </cfRule>
    <cfRule type="cellIs" dxfId="3904" priority="3917" operator="equal">
      <formula>"FINALIZADO"</formula>
    </cfRule>
    <cfRule type="cellIs" dxfId="3903" priority="3794" operator="equal">
      <formula>"FINALIZADO"</formula>
    </cfRule>
    <cfRule type="cellIs" dxfId="3902" priority="3267" operator="equal">
      <formula>"NÃO INICIADO"</formula>
    </cfRule>
    <cfRule type="cellIs" dxfId="3901" priority="2937" operator="equal">
      <formula>"NÃO INICIADO"</formula>
    </cfRule>
    <cfRule type="cellIs" dxfId="3900" priority="2413" operator="equal">
      <formula>"EM PROCESSO"</formula>
    </cfRule>
    <cfRule type="cellIs" dxfId="3899" priority="2401" operator="equal">
      <formula>"EM PROCESSO"</formula>
    </cfRule>
    <cfRule type="cellIs" dxfId="3898" priority="1080" operator="equal">
      <formula>"NÃO INICIADO"</formula>
    </cfRule>
  </conditionalFormatting>
  <conditionalFormatting sqref="D9">
    <cfRule type="cellIs" dxfId="3897" priority="4461" operator="equal">
      <formula>"NÃO INICIADO"</formula>
    </cfRule>
    <cfRule type="cellIs" dxfId="3896" priority="4460" operator="equal">
      <formula>"FINALIZADO"</formula>
    </cfRule>
    <cfRule type="cellIs" dxfId="3895" priority="4459" operator="equal">
      <formula>"EM PROCESSO"</formula>
    </cfRule>
    <cfRule type="cellIs" dxfId="3894" priority="3778" operator="equal">
      <formula>"EM PROCESSO"</formula>
    </cfRule>
    <cfRule type="cellIs" dxfId="3893" priority="3775" operator="equal">
      <formula>"EM PROCESSO"</formula>
    </cfRule>
    <cfRule type="cellIs" dxfId="3892" priority="3748" operator="equal">
      <formula>"EM PROCESSO"</formula>
    </cfRule>
    <cfRule type="cellIs" dxfId="3891" priority="3692" operator="equal">
      <formula>"FINALIZADO"</formula>
    </cfRule>
    <cfRule type="cellIs" dxfId="3890" priority="3298" operator="equal">
      <formula>"EM PROCESSO"</formula>
    </cfRule>
    <cfRule type="cellIs" dxfId="3889" priority="3049" operator="equal">
      <formula>"EM PROCESSO"</formula>
    </cfRule>
    <cfRule type="cellIs" dxfId="3888" priority="2983" operator="equal">
      <formula>"EM PROCESSO"</formula>
    </cfRule>
    <cfRule type="cellIs" dxfId="3887" priority="2977" operator="equal">
      <formula>"EM PROCESSO"</formula>
    </cfRule>
    <cfRule type="cellIs" dxfId="3886" priority="2974" operator="equal">
      <formula>"EM PROCESSO"</formula>
    </cfRule>
    <cfRule type="cellIs" dxfId="3885" priority="2156" operator="equal">
      <formula>"FINALIZADO"</formula>
    </cfRule>
    <cfRule type="cellIs" dxfId="3884" priority="2023" operator="equal">
      <formula>"EM PROCESSO"</formula>
    </cfRule>
    <cfRule type="cellIs" dxfId="3883" priority="1877" operator="equal">
      <formula>"FINALIZADO"</formula>
    </cfRule>
    <cfRule type="cellIs" dxfId="3882" priority="1874" operator="equal">
      <formula>"FINALIZADO"</formula>
    </cfRule>
    <cfRule type="cellIs" dxfId="3881" priority="1868" operator="equal">
      <formula>"FINALIZADO"</formula>
    </cfRule>
    <cfRule type="cellIs" dxfId="3880" priority="1664" operator="equal">
      <formula>"FINALIZADO"</formula>
    </cfRule>
    <cfRule type="cellIs" dxfId="3879" priority="1658" operator="equal">
      <formula>"FINALIZADO"</formula>
    </cfRule>
    <cfRule type="cellIs" dxfId="3878" priority="1513" operator="equal">
      <formula>"EM PROCESSO"</formula>
    </cfRule>
    <cfRule type="cellIs" dxfId="3877" priority="1481" operator="equal">
      <formula>"FINALIZADO"</formula>
    </cfRule>
    <cfRule type="cellIs" dxfId="3876" priority="1475" operator="equal">
      <formula>"FINALIZADO"</formula>
    </cfRule>
    <cfRule type="cellIs" dxfId="3875" priority="1469" operator="equal">
      <formula>"FINALIZADO"</formula>
    </cfRule>
    <cfRule type="cellIs" dxfId="3874" priority="1466" operator="equal">
      <formula>"FINALIZADO"</formula>
    </cfRule>
    <cfRule type="cellIs" dxfId="3873" priority="1201" operator="equal">
      <formula>"EM PROCESSO"</formula>
    </cfRule>
    <cfRule type="cellIs" dxfId="3872" priority="1089" operator="equal">
      <formula>"NÃO INICIADO"</formula>
    </cfRule>
    <cfRule type="cellIs" dxfId="3871" priority="1076" operator="equal">
      <formula>"FINALIZADO"</formula>
    </cfRule>
    <cfRule type="cellIs" dxfId="3870" priority="1073" operator="equal">
      <formula>"FINALIZADO"</formula>
    </cfRule>
    <cfRule type="cellIs" dxfId="3869" priority="1070" operator="equal">
      <formula>"FINALIZADO"</formula>
    </cfRule>
    <cfRule type="cellIs" dxfId="3868" priority="1067" operator="equal">
      <formula>"FINALIZADO"</formula>
    </cfRule>
    <cfRule type="cellIs" dxfId="3867" priority="1064" operator="equal">
      <formula>"FINALIZADO"</formula>
    </cfRule>
    <cfRule type="cellIs" dxfId="3866" priority="882" operator="equal">
      <formula>"NÃO INICIADO"</formula>
    </cfRule>
    <cfRule type="cellIs" dxfId="3865" priority="526" operator="equal">
      <formula>"EM PROCESSO"</formula>
    </cfRule>
    <cfRule type="cellIs" dxfId="3864" priority="478" operator="equal">
      <formula>"EM PROCESSO"</formula>
    </cfRule>
    <cfRule type="cellIs" dxfId="3863" priority="475" operator="equal">
      <formula>"EM PROCESSO"</formula>
    </cfRule>
    <cfRule type="cellIs" dxfId="3862" priority="472" operator="equal">
      <formula>"EM PROCESSO"</formula>
    </cfRule>
    <cfRule type="cellIs" dxfId="3861" priority="279" operator="equal">
      <formula>"NÃO INICIADO"</formula>
    </cfRule>
    <cfRule type="cellIs" dxfId="3860" priority="276" operator="equal">
      <formula>"NÃO INICIADO"</formula>
    </cfRule>
    <cfRule type="cellIs" dxfId="3859" priority="267" operator="equal">
      <formula>"NÃO INICIADO"</formula>
    </cfRule>
    <cfRule type="cellIs" dxfId="3858" priority="264" operator="equal">
      <formula>"NÃO INICIADO"</formula>
    </cfRule>
    <cfRule type="cellIs" dxfId="3857" priority="144" operator="equal">
      <formula>"NÃO INICIADO"</formula>
    </cfRule>
    <cfRule type="cellIs" dxfId="3856" priority="141" operator="equal">
      <formula>"NÃO INICIADO"</formula>
    </cfRule>
    <cfRule type="cellIs" dxfId="3855" priority="132" operator="equal">
      <formula>"NÃO INICIADO"</formula>
    </cfRule>
    <cfRule type="cellIs" dxfId="3854" priority="129" operator="equal">
      <formula>"NÃO INICIADO"</formula>
    </cfRule>
    <cfRule type="cellIs" dxfId="3853" priority="18" operator="equal">
      <formula>"NÃO INICIADO"</formula>
    </cfRule>
  </conditionalFormatting>
  <conditionalFormatting sqref="D9:D19">
    <cfRule type="cellIs" dxfId="3852" priority="4458" operator="equal">
      <formula>"NÃO INICIADO"</formula>
    </cfRule>
    <cfRule type="cellIs" dxfId="3851" priority="4457" operator="equal">
      <formula>"FINALIZADO"</formula>
    </cfRule>
    <cfRule type="cellIs" dxfId="3850" priority="4456" operator="equal">
      <formula>"EM PROCESSO"</formula>
    </cfRule>
  </conditionalFormatting>
  <conditionalFormatting sqref="D9:D16">
    <cfRule type="cellIs" dxfId="3849" priority="4452" operator="equal">
      <formula>"NÃO INICIADO"</formula>
    </cfRule>
    <cfRule type="cellIs" dxfId="3848" priority="4451" operator="equal">
      <formula>"FINALIZADO"</formula>
    </cfRule>
    <cfRule type="cellIs" dxfId="3847" priority="4450" operator="equal">
      <formula>"EM PROCESSO"</formula>
    </cfRule>
    <cfRule type="cellIs" dxfId="3846" priority="1660" operator="equal">
      <formula>"EM PROCESSO"</formula>
    </cfRule>
    <cfRule type="cellIs" dxfId="3845" priority="119" operator="equal">
      <formula>"FINALIZADO"</formula>
    </cfRule>
  </conditionalFormatting>
  <conditionalFormatting sqref="D9:D60">
    <cfRule type="cellIs" dxfId="3844" priority="4449" operator="equal">
      <formula>"NÃO INICIADO"</formula>
    </cfRule>
    <cfRule type="cellIs" dxfId="3843" priority="4448" operator="equal">
      <formula>"FINALIZADO"</formula>
    </cfRule>
    <cfRule type="cellIs" dxfId="3842" priority="4447" operator="equal">
      <formula>"EM PROCESSO"</formula>
    </cfRule>
  </conditionalFormatting>
  <conditionalFormatting sqref="D9:D96">
    <cfRule type="cellIs" dxfId="3841" priority="4446" operator="equal">
      <formula>"NÃO INICIADO"</formula>
    </cfRule>
    <cfRule type="cellIs" dxfId="3840" priority="4445" operator="equal">
      <formula>"FINALIZADO"</formula>
    </cfRule>
    <cfRule type="cellIs" dxfId="3839" priority="4444" operator="equal">
      <formula>"EM PROCESSO"</formula>
    </cfRule>
  </conditionalFormatting>
  <conditionalFormatting sqref="D9:D68">
    <cfRule type="cellIs" dxfId="3838" priority="4443" operator="equal">
      <formula>"NÃO INICIADO"</formula>
    </cfRule>
    <cfRule type="cellIs" dxfId="3837" priority="4442" operator="equal">
      <formula>"FINALIZADO"</formula>
    </cfRule>
    <cfRule type="cellIs" dxfId="3836" priority="4441" operator="equal">
      <formula>"EM PROCESSO"</formula>
    </cfRule>
    <cfRule type="cellIs" dxfId="3835" priority="3016" operator="equal">
      <formula>"EM PROCESSO"</formula>
    </cfRule>
  </conditionalFormatting>
  <conditionalFormatting sqref="D9:D86">
    <cfRule type="cellIs" dxfId="3834" priority="4440" operator="equal">
      <formula>"NÃO INICIADO"</formula>
    </cfRule>
    <cfRule type="cellIs" dxfId="3833" priority="4439" operator="equal">
      <formula>"FINALIZADO"</formula>
    </cfRule>
    <cfRule type="cellIs" dxfId="3832" priority="4438" operator="equal">
      <formula>"EM PROCESSO"</formula>
    </cfRule>
  </conditionalFormatting>
  <conditionalFormatting sqref="D9:D94">
    <cfRule type="cellIs" dxfId="3831" priority="4437" operator="equal">
      <formula>"NÃO INICIADO"</formula>
    </cfRule>
    <cfRule type="cellIs" dxfId="3830" priority="4436" operator="equal">
      <formula>"FINALIZADO"</formula>
    </cfRule>
    <cfRule type="cellIs" dxfId="3829" priority="4435" operator="equal">
      <formula>"EM PROCESSO"</formula>
    </cfRule>
  </conditionalFormatting>
  <conditionalFormatting sqref="D9:D19">
    <cfRule type="cellIs" dxfId="3828" priority="4434" operator="equal">
      <formula>"NÃO INICIADO"</formula>
    </cfRule>
    <cfRule type="cellIs" dxfId="3827" priority="4433" operator="equal">
      <formula>"FINALIZADO"</formula>
    </cfRule>
    <cfRule type="cellIs" dxfId="3826" priority="4432" operator="equal">
      <formula>"EM PROCESSO"</formula>
    </cfRule>
    <cfRule type="cellIs" dxfId="3825" priority="4425" operator="equal">
      <formula>"NÃO INICIADO"</formula>
    </cfRule>
    <cfRule type="cellIs" dxfId="3824" priority="4424" operator="equal">
      <formula>"FINALIZADO"</formula>
    </cfRule>
    <cfRule type="cellIs" dxfId="3823" priority="4423" operator="equal">
      <formula>"EM PROCESSO"</formula>
    </cfRule>
    <cfRule type="cellIs" dxfId="3822" priority="466" operator="equal">
      <formula>"EM PROCESSO"</formula>
    </cfRule>
  </conditionalFormatting>
  <conditionalFormatting sqref="D9">
    <cfRule type="cellIs" dxfId="3821" priority="4428" operator="equal">
      <formula>"NÃO INICIADO"</formula>
    </cfRule>
    <cfRule type="cellIs" dxfId="3820" priority="4427" operator="equal">
      <formula>"FINALIZADO"</formula>
    </cfRule>
    <cfRule type="cellIs" dxfId="3819" priority="4426" operator="equal">
      <formula>"EM PROCESSO"</formula>
    </cfRule>
    <cfRule type="cellIs" dxfId="3818" priority="4080" operator="equal">
      <formula>"NÃO INICIADO"</formula>
    </cfRule>
    <cfRule type="cellIs" dxfId="3817" priority="4079" operator="equal">
      <formula>"FINALIZADO"</formula>
    </cfRule>
    <cfRule type="cellIs" dxfId="3816" priority="4078" operator="equal">
      <formula>"EM PROCESSO"</formula>
    </cfRule>
    <cfRule type="cellIs" dxfId="3815" priority="3779" operator="equal">
      <formula>"FINALIZADO"</formula>
    </cfRule>
    <cfRule type="cellIs" dxfId="3814" priority="3776" operator="equal">
      <formula>"FINALIZADO"</formula>
    </cfRule>
    <cfRule type="cellIs" dxfId="3813" priority="3693" operator="equal">
      <formula>"NÃO INICIADO"</formula>
    </cfRule>
    <cfRule type="cellIs" dxfId="3812" priority="3622" operator="equal">
      <formula>"EM PROCESSO"</formula>
    </cfRule>
    <cfRule type="cellIs" dxfId="3811" priority="3332" operator="equal">
      <formula>"FINALIZADO"</formula>
    </cfRule>
    <cfRule type="cellIs" dxfId="3810" priority="3189" operator="equal">
      <formula>"NÃO INICIADO"</formula>
    </cfRule>
    <cfRule type="cellIs" dxfId="3809" priority="2762" operator="equal">
      <formula>"FINALIZADO"</formula>
    </cfRule>
    <cfRule type="cellIs" dxfId="3808" priority="2759" operator="equal">
      <formula>"FINALIZADO"</formula>
    </cfRule>
    <cfRule type="cellIs" dxfId="3807" priority="2589" operator="equal">
      <formula>"NÃO INICIADO"</formula>
    </cfRule>
    <cfRule type="cellIs" dxfId="3806" priority="2586" operator="equal">
      <formula>"NÃO INICIADO"</formula>
    </cfRule>
    <cfRule type="cellIs" dxfId="3805" priority="2419" operator="equal">
      <formula>"EM PROCESSO"</formula>
    </cfRule>
    <cfRule type="cellIs" dxfId="3804" priority="2410" operator="equal">
      <formula>"EM PROCESSO"</formula>
    </cfRule>
    <cfRule type="cellIs" dxfId="3803" priority="2407" operator="equal">
      <formula>"EM PROCESSO"</formula>
    </cfRule>
    <cfRule type="cellIs" dxfId="3802" priority="2404" operator="equal">
      <formula>"EM PROCESSO"</formula>
    </cfRule>
    <cfRule type="cellIs" dxfId="3801" priority="2398" operator="equal">
      <formula>"EM PROCESSO"</formula>
    </cfRule>
    <cfRule type="cellIs" dxfId="3800" priority="1665" operator="equal">
      <formula>"NÃO INICIADO"</formula>
    </cfRule>
    <cfRule type="cellIs" dxfId="3799" priority="1659" operator="equal">
      <formula>"NÃO INICIADO"</formula>
    </cfRule>
    <cfRule type="cellIs" dxfId="3798" priority="1563" operator="equal">
      <formula>"NÃO INICIADO"</formula>
    </cfRule>
    <cfRule type="cellIs" dxfId="3797" priority="1551" operator="equal">
      <formula>"NÃO INICIADO"</formula>
    </cfRule>
    <cfRule type="cellIs" dxfId="3796" priority="1548" operator="equal">
      <formula>"NÃO INICIADO"</formula>
    </cfRule>
    <cfRule type="cellIs" dxfId="3795" priority="1545" operator="equal">
      <formula>"NÃO INICIADO"</formula>
    </cfRule>
    <cfRule type="cellIs" dxfId="3794" priority="1482" operator="equal">
      <formula>"NÃO INICIADO"</formula>
    </cfRule>
    <cfRule type="cellIs" dxfId="3793" priority="1476" operator="equal">
      <formula>"NÃO INICIADO"</formula>
    </cfRule>
    <cfRule type="cellIs" dxfId="3792" priority="1470" operator="equal">
      <formula>"NÃO INICIADO"</formula>
    </cfRule>
    <cfRule type="cellIs" dxfId="3791" priority="1467" operator="equal">
      <formula>"NÃO INICIADO"</formula>
    </cfRule>
    <cfRule type="cellIs" dxfId="3790" priority="1366" operator="equal">
      <formula>"EM PROCESSO"</formula>
    </cfRule>
    <cfRule type="cellIs" dxfId="3789" priority="1357" operator="equal">
      <formula>"EM PROCESSO"</formula>
    </cfRule>
    <cfRule type="cellIs" dxfId="3788" priority="415" operator="equal">
      <formula>"EM PROCESSO"</formula>
    </cfRule>
    <cfRule type="cellIs" dxfId="3787" priority="412" operator="equal">
      <formula>"EM PROCESSO"</formula>
    </cfRule>
    <cfRule type="cellIs" dxfId="3786" priority="409" operator="equal">
      <formula>"EM PROCESSO"</formula>
    </cfRule>
    <cfRule type="cellIs" dxfId="3785" priority="345" operator="equal">
      <formula>"NÃO INICIADO"</formula>
    </cfRule>
    <cfRule type="cellIs" dxfId="3784" priority="62" operator="equal">
      <formula>"FINALIZADO"</formula>
    </cfRule>
  </conditionalFormatting>
  <conditionalFormatting sqref="D9:D65">
    <cfRule type="cellIs" dxfId="3783" priority="4422" operator="equal">
      <formula>"NÃO INICIADO"</formula>
    </cfRule>
    <cfRule type="cellIs" dxfId="3782" priority="4421" operator="equal">
      <formula>"FINALIZADO"</formula>
    </cfRule>
    <cfRule type="cellIs" dxfId="3781" priority="4420" operator="equal">
      <formula>"EM PROCESSO"</formula>
    </cfRule>
  </conditionalFormatting>
  <conditionalFormatting sqref="D9:D90">
    <cfRule type="cellIs" dxfId="3780" priority="4419" operator="equal">
      <formula>"NÃO INICIADO"</formula>
    </cfRule>
    <cfRule type="cellIs" dxfId="3779" priority="4418" operator="equal">
      <formula>"FINALIZADO"</formula>
    </cfRule>
    <cfRule type="cellIs" dxfId="3778" priority="4417" operator="equal">
      <formula>"EM PROCESSO"</formula>
    </cfRule>
  </conditionalFormatting>
  <conditionalFormatting sqref="D9:D115">
    <cfRule type="cellIs" dxfId="3777" priority="4416" operator="equal">
      <formula>"NÃO INICIADO"</formula>
    </cfRule>
    <cfRule type="cellIs" dxfId="3776" priority="4415" operator="equal">
      <formula>"FINALIZADO"</formula>
    </cfRule>
    <cfRule type="cellIs" dxfId="3775" priority="4414" operator="equal">
      <formula>"EM PROCESSO"</formula>
    </cfRule>
  </conditionalFormatting>
  <conditionalFormatting sqref="D9:D64">
    <cfRule type="cellIs" dxfId="3774" priority="4413" operator="equal">
      <formula>"NÃO INICIADO"</formula>
    </cfRule>
    <cfRule type="cellIs" dxfId="3773" priority="4412" operator="equal">
      <formula>"FINALIZADO"</formula>
    </cfRule>
    <cfRule type="cellIs" dxfId="3772" priority="4411" operator="equal">
      <formula>"EM PROCESSO"</formula>
    </cfRule>
  </conditionalFormatting>
  <conditionalFormatting sqref="D9:D21">
    <cfRule type="cellIs" dxfId="3771" priority="4410" operator="equal">
      <formula>"NÃO INICIADO"</formula>
    </cfRule>
    <cfRule type="cellIs" dxfId="3770" priority="4409" operator="equal">
      <formula>"FINALIZADO"</formula>
    </cfRule>
    <cfRule type="cellIs" dxfId="3769" priority="4408" operator="equal">
      <formula>"EM PROCESSO"</formula>
    </cfRule>
    <cfRule type="cellIs" dxfId="3768" priority="3677" operator="equal">
      <formula>"FINALIZADO"</formula>
    </cfRule>
    <cfRule type="cellIs" dxfId="3767" priority="3146" operator="equal">
      <formula>"FINALIZADO"</formula>
    </cfRule>
    <cfRule type="cellIs" dxfId="3766" priority="1886" operator="equal">
      <formula>"FINALIZADO"</formula>
    </cfRule>
    <cfRule type="cellIs" dxfId="3765" priority="1880" operator="equal">
      <formula>"FINALIZADO"</formula>
    </cfRule>
  </conditionalFormatting>
  <conditionalFormatting sqref="D9:D100">
    <cfRule type="cellIs" dxfId="3764" priority="4407" operator="equal">
      <formula>"NÃO INICIADO"</formula>
    </cfRule>
    <cfRule type="cellIs" dxfId="3763" priority="4406" operator="equal">
      <formula>"FINALIZADO"</formula>
    </cfRule>
    <cfRule type="cellIs" dxfId="3762" priority="4405" operator="equal">
      <formula>"EM PROCESSO"</formula>
    </cfRule>
  </conditionalFormatting>
  <conditionalFormatting sqref="D9">
    <cfRule type="cellIs" dxfId="3761" priority="4401" operator="equal">
      <formula>"NÃO INICIADO"</formula>
    </cfRule>
    <cfRule type="cellIs" dxfId="3760" priority="4400" operator="equal">
      <formula>"FINALIZADO"</formula>
    </cfRule>
    <cfRule type="cellIs" dxfId="3759" priority="4399" operator="equal">
      <formula>"EM PROCESSO"</formula>
    </cfRule>
    <cfRule type="cellIs" dxfId="3758" priority="4095" operator="equal">
      <formula>"NÃO INICIADO"</formula>
    </cfRule>
    <cfRule type="cellIs" dxfId="3757" priority="4094" operator="equal">
      <formula>"FINALIZADO"</formula>
    </cfRule>
    <cfRule type="cellIs" dxfId="3756" priority="4093" operator="equal">
      <formula>"EM PROCESSO"</formula>
    </cfRule>
    <cfRule type="cellIs" dxfId="3755" priority="3686" operator="equal">
      <formula>"FINALIZADO"</formula>
    </cfRule>
    <cfRule type="cellIs" dxfId="3754" priority="3683" operator="equal">
      <formula>"FINALIZADO"</formula>
    </cfRule>
    <cfRule type="cellIs" dxfId="3753" priority="3680" operator="equal">
      <formula>"FINALIZADO"</formula>
    </cfRule>
    <cfRule type="cellIs" dxfId="3752" priority="3630" operator="equal">
      <formula>"NÃO INICIADO"</formula>
    </cfRule>
    <cfRule type="cellIs" dxfId="3751" priority="3624" operator="equal">
      <formula>"NÃO INICIADO"</formula>
    </cfRule>
    <cfRule type="cellIs" dxfId="3750" priority="3142" operator="equal">
      <formula>"EM PROCESSO"</formula>
    </cfRule>
    <cfRule type="cellIs" dxfId="3749" priority="2763" operator="equal">
      <formula>"NÃO INICIADO"</formula>
    </cfRule>
    <cfRule type="cellIs" dxfId="3748" priority="2760" operator="equal">
      <formula>"NÃO INICIADO"</formula>
    </cfRule>
    <cfRule type="cellIs" dxfId="3747" priority="2490" operator="equal">
      <formula>"NÃO INICIADO"</formula>
    </cfRule>
    <cfRule type="cellIs" dxfId="3746" priority="2420" operator="equal">
      <formula>"FINALIZADO"</formula>
    </cfRule>
    <cfRule type="cellIs" dxfId="3745" priority="2411" operator="equal">
      <formula>"FINALIZADO"</formula>
    </cfRule>
    <cfRule type="cellIs" dxfId="3744" priority="2408" operator="equal">
      <formula>"FINALIZADO"</formula>
    </cfRule>
    <cfRule type="cellIs" dxfId="3743" priority="2405" operator="equal">
      <formula>"FINALIZADO"</formula>
    </cfRule>
    <cfRule type="cellIs" dxfId="3742" priority="2399" operator="equal">
      <formula>"FINALIZADO"</formula>
    </cfRule>
    <cfRule type="cellIs" dxfId="3741" priority="2157" operator="equal">
      <formula>"NÃO INICIADO"</formula>
    </cfRule>
    <cfRule type="cellIs" dxfId="3740" priority="1724" operator="equal">
      <formula>"FINALIZADO"</formula>
    </cfRule>
    <cfRule type="cellIs" dxfId="3739" priority="1721" operator="equal">
      <formula>"FINALIZADO"</formula>
    </cfRule>
    <cfRule type="cellIs" dxfId="3738" priority="1395" operator="equal">
      <formula>"NÃO INICIADO"</formula>
    </cfRule>
    <cfRule type="cellIs" dxfId="3737" priority="1077" operator="equal">
      <formula>"NÃO INICIADO"</formula>
    </cfRule>
    <cfRule type="cellIs" dxfId="3736" priority="1074" operator="equal">
      <formula>"NÃO INICIADO"</formula>
    </cfRule>
    <cfRule type="cellIs" dxfId="3735" priority="1071" operator="equal">
      <formula>"NÃO INICIADO"</formula>
    </cfRule>
    <cfRule type="cellIs" dxfId="3734" priority="1068" operator="equal">
      <formula>"NÃO INICIADO"</formula>
    </cfRule>
    <cfRule type="cellIs" dxfId="3733" priority="1065" operator="equal">
      <formula>"NÃO INICIADO"</formula>
    </cfRule>
    <cfRule type="cellIs" dxfId="3732" priority="442" operator="equal">
      <formula>"EM PROCESSO"</formula>
    </cfRule>
    <cfRule type="cellIs" dxfId="3731" priority="100" operator="equal">
      <formula>"EM PROCESSO"</formula>
    </cfRule>
    <cfRule type="cellIs" dxfId="3730" priority="97" operator="equal">
      <formula>"EM PROCESSO"</formula>
    </cfRule>
  </conditionalFormatting>
  <conditionalFormatting sqref="D9:D36">
    <cfRule type="cellIs" dxfId="3729" priority="4398" operator="equal">
      <formula>"NÃO INICIADO"</formula>
    </cfRule>
    <cfRule type="cellIs" dxfId="3728" priority="4397" operator="equal">
      <formula>"FINALIZADO"</formula>
    </cfRule>
    <cfRule type="cellIs" dxfId="3727" priority="4396" operator="equal">
      <formula>"EM PROCESSO"</formula>
    </cfRule>
  </conditionalFormatting>
  <conditionalFormatting sqref="D9:D52">
    <cfRule type="cellIs" dxfId="3726" priority="4395" operator="equal">
      <formula>"NÃO INICIADO"</formula>
    </cfRule>
    <cfRule type="cellIs" dxfId="3725" priority="4394" operator="equal">
      <formula>"FINALIZADO"</formula>
    </cfRule>
    <cfRule type="cellIs" dxfId="3724" priority="4393" operator="equal">
      <formula>"EM PROCESSO"</formula>
    </cfRule>
    <cfRule type="cellIs" dxfId="3723" priority="3897" operator="equal">
      <formula>"NÃO INICIADO"</formula>
    </cfRule>
  </conditionalFormatting>
  <conditionalFormatting sqref="D9:D91">
    <cfRule type="cellIs" dxfId="3722" priority="4392" operator="equal">
      <formula>"NÃO INICIADO"</formula>
    </cfRule>
    <cfRule type="cellIs" dxfId="3721" priority="4391" operator="equal">
      <formula>"FINALIZADO"</formula>
    </cfRule>
    <cfRule type="cellIs" dxfId="3720" priority="4390" operator="equal">
      <formula>"EM PROCESSO"</formula>
    </cfRule>
  </conditionalFormatting>
  <conditionalFormatting sqref="D9:D124">
    <cfRule type="cellIs" dxfId="3719" priority="4389" operator="equal">
      <formula>"NÃO INICIADO"</formula>
    </cfRule>
    <cfRule type="cellIs" dxfId="3718" priority="4388" operator="equal">
      <formula>"FINALIZADO"</formula>
    </cfRule>
    <cfRule type="cellIs" dxfId="3717" priority="4387" operator="equal">
      <formula>"EM PROCESSO"</formula>
    </cfRule>
  </conditionalFormatting>
  <conditionalFormatting sqref="D9:D122">
    <cfRule type="cellIs" dxfId="3716" priority="4386" operator="equal">
      <formula>"NÃO INICIADO"</formula>
    </cfRule>
    <cfRule type="cellIs" dxfId="3715" priority="4385" operator="equal">
      <formula>"FINALIZADO"</formula>
    </cfRule>
    <cfRule type="cellIs" dxfId="3714" priority="4384" operator="equal">
      <formula>"EM PROCESSO"</formula>
    </cfRule>
  </conditionalFormatting>
  <conditionalFormatting sqref="D9:D48">
    <cfRule type="cellIs" dxfId="3713" priority="4383" operator="equal">
      <formula>"NÃO INICIADO"</formula>
    </cfRule>
    <cfRule type="cellIs" dxfId="3712" priority="4382" operator="equal">
      <formula>"FINALIZADO"</formula>
    </cfRule>
    <cfRule type="cellIs" dxfId="3711" priority="4381" operator="equal">
      <formula>"EM PROCESSO"</formula>
    </cfRule>
  </conditionalFormatting>
  <conditionalFormatting sqref="D9:D15">
    <cfRule type="cellIs" dxfId="3710" priority="4377" operator="equal">
      <formula>"NÃO INICIADO"</formula>
    </cfRule>
    <cfRule type="cellIs" dxfId="3709" priority="4376" operator="equal">
      <formula>"FINALIZADO"</formula>
    </cfRule>
    <cfRule type="cellIs" dxfId="3708" priority="4375" operator="equal">
      <formula>"EM PROCESSO"</formula>
    </cfRule>
    <cfRule type="cellIs" dxfId="3707" priority="3966" operator="equal">
      <formula>"NÃO INICIADO"</formula>
    </cfRule>
    <cfRule type="cellIs" dxfId="3706" priority="1150" operator="equal">
      <formula>"EM PROCESSO"</formula>
    </cfRule>
  </conditionalFormatting>
  <conditionalFormatting sqref="D9">
    <cfRule type="cellIs" dxfId="3705" priority="4368" operator="equal">
      <formula>"NÃO INICIADO"</formula>
    </cfRule>
    <cfRule type="cellIs" dxfId="3704" priority="4367" operator="equal">
      <formula>"FINALIZADO"</formula>
    </cfRule>
    <cfRule type="cellIs" dxfId="3703" priority="4366" operator="equal">
      <formula>"EM PROCESSO"</formula>
    </cfRule>
    <cfRule type="cellIs" dxfId="3702" priority="3051" operator="equal">
      <formula>"NÃO INICIADO"</formula>
    </cfRule>
    <cfRule type="cellIs" dxfId="3701" priority="2979" operator="equal">
      <formula>"NÃO INICIADO"</formula>
    </cfRule>
    <cfRule type="cellIs" dxfId="3700" priority="2976" operator="equal">
      <formula>"NÃO INICIADO"</formula>
    </cfRule>
    <cfRule type="cellIs" dxfId="3699" priority="2024" operator="equal">
      <formula>"FINALIZADO"</formula>
    </cfRule>
    <cfRule type="cellIs" dxfId="3698" priority="1735" operator="equal">
      <formula>"EM PROCESSO"</formula>
    </cfRule>
    <cfRule type="cellIs" dxfId="3697" priority="1480" operator="equal">
      <formula>"EM PROCESSO"</formula>
    </cfRule>
    <cfRule type="cellIs" dxfId="3696" priority="1474" operator="equal">
      <formula>"EM PROCESSO"</formula>
    </cfRule>
    <cfRule type="cellIs" dxfId="3695" priority="1468" operator="equal">
      <formula>"EM PROCESSO"</formula>
    </cfRule>
    <cfRule type="cellIs" dxfId="3694" priority="1465" operator="equal">
      <formula>"EM PROCESSO"</formula>
    </cfRule>
    <cfRule type="cellIs" dxfId="3693" priority="1436" operator="equal">
      <formula>"FINALIZADO"</formula>
    </cfRule>
    <cfRule type="cellIs" dxfId="3692" priority="528" operator="equal">
      <formula>"NÃO INICIADO"</formula>
    </cfRule>
  </conditionalFormatting>
  <conditionalFormatting sqref="D9">
    <cfRule type="cellIs" dxfId="3691" priority="4365" operator="equal">
      <formula>"NÃO INICIADO"</formula>
    </cfRule>
    <cfRule type="cellIs" dxfId="3690" priority="4364" operator="equal">
      <formula>"FINALIZADO"</formula>
    </cfRule>
    <cfRule type="cellIs" dxfId="3689" priority="4363" operator="equal">
      <formula>"EM PROCESSO"</formula>
    </cfRule>
    <cfRule type="cellIs" dxfId="3688" priority="3368" operator="equal">
      <formula>"FINALIZADO"</formula>
    </cfRule>
    <cfRule type="cellIs" dxfId="3687" priority="1909" operator="equal">
      <formula>"EM PROCESSO"</formula>
    </cfRule>
    <cfRule type="cellIs" dxfId="3686" priority="1435" operator="equal">
      <formula>"EM PROCESSO"</formula>
    </cfRule>
    <cfRule type="cellIs" dxfId="3685" priority="1087" operator="equal">
      <formula>"EM PROCESSO"</formula>
    </cfRule>
    <cfRule type="cellIs" dxfId="3684" priority="1029" operator="equal">
      <formula>"NÃO INICIADO"</formula>
    </cfRule>
    <cfRule type="cellIs" dxfId="3683" priority="880" operator="equal">
      <formula>"EM PROCESSO"</formula>
    </cfRule>
    <cfRule type="cellIs" dxfId="3682" priority="752" operator="equal">
      <formula>"FINALIZADO"</formula>
    </cfRule>
    <cfRule type="cellIs" dxfId="3681" priority="527" operator="equal">
      <formula>"FINALIZADO"</formula>
    </cfRule>
    <cfRule type="cellIs" dxfId="3680" priority="416" operator="equal">
      <formula>"FINALIZADO"</formula>
    </cfRule>
    <cfRule type="cellIs" dxfId="3679" priority="413" operator="equal">
      <formula>"FINALIZADO"</formula>
    </cfRule>
    <cfRule type="cellIs" dxfId="3678" priority="410" operator="equal">
      <formula>"FINALIZADO"</formula>
    </cfRule>
    <cfRule type="cellIs" dxfId="3677" priority="343" operator="equal">
      <formula>"EM PROCESSO"</formula>
    </cfRule>
    <cfRule type="cellIs" dxfId="3676" priority="177" operator="equal">
      <formula>"NÃO INICIADO"</formula>
    </cfRule>
  </conditionalFormatting>
  <conditionalFormatting sqref="D9:D23">
    <cfRule type="cellIs" dxfId="3675" priority="4362" operator="equal">
      <formula>"NÃO INICIADO"</formula>
    </cfRule>
    <cfRule type="cellIs" dxfId="3674" priority="4361" operator="equal">
      <formula>"FINALIZADO"</formula>
    </cfRule>
    <cfRule type="cellIs" dxfId="3673" priority="4360" operator="equal">
      <formula>"EM PROCESSO"</formula>
    </cfRule>
    <cfRule type="cellIs" dxfId="3672" priority="4110" operator="equal">
      <formula>"NÃO INICIADO"</formula>
    </cfRule>
    <cfRule type="cellIs" dxfId="3671" priority="4109" operator="equal">
      <formula>"FINALIZADO"</formula>
    </cfRule>
    <cfRule type="cellIs" dxfId="3670" priority="4108" operator="equal">
      <formula>"EM PROCESSO"</formula>
    </cfRule>
    <cfRule type="cellIs" dxfId="3669" priority="935" operator="equal">
      <formula>"FINALIZADO"</formula>
    </cfRule>
  </conditionalFormatting>
  <conditionalFormatting sqref="D9:D71">
    <cfRule type="cellIs" dxfId="3668" priority="4359" operator="equal">
      <formula>"NÃO INICIADO"</formula>
    </cfRule>
    <cfRule type="cellIs" dxfId="3667" priority="4358" operator="equal">
      <formula>"FINALIZADO"</formula>
    </cfRule>
    <cfRule type="cellIs" dxfId="3666" priority="4357" operator="equal">
      <formula>"EM PROCESSO"</formula>
    </cfRule>
  </conditionalFormatting>
  <conditionalFormatting sqref="D9:D98">
    <cfRule type="cellIs" dxfId="3665" priority="4356" operator="equal">
      <formula>"NÃO INICIADO"</formula>
    </cfRule>
    <cfRule type="cellIs" dxfId="3664" priority="4355" operator="equal">
      <formula>"FINALIZADO"</formula>
    </cfRule>
    <cfRule type="cellIs" dxfId="3663" priority="4354" operator="equal">
      <formula>"EM PROCESSO"</formula>
    </cfRule>
  </conditionalFormatting>
  <conditionalFormatting sqref="D9:D264">
    <cfRule type="cellIs" dxfId="3662" priority="4353" operator="equal">
      <formula>"NÃO INICIADO"</formula>
    </cfRule>
    <cfRule type="cellIs" dxfId="3661" priority="4352" operator="equal">
      <formula>"FINALIZADO"</formula>
    </cfRule>
    <cfRule type="cellIs" dxfId="3660" priority="4351" operator="equal">
      <formula>"EM PROCESSO"</formula>
    </cfRule>
  </conditionalFormatting>
  <conditionalFormatting sqref="D9:D47">
    <cfRule type="cellIs" dxfId="3659" priority="4350" operator="equal">
      <formula>"NÃO INICIADO"</formula>
    </cfRule>
    <cfRule type="cellIs" dxfId="3658" priority="4349" operator="equal">
      <formula>"FINALIZADO"</formula>
    </cfRule>
    <cfRule type="cellIs" dxfId="3657" priority="4348" operator="equal">
      <formula>"EM PROCESSO"</formula>
    </cfRule>
    <cfRule type="cellIs" dxfId="3656" priority="3931" operator="equal">
      <formula>"EM PROCESSO"</formula>
    </cfRule>
  </conditionalFormatting>
  <conditionalFormatting sqref="D9:D71">
    <cfRule type="cellIs" dxfId="3655" priority="4347" operator="equal">
      <formula>"NÃO INICIADO"</formula>
    </cfRule>
    <cfRule type="cellIs" dxfId="3654" priority="4346" operator="equal">
      <formula>"FINALIZADO"</formula>
    </cfRule>
    <cfRule type="cellIs" dxfId="3653" priority="4345" operator="equal">
      <formula>"EM PROCESSO"</formula>
    </cfRule>
  </conditionalFormatting>
  <conditionalFormatting sqref="D9:D15">
    <cfRule type="cellIs" dxfId="3652" priority="4344" operator="equal">
      <formula>"NÃO INICIADO"</formula>
    </cfRule>
    <cfRule type="cellIs" dxfId="3651" priority="4343" operator="equal">
      <formula>"FINALIZADO"</formula>
    </cfRule>
    <cfRule type="cellIs" dxfId="3650" priority="4342" operator="equal">
      <formula>"EM PROCESSO"</formula>
    </cfRule>
    <cfRule type="cellIs" dxfId="3649" priority="4083" operator="equal">
      <formula>"NÃO INICIADO"</formula>
    </cfRule>
    <cfRule type="cellIs" dxfId="3648" priority="4082" operator="equal">
      <formula>"FINALIZADO"</formula>
    </cfRule>
    <cfRule type="cellIs" dxfId="3647" priority="4081" operator="equal">
      <formula>"EM PROCESSO"</formula>
    </cfRule>
    <cfRule type="cellIs" dxfId="3646" priority="876" operator="equal">
      <formula>"NÃO INICIADO"</formula>
    </cfRule>
  </conditionalFormatting>
  <conditionalFormatting sqref="D9">
    <cfRule type="cellIs" dxfId="3645" priority="4341" operator="equal">
      <formula>"NÃO INICIADO"</formula>
    </cfRule>
    <cfRule type="cellIs" dxfId="3644" priority="4340" operator="equal">
      <formula>"FINALIZADO"</formula>
    </cfRule>
    <cfRule type="cellIs" dxfId="3643" priority="4339" operator="equal">
      <formula>"EM PROCESSO"</formula>
    </cfRule>
    <cfRule type="cellIs" dxfId="3642" priority="4335" operator="equal">
      <formula>"NÃO INICIADO"</formula>
    </cfRule>
    <cfRule type="cellIs" dxfId="3641" priority="4334" operator="equal">
      <formula>"FINALIZADO"</formula>
    </cfRule>
    <cfRule type="cellIs" dxfId="3640" priority="4333" operator="equal">
      <formula>"EM PROCESSO"</formula>
    </cfRule>
    <cfRule type="cellIs" dxfId="3639" priority="3942" operator="equal">
      <formula>"NÃO INICIADO"</formula>
    </cfRule>
    <cfRule type="cellIs" dxfId="3638" priority="3940" operator="equal">
      <formula>"EM PROCESSO"</formula>
    </cfRule>
    <cfRule type="cellIs" dxfId="3637" priority="3685" operator="equal">
      <formula>"EM PROCESSO"</formula>
    </cfRule>
    <cfRule type="cellIs" dxfId="3636" priority="3682" operator="equal">
      <formula>"EM PROCESSO"</formula>
    </cfRule>
    <cfRule type="cellIs" dxfId="3635" priority="3679" operator="equal">
      <formula>"EM PROCESSO"</formula>
    </cfRule>
    <cfRule type="cellIs" dxfId="3634" priority="3528" operator="equal">
      <formula>"NÃO INICIADO"</formula>
    </cfRule>
    <cfRule type="cellIs" dxfId="3633" priority="3520" operator="equal">
      <formula>"EM PROCESSO"</formula>
    </cfRule>
    <cfRule type="cellIs" dxfId="3632" priority="3416" operator="equal">
      <formula>"FINALIZADO"</formula>
    </cfRule>
    <cfRule type="cellIs" dxfId="3631" priority="3410" operator="equal">
      <formula>"FINALIZADO"</formula>
    </cfRule>
    <cfRule type="cellIs" dxfId="3630" priority="3407" operator="equal">
      <formula>"FINALIZADO"</formula>
    </cfRule>
    <cfRule type="cellIs" dxfId="3629" priority="3143" operator="equal">
      <formula>"FINALIZADO"</formula>
    </cfRule>
    <cfRule type="cellIs" dxfId="3628" priority="2984" operator="equal">
      <formula>"FINALIZADO"</formula>
    </cfRule>
    <cfRule type="cellIs" dxfId="3627" priority="2795" operator="equal">
      <formula>"FINALIZADO"</formula>
    </cfRule>
    <cfRule type="cellIs" dxfId="3626" priority="1911" operator="equal">
      <formula>"NÃO INICIADO"</formula>
    </cfRule>
    <cfRule type="cellIs" dxfId="3625" priority="1876" operator="equal">
      <formula>"EM PROCESSO"</formula>
    </cfRule>
    <cfRule type="cellIs" dxfId="3624" priority="1873" operator="equal">
      <formula>"EM PROCESSO"</formula>
    </cfRule>
    <cfRule type="cellIs" dxfId="3623" priority="1867" operator="equal">
      <formula>"EM PROCESSO"</formula>
    </cfRule>
    <cfRule type="cellIs" dxfId="3622" priority="1784" operator="equal">
      <formula>"FINALIZADO"</formula>
    </cfRule>
    <cfRule type="cellIs" dxfId="3621" priority="1088" operator="equal">
      <formula>"FINALIZADO"</formula>
    </cfRule>
    <cfRule type="cellIs" dxfId="3620" priority="1075" operator="equal">
      <formula>"EM PROCESSO"</formula>
    </cfRule>
    <cfRule type="cellIs" dxfId="3619" priority="1072" operator="equal">
      <formula>"EM PROCESSO"</formula>
    </cfRule>
    <cfRule type="cellIs" dxfId="3618" priority="1069" operator="equal">
      <formula>"EM PROCESSO"</formula>
    </cfRule>
    <cfRule type="cellIs" dxfId="3617" priority="1066" operator="equal">
      <formula>"EM PROCESSO"</formula>
    </cfRule>
    <cfRule type="cellIs" dxfId="3616" priority="1063" operator="equal">
      <formula>"EM PROCESSO"</formula>
    </cfRule>
    <cfRule type="cellIs" dxfId="3615" priority="962" operator="equal">
      <formula>"FINALIZADO"</formula>
    </cfRule>
    <cfRule type="cellIs" dxfId="3614" priority="881" operator="equal">
      <formula>"FINALIZADO"</formula>
    </cfRule>
    <cfRule type="cellIs" dxfId="3613" priority="444" operator="equal">
      <formula>"NÃO INICIADO"</formula>
    </cfRule>
    <cfRule type="cellIs" dxfId="3612" priority="102" operator="equal">
      <formula>"NÃO INICIADO"</formula>
    </cfRule>
    <cfRule type="cellIs" dxfId="3611" priority="99" operator="equal">
      <formula>"NÃO INICIADO"</formula>
    </cfRule>
    <cfRule type="cellIs" dxfId="3610" priority="63" operator="equal">
      <formula>"NÃO INICIADO"</formula>
    </cfRule>
    <cfRule type="cellIs" dxfId="3609" priority="17" operator="equal">
      <formula>"FINALIZADO"</formula>
    </cfRule>
  </conditionalFormatting>
  <conditionalFormatting sqref="D9:D14">
    <cfRule type="cellIs" dxfId="3608" priority="4338" operator="equal">
      <formula>"NÃO INICIADO"</formula>
    </cfRule>
    <cfRule type="cellIs" dxfId="3607" priority="4337" operator="equal">
      <formula>"FINALIZADO"</formula>
    </cfRule>
    <cfRule type="cellIs" dxfId="3606" priority="4336" operator="equal">
      <formula>"EM PROCESSO"</formula>
    </cfRule>
    <cfRule type="cellIs" dxfId="3605" priority="3864" operator="equal">
      <formula>"NÃO INICIADO"</formula>
    </cfRule>
    <cfRule type="cellIs" dxfId="3604" priority="1628" operator="equal">
      <formula>"FINALIZADO"</formula>
    </cfRule>
    <cfRule type="cellIs" dxfId="3603" priority="313" operator="equal">
      <formula>"EM PROCESSO"</formula>
    </cfRule>
  </conditionalFormatting>
  <conditionalFormatting sqref="D9:D22">
    <cfRule type="cellIs" dxfId="3602" priority="4329" operator="equal">
      <formula>"NÃO INICIADO"</formula>
    </cfRule>
    <cfRule type="cellIs" dxfId="3601" priority="4328" operator="equal">
      <formula>"FINALIZADO"</formula>
    </cfRule>
    <cfRule type="cellIs" dxfId="3600" priority="4327" operator="equal">
      <formula>"EM PROCESSO"</formula>
    </cfRule>
    <cfRule type="cellIs" dxfId="3599" priority="3516" operator="equal">
      <formula>"NÃO INICIADO"</formula>
    </cfRule>
    <cfRule type="cellIs" dxfId="3598" priority="2087" operator="equal">
      <formula>"FINALIZADO"</formula>
    </cfRule>
    <cfRule type="cellIs" dxfId="3597" priority="1246" operator="equal">
      <formula>"EM PROCESSO"</formula>
    </cfRule>
  </conditionalFormatting>
  <conditionalFormatting sqref="D9:D116">
    <cfRule type="cellIs" dxfId="3596" priority="4326" operator="equal">
      <formula>"NÃO INICIADO"</formula>
    </cfRule>
    <cfRule type="cellIs" dxfId="3595" priority="4325" operator="equal">
      <formula>"FINALIZADO"</formula>
    </cfRule>
    <cfRule type="cellIs" dxfId="3594" priority="4324" operator="equal">
      <formula>"EM PROCESSO"</formula>
    </cfRule>
  </conditionalFormatting>
  <conditionalFormatting sqref="D9:D237">
    <cfRule type="cellIs" dxfId="3593" priority="4323" operator="equal">
      <formula>"NÃO INICIADO"</formula>
    </cfRule>
    <cfRule type="cellIs" dxfId="3592" priority="4322" operator="equal">
      <formula>"FINALIZADO"</formula>
    </cfRule>
    <cfRule type="cellIs" dxfId="3591" priority="4321" operator="equal">
      <formula>"EM PROCESSO"</formula>
    </cfRule>
  </conditionalFormatting>
  <conditionalFormatting sqref="D9:D103">
    <cfRule type="cellIs" dxfId="3590" priority="4320" operator="equal">
      <formula>"NÃO INICIADO"</formula>
    </cfRule>
    <cfRule type="cellIs" dxfId="3589" priority="4319" operator="equal">
      <formula>"FINALIZADO"</formula>
    </cfRule>
    <cfRule type="cellIs" dxfId="3588" priority="4318" operator="equal">
      <formula>"EM PROCESSO"</formula>
    </cfRule>
  </conditionalFormatting>
  <conditionalFormatting sqref="D9:D168">
    <cfRule type="cellIs" dxfId="3587" priority="4317" operator="equal">
      <formula>"NÃO INICIADO"</formula>
    </cfRule>
    <cfRule type="cellIs" dxfId="3586" priority="4316" operator="equal">
      <formula>"FINALIZADO"</formula>
    </cfRule>
    <cfRule type="cellIs" dxfId="3585" priority="4315" operator="equal">
      <formula>"EM PROCESSO"</formula>
    </cfRule>
    <cfRule type="cellIs" dxfId="3584" priority="1860" operator="equal">
      <formula>"NÃO INICIADO"</formula>
    </cfRule>
    <cfRule type="cellIs" dxfId="3583" priority="1858" operator="equal">
      <formula>"EM PROCESSO"</formula>
    </cfRule>
  </conditionalFormatting>
  <conditionalFormatting sqref="D9:D284">
    <cfRule type="cellIs" dxfId="3582" priority="4314" operator="equal">
      <formula>"NÃO INICIADO"</formula>
    </cfRule>
    <cfRule type="cellIs" dxfId="3581" priority="4313" operator="equal">
      <formula>"FINALIZADO"</formula>
    </cfRule>
    <cfRule type="cellIs" dxfId="3580" priority="4312" operator="equal">
      <formula>"EM PROCESSO"</formula>
    </cfRule>
  </conditionalFormatting>
  <conditionalFormatting sqref="D9:D26">
    <cfRule type="cellIs" dxfId="3579" priority="4311" operator="equal">
      <formula>"NÃO INICIADO"</formula>
    </cfRule>
    <cfRule type="cellIs" dxfId="3578" priority="4310" operator="equal">
      <formula>"FINALIZADO"</formula>
    </cfRule>
    <cfRule type="cellIs" dxfId="3577" priority="4309" operator="equal">
      <formula>"EM PROCESSO"</formula>
    </cfRule>
  </conditionalFormatting>
  <conditionalFormatting sqref="D9:D120">
    <cfRule type="cellIs" dxfId="3576" priority="4305" operator="equal">
      <formula>"NÃO INICIADO"</formula>
    </cfRule>
    <cfRule type="cellIs" dxfId="3575" priority="4304" operator="equal">
      <formula>"FINALIZADO"</formula>
    </cfRule>
    <cfRule type="cellIs" dxfId="3574" priority="4303" operator="equal">
      <formula>"EM PROCESSO"</formula>
    </cfRule>
  </conditionalFormatting>
  <conditionalFormatting sqref="D9:D14">
    <cfRule type="cellIs" dxfId="3573" priority="4302" operator="equal">
      <formula>"NÃO INICIADO"</formula>
    </cfRule>
    <cfRule type="cellIs" dxfId="3572" priority="4301" operator="equal">
      <formula>"FINALIZADO"</formula>
    </cfRule>
    <cfRule type="cellIs" dxfId="3571" priority="4300" operator="equal">
      <formula>"EM PROCESSO"</formula>
    </cfRule>
    <cfRule type="cellIs" dxfId="3570" priority="3579" operator="equal">
      <formula>"NÃO INICIADO"</formula>
    </cfRule>
    <cfRule type="cellIs" dxfId="3569" priority="755" operator="equal">
      <formula>"FINALIZADO"</formula>
    </cfRule>
  </conditionalFormatting>
  <conditionalFormatting sqref="D9:D172">
    <cfRule type="cellIs" dxfId="3568" priority="4296" operator="equal">
      <formula>"NÃO INICIADO"</formula>
    </cfRule>
    <cfRule type="cellIs" dxfId="3567" priority="4295" operator="equal">
      <formula>"FINALIZADO"</formula>
    </cfRule>
    <cfRule type="cellIs" dxfId="3566" priority="4294" operator="equal">
      <formula>"EM PROCESSO"</formula>
    </cfRule>
  </conditionalFormatting>
  <conditionalFormatting sqref="D9:D114">
    <cfRule type="cellIs" dxfId="3565" priority="4293" operator="equal">
      <formula>"NÃO INICIADO"</formula>
    </cfRule>
    <cfRule type="cellIs" dxfId="3564" priority="4292" operator="equal">
      <formula>"FINALIZADO"</formula>
    </cfRule>
    <cfRule type="cellIs" dxfId="3563" priority="4291" operator="equal">
      <formula>"EM PROCESSO"</formula>
    </cfRule>
  </conditionalFormatting>
  <conditionalFormatting sqref="D9">
    <cfRule type="cellIs" dxfId="3562" priority="4290" operator="equal">
      <formula>"NÃO INICIADO"</formula>
    </cfRule>
    <cfRule type="cellIs" dxfId="3561" priority="4289" operator="equal">
      <formula>"FINALIZADO"</formula>
    </cfRule>
    <cfRule type="cellIs" dxfId="3560" priority="4288" operator="equal">
      <formula>"EM PROCESSO"</formula>
    </cfRule>
    <cfRule type="cellIs" dxfId="3559" priority="4284" operator="equal">
      <formula>"NÃO INICIADO"</formula>
    </cfRule>
    <cfRule type="cellIs" dxfId="3558" priority="4283" operator="equal">
      <formula>"FINALIZADO"</formula>
    </cfRule>
    <cfRule type="cellIs" dxfId="3557" priority="4282" operator="equal">
      <formula>"EM PROCESSO"</formula>
    </cfRule>
    <cfRule type="cellIs" dxfId="3556" priority="3963" operator="equal">
      <formula>"NÃO INICIADO"</formula>
    </cfRule>
    <cfRule type="cellIs" dxfId="3555" priority="3961" operator="equal">
      <formula>"EM PROCESSO"</formula>
    </cfRule>
    <cfRule type="cellIs" dxfId="3554" priority="3299" operator="equal">
      <formula>"FINALIZADO"</formula>
    </cfRule>
    <cfRule type="cellIs" dxfId="3553" priority="2887" operator="equal">
      <formula>"EM PROCESSO"</formula>
    </cfRule>
    <cfRule type="cellIs" dxfId="3552" priority="2701" operator="equal">
      <formula>"EM PROCESSO"</formula>
    </cfRule>
    <cfRule type="cellIs" dxfId="3551" priority="2698" operator="equal">
      <formula>"EM PROCESSO"</formula>
    </cfRule>
    <cfRule type="cellIs" dxfId="3550" priority="2587" operator="equal">
      <formula>"EM PROCESSO"</formula>
    </cfRule>
    <cfRule type="cellIs" dxfId="3549" priority="2584" operator="equal">
      <formula>"EM PROCESSO"</formula>
    </cfRule>
    <cfRule type="cellIs" dxfId="3548" priority="2184" operator="equal">
      <formula>"NÃO INICIADO"</formula>
    </cfRule>
    <cfRule type="cellIs" dxfId="3547" priority="1979" operator="equal">
      <formula>"FINALIZADO"</formula>
    </cfRule>
    <cfRule type="cellIs" dxfId="3546" priority="1973" operator="equal">
      <formula>"FINALIZADO"</formula>
    </cfRule>
    <cfRule type="cellIs" dxfId="3545" priority="1725" operator="equal">
      <formula>"NÃO INICIADO"</formula>
    </cfRule>
    <cfRule type="cellIs" dxfId="3544" priority="1722" operator="equal">
      <formula>"NÃO INICIADO"</formula>
    </cfRule>
    <cfRule type="cellIs" dxfId="3543" priority="1515" operator="equal">
      <formula>"NÃO INICIADO"</formula>
    </cfRule>
    <cfRule type="cellIs" dxfId="3542" priority="570" operator="equal">
      <formula>"NÃO INICIADO"</formula>
    </cfRule>
    <cfRule type="cellIs" dxfId="3541" priority="480" operator="equal">
      <formula>"NÃO INICIADO"</formula>
    </cfRule>
    <cfRule type="cellIs" dxfId="3540" priority="477" operator="equal">
      <formula>"NÃO INICIADO"</formula>
    </cfRule>
    <cfRule type="cellIs" dxfId="3539" priority="474" operator="equal">
      <formula>"NÃO INICIADO"</formula>
    </cfRule>
    <cfRule type="cellIs" dxfId="3538" priority="381" operator="equal">
      <formula>"NÃO INICIADO"</formula>
    </cfRule>
    <cfRule type="cellIs" dxfId="3537" priority="375" operator="equal">
      <formula>"NÃO INICIADO"</formula>
    </cfRule>
    <cfRule type="cellIs" dxfId="3536" priority="277" operator="equal">
      <formula>"EM PROCESSO"</formula>
    </cfRule>
    <cfRule type="cellIs" dxfId="3535" priority="274" operator="equal">
      <formula>"EM PROCESSO"</formula>
    </cfRule>
    <cfRule type="cellIs" dxfId="3534" priority="265" operator="equal">
      <formula>"EM PROCESSO"</formula>
    </cfRule>
    <cfRule type="cellIs" dxfId="3533" priority="262" operator="equal">
      <formula>"EM PROCESSO"</formula>
    </cfRule>
    <cfRule type="cellIs" dxfId="3532" priority="101" operator="equal">
      <formula>"FINALIZADO"</formula>
    </cfRule>
    <cfRule type="cellIs" dxfId="3531" priority="98" operator="equal">
      <formula>"FINALIZADO"</formula>
    </cfRule>
    <cfRule type="cellIs" dxfId="3530" priority="16" operator="equal">
      <formula>"EM PROCESSO"</formula>
    </cfRule>
  </conditionalFormatting>
  <conditionalFormatting sqref="D9:D12">
    <cfRule type="cellIs" dxfId="3529" priority="4287" operator="equal">
      <formula>"NÃO INICIADO"</formula>
    </cfRule>
    <cfRule type="cellIs" dxfId="3528" priority="4286" operator="equal">
      <formula>"FINALIZADO"</formula>
    </cfRule>
    <cfRule type="cellIs" dxfId="3527" priority="4285" operator="equal">
      <formula>"EM PROCESSO"</formula>
    </cfRule>
    <cfRule type="cellIs" dxfId="3526" priority="3182" operator="equal">
      <formula>"FINALIZADO"</formula>
    </cfRule>
    <cfRule type="cellIs" dxfId="3525" priority="3140" operator="equal">
      <formula>"FINALIZADO"</formula>
    </cfRule>
    <cfRule type="cellIs" dxfId="3524" priority="2592" operator="equal">
      <formula>"NÃO INICIADO"</formula>
    </cfRule>
    <cfRule type="cellIs" dxfId="3523" priority="2279" operator="equal">
      <formula>"FINALIZADO"</formula>
    </cfRule>
    <cfRule type="cellIs" dxfId="3522" priority="1776" operator="equal">
      <formula>"NÃO INICIADO"</formula>
    </cfRule>
    <cfRule type="cellIs" dxfId="3521" priority="1118" operator="equal">
      <formula>"FINALIZADO"</formula>
    </cfRule>
    <cfRule type="cellIs" dxfId="3520" priority="1112" operator="equal">
      <formula>"FINALIZADO"</formula>
    </cfRule>
  </conditionalFormatting>
  <conditionalFormatting sqref="D9:D11">
    <cfRule type="cellIs" dxfId="3519" priority="4281" operator="equal">
      <formula>"NÃO INICIADO"</formula>
    </cfRule>
    <cfRule type="cellIs" dxfId="3518" priority="4280" operator="equal">
      <formula>"FINALIZADO"</formula>
    </cfRule>
    <cfRule type="cellIs" dxfId="3517" priority="4279" operator="equal">
      <formula>"EM PROCESSO"</formula>
    </cfRule>
    <cfRule type="cellIs" dxfId="3516" priority="3821" operator="equal">
      <formula>"FINALIZADO"</formula>
    </cfRule>
    <cfRule type="cellIs" dxfId="3515" priority="3444" operator="equal">
      <formula>"NÃO INICIADO"</formula>
    </cfRule>
    <cfRule type="cellIs" dxfId="3514" priority="2222" operator="equal">
      <formula>"FINALIZADO"</formula>
    </cfRule>
    <cfRule type="cellIs" dxfId="3513" priority="1977" operator="equal">
      <formula>"NÃO INICIADO"</formula>
    </cfRule>
    <cfRule type="cellIs" dxfId="3512" priority="1517" operator="equal">
      <formula>"FINALIZADO"</formula>
    </cfRule>
    <cfRule type="cellIs" dxfId="3511" priority="1200" operator="equal">
      <formula>"NÃO INICIADO"</formula>
    </cfRule>
    <cfRule type="cellIs" dxfId="3510" priority="1197" operator="equal">
      <formula>"NÃO INICIADO"</formula>
    </cfRule>
    <cfRule type="cellIs" dxfId="3509" priority="1194" operator="equal">
      <formula>"NÃO INICIADO"</formula>
    </cfRule>
    <cfRule type="cellIs" dxfId="3508" priority="1191" operator="equal">
      <formula>"NÃO INICIADO"</formula>
    </cfRule>
    <cfRule type="cellIs" dxfId="3507" priority="1079" operator="equal">
      <formula>"FINALIZADO"</formula>
    </cfRule>
    <cfRule type="cellIs" dxfId="3506" priority="1031" operator="equal">
      <formula>"FINALIZADO"</formula>
    </cfRule>
    <cfRule type="cellIs" dxfId="3505" priority="991" operator="equal">
      <formula>"EM PROCESSO"</formula>
    </cfRule>
    <cfRule type="cellIs" dxfId="3504" priority="966" operator="equal">
      <formula>"NÃO INICIADO"</formula>
    </cfRule>
    <cfRule type="cellIs" dxfId="3503" priority="376" operator="equal">
      <formula>"EM PROCESSO"</formula>
    </cfRule>
  </conditionalFormatting>
  <conditionalFormatting sqref="D9:D66">
    <cfRule type="cellIs" dxfId="3502" priority="4278" operator="equal">
      <formula>"NÃO INICIADO"</formula>
    </cfRule>
    <cfRule type="cellIs" dxfId="3501" priority="4277" operator="equal">
      <formula>"FINALIZADO"</formula>
    </cfRule>
    <cfRule type="cellIs" dxfId="3500" priority="4276" operator="equal">
      <formula>"EM PROCESSO"</formula>
    </cfRule>
  </conditionalFormatting>
  <conditionalFormatting sqref="D9:D109">
    <cfRule type="cellIs" dxfId="3499" priority="4275" operator="equal">
      <formula>"NÃO INICIADO"</formula>
    </cfRule>
    <cfRule type="cellIs" dxfId="3498" priority="4274" operator="equal">
      <formula>"FINALIZADO"</formula>
    </cfRule>
    <cfRule type="cellIs" dxfId="3497" priority="4273" operator="equal">
      <formula>"EM PROCESSO"</formula>
    </cfRule>
  </conditionalFormatting>
  <conditionalFormatting sqref="D9:D127">
    <cfRule type="cellIs" dxfId="3496" priority="4272" operator="equal">
      <formula>"NÃO INICIADO"</formula>
    </cfRule>
    <cfRule type="cellIs" dxfId="3495" priority="4271" operator="equal">
      <formula>"FINALIZADO"</formula>
    </cfRule>
    <cfRule type="cellIs" dxfId="3494" priority="4270" operator="equal">
      <formula>"EM PROCESSO"</formula>
    </cfRule>
  </conditionalFormatting>
  <conditionalFormatting sqref="D9:D74">
    <cfRule type="cellIs" dxfId="3493" priority="4269" operator="equal">
      <formula>"NÃO INICIADO"</formula>
    </cfRule>
    <cfRule type="cellIs" dxfId="3492" priority="4268" operator="equal">
      <formula>"FINALIZADO"</formula>
    </cfRule>
    <cfRule type="cellIs" dxfId="3491" priority="4267" operator="equal">
      <formula>"EM PROCESSO"</formula>
    </cfRule>
  </conditionalFormatting>
  <conditionalFormatting sqref="D9:D64">
    <cfRule type="cellIs" dxfId="3490" priority="4266" operator="equal">
      <formula>"NÃO INICIADO"</formula>
    </cfRule>
    <cfRule type="cellIs" dxfId="3489" priority="4265" operator="equal">
      <formula>"FINALIZADO"</formula>
    </cfRule>
    <cfRule type="cellIs" dxfId="3488" priority="4264" operator="equal">
      <formula>"EM PROCESSO"</formula>
    </cfRule>
  </conditionalFormatting>
  <conditionalFormatting sqref="D9:D16">
    <cfRule type="cellIs" dxfId="3487" priority="4263" operator="equal">
      <formula>"NÃO INICIADO"</formula>
    </cfRule>
    <cfRule type="cellIs" dxfId="3486" priority="4262" operator="equal">
      <formula>"FINALIZADO"</formula>
    </cfRule>
    <cfRule type="cellIs" dxfId="3485" priority="4261" operator="equal">
      <formula>"EM PROCESSO"</formula>
    </cfRule>
    <cfRule type="cellIs" dxfId="3484" priority="2859" operator="equal">
      <formula>"NÃO INICIADO"</formula>
    </cfRule>
    <cfRule type="cellIs" dxfId="3483" priority="404" operator="equal">
      <formula>"FINALIZADO"</formula>
    </cfRule>
  </conditionalFormatting>
  <conditionalFormatting sqref="D9:D28">
    <cfRule type="cellIs" dxfId="3482" priority="4257" operator="equal">
      <formula>"NÃO INICIADO"</formula>
    </cfRule>
    <cfRule type="cellIs" dxfId="3481" priority="4256" operator="equal">
      <formula>"FINALIZADO"</formula>
    </cfRule>
    <cfRule type="cellIs" dxfId="3480" priority="4255" operator="equal">
      <formula>"EM PROCESSO"</formula>
    </cfRule>
  </conditionalFormatting>
  <conditionalFormatting sqref="D9:D43">
    <cfRule type="cellIs" dxfId="3479" priority="4254" operator="equal">
      <formula>"NÃO INICIADO"</formula>
    </cfRule>
    <cfRule type="cellIs" dxfId="3478" priority="4253" operator="equal">
      <formula>"FINALIZADO"</formula>
    </cfRule>
    <cfRule type="cellIs" dxfId="3477" priority="4252" operator="equal">
      <formula>"EM PROCESSO"</formula>
    </cfRule>
  </conditionalFormatting>
  <conditionalFormatting sqref="D9:D115">
    <cfRule type="cellIs" dxfId="3476" priority="4251" operator="equal">
      <formula>"NÃO INICIADO"</formula>
    </cfRule>
    <cfRule type="cellIs" dxfId="3475" priority="4250" operator="equal">
      <formula>"FINALIZADO"</formula>
    </cfRule>
    <cfRule type="cellIs" dxfId="3474" priority="4249" operator="equal">
      <formula>"EM PROCESSO"</formula>
    </cfRule>
  </conditionalFormatting>
  <conditionalFormatting sqref="D9:D110">
    <cfRule type="cellIs" dxfId="3473" priority="4248" operator="equal">
      <formula>"NÃO INICIADO"</formula>
    </cfRule>
    <cfRule type="cellIs" dxfId="3472" priority="4247" operator="equal">
      <formula>"FINALIZADO"</formula>
    </cfRule>
    <cfRule type="cellIs" dxfId="3471" priority="4246" operator="equal">
      <formula>"EM PROCESSO"</formula>
    </cfRule>
  </conditionalFormatting>
  <conditionalFormatting sqref="D9:D57">
    <cfRule type="cellIs" dxfId="3470" priority="4245" operator="equal">
      <formula>"NÃO INICIADO"</formula>
    </cfRule>
    <cfRule type="cellIs" dxfId="3469" priority="4244" operator="equal">
      <formula>"FINALIZADO"</formula>
    </cfRule>
    <cfRule type="cellIs" dxfId="3468" priority="4243" operator="equal">
      <formula>"EM PROCESSO"</formula>
    </cfRule>
    <cfRule type="cellIs" dxfId="3467" priority="3601" operator="equal">
      <formula>"EM PROCESSO"</formula>
    </cfRule>
  </conditionalFormatting>
  <conditionalFormatting sqref="D9:D53">
    <cfRule type="cellIs" dxfId="3466" priority="4242" operator="equal">
      <formula>"NÃO INICIADO"</formula>
    </cfRule>
    <cfRule type="cellIs" dxfId="3465" priority="4241" operator="equal">
      <formula>"FINALIZADO"</formula>
    </cfRule>
    <cfRule type="cellIs" dxfId="3464" priority="4240" operator="equal">
      <formula>"EM PROCESSO"</formula>
    </cfRule>
  </conditionalFormatting>
  <conditionalFormatting sqref="D9:D337">
    <cfRule type="cellIs" dxfId="3463" priority="4239" operator="equal">
      <formula>"NÃO INICIADO"</formula>
    </cfRule>
    <cfRule type="cellIs" dxfId="3462" priority="4238" operator="equal">
      <formula>"FINALIZADO"</formula>
    </cfRule>
    <cfRule type="cellIs" dxfId="3461" priority="4237" operator="equal">
      <formula>"EM PROCESSO"</formula>
    </cfRule>
  </conditionalFormatting>
  <conditionalFormatting sqref="D9:D14">
    <cfRule type="cellIs" dxfId="3460" priority="4236" operator="equal">
      <formula>"NÃO INICIADO"</formula>
    </cfRule>
    <cfRule type="cellIs" dxfId="3459" priority="4235" operator="equal">
      <formula>"FINALIZADO"</formula>
    </cfRule>
    <cfRule type="cellIs" dxfId="3458" priority="4234" operator="equal">
      <formula>"EM PROCESSO"</formula>
    </cfRule>
    <cfRule type="cellIs" dxfId="3457" priority="3297" operator="equal">
      <formula>"NÃO INICIADO"</formula>
    </cfRule>
    <cfRule type="cellIs" dxfId="3456" priority="1629" operator="equal">
      <formula>"NÃO INICIADO"</formula>
    </cfRule>
    <cfRule type="cellIs" dxfId="3455" priority="630" operator="equal">
      <formula>"NÃO INICIADO"</formula>
    </cfRule>
    <cfRule type="cellIs" dxfId="3454" priority="506" operator="equal">
      <formula>"FINALIZADO"</formula>
    </cfRule>
  </conditionalFormatting>
  <conditionalFormatting sqref="D9">
    <cfRule type="cellIs" dxfId="3453" priority="4233" operator="equal">
      <formula>"NÃO INICIADO"</formula>
    </cfRule>
    <cfRule type="cellIs" dxfId="3452" priority="4232" operator="equal">
      <formula>"FINALIZADO"</formula>
    </cfRule>
    <cfRule type="cellIs" dxfId="3451" priority="4231" operator="equal">
      <formula>"EM PROCESSO"</formula>
    </cfRule>
    <cfRule type="cellIs" dxfId="3450" priority="3962" operator="equal">
      <formula>"FINALIZADO"</formula>
    </cfRule>
    <cfRule type="cellIs" dxfId="3449" priority="3857" operator="equal">
      <formula>"FINALIZADO"</formula>
    </cfRule>
    <cfRule type="cellIs" dxfId="3448" priority="3750" operator="equal">
      <formula>"NÃO INICIADO"</formula>
    </cfRule>
    <cfRule type="cellIs" dxfId="3447" priority="3653" operator="equal">
      <formula>"FINALIZADO"</formula>
    </cfRule>
    <cfRule type="cellIs" dxfId="3446" priority="3650" operator="equal">
      <formula>"FINALIZADO"</formula>
    </cfRule>
    <cfRule type="cellIs" dxfId="3445" priority="3628" operator="equal">
      <formula>"EM PROCESSO"</formula>
    </cfRule>
    <cfRule type="cellIs" dxfId="3444" priority="2253" operator="equal">
      <formula>"NÃO INICIADO"</formula>
    </cfRule>
    <cfRule type="cellIs" dxfId="3443" priority="2247" operator="equal">
      <formula>"NÃO INICIADO"</formula>
    </cfRule>
    <cfRule type="cellIs" dxfId="3442" priority="2182" operator="equal">
      <formula>"EM PROCESSO"</formula>
    </cfRule>
    <cfRule type="cellIs" dxfId="3441" priority="1978" operator="equal">
      <formula>"EM PROCESSO"</formula>
    </cfRule>
    <cfRule type="cellIs" dxfId="3440" priority="1972" operator="equal">
      <formula>"EM PROCESSO"</formula>
    </cfRule>
    <cfRule type="cellIs" dxfId="3439" priority="1367" operator="equal">
      <formula>"FINALIZADO"</formula>
    </cfRule>
    <cfRule type="cellIs" dxfId="3438" priority="1358" operator="equal">
      <formula>"FINALIZADO"</formula>
    </cfRule>
    <cfRule type="cellIs" dxfId="3437" priority="1277" operator="equal">
      <formula>"FINALIZADO"</formula>
    </cfRule>
    <cfRule type="cellIs" dxfId="3436" priority="1274" operator="equal">
      <formula>"FINALIZADO"</formula>
    </cfRule>
    <cfRule type="cellIs" dxfId="3435" priority="786" operator="equal">
      <formula>"NÃO INICIADO"</formula>
    </cfRule>
    <cfRule type="cellIs" dxfId="3434" priority="783" operator="equal">
      <formula>"NÃO INICIADO"</formula>
    </cfRule>
    <cfRule type="cellIs" dxfId="3433" priority="569" operator="equal">
      <formula>"FINALIZADO"</formula>
    </cfRule>
    <cfRule type="cellIs" dxfId="3432" priority="479" operator="equal">
      <formula>"FINALIZADO"</formula>
    </cfRule>
    <cfRule type="cellIs" dxfId="3431" priority="476" operator="equal">
      <formula>"FINALIZADO"</formula>
    </cfRule>
    <cfRule type="cellIs" dxfId="3430" priority="473" operator="equal">
      <formula>"FINALIZADO"</formula>
    </cfRule>
    <cfRule type="cellIs" dxfId="3429" priority="379" operator="equal">
      <formula>"EM PROCESSO"</formula>
    </cfRule>
    <cfRule type="cellIs" dxfId="3428" priority="373" operator="equal">
      <formula>"EM PROCESSO"</formula>
    </cfRule>
  </conditionalFormatting>
  <conditionalFormatting sqref="D9:D86">
    <cfRule type="cellIs" dxfId="3427" priority="4221" operator="equal">
      <formula>"NÃO INICIADO"</formula>
    </cfRule>
    <cfRule type="cellIs" dxfId="3426" priority="4220" operator="equal">
      <formula>"FINALIZADO"</formula>
    </cfRule>
    <cfRule type="cellIs" dxfId="3425" priority="4219" operator="equal">
      <formula>"EM PROCESSO"</formula>
    </cfRule>
  </conditionalFormatting>
  <conditionalFormatting sqref="D9:D39">
    <cfRule type="cellIs" dxfId="3424" priority="4218" operator="equal">
      <formula>"NÃO INICIADO"</formula>
    </cfRule>
    <cfRule type="cellIs" dxfId="3423" priority="4217" operator="equal">
      <formula>"FINALIZADO"</formula>
    </cfRule>
    <cfRule type="cellIs" dxfId="3422" priority="4216" operator="equal">
      <formula>"EM PROCESSO"</formula>
    </cfRule>
    <cfRule type="cellIs" dxfId="3421" priority="4209" operator="equal">
      <formula>"NÃO INICIADO"</formula>
    </cfRule>
    <cfRule type="cellIs" dxfId="3420" priority="4208" operator="equal">
      <formula>"FINALIZADO"</formula>
    </cfRule>
    <cfRule type="cellIs" dxfId="3419" priority="4207" operator="equal">
      <formula>"EM PROCESSO"</formula>
    </cfRule>
    <cfRule type="cellIs" dxfId="3418" priority="1967" operator="equal">
      <formula>"FINALIZADO"</formula>
    </cfRule>
    <cfRule type="cellIs" dxfId="3417" priority="1415" operator="equal">
      <formula>"FINALIZADO"</formula>
    </cfRule>
    <cfRule type="cellIs" dxfId="3416" priority="1412" operator="equal">
      <formula>"FINALIZADO"</formula>
    </cfRule>
    <cfRule type="cellIs" dxfId="3415" priority="1401" operator="equal">
      <formula>"NÃO INICIADO"</formula>
    </cfRule>
  </conditionalFormatting>
  <conditionalFormatting sqref="D9:D180">
    <cfRule type="cellIs" dxfId="3414" priority="4215" operator="equal">
      <formula>"NÃO INICIADO"</formula>
    </cfRule>
    <cfRule type="cellIs" dxfId="3413" priority="4214" operator="equal">
      <formula>"FINALIZADO"</formula>
    </cfRule>
    <cfRule type="cellIs" dxfId="3412" priority="4213" operator="equal">
      <formula>"EM PROCESSO"</formula>
    </cfRule>
  </conditionalFormatting>
  <conditionalFormatting sqref="D9:D129">
    <cfRule type="cellIs" dxfId="3411" priority="4212" operator="equal">
      <formula>"NÃO INICIADO"</formula>
    </cfRule>
    <cfRule type="cellIs" dxfId="3410" priority="4211" operator="equal">
      <formula>"FINALIZADO"</formula>
    </cfRule>
    <cfRule type="cellIs" dxfId="3409" priority="4210" operator="equal">
      <formula>"EM PROCESSO"</formula>
    </cfRule>
  </conditionalFormatting>
  <conditionalFormatting sqref="D9:D12">
    <cfRule type="cellIs" dxfId="3408" priority="4206" operator="equal">
      <formula>"NÃO INICIADO"</formula>
    </cfRule>
    <cfRule type="cellIs" dxfId="3407" priority="4205" operator="equal">
      <formula>"FINALIZADO"</formula>
    </cfRule>
    <cfRule type="cellIs" dxfId="3406" priority="4204" operator="equal">
      <formula>"EM PROCESSO"</formula>
    </cfRule>
    <cfRule type="cellIs" dxfId="3405" priority="2693" operator="equal">
      <formula>"FINALIZADO"</formula>
    </cfRule>
    <cfRule type="cellIs" dxfId="3404" priority="2511" operator="equal">
      <formula>"NÃO INICIADO"</formula>
    </cfRule>
    <cfRule type="cellIs" dxfId="3403" priority="2280" operator="equal">
      <formula>"NÃO INICIADO"</formula>
    </cfRule>
    <cfRule type="cellIs" dxfId="3402" priority="1654" operator="equal">
      <formula>"EM PROCESSO"</formula>
    </cfRule>
    <cfRule type="cellIs" dxfId="3401" priority="1119" operator="equal">
      <formula>"NÃO INICIADO"</formula>
    </cfRule>
    <cfRule type="cellIs" dxfId="3400" priority="1113" operator="equal">
      <formula>"NÃO INICIADO"</formula>
    </cfRule>
  </conditionalFormatting>
  <conditionalFormatting sqref="D9:D10">
    <cfRule type="cellIs" dxfId="3399" priority="4203" operator="equal">
      <formula>"NÃO INICIADO"</formula>
    </cfRule>
    <cfRule type="cellIs" dxfId="3398" priority="4202" operator="equal">
      <formula>"FINALIZADO"</formula>
    </cfRule>
    <cfRule type="cellIs" dxfId="3397" priority="4201" operator="equal">
      <formula>"EM PROCESSO"</formula>
    </cfRule>
    <cfRule type="cellIs" dxfId="3396" priority="2243" operator="equal">
      <formula>"FINALIZADO"</formula>
    </cfRule>
    <cfRule type="cellIs" dxfId="3395" priority="2212" operator="equal">
      <formula>"EM PROCESSO"</formula>
    </cfRule>
    <cfRule type="cellIs" dxfId="3394" priority="2209" operator="equal">
      <formula>"EM PROCESSO"</formula>
    </cfRule>
    <cfRule type="cellIs" dxfId="3393" priority="1848" operator="equal">
      <formula>"NÃO INICIADO"</formula>
    </cfRule>
    <cfRule type="cellIs" dxfId="3392" priority="1397" operator="equal">
      <formula>"FINALIZADO"</formula>
    </cfRule>
    <cfRule type="cellIs" dxfId="3391" priority="852" operator="equal">
      <formula>"NÃO INICIADO"</formula>
    </cfRule>
    <cfRule type="cellIs" dxfId="3390" priority="481" operator="equal">
      <formula>"EM PROCESSO"</formula>
    </cfRule>
    <cfRule type="cellIs" dxfId="3389" priority="312" operator="equal">
      <formula>"NÃO INICIADO"</formula>
    </cfRule>
    <cfRule type="cellIs" dxfId="3388" priority="239" operator="equal">
      <formula>"FINALIZADO"</formula>
    </cfRule>
  </conditionalFormatting>
  <conditionalFormatting sqref="D9:D28">
    <cfRule type="cellIs" dxfId="3387" priority="4200" operator="equal">
      <formula>"NÃO INICIADO"</formula>
    </cfRule>
    <cfRule type="cellIs" dxfId="3386" priority="4199" operator="equal">
      <formula>"FINALIZADO"</formula>
    </cfRule>
    <cfRule type="cellIs" dxfId="3385" priority="4198" operator="equal">
      <formula>"EM PROCESSO"</formula>
    </cfRule>
  </conditionalFormatting>
  <conditionalFormatting sqref="D9:D20">
    <cfRule type="cellIs" dxfId="3384" priority="4197" operator="equal">
      <formula>"NÃO INICIADO"</formula>
    </cfRule>
    <cfRule type="cellIs" dxfId="3383" priority="4196" operator="equal">
      <formula>"FINALIZADO"</formula>
    </cfRule>
    <cfRule type="cellIs" dxfId="3382" priority="4195" operator="equal">
      <formula>"EM PROCESSO"</formula>
    </cfRule>
    <cfRule type="cellIs" dxfId="3381" priority="2457" operator="equal">
      <formula>"NÃO INICIADO"</formula>
    </cfRule>
    <cfRule type="cellIs" dxfId="3380" priority="258" operator="equal">
      <formula>"NÃO INICIADO"</formula>
    </cfRule>
  </conditionalFormatting>
  <conditionalFormatting sqref="D9:D23">
    <cfRule type="cellIs" dxfId="3379" priority="4194" operator="equal">
      <formula>"NÃO INICIADO"</formula>
    </cfRule>
    <cfRule type="cellIs" dxfId="3378" priority="4193" operator="equal">
      <formula>"FINALIZADO"</formula>
    </cfRule>
    <cfRule type="cellIs" dxfId="3377" priority="4192" operator="equal">
      <formula>"EM PROCESSO"</formula>
    </cfRule>
  </conditionalFormatting>
  <conditionalFormatting sqref="D9:D40">
    <cfRule type="cellIs" dxfId="3376" priority="4191" operator="equal">
      <formula>"NÃO INICIADO"</formula>
    </cfRule>
    <cfRule type="cellIs" dxfId="3375" priority="4190" operator="equal">
      <formula>"FINALIZADO"</formula>
    </cfRule>
    <cfRule type="cellIs" dxfId="3374" priority="4189" operator="equal">
      <formula>"EM PROCESSO"</formula>
    </cfRule>
  </conditionalFormatting>
  <conditionalFormatting sqref="D9:D307">
    <cfRule type="cellIs" dxfId="3373" priority="4188" operator="equal">
      <formula>"NÃO INICIADO"</formula>
    </cfRule>
    <cfRule type="cellIs" dxfId="3372" priority="4187" operator="equal">
      <formula>"FINALIZADO"</formula>
    </cfRule>
    <cfRule type="cellIs" dxfId="3371" priority="4186" operator="equal">
      <formula>"EM PROCESSO"</formula>
    </cfRule>
  </conditionalFormatting>
  <conditionalFormatting sqref="D9:D300">
    <cfRule type="cellIs" dxfId="3370" priority="4185" operator="equal">
      <formula>"NÃO INICIADO"</formula>
    </cfRule>
    <cfRule type="cellIs" dxfId="3369" priority="4184" operator="equal">
      <formula>"FINALIZADO"</formula>
    </cfRule>
    <cfRule type="cellIs" dxfId="3368" priority="4183" operator="equal">
      <formula>"EM PROCESSO"</formula>
    </cfRule>
  </conditionalFormatting>
  <conditionalFormatting sqref="D9:D295">
    <cfRule type="cellIs" dxfId="3367" priority="4182" operator="equal">
      <formula>"NÃO INICIADO"</formula>
    </cfRule>
    <cfRule type="cellIs" dxfId="3366" priority="4181" operator="equal">
      <formula>"FINALIZADO"</formula>
    </cfRule>
    <cfRule type="cellIs" dxfId="3365" priority="4180" operator="equal">
      <formula>"EM PROCESSO"</formula>
    </cfRule>
  </conditionalFormatting>
  <conditionalFormatting sqref="D9:D134">
    <cfRule type="cellIs" dxfId="3364" priority="4179" operator="equal">
      <formula>"NÃO INICIADO"</formula>
    </cfRule>
    <cfRule type="cellIs" dxfId="3363" priority="4178" operator="equal">
      <formula>"FINALIZADO"</formula>
    </cfRule>
    <cfRule type="cellIs" dxfId="3362" priority="4177" operator="equal">
      <formula>"EM PROCESSO"</formula>
    </cfRule>
  </conditionalFormatting>
  <conditionalFormatting sqref="D9:D79">
    <cfRule type="cellIs" dxfId="3361" priority="4173" operator="equal">
      <formula>"NÃO INICIADO"</formula>
    </cfRule>
    <cfRule type="cellIs" dxfId="3360" priority="4172" operator="equal">
      <formula>"FINALIZADO"</formula>
    </cfRule>
    <cfRule type="cellIs" dxfId="3359" priority="4171" operator="equal">
      <formula>"EM PROCESSO"</formula>
    </cfRule>
    <cfRule type="cellIs" dxfId="3358" priority="248" operator="equal">
      <formula>"FINALIZADO"</formula>
    </cfRule>
  </conditionalFormatting>
  <conditionalFormatting sqref="D9:D10">
    <cfRule type="cellIs" dxfId="3357" priority="4170" operator="equal">
      <formula>"NÃO INICIADO"</formula>
    </cfRule>
    <cfRule type="cellIs" dxfId="3356" priority="4169" operator="equal">
      <formula>"FINALIZADO"</formula>
    </cfRule>
    <cfRule type="cellIs" dxfId="3355" priority="4168" operator="equal">
      <formula>"EM PROCESSO"</formula>
    </cfRule>
    <cfRule type="cellIs" dxfId="3354" priority="3260" operator="equal">
      <formula>"FINALIZADO"</formula>
    </cfRule>
    <cfRule type="cellIs" dxfId="3353" priority="2804" operator="equal">
      <formula>"FINALIZADO"</formula>
    </cfRule>
    <cfRule type="cellIs" dxfId="3352" priority="2635" operator="equal">
      <formula>"EM PROCESSO"</formula>
    </cfRule>
    <cfRule type="cellIs" dxfId="3351" priority="2632" operator="equal">
      <formula>"EM PROCESSO"</formula>
    </cfRule>
    <cfRule type="cellIs" dxfId="3350" priority="2019" operator="equal">
      <formula>"NÃO INICIADO"</formula>
    </cfRule>
    <cfRule type="cellIs" dxfId="3349" priority="2016" operator="equal">
      <formula>"NÃO INICIADO"</formula>
    </cfRule>
    <cfRule type="cellIs" dxfId="3348" priority="567" operator="equal">
      <formula>"NÃO INICIADO"</formula>
    </cfRule>
    <cfRule type="cellIs" dxfId="3347" priority="240" operator="equal">
      <formula>"NÃO INICIADO"</formula>
    </cfRule>
    <cfRule type="cellIs" dxfId="3346" priority="19" operator="equal">
      <formula>"EM PROCESSO"</formula>
    </cfRule>
    <cfRule type="cellIs" dxfId="3345" priority="13" operator="equal">
      <formula>"EM PROCESSO"</formula>
    </cfRule>
  </conditionalFormatting>
  <conditionalFormatting sqref="D9:D49">
    <cfRule type="cellIs" dxfId="3344" priority="4167" operator="equal">
      <formula>"NÃO INICIADO"</formula>
    </cfRule>
    <cfRule type="cellIs" dxfId="3343" priority="4166" operator="equal">
      <formula>"FINALIZADO"</formula>
    </cfRule>
    <cfRule type="cellIs" dxfId="3342" priority="4165" operator="equal">
      <formula>"EM PROCESSO"</formula>
    </cfRule>
  </conditionalFormatting>
  <conditionalFormatting sqref="D9:D114">
    <cfRule type="cellIs" dxfId="3341" priority="4164" operator="equal">
      <formula>"NÃO INICIADO"</formula>
    </cfRule>
    <cfRule type="cellIs" dxfId="3340" priority="4163" operator="equal">
      <formula>"FINALIZADO"</formula>
    </cfRule>
    <cfRule type="cellIs" dxfId="3339" priority="4162" operator="equal">
      <formula>"EM PROCESSO"</formula>
    </cfRule>
  </conditionalFormatting>
  <conditionalFormatting sqref="D9:D128">
    <cfRule type="cellIs" dxfId="3338" priority="4158" operator="equal">
      <formula>"NÃO INICIADO"</formula>
    </cfRule>
    <cfRule type="cellIs" dxfId="3337" priority="4157" operator="equal">
      <formula>"FINALIZADO"</formula>
    </cfRule>
    <cfRule type="cellIs" dxfId="3336" priority="4156" operator="equal">
      <formula>"EM PROCESSO"</formula>
    </cfRule>
  </conditionalFormatting>
  <conditionalFormatting sqref="D9:D123">
    <cfRule type="cellIs" dxfId="3335" priority="4155" operator="equal">
      <formula>"NÃO INICIADO"</formula>
    </cfRule>
    <cfRule type="cellIs" dxfId="3334" priority="4154" operator="equal">
      <formula>"FINALIZADO"</formula>
    </cfRule>
    <cfRule type="cellIs" dxfId="3333" priority="4153" operator="equal">
      <formula>"EM PROCESSO"</formula>
    </cfRule>
  </conditionalFormatting>
  <conditionalFormatting sqref="D9:D151">
    <cfRule type="cellIs" dxfId="3332" priority="4152" operator="equal">
      <formula>"NÃO INICIADO"</formula>
    </cfRule>
    <cfRule type="cellIs" dxfId="3331" priority="4151" operator="equal">
      <formula>"FINALIZADO"</formula>
    </cfRule>
    <cfRule type="cellIs" dxfId="3330" priority="4150" operator="equal">
      <formula>"EM PROCESSO"</formula>
    </cfRule>
  </conditionalFormatting>
  <conditionalFormatting sqref="D9:D71">
    <cfRule type="cellIs" dxfId="3329" priority="4149" operator="equal">
      <formula>"NÃO INICIADO"</formula>
    </cfRule>
    <cfRule type="cellIs" dxfId="3328" priority="4148" operator="equal">
      <formula>"FINALIZADO"</formula>
    </cfRule>
    <cfRule type="cellIs" dxfId="3327" priority="4147" operator="equal">
      <formula>"EM PROCESSO"</formula>
    </cfRule>
  </conditionalFormatting>
  <conditionalFormatting sqref="D9:D14">
    <cfRule type="cellIs" dxfId="3326" priority="4146" operator="equal">
      <formula>"NÃO INICIADO"</formula>
    </cfRule>
    <cfRule type="cellIs" dxfId="3325" priority="4145" operator="equal">
      <formula>"FINALIZADO"</formula>
    </cfRule>
    <cfRule type="cellIs" dxfId="3324" priority="4144" operator="equal">
      <formula>"EM PROCESSO"</formula>
    </cfRule>
    <cfRule type="cellIs" dxfId="3323" priority="3862" operator="equal">
      <formula>"EM PROCESSO"</formula>
    </cfRule>
    <cfRule type="cellIs" dxfId="3322" priority="3337" operator="equal">
      <formula>"EM PROCESSO"</formula>
    </cfRule>
    <cfRule type="cellIs" dxfId="3321" priority="756" operator="equal">
      <formula>"NÃO INICIADO"</formula>
    </cfRule>
    <cfRule type="cellIs" dxfId="3320" priority="505" operator="equal">
      <formula>"EM PROCESSO"</formula>
    </cfRule>
  </conditionalFormatting>
  <conditionalFormatting sqref="D9:D11">
    <cfRule type="cellIs" dxfId="3319" priority="4143" operator="equal">
      <formula>"NÃO INICIADO"</formula>
    </cfRule>
    <cfRule type="cellIs" dxfId="3318" priority="4142" operator="equal">
      <formula>"FINALIZADO"</formula>
    </cfRule>
    <cfRule type="cellIs" dxfId="3317" priority="4141" operator="equal">
      <formula>"EM PROCESSO"</formula>
    </cfRule>
    <cfRule type="cellIs" dxfId="3316" priority="3822" operator="equal">
      <formula>"NÃO INICIADO"</formula>
    </cfRule>
    <cfRule type="cellIs" dxfId="3315" priority="3053" operator="equal">
      <formula>"FINALIZADO"</formula>
    </cfRule>
    <cfRule type="cellIs" dxfId="3314" priority="1211" operator="equal">
      <formula>"FINALIZADO"</formula>
    </cfRule>
    <cfRule type="cellIs" dxfId="3313" priority="150" operator="equal">
      <formula>"NÃO INICIADO"</formula>
    </cfRule>
  </conditionalFormatting>
  <conditionalFormatting sqref="D9:D28">
    <cfRule type="cellIs" dxfId="3312" priority="4140" operator="equal">
      <formula>"NÃO INICIADO"</formula>
    </cfRule>
    <cfRule type="cellIs" dxfId="3311" priority="4139" operator="equal">
      <formula>"FINALIZADO"</formula>
    </cfRule>
    <cfRule type="cellIs" dxfId="3310" priority="4138" operator="equal">
      <formula>"EM PROCESSO"</formula>
    </cfRule>
  </conditionalFormatting>
  <conditionalFormatting sqref="D9:D88">
    <cfRule type="cellIs" dxfId="3309" priority="4137" operator="equal">
      <formula>"NÃO INICIADO"</formula>
    </cfRule>
    <cfRule type="cellIs" dxfId="3308" priority="4136" operator="equal">
      <formula>"FINALIZADO"</formula>
    </cfRule>
    <cfRule type="cellIs" dxfId="3307" priority="4135" operator="equal">
      <formula>"EM PROCESSO"</formula>
    </cfRule>
  </conditionalFormatting>
  <conditionalFormatting sqref="D9:D24">
    <cfRule type="cellIs" dxfId="3306" priority="4134" operator="equal">
      <formula>"NÃO INICIADO"</formula>
    </cfRule>
    <cfRule type="cellIs" dxfId="3305" priority="4133" operator="equal">
      <formula>"FINALIZADO"</formula>
    </cfRule>
    <cfRule type="cellIs" dxfId="3304" priority="4132" operator="equal">
      <formula>"EM PROCESSO"</formula>
    </cfRule>
  </conditionalFormatting>
  <conditionalFormatting sqref="D9:D154">
    <cfRule type="cellIs" dxfId="3303" priority="4131" operator="equal">
      <formula>"NÃO INICIADO"</formula>
    </cfRule>
    <cfRule type="cellIs" dxfId="3302" priority="4130" operator="equal">
      <formula>"FINALIZADO"</formula>
    </cfRule>
    <cfRule type="cellIs" dxfId="3301" priority="4129" operator="equal">
      <formula>"EM PROCESSO"</formula>
    </cfRule>
  </conditionalFormatting>
  <conditionalFormatting sqref="D9:D61">
    <cfRule type="cellIs" dxfId="3300" priority="4128" operator="equal">
      <formula>"NÃO INICIADO"</formula>
    </cfRule>
    <cfRule type="cellIs" dxfId="3299" priority="4127" operator="equal">
      <formula>"FINALIZADO"</formula>
    </cfRule>
    <cfRule type="cellIs" dxfId="3298" priority="4126" operator="equal">
      <formula>"EM PROCESSO"</formula>
    </cfRule>
  </conditionalFormatting>
  <conditionalFormatting sqref="D9:D63">
    <cfRule type="cellIs" dxfId="3297" priority="4125" operator="equal">
      <formula>"NÃO INICIADO"</formula>
    </cfRule>
    <cfRule type="cellIs" dxfId="3296" priority="4124" operator="equal">
      <formula>"FINALIZADO"</formula>
    </cfRule>
    <cfRule type="cellIs" dxfId="3295" priority="4123" operator="equal">
      <formula>"EM PROCESSO"</formula>
    </cfRule>
  </conditionalFormatting>
  <conditionalFormatting sqref="D9:D19">
    <cfRule type="cellIs" dxfId="3294" priority="4119" operator="equal">
      <formula>"NÃO INICIADO"</formula>
    </cfRule>
    <cfRule type="cellIs" dxfId="3293" priority="4118" operator="equal">
      <formula>"FINALIZADO"</formula>
    </cfRule>
    <cfRule type="cellIs" dxfId="3292" priority="4117" operator="equal">
      <formula>"EM PROCESSO"</formula>
    </cfRule>
    <cfRule type="cellIs" dxfId="3291" priority="2602" operator="equal">
      <formula>"EM PROCESSO"</formula>
    </cfRule>
    <cfRule type="cellIs" dxfId="3290" priority="2248" operator="equal">
      <formula>"EM PROCESSO"</formula>
    </cfRule>
    <cfRule type="cellIs" dxfId="3289" priority="1743" operator="equal">
      <formula>"NÃO INICIADO"</formula>
    </cfRule>
    <cfRule type="cellIs" dxfId="3288" priority="467" operator="equal">
      <formula>"FINALIZADO"</formula>
    </cfRule>
    <cfRule type="cellIs" dxfId="3287" priority="438" operator="equal">
      <formula>"NÃO INICIADO"</formula>
    </cfRule>
  </conditionalFormatting>
  <conditionalFormatting sqref="D9:D14">
    <cfRule type="cellIs" dxfId="3286" priority="4116" operator="equal">
      <formula>"NÃO INICIADO"</formula>
    </cfRule>
    <cfRule type="cellIs" dxfId="3285" priority="4115" operator="equal">
      <formula>"FINALIZADO"</formula>
    </cfRule>
    <cfRule type="cellIs" dxfId="3284" priority="4114" operator="equal">
      <formula>"EM PROCESSO"</formula>
    </cfRule>
    <cfRule type="cellIs" dxfId="3283" priority="3958" operator="equal">
      <formula>"EM PROCESSO"</formula>
    </cfRule>
    <cfRule type="cellIs" dxfId="3282" priority="3339" operator="equal">
      <formula>"NÃO INICIADO"</formula>
    </cfRule>
  </conditionalFormatting>
  <conditionalFormatting sqref="D9:D140">
    <cfRule type="cellIs" dxfId="3281" priority="4107" operator="equal">
      <formula>"NÃO INICIADO"</formula>
    </cfRule>
    <cfRule type="cellIs" dxfId="3280" priority="4106" operator="equal">
      <formula>"FINALIZADO"</formula>
    </cfRule>
    <cfRule type="cellIs" dxfId="3279" priority="4105" operator="equal">
      <formula>"EM PROCESSO"</formula>
    </cfRule>
  </conditionalFormatting>
  <conditionalFormatting sqref="D9:D120">
    <cfRule type="cellIs" dxfId="3278" priority="4104" operator="equal">
      <formula>"NÃO INICIADO"</formula>
    </cfRule>
    <cfRule type="cellIs" dxfId="3277" priority="4103" operator="equal">
      <formula>"FINALIZADO"</formula>
    </cfRule>
    <cfRule type="cellIs" dxfId="3276" priority="4102" operator="equal">
      <formula>"EM PROCESSO"</formula>
    </cfRule>
  </conditionalFormatting>
  <conditionalFormatting sqref="D9:D116">
    <cfRule type="cellIs" dxfId="3275" priority="4101" operator="equal">
      <formula>"NÃO INICIADO"</formula>
    </cfRule>
    <cfRule type="cellIs" dxfId="3274" priority="4100" operator="equal">
      <formula>"FINALIZADO"</formula>
    </cfRule>
    <cfRule type="cellIs" dxfId="3273" priority="4099" operator="equal">
      <formula>"EM PROCESSO"</formula>
    </cfRule>
  </conditionalFormatting>
  <conditionalFormatting sqref="D9:D65">
    <cfRule type="cellIs" dxfId="3272" priority="4098" operator="equal">
      <formula>"NÃO INICIADO"</formula>
    </cfRule>
    <cfRule type="cellIs" dxfId="3271" priority="4097" operator="equal">
      <formula>"FINALIZADO"</formula>
    </cfRule>
    <cfRule type="cellIs" dxfId="3270" priority="4096" operator="equal">
      <formula>"EM PROCESSO"</formula>
    </cfRule>
  </conditionalFormatting>
  <conditionalFormatting sqref="D9:D84">
    <cfRule type="cellIs" dxfId="3269" priority="4092" operator="equal">
      <formula>"NÃO INICIADO"</formula>
    </cfRule>
    <cfRule type="cellIs" dxfId="3268" priority="4091" operator="equal">
      <formula>"FINALIZADO"</formula>
    </cfRule>
    <cfRule type="cellIs" dxfId="3267" priority="4090" operator="equal">
      <formula>"EM PROCESSO"</formula>
    </cfRule>
  </conditionalFormatting>
  <conditionalFormatting sqref="D9:D14">
    <cfRule type="cellIs" dxfId="3266" priority="4089" operator="equal">
      <formula>"NÃO INICIADO"</formula>
    </cfRule>
    <cfRule type="cellIs" dxfId="3265" priority="4088" operator="equal">
      <formula>"FINALIZADO"</formula>
    </cfRule>
    <cfRule type="cellIs" dxfId="3264" priority="4087" operator="equal">
      <formula>"EM PROCESSO"</formula>
    </cfRule>
    <cfRule type="cellIs" dxfId="3263" priority="1947" operator="equal">
      <formula>"NÃO INICIADO"</formula>
    </cfRule>
    <cfRule type="cellIs" dxfId="3262" priority="600" operator="equal">
      <formula>"NÃO INICIADO"</formula>
    </cfRule>
    <cfRule type="cellIs" dxfId="3261" priority="23" operator="equal">
      <formula>"FINALIZADO"</formula>
    </cfRule>
  </conditionalFormatting>
  <conditionalFormatting sqref="D9:D39">
    <cfRule type="cellIs" dxfId="3260" priority="4086" operator="equal">
      <formula>"NÃO INICIADO"</formula>
    </cfRule>
    <cfRule type="cellIs" dxfId="3259" priority="4085" operator="equal">
      <formula>"FINALIZADO"</formula>
    </cfRule>
    <cfRule type="cellIs" dxfId="3258" priority="4084" operator="equal">
      <formula>"EM PROCESSO"</formula>
    </cfRule>
    <cfRule type="cellIs" dxfId="3257" priority="1966" operator="equal">
      <formula>"EM PROCESSO"</formula>
    </cfRule>
    <cfRule type="cellIs" dxfId="3256" priority="1429" operator="equal">
      <formula>"EM PROCESSO"</formula>
    </cfRule>
    <cfRule type="cellIs" dxfId="3255" priority="1414" operator="equal">
      <formula>"EM PROCESSO"</formula>
    </cfRule>
    <cfRule type="cellIs" dxfId="3254" priority="1411" operator="equal">
      <formula>"EM PROCESSO"</formula>
    </cfRule>
  </conditionalFormatting>
  <conditionalFormatting sqref="D9:D111">
    <cfRule type="cellIs" dxfId="3253" priority="4077" operator="equal">
      <formula>"NÃO INICIADO"</formula>
    </cfRule>
    <cfRule type="cellIs" dxfId="3252" priority="4076" operator="equal">
      <formula>"FINALIZADO"</formula>
    </cfRule>
    <cfRule type="cellIs" dxfId="3251" priority="4075" operator="equal">
      <formula>"EM PROCESSO"</formula>
    </cfRule>
  </conditionalFormatting>
  <conditionalFormatting sqref="D9:D230">
    <cfRule type="cellIs" dxfId="3250" priority="4074" operator="equal">
      <formula>"NÃO INICIADO"</formula>
    </cfRule>
    <cfRule type="cellIs" dxfId="3249" priority="4073" operator="equal">
      <formula>"FINALIZADO"</formula>
    </cfRule>
    <cfRule type="cellIs" dxfId="3248" priority="4072" operator="equal">
      <formula>"EM PROCESSO"</formula>
    </cfRule>
  </conditionalFormatting>
  <conditionalFormatting sqref="D9:D167">
    <cfRule type="cellIs" dxfId="3247" priority="4071" operator="equal">
      <formula>"NÃO INICIADO"</formula>
    </cfRule>
    <cfRule type="cellIs" dxfId="3246" priority="4070" operator="equal">
      <formula>"FINALIZADO"</formula>
    </cfRule>
    <cfRule type="cellIs" dxfId="3245" priority="4069" operator="equal">
      <formula>"EM PROCESSO"</formula>
    </cfRule>
  </conditionalFormatting>
  <conditionalFormatting sqref="D9:D89">
    <cfRule type="cellIs" dxfId="3244" priority="4068" operator="equal">
      <formula>"NÃO INICIADO"</formula>
    </cfRule>
    <cfRule type="cellIs" dxfId="3243" priority="4067" operator="equal">
      <formula>"FINALIZADO"</formula>
    </cfRule>
    <cfRule type="cellIs" dxfId="3242" priority="4066" operator="equal">
      <formula>"EM PROCESSO"</formula>
    </cfRule>
  </conditionalFormatting>
  <conditionalFormatting sqref="D9:D21">
    <cfRule type="cellIs" dxfId="3241" priority="4062" operator="equal">
      <formula>"NÃO INICIADO"</formula>
    </cfRule>
    <cfRule type="cellIs" dxfId="3240" priority="4061" operator="equal">
      <formula>"FINALIZADO"</formula>
    </cfRule>
    <cfRule type="cellIs" dxfId="3239" priority="4060" operator="equal">
      <formula>"EM PROCESSO"</formula>
    </cfRule>
    <cfRule type="cellIs" dxfId="3238" priority="3678" operator="equal">
      <formula>"NÃO INICIADO"</formula>
    </cfRule>
    <cfRule type="cellIs" dxfId="3237" priority="3117" operator="equal">
      <formula>"NÃO INICIADO"</formula>
    </cfRule>
  </conditionalFormatting>
  <conditionalFormatting sqref="D9:D344">
    <cfRule type="cellIs" dxfId="3236" priority="4059" operator="equal">
      <formula>"NÃO INICIADO"</formula>
    </cfRule>
    <cfRule type="cellIs" dxfId="3235" priority="4058" operator="equal">
      <formula>"FINALIZADO"</formula>
    </cfRule>
    <cfRule type="cellIs" dxfId="3234" priority="4057" operator="equal">
      <formula>"EM PROCESSO"</formula>
    </cfRule>
  </conditionalFormatting>
  <conditionalFormatting sqref="D9:D206">
    <cfRule type="cellIs" dxfId="3233" priority="4056" operator="equal">
      <formula>"NÃO INICIADO"</formula>
    </cfRule>
    <cfRule type="cellIs" dxfId="3232" priority="4055" operator="equal">
      <formula>"FINALIZADO"</formula>
    </cfRule>
    <cfRule type="cellIs" dxfId="3231" priority="4054" operator="equal">
      <formula>"EM PROCESSO"</formula>
    </cfRule>
  </conditionalFormatting>
  <conditionalFormatting sqref="D9:D12">
    <cfRule type="cellIs" dxfId="3230" priority="4053" operator="equal">
      <formula>"NÃO INICIADO"</formula>
    </cfRule>
    <cfRule type="cellIs" dxfId="3229" priority="4052" operator="equal">
      <formula>"FINALIZADO"</formula>
    </cfRule>
    <cfRule type="cellIs" dxfId="3228" priority="4051" operator="equal">
      <formula>"EM PROCESSO"</formula>
    </cfRule>
    <cfRule type="cellIs" dxfId="3227" priority="3656" operator="equal">
      <formula>"FINALIZADO"</formula>
    </cfRule>
    <cfRule type="cellIs" dxfId="3226" priority="3590" operator="equal">
      <formula>"FINALIZADO"</formula>
    </cfRule>
    <cfRule type="cellIs" dxfId="3225" priority="2519" operator="equal">
      <formula>"FINALIZADO"</formula>
    </cfRule>
    <cfRule type="cellIs" dxfId="3224" priority="2217" operator="equal">
      <formula>"NÃO INICIADO"</formula>
    </cfRule>
    <cfRule type="cellIs" dxfId="3223" priority="2130" operator="equal">
      <formula>"NÃO INICIADO"</formula>
    </cfRule>
    <cfRule type="cellIs" dxfId="3222" priority="1804" operator="equal">
      <formula>"EM PROCESSO"</formula>
    </cfRule>
    <cfRule type="cellIs" dxfId="3221" priority="1477" operator="equal">
      <formula>"EM PROCESSO"</formula>
    </cfRule>
    <cfRule type="cellIs" dxfId="3220" priority="1471" operator="equal">
      <formula>"EM PROCESSO"</formula>
    </cfRule>
  </conditionalFormatting>
  <conditionalFormatting sqref="D9:D10">
    <cfRule type="cellIs" dxfId="3219" priority="4050" operator="equal">
      <formula>"NÃO INICIADO"</formula>
    </cfRule>
    <cfRule type="cellIs" dxfId="3218" priority="4049" operator="equal">
      <formula>"FINALIZADO"</formula>
    </cfRule>
    <cfRule type="cellIs" dxfId="3217" priority="4048" operator="equal">
      <formula>"EM PROCESSO"</formula>
    </cfRule>
    <cfRule type="cellIs" dxfId="3216" priority="4044" operator="equal">
      <formula>"NÃO INICIADO"</formula>
    </cfRule>
    <cfRule type="cellIs" dxfId="3215" priority="4043" operator="equal">
      <formula>"FINALIZADO"</formula>
    </cfRule>
    <cfRule type="cellIs" dxfId="3214" priority="4042" operator="equal">
      <formula>"EM PROCESSO"</formula>
    </cfRule>
    <cfRule type="cellIs" dxfId="3213" priority="3193" operator="equal">
      <formula>"EM PROCESSO"</formula>
    </cfRule>
    <cfRule type="cellIs" dxfId="3212" priority="2805" operator="equal">
      <formula>"NÃO INICIADO"</formula>
    </cfRule>
    <cfRule type="cellIs" dxfId="3211" priority="2285" operator="equal">
      <formula>"FINALIZADO"</formula>
    </cfRule>
    <cfRule type="cellIs" dxfId="3210" priority="1846" operator="equal">
      <formula>"EM PROCESSO"</formula>
    </cfRule>
    <cfRule type="cellIs" dxfId="3209" priority="1591" operator="equal">
      <formula>"EM PROCESSO"</formula>
    </cfRule>
    <cfRule type="cellIs" dxfId="3208" priority="1438" operator="equal">
      <formula>"EM PROCESSO"</formula>
    </cfRule>
    <cfRule type="cellIs" dxfId="3207" priority="788" operator="equal">
      <formula>"FINALIZADO"</formula>
    </cfRule>
  </conditionalFormatting>
  <conditionalFormatting sqref="D9:D208">
    <cfRule type="cellIs" dxfId="3206" priority="4047" operator="equal">
      <formula>"NÃO INICIADO"</formula>
    </cfRule>
    <cfRule type="cellIs" dxfId="3205" priority="4046" operator="equal">
      <formula>"FINALIZADO"</formula>
    </cfRule>
    <cfRule type="cellIs" dxfId="3204" priority="4045" operator="equal">
      <formula>"EM PROCESSO"</formula>
    </cfRule>
  </conditionalFormatting>
  <conditionalFormatting sqref="D9:D207">
    <cfRule type="cellIs" dxfId="3203" priority="4041" operator="equal">
      <formula>"NÃO INICIADO"</formula>
    </cfRule>
    <cfRule type="cellIs" dxfId="3202" priority="4040" operator="equal">
      <formula>"FINALIZADO"</formula>
    </cfRule>
    <cfRule type="cellIs" dxfId="3201" priority="4039" operator="equal">
      <formula>"EM PROCESSO"</formula>
    </cfRule>
  </conditionalFormatting>
  <conditionalFormatting sqref="D9:D108">
    <cfRule type="cellIs" dxfId="3200" priority="4038" operator="equal">
      <formula>"NÃO INICIADO"</formula>
    </cfRule>
    <cfRule type="cellIs" dxfId="3199" priority="4037" operator="equal">
      <formula>"FINALIZADO"</formula>
    </cfRule>
    <cfRule type="cellIs" dxfId="3198" priority="4036" operator="equal">
      <formula>"EM PROCESSO"</formula>
    </cfRule>
  </conditionalFormatting>
  <conditionalFormatting sqref="D9:D93">
    <cfRule type="cellIs" dxfId="3197" priority="4035" operator="equal">
      <formula>"NÃO INICIADO"</formula>
    </cfRule>
    <cfRule type="cellIs" dxfId="3196" priority="4034" operator="equal">
      <formula>"FINALIZADO"</formula>
    </cfRule>
    <cfRule type="cellIs" dxfId="3195" priority="4033" operator="equal">
      <formula>"EM PROCESSO"</formula>
    </cfRule>
  </conditionalFormatting>
  <conditionalFormatting sqref="D9:D373">
    <cfRule type="cellIs" dxfId="3194" priority="4032" operator="equal">
      <formula>"NÃO INICIADO"</formula>
    </cfRule>
    <cfRule type="cellIs" dxfId="3193" priority="4031" operator="equal">
      <formula>"FINALIZADO"</formula>
    </cfRule>
    <cfRule type="cellIs" dxfId="3192" priority="4030" operator="equal">
      <formula>"EM PROCESSO"</formula>
    </cfRule>
  </conditionalFormatting>
  <conditionalFormatting sqref="D9:D26">
    <cfRule type="cellIs" dxfId="3191" priority="4029" operator="equal">
      <formula>"NÃO INICIADO"</formula>
    </cfRule>
    <cfRule type="cellIs" dxfId="3190" priority="4028" operator="equal">
      <formula>"FINALIZADO"</formula>
    </cfRule>
    <cfRule type="cellIs" dxfId="3189" priority="4027" operator="equal">
      <formula>"EM PROCESSO"</formula>
    </cfRule>
  </conditionalFormatting>
  <conditionalFormatting sqref="D9:D147">
    <cfRule type="cellIs" dxfId="3188" priority="4026" operator="equal">
      <formula>"NÃO INICIADO"</formula>
    </cfRule>
    <cfRule type="cellIs" dxfId="3187" priority="4025" operator="equal">
      <formula>"FINALIZADO"</formula>
    </cfRule>
    <cfRule type="cellIs" dxfId="3186" priority="4024" operator="equal">
      <formula>"EM PROCESSO"</formula>
    </cfRule>
  </conditionalFormatting>
  <conditionalFormatting sqref="D9:D232">
    <cfRule type="cellIs" dxfId="3185" priority="4023" operator="equal">
      <formula>"NÃO INICIADO"</formula>
    </cfRule>
    <cfRule type="cellIs" dxfId="3184" priority="4022" operator="equal">
      <formula>"FINALIZADO"</formula>
    </cfRule>
    <cfRule type="cellIs" dxfId="3183" priority="4021" operator="equal">
      <formula>"EM PROCESSO"</formula>
    </cfRule>
  </conditionalFormatting>
  <conditionalFormatting sqref="D9:D148">
    <cfRule type="cellIs" dxfId="3182" priority="4020" operator="equal">
      <formula>"NÃO INICIADO"</formula>
    </cfRule>
    <cfRule type="cellIs" dxfId="3181" priority="4019" operator="equal">
      <formula>"FINALIZADO"</formula>
    </cfRule>
    <cfRule type="cellIs" dxfId="3180" priority="4018" operator="equal">
      <formula>"EM PROCESSO"</formula>
    </cfRule>
  </conditionalFormatting>
  <conditionalFormatting sqref="D9:D25">
    <cfRule type="cellIs" dxfId="3179" priority="4017" operator="equal">
      <formula>"NÃO INICIADO"</formula>
    </cfRule>
    <cfRule type="cellIs" dxfId="3178" priority="4016" operator="equal">
      <formula>"FINALIZADO"</formula>
    </cfRule>
    <cfRule type="cellIs" dxfId="3177" priority="4015" operator="equal">
      <formula>"EM PROCESSO"</formula>
    </cfRule>
    <cfRule type="cellIs" dxfId="3176" priority="399" operator="equal">
      <formula>"NÃO INICIADO"</formula>
    </cfRule>
  </conditionalFormatting>
  <conditionalFormatting sqref="D9:D227">
    <cfRule type="cellIs" dxfId="3175" priority="4014" operator="equal">
      <formula>"NÃO INICIADO"</formula>
    </cfRule>
    <cfRule type="cellIs" dxfId="3174" priority="4013" operator="equal">
      <formula>"FINALIZADO"</formula>
    </cfRule>
    <cfRule type="cellIs" dxfId="3173" priority="4012" operator="equal">
      <formula>"EM PROCESSO"</formula>
    </cfRule>
  </conditionalFormatting>
  <conditionalFormatting sqref="D9:D22">
    <cfRule type="cellIs" dxfId="3172" priority="4005" operator="equal">
      <formula>"NÃO INICIADO"</formula>
    </cfRule>
    <cfRule type="cellIs" dxfId="3171" priority="4004" operator="equal">
      <formula>"FINALIZADO"</formula>
    </cfRule>
    <cfRule type="cellIs" dxfId="3170" priority="4003" operator="equal">
      <formula>"EM PROCESSO"</formula>
    </cfRule>
    <cfRule type="cellIs" dxfId="3169" priority="2088" operator="equal">
      <formula>"NÃO INICIADO"</formula>
    </cfRule>
    <cfRule type="cellIs" dxfId="3168" priority="1403" operator="equal">
      <formula>"FINALIZADO"</formula>
    </cfRule>
    <cfRule type="cellIs" dxfId="3167" priority="1164" operator="equal">
      <formula>"NÃO INICIADO"</formula>
    </cfRule>
  </conditionalFormatting>
  <conditionalFormatting sqref="D9:D221">
    <cfRule type="cellIs" dxfId="3166" priority="3999" operator="equal">
      <formula>"NÃO INICIADO"</formula>
    </cfRule>
    <cfRule type="cellIs" dxfId="3165" priority="3998" operator="equal">
      <formula>"FINALIZADO"</formula>
    </cfRule>
    <cfRule type="cellIs" dxfId="3164" priority="3997" operator="equal">
      <formula>"EM PROCESSO"</formula>
    </cfRule>
  </conditionalFormatting>
  <conditionalFormatting sqref="D9:D152">
    <cfRule type="cellIs" dxfId="3163" priority="3993" operator="equal">
      <formula>"NÃO INICIADO"</formula>
    </cfRule>
    <cfRule type="cellIs" dxfId="3162" priority="3992" operator="equal">
      <formula>"FINALIZADO"</formula>
    </cfRule>
    <cfRule type="cellIs" dxfId="3161" priority="3991" operator="equal">
      <formula>"EM PROCESSO"</formula>
    </cfRule>
  </conditionalFormatting>
  <conditionalFormatting sqref="D9:D85">
    <cfRule type="cellIs" dxfId="3160" priority="3990" operator="equal">
      <formula>"NÃO INICIADO"</formula>
    </cfRule>
    <cfRule type="cellIs" dxfId="3159" priority="3989" operator="equal">
      <formula>"FINALIZADO"</formula>
    </cfRule>
    <cfRule type="cellIs" dxfId="3158" priority="3988" operator="equal">
      <formula>"EM PROCESSO"</formula>
    </cfRule>
  </conditionalFormatting>
  <conditionalFormatting sqref="D9:D101">
    <cfRule type="cellIs" dxfId="3157" priority="3987" operator="equal">
      <formula>"NÃO INICIADO"</formula>
    </cfRule>
    <cfRule type="cellIs" dxfId="3156" priority="3986" operator="equal">
      <formula>"FINALIZADO"</formula>
    </cfRule>
    <cfRule type="cellIs" dxfId="3155" priority="3985" operator="equal">
      <formula>"EM PROCESSO"</formula>
    </cfRule>
  </conditionalFormatting>
  <conditionalFormatting sqref="D9:D65">
    <cfRule type="cellIs" dxfId="3154" priority="3981" operator="equal">
      <formula>"NÃO INICIADO"</formula>
    </cfRule>
    <cfRule type="cellIs" dxfId="3153" priority="3980" operator="equal">
      <formula>"FINALIZADO"</formula>
    </cfRule>
    <cfRule type="cellIs" dxfId="3152" priority="3979" operator="equal">
      <formula>"EM PROCESSO"</formula>
    </cfRule>
  </conditionalFormatting>
  <conditionalFormatting sqref="D9:D45">
    <cfRule type="cellIs" dxfId="3151" priority="3978" operator="equal">
      <formula>"NÃO INICIADO"</formula>
    </cfRule>
  </conditionalFormatting>
  <conditionalFormatting sqref="D9:D45">
    <cfRule type="cellIs" dxfId="3150" priority="3977" operator="equal">
      <formula>"FINALIZADO"</formula>
    </cfRule>
  </conditionalFormatting>
  <conditionalFormatting sqref="D9:D45">
    <cfRule type="cellIs" dxfId="3149" priority="3976" operator="equal">
      <formula>"EM PROCESSO"</formula>
    </cfRule>
  </conditionalFormatting>
  <conditionalFormatting sqref="D9:D71">
    <cfRule type="cellIs" dxfId="3148" priority="3975" operator="equal">
      <formula>"NÃO INICIADO"</formula>
    </cfRule>
  </conditionalFormatting>
  <conditionalFormatting sqref="D9:D71">
    <cfRule type="cellIs" dxfId="3147" priority="3974" operator="equal">
      <formula>"FINALIZADO"</formula>
    </cfRule>
  </conditionalFormatting>
  <conditionalFormatting sqref="D9:D71">
    <cfRule type="cellIs" dxfId="3146" priority="3973" operator="equal">
      <formula>"EM PROCESSO"</formula>
    </cfRule>
  </conditionalFormatting>
  <conditionalFormatting sqref="D9:D68">
    <cfRule type="cellIs" dxfId="3145" priority="3972" operator="equal">
      <formula>"NÃO INICIADO"</formula>
    </cfRule>
    <cfRule type="cellIs" dxfId="3144" priority="3254" operator="equal">
      <formula>"FINALIZADO"</formula>
    </cfRule>
  </conditionalFormatting>
  <conditionalFormatting sqref="D9:D68">
    <cfRule type="cellIs" dxfId="3143" priority="3971" operator="equal">
      <formula>"FINALIZADO"</formula>
    </cfRule>
    <cfRule type="cellIs" dxfId="3142" priority="3018" operator="equal">
      <formula>"NÃO INICIADO"</formula>
    </cfRule>
  </conditionalFormatting>
  <conditionalFormatting sqref="D9:D68">
    <cfRule type="cellIs" dxfId="3141" priority="3970" operator="equal">
      <formula>"EM PROCESSO"</formula>
    </cfRule>
    <cfRule type="cellIs" dxfId="3140" priority="3255" operator="equal">
      <formula>"NÃO INICIADO"</formula>
    </cfRule>
    <cfRule type="cellIs" dxfId="3139" priority="3017" operator="equal">
      <formula>"FINALIZADO"</formula>
    </cfRule>
  </conditionalFormatting>
  <conditionalFormatting sqref="D9:D70">
    <cfRule type="cellIs" dxfId="3138" priority="3969" operator="equal">
      <formula>"NÃO INICIADO"</formula>
    </cfRule>
  </conditionalFormatting>
  <conditionalFormatting sqref="D9:D70">
    <cfRule type="cellIs" dxfId="3137" priority="3968" operator="equal">
      <formula>"FINALIZADO"</formula>
    </cfRule>
  </conditionalFormatting>
  <conditionalFormatting sqref="D9:D70">
    <cfRule type="cellIs" dxfId="3136" priority="3967" operator="equal">
      <formula>"EM PROCESSO"</formula>
    </cfRule>
  </conditionalFormatting>
  <conditionalFormatting sqref="D9:D15">
    <cfRule type="cellIs" dxfId="3135" priority="3965" operator="equal">
      <formula>"FINALIZADO"</formula>
    </cfRule>
    <cfRule type="cellIs" dxfId="3134" priority="2797" operator="equal">
      <formula>"EM PROCESSO"</formula>
    </cfRule>
    <cfRule type="cellIs" dxfId="3133" priority="2343" operator="equal">
      <formula>"NÃO INICIADO"</formula>
    </cfRule>
    <cfRule type="cellIs" dxfId="3132" priority="822" operator="equal">
      <formula>"NÃO INICIADO"</formula>
    </cfRule>
  </conditionalFormatting>
  <conditionalFormatting sqref="D9:D15">
    <cfRule type="cellIs" dxfId="3131" priority="3964" operator="equal">
      <formula>"EM PROCESSO"</formula>
    </cfRule>
    <cfRule type="cellIs" dxfId="3130" priority="2799" operator="equal">
      <formula>"NÃO INICIADO"</formula>
    </cfRule>
    <cfRule type="cellIs" dxfId="3129" priority="821" operator="equal">
      <formula>"FINALIZADO"</formula>
    </cfRule>
  </conditionalFormatting>
  <conditionalFormatting sqref="D9:D14">
    <cfRule type="cellIs" dxfId="3128" priority="3960" operator="equal">
      <formula>"NÃO INICIADO"</formula>
    </cfRule>
    <cfRule type="cellIs" dxfId="3127" priority="406" operator="equal">
      <formula>"EM PROCESSO"</formula>
    </cfRule>
    <cfRule type="cellIs" dxfId="3126" priority="348" operator="equal">
      <formula>"NÃO INICIADO"</formula>
    </cfRule>
    <cfRule type="cellIs" dxfId="3125" priority="24" operator="equal">
      <formula>"NÃO INICIADO"</formula>
    </cfRule>
  </conditionalFormatting>
  <conditionalFormatting sqref="D9:D14">
    <cfRule type="cellIs" dxfId="3124" priority="3959" operator="equal">
      <formula>"FINALIZADO"</formula>
    </cfRule>
    <cfRule type="cellIs" dxfId="3123" priority="3578" operator="equal">
      <formula>"FINALIZADO"</formula>
    </cfRule>
    <cfRule type="cellIs" dxfId="3122" priority="2240" operator="equal">
      <formula>"FINALIZADO"</formula>
    </cfRule>
    <cfRule type="cellIs" dxfId="3121" priority="1406" operator="equal">
      <formula>"FINALIZADO"</formula>
    </cfRule>
    <cfRule type="cellIs" dxfId="3120" priority="628" operator="equal">
      <formula>"EM PROCESSO"</formula>
    </cfRule>
    <cfRule type="cellIs" dxfId="3119" priority="599" operator="equal">
      <formula>"FINALIZADO"</formula>
    </cfRule>
  </conditionalFormatting>
  <conditionalFormatting sqref="D9:D57">
    <cfRule type="cellIs" dxfId="3118" priority="3957" operator="equal">
      <formula>"NÃO INICIADO"</formula>
    </cfRule>
    <cfRule type="cellIs" dxfId="3117" priority="3602" operator="equal">
      <formula>"FINALIZADO"</formula>
    </cfRule>
  </conditionalFormatting>
  <conditionalFormatting sqref="D9:D57">
    <cfRule type="cellIs" dxfId="3116" priority="3956" operator="equal">
      <formula>"FINALIZADO"</formula>
    </cfRule>
    <cfRule type="cellIs" dxfId="3115" priority="3635" operator="equal">
      <formula>"FINALIZADO"</formula>
    </cfRule>
    <cfRule type="cellIs" dxfId="3114" priority="3612" operator="equal">
      <formula>"NÃO INICIADO"</formula>
    </cfRule>
    <cfRule type="cellIs" dxfId="3113" priority="3603" operator="equal">
      <formula>"NÃO INICIADO"</formula>
    </cfRule>
  </conditionalFormatting>
  <conditionalFormatting sqref="D9:D57">
    <cfRule type="cellIs" dxfId="3112" priority="3955" operator="equal">
      <formula>"EM PROCESSO"</formula>
    </cfRule>
    <cfRule type="cellIs" dxfId="3111" priority="3290" operator="equal">
      <formula>"FINALIZADO"</formula>
    </cfRule>
  </conditionalFormatting>
  <conditionalFormatting sqref="D9:D126">
    <cfRule type="cellIs" dxfId="3110" priority="3954" operator="equal">
      <formula>"NÃO INICIADO"</formula>
    </cfRule>
  </conditionalFormatting>
  <conditionalFormatting sqref="D9:D126">
    <cfRule type="cellIs" dxfId="3109" priority="3953" operator="equal">
      <formula>"FINALIZADO"</formula>
    </cfRule>
  </conditionalFormatting>
  <conditionalFormatting sqref="D9:D126">
    <cfRule type="cellIs" dxfId="3108" priority="3952" operator="equal">
      <formula>"EM PROCESSO"</formula>
    </cfRule>
  </conditionalFormatting>
  <conditionalFormatting sqref="D9:D20">
    <cfRule type="cellIs" dxfId="3107" priority="3951" operator="equal">
      <formula>"NÃO INICIADO"</formula>
    </cfRule>
  </conditionalFormatting>
  <conditionalFormatting sqref="D9:D20">
    <cfRule type="cellIs" dxfId="3106" priority="3950" operator="equal">
      <formula>"FINALIZADO"</formula>
    </cfRule>
  </conditionalFormatting>
  <conditionalFormatting sqref="D9:D20">
    <cfRule type="cellIs" dxfId="3105" priority="3949" operator="equal">
      <formula>"EM PROCESSO"</formula>
    </cfRule>
    <cfRule type="cellIs" dxfId="3104" priority="256" operator="equal">
      <formula>"EM PROCESSO"</formula>
    </cfRule>
  </conditionalFormatting>
  <conditionalFormatting sqref="D9:D10">
    <cfRule type="cellIs" dxfId="3103" priority="3945" operator="equal">
      <formula>"NÃO INICIADO"</formula>
    </cfRule>
    <cfRule type="cellIs" dxfId="3102" priority="3943" operator="equal">
      <formula>"EM PROCESSO"</formula>
    </cfRule>
    <cfRule type="cellIs" dxfId="3101" priority="3384" operator="equal">
      <formula>"NÃO INICIADO"</formula>
    </cfRule>
    <cfRule type="cellIs" dxfId="3100" priority="3288" operator="equal">
      <formula>"NÃO INICIADO"</formula>
    </cfRule>
    <cfRule type="cellIs" dxfId="3099" priority="2284" operator="equal">
      <formula>"EM PROCESSO"</formula>
    </cfRule>
    <cfRule type="cellIs" dxfId="3098" priority="1971" operator="equal">
      <formula>"NÃO INICIADO"</formula>
    </cfRule>
    <cfRule type="cellIs" dxfId="3097" priority="729" operator="equal">
      <formula>"NÃO INICIADO"</formula>
    </cfRule>
  </conditionalFormatting>
  <conditionalFormatting sqref="D9:D75">
    <cfRule type="cellIs" dxfId="3096" priority="3936" operator="equal">
      <formula>"NÃO INICIADO"</formula>
    </cfRule>
  </conditionalFormatting>
  <conditionalFormatting sqref="D9:D75">
    <cfRule type="cellIs" dxfId="3095" priority="3935" operator="equal">
      <formula>"FINALIZADO"</formula>
    </cfRule>
  </conditionalFormatting>
  <conditionalFormatting sqref="D9:D75">
    <cfRule type="cellIs" dxfId="3094" priority="3934" operator="equal">
      <formula>"EM PROCESSO"</formula>
    </cfRule>
  </conditionalFormatting>
  <conditionalFormatting sqref="D9:D47">
    <cfRule type="cellIs" dxfId="3093" priority="3933" operator="equal">
      <formula>"NÃO INICIADO"</formula>
    </cfRule>
  </conditionalFormatting>
  <conditionalFormatting sqref="D9:D47">
    <cfRule type="cellIs" dxfId="3092" priority="3932" operator="equal">
      <formula>"FINALIZADO"</formula>
    </cfRule>
  </conditionalFormatting>
  <conditionalFormatting sqref="D9:D150">
    <cfRule type="cellIs" dxfId="3091" priority="3930" operator="equal">
      <formula>"NÃO INICIADO"</formula>
    </cfRule>
  </conditionalFormatting>
  <conditionalFormatting sqref="D9:D150">
    <cfRule type="cellIs" dxfId="3090" priority="3929" operator="equal">
      <formula>"FINALIZADO"</formula>
    </cfRule>
  </conditionalFormatting>
  <conditionalFormatting sqref="D9:D150">
    <cfRule type="cellIs" dxfId="3089" priority="3928" operator="equal">
      <formula>"EM PROCESSO"</formula>
    </cfRule>
  </conditionalFormatting>
  <conditionalFormatting sqref="D9:D102">
    <cfRule type="cellIs" dxfId="3088" priority="3927" operator="equal">
      <formula>"NÃO INICIADO"</formula>
    </cfRule>
  </conditionalFormatting>
  <conditionalFormatting sqref="D9:D102">
    <cfRule type="cellIs" dxfId="3087" priority="3926" operator="equal">
      <formula>"FINALIZADO"</formula>
    </cfRule>
  </conditionalFormatting>
  <conditionalFormatting sqref="D9:D102">
    <cfRule type="cellIs" dxfId="3086" priority="3925" operator="equal">
      <formula>"EM PROCESSO"</formula>
    </cfRule>
  </conditionalFormatting>
  <conditionalFormatting sqref="D9:D73">
    <cfRule type="cellIs" dxfId="3085" priority="3924" operator="equal">
      <formula>"NÃO INICIADO"</formula>
    </cfRule>
  </conditionalFormatting>
  <conditionalFormatting sqref="D9:D73">
    <cfRule type="cellIs" dxfId="3084" priority="3923" operator="equal">
      <formula>"FINALIZADO"</formula>
    </cfRule>
  </conditionalFormatting>
  <conditionalFormatting sqref="D9:D73">
    <cfRule type="cellIs" dxfId="3083" priority="3922" operator="equal">
      <formula>"EM PROCESSO"</formula>
    </cfRule>
  </conditionalFormatting>
  <conditionalFormatting sqref="D9:D88">
    <cfRule type="cellIs" dxfId="3082" priority="3921" operator="equal">
      <formula>"NÃO INICIADO"</formula>
    </cfRule>
  </conditionalFormatting>
  <conditionalFormatting sqref="D9:D88">
    <cfRule type="cellIs" dxfId="3081" priority="3920" operator="equal">
      <formula>"FINALIZADO"</formula>
    </cfRule>
  </conditionalFormatting>
  <conditionalFormatting sqref="D9:D88">
    <cfRule type="cellIs" dxfId="3080" priority="3919" operator="equal">
      <formula>"EM PROCESSO"</formula>
    </cfRule>
  </conditionalFormatting>
  <conditionalFormatting sqref="D9:D64">
    <cfRule type="cellIs" dxfId="3079" priority="3915" operator="equal">
      <formula>"NÃO INICIADO"</formula>
    </cfRule>
  </conditionalFormatting>
  <conditionalFormatting sqref="D9:D64">
    <cfRule type="cellIs" dxfId="3078" priority="3914" operator="equal">
      <formula>"FINALIZADO"</formula>
    </cfRule>
  </conditionalFormatting>
  <conditionalFormatting sqref="D9:D64">
    <cfRule type="cellIs" dxfId="3077" priority="3913" operator="equal">
      <formula>"EM PROCESSO"</formula>
    </cfRule>
  </conditionalFormatting>
  <conditionalFormatting sqref="D9:D169">
    <cfRule type="cellIs" dxfId="3076" priority="3912" operator="equal">
      <formula>"NÃO INICIADO"</formula>
    </cfRule>
  </conditionalFormatting>
  <conditionalFormatting sqref="D9:D169">
    <cfRule type="cellIs" dxfId="3075" priority="3911" operator="equal">
      <formula>"FINALIZADO"</formula>
    </cfRule>
  </conditionalFormatting>
  <conditionalFormatting sqref="D9:D169">
    <cfRule type="cellIs" dxfId="3074" priority="3910" operator="equal">
      <formula>"EM PROCESSO"</formula>
    </cfRule>
  </conditionalFormatting>
  <conditionalFormatting sqref="D9:D194">
    <cfRule type="cellIs" dxfId="3073" priority="3909" operator="equal">
      <formula>"NÃO INICIADO"</formula>
    </cfRule>
  </conditionalFormatting>
  <conditionalFormatting sqref="D9:D194">
    <cfRule type="cellIs" dxfId="3072" priority="3908" operator="equal">
      <formula>"FINALIZADO"</formula>
    </cfRule>
  </conditionalFormatting>
  <conditionalFormatting sqref="D9:D194">
    <cfRule type="cellIs" dxfId="3071" priority="3907" operator="equal">
      <formula>"EM PROCESSO"</formula>
    </cfRule>
  </conditionalFormatting>
  <conditionalFormatting sqref="D9:D122">
    <cfRule type="cellIs" dxfId="3070" priority="3906" operator="equal">
      <formula>"NÃO INICIADO"</formula>
    </cfRule>
  </conditionalFormatting>
  <conditionalFormatting sqref="D9:D122">
    <cfRule type="cellIs" dxfId="3069" priority="3905" operator="equal">
      <formula>"FINALIZADO"</formula>
    </cfRule>
  </conditionalFormatting>
  <conditionalFormatting sqref="D9:D122">
    <cfRule type="cellIs" dxfId="3068" priority="3904" operator="equal">
      <formula>"EM PROCESSO"</formula>
    </cfRule>
  </conditionalFormatting>
  <conditionalFormatting sqref="D9:D152">
    <cfRule type="cellIs" dxfId="3067" priority="3903" operator="equal">
      <formula>"NÃO INICIADO"</formula>
    </cfRule>
  </conditionalFormatting>
  <conditionalFormatting sqref="D9:D152">
    <cfRule type="cellIs" dxfId="3066" priority="3902" operator="equal">
      <formula>"FINALIZADO"</formula>
    </cfRule>
  </conditionalFormatting>
  <conditionalFormatting sqref="D9:D152">
    <cfRule type="cellIs" dxfId="3065" priority="3901" operator="equal">
      <formula>"EM PROCESSO"</formula>
    </cfRule>
  </conditionalFormatting>
  <conditionalFormatting sqref="D9:D87">
    <cfRule type="cellIs" dxfId="3064" priority="3900" operator="equal">
      <formula>"NÃO INICIADO"</formula>
    </cfRule>
  </conditionalFormatting>
  <conditionalFormatting sqref="D9:D87">
    <cfRule type="cellIs" dxfId="3063" priority="3899" operator="equal">
      <formula>"FINALIZADO"</formula>
    </cfRule>
  </conditionalFormatting>
  <conditionalFormatting sqref="D9:D87">
    <cfRule type="cellIs" dxfId="3062" priority="3898" operator="equal">
      <formula>"EM PROCESSO"</formula>
    </cfRule>
    <cfRule type="cellIs" dxfId="3061" priority="976" operator="equal">
      <formula>"EM PROCESSO"</formula>
    </cfRule>
  </conditionalFormatting>
  <conditionalFormatting sqref="D9:D52">
    <cfRule type="cellIs" dxfId="3060" priority="3896" operator="equal">
      <formula>"FINALIZADO"</formula>
    </cfRule>
  </conditionalFormatting>
  <conditionalFormatting sqref="D9:D52">
    <cfRule type="cellIs" dxfId="3059" priority="3895" operator="equal">
      <formula>"EM PROCESSO"</formula>
    </cfRule>
  </conditionalFormatting>
  <conditionalFormatting sqref="D9:D314">
    <cfRule type="cellIs" dxfId="3058" priority="3894" operator="equal">
      <formula>"NÃO INICIADO"</formula>
    </cfRule>
  </conditionalFormatting>
  <conditionalFormatting sqref="D9:D314">
    <cfRule type="cellIs" dxfId="3057" priority="3893" operator="equal">
      <formula>"FINALIZADO"</formula>
    </cfRule>
  </conditionalFormatting>
  <conditionalFormatting sqref="D9:D314">
    <cfRule type="cellIs" dxfId="3056" priority="3892" operator="equal">
      <formula>"EM PROCESSO"</formula>
    </cfRule>
  </conditionalFormatting>
  <conditionalFormatting sqref="D9:D18">
    <cfRule type="cellIs" dxfId="3055" priority="3891" operator="equal">
      <formula>"NÃO INICIADO"</formula>
    </cfRule>
    <cfRule type="cellIs" dxfId="3054" priority="3587" operator="equal">
      <formula>"FINALIZADO"</formula>
    </cfRule>
  </conditionalFormatting>
  <conditionalFormatting sqref="D9:D18">
    <cfRule type="cellIs" dxfId="3053" priority="3890" operator="equal">
      <formula>"FINALIZADO"</formula>
    </cfRule>
  </conditionalFormatting>
  <conditionalFormatting sqref="D9:D161">
    <cfRule type="cellIs" dxfId="3052" priority="3882" operator="equal">
      <formula>"NÃO INICIADO"</formula>
    </cfRule>
  </conditionalFormatting>
  <conditionalFormatting sqref="D9:D161">
    <cfRule type="cellIs" dxfId="3051" priority="3881" operator="equal">
      <formula>"FINALIZADO"</formula>
    </cfRule>
  </conditionalFormatting>
  <conditionalFormatting sqref="D9:D161">
    <cfRule type="cellIs" dxfId="3050" priority="3880" operator="equal">
      <formula>"EM PROCESSO"</formula>
    </cfRule>
  </conditionalFormatting>
  <conditionalFormatting sqref="D9:D87">
    <cfRule type="cellIs" dxfId="3049" priority="3879" operator="equal">
      <formula>"NÃO INICIADO"</formula>
    </cfRule>
  </conditionalFormatting>
  <conditionalFormatting sqref="D9:D87">
    <cfRule type="cellIs" dxfId="3048" priority="3878" operator="equal">
      <formula>"FINALIZADO"</formula>
    </cfRule>
  </conditionalFormatting>
  <conditionalFormatting sqref="D9:D87">
    <cfRule type="cellIs" dxfId="3047" priority="3877" operator="equal">
      <formula>"EM PROCESSO"</formula>
    </cfRule>
  </conditionalFormatting>
  <conditionalFormatting sqref="D9:D45">
    <cfRule type="cellIs" dxfId="3046" priority="3876" operator="equal">
      <formula>"NÃO INICIADO"</formula>
    </cfRule>
  </conditionalFormatting>
  <conditionalFormatting sqref="D9:D45">
    <cfRule type="cellIs" dxfId="3045" priority="3875" operator="equal">
      <formula>"FINALIZADO"</formula>
    </cfRule>
  </conditionalFormatting>
  <conditionalFormatting sqref="D9:D45">
    <cfRule type="cellIs" dxfId="3044" priority="3874" operator="equal">
      <formula>"EM PROCESSO"</formula>
    </cfRule>
  </conditionalFormatting>
  <conditionalFormatting sqref="D9:D165">
    <cfRule type="cellIs" dxfId="3043" priority="3873" operator="equal">
      <formula>"NÃO INICIADO"</formula>
    </cfRule>
  </conditionalFormatting>
  <conditionalFormatting sqref="D9:D165">
    <cfRule type="cellIs" dxfId="3042" priority="3872" operator="equal">
      <formula>"FINALIZADO"</formula>
    </cfRule>
  </conditionalFormatting>
  <conditionalFormatting sqref="D9:D165">
    <cfRule type="cellIs" dxfId="3041" priority="3871" operator="equal">
      <formula>"EM PROCESSO"</formula>
    </cfRule>
  </conditionalFormatting>
  <conditionalFormatting sqref="D9:D89">
    <cfRule type="cellIs" dxfId="3040" priority="3870" operator="equal">
      <formula>"NÃO INICIADO"</formula>
    </cfRule>
  </conditionalFormatting>
  <conditionalFormatting sqref="D9:D89">
    <cfRule type="cellIs" dxfId="3039" priority="3869" operator="equal">
      <formula>"FINALIZADO"</formula>
    </cfRule>
  </conditionalFormatting>
  <conditionalFormatting sqref="D9:D89">
    <cfRule type="cellIs" dxfId="3038" priority="3868" operator="equal">
      <formula>"EM PROCESSO"</formula>
    </cfRule>
  </conditionalFormatting>
  <conditionalFormatting sqref="D9:D57">
    <cfRule type="cellIs" dxfId="3037" priority="3867" operator="equal">
      <formula>"NÃO INICIADO"</formula>
    </cfRule>
    <cfRule type="cellIs" dxfId="3036" priority="3634" operator="equal">
      <formula>"EM PROCESSO"</formula>
    </cfRule>
    <cfRule type="cellIs" dxfId="3035" priority="3611" operator="equal">
      <formula>"FINALIZADO"</formula>
    </cfRule>
    <cfRule type="cellIs" dxfId="3034" priority="3291" operator="equal">
      <formula>"NÃO INICIADO"</formula>
    </cfRule>
  </conditionalFormatting>
  <conditionalFormatting sqref="D9:D57">
    <cfRule type="cellIs" dxfId="3033" priority="3866" operator="equal">
      <formula>"FINALIZADO"</formula>
    </cfRule>
    <cfRule type="cellIs" dxfId="3032" priority="3610" operator="equal">
      <formula>"EM PROCESSO"</formula>
    </cfRule>
  </conditionalFormatting>
  <conditionalFormatting sqref="D9:D57">
    <cfRule type="cellIs" dxfId="3031" priority="3865" operator="equal">
      <formula>"EM PROCESSO"</formula>
    </cfRule>
    <cfRule type="cellIs" dxfId="3030" priority="3636" operator="equal">
      <formula>"NÃO INICIADO"</formula>
    </cfRule>
    <cfRule type="cellIs" dxfId="3029" priority="3289" operator="equal">
      <formula>"EM PROCESSO"</formula>
    </cfRule>
  </conditionalFormatting>
  <conditionalFormatting sqref="D9:D35">
    <cfRule type="cellIs" dxfId="3028" priority="3861" operator="equal">
      <formula>"NÃO INICIADO"</formula>
    </cfRule>
    <cfRule type="cellIs" dxfId="3027" priority="2119" operator="equal">
      <formula>"EM PROCESSO"</formula>
    </cfRule>
  </conditionalFormatting>
  <conditionalFormatting sqref="D9:D35">
    <cfRule type="cellIs" dxfId="3026" priority="3860" operator="equal">
      <formula>"FINALIZADO"</formula>
    </cfRule>
    <cfRule type="cellIs" dxfId="3025" priority="2484" operator="equal">
      <formula>"NÃO INICIADO"</formula>
    </cfRule>
  </conditionalFormatting>
  <conditionalFormatting sqref="D9:D35">
    <cfRule type="cellIs" dxfId="3024" priority="3859" operator="equal">
      <formula>"EM PROCESSO"</formula>
    </cfRule>
    <cfRule type="cellIs" dxfId="3023" priority="2482" operator="equal">
      <formula>"EM PROCESSO"</formula>
    </cfRule>
    <cfRule type="cellIs" dxfId="3022" priority="2121" operator="equal">
      <formula>"NÃO INICIADO"</formula>
    </cfRule>
  </conditionalFormatting>
  <conditionalFormatting sqref="D9:D10">
    <cfRule type="cellIs" dxfId="3021" priority="3855" operator="equal">
      <formula>"NÃO INICIADO"</formula>
    </cfRule>
    <cfRule type="cellIs" dxfId="3020" priority="3743" operator="equal">
      <formula>"FINALIZADO"</formula>
    </cfRule>
    <cfRule type="cellIs" dxfId="3019" priority="3195" operator="equal">
      <formula>"NÃO INICIADO"</formula>
    </cfRule>
    <cfRule type="cellIs" dxfId="3018" priority="2669" operator="equal">
      <formula>"FINALIZADO"</formula>
    </cfRule>
    <cfRule type="cellIs" dxfId="3017" priority="2663" operator="equal">
      <formula>"FINALIZADO"</formula>
    </cfRule>
    <cfRule type="cellIs" dxfId="3016" priority="2323" operator="equal">
      <formula>"EM PROCESSO"</formula>
    </cfRule>
    <cfRule type="cellIs" dxfId="3015" priority="2317" operator="equal">
      <formula>"EM PROCESSO"</formula>
    </cfRule>
    <cfRule type="cellIs" dxfId="3014" priority="1836" operator="equal">
      <formula>"NÃO INICIADO"</formula>
    </cfRule>
    <cfRule type="cellIs" dxfId="3013" priority="1592" operator="equal">
      <formula>"FINALIZADO"</formula>
    </cfRule>
    <cfRule type="cellIs" dxfId="3012" priority="1440" operator="equal">
      <formula>"NÃO INICIADO"</formula>
    </cfRule>
    <cfRule type="cellIs" dxfId="3011" priority="1115" operator="equal">
      <formula>"FINALIZADO"</formula>
    </cfRule>
  </conditionalFormatting>
  <conditionalFormatting sqref="D9:D10">
    <cfRule type="cellIs" dxfId="3010" priority="3854" operator="equal">
      <formula>"FINALIZADO"</formula>
    </cfRule>
    <cfRule type="cellIs" dxfId="3009" priority="3286" operator="equal">
      <formula>"EM PROCESSO"</formula>
    </cfRule>
    <cfRule type="cellIs" dxfId="3008" priority="3159" operator="equal">
      <formula>"NÃO INICIADO"</formula>
    </cfRule>
    <cfRule type="cellIs" dxfId="3007" priority="2941" operator="equal">
      <formula>"EM PROCESSO"</formula>
    </cfRule>
    <cfRule type="cellIs" dxfId="3006" priority="2764" operator="equal">
      <formula>"EM PROCESSO"</formula>
    </cfRule>
    <cfRule type="cellIs" dxfId="3005" priority="2094" operator="equal">
      <formula>"NÃO INICIADO"</formula>
    </cfRule>
    <cfRule type="cellIs" dxfId="3004" priority="2091" operator="equal">
      <formula>"NÃO INICIADO"</formula>
    </cfRule>
    <cfRule type="cellIs" dxfId="3003" priority="2054" operator="equal">
      <formula>"FINALIZADO"</formula>
    </cfRule>
    <cfRule type="cellIs" dxfId="3002" priority="1969" operator="equal">
      <formula>"EM PROCESSO"</formula>
    </cfRule>
    <cfRule type="cellIs" dxfId="3001" priority="1623" operator="equal">
      <formula>"NÃO INICIADO"</formula>
    </cfRule>
    <cfRule type="cellIs" dxfId="3000" priority="1620" operator="equal">
      <formula>"NÃO INICIADO"</formula>
    </cfRule>
    <cfRule type="cellIs" dxfId="2999" priority="1617" operator="equal">
      <formula>"NÃO INICIADO"</formula>
    </cfRule>
    <cfRule type="cellIs" dxfId="2998" priority="145" operator="equal">
      <formula>"EM PROCESSO"</formula>
    </cfRule>
    <cfRule type="cellIs" dxfId="2997" priority="133" operator="equal">
      <formula>"EM PROCESSO"</formula>
    </cfRule>
  </conditionalFormatting>
  <conditionalFormatting sqref="D9:D10">
    <cfRule type="cellIs" dxfId="2996" priority="3853" operator="equal">
      <formula>"EM PROCESSO"</formula>
    </cfRule>
    <cfRule type="cellIs" dxfId="2995" priority="3560" operator="equal">
      <formula>"FINALIZADO"</formula>
    </cfRule>
    <cfRule type="cellIs" dxfId="2994" priority="3158" operator="equal">
      <formula>"FINALIZADO"</formula>
    </cfRule>
    <cfRule type="cellIs" dxfId="2993" priority="2942" operator="equal">
      <formula>"FINALIZADO"</formula>
    </cfRule>
    <cfRule type="cellIs" dxfId="2992" priority="2324" operator="equal">
      <formula>"FINALIZADO"</formula>
    </cfRule>
    <cfRule type="cellIs" dxfId="2991" priority="2318" operator="equal">
      <formula>"FINALIZADO"</formula>
    </cfRule>
    <cfRule type="cellIs" dxfId="2990" priority="1622" operator="equal">
      <formula>"FINALIZADO"</formula>
    </cfRule>
    <cfRule type="cellIs" dxfId="2989" priority="1619" operator="equal">
      <formula>"FINALIZADO"</formula>
    </cfRule>
    <cfRule type="cellIs" dxfId="2988" priority="1616" operator="equal">
      <formula>"FINALIZADO"</formula>
    </cfRule>
    <cfRule type="cellIs" dxfId="2987" priority="146" operator="equal">
      <formula>"FINALIZADO"</formula>
    </cfRule>
    <cfRule type="cellIs" dxfId="2986" priority="134" operator="equal">
      <formula>"FINALIZADO"</formula>
    </cfRule>
  </conditionalFormatting>
  <conditionalFormatting sqref="D9:D15">
    <cfRule type="cellIs" dxfId="2985" priority="3852" operator="equal">
      <formula>"NÃO INICIADO"</formula>
    </cfRule>
    <cfRule type="cellIs" dxfId="2984" priority="2733" operator="equal">
      <formula>"NÃO INICIADO"</formula>
    </cfRule>
    <cfRule type="cellIs" dxfId="2983" priority="1504" operator="equal">
      <formula>"EM PROCESSO"</formula>
    </cfRule>
  </conditionalFormatting>
  <conditionalFormatting sqref="D9:D15">
    <cfRule type="cellIs" dxfId="2982" priority="3851" operator="equal">
      <formula>"FINALIZADO"</formula>
    </cfRule>
    <cfRule type="cellIs" dxfId="2981" priority="3264" operator="equal">
      <formula>"NÃO INICIADO"</formula>
    </cfRule>
    <cfRule type="cellIs" dxfId="2980" priority="2350" operator="equal">
      <formula>"EM PROCESSO"</formula>
    </cfRule>
    <cfRule type="cellIs" dxfId="2979" priority="1505" operator="equal">
      <formula>"FINALIZADO"</formula>
    </cfRule>
    <cfRule type="cellIs" dxfId="2978" priority="875" operator="equal">
      <formula>"FINALIZADO"</formula>
    </cfRule>
  </conditionalFormatting>
  <conditionalFormatting sqref="D9:D15">
    <cfRule type="cellIs" dxfId="2977" priority="3850" operator="equal">
      <formula>"EM PROCESSO"</formula>
    </cfRule>
    <cfRule type="cellIs" dxfId="2976" priority="2798" operator="equal">
      <formula>"FINALIZADO"</formula>
    </cfRule>
    <cfRule type="cellIs" dxfId="2975" priority="1313" operator="equal">
      <formula>"FINALIZADO"</formula>
    </cfRule>
    <cfRule type="cellIs" dxfId="2974" priority="1304" operator="equal">
      <formula>"FINALIZADO"</formula>
    </cfRule>
    <cfRule type="cellIs" dxfId="2973" priority="1151" operator="equal">
      <formula>"FINALIZADO"</formula>
    </cfRule>
    <cfRule type="cellIs" dxfId="2972" priority="874" operator="equal">
      <formula>"EM PROCESSO"</formula>
    </cfRule>
    <cfRule type="cellIs" dxfId="2971" priority="794" operator="equal">
      <formula>"FINALIZADO"</formula>
    </cfRule>
    <cfRule type="cellIs" dxfId="2970" priority="791" operator="equal">
      <formula>"FINALIZADO"</formula>
    </cfRule>
    <cfRule type="cellIs" dxfId="2969" priority="698" operator="equal">
      <formula>"FINALIZADO"</formula>
    </cfRule>
  </conditionalFormatting>
  <conditionalFormatting sqref="D9:D16">
    <cfRule type="cellIs" dxfId="2968" priority="3849" operator="equal">
      <formula>"NÃO INICIADO"</formula>
    </cfRule>
  </conditionalFormatting>
  <conditionalFormatting sqref="D9:D16">
    <cfRule type="cellIs" dxfId="2967" priority="3848" operator="equal">
      <formula>"FINALIZADO"</formula>
    </cfRule>
    <cfRule type="cellIs" dxfId="2966" priority="2858" operator="equal">
      <formula>"FINALIZADO"</formula>
    </cfRule>
    <cfRule type="cellIs" dxfId="2965" priority="1917" operator="equal">
      <formula>"NÃO INICIADO"</formula>
    </cfRule>
    <cfRule type="cellIs" dxfId="2964" priority="1160" operator="equal">
      <formula>"FINALIZADO"</formula>
    </cfRule>
  </conditionalFormatting>
  <conditionalFormatting sqref="D9:D16">
    <cfRule type="cellIs" dxfId="2963" priority="3847" operator="equal">
      <formula>"EM PROCESSO"</formula>
    </cfRule>
    <cfRule type="cellIs" dxfId="2962" priority="2301" operator="equal">
      <formula>"NÃO INICIADO"</formula>
    </cfRule>
    <cfRule type="cellIs" dxfId="2961" priority="1884" operator="equal">
      <formula>"NÃO INICIADO"</formula>
    </cfRule>
  </conditionalFormatting>
  <conditionalFormatting sqref="D9:D75">
    <cfRule type="cellIs" dxfId="2960" priority="3846" operator="equal">
      <formula>"NÃO INICIADO"</formula>
    </cfRule>
  </conditionalFormatting>
  <conditionalFormatting sqref="D9:D75">
    <cfRule type="cellIs" dxfId="2959" priority="3845" operator="equal">
      <formula>"FINALIZADO"</formula>
    </cfRule>
  </conditionalFormatting>
  <conditionalFormatting sqref="D9:D75">
    <cfRule type="cellIs" dxfId="2958" priority="3844" operator="equal">
      <formula>"EM PROCESSO"</formula>
    </cfRule>
  </conditionalFormatting>
  <conditionalFormatting sqref="D9:D44">
    <cfRule type="cellIs" dxfId="2957" priority="3843" operator="equal">
      <formula>"NÃO INICIADO"</formula>
    </cfRule>
  </conditionalFormatting>
  <conditionalFormatting sqref="D9:D44">
    <cfRule type="cellIs" dxfId="2956" priority="3842" operator="equal">
      <formula>"FINALIZADO"</formula>
    </cfRule>
  </conditionalFormatting>
  <conditionalFormatting sqref="D9:D44">
    <cfRule type="cellIs" dxfId="2955" priority="3841" operator="equal">
      <formula>"EM PROCESSO"</formula>
    </cfRule>
  </conditionalFormatting>
  <conditionalFormatting sqref="D9:D214">
    <cfRule type="cellIs" dxfId="2954" priority="3840" operator="equal">
      <formula>"NÃO INICIADO"</formula>
    </cfRule>
    <cfRule type="cellIs" dxfId="2953" priority="3839" operator="equal">
      <formula>"FINALIZADO"</formula>
    </cfRule>
    <cfRule type="cellIs" dxfId="2952" priority="3838" operator="equal">
      <formula>"EM PROCESSO"</formula>
    </cfRule>
  </conditionalFormatting>
  <conditionalFormatting sqref="D9:D124">
    <cfRule type="cellIs" dxfId="2951" priority="3837" operator="equal">
      <formula>"NÃO INICIADO"</formula>
    </cfRule>
  </conditionalFormatting>
  <conditionalFormatting sqref="D9:D124">
    <cfRule type="cellIs" dxfId="2950" priority="3836" operator="equal">
      <formula>"FINALIZADO"</formula>
    </cfRule>
  </conditionalFormatting>
  <conditionalFormatting sqref="D9:D124">
    <cfRule type="cellIs" dxfId="2949" priority="3835" operator="equal">
      <formula>"EM PROCESSO"</formula>
    </cfRule>
  </conditionalFormatting>
  <conditionalFormatting sqref="D9:D101">
    <cfRule type="cellIs" dxfId="2948" priority="3834" operator="equal">
      <formula>"NÃO INICIADO"</formula>
    </cfRule>
  </conditionalFormatting>
  <conditionalFormatting sqref="D9:D101">
    <cfRule type="cellIs" dxfId="2947" priority="3833" operator="equal">
      <formula>"FINALIZADO"</formula>
    </cfRule>
  </conditionalFormatting>
  <conditionalFormatting sqref="D9:D101">
    <cfRule type="cellIs" dxfId="2946" priority="3832" operator="equal">
      <formula>"EM PROCESSO"</formula>
    </cfRule>
  </conditionalFormatting>
  <conditionalFormatting sqref="D9:D12">
    <cfRule type="cellIs" dxfId="2945" priority="3831" operator="equal">
      <formula>"NÃO INICIADO"</formula>
    </cfRule>
    <cfRule type="cellIs" dxfId="2944" priority="3655" operator="equal">
      <formula>"EM PROCESSO"</formula>
    </cfRule>
    <cfRule type="cellIs" dxfId="2943" priority="3619" operator="equal">
      <formula>"EM PROCESSO"</formula>
    </cfRule>
    <cfRule type="cellIs" dxfId="2942" priority="3366" operator="equal">
      <formula>"NÃO INICIADO"</formula>
    </cfRule>
    <cfRule type="cellIs" dxfId="2941" priority="2692" operator="equal">
      <formula>"EM PROCESSO"</formula>
    </cfRule>
    <cfRule type="cellIs" dxfId="2940" priority="2216" operator="equal">
      <formula>"FINALIZADO"</formula>
    </cfRule>
    <cfRule type="cellIs" dxfId="2939" priority="2095" operator="equal">
      <formula>"EM PROCESSO"</formula>
    </cfRule>
    <cfRule type="cellIs" dxfId="2938" priority="2008" operator="equal">
      <formula>"EM PROCESSO"</formula>
    </cfRule>
    <cfRule type="cellIs" dxfId="2937" priority="1942" operator="equal">
      <formula>"EM PROCESSO"</formula>
    </cfRule>
    <cfRule type="cellIs" dxfId="2936" priority="1775" operator="equal">
      <formula>"FINALIZADO"</formula>
    </cfRule>
    <cfRule type="cellIs" dxfId="2935" priority="539" operator="equal">
      <formula>"FINALIZADO"</formula>
    </cfRule>
  </conditionalFormatting>
  <conditionalFormatting sqref="D9:D12">
    <cfRule type="cellIs" dxfId="2934" priority="3830" operator="equal">
      <formula>"FINALIZADO"</formula>
    </cfRule>
    <cfRule type="cellIs" dxfId="2933" priority="3620" operator="equal">
      <formula>"FINALIZADO"</formula>
    </cfRule>
    <cfRule type="cellIs" dxfId="2932" priority="3457" operator="equal">
      <formula>"EM PROCESSO"</formula>
    </cfRule>
    <cfRule type="cellIs" dxfId="2931" priority="3098" operator="equal">
      <formula>"FINALIZADO"</formula>
    </cfRule>
    <cfRule type="cellIs" dxfId="2930" priority="2520" operator="equal">
      <formula>"NÃO INICIADO"</formula>
    </cfRule>
    <cfRule type="cellIs" dxfId="2929" priority="2215" operator="equal">
      <formula>"EM PROCESSO"</formula>
    </cfRule>
    <cfRule type="cellIs" dxfId="2928" priority="2097" operator="equal">
      <formula>"NÃO INICIADO"</formula>
    </cfRule>
    <cfRule type="cellIs" dxfId="2927" priority="1774" operator="equal">
      <formula>"EM PROCESSO"</formula>
    </cfRule>
    <cfRule type="cellIs" dxfId="2926" priority="1478" operator="equal">
      <formula>"FINALIZADO"</formula>
    </cfRule>
    <cfRule type="cellIs" dxfId="2925" priority="1472" operator="equal">
      <formula>"FINALIZADO"</formula>
    </cfRule>
    <cfRule type="cellIs" dxfId="2924" priority="538" operator="equal">
      <formula>"EM PROCESSO"</formula>
    </cfRule>
    <cfRule type="cellIs" dxfId="2923" priority="223" operator="equal">
      <formula>"EM PROCESSO"</formula>
    </cfRule>
    <cfRule type="cellIs" dxfId="2922" priority="203" operator="equal">
      <formula>"FINALIZADO"</formula>
    </cfRule>
  </conditionalFormatting>
  <conditionalFormatting sqref="D9:D12">
    <cfRule type="cellIs" dxfId="2921" priority="3829" operator="equal">
      <formula>"EM PROCESSO"</formula>
    </cfRule>
    <cfRule type="cellIs" dxfId="2920" priority="2096" operator="equal">
      <formula>"FINALIZADO"</formula>
    </cfRule>
    <cfRule type="cellIs" dxfId="2919" priority="1687" operator="equal">
      <formula>"EM PROCESSO"</formula>
    </cfRule>
    <cfRule type="cellIs" dxfId="2918" priority="1117" operator="equal">
      <formula>"EM PROCESSO"</formula>
    </cfRule>
    <cfRule type="cellIs" dxfId="2917" priority="1111" operator="equal">
      <formula>"EM PROCESSO"</formula>
    </cfRule>
  </conditionalFormatting>
  <conditionalFormatting sqref="D9:D17">
    <cfRule type="cellIs" dxfId="2916" priority="3828" operator="equal">
      <formula>"NÃO INICIADO"</formula>
    </cfRule>
    <cfRule type="cellIs" dxfId="2915" priority="3824" operator="equal">
      <formula>"FINALIZADO"</formula>
    </cfRule>
    <cfRule type="cellIs" dxfId="2914" priority="3542" operator="equal">
      <formula>"FINALIZADO"</formula>
    </cfRule>
  </conditionalFormatting>
  <conditionalFormatting sqref="D9:D17">
    <cfRule type="cellIs" dxfId="2913" priority="3827" operator="equal">
      <formula>"FINALIZADO"</formula>
    </cfRule>
    <cfRule type="cellIs" dxfId="2912" priority="3825" operator="equal">
      <formula>"NÃO INICIADO"</formula>
    </cfRule>
    <cfRule type="cellIs" dxfId="2911" priority="3429" operator="equal">
      <formula>"NÃO INICIADO"</formula>
    </cfRule>
  </conditionalFormatting>
  <conditionalFormatting sqref="D9:D17">
    <cfRule type="cellIs" dxfId="2910" priority="3826" operator="equal">
      <formula>"EM PROCESSO"</formula>
    </cfRule>
    <cfRule type="cellIs" dxfId="2909" priority="3543" operator="equal">
      <formula>"NÃO INICIADO"</formula>
    </cfRule>
    <cfRule type="cellIs" dxfId="2908" priority="3498" operator="equal">
      <formula>"NÃO INICIADO"</formula>
    </cfRule>
    <cfRule type="cellIs" dxfId="2907" priority="2283" operator="equal">
      <formula>"NÃO INICIADO"</formula>
    </cfRule>
  </conditionalFormatting>
  <conditionalFormatting sqref="D9:D17">
    <cfRule type="cellIs" dxfId="2906" priority="3823" operator="equal">
      <formula>"EM PROCESSO"</formula>
    </cfRule>
    <cfRule type="cellIs" dxfId="2905" priority="76" operator="equal">
      <formula>"EM PROCESSO"</formula>
    </cfRule>
  </conditionalFormatting>
  <conditionalFormatting sqref="D9:D11">
    <cfRule type="cellIs" dxfId="2904" priority="3820" operator="equal">
      <formula>"EM PROCESSO"</formula>
    </cfRule>
    <cfRule type="cellIs" dxfId="2903" priority="3442" operator="equal">
      <formula>"EM PROCESSO"</formula>
    </cfRule>
    <cfRule type="cellIs" dxfId="2902" priority="3330" operator="equal">
      <formula>"NÃO INICIADO"</formula>
    </cfRule>
    <cfRule type="cellIs" dxfId="2901" priority="3224" operator="equal">
      <formula>"FINALIZADO"</formula>
    </cfRule>
    <cfRule type="cellIs" dxfId="2900" priority="1212" operator="equal">
      <formula>"NÃO INICIADO"</formula>
    </cfRule>
    <cfRule type="cellIs" dxfId="2899" priority="1198" operator="equal">
      <formula>"EM PROCESSO"</formula>
    </cfRule>
    <cfRule type="cellIs" dxfId="2898" priority="1195" operator="equal">
      <formula>"EM PROCESSO"</formula>
    </cfRule>
    <cfRule type="cellIs" dxfId="2897" priority="1192" operator="equal">
      <formula>"EM PROCESSO"</formula>
    </cfRule>
    <cfRule type="cellIs" dxfId="2896" priority="1189" operator="equal">
      <formula>"EM PROCESSO"</formula>
    </cfRule>
  </conditionalFormatting>
  <conditionalFormatting sqref="D9:D97">
    <cfRule type="cellIs" dxfId="2895" priority="3819" operator="equal">
      <formula>"NÃO INICIADO"</formula>
    </cfRule>
  </conditionalFormatting>
  <conditionalFormatting sqref="D9:D97">
    <cfRule type="cellIs" dxfId="2894" priority="3818" operator="equal">
      <formula>"FINALIZADO"</formula>
    </cfRule>
  </conditionalFormatting>
  <conditionalFormatting sqref="D9:D97">
    <cfRule type="cellIs" dxfId="2893" priority="3817" operator="equal">
      <formula>"EM PROCESSO"</formula>
    </cfRule>
  </conditionalFormatting>
  <conditionalFormatting sqref="D9:D34">
    <cfRule type="cellIs" dxfId="2892" priority="3816" operator="equal">
      <formula>"NÃO INICIADO"</formula>
    </cfRule>
    <cfRule type="cellIs" dxfId="2891" priority="2656" operator="equal">
      <formula>"EM PROCESSO"</formula>
    </cfRule>
  </conditionalFormatting>
  <conditionalFormatting sqref="D9:D34">
    <cfRule type="cellIs" dxfId="2890" priority="3815" operator="equal">
      <formula>"FINALIZADO"</formula>
    </cfRule>
  </conditionalFormatting>
  <conditionalFormatting sqref="D9:D34">
    <cfRule type="cellIs" dxfId="2889" priority="3814" operator="equal">
      <formula>"EM PROCESSO"</formula>
    </cfRule>
    <cfRule type="cellIs" dxfId="2888" priority="2657" operator="equal">
      <formula>"FINALIZADO"</formula>
    </cfRule>
    <cfRule type="cellIs" dxfId="2887" priority="2618" operator="equal">
      <formula>"FINALIZADO"</formula>
    </cfRule>
  </conditionalFormatting>
  <conditionalFormatting sqref="D9:D180">
    <cfRule type="cellIs" dxfId="2886" priority="3813" operator="equal">
      <formula>"NÃO INICIADO"</formula>
    </cfRule>
  </conditionalFormatting>
  <conditionalFormatting sqref="D9:D180">
    <cfRule type="cellIs" dxfId="2885" priority="3812" operator="equal">
      <formula>"FINALIZADO"</formula>
    </cfRule>
  </conditionalFormatting>
  <conditionalFormatting sqref="D9:D180">
    <cfRule type="cellIs" dxfId="2884" priority="3811" operator="equal">
      <formula>"EM PROCESSO"</formula>
    </cfRule>
  </conditionalFormatting>
  <conditionalFormatting sqref="D9:D81">
    <cfRule type="cellIs" dxfId="2883" priority="3810" operator="equal">
      <formula>"NÃO INICIADO"</formula>
    </cfRule>
  </conditionalFormatting>
  <conditionalFormatting sqref="D9:D81">
    <cfRule type="cellIs" dxfId="2882" priority="3809" operator="equal">
      <formula>"FINALIZADO"</formula>
    </cfRule>
  </conditionalFormatting>
  <conditionalFormatting sqref="D9:D81">
    <cfRule type="cellIs" dxfId="2881" priority="3808" operator="equal">
      <formula>"EM PROCESSO"</formula>
    </cfRule>
    <cfRule type="cellIs" dxfId="2880" priority="810" operator="equal">
      <formula>"NÃO INICIADO"</formula>
    </cfRule>
    <cfRule type="cellIs" dxfId="2879" priority="808" operator="equal">
      <formula>"EM PROCESSO"</formula>
    </cfRule>
  </conditionalFormatting>
  <conditionalFormatting sqref="D9:D65">
    <cfRule type="cellIs" dxfId="2878" priority="3807" operator="equal">
      <formula>"NÃO INICIADO"</formula>
    </cfRule>
  </conditionalFormatting>
  <conditionalFormatting sqref="D9:D65">
    <cfRule type="cellIs" dxfId="2877" priority="3806" operator="equal">
      <formula>"FINALIZADO"</formula>
    </cfRule>
  </conditionalFormatting>
  <conditionalFormatting sqref="D9:D65">
    <cfRule type="cellIs" dxfId="2876" priority="3805" operator="equal">
      <formula>"EM PROCESSO"</formula>
    </cfRule>
  </conditionalFormatting>
  <conditionalFormatting sqref="D9:D79">
    <cfRule type="cellIs" dxfId="2875" priority="3804" operator="equal">
      <formula>"NÃO INICIADO"</formula>
    </cfRule>
  </conditionalFormatting>
  <conditionalFormatting sqref="D9:D79">
    <cfRule type="cellIs" dxfId="2874" priority="3803" operator="equal">
      <formula>"FINALIZADO"</formula>
    </cfRule>
    <cfRule type="cellIs" dxfId="2873" priority="249" operator="equal">
      <formula>"NÃO INICIADO"</formula>
    </cfRule>
    <cfRule type="cellIs" dxfId="2872" priority="247" operator="equal">
      <formula>"EM PROCESSO"</formula>
    </cfRule>
  </conditionalFormatting>
  <conditionalFormatting sqref="D9:D79">
    <cfRule type="cellIs" dxfId="2871" priority="3802" operator="equal">
      <formula>"EM PROCESSO"</formula>
    </cfRule>
    <cfRule type="cellIs" dxfId="2870" priority="243" operator="equal">
      <formula>"NÃO INICIADO"</formula>
    </cfRule>
    <cfRule type="cellIs" dxfId="2869" priority="241" operator="equal">
      <formula>"EM PROCESSO"</formula>
    </cfRule>
  </conditionalFormatting>
  <conditionalFormatting sqref="D9:D15">
    <cfRule type="cellIs" dxfId="2868" priority="3801" operator="equal">
      <formula>"NÃO INICIADO"</formula>
    </cfRule>
    <cfRule type="cellIs" dxfId="2867" priority="2661" operator="equal">
      <formula>"NÃO INICIADO"</formula>
    </cfRule>
    <cfRule type="cellIs" dxfId="2866" priority="1312" operator="equal">
      <formula>"EM PROCESSO"</formula>
    </cfRule>
    <cfRule type="cellIs" dxfId="2865" priority="1303" operator="equal">
      <formula>"EM PROCESSO"</formula>
    </cfRule>
    <cfRule type="cellIs" dxfId="2864" priority="854" operator="equal">
      <formula>"FINALIZADO"</formula>
    </cfRule>
    <cfRule type="cellIs" dxfId="2863" priority="795" operator="equal">
      <formula>"NÃO INICIADO"</formula>
    </cfRule>
    <cfRule type="cellIs" dxfId="2862" priority="792" operator="equal">
      <formula>"NÃO INICIADO"</formula>
    </cfRule>
    <cfRule type="cellIs" dxfId="2861" priority="206" operator="equal">
      <formula>"FINALIZADO"</formula>
    </cfRule>
  </conditionalFormatting>
  <conditionalFormatting sqref="D9:D15">
    <cfRule type="cellIs" dxfId="2860" priority="3800" operator="equal">
      <formula>"FINALIZADO"</formula>
    </cfRule>
    <cfRule type="cellIs" dxfId="2859" priority="205" operator="equal">
      <formula>"EM PROCESSO"</formula>
    </cfRule>
  </conditionalFormatting>
  <conditionalFormatting sqref="D9:D15">
    <cfRule type="cellIs" dxfId="2858" priority="3799" operator="equal">
      <formula>"EM PROCESSO"</formula>
    </cfRule>
    <cfRule type="cellIs" dxfId="2857" priority="3263" operator="equal">
      <formula>"FINALIZADO"</formula>
    </cfRule>
  </conditionalFormatting>
  <conditionalFormatting sqref="D9:D12">
    <cfRule type="cellIs" dxfId="2856" priority="3798" operator="equal">
      <formula>"NÃO INICIADO"</formula>
    </cfRule>
    <cfRule type="cellIs" dxfId="2855" priority="3591" operator="equal">
      <formula>"NÃO INICIADO"</formula>
    </cfRule>
    <cfRule type="cellIs" dxfId="2854" priority="3181" operator="equal">
      <formula>"EM PROCESSO"</formula>
    </cfRule>
    <cfRule type="cellIs" dxfId="2853" priority="2462" operator="equal">
      <formula>"FINALIZADO"</formula>
    </cfRule>
    <cfRule type="cellIs" dxfId="2852" priority="2459" operator="equal">
      <formula>"FINALIZADO"</formula>
    </cfRule>
    <cfRule type="cellIs" dxfId="2851" priority="2311" operator="equal">
      <formula>"EM PROCESSO"</formula>
    </cfRule>
  </conditionalFormatting>
  <conditionalFormatting sqref="D9:D12">
    <cfRule type="cellIs" dxfId="2850" priority="3797" operator="equal">
      <formula>"FINALIZADO"</formula>
    </cfRule>
    <cfRule type="cellIs" dxfId="2849" priority="3621" operator="equal">
      <formula>"NÃO INICIADO"</formula>
    </cfRule>
    <cfRule type="cellIs" dxfId="2848" priority="3365" operator="equal">
      <formula>"FINALIZADO"</formula>
    </cfRule>
  </conditionalFormatting>
  <conditionalFormatting sqref="D9:D12">
    <cfRule type="cellIs" dxfId="2847" priority="3796" operator="equal">
      <formula>"EM PROCESSO"</formula>
    </cfRule>
    <cfRule type="cellIs" dxfId="2846" priority="3589" operator="equal">
      <formula>"EM PROCESSO"</formula>
    </cfRule>
    <cfRule type="cellIs" dxfId="2845" priority="3099" operator="equal">
      <formula>"NÃO INICIADO"</formula>
    </cfRule>
    <cfRule type="cellIs" dxfId="2844" priority="2930" operator="equal">
      <formula>"FINALIZADO"</formula>
    </cfRule>
    <cfRule type="cellIs" dxfId="2843" priority="2590" operator="equal">
      <formula>"EM PROCESSO"</formula>
    </cfRule>
    <cfRule type="cellIs" dxfId="2842" priority="2463" operator="equal">
      <formula>"NÃO INICIADO"</formula>
    </cfRule>
    <cfRule type="cellIs" dxfId="2841" priority="2460" operator="equal">
      <formula>"NÃO INICIADO"</formula>
    </cfRule>
    <cfRule type="cellIs" dxfId="2840" priority="2010" operator="equal">
      <formula>"NÃO INICIADO"</formula>
    </cfRule>
    <cfRule type="cellIs" dxfId="2839" priority="1770" operator="equal">
      <formula>"NÃO INICIADO"</formula>
    </cfRule>
    <cfRule type="cellIs" dxfId="2838" priority="1688" operator="equal">
      <formula>"FINALIZADO"</formula>
    </cfRule>
    <cfRule type="cellIs" dxfId="2837" priority="204" operator="equal">
      <formula>"NÃO INICIADO"</formula>
    </cfRule>
  </conditionalFormatting>
  <conditionalFormatting sqref="D9:D11">
    <cfRule type="cellIs" dxfId="2836" priority="3793" operator="equal">
      <formula>"EM PROCESSO"</formula>
    </cfRule>
    <cfRule type="cellIs" dxfId="2835" priority="3054" operator="equal">
      <formula>"NÃO INICIADO"</formula>
    </cfRule>
    <cfRule type="cellIs" dxfId="2834" priority="2767" operator="equal">
      <formula>"EM PROCESSO"</formula>
    </cfRule>
    <cfRule type="cellIs" dxfId="2833" priority="149" operator="equal">
      <formula>"FINALIZADO"</formula>
    </cfRule>
  </conditionalFormatting>
  <conditionalFormatting sqref="D9:D35">
    <cfRule type="cellIs" dxfId="2832" priority="3792" operator="equal">
      <formula>"NÃO INICIADO"</formula>
    </cfRule>
    <cfRule type="cellIs" dxfId="2831" priority="2120" operator="equal">
      <formula>"FINALIZADO"</formula>
    </cfRule>
  </conditionalFormatting>
  <conditionalFormatting sqref="D9:D35">
    <cfRule type="cellIs" dxfId="2830" priority="3791" operator="equal">
      <formula>"FINALIZADO"</formula>
    </cfRule>
  </conditionalFormatting>
  <conditionalFormatting sqref="D9:D35">
    <cfRule type="cellIs" dxfId="2829" priority="3790" operator="equal">
      <formula>"EM PROCESSO"</formula>
    </cfRule>
    <cfRule type="cellIs" dxfId="2828" priority="2483" operator="equal">
      <formula>"FINALIZADO"</formula>
    </cfRule>
  </conditionalFormatting>
  <conditionalFormatting sqref="D9:D68">
    <cfRule type="cellIs" dxfId="2827" priority="3789" operator="equal">
      <formula>"NÃO INICIADO"</formula>
    </cfRule>
    <cfRule type="cellIs" dxfId="2826" priority="3253" operator="equal">
      <formula>"EM PROCESSO"</formula>
    </cfRule>
  </conditionalFormatting>
  <conditionalFormatting sqref="D9:D68">
    <cfRule type="cellIs" dxfId="2825" priority="3788" operator="equal">
      <formula>"FINALIZADO"</formula>
    </cfRule>
  </conditionalFormatting>
  <conditionalFormatting sqref="D9:D68">
    <cfRule type="cellIs" dxfId="2824" priority="3787" operator="equal">
      <formula>"EM PROCESSO"</formula>
    </cfRule>
  </conditionalFormatting>
  <conditionalFormatting sqref="D9:D62">
    <cfRule type="cellIs" dxfId="2823" priority="3786" operator="equal">
      <formula>"NÃO INICIADO"</formula>
    </cfRule>
  </conditionalFormatting>
  <conditionalFormatting sqref="D9:D62">
    <cfRule type="cellIs" dxfId="2822" priority="3785" operator="equal">
      <formula>"FINALIZADO"</formula>
    </cfRule>
  </conditionalFormatting>
  <conditionalFormatting sqref="D9:D62">
    <cfRule type="cellIs" dxfId="2821" priority="3784" operator="equal">
      <formula>"EM PROCESSO"</formula>
    </cfRule>
  </conditionalFormatting>
  <conditionalFormatting sqref="D9:D14">
    <cfRule type="cellIs" dxfId="2820" priority="3783" operator="equal">
      <formula>"NÃO INICIADO"</formula>
    </cfRule>
    <cfRule type="cellIs" dxfId="2819" priority="3296" operator="equal">
      <formula>"FINALIZADO"</formula>
    </cfRule>
    <cfRule type="cellIs" dxfId="2818" priority="3047" operator="equal">
      <formula>"FINALIZADO"</formula>
    </cfRule>
    <cfRule type="cellIs" dxfId="2817" priority="2239" operator="equal">
      <formula>"EM PROCESSO"</formula>
    </cfRule>
    <cfRule type="cellIs" dxfId="2816" priority="1405" operator="equal">
      <formula>"EM PROCESSO"</formula>
    </cfRule>
    <cfRule type="cellIs" dxfId="2815" priority="22" operator="equal">
      <formula>"EM PROCESSO"</formula>
    </cfRule>
  </conditionalFormatting>
  <conditionalFormatting sqref="D9:D14">
    <cfRule type="cellIs" dxfId="2814" priority="3782" operator="equal">
      <formula>"FINALIZADO"</formula>
    </cfRule>
    <cfRule type="cellIs" dxfId="2813" priority="3295" operator="equal">
      <formula>"EM PROCESSO"</formula>
    </cfRule>
    <cfRule type="cellIs" dxfId="2812" priority="507" operator="equal">
      <formula>"NÃO INICIADO"</formula>
    </cfRule>
    <cfRule type="cellIs" dxfId="2811" priority="346" operator="equal">
      <formula>"EM PROCESSO"</formula>
    </cfRule>
  </conditionalFormatting>
  <conditionalFormatting sqref="D9:D14">
    <cfRule type="cellIs" dxfId="2810" priority="3781" operator="equal">
      <formula>"EM PROCESSO"</formula>
    </cfRule>
    <cfRule type="cellIs" dxfId="2809" priority="3048" operator="equal">
      <formula>"NÃO INICIADO"</formula>
    </cfRule>
    <cfRule type="cellIs" dxfId="2808" priority="754" operator="equal">
      <formula>"EM PROCESSO"</formula>
    </cfRule>
    <cfRule type="cellIs" dxfId="2807" priority="446" operator="equal">
      <formula>"FINALIZADO"</formula>
    </cfRule>
  </conditionalFormatting>
  <conditionalFormatting sqref="D9:D10">
    <cfRule type="cellIs" dxfId="2806" priority="3774" operator="equal">
      <formula>"NÃO INICIADO"</formula>
    </cfRule>
    <cfRule type="cellIs" dxfId="2805" priority="3770" operator="equal">
      <formula>"FINALIZADO"</formula>
    </cfRule>
    <cfRule type="cellIs" dxfId="2804" priority="3287" operator="equal">
      <formula>"FINALIZADO"</formula>
    </cfRule>
    <cfRule type="cellIs" dxfId="2803" priority="3259" operator="equal">
      <formula>"EM PROCESSO"</formula>
    </cfRule>
    <cfRule type="cellIs" dxfId="2802" priority="2053" operator="equal">
      <formula>"EM PROCESSO"</formula>
    </cfRule>
    <cfRule type="cellIs" dxfId="2801" priority="1970" operator="equal">
      <formula>"FINALIZADO"</formula>
    </cfRule>
    <cfRule type="cellIs" dxfId="2800" priority="1835" operator="equal">
      <formula>"FINALIZADO"</formula>
    </cfRule>
    <cfRule type="cellIs" dxfId="2799" priority="1555" operator="equal">
      <formula>"EM PROCESSO"</formula>
    </cfRule>
    <cfRule type="cellIs" dxfId="2798" priority="1552" operator="equal">
      <formula>"EM PROCESSO"</formula>
    </cfRule>
    <cfRule type="cellIs" dxfId="2797" priority="1540" operator="equal">
      <formula>"EM PROCESSO"</formula>
    </cfRule>
    <cfRule type="cellIs" dxfId="2796" priority="851" operator="equal">
      <formula>"FINALIZADO"</formula>
    </cfRule>
    <cfRule type="cellIs" dxfId="2795" priority="311" operator="equal">
      <formula>"FINALIZADO"</formula>
    </cfRule>
  </conditionalFormatting>
  <conditionalFormatting sqref="D9:D10">
    <cfRule type="cellIs" dxfId="2794" priority="3773" operator="equal">
      <formula>"FINALIZADO"</formula>
    </cfRule>
    <cfRule type="cellIs" dxfId="2793" priority="3771" operator="equal">
      <formula>"NÃO INICIADO"</formula>
    </cfRule>
    <cfRule type="cellIs" dxfId="2792" priority="3744" operator="equal">
      <formula>"NÃO INICIADO"</formula>
    </cfRule>
    <cfRule type="cellIs" dxfId="2791" priority="2018" operator="equal">
      <formula>"FINALIZADO"</formula>
    </cfRule>
    <cfRule type="cellIs" dxfId="2790" priority="2015" operator="equal">
      <formula>"FINALIZADO"</formula>
    </cfRule>
    <cfRule type="cellIs" dxfId="2789" priority="1834" operator="equal">
      <formula>"EM PROCESSO"</formula>
    </cfRule>
    <cfRule type="cellIs" dxfId="2788" priority="850" operator="equal">
      <formula>"EM PROCESSO"</formula>
    </cfRule>
    <cfRule type="cellIs" dxfId="2787" priority="702" operator="equal">
      <formula>"NÃO INICIADO"</formula>
    </cfRule>
    <cfRule type="cellIs" dxfId="2786" priority="310" operator="equal">
      <formula>"EM PROCESSO"</formula>
    </cfRule>
  </conditionalFormatting>
  <conditionalFormatting sqref="D9:D10">
    <cfRule type="cellIs" dxfId="2785" priority="3772" operator="equal">
      <formula>"EM PROCESSO"</formula>
    </cfRule>
    <cfRule type="cellIs" dxfId="2784" priority="3493" operator="equal">
      <formula>"EM PROCESSO"</formula>
    </cfRule>
    <cfRule type="cellIs" dxfId="2783" priority="3194" operator="equal">
      <formula>"FINALIZADO"</formula>
    </cfRule>
    <cfRule type="cellIs" dxfId="2782" priority="2637" operator="equal">
      <formula>"NÃO INICIADO"</formula>
    </cfRule>
    <cfRule type="cellIs" dxfId="2781" priority="2634" operator="equal">
      <formula>"NÃO INICIADO"</formula>
    </cfRule>
    <cfRule type="cellIs" dxfId="2780" priority="1847" operator="equal">
      <formula>"FINALIZADO"</formula>
    </cfRule>
    <cfRule type="cellIs" dxfId="2779" priority="1439" operator="equal">
      <formula>"FINALIZADO"</formula>
    </cfRule>
    <cfRule type="cellIs" dxfId="2778" priority="1144" operator="equal">
      <formula>"EM PROCESSO"</formula>
    </cfRule>
    <cfRule type="cellIs" dxfId="2777" priority="727" operator="equal">
      <formula>"EM PROCESSO"</formula>
    </cfRule>
    <cfRule type="cellIs" dxfId="2776" priority="565" operator="equal">
      <formula>"EM PROCESSO"</formula>
    </cfRule>
    <cfRule type="cellIs" dxfId="2775" priority="503" operator="equal">
      <formula>"FINALIZADO"</formula>
    </cfRule>
  </conditionalFormatting>
  <conditionalFormatting sqref="D9:D10">
    <cfRule type="cellIs" dxfId="2774" priority="3769" operator="equal">
      <formula>"EM PROCESSO"</formula>
    </cfRule>
    <cfRule type="cellIs" dxfId="2773" priority="2286" operator="equal">
      <formula>"NÃO INICIADO"</formula>
    </cfRule>
    <cfRule type="cellIs" dxfId="2772" priority="2055" operator="equal">
      <formula>"NÃO INICIADO"</formula>
    </cfRule>
    <cfRule type="cellIs" dxfId="2771" priority="1986" operator="equal">
      <formula>"NÃO INICIADO"</formula>
    </cfRule>
    <cfRule type="cellIs" dxfId="2770" priority="787" operator="equal">
      <formula>"EM PROCESSO"</formula>
    </cfRule>
    <cfRule type="cellIs" dxfId="2769" priority="502" operator="equal">
      <formula>"EM PROCESSO"</formula>
    </cfRule>
    <cfRule type="cellIs" dxfId="2768" priority="238" operator="equal">
      <formula>"EM PROCESSO"</formula>
    </cfRule>
  </conditionalFormatting>
  <conditionalFormatting sqref="D9:D232">
    <cfRule type="cellIs" dxfId="2767" priority="3768" operator="equal">
      <formula>"NÃO INICIADO"</formula>
    </cfRule>
    <cfRule type="cellIs" dxfId="2766" priority="3767" operator="equal">
      <formula>"FINALIZADO"</formula>
    </cfRule>
    <cfRule type="cellIs" dxfId="2765" priority="3766" operator="equal">
      <formula>"EM PROCESSO"</formula>
    </cfRule>
  </conditionalFormatting>
  <conditionalFormatting sqref="D9:D156">
    <cfRule type="cellIs" dxfId="2764" priority="3765" operator="equal">
      <formula>"NÃO INICIADO"</formula>
    </cfRule>
  </conditionalFormatting>
  <conditionalFormatting sqref="D9:D156">
    <cfRule type="cellIs" dxfId="2763" priority="3764" operator="equal">
      <formula>"FINALIZADO"</formula>
    </cfRule>
    <cfRule type="cellIs" dxfId="2762" priority="194" operator="equal">
      <formula>"FINALIZADO"</formula>
    </cfRule>
  </conditionalFormatting>
  <conditionalFormatting sqref="D9:D156">
    <cfRule type="cellIs" dxfId="2761" priority="3763" operator="equal">
      <formula>"EM PROCESSO"</formula>
    </cfRule>
  </conditionalFormatting>
  <conditionalFormatting sqref="D9:D385">
    <cfRule type="cellIs" dxfId="2760" priority="3762" operator="equal">
      <formula>"NÃO INICIADO"</formula>
    </cfRule>
    <cfRule type="cellIs" dxfId="2759" priority="3761" operator="equal">
      <formula>"FINALIZADO"</formula>
    </cfRule>
    <cfRule type="cellIs" dxfId="2758" priority="3760" operator="equal">
      <formula>"EM PROCESSO"</formula>
    </cfRule>
  </conditionalFormatting>
  <conditionalFormatting sqref="D9:D268">
    <cfRule type="cellIs" dxfId="2757" priority="3759" operator="equal">
      <formula>"NÃO INICIADO"</formula>
    </cfRule>
    <cfRule type="cellIs" dxfId="2756" priority="3758" operator="equal">
      <formula>"FINALIZADO"</formula>
    </cfRule>
    <cfRule type="cellIs" dxfId="2755" priority="3757" operator="equal">
      <formula>"EM PROCESSO"</formula>
    </cfRule>
  </conditionalFormatting>
  <conditionalFormatting sqref="D9:D111">
    <cfRule type="cellIs" dxfId="2754" priority="3756" operator="equal">
      <formula>"NÃO INICIADO"</formula>
    </cfRule>
  </conditionalFormatting>
  <conditionalFormatting sqref="D9:D111">
    <cfRule type="cellIs" dxfId="2753" priority="3755" operator="equal">
      <formula>"FINALIZADO"</formula>
    </cfRule>
  </conditionalFormatting>
  <conditionalFormatting sqref="D9:D111">
    <cfRule type="cellIs" dxfId="2752" priority="3754" operator="equal">
      <formula>"EM PROCESSO"</formula>
    </cfRule>
  </conditionalFormatting>
  <conditionalFormatting sqref="D9:D110">
    <cfRule type="cellIs" dxfId="2751" priority="3753" operator="equal">
      <formula>"NÃO INICIADO"</formula>
    </cfRule>
  </conditionalFormatting>
  <conditionalFormatting sqref="D9:D110">
    <cfRule type="cellIs" dxfId="2750" priority="3752" operator="equal">
      <formula>"FINALIZADO"</formula>
    </cfRule>
  </conditionalFormatting>
  <conditionalFormatting sqref="D9:D110">
    <cfRule type="cellIs" dxfId="2749" priority="3751" operator="equal">
      <formula>"EM PROCESSO"</formula>
    </cfRule>
  </conditionalFormatting>
  <conditionalFormatting sqref="D9:D11">
    <cfRule type="cellIs" dxfId="2748" priority="3747" operator="equal">
      <formula>"NÃO INICIADO"</formula>
    </cfRule>
    <cfRule type="cellIs" dxfId="2747" priority="3443" operator="equal">
      <formula>"FINALIZADO"</formula>
    </cfRule>
    <cfRule type="cellIs" dxfId="2746" priority="2449" operator="equal">
      <formula>"EM PROCESSO"</formula>
    </cfRule>
    <cfRule type="cellIs" dxfId="2745" priority="2446" operator="equal">
      <formula>"EM PROCESSO"</formula>
    </cfRule>
    <cfRule type="cellIs" dxfId="2744" priority="1516" operator="equal">
      <formula>"EM PROCESSO"</formula>
    </cfRule>
    <cfRule type="cellIs" dxfId="2743" priority="1157" operator="equal">
      <formula>"FINALIZADO"</formula>
    </cfRule>
    <cfRule type="cellIs" dxfId="2742" priority="1154" operator="equal">
      <formula>"FINALIZADO"</formula>
    </cfRule>
    <cfRule type="cellIs" dxfId="2741" priority="993" operator="equal">
      <formula>"NÃO INICIADO"</formula>
    </cfRule>
    <cfRule type="cellIs" dxfId="2740" priority="964" operator="equal">
      <formula>"EM PROCESSO"</formula>
    </cfRule>
    <cfRule type="cellIs" dxfId="2739" priority="878" operator="equal">
      <formula>"FINALIZADO"</formula>
    </cfRule>
    <cfRule type="cellIs" dxfId="2738" priority="308" operator="equal">
      <formula>"FINALIZADO"</formula>
    </cfRule>
    <cfRule type="cellIs" dxfId="2737" priority="271" operator="equal">
      <formula>"EM PROCESSO"</formula>
    </cfRule>
    <cfRule type="cellIs" dxfId="2736" priority="268" operator="equal">
      <formula>"EM PROCESSO"</formula>
    </cfRule>
  </conditionalFormatting>
  <conditionalFormatting sqref="D9:D11">
    <cfRule type="cellIs" dxfId="2735" priority="3746" operator="equal">
      <formula>"FINALIZADO"</formula>
    </cfRule>
    <cfRule type="cellIs" dxfId="2734" priority="3329" operator="equal">
      <formula>"FINALIZADO"</formula>
    </cfRule>
    <cfRule type="cellIs" dxfId="2733" priority="2369" operator="equal">
      <formula>"FINALIZADO"</formula>
    </cfRule>
    <cfRule type="cellIs" dxfId="2732" priority="2360" operator="equal">
      <formula>"FINALIZADO"</formula>
    </cfRule>
    <cfRule type="cellIs" dxfId="2731" priority="2223" operator="equal">
      <formula>"NÃO INICIADO"</formula>
    </cfRule>
    <cfRule type="cellIs" dxfId="2730" priority="1907" operator="equal">
      <formula>"FINALIZADO"</formula>
    </cfRule>
    <cfRule type="cellIs" dxfId="2729" priority="1589" operator="equal">
      <formula>"FINALIZADO"</formula>
    </cfRule>
    <cfRule type="cellIs" dxfId="2728" priority="1586" operator="equal">
      <formula>"FINALIZADO"</formula>
    </cfRule>
    <cfRule type="cellIs" dxfId="2727" priority="910" operator="equal">
      <formula>"EM PROCESSO"</formula>
    </cfRule>
    <cfRule type="cellIs" dxfId="2726" priority="510" operator="equal">
      <formula>"NÃO INICIADO"</formula>
    </cfRule>
    <cfRule type="cellIs" dxfId="2725" priority="377" operator="equal">
      <formula>"FINALIZADO"</formula>
    </cfRule>
    <cfRule type="cellIs" dxfId="2724" priority="307" operator="equal">
      <formula>"EM PROCESSO"</formula>
    </cfRule>
  </conditionalFormatting>
  <conditionalFormatting sqref="D9:D11">
    <cfRule type="cellIs" dxfId="2723" priority="3745" operator="equal">
      <formula>"EM PROCESSO"</formula>
    </cfRule>
    <cfRule type="cellIs" dxfId="2722" priority="3052" operator="equal">
      <formula>"EM PROCESSO"</formula>
    </cfRule>
    <cfRule type="cellIs" dxfId="2721" priority="2935" operator="equal">
      <formula>"EM PROCESSO"</formula>
    </cfRule>
    <cfRule type="cellIs" dxfId="2720" priority="2221" operator="equal">
      <formula>"EM PROCESSO"</formula>
    </cfRule>
    <cfRule type="cellIs" dxfId="2719" priority="1588" operator="equal">
      <formula>"EM PROCESSO"</formula>
    </cfRule>
    <cfRule type="cellIs" dxfId="2718" priority="1585" operator="equal">
      <formula>"EM PROCESSO"</formula>
    </cfRule>
  </conditionalFormatting>
  <conditionalFormatting sqref="D9:D13">
    <cfRule type="cellIs" dxfId="2717" priority="3740" operator="equal">
      <formula>"FINALIZADO"</formula>
    </cfRule>
    <cfRule type="cellIs" dxfId="2716" priority="994" operator="equal">
      <formula>"EM PROCESSO"</formula>
    </cfRule>
    <cfRule type="cellIs" dxfId="2715" priority="883" operator="equal">
      <formula>"EM PROCESSO"</formula>
    </cfRule>
    <cfRule type="cellIs" dxfId="2714" priority="136" operator="equal">
      <formula>"EM PROCESSO"</formula>
    </cfRule>
  </conditionalFormatting>
  <conditionalFormatting sqref="D9:D13">
    <cfRule type="cellIs" dxfId="2713" priority="3739" operator="equal">
      <formula>"EM PROCESSO"</formula>
    </cfRule>
    <cfRule type="cellIs" dxfId="2712" priority="2026" operator="equal">
      <formula>"EM PROCESSO"</formula>
    </cfRule>
    <cfRule type="cellIs" dxfId="2711" priority="1727" operator="equal">
      <formula>"FINALIZADO"</formula>
    </cfRule>
    <cfRule type="cellIs" dxfId="2710" priority="844" operator="equal">
      <formula>"EM PROCESSO"</formula>
    </cfRule>
  </conditionalFormatting>
  <conditionalFormatting sqref="D9:D177">
    <cfRule type="cellIs" dxfId="2709" priority="3738" operator="equal">
      <formula>"NÃO INICIADO"</formula>
    </cfRule>
  </conditionalFormatting>
  <conditionalFormatting sqref="D9:D177">
    <cfRule type="cellIs" dxfId="2708" priority="3737" operator="equal">
      <formula>"FINALIZADO"</formula>
    </cfRule>
  </conditionalFormatting>
  <conditionalFormatting sqref="D9:D177">
    <cfRule type="cellIs" dxfId="2707" priority="3736" operator="equal">
      <formula>"EM PROCESSO"</formula>
    </cfRule>
  </conditionalFormatting>
  <conditionalFormatting sqref="D9:D30">
    <cfRule type="cellIs" dxfId="2706" priority="3734" operator="equal">
      <formula>"FINALIZADO"</formula>
    </cfRule>
  </conditionalFormatting>
  <conditionalFormatting sqref="D9:D30">
    <cfRule type="cellIs" dxfId="2705" priority="3733" operator="equal">
      <formula>"EM PROCESSO"</formula>
    </cfRule>
  </conditionalFormatting>
  <conditionalFormatting sqref="D9:D158">
    <cfRule type="cellIs" dxfId="2704" priority="3732" operator="equal">
      <formula>"NÃO INICIADO"</formula>
    </cfRule>
  </conditionalFormatting>
  <conditionalFormatting sqref="D9:D158">
    <cfRule type="cellIs" dxfId="2703" priority="3731" operator="equal">
      <formula>"FINALIZADO"</formula>
    </cfRule>
  </conditionalFormatting>
  <conditionalFormatting sqref="D9:D158">
    <cfRule type="cellIs" dxfId="2702" priority="3730" operator="equal">
      <formula>"EM PROCESSO"</formula>
    </cfRule>
  </conditionalFormatting>
  <conditionalFormatting sqref="D9:D17">
    <cfRule type="cellIs" dxfId="2701" priority="3729" operator="equal">
      <formula>"NÃO INICIADO"</formula>
    </cfRule>
    <cfRule type="cellIs" dxfId="2700" priority="3711" operator="equal">
      <formula>"NÃO INICIADO"</formula>
    </cfRule>
    <cfRule type="cellIs" dxfId="2699" priority="3303" operator="equal">
      <formula>"NÃO INICIADO"</formula>
    </cfRule>
  </conditionalFormatting>
  <conditionalFormatting sqref="D9:D17">
    <cfRule type="cellIs" dxfId="2698" priority="3728" operator="equal">
      <formula>"FINALIZADO"</formula>
    </cfRule>
  </conditionalFormatting>
  <conditionalFormatting sqref="D9:D17">
    <cfRule type="cellIs" dxfId="2697" priority="3727" operator="equal">
      <formula>"EM PROCESSO"</formula>
    </cfRule>
    <cfRule type="cellIs" dxfId="2696" priority="488" operator="equal">
      <formula>"FINALIZADO"</formula>
    </cfRule>
  </conditionalFormatting>
  <conditionalFormatting sqref="D9:D97">
    <cfRule type="cellIs" dxfId="2695" priority="3717" operator="equal">
      <formula>"NÃO INICIADO"</formula>
    </cfRule>
  </conditionalFormatting>
  <conditionalFormatting sqref="D9:D97">
    <cfRule type="cellIs" dxfId="2694" priority="3716" operator="equal">
      <formula>"FINALIZADO"</formula>
    </cfRule>
  </conditionalFormatting>
  <conditionalFormatting sqref="D9:D97">
    <cfRule type="cellIs" dxfId="2693" priority="3715" operator="equal">
      <formula>"EM PROCESSO"</formula>
    </cfRule>
  </conditionalFormatting>
  <conditionalFormatting sqref="D9:D20">
    <cfRule type="cellIs" dxfId="2692" priority="3714" operator="equal">
      <formula>"NÃO INICIADO"</formula>
    </cfRule>
    <cfRule type="cellIs" dxfId="2691" priority="2455" operator="equal">
      <formula>"EM PROCESSO"</formula>
    </cfRule>
  </conditionalFormatting>
  <conditionalFormatting sqref="D9:D20">
    <cfRule type="cellIs" dxfId="2690" priority="3713" operator="equal">
      <formula>"FINALIZADO"</formula>
    </cfRule>
    <cfRule type="cellIs" dxfId="2689" priority="257" operator="equal">
      <formula>"FINALIZADO"</formula>
    </cfRule>
  </conditionalFormatting>
  <conditionalFormatting sqref="D9:D20">
    <cfRule type="cellIs" dxfId="2688" priority="3712" operator="equal">
      <formula>"EM PROCESSO"</formula>
    </cfRule>
    <cfRule type="cellIs" dxfId="2687" priority="2456" operator="equal">
      <formula>"FINALIZADO"</formula>
    </cfRule>
  </conditionalFormatting>
  <conditionalFormatting sqref="D9:D17">
    <cfRule type="cellIs" dxfId="2686" priority="3710" operator="equal">
      <formula>"FINALIZADO"</formula>
    </cfRule>
    <cfRule type="cellIs" dxfId="2685" priority="3428" operator="equal">
      <formula>"FINALIZADO"</formula>
    </cfRule>
  </conditionalFormatting>
  <conditionalFormatting sqref="D9:D17">
    <cfRule type="cellIs" dxfId="2684" priority="3709" operator="equal">
      <formula>"EM PROCESSO"</formula>
    </cfRule>
    <cfRule type="cellIs" dxfId="2683" priority="3497" operator="equal">
      <formula>"FINALIZADO"</formula>
    </cfRule>
    <cfRule type="cellIs" dxfId="2682" priority="3302" operator="equal">
      <formula>"FINALIZADO"</formula>
    </cfRule>
  </conditionalFormatting>
  <conditionalFormatting sqref="D9:D189">
    <cfRule type="cellIs" dxfId="2681" priority="3708" operator="equal">
      <formula>"NÃO INICIADO"</formula>
    </cfRule>
    <cfRule type="cellIs" dxfId="2680" priority="3707" operator="equal">
      <formula>"FINALIZADO"</formula>
    </cfRule>
    <cfRule type="cellIs" dxfId="2679" priority="3706" operator="equal">
      <formula>"EM PROCESSO"</formula>
    </cfRule>
  </conditionalFormatting>
  <conditionalFormatting sqref="D9:D131">
    <cfRule type="cellIs" dxfId="2678" priority="3705" operator="equal">
      <formula>"NÃO INICIADO"</formula>
    </cfRule>
  </conditionalFormatting>
  <conditionalFormatting sqref="D9:D131">
    <cfRule type="cellIs" dxfId="2677" priority="3704" operator="equal">
      <formula>"FINALIZADO"</formula>
    </cfRule>
  </conditionalFormatting>
  <conditionalFormatting sqref="D9:D131">
    <cfRule type="cellIs" dxfId="2676" priority="3703" operator="equal">
      <formula>"EM PROCESSO"</formula>
    </cfRule>
  </conditionalFormatting>
  <conditionalFormatting sqref="D9:D100">
    <cfRule type="cellIs" dxfId="2675" priority="3702" operator="equal">
      <formula>"NÃO INICIADO"</formula>
    </cfRule>
  </conditionalFormatting>
  <conditionalFormatting sqref="D9:D100">
    <cfRule type="cellIs" dxfId="2674" priority="3701" operator="equal">
      <formula>"FINALIZADO"</formula>
    </cfRule>
  </conditionalFormatting>
  <conditionalFormatting sqref="D9:D100">
    <cfRule type="cellIs" dxfId="2673" priority="3700" operator="equal">
      <formula>"EM PROCESSO"</formula>
    </cfRule>
  </conditionalFormatting>
  <conditionalFormatting sqref="D9:D79">
    <cfRule type="cellIs" dxfId="2672" priority="3699" operator="equal">
      <formula>"NÃO INICIADO"</formula>
    </cfRule>
  </conditionalFormatting>
  <conditionalFormatting sqref="D9:D79">
    <cfRule type="cellIs" dxfId="2671" priority="3698" operator="equal">
      <formula>"FINALIZADO"</formula>
    </cfRule>
    <cfRule type="cellIs" dxfId="2670" priority="242" operator="equal">
      <formula>"FINALIZADO"</formula>
    </cfRule>
  </conditionalFormatting>
  <conditionalFormatting sqref="D9:D79">
    <cfRule type="cellIs" dxfId="2669" priority="3697" operator="equal">
      <formula>"EM PROCESSO"</formula>
    </cfRule>
  </conditionalFormatting>
  <conditionalFormatting sqref="D9:D15">
    <cfRule type="cellIs" dxfId="2668" priority="3696" operator="equal">
      <formula>"NÃO INICIADO"</formula>
    </cfRule>
    <cfRule type="cellIs" dxfId="2667" priority="1152" operator="equal">
      <formula>"NÃO INICIADO"</formula>
    </cfRule>
  </conditionalFormatting>
  <conditionalFormatting sqref="D9:D15">
    <cfRule type="cellIs" dxfId="2666" priority="3695" operator="equal">
      <formula>"FINALIZADO"</formula>
    </cfRule>
    <cfRule type="cellIs" dxfId="2665" priority="1506" operator="equal">
      <formula>"NÃO INICIADO"</formula>
    </cfRule>
    <cfRule type="cellIs" dxfId="2664" priority="699" operator="equal">
      <formula>"NÃO INICIADO"</formula>
    </cfRule>
  </conditionalFormatting>
  <conditionalFormatting sqref="D9:D15">
    <cfRule type="cellIs" dxfId="2663" priority="3694" operator="equal">
      <formula>"EM PROCESSO"</formula>
    </cfRule>
  </conditionalFormatting>
  <conditionalFormatting sqref="D9:D29">
    <cfRule type="cellIs" dxfId="2662" priority="3690" operator="equal">
      <formula>"NÃO INICIADO"</formula>
    </cfRule>
  </conditionalFormatting>
  <conditionalFormatting sqref="D9:D29">
    <cfRule type="cellIs" dxfId="2661" priority="3689" operator="equal">
      <formula>"FINALIZADO"</formula>
    </cfRule>
  </conditionalFormatting>
  <conditionalFormatting sqref="D9:D29">
    <cfRule type="cellIs" dxfId="2660" priority="3688" operator="equal">
      <formula>"EM PROCESSO"</formula>
    </cfRule>
  </conditionalFormatting>
  <conditionalFormatting sqref="D9:D79">
    <cfRule type="cellIs" dxfId="2659" priority="3675" operator="equal">
      <formula>"NÃO INICIADO"</formula>
    </cfRule>
  </conditionalFormatting>
  <conditionalFormatting sqref="D9:D79">
    <cfRule type="cellIs" dxfId="2658" priority="3674" operator="equal">
      <formula>"FINALIZADO"</formula>
    </cfRule>
  </conditionalFormatting>
  <conditionalFormatting sqref="D9:D79">
    <cfRule type="cellIs" dxfId="2657" priority="3673" operator="equal">
      <formula>"EM PROCESSO"</formula>
    </cfRule>
  </conditionalFormatting>
  <conditionalFormatting sqref="D9:D24">
    <cfRule type="cellIs" dxfId="2656" priority="3672" operator="equal">
      <formula>"NÃO INICIADO"</formula>
    </cfRule>
    <cfRule type="cellIs" dxfId="2655" priority="938" operator="equal">
      <formula>"FINALIZADO"</formula>
    </cfRule>
    <cfRule type="cellIs" dxfId="2654" priority="340" operator="equal">
      <formula>"EM PROCESSO"</formula>
    </cfRule>
  </conditionalFormatting>
  <conditionalFormatting sqref="D9:D24">
    <cfRule type="cellIs" dxfId="2653" priority="3671" operator="equal">
      <formula>"FINALIZADO"</formula>
    </cfRule>
    <cfRule type="cellIs" dxfId="2652" priority="937" operator="equal">
      <formula>"EM PROCESSO"</formula>
    </cfRule>
  </conditionalFormatting>
  <conditionalFormatting sqref="D9:D24">
    <cfRule type="cellIs" dxfId="2651" priority="3670" operator="equal">
      <formula>"EM PROCESSO"</formula>
    </cfRule>
  </conditionalFormatting>
  <conditionalFormatting sqref="D9:D170">
    <cfRule type="cellIs" dxfId="2650" priority="3669" operator="equal">
      <formula>"NÃO INICIADO"</formula>
    </cfRule>
  </conditionalFormatting>
  <conditionalFormatting sqref="D9:D170">
    <cfRule type="cellIs" dxfId="2649" priority="3668" operator="equal">
      <formula>"FINALIZADO"</formula>
    </cfRule>
  </conditionalFormatting>
  <conditionalFormatting sqref="D9:D170">
    <cfRule type="cellIs" dxfId="2648" priority="3667" operator="equal">
      <formula>"EM PROCESSO"</formula>
    </cfRule>
  </conditionalFormatting>
  <conditionalFormatting sqref="D9:D110">
    <cfRule type="cellIs" dxfId="2647" priority="3666" operator="equal">
      <formula>"NÃO INICIADO"</formula>
    </cfRule>
  </conditionalFormatting>
  <conditionalFormatting sqref="D9:D110">
    <cfRule type="cellIs" dxfId="2646" priority="3665" operator="equal">
      <formula>"FINALIZADO"</formula>
    </cfRule>
  </conditionalFormatting>
  <conditionalFormatting sqref="D9:D110">
    <cfRule type="cellIs" dxfId="2645" priority="3664" operator="equal">
      <formula>"EM PROCESSO"</formula>
    </cfRule>
  </conditionalFormatting>
  <conditionalFormatting sqref="D9:D79">
    <cfRule type="cellIs" dxfId="2644" priority="3663" operator="equal">
      <formula>"NÃO INICIADO"</formula>
    </cfRule>
  </conditionalFormatting>
  <conditionalFormatting sqref="D9:D79">
    <cfRule type="cellIs" dxfId="2643" priority="3662" operator="equal">
      <formula>"FINALIZADO"</formula>
    </cfRule>
  </conditionalFormatting>
  <conditionalFormatting sqref="D9:D79">
    <cfRule type="cellIs" dxfId="2642" priority="3661" operator="equal">
      <formula>"EM PROCESSO"</formula>
    </cfRule>
  </conditionalFormatting>
  <conditionalFormatting sqref="D9:D37">
    <cfRule type="cellIs" dxfId="2641" priority="3660" operator="equal">
      <formula>"NÃO INICIADO"</formula>
    </cfRule>
  </conditionalFormatting>
  <conditionalFormatting sqref="D9:D37">
    <cfRule type="cellIs" dxfId="2640" priority="3659" operator="equal">
      <formula>"FINALIZADO"</formula>
    </cfRule>
  </conditionalFormatting>
  <conditionalFormatting sqref="D9:D37">
    <cfRule type="cellIs" dxfId="2639" priority="3658" operator="equal">
      <formula>"EM PROCESSO"</formula>
    </cfRule>
  </conditionalFormatting>
  <conditionalFormatting sqref="D9:D18">
    <cfRule type="cellIs" dxfId="2638" priority="3648" operator="equal">
      <formula>"NÃO INICIADO"</formula>
    </cfRule>
  </conditionalFormatting>
  <conditionalFormatting sqref="D9:D18">
    <cfRule type="cellIs" dxfId="2637" priority="3647" operator="equal">
      <formula>"FINALIZADO"</formula>
    </cfRule>
    <cfRule type="cellIs" dxfId="2636" priority="665" operator="equal">
      <formula>"FINALIZADO"</formula>
    </cfRule>
  </conditionalFormatting>
  <conditionalFormatting sqref="D9:D18">
    <cfRule type="cellIs" dxfId="2635" priority="3646" operator="equal">
      <formula>"EM PROCESSO"</formula>
    </cfRule>
  </conditionalFormatting>
  <conditionalFormatting sqref="D9:D151">
    <cfRule type="cellIs" dxfId="2634" priority="3645" operator="equal">
      <formula>"NÃO INICIADO"</formula>
    </cfRule>
  </conditionalFormatting>
  <conditionalFormatting sqref="D9:D151">
    <cfRule type="cellIs" dxfId="2633" priority="3644" operator="equal">
      <formula>"FINALIZADO"</formula>
    </cfRule>
  </conditionalFormatting>
  <conditionalFormatting sqref="D9:D151">
    <cfRule type="cellIs" dxfId="2632" priority="3643" operator="equal">
      <formula>"EM PROCESSO"</formula>
    </cfRule>
  </conditionalFormatting>
  <conditionalFormatting sqref="D9:D58">
    <cfRule type="cellIs" dxfId="2631" priority="3642" operator="equal">
      <formula>"NÃO INICIADO"</formula>
    </cfRule>
  </conditionalFormatting>
  <conditionalFormatting sqref="D9:D58">
    <cfRule type="cellIs" dxfId="2630" priority="3641" operator="equal">
      <formula>"FINALIZADO"</formula>
    </cfRule>
  </conditionalFormatting>
  <conditionalFormatting sqref="D9:D58">
    <cfRule type="cellIs" dxfId="2629" priority="3640" operator="equal">
      <formula>"EM PROCESSO"</formula>
    </cfRule>
  </conditionalFormatting>
  <conditionalFormatting sqref="D9:D310">
    <cfRule type="cellIs" dxfId="2628" priority="3639" operator="equal">
      <formula>"NÃO INICIADO"</formula>
    </cfRule>
    <cfRule type="cellIs" dxfId="2627" priority="3638" operator="equal">
      <formula>"FINALIZADO"</formula>
    </cfRule>
    <cfRule type="cellIs" dxfId="2626" priority="3637" operator="equal">
      <formula>"EM PROCESSO"</formula>
    </cfRule>
  </conditionalFormatting>
  <conditionalFormatting sqref="D9:D18">
    <cfRule type="cellIs" dxfId="2625" priority="3633" operator="equal">
      <formula>"NÃO INICIADO"</formula>
    </cfRule>
    <cfRule type="cellIs" dxfId="2624" priority="3588" operator="equal">
      <formula>"NÃO INICIADO"</formula>
    </cfRule>
    <cfRule type="cellIs" dxfId="2623" priority="1021" operator="equal">
      <formula>"EM PROCESSO"</formula>
    </cfRule>
  </conditionalFormatting>
  <conditionalFormatting sqref="D9:D18">
    <cfRule type="cellIs" dxfId="2622" priority="3632" operator="equal">
      <formula>"FINALIZADO"</formula>
    </cfRule>
    <cfRule type="cellIs" dxfId="2621" priority="1022" operator="equal">
      <formula>"FINALIZADO"</formula>
    </cfRule>
  </conditionalFormatting>
  <conditionalFormatting sqref="D9:D18">
    <cfRule type="cellIs" dxfId="2620" priority="3631" operator="equal">
      <formula>"EM PROCESSO"</formula>
    </cfRule>
  </conditionalFormatting>
  <conditionalFormatting sqref="D9:D13">
    <cfRule type="cellIs" dxfId="2619" priority="3626" operator="equal">
      <formula>"FINALIZADO"</formula>
    </cfRule>
  </conditionalFormatting>
  <conditionalFormatting sqref="D9:D13">
    <cfRule type="cellIs" dxfId="2618" priority="3625" operator="equal">
      <formula>"EM PROCESSO"</formula>
    </cfRule>
  </conditionalFormatting>
  <conditionalFormatting sqref="D9:D168">
    <cfRule type="cellIs" dxfId="2617" priority="3618" operator="equal">
      <formula>"NÃO INICIADO"</formula>
    </cfRule>
  </conditionalFormatting>
  <conditionalFormatting sqref="D9:D168">
    <cfRule type="cellIs" dxfId="2616" priority="3617" operator="equal">
      <formula>"FINALIZADO"</formula>
    </cfRule>
  </conditionalFormatting>
  <conditionalFormatting sqref="D9:D168">
    <cfRule type="cellIs" dxfId="2615" priority="3616" operator="equal">
      <formula>"EM PROCESSO"</formula>
    </cfRule>
  </conditionalFormatting>
  <conditionalFormatting sqref="D9:D29">
    <cfRule type="cellIs" dxfId="2614" priority="3615" operator="equal">
      <formula>"NÃO INICIADO"</formula>
    </cfRule>
  </conditionalFormatting>
  <conditionalFormatting sqref="D9:D29">
    <cfRule type="cellIs" dxfId="2613" priority="3614" operator="equal">
      <formula>"FINALIZADO"</formula>
    </cfRule>
  </conditionalFormatting>
  <conditionalFormatting sqref="D9:D29">
    <cfRule type="cellIs" dxfId="2612" priority="3613" operator="equal">
      <formula>"EM PROCESSO"</formula>
    </cfRule>
    <cfRule type="cellIs" dxfId="2611" priority="173" operator="equal">
      <formula>"FINALIZADO"</formula>
    </cfRule>
  </conditionalFormatting>
  <conditionalFormatting sqref="D9:D552">
    <cfRule type="cellIs" dxfId="2610" priority="3609" operator="equal">
      <formula>"NÃO INICIADO"</formula>
    </cfRule>
    <cfRule type="cellIs" dxfId="2609" priority="3608" operator="equal">
      <formula>"FINALIZADO"</formula>
    </cfRule>
    <cfRule type="cellIs" dxfId="2608" priority="3607" operator="equal">
      <formula>"EM PROCESSO"</formula>
    </cfRule>
  </conditionalFormatting>
  <conditionalFormatting sqref="D9:D272">
    <cfRule type="cellIs" dxfId="2607" priority="3606" operator="equal">
      <formula>"NÃO INICIADO"</formula>
    </cfRule>
    <cfRule type="cellIs" dxfId="2606" priority="3605" operator="equal">
      <formula>"FINALIZADO"</formula>
    </cfRule>
    <cfRule type="cellIs" dxfId="2605" priority="3604" operator="equal">
      <formula>"EM PROCESSO"</formula>
    </cfRule>
  </conditionalFormatting>
  <conditionalFormatting sqref="D9:D189">
    <cfRule type="cellIs" dxfId="2604" priority="3600" operator="equal">
      <formula>"NÃO INICIADO"</formula>
    </cfRule>
    <cfRule type="cellIs" dxfId="2603" priority="3599" operator="equal">
      <formula>"FINALIZADO"</formula>
    </cfRule>
    <cfRule type="cellIs" dxfId="2602" priority="3598" operator="equal">
      <formula>"EM PROCESSO"</formula>
    </cfRule>
  </conditionalFormatting>
  <conditionalFormatting sqref="D9:D299">
    <cfRule type="cellIs" dxfId="2601" priority="3597" operator="equal">
      <formula>"NÃO INICIADO"</formula>
    </cfRule>
    <cfRule type="cellIs" dxfId="2600" priority="3596" operator="equal">
      <formula>"FINALIZADO"</formula>
    </cfRule>
    <cfRule type="cellIs" dxfId="2599" priority="3595" operator="equal">
      <formula>"EM PROCESSO"</formula>
    </cfRule>
  </conditionalFormatting>
  <conditionalFormatting sqref="D9:D34">
    <cfRule type="cellIs" dxfId="2598" priority="3594" operator="equal">
      <formula>"NÃO INICIADO"</formula>
    </cfRule>
    <cfRule type="cellIs" dxfId="2597" priority="2658" operator="equal">
      <formula>"NÃO INICIADO"</formula>
    </cfRule>
    <cfRule type="cellIs" dxfId="2596" priority="2617" operator="equal">
      <formula>"EM PROCESSO"</formula>
    </cfRule>
  </conditionalFormatting>
  <conditionalFormatting sqref="D9:D34">
    <cfRule type="cellIs" dxfId="2595" priority="3593" operator="equal">
      <formula>"FINALIZADO"</formula>
    </cfRule>
  </conditionalFormatting>
  <conditionalFormatting sqref="D9:D34">
    <cfRule type="cellIs" dxfId="2594" priority="3592" operator="equal">
      <formula>"EM PROCESSO"</formula>
    </cfRule>
  </conditionalFormatting>
  <conditionalFormatting sqref="D9:D874">
    <cfRule type="cellIs" dxfId="2593" priority="3585" operator="equal">
      <formula>"NÃO INICIADO"</formula>
    </cfRule>
    <cfRule type="cellIs" dxfId="2592" priority="3584" operator="equal">
      <formula>"FINALIZADO"</formula>
    </cfRule>
    <cfRule type="cellIs" dxfId="2591" priority="3583" operator="equal">
      <formula>"EM PROCESSO"</formula>
    </cfRule>
  </conditionalFormatting>
  <conditionalFormatting sqref="D9:D47">
    <cfRule type="cellIs" dxfId="2590" priority="3582" operator="equal">
      <formula>"NÃO INICIADO"</formula>
    </cfRule>
  </conditionalFormatting>
  <conditionalFormatting sqref="D9:D47">
    <cfRule type="cellIs" dxfId="2589" priority="3581" operator="equal">
      <formula>"FINALIZADO"</formula>
    </cfRule>
  </conditionalFormatting>
  <conditionalFormatting sqref="D9:D47">
    <cfRule type="cellIs" dxfId="2588" priority="3580" operator="equal">
      <formula>"EM PROCESSO"</formula>
    </cfRule>
  </conditionalFormatting>
  <conditionalFormatting sqref="D9:D265">
    <cfRule type="cellIs" dxfId="2587" priority="3576" operator="equal">
      <formula>"NÃO INICIADO"</formula>
    </cfRule>
    <cfRule type="cellIs" dxfId="2586" priority="3575" operator="equal">
      <formula>"FINALIZADO"</formula>
    </cfRule>
    <cfRule type="cellIs" dxfId="2585" priority="3574" operator="equal">
      <formula>"EM PROCESSO"</formula>
    </cfRule>
  </conditionalFormatting>
  <conditionalFormatting sqref="D9:D144">
    <cfRule type="cellIs" dxfId="2584" priority="3573" operator="equal">
      <formula>"NÃO INICIADO"</formula>
    </cfRule>
  </conditionalFormatting>
  <conditionalFormatting sqref="D9:D144">
    <cfRule type="cellIs" dxfId="2583" priority="3572" operator="equal">
      <formula>"FINALIZADO"</formula>
    </cfRule>
  </conditionalFormatting>
  <conditionalFormatting sqref="D9:D144">
    <cfRule type="cellIs" dxfId="2582" priority="3571" operator="equal">
      <formula>"EM PROCESSO"</formula>
    </cfRule>
  </conditionalFormatting>
  <conditionalFormatting sqref="D9:D105">
    <cfRule type="cellIs" dxfId="2581" priority="3570" operator="equal">
      <formula>"NÃO INICIADO"</formula>
    </cfRule>
  </conditionalFormatting>
  <conditionalFormatting sqref="D9:D105">
    <cfRule type="cellIs" dxfId="2580" priority="3569" operator="equal">
      <formula>"FINALIZADO"</formula>
    </cfRule>
  </conditionalFormatting>
  <conditionalFormatting sqref="D9:D105">
    <cfRule type="cellIs" dxfId="2579" priority="3568" operator="equal">
      <formula>"EM PROCESSO"</formula>
    </cfRule>
  </conditionalFormatting>
  <conditionalFormatting sqref="D9:D213">
    <cfRule type="cellIs" dxfId="2578" priority="3567" operator="equal">
      <formula>"NÃO INICIADO"</formula>
    </cfRule>
    <cfRule type="cellIs" dxfId="2577" priority="3566" operator="equal">
      <formula>"FINALIZADO"</formula>
    </cfRule>
    <cfRule type="cellIs" dxfId="2576" priority="3565" operator="equal">
      <formula>"EM PROCESSO"</formula>
    </cfRule>
  </conditionalFormatting>
  <conditionalFormatting sqref="D9:D16">
    <cfRule type="cellIs" dxfId="2575" priority="3564" operator="equal">
      <formula>"NÃO INICIADO"</formula>
    </cfRule>
    <cfRule type="cellIs" dxfId="2574" priority="2300" operator="equal">
      <formula>"FINALIZADO"</formula>
    </cfRule>
  </conditionalFormatting>
  <conditionalFormatting sqref="D9:D16">
    <cfRule type="cellIs" dxfId="2573" priority="3563" operator="equal">
      <formula>"FINALIZADO"</formula>
    </cfRule>
    <cfRule type="cellIs" dxfId="2572" priority="1371" operator="equal">
      <formula>"NÃO INICIADO"</formula>
    </cfRule>
    <cfRule type="cellIs" dxfId="2571" priority="58" operator="equal">
      <formula>"EM PROCESSO"</formula>
    </cfRule>
  </conditionalFormatting>
  <conditionalFormatting sqref="D9:D16">
    <cfRule type="cellIs" dxfId="2570" priority="3562" operator="equal">
      <formula>"EM PROCESSO"</formula>
    </cfRule>
    <cfRule type="cellIs" dxfId="2569" priority="2517" operator="equal">
      <formula>"NÃO INICIADO"</formula>
    </cfRule>
    <cfRule type="cellIs" dxfId="2568" priority="1661" operator="equal">
      <formula>"FINALIZADO"</formula>
    </cfRule>
    <cfRule type="cellIs" dxfId="2567" priority="59" operator="equal">
      <formula>"FINALIZADO"</formula>
    </cfRule>
  </conditionalFormatting>
  <conditionalFormatting sqref="D9:D114">
    <cfRule type="cellIs" dxfId="2566" priority="3558" operator="equal">
      <formula>"NÃO INICIADO"</formula>
    </cfRule>
  </conditionalFormatting>
  <conditionalFormatting sqref="D9:D114">
    <cfRule type="cellIs" dxfId="2565" priority="3557" operator="equal">
      <formula>"FINALIZADO"</formula>
    </cfRule>
  </conditionalFormatting>
  <conditionalFormatting sqref="D9:D114">
    <cfRule type="cellIs" dxfId="2564" priority="3556" operator="equal">
      <formula>"EM PROCESSO"</formula>
    </cfRule>
    <cfRule type="cellIs" dxfId="2563" priority="2616" operator="equal">
      <formula>"NÃO INICIADO"</formula>
    </cfRule>
  </conditionalFormatting>
  <conditionalFormatting sqref="D9:D282">
    <cfRule type="cellIs" dxfId="2562" priority="3555" operator="equal">
      <formula>"NÃO INICIADO"</formula>
    </cfRule>
    <cfRule type="cellIs" dxfId="2561" priority="3554" operator="equal">
      <formula>"FINALIZADO"</formula>
    </cfRule>
    <cfRule type="cellIs" dxfId="2560" priority="3553" operator="equal">
      <formula>"EM PROCESSO"</formula>
    </cfRule>
  </conditionalFormatting>
  <conditionalFormatting sqref="D9:D104">
    <cfRule type="cellIs" dxfId="2559" priority="3552" operator="equal">
      <formula>"NÃO INICIADO"</formula>
    </cfRule>
  </conditionalFormatting>
  <conditionalFormatting sqref="D9:D104">
    <cfRule type="cellIs" dxfId="2558" priority="3551" operator="equal">
      <formula>"FINALIZADO"</formula>
    </cfRule>
  </conditionalFormatting>
  <conditionalFormatting sqref="D9:D104">
    <cfRule type="cellIs" dxfId="2557" priority="3550" operator="equal">
      <formula>"EM PROCESSO"</formula>
    </cfRule>
  </conditionalFormatting>
  <conditionalFormatting sqref="D9:D147">
    <cfRule type="cellIs" dxfId="2556" priority="3549" operator="equal">
      <formula>"NÃO INICIADO"</formula>
    </cfRule>
  </conditionalFormatting>
  <conditionalFormatting sqref="D9:D147">
    <cfRule type="cellIs" dxfId="2555" priority="3548" operator="equal">
      <formula>"FINALIZADO"</formula>
    </cfRule>
  </conditionalFormatting>
  <conditionalFormatting sqref="D9:D147">
    <cfRule type="cellIs" dxfId="2554" priority="3547" operator="equal">
      <formula>"EM PROCESSO"</formula>
    </cfRule>
  </conditionalFormatting>
  <conditionalFormatting sqref="D9:D126">
    <cfRule type="cellIs" dxfId="2553" priority="3546" operator="equal">
      <formula>"NÃO INICIADO"</formula>
    </cfRule>
  </conditionalFormatting>
  <conditionalFormatting sqref="D9:D126">
    <cfRule type="cellIs" dxfId="2552" priority="3545" operator="equal">
      <formula>"FINALIZADO"</formula>
    </cfRule>
  </conditionalFormatting>
  <conditionalFormatting sqref="D9:D126">
    <cfRule type="cellIs" dxfId="2551" priority="3544" operator="equal">
      <formula>"EM PROCESSO"</formula>
    </cfRule>
  </conditionalFormatting>
  <conditionalFormatting sqref="D9:D17">
    <cfRule type="cellIs" dxfId="2550" priority="3541" operator="equal">
      <formula>"EM PROCESSO"</formula>
    </cfRule>
  </conditionalFormatting>
  <conditionalFormatting sqref="D9:D11">
    <cfRule type="cellIs" dxfId="2549" priority="3540" operator="equal">
      <formula>"NÃO INICIADO"</formula>
    </cfRule>
    <cfRule type="cellIs" dxfId="2548" priority="3536" operator="equal">
      <formula>"FINALIZADO"</formula>
    </cfRule>
    <cfRule type="cellIs" dxfId="2547" priority="3266" operator="equal">
      <formula>"FINALIZADO"</formula>
    </cfRule>
    <cfRule type="cellIs" dxfId="2546" priority="2451" operator="equal">
      <formula>"NÃO INICIADO"</formula>
    </cfRule>
    <cfRule type="cellIs" dxfId="2545" priority="2448" operator="equal">
      <formula>"NÃO INICIADO"</formula>
    </cfRule>
    <cfRule type="cellIs" dxfId="2544" priority="911" operator="equal">
      <formula>"FINALIZADO"</formula>
    </cfRule>
    <cfRule type="cellIs" dxfId="2543" priority="879" operator="equal">
      <formula>"NÃO INICIADO"</formula>
    </cfRule>
  </conditionalFormatting>
  <conditionalFormatting sqref="D9:D11">
    <cfRule type="cellIs" dxfId="2542" priority="3539" operator="equal">
      <formula>"FINALIZADO"</formula>
    </cfRule>
    <cfRule type="cellIs" dxfId="2541" priority="3537" operator="equal">
      <formula>"NÃO INICIADO"</formula>
    </cfRule>
    <cfRule type="cellIs" dxfId="2540" priority="2769" operator="equal">
      <formula>"NÃO INICIADO"</formula>
    </cfRule>
    <cfRule type="cellIs" dxfId="2539" priority="1156" operator="equal">
      <formula>"EM PROCESSO"</formula>
    </cfRule>
    <cfRule type="cellIs" dxfId="2538" priority="1153" operator="equal">
      <formula>"EM PROCESSO"</formula>
    </cfRule>
    <cfRule type="cellIs" dxfId="2537" priority="1030" operator="equal">
      <formula>"EM PROCESSO"</formula>
    </cfRule>
    <cfRule type="cellIs" dxfId="2536" priority="56" operator="equal">
      <formula>"FINALIZADO"</formula>
    </cfRule>
  </conditionalFormatting>
  <conditionalFormatting sqref="D9:D11">
    <cfRule type="cellIs" dxfId="2535" priority="3538" operator="equal">
      <formula>"EM PROCESSO"</formula>
    </cfRule>
    <cfRule type="cellIs" dxfId="2534" priority="3328" operator="equal">
      <formula>"EM PROCESSO"</formula>
    </cfRule>
    <cfRule type="cellIs" dxfId="2533" priority="2308" operator="equal">
      <formula>"EM PROCESSO"</formula>
    </cfRule>
    <cfRule type="cellIs" dxfId="2532" priority="1630" operator="equal">
      <formula>"EM PROCESSO"</formula>
    </cfRule>
    <cfRule type="cellIs" dxfId="2531" priority="1624" operator="equal">
      <formula>"EM PROCESSO"</formula>
    </cfRule>
    <cfRule type="cellIs" dxfId="2530" priority="1518" operator="equal">
      <formula>"NÃO INICIADO"</formula>
    </cfRule>
    <cfRule type="cellIs" dxfId="2529" priority="1272" operator="equal">
      <formula>"NÃO INICIADO"</formula>
    </cfRule>
    <cfRule type="cellIs" dxfId="2528" priority="509" operator="equal">
      <formula>"FINALIZADO"</formula>
    </cfRule>
  </conditionalFormatting>
  <conditionalFormatting sqref="D9:D11">
    <cfRule type="cellIs" dxfId="2527" priority="3535" operator="equal">
      <formula>"EM PROCESSO"</formula>
    </cfRule>
    <cfRule type="cellIs" dxfId="2526" priority="2370" operator="equal">
      <formula>"NÃO INICIADO"</formula>
    </cfRule>
    <cfRule type="cellIs" dxfId="2525" priority="2361" operator="equal">
      <formula>"NÃO INICIADO"</formula>
    </cfRule>
    <cfRule type="cellIs" dxfId="2524" priority="2309" operator="equal">
      <formula>"FINALIZADO"</formula>
    </cfRule>
    <cfRule type="cellIs" dxfId="2523" priority="1975" operator="equal">
      <formula>"EM PROCESSO"</formula>
    </cfRule>
    <cfRule type="cellIs" dxfId="2522" priority="1631" operator="equal">
      <formula>"FINALIZADO"</formula>
    </cfRule>
    <cfRule type="cellIs" dxfId="2521" priority="1625" operator="equal">
      <formula>"FINALIZADO"</formula>
    </cfRule>
    <cfRule type="cellIs" dxfId="2520" priority="965" operator="equal">
      <formula>"FINALIZADO"</formula>
    </cfRule>
    <cfRule type="cellIs" dxfId="2519" priority="508" operator="equal">
      <formula>"EM PROCESSO"</formula>
    </cfRule>
    <cfRule type="cellIs" dxfId="2518" priority="309" operator="equal">
      <formula>"NÃO INICIADO"</formula>
    </cfRule>
    <cfRule type="cellIs" dxfId="2517" priority="55" operator="equal">
      <formula>"EM PROCESSO"</formula>
    </cfRule>
  </conditionalFormatting>
  <conditionalFormatting sqref="D9:D45">
    <cfRule type="cellIs" dxfId="2516" priority="3534" operator="equal">
      <formula>"NÃO INICIADO"</formula>
    </cfRule>
  </conditionalFormatting>
  <conditionalFormatting sqref="D9:D45">
    <cfRule type="cellIs" dxfId="2515" priority="3533" operator="equal">
      <formula>"FINALIZADO"</formula>
    </cfRule>
  </conditionalFormatting>
  <conditionalFormatting sqref="D9:D45">
    <cfRule type="cellIs" dxfId="2514" priority="3532" operator="equal">
      <formula>"EM PROCESSO"</formula>
    </cfRule>
  </conditionalFormatting>
  <conditionalFormatting sqref="D9:D18">
    <cfRule type="cellIs" dxfId="2513" priority="3531" operator="equal">
      <formula>"NÃO INICIADO"</formula>
    </cfRule>
    <cfRule type="cellIs" dxfId="2512" priority="2346" operator="equal">
      <formula>"NÃO INICIADO"</formula>
    </cfRule>
    <cfRule type="cellIs" dxfId="2511" priority="927" operator="equal">
      <formula>"NÃO INICIADO"</formula>
    </cfRule>
  </conditionalFormatting>
  <conditionalFormatting sqref="D9:D18">
    <cfRule type="cellIs" dxfId="2510" priority="3530" operator="equal">
      <formula>"FINALIZADO"</formula>
    </cfRule>
    <cfRule type="cellIs" dxfId="2509" priority="2416" operator="equal">
      <formula>"EM PROCESSO"</formula>
    </cfRule>
    <cfRule type="cellIs" dxfId="2508" priority="777" operator="equal">
      <formula>"NÃO INICIADO"</formula>
    </cfRule>
  </conditionalFormatting>
  <conditionalFormatting sqref="D9:D18">
    <cfRule type="cellIs" dxfId="2507" priority="3529" operator="equal">
      <formula>"EM PROCESSO"</formula>
    </cfRule>
    <cfRule type="cellIs" dxfId="2506" priority="1559" operator="equal">
      <formula>"FINALIZADO"</formula>
    </cfRule>
  </conditionalFormatting>
  <conditionalFormatting sqref="D9:D11">
    <cfRule type="cellIs" dxfId="2505" priority="3525" operator="equal">
      <formula>"NÃO INICIADO"</formula>
    </cfRule>
    <cfRule type="cellIs" dxfId="2504" priority="3518" operator="equal">
      <formula>"FINALIZADO"</formula>
    </cfRule>
    <cfRule type="cellIs" dxfId="2503" priority="3413" operator="equal">
      <formula>"FINALIZADO"</formula>
    </cfRule>
    <cfRule type="cellIs" dxfId="2502" priority="3223" operator="equal">
      <formula>"EM PROCESSO"</formula>
    </cfRule>
    <cfRule type="cellIs" dxfId="2501" priority="2936" operator="equal">
      <formula>"FINALIZADO"</formula>
    </cfRule>
    <cfRule type="cellIs" dxfId="2500" priority="2415" operator="equal">
      <formula>"NÃO INICIADO"</formula>
    </cfRule>
    <cfRule type="cellIs" dxfId="2499" priority="2403" operator="equal">
      <formula>"NÃO INICIADO"</formula>
    </cfRule>
    <cfRule type="cellIs" dxfId="2498" priority="2368" operator="equal">
      <formula>"EM PROCESSO"</formula>
    </cfRule>
    <cfRule type="cellIs" dxfId="2497" priority="2359" operator="equal">
      <formula>"EM PROCESSO"</formula>
    </cfRule>
    <cfRule type="cellIs" dxfId="2496" priority="2310" operator="equal">
      <formula>"NÃO INICIADO"</formula>
    </cfRule>
    <cfRule type="cellIs" dxfId="2495" priority="912" operator="equal">
      <formula>"NÃO INICIADO"</formula>
    </cfRule>
    <cfRule type="cellIs" dxfId="2494" priority="877" operator="equal">
      <formula>"EM PROCESSO"</formula>
    </cfRule>
    <cfRule type="cellIs" dxfId="2493" priority="272" operator="equal">
      <formula>"FINALIZADO"</formula>
    </cfRule>
    <cfRule type="cellIs" dxfId="2492" priority="269" operator="equal">
      <formula>"FINALIZADO"</formula>
    </cfRule>
  </conditionalFormatting>
  <conditionalFormatting sqref="D9:D11">
    <cfRule type="cellIs" dxfId="2491" priority="3524" operator="equal">
      <formula>"FINALIZADO"</formula>
    </cfRule>
    <cfRule type="cellIs" dxfId="2490" priority="3519" operator="equal">
      <formula>"NÃO INICIADO"</formula>
    </cfRule>
    <cfRule type="cellIs" dxfId="2489" priority="273" operator="equal">
      <formula>"NÃO INICIADO"</formula>
    </cfRule>
    <cfRule type="cellIs" dxfId="2488" priority="270" operator="equal">
      <formula>"NÃO INICIADO"</formula>
    </cfRule>
    <cfRule type="cellIs" dxfId="2487" priority="148" operator="equal">
      <formula>"EM PROCESSO"</formula>
    </cfRule>
  </conditionalFormatting>
  <conditionalFormatting sqref="D9:D11">
    <cfRule type="cellIs" dxfId="2486" priority="3523" operator="equal">
      <formula>"EM PROCESSO"</formula>
    </cfRule>
    <cfRule type="cellIs" dxfId="2485" priority="1270" operator="equal">
      <formula>"EM PROCESSO"</formula>
    </cfRule>
  </conditionalFormatting>
  <conditionalFormatting sqref="D9:D11">
    <cfRule type="cellIs" dxfId="2484" priority="3517" operator="equal">
      <formula>"EM PROCESSO"</formula>
    </cfRule>
    <cfRule type="cellIs" dxfId="2483" priority="1590" operator="equal">
      <formula>"NÃO INICIADO"</formula>
    </cfRule>
    <cfRule type="cellIs" dxfId="2482" priority="1587" operator="equal">
      <formula>"NÃO INICIADO"</formula>
    </cfRule>
    <cfRule type="cellIs" dxfId="2481" priority="1210" operator="equal">
      <formula>"EM PROCESSO"</formula>
    </cfRule>
    <cfRule type="cellIs" dxfId="2480" priority="601" operator="equal">
      <formula>"EM PROCESSO"</formula>
    </cfRule>
  </conditionalFormatting>
  <conditionalFormatting sqref="D9:D22">
    <cfRule type="cellIs" dxfId="2479" priority="3515" operator="equal">
      <formula>"FINALIZADO"</formula>
    </cfRule>
    <cfRule type="cellIs" dxfId="2478" priority="1797" operator="equal">
      <formula>"NÃO INICIADO"</formula>
    </cfRule>
  </conditionalFormatting>
  <conditionalFormatting sqref="D9:D22">
    <cfRule type="cellIs" dxfId="2477" priority="3514" operator="equal">
      <formula>"EM PROCESSO"</formula>
    </cfRule>
    <cfRule type="cellIs" dxfId="2476" priority="3096" operator="equal">
      <formula>"NÃO INICIADO"</formula>
    </cfRule>
    <cfRule type="cellIs" dxfId="2475" priority="1404" operator="equal">
      <formula>"NÃO INICIADO"</formula>
    </cfRule>
  </conditionalFormatting>
  <conditionalFormatting sqref="D9:D386">
    <cfRule type="cellIs" dxfId="2474" priority="3513" operator="equal">
      <formula>"NÃO INICIADO"</formula>
    </cfRule>
    <cfRule type="cellIs" dxfId="2473" priority="3512" operator="equal">
      <formula>"FINALIZADO"</formula>
    </cfRule>
    <cfRule type="cellIs" dxfId="2472" priority="3511" operator="equal">
      <formula>"EM PROCESSO"</formula>
    </cfRule>
  </conditionalFormatting>
  <conditionalFormatting sqref="D9:D154">
    <cfRule type="cellIs" dxfId="2471" priority="3510" operator="equal">
      <formula>"NÃO INICIADO"</formula>
    </cfRule>
  </conditionalFormatting>
  <conditionalFormatting sqref="D9:D154">
    <cfRule type="cellIs" dxfId="2470" priority="3509" operator="equal">
      <formula>"FINALIZADO"</formula>
    </cfRule>
  </conditionalFormatting>
  <conditionalFormatting sqref="D9:D154">
    <cfRule type="cellIs" dxfId="2469" priority="3508" operator="equal">
      <formula>"EM PROCESSO"</formula>
    </cfRule>
  </conditionalFormatting>
  <conditionalFormatting sqref="D9:D68">
    <cfRule type="cellIs" dxfId="2468" priority="3507" operator="equal">
      <formula>"NÃO INICIADO"</formula>
    </cfRule>
    <cfRule type="cellIs" dxfId="2467" priority="3089" operator="equal">
      <formula>"FINALIZADO"</formula>
    </cfRule>
  </conditionalFormatting>
  <conditionalFormatting sqref="D9:D68">
    <cfRule type="cellIs" dxfId="2466" priority="3506" operator="equal">
      <formula>"FINALIZADO"</formula>
    </cfRule>
    <cfRule type="cellIs" dxfId="2465" priority="3090" operator="equal">
      <formula>"NÃO INICIADO"</formula>
    </cfRule>
  </conditionalFormatting>
  <conditionalFormatting sqref="D9:D68">
    <cfRule type="cellIs" dxfId="2464" priority="3505" operator="equal">
      <formula>"EM PROCESSO"</formula>
    </cfRule>
  </conditionalFormatting>
  <conditionalFormatting sqref="D9:D151">
    <cfRule type="cellIs" dxfId="2463" priority="3504" operator="equal">
      <formula>"NÃO INICIADO"</formula>
    </cfRule>
  </conditionalFormatting>
  <conditionalFormatting sqref="D9:D151">
    <cfRule type="cellIs" dxfId="2462" priority="3503" operator="equal">
      <formula>"FINALIZADO"</formula>
    </cfRule>
  </conditionalFormatting>
  <conditionalFormatting sqref="D9:D151">
    <cfRule type="cellIs" dxfId="2461" priority="3502" operator="equal">
      <formula>"EM PROCESSO"</formula>
    </cfRule>
  </conditionalFormatting>
  <conditionalFormatting sqref="D9:D25">
    <cfRule type="cellIs" dxfId="2460" priority="3501" operator="equal">
      <formula>"NÃO INICIADO"</formula>
    </cfRule>
  </conditionalFormatting>
  <conditionalFormatting sqref="D9:D25">
    <cfRule type="cellIs" dxfId="2459" priority="3500" operator="equal">
      <formula>"FINALIZADO"</formula>
    </cfRule>
  </conditionalFormatting>
  <conditionalFormatting sqref="D9:D25">
    <cfRule type="cellIs" dxfId="2458" priority="3499" operator="equal">
      <formula>"EM PROCESSO"</formula>
    </cfRule>
  </conditionalFormatting>
  <conditionalFormatting sqref="D9:D17">
    <cfRule type="cellIs" dxfId="2457" priority="3496" operator="equal">
      <formula>"EM PROCESSO"</formula>
    </cfRule>
    <cfRule type="cellIs" dxfId="2456" priority="3427" operator="equal">
      <formula>"EM PROCESSO"</formula>
    </cfRule>
    <cfRule type="cellIs" dxfId="2455" priority="3087" operator="equal">
      <formula>"NÃO INICIADO"</formula>
    </cfRule>
    <cfRule type="cellIs" dxfId="2454" priority="77" operator="equal">
      <formula>"FINALIZADO"</formula>
    </cfRule>
  </conditionalFormatting>
  <conditionalFormatting sqref="D9:D12">
    <cfRule type="cellIs" dxfId="2453" priority="3492" operator="equal">
      <formula>"NÃO INICIADO"</formula>
    </cfRule>
    <cfRule type="cellIs" dxfId="2452" priority="2591" operator="equal">
      <formula>"FINALIZADO"</formula>
    </cfRule>
    <cfRule type="cellIs" dxfId="2451" priority="540" operator="equal">
      <formula>"NÃO INICIADO"</formula>
    </cfRule>
  </conditionalFormatting>
  <conditionalFormatting sqref="D9:D12">
    <cfRule type="cellIs" dxfId="2450" priority="3491" operator="equal">
      <formula>"FINALIZADO"</formula>
    </cfRule>
    <cfRule type="cellIs" dxfId="2449" priority="3292" operator="equal">
      <formula>"EM PROCESSO"</formula>
    </cfRule>
    <cfRule type="cellIs" dxfId="2448" priority="3139" operator="equal">
      <formula>"EM PROCESSO"</formula>
    </cfRule>
  </conditionalFormatting>
  <conditionalFormatting sqref="D9:D12">
    <cfRule type="cellIs" dxfId="2447" priority="3490" operator="equal">
      <formula>"EM PROCESSO"</formula>
    </cfRule>
    <cfRule type="cellIs" dxfId="2446" priority="1689" operator="equal">
      <formula>"NÃO INICIADO"</formula>
    </cfRule>
  </conditionalFormatting>
  <conditionalFormatting sqref="D9:D19">
    <cfRule type="cellIs" dxfId="2445" priority="3489" operator="equal">
      <formula>"NÃO INICIADO"</formula>
    </cfRule>
  </conditionalFormatting>
  <conditionalFormatting sqref="D9:D19">
    <cfRule type="cellIs" dxfId="2444" priority="3488" operator="equal">
      <formula>"FINALIZADO"</formula>
    </cfRule>
  </conditionalFormatting>
  <conditionalFormatting sqref="D9:D19">
    <cfRule type="cellIs" dxfId="2443" priority="3487" operator="equal">
      <formula>"EM PROCESSO"</formula>
    </cfRule>
  </conditionalFormatting>
  <conditionalFormatting sqref="D9:D40">
    <cfRule type="cellIs" dxfId="2442" priority="3486" operator="equal">
      <formula>"NÃO INICIADO"</formula>
    </cfRule>
    <cfRule type="cellIs" dxfId="2441" priority="1498" operator="equal">
      <formula>"EM PROCESSO"</formula>
    </cfRule>
    <cfRule type="cellIs" dxfId="2440" priority="369" operator="equal">
      <formula>"NÃO INICIADO"</formula>
    </cfRule>
  </conditionalFormatting>
  <conditionalFormatting sqref="D9:D40">
    <cfRule type="cellIs" dxfId="2439" priority="3485" operator="equal">
      <formula>"FINALIZADO"</formula>
    </cfRule>
  </conditionalFormatting>
  <conditionalFormatting sqref="D9:D40">
    <cfRule type="cellIs" dxfId="2438" priority="3484" operator="equal">
      <formula>"EM PROCESSO"</formula>
    </cfRule>
    <cfRule type="cellIs" dxfId="2437" priority="367" operator="equal">
      <formula>"EM PROCESSO"</formula>
    </cfRule>
  </conditionalFormatting>
  <conditionalFormatting sqref="D9:D185">
    <cfRule type="cellIs" dxfId="2436" priority="3483" operator="equal">
      <formula>"NÃO INICIADO"</formula>
    </cfRule>
  </conditionalFormatting>
  <conditionalFormatting sqref="D9:D185">
    <cfRule type="cellIs" dxfId="2435" priority="3482" operator="equal">
      <formula>"FINALIZADO"</formula>
    </cfRule>
  </conditionalFormatting>
  <conditionalFormatting sqref="D9:D185">
    <cfRule type="cellIs" dxfId="2434" priority="3481" operator="equal">
      <formula>"EM PROCESSO"</formula>
    </cfRule>
  </conditionalFormatting>
  <conditionalFormatting sqref="D9:D12">
    <cfRule type="cellIs" dxfId="2433" priority="3480" operator="equal">
      <formula>"NÃO INICIADO"</formula>
    </cfRule>
    <cfRule type="cellIs" dxfId="2432" priority="2128" operator="equal">
      <formula>"EM PROCESSO"</formula>
    </cfRule>
    <cfRule type="cellIs" dxfId="2431" priority="1479" operator="equal">
      <formula>"NÃO INICIADO"</formula>
    </cfRule>
    <cfRule type="cellIs" dxfId="2430" priority="1473" operator="equal">
      <formula>"NÃO INICIADO"</formula>
    </cfRule>
    <cfRule type="cellIs" dxfId="2429" priority="202" operator="equal">
      <formula>"EM PROCESSO"</formula>
    </cfRule>
  </conditionalFormatting>
  <conditionalFormatting sqref="D9:D12">
    <cfRule type="cellIs" dxfId="2428" priority="3479" operator="equal">
      <formula>"FINALIZADO"</formula>
    </cfRule>
    <cfRule type="cellIs" dxfId="2427" priority="3293" operator="equal">
      <formula>"FINALIZADO"</formula>
    </cfRule>
    <cfRule type="cellIs" dxfId="2426" priority="2772" operator="equal">
      <formula>"NÃO INICIADO"</formula>
    </cfRule>
    <cfRule type="cellIs" dxfId="2425" priority="2509" operator="equal">
      <formula>"EM PROCESSO"</formula>
    </cfRule>
    <cfRule type="cellIs" dxfId="2424" priority="2278" operator="equal">
      <formula>"EM PROCESSO"</formula>
    </cfRule>
    <cfRule type="cellIs" dxfId="2423" priority="2129" operator="equal">
      <formula>"FINALIZADO"</formula>
    </cfRule>
    <cfRule type="cellIs" dxfId="2422" priority="1870" operator="equal">
      <formula>"EM PROCESSO"</formula>
    </cfRule>
    <cfRule type="cellIs" dxfId="2421" priority="1769" operator="equal">
      <formula>"FINALIZADO"</formula>
    </cfRule>
  </conditionalFormatting>
  <conditionalFormatting sqref="D9:D12">
    <cfRule type="cellIs" dxfId="2420" priority="3478" operator="equal">
      <formula>"EM PROCESSO"</formula>
    </cfRule>
    <cfRule type="cellIs" dxfId="2419" priority="3459" operator="equal">
      <formula>"NÃO INICIADO"</formula>
    </cfRule>
    <cfRule type="cellIs" dxfId="2418" priority="3364" operator="equal">
      <formula>"EM PROCESSO"</formula>
    </cfRule>
    <cfRule type="cellIs" dxfId="2417" priority="2510" operator="equal">
      <formula>"FINALIZADO"</formula>
    </cfRule>
    <cfRule type="cellIs" dxfId="2416" priority="2312" operator="equal">
      <formula>"FINALIZADO"</formula>
    </cfRule>
    <cfRule type="cellIs" dxfId="2415" priority="2009" operator="equal">
      <formula>"FINALIZADO"</formula>
    </cfRule>
    <cfRule type="cellIs" dxfId="2414" priority="1871" operator="equal">
      <formula>"FINALIZADO"</formula>
    </cfRule>
    <cfRule type="cellIs" dxfId="2413" priority="1768" operator="equal">
      <formula>"EM PROCESSO"</formula>
    </cfRule>
    <cfRule type="cellIs" dxfId="2412" priority="1656" operator="equal">
      <formula>"NÃO INICIADO"</formula>
    </cfRule>
    <cfRule type="cellIs" dxfId="2411" priority="225" operator="equal">
      <formula>"NÃO INICIADO"</formula>
    </cfRule>
  </conditionalFormatting>
  <conditionalFormatting sqref="D9:D406">
    <cfRule type="cellIs" dxfId="2410" priority="3477" operator="equal">
      <formula>"NÃO INICIADO"</formula>
    </cfRule>
    <cfRule type="cellIs" dxfId="2409" priority="3476" operator="equal">
      <formula>"FINALIZADO"</formula>
    </cfRule>
    <cfRule type="cellIs" dxfId="2408" priority="3475" operator="equal">
      <formula>"EM PROCESSO"</formula>
    </cfRule>
  </conditionalFormatting>
  <conditionalFormatting sqref="D9:D224">
    <cfRule type="cellIs" dxfId="2407" priority="3474" operator="equal">
      <formula>"NÃO INICIADO"</formula>
    </cfRule>
  </conditionalFormatting>
  <conditionalFormatting sqref="D9:D224">
    <cfRule type="cellIs" dxfId="2406" priority="3473" operator="equal">
      <formula>"FINALIZADO"</formula>
    </cfRule>
  </conditionalFormatting>
  <conditionalFormatting sqref="D9:D224">
    <cfRule type="cellIs" dxfId="2405" priority="3472" operator="equal">
      <formula>"EM PROCESSO"</formula>
    </cfRule>
  </conditionalFormatting>
  <conditionalFormatting sqref="D9:D150">
    <cfRule type="cellIs" dxfId="2404" priority="3471" operator="equal">
      <formula>"NÃO INICIADO"</formula>
    </cfRule>
  </conditionalFormatting>
  <conditionalFormatting sqref="D9:D150">
    <cfRule type="cellIs" dxfId="2403" priority="3470" operator="equal">
      <formula>"FINALIZADO"</formula>
    </cfRule>
  </conditionalFormatting>
  <conditionalFormatting sqref="D9:D150">
    <cfRule type="cellIs" dxfId="2402" priority="3469" operator="equal">
      <formula>"EM PROCESSO"</formula>
    </cfRule>
    <cfRule type="cellIs" dxfId="2401" priority="3026" operator="equal">
      <formula>"FINALIZADO"</formula>
    </cfRule>
  </conditionalFormatting>
  <conditionalFormatting sqref="D9:D109">
    <cfRule type="cellIs" dxfId="2400" priority="3468" operator="equal">
      <formula>"NÃO INICIADO"</formula>
    </cfRule>
  </conditionalFormatting>
  <conditionalFormatting sqref="D9:D109">
    <cfRule type="cellIs" dxfId="2399" priority="3467" operator="equal">
      <formula>"FINALIZADO"</formula>
    </cfRule>
  </conditionalFormatting>
  <conditionalFormatting sqref="D9:D109">
    <cfRule type="cellIs" dxfId="2398" priority="3466" operator="equal">
      <formula>"EM PROCESSO"</formula>
    </cfRule>
  </conditionalFormatting>
  <conditionalFormatting sqref="D9:D36">
    <cfRule type="cellIs" dxfId="2397" priority="3465" operator="equal">
      <formula>"NÃO INICIADO"</formula>
    </cfRule>
  </conditionalFormatting>
  <conditionalFormatting sqref="D9:D36">
    <cfRule type="cellIs" dxfId="2396" priority="3464" operator="equal">
      <formula>"FINALIZADO"</formula>
    </cfRule>
  </conditionalFormatting>
  <conditionalFormatting sqref="D9:D36">
    <cfRule type="cellIs" dxfId="2395" priority="3463" operator="equal">
      <formula>"EM PROCESSO"</formula>
    </cfRule>
  </conditionalFormatting>
  <conditionalFormatting sqref="D9:D122">
    <cfRule type="cellIs" dxfId="2394" priority="3453" operator="equal">
      <formula>"NÃO INICIADO"</formula>
    </cfRule>
    <cfRule type="cellIs" dxfId="2393" priority="3449" operator="equal">
      <formula>"FINALIZADO"</formula>
    </cfRule>
  </conditionalFormatting>
  <conditionalFormatting sqref="D9:D122">
    <cfRule type="cellIs" dxfId="2392" priority="3452" operator="equal">
      <formula>"FINALIZADO"</formula>
    </cfRule>
    <cfRule type="cellIs" dxfId="2391" priority="3450" operator="equal">
      <formula>"NÃO INICIADO"</formula>
    </cfRule>
  </conditionalFormatting>
  <conditionalFormatting sqref="D9:D122">
    <cfRule type="cellIs" dxfId="2390" priority="3451" operator="equal">
      <formula>"EM PROCESSO"</formula>
    </cfRule>
  </conditionalFormatting>
  <conditionalFormatting sqref="D9:D122">
    <cfRule type="cellIs" dxfId="2389" priority="3448" operator="equal">
      <formula>"EM PROCESSO"</formula>
    </cfRule>
  </conditionalFormatting>
  <conditionalFormatting sqref="D9:D128">
    <cfRule type="cellIs" dxfId="2388" priority="3447" operator="equal">
      <formula>"NÃO INICIADO"</formula>
    </cfRule>
  </conditionalFormatting>
  <conditionalFormatting sqref="D9:D128">
    <cfRule type="cellIs" dxfId="2387" priority="3446" operator="equal">
      <formula>"FINALIZADO"</formula>
    </cfRule>
  </conditionalFormatting>
  <conditionalFormatting sqref="D9:D128">
    <cfRule type="cellIs" dxfId="2386" priority="3445" operator="equal">
      <formula>"EM PROCESSO"</formula>
    </cfRule>
  </conditionalFormatting>
  <conditionalFormatting sqref="D9:D85">
    <cfRule type="cellIs" dxfId="2385" priority="3441" operator="equal">
      <formula>"NÃO INICIADO"</formula>
    </cfRule>
  </conditionalFormatting>
  <conditionalFormatting sqref="D9:D85">
    <cfRule type="cellIs" dxfId="2384" priority="3440" operator="equal">
      <formula>"FINALIZADO"</formula>
    </cfRule>
  </conditionalFormatting>
  <conditionalFormatting sqref="D9:D85">
    <cfRule type="cellIs" dxfId="2383" priority="3439" operator="equal">
      <formula>"EM PROCESSO"</formula>
    </cfRule>
    <cfRule type="cellIs" dxfId="2382" priority="464" operator="equal">
      <formula>"FINALIZADO"</formula>
    </cfRule>
  </conditionalFormatting>
  <conditionalFormatting sqref="D9:D67">
    <cfRule type="cellIs" dxfId="2381" priority="3438" operator="equal">
      <formula>"NÃO INICIADO"</formula>
    </cfRule>
  </conditionalFormatting>
  <conditionalFormatting sqref="D9:D67">
    <cfRule type="cellIs" dxfId="2380" priority="3437" operator="equal">
      <formula>"FINALIZADO"</formula>
    </cfRule>
  </conditionalFormatting>
  <conditionalFormatting sqref="D9:D67">
    <cfRule type="cellIs" dxfId="2379" priority="3436" operator="equal">
      <formula>"EM PROCESSO"</formula>
    </cfRule>
  </conditionalFormatting>
  <conditionalFormatting sqref="D9:D984">
    <cfRule type="cellIs" dxfId="2378" priority="3435" operator="equal">
      <formula>"NÃO INICIADO"</formula>
    </cfRule>
    <cfRule type="cellIs" dxfId="2377" priority="3434" operator="equal">
      <formula>"FINALIZADO"</formula>
    </cfRule>
    <cfRule type="cellIs" dxfId="2376" priority="3433" operator="equal">
      <formula>"EM PROCESSO"</formula>
    </cfRule>
  </conditionalFormatting>
  <conditionalFormatting sqref="D9:D548">
    <cfRule type="cellIs" dxfId="2375" priority="3432" operator="equal">
      <formula>"NÃO INICIADO"</formula>
    </cfRule>
    <cfRule type="cellIs" dxfId="2374" priority="3431" operator="equal">
      <formula>"FINALIZADO"</formula>
    </cfRule>
    <cfRule type="cellIs" dxfId="2373" priority="3430" operator="equal">
      <formula>"EM PROCESSO"</formula>
    </cfRule>
  </conditionalFormatting>
  <conditionalFormatting sqref="D9:D356">
    <cfRule type="cellIs" dxfId="2372" priority="3426" operator="equal">
      <formula>"NÃO INICIADO"</formula>
    </cfRule>
    <cfRule type="cellIs" dxfId="2371" priority="3425" operator="equal">
      <formula>"FINALIZADO"</formula>
    </cfRule>
    <cfRule type="cellIs" dxfId="2370" priority="3424" operator="equal">
      <formula>"EM PROCESSO"</formula>
    </cfRule>
  </conditionalFormatting>
  <conditionalFormatting sqref="D9:D201">
    <cfRule type="cellIs" dxfId="2369" priority="3423" operator="equal">
      <formula>"NÃO INICIADO"</formula>
    </cfRule>
  </conditionalFormatting>
  <conditionalFormatting sqref="D9:D201">
    <cfRule type="cellIs" dxfId="2368" priority="3422" operator="equal">
      <formula>"FINALIZADO"</formula>
    </cfRule>
  </conditionalFormatting>
  <conditionalFormatting sqref="D9:D201">
    <cfRule type="cellIs" dxfId="2367" priority="3421" operator="equal">
      <formula>"EM PROCESSO"</formula>
    </cfRule>
  </conditionalFormatting>
  <conditionalFormatting sqref="D9:D21">
    <cfRule type="cellIs" dxfId="2366" priority="3420" operator="equal">
      <formula>"NÃO INICIADO"</formula>
    </cfRule>
    <cfRule type="cellIs" dxfId="2365" priority="2205" operator="equal">
      <formula>"NÃO INICIADO"</formula>
    </cfRule>
  </conditionalFormatting>
  <conditionalFormatting sqref="D9:D21">
    <cfRule type="cellIs" dxfId="2364" priority="3419" operator="equal">
      <formula>"FINALIZADO"</formula>
    </cfRule>
  </conditionalFormatting>
  <conditionalFormatting sqref="D9:D21">
    <cfRule type="cellIs" dxfId="2363" priority="3418" operator="equal">
      <formula>"EM PROCESSO"</formula>
    </cfRule>
  </conditionalFormatting>
  <conditionalFormatting sqref="D9:D369">
    <cfRule type="cellIs" dxfId="2362" priority="3405" operator="equal">
      <formula>"NÃO INICIADO"</formula>
    </cfRule>
    <cfRule type="cellIs" dxfId="2361" priority="3404" operator="equal">
      <formula>"FINALIZADO"</formula>
    </cfRule>
    <cfRule type="cellIs" dxfId="2360" priority="3403" operator="equal">
      <formula>"EM PROCESSO"</formula>
    </cfRule>
  </conditionalFormatting>
  <conditionalFormatting sqref="D9:D18">
    <cfRule type="cellIs" dxfId="2359" priority="3402" operator="equal">
      <formula>"NÃO INICIADO"</formula>
    </cfRule>
  </conditionalFormatting>
  <conditionalFormatting sqref="D9:D18">
    <cfRule type="cellIs" dxfId="2358" priority="3401" operator="equal">
      <formula>"FINALIZADO"</formula>
    </cfRule>
  </conditionalFormatting>
  <conditionalFormatting sqref="D9:D18">
    <cfRule type="cellIs" dxfId="2357" priority="3400" operator="equal">
      <formula>"EM PROCESSO"</formula>
    </cfRule>
    <cfRule type="cellIs" dxfId="2356" priority="1023" operator="equal">
      <formula>"NÃO INICIADO"</formula>
    </cfRule>
  </conditionalFormatting>
  <conditionalFormatting sqref="D9:D61">
    <cfRule type="cellIs" dxfId="2355" priority="3399" operator="equal">
      <formula>"NÃO INICIADO"</formula>
    </cfRule>
  </conditionalFormatting>
  <conditionalFormatting sqref="D9:D61">
    <cfRule type="cellIs" dxfId="2354" priority="3398" operator="equal">
      <formula>"FINALIZADO"</formula>
    </cfRule>
  </conditionalFormatting>
  <conditionalFormatting sqref="D9:D61">
    <cfRule type="cellIs" dxfId="2353" priority="3397" operator="equal">
      <formula>"EM PROCESSO"</formula>
    </cfRule>
  </conditionalFormatting>
  <conditionalFormatting sqref="D9:D373">
    <cfRule type="cellIs" dxfId="2352" priority="3396" operator="equal">
      <formula>"NÃO INICIADO"</formula>
    </cfRule>
    <cfRule type="cellIs" dxfId="2351" priority="3395" operator="equal">
      <formula>"FINALIZADO"</formula>
    </cfRule>
    <cfRule type="cellIs" dxfId="2350" priority="3394" operator="equal">
      <formula>"EM PROCESSO"</formula>
    </cfRule>
  </conditionalFormatting>
  <conditionalFormatting sqref="D9:D164">
    <cfRule type="cellIs" dxfId="2349" priority="3393" operator="equal">
      <formula>"NÃO INICIADO"</formula>
    </cfRule>
  </conditionalFormatting>
  <conditionalFormatting sqref="D9:D164">
    <cfRule type="cellIs" dxfId="2348" priority="3392" operator="equal">
      <formula>"FINALIZADO"</formula>
    </cfRule>
  </conditionalFormatting>
  <conditionalFormatting sqref="D9:D164">
    <cfRule type="cellIs" dxfId="2347" priority="3391" operator="equal">
      <formula>"EM PROCESSO"</formula>
    </cfRule>
  </conditionalFormatting>
  <conditionalFormatting sqref="D9:D107">
    <cfRule type="cellIs" dxfId="2346" priority="3390" operator="equal">
      <formula>"NÃO INICIADO"</formula>
    </cfRule>
  </conditionalFormatting>
  <conditionalFormatting sqref="D9:D107">
    <cfRule type="cellIs" dxfId="2345" priority="3389" operator="equal">
      <formula>"FINALIZADO"</formula>
    </cfRule>
  </conditionalFormatting>
  <conditionalFormatting sqref="D9:D107">
    <cfRule type="cellIs" dxfId="2344" priority="3388" operator="equal">
      <formula>"EM PROCESSO"</formula>
    </cfRule>
  </conditionalFormatting>
  <conditionalFormatting sqref="D9:D359">
    <cfRule type="cellIs" dxfId="2343" priority="3387" operator="equal">
      <formula>"NÃO INICIADO"</formula>
    </cfRule>
    <cfRule type="cellIs" dxfId="2342" priority="3386" operator="equal">
      <formula>"FINALIZADO"</formula>
    </cfRule>
    <cfRule type="cellIs" dxfId="2341" priority="3385" operator="equal">
      <formula>"EM PROCESSO"</formula>
    </cfRule>
  </conditionalFormatting>
  <conditionalFormatting sqref="D9:D17">
    <cfRule type="cellIs" dxfId="2340" priority="3381" operator="equal">
      <formula>"NÃO INICIADO"</formula>
    </cfRule>
  </conditionalFormatting>
  <conditionalFormatting sqref="D9:D17">
    <cfRule type="cellIs" dxfId="2339" priority="3380" operator="equal">
      <formula>"FINALIZADO"</formula>
    </cfRule>
    <cfRule type="cellIs" dxfId="2338" priority="3301" operator="equal">
      <formula>"EM PROCESSO"</formula>
    </cfRule>
  </conditionalFormatting>
  <conditionalFormatting sqref="D9:D17">
    <cfRule type="cellIs" dxfId="2337" priority="3379" operator="equal">
      <formula>"EM PROCESSO"</formula>
    </cfRule>
    <cfRule type="cellIs" dxfId="2336" priority="1242" operator="equal">
      <formula>"NÃO INICIADO"</formula>
    </cfRule>
    <cfRule type="cellIs" dxfId="2335" priority="489" operator="equal">
      <formula>"NÃO INICIADO"</formula>
    </cfRule>
  </conditionalFormatting>
  <conditionalFormatting sqref="D9:D29">
    <cfRule type="cellIs" dxfId="2334" priority="3378" operator="equal">
      <formula>"NÃO INICIADO"</formula>
    </cfRule>
  </conditionalFormatting>
  <conditionalFormatting sqref="D9:D29">
    <cfRule type="cellIs" dxfId="2333" priority="3377" operator="equal">
      <formula>"FINALIZADO"</formula>
    </cfRule>
  </conditionalFormatting>
  <conditionalFormatting sqref="D9:D29">
    <cfRule type="cellIs" dxfId="2332" priority="3376" operator="equal">
      <formula>"EM PROCESSO"</formula>
    </cfRule>
    <cfRule type="cellIs" dxfId="2331" priority="89" operator="equal">
      <formula>"FINALIZADO"</formula>
    </cfRule>
  </conditionalFormatting>
  <conditionalFormatting sqref="D9:D13">
    <cfRule type="cellIs" dxfId="2330" priority="3374" operator="equal">
      <formula>"FINALIZADO"</formula>
    </cfRule>
    <cfRule type="cellIs" dxfId="2329" priority="2005" operator="equal">
      <formula>"EM PROCESSO"</formula>
    </cfRule>
    <cfRule type="cellIs" dxfId="2328" priority="1306" operator="equal">
      <formula>"EM PROCESSO"</formula>
    </cfRule>
  </conditionalFormatting>
  <conditionalFormatting sqref="D9:D13">
    <cfRule type="cellIs" dxfId="2327" priority="3373" operator="equal">
      <formula>"EM PROCESSO"</formula>
    </cfRule>
    <cfRule type="cellIs" dxfId="2326" priority="2039" operator="equal">
      <formula>"FINALIZADO"</formula>
    </cfRule>
    <cfRule type="cellIs" dxfId="2325" priority="1307" operator="equal">
      <formula>"FINALIZADO"</formula>
    </cfRule>
    <cfRule type="cellIs" dxfId="2324" priority="94" operator="equal">
      <formula>"EM PROCESSO"</formula>
    </cfRule>
  </conditionalFormatting>
  <conditionalFormatting sqref="D9:D18">
    <cfRule type="cellIs" dxfId="2323" priority="3372" operator="equal">
      <formula>"NÃO INICIADO"</formula>
    </cfRule>
  </conditionalFormatting>
  <conditionalFormatting sqref="D9:D18">
    <cfRule type="cellIs" dxfId="2322" priority="3371" operator="equal">
      <formula>"FINALIZADO"</formula>
    </cfRule>
    <cfRule type="cellIs" dxfId="2321" priority="2417" operator="equal">
      <formula>"FINALIZADO"</formula>
    </cfRule>
    <cfRule type="cellIs" dxfId="2320" priority="2344" operator="equal">
      <formula>"EM PROCESSO"</formula>
    </cfRule>
  </conditionalFormatting>
  <conditionalFormatting sqref="D9:D18">
    <cfRule type="cellIs" dxfId="2319" priority="3370" operator="equal">
      <formula>"EM PROCESSO"</formula>
    </cfRule>
    <cfRule type="cellIs" dxfId="2318" priority="1558" operator="equal">
      <formula>"EM PROCESSO"</formula>
    </cfRule>
    <cfRule type="cellIs" dxfId="2317" priority="666" operator="equal">
      <formula>"NÃO INICIADO"</formula>
    </cfRule>
  </conditionalFormatting>
  <conditionalFormatting sqref="D9:D173">
    <cfRule type="cellIs" dxfId="2316" priority="3363" operator="equal">
      <formula>"NÃO INICIADO"</formula>
    </cfRule>
  </conditionalFormatting>
  <conditionalFormatting sqref="D9:D173">
    <cfRule type="cellIs" dxfId="2315" priority="3362" operator="equal">
      <formula>"FINALIZADO"</formula>
    </cfRule>
  </conditionalFormatting>
  <conditionalFormatting sqref="D9:D173">
    <cfRule type="cellIs" dxfId="2314" priority="3361" operator="equal">
      <formula>"EM PROCESSO"</formula>
    </cfRule>
  </conditionalFormatting>
  <conditionalFormatting sqref="D9:D116">
    <cfRule type="cellIs" dxfId="2313" priority="3360" operator="equal">
      <formula>"NÃO INICIADO"</formula>
    </cfRule>
  </conditionalFormatting>
  <conditionalFormatting sqref="D9:D116">
    <cfRule type="cellIs" dxfId="2312" priority="3359" operator="equal">
      <formula>"FINALIZADO"</formula>
    </cfRule>
  </conditionalFormatting>
  <conditionalFormatting sqref="D9:D116">
    <cfRule type="cellIs" dxfId="2311" priority="3358" operator="equal">
      <formula>"EM PROCESSO"</formula>
    </cfRule>
  </conditionalFormatting>
  <conditionalFormatting sqref="D9:D71">
    <cfRule type="cellIs" dxfId="2310" priority="3357" operator="equal">
      <formula>"NÃO INICIADO"</formula>
    </cfRule>
  </conditionalFormatting>
  <conditionalFormatting sqref="D9:D71">
    <cfRule type="cellIs" dxfId="2309" priority="3356" operator="equal">
      <formula>"FINALIZADO"</formula>
    </cfRule>
  </conditionalFormatting>
  <conditionalFormatting sqref="D9:D71">
    <cfRule type="cellIs" dxfId="2308" priority="3355" operator="equal">
      <formula>"EM PROCESSO"</formula>
    </cfRule>
  </conditionalFormatting>
  <conditionalFormatting sqref="D9:D48">
    <cfRule type="cellIs" dxfId="2307" priority="3354" operator="equal">
      <formula>"NÃO INICIADO"</formula>
    </cfRule>
  </conditionalFormatting>
  <conditionalFormatting sqref="D9:D48">
    <cfRule type="cellIs" dxfId="2306" priority="3353" operator="equal">
      <formula>"FINALIZADO"</formula>
    </cfRule>
  </conditionalFormatting>
  <conditionalFormatting sqref="D9:D48">
    <cfRule type="cellIs" dxfId="2305" priority="3352" operator="equal">
      <formula>"EM PROCESSO"</formula>
    </cfRule>
  </conditionalFormatting>
  <conditionalFormatting sqref="D9:D348">
    <cfRule type="cellIs" dxfId="2304" priority="3351" operator="equal">
      <formula>"NÃO INICIADO"</formula>
    </cfRule>
    <cfRule type="cellIs" dxfId="2303" priority="3350" operator="equal">
      <formula>"FINALIZADO"</formula>
    </cfRule>
    <cfRule type="cellIs" dxfId="2302" priority="3349" operator="equal">
      <formula>"EM PROCESSO"</formula>
    </cfRule>
  </conditionalFormatting>
  <conditionalFormatting sqref="D9:D247">
    <cfRule type="cellIs" dxfId="2301" priority="3348" operator="equal">
      <formula>"NÃO INICIADO"</formula>
    </cfRule>
  </conditionalFormatting>
  <conditionalFormatting sqref="D9:D247">
    <cfRule type="cellIs" dxfId="2300" priority="3347" operator="equal">
      <formula>"FINALIZADO"</formula>
    </cfRule>
  </conditionalFormatting>
  <conditionalFormatting sqref="D9:D247">
    <cfRule type="cellIs" dxfId="2299" priority="3346" operator="equal">
      <formula>"EM PROCESSO"</formula>
    </cfRule>
  </conditionalFormatting>
  <conditionalFormatting sqref="D9:D123">
    <cfRule type="cellIs" dxfId="2298" priority="3345" operator="equal">
      <formula>"NÃO INICIADO"</formula>
    </cfRule>
  </conditionalFormatting>
  <conditionalFormatting sqref="D9:D123">
    <cfRule type="cellIs" dxfId="2297" priority="3344" operator="equal">
      <formula>"FINALIZADO"</formula>
    </cfRule>
  </conditionalFormatting>
  <conditionalFormatting sqref="D9:D123">
    <cfRule type="cellIs" dxfId="2296" priority="3343" operator="equal">
      <formula>"EM PROCESSO"</formula>
    </cfRule>
  </conditionalFormatting>
  <conditionalFormatting sqref="D9:D212">
    <cfRule type="cellIs" dxfId="2295" priority="3342" operator="equal">
      <formula>"NÃO INICIADO"</formula>
    </cfRule>
  </conditionalFormatting>
  <conditionalFormatting sqref="D9:D212">
    <cfRule type="cellIs" dxfId="2294" priority="3341" operator="equal">
      <formula>"FINALIZADO"</formula>
    </cfRule>
  </conditionalFormatting>
  <conditionalFormatting sqref="D9:D212">
    <cfRule type="cellIs" dxfId="2293" priority="3340" operator="equal">
      <formula>"EM PROCESSO"</formula>
    </cfRule>
  </conditionalFormatting>
  <conditionalFormatting sqref="D9:D13">
    <cfRule type="cellIs" dxfId="2292" priority="3335" operator="equal">
      <formula>"FINALIZADO"</formula>
    </cfRule>
    <cfRule type="cellIs" dxfId="2291" priority="2626" operator="equal">
      <formula>"EM PROCESSO"</formula>
    </cfRule>
  </conditionalFormatting>
  <conditionalFormatting sqref="D9:D13">
    <cfRule type="cellIs" dxfId="2290" priority="3334" operator="equal">
      <formula>"EM PROCESSO"</formula>
    </cfRule>
    <cfRule type="cellIs" dxfId="2289" priority="2552" operator="equal">
      <formula>"FINALIZADO"</formula>
    </cfRule>
    <cfRule type="cellIs" dxfId="2288" priority="2027" operator="equal">
      <formula>"FINALIZADO"</formula>
    </cfRule>
    <cfRule type="cellIs" dxfId="2287" priority="1726" operator="equal">
      <formula>"EM PROCESSO"</formula>
    </cfRule>
  </conditionalFormatting>
  <conditionalFormatting sqref="D9:D204">
    <cfRule type="cellIs" dxfId="2286" priority="3327" operator="equal">
      <formula>"NÃO INICIADO"</formula>
    </cfRule>
  </conditionalFormatting>
  <conditionalFormatting sqref="D9:D204">
    <cfRule type="cellIs" dxfId="2285" priority="3326" operator="equal">
      <formula>"FINALIZADO"</formula>
    </cfRule>
  </conditionalFormatting>
  <conditionalFormatting sqref="D9:D204">
    <cfRule type="cellIs" dxfId="2284" priority="3325" operator="equal">
      <formula>"EM PROCESSO"</formula>
    </cfRule>
  </conditionalFormatting>
  <conditionalFormatting sqref="D9:D84">
    <cfRule type="cellIs" dxfId="2283" priority="3324" operator="equal">
      <formula>"NÃO INICIADO"</formula>
    </cfRule>
  </conditionalFormatting>
  <conditionalFormatting sqref="D9:D84">
    <cfRule type="cellIs" dxfId="2282" priority="3323" operator="equal">
      <formula>"FINALIZADO"</formula>
    </cfRule>
  </conditionalFormatting>
  <conditionalFormatting sqref="D9:D84">
    <cfRule type="cellIs" dxfId="2281" priority="3322" operator="equal">
      <formula>"EM PROCESSO"</formula>
    </cfRule>
  </conditionalFormatting>
  <conditionalFormatting sqref="D9:D42">
    <cfRule type="cellIs" dxfId="2280" priority="3321" operator="equal">
      <formula>"NÃO INICIADO"</formula>
    </cfRule>
  </conditionalFormatting>
  <conditionalFormatting sqref="D9:D42">
    <cfRule type="cellIs" dxfId="2279" priority="3320" operator="equal">
      <formula>"FINALIZADO"</formula>
    </cfRule>
  </conditionalFormatting>
  <conditionalFormatting sqref="D9:D42">
    <cfRule type="cellIs" dxfId="2278" priority="3319" operator="equal">
      <formula>"EM PROCESSO"</formula>
    </cfRule>
  </conditionalFormatting>
  <conditionalFormatting sqref="D9:D63">
    <cfRule type="cellIs" dxfId="2277" priority="3318" operator="equal">
      <formula>"NÃO INICIADO"</formula>
    </cfRule>
  </conditionalFormatting>
  <conditionalFormatting sqref="D9:D63">
    <cfRule type="cellIs" dxfId="2276" priority="3317" operator="equal">
      <formula>"FINALIZADO"</formula>
    </cfRule>
  </conditionalFormatting>
  <conditionalFormatting sqref="D9:D63">
    <cfRule type="cellIs" dxfId="2275" priority="3316" operator="equal">
      <formula>"EM PROCESSO"</formula>
    </cfRule>
  </conditionalFormatting>
  <conditionalFormatting sqref="D9:D208">
    <cfRule type="cellIs" dxfId="2274" priority="3315" operator="equal">
      <formula>"NÃO INICIADO"</formula>
    </cfRule>
  </conditionalFormatting>
  <conditionalFormatting sqref="D9:D208">
    <cfRule type="cellIs" dxfId="2273" priority="3314" operator="equal">
      <formula>"FINALIZADO"</formula>
    </cfRule>
  </conditionalFormatting>
  <conditionalFormatting sqref="D9:D208">
    <cfRule type="cellIs" dxfId="2272" priority="3313" operator="equal">
      <formula>"EM PROCESSO"</formula>
    </cfRule>
  </conditionalFormatting>
  <conditionalFormatting sqref="D9:D566">
    <cfRule type="cellIs" dxfId="2271" priority="3312" operator="equal">
      <formula>"NÃO INICIADO"</formula>
    </cfRule>
    <cfRule type="cellIs" dxfId="2270" priority="3311" operator="equal">
      <formula>"FINALIZADO"</formula>
    </cfRule>
    <cfRule type="cellIs" dxfId="2269" priority="3310" operator="equal">
      <formula>"EM PROCESSO"</formula>
    </cfRule>
  </conditionalFormatting>
  <conditionalFormatting sqref="D9:D160">
    <cfRule type="cellIs" dxfId="2268" priority="3309" operator="equal">
      <formula>"NÃO INICIADO"</formula>
    </cfRule>
  </conditionalFormatting>
  <conditionalFormatting sqref="D9:D160">
    <cfRule type="cellIs" dxfId="2267" priority="3308" operator="equal">
      <formula>"FINALIZADO"</formula>
    </cfRule>
  </conditionalFormatting>
  <conditionalFormatting sqref="D9:D160">
    <cfRule type="cellIs" dxfId="2266" priority="3307" operator="equal">
      <formula>"EM PROCESSO"</formula>
    </cfRule>
  </conditionalFormatting>
  <conditionalFormatting sqref="D9:D143">
    <cfRule type="cellIs" dxfId="2265" priority="3306" operator="equal">
      <formula>"NÃO INICIADO"</formula>
    </cfRule>
    <cfRule type="cellIs" dxfId="2264" priority="1493" operator="equal">
      <formula>"FINALIZADO"</formula>
    </cfRule>
  </conditionalFormatting>
  <conditionalFormatting sqref="D9:D143">
    <cfRule type="cellIs" dxfId="2263" priority="3305" operator="equal">
      <formula>"FINALIZADO"</formula>
    </cfRule>
  </conditionalFormatting>
  <conditionalFormatting sqref="D9:D143">
    <cfRule type="cellIs" dxfId="2262" priority="3304" operator="equal">
      <formula>"EM PROCESSO"</formula>
    </cfRule>
  </conditionalFormatting>
  <conditionalFormatting sqref="D9:D53">
    <cfRule type="cellIs" dxfId="2261" priority="3285" operator="equal">
      <formula>"NÃO INICIADO"</formula>
    </cfRule>
  </conditionalFormatting>
  <conditionalFormatting sqref="D9:D53">
    <cfRule type="cellIs" dxfId="2260" priority="3284" operator="equal">
      <formula>"FINALIZADO"</formula>
    </cfRule>
  </conditionalFormatting>
  <conditionalFormatting sqref="D9:D53">
    <cfRule type="cellIs" dxfId="2259" priority="3283" operator="equal">
      <formula>"EM PROCESSO"</formula>
    </cfRule>
  </conditionalFormatting>
  <conditionalFormatting sqref="D9:D418">
    <cfRule type="cellIs" dxfId="2258" priority="3282" operator="equal">
      <formula>"NÃO INICIADO"</formula>
    </cfRule>
    <cfRule type="cellIs" dxfId="2257" priority="3281" operator="equal">
      <formula>"FINALIZADO"</formula>
    </cfRule>
    <cfRule type="cellIs" dxfId="2256" priority="3280" operator="equal">
      <formula>"EM PROCESSO"</formula>
    </cfRule>
  </conditionalFormatting>
  <conditionalFormatting sqref="D9:D316">
    <cfRule type="cellIs" dxfId="2255" priority="3279" operator="equal">
      <formula>"NÃO INICIADO"</formula>
    </cfRule>
    <cfRule type="cellIs" dxfId="2254" priority="3278" operator="equal">
      <formula>"FINALIZADO"</formula>
    </cfRule>
    <cfRule type="cellIs" dxfId="2253" priority="3277" operator="equal">
      <formula>"EM PROCESSO"</formula>
    </cfRule>
  </conditionalFormatting>
  <conditionalFormatting sqref="D9:D231">
    <cfRule type="cellIs" dxfId="2252" priority="3276" operator="equal">
      <formula>"NÃO INICIADO"</formula>
    </cfRule>
  </conditionalFormatting>
  <conditionalFormatting sqref="D9:D231">
    <cfRule type="cellIs" dxfId="2251" priority="3275" operator="equal">
      <formula>"FINALIZADO"</formula>
    </cfRule>
  </conditionalFormatting>
  <conditionalFormatting sqref="D9:D231">
    <cfRule type="cellIs" dxfId="2250" priority="3274" operator="equal">
      <formula>"EM PROCESSO"</formula>
    </cfRule>
  </conditionalFormatting>
  <conditionalFormatting sqref="D9:D135">
    <cfRule type="cellIs" dxfId="2249" priority="3273" operator="equal">
      <formula>"NÃO INICIADO"</formula>
    </cfRule>
  </conditionalFormatting>
  <conditionalFormatting sqref="D9:D135">
    <cfRule type="cellIs" dxfId="2248" priority="3272" operator="equal">
      <formula>"FINALIZADO"</formula>
    </cfRule>
  </conditionalFormatting>
  <conditionalFormatting sqref="D9:D135">
    <cfRule type="cellIs" dxfId="2247" priority="3271" operator="equal">
      <formula>"EM PROCESSO"</formula>
    </cfRule>
  </conditionalFormatting>
  <conditionalFormatting sqref="D9:D13">
    <cfRule type="cellIs" dxfId="2246" priority="3269" operator="equal">
      <formula>"FINALIZADO"</formula>
    </cfRule>
    <cfRule type="cellIs" dxfId="2245" priority="2551" operator="equal">
      <formula>"EM PROCESSO"</formula>
    </cfRule>
    <cfRule type="cellIs" dxfId="2244" priority="2491" operator="equal">
      <formula>"EM PROCESSO"</formula>
    </cfRule>
  </conditionalFormatting>
  <conditionalFormatting sqref="D9:D13">
    <cfRule type="cellIs" dxfId="2243" priority="3268" operator="equal">
      <formula>"EM PROCESSO"</formula>
    </cfRule>
    <cfRule type="cellIs" dxfId="2242" priority="2056" operator="equal">
      <formula>"EM PROCESSO"</formula>
    </cfRule>
  </conditionalFormatting>
  <conditionalFormatting sqref="D9:D236">
    <cfRule type="cellIs" dxfId="2241" priority="3258" operator="equal">
      <formula>"NÃO INICIADO"</formula>
    </cfRule>
  </conditionalFormatting>
  <conditionalFormatting sqref="D9:D236">
    <cfRule type="cellIs" dxfId="2240" priority="3257" operator="equal">
      <formula>"FINALIZADO"</formula>
    </cfRule>
  </conditionalFormatting>
  <conditionalFormatting sqref="D9:D236">
    <cfRule type="cellIs" dxfId="2239" priority="3256" operator="equal">
      <formula>"EM PROCESSO"</formula>
    </cfRule>
  </conditionalFormatting>
  <conditionalFormatting sqref="D9:D153">
    <cfRule type="cellIs" dxfId="2238" priority="3252" operator="equal">
      <formula>"NÃO INICIADO"</formula>
    </cfRule>
  </conditionalFormatting>
  <conditionalFormatting sqref="D9:D153">
    <cfRule type="cellIs" dxfId="2237" priority="3251" operator="equal">
      <formula>"FINALIZADO"</formula>
    </cfRule>
  </conditionalFormatting>
  <conditionalFormatting sqref="D9:D153">
    <cfRule type="cellIs" dxfId="2236" priority="3250" operator="equal">
      <formula>"EM PROCESSO"</formula>
    </cfRule>
  </conditionalFormatting>
  <conditionalFormatting sqref="D9:D678">
    <cfRule type="cellIs" dxfId="2235" priority="3249" operator="equal">
      <formula>"NÃO INICIADO"</formula>
    </cfRule>
    <cfRule type="cellIs" dxfId="2234" priority="3248" operator="equal">
      <formula>"FINALIZADO"</formula>
    </cfRule>
    <cfRule type="cellIs" dxfId="2233" priority="3247" operator="equal">
      <formula>"EM PROCESSO"</formula>
    </cfRule>
  </conditionalFormatting>
  <conditionalFormatting sqref="D9:D613">
    <cfRule type="cellIs" dxfId="2232" priority="3246" operator="equal">
      <formula>"NÃO INICIADO"</formula>
    </cfRule>
    <cfRule type="cellIs" dxfId="2231" priority="3245" operator="equal">
      <formula>"FINALIZADO"</formula>
    </cfRule>
    <cfRule type="cellIs" dxfId="2230" priority="3244" operator="equal">
      <formula>"EM PROCESSO"</formula>
    </cfRule>
  </conditionalFormatting>
  <conditionalFormatting sqref="D9:D217">
    <cfRule type="cellIs" dxfId="2229" priority="3243" operator="equal">
      <formula>"NÃO INICIADO"</formula>
    </cfRule>
  </conditionalFormatting>
  <conditionalFormatting sqref="D9:D217">
    <cfRule type="cellIs" dxfId="2228" priority="3242" operator="equal">
      <formula>"FINALIZADO"</formula>
    </cfRule>
  </conditionalFormatting>
  <conditionalFormatting sqref="D9:D217">
    <cfRule type="cellIs" dxfId="2227" priority="3241" operator="equal">
      <formula>"EM PROCESSO"</formula>
    </cfRule>
  </conditionalFormatting>
  <conditionalFormatting sqref="D9:D350">
    <cfRule type="cellIs" dxfId="2226" priority="3240" operator="equal">
      <formula>"NÃO INICIADO"</formula>
    </cfRule>
    <cfRule type="cellIs" dxfId="2225" priority="3239" operator="equal">
      <formula>"FINALIZADO"</formula>
    </cfRule>
    <cfRule type="cellIs" dxfId="2224" priority="3238" operator="equal">
      <formula>"EM PROCESSO"</formula>
    </cfRule>
  </conditionalFormatting>
  <conditionalFormatting sqref="D9:D332">
    <cfRule type="cellIs" dxfId="2223" priority="3237" operator="equal">
      <formula>"NÃO INICIADO"</formula>
    </cfRule>
    <cfRule type="cellIs" dxfId="2222" priority="3236" operator="equal">
      <formula>"FINALIZADO"</formula>
    </cfRule>
    <cfRule type="cellIs" dxfId="2221" priority="3235" operator="equal">
      <formula>"EM PROCESSO"</formula>
    </cfRule>
  </conditionalFormatting>
  <conditionalFormatting sqref="D9:D21">
    <cfRule type="cellIs" dxfId="2220" priority="3234" operator="equal">
      <formula>"NÃO INICIADO"</formula>
    </cfRule>
    <cfRule type="cellIs" dxfId="2219" priority="3115" operator="equal">
      <formula>"EM PROCESSO"</formula>
    </cfRule>
    <cfRule type="cellIs" dxfId="2218" priority="1887" operator="equal">
      <formula>"NÃO INICIADO"</formula>
    </cfRule>
    <cfRule type="cellIs" dxfId="2217" priority="1881" operator="equal">
      <formula>"NÃO INICIADO"</formula>
    </cfRule>
  </conditionalFormatting>
  <conditionalFormatting sqref="D9:D21">
    <cfRule type="cellIs" dxfId="2216" priority="3233" operator="equal">
      <formula>"FINALIZADO"</formula>
    </cfRule>
    <cfRule type="cellIs" dxfId="2215" priority="3116" operator="equal">
      <formula>"FINALIZADO"</formula>
    </cfRule>
  </conditionalFormatting>
  <conditionalFormatting sqref="D9:D21">
    <cfRule type="cellIs" dxfId="2214" priority="3232" operator="equal">
      <formula>"EM PROCESSO"</formula>
    </cfRule>
    <cfRule type="cellIs" dxfId="2213" priority="3147" operator="equal">
      <formula>"NÃO INICIADO"</formula>
    </cfRule>
    <cfRule type="cellIs" dxfId="2212" priority="2203" operator="equal">
      <formula>"EM PROCESSO"</formula>
    </cfRule>
  </conditionalFormatting>
  <conditionalFormatting sqref="D9:D52">
    <cfRule type="cellIs" dxfId="2211" priority="3231" operator="equal">
      <formula>"NÃO INICIADO"</formula>
    </cfRule>
    <cfRule type="cellIs" dxfId="2210" priority="155" operator="equal">
      <formula>"FINALIZADO"</formula>
    </cfRule>
  </conditionalFormatting>
  <conditionalFormatting sqref="D9:D52">
    <cfRule type="cellIs" dxfId="2209" priority="3230" operator="equal">
      <formula>"FINALIZADO"</formula>
    </cfRule>
  </conditionalFormatting>
  <conditionalFormatting sqref="D9:D52">
    <cfRule type="cellIs" dxfId="2208" priority="3229" operator="equal">
      <formula>"EM PROCESSO"</formula>
    </cfRule>
  </conditionalFormatting>
  <conditionalFormatting sqref="D9:D596">
    <cfRule type="cellIs" dxfId="2207" priority="3219" operator="equal">
      <formula>"NÃO INICIADO"</formula>
    </cfRule>
    <cfRule type="cellIs" dxfId="2206" priority="3218" operator="equal">
      <formula>"FINALIZADO"</formula>
    </cfRule>
    <cfRule type="cellIs" dxfId="2205" priority="3217" operator="equal">
      <formula>"EM PROCESSO"</formula>
    </cfRule>
  </conditionalFormatting>
  <conditionalFormatting sqref="D9:D203">
    <cfRule type="cellIs" dxfId="2204" priority="3216" operator="equal">
      <formula>"NÃO INICIADO"</formula>
    </cfRule>
  </conditionalFormatting>
  <conditionalFormatting sqref="D9:D203">
    <cfRule type="cellIs" dxfId="2203" priority="3215" operator="equal">
      <formula>"FINALIZADO"</formula>
    </cfRule>
  </conditionalFormatting>
  <conditionalFormatting sqref="D9:D203">
    <cfRule type="cellIs" dxfId="2202" priority="3214" operator="equal">
      <formula>"EM PROCESSO"</formula>
    </cfRule>
  </conditionalFormatting>
  <conditionalFormatting sqref="D9:D65">
    <cfRule type="cellIs" dxfId="2201" priority="3213" operator="equal">
      <formula>"NÃO INICIADO"</formula>
    </cfRule>
  </conditionalFormatting>
  <conditionalFormatting sqref="D9:D65">
    <cfRule type="cellIs" dxfId="2200" priority="3212" operator="equal">
      <formula>"FINALIZADO"</formula>
    </cfRule>
  </conditionalFormatting>
  <conditionalFormatting sqref="D9:D65">
    <cfRule type="cellIs" dxfId="2199" priority="3211" operator="equal">
      <formula>"EM PROCESSO"</formula>
    </cfRule>
  </conditionalFormatting>
  <conditionalFormatting sqref="D9:D53">
    <cfRule type="cellIs" dxfId="2198" priority="3210" operator="equal">
      <formula>"NÃO INICIADO"</formula>
    </cfRule>
    <cfRule type="cellIs" dxfId="2197" priority="1299" operator="equal">
      <formula>"NÃO INICIADO"</formula>
    </cfRule>
    <cfRule type="cellIs" dxfId="2196" priority="1297" operator="equal">
      <formula>"EM PROCESSO"</formula>
    </cfRule>
    <cfRule type="cellIs" dxfId="2195" priority="1296" operator="equal">
      <formula>"NÃO INICIADO"</formula>
    </cfRule>
    <cfRule type="cellIs" dxfId="2194" priority="1294" operator="equal">
      <formula>"EM PROCESSO"</formula>
    </cfRule>
  </conditionalFormatting>
  <conditionalFormatting sqref="D9:D53">
    <cfRule type="cellIs" dxfId="2193" priority="3209" operator="equal">
      <formula>"FINALIZADO"</formula>
    </cfRule>
  </conditionalFormatting>
  <conditionalFormatting sqref="D9:D53">
    <cfRule type="cellIs" dxfId="2192" priority="3208" operator="equal">
      <formula>"EM PROCESSO"</formula>
    </cfRule>
  </conditionalFormatting>
  <conditionalFormatting sqref="D9:D306">
    <cfRule type="cellIs" dxfId="2191" priority="3207" operator="equal">
      <formula>"NÃO INICIADO"</formula>
    </cfRule>
    <cfRule type="cellIs" dxfId="2190" priority="3206" operator="equal">
      <formula>"FINALIZADO"</formula>
    </cfRule>
    <cfRule type="cellIs" dxfId="2189" priority="3205" operator="equal">
      <formula>"EM PROCESSO"</formula>
    </cfRule>
  </conditionalFormatting>
  <conditionalFormatting sqref="D9:D686">
    <cfRule type="cellIs" dxfId="2188" priority="3204" operator="equal">
      <formula>"NÃO INICIADO"</formula>
    </cfRule>
    <cfRule type="cellIs" dxfId="2187" priority="3203" operator="equal">
      <formula>"FINALIZADO"</formula>
    </cfRule>
    <cfRule type="cellIs" dxfId="2186" priority="3202" operator="equal">
      <formula>"EM PROCESSO"</formula>
    </cfRule>
  </conditionalFormatting>
  <conditionalFormatting sqref="D9:D204">
    <cfRule type="cellIs" dxfId="2185" priority="3201" operator="equal">
      <formula>"NÃO INICIADO"</formula>
    </cfRule>
  </conditionalFormatting>
  <conditionalFormatting sqref="D9:D204">
    <cfRule type="cellIs" dxfId="2184" priority="3200" operator="equal">
      <formula>"FINALIZADO"</formula>
    </cfRule>
  </conditionalFormatting>
  <conditionalFormatting sqref="D9:D204">
    <cfRule type="cellIs" dxfId="2183" priority="3199" operator="equal">
      <formula>"EM PROCESSO"</formula>
    </cfRule>
  </conditionalFormatting>
  <conditionalFormatting sqref="D9:D101">
    <cfRule type="cellIs" dxfId="2182" priority="3198" operator="equal">
      <formula>"NÃO INICIADO"</formula>
    </cfRule>
  </conditionalFormatting>
  <conditionalFormatting sqref="D9:D101">
    <cfRule type="cellIs" dxfId="2181" priority="3197" operator="equal">
      <formula>"FINALIZADO"</formula>
    </cfRule>
  </conditionalFormatting>
  <conditionalFormatting sqref="D9:D101">
    <cfRule type="cellIs" dxfId="2180" priority="3196" operator="equal">
      <formula>"EM PROCESSO"</formula>
    </cfRule>
  </conditionalFormatting>
  <conditionalFormatting sqref="D9:D13">
    <cfRule type="cellIs" dxfId="2179" priority="3191" operator="equal">
      <formula>"FINALIZADO"</formula>
    </cfRule>
    <cfRule type="cellIs" dxfId="2178" priority="2006" operator="equal">
      <formula>"FINALIZADO"</formula>
    </cfRule>
  </conditionalFormatting>
  <conditionalFormatting sqref="D9:D13">
    <cfRule type="cellIs" dxfId="2177" priority="3190" operator="equal">
      <formula>"EM PROCESSO"</formula>
    </cfRule>
    <cfRule type="cellIs" dxfId="2176" priority="2063" operator="equal">
      <formula>"FINALIZADO"</formula>
    </cfRule>
    <cfRule type="cellIs" dxfId="2175" priority="2057" operator="equal">
      <formula>"FINALIZADO"</formula>
    </cfRule>
    <cfRule type="cellIs" dxfId="2174" priority="995" operator="equal">
      <formula>"FINALIZADO"</formula>
    </cfRule>
  </conditionalFormatting>
  <conditionalFormatting sqref="D9:D168">
    <cfRule type="cellIs" dxfId="2173" priority="3186" operator="equal">
      <formula>"NÃO INICIADO"</formula>
    </cfRule>
  </conditionalFormatting>
  <conditionalFormatting sqref="D9:D168">
    <cfRule type="cellIs" dxfId="2172" priority="3185" operator="equal">
      <formula>"FINALIZADO"</formula>
    </cfRule>
  </conditionalFormatting>
  <conditionalFormatting sqref="D9:D168">
    <cfRule type="cellIs" dxfId="2171" priority="3184" operator="equal">
      <formula>"EM PROCESSO"</formula>
    </cfRule>
  </conditionalFormatting>
  <conditionalFormatting sqref="D9:D137">
    <cfRule type="cellIs" dxfId="2170" priority="3174" operator="equal">
      <formula>"NÃO INICIADO"</formula>
    </cfRule>
  </conditionalFormatting>
  <conditionalFormatting sqref="D9:D137">
    <cfRule type="cellIs" dxfId="2169" priority="3173" operator="equal">
      <formula>"FINALIZADO"</formula>
    </cfRule>
  </conditionalFormatting>
  <conditionalFormatting sqref="D9:D137">
    <cfRule type="cellIs" dxfId="2168" priority="3172" operator="equal">
      <formula>"EM PROCESSO"</formula>
    </cfRule>
  </conditionalFormatting>
  <conditionalFormatting sqref="D9:D64">
    <cfRule type="cellIs" dxfId="2167" priority="3171" operator="equal">
      <formula>"NÃO INICIADO"</formula>
    </cfRule>
  </conditionalFormatting>
  <conditionalFormatting sqref="D9:D64">
    <cfRule type="cellIs" dxfId="2166" priority="3170" operator="equal">
      <formula>"FINALIZADO"</formula>
    </cfRule>
  </conditionalFormatting>
  <conditionalFormatting sqref="D9:D64">
    <cfRule type="cellIs" dxfId="2165" priority="3169" operator="equal">
      <formula>"EM PROCESSO"</formula>
    </cfRule>
  </conditionalFormatting>
  <conditionalFormatting sqref="D9:D170">
    <cfRule type="cellIs" dxfId="2164" priority="3168" operator="equal">
      <formula>"NÃO INICIADO"</formula>
    </cfRule>
  </conditionalFormatting>
  <conditionalFormatting sqref="D9:D170">
    <cfRule type="cellIs" dxfId="2163" priority="3167" operator="equal">
      <formula>"FINALIZADO"</formula>
    </cfRule>
  </conditionalFormatting>
  <conditionalFormatting sqref="D9:D170">
    <cfRule type="cellIs" dxfId="2162" priority="3166" operator="equal">
      <formula>"EM PROCESSO"</formula>
    </cfRule>
  </conditionalFormatting>
  <conditionalFormatting sqref="D9:D44">
    <cfRule type="cellIs" dxfId="2161" priority="3165" operator="equal">
      <formula>"NÃO INICIADO"</formula>
    </cfRule>
  </conditionalFormatting>
  <conditionalFormatting sqref="D9:D44">
    <cfRule type="cellIs" dxfId="2160" priority="3164" operator="equal">
      <formula>"FINALIZADO"</formula>
    </cfRule>
  </conditionalFormatting>
  <conditionalFormatting sqref="D9:D44">
    <cfRule type="cellIs" dxfId="2159" priority="3163" operator="equal">
      <formula>"EM PROCESSO"</formula>
    </cfRule>
  </conditionalFormatting>
  <conditionalFormatting sqref="D9:D311">
    <cfRule type="cellIs" dxfId="2158" priority="3162" operator="equal">
      <formula>"NÃO INICIADO"</formula>
    </cfRule>
    <cfRule type="cellIs" dxfId="2157" priority="3161" operator="equal">
      <formula>"FINALIZADO"</formula>
    </cfRule>
    <cfRule type="cellIs" dxfId="2156" priority="3160" operator="equal">
      <formula>"EM PROCESSO"</formula>
    </cfRule>
  </conditionalFormatting>
  <conditionalFormatting sqref="D9:D177">
    <cfRule type="cellIs" dxfId="2155" priority="3156" operator="equal">
      <formula>"NÃO INICIADO"</formula>
    </cfRule>
  </conditionalFormatting>
  <conditionalFormatting sqref="D9:D177">
    <cfRule type="cellIs" dxfId="2154" priority="3155" operator="equal">
      <formula>"FINALIZADO"</formula>
    </cfRule>
  </conditionalFormatting>
  <conditionalFormatting sqref="D9:D177">
    <cfRule type="cellIs" dxfId="2153" priority="3154" operator="equal">
      <formula>"EM PROCESSO"</formula>
    </cfRule>
  </conditionalFormatting>
  <conditionalFormatting sqref="D9:D150">
    <cfRule type="cellIs" dxfId="2152" priority="3153" operator="equal">
      <formula>"NÃO INICIADO"</formula>
    </cfRule>
  </conditionalFormatting>
  <conditionalFormatting sqref="D9:D150">
    <cfRule type="cellIs" dxfId="2151" priority="3152" operator="equal">
      <formula>"FINALIZADO"</formula>
    </cfRule>
  </conditionalFormatting>
  <conditionalFormatting sqref="D9:D150">
    <cfRule type="cellIs" dxfId="2150" priority="3151" operator="equal">
      <formula>"EM PROCESSO"</formula>
    </cfRule>
  </conditionalFormatting>
  <conditionalFormatting sqref="D9:D191">
    <cfRule type="cellIs" dxfId="2149" priority="3150" operator="equal">
      <formula>"NÃO INICIADO"</formula>
    </cfRule>
  </conditionalFormatting>
  <conditionalFormatting sqref="D9:D191">
    <cfRule type="cellIs" dxfId="2148" priority="3149" operator="equal">
      <formula>"FINALIZADO"</formula>
    </cfRule>
  </conditionalFormatting>
  <conditionalFormatting sqref="D9:D191">
    <cfRule type="cellIs" dxfId="2147" priority="3148" operator="equal">
      <formula>"EM PROCESSO"</formula>
    </cfRule>
  </conditionalFormatting>
  <conditionalFormatting sqref="D9:D87">
    <cfRule type="cellIs" dxfId="2146" priority="3138" operator="equal">
      <formula>"NÃO INICIADO"</formula>
    </cfRule>
  </conditionalFormatting>
  <conditionalFormatting sqref="D9:D87">
    <cfRule type="cellIs" dxfId="2145" priority="3137" operator="equal">
      <formula>"FINALIZADO"</formula>
    </cfRule>
    <cfRule type="cellIs" dxfId="2144" priority="977" operator="equal">
      <formula>"FINALIZADO"</formula>
    </cfRule>
  </conditionalFormatting>
  <conditionalFormatting sqref="D9:D87">
    <cfRule type="cellIs" dxfId="2143" priority="3136" operator="equal">
      <formula>"EM PROCESSO"</formula>
    </cfRule>
  </conditionalFormatting>
  <conditionalFormatting sqref="D9:D13">
    <cfRule type="cellIs" dxfId="2142" priority="3134" operator="equal">
      <formula>"FINALIZADO"</formula>
    </cfRule>
    <cfRule type="cellIs" dxfId="2141" priority="845" operator="equal">
      <formula>"FINALIZADO"</formula>
    </cfRule>
  </conditionalFormatting>
  <conditionalFormatting sqref="D9:D13">
    <cfRule type="cellIs" dxfId="2140" priority="3133" operator="equal">
      <formula>"EM PROCESSO"</formula>
    </cfRule>
    <cfRule type="cellIs" dxfId="2139" priority="260" operator="equal">
      <formula>"FINALIZADO"</formula>
    </cfRule>
  </conditionalFormatting>
  <conditionalFormatting sqref="D9:D88">
    <cfRule type="cellIs" dxfId="2138" priority="3129" operator="equal">
      <formula>"NÃO INICIADO"</formula>
    </cfRule>
  </conditionalFormatting>
  <conditionalFormatting sqref="D9:D88">
    <cfRule type="cellIs" dxfId="2137" priority="3128" operator="equal">
      <formula>"FINALIZADO"</formula>
    </cfRule>
  </conditionalFormatting>
  <conditionalFormatting sqref="D9:D88">
    <cfRule type="cellIs" dxfId="2136" priority="3127" operator="equal">
      <formula>"EM PROCESSO"</formula>
    </cfRule>
  </conditionalFormatting>
  <conditionalFormatting sqref="D9:D545">
    <cfRule type="cellIs" dxfId="2135" priority="3126" operator="equal">
      <formula>"NÃO INICIADO"</formula>
    </cfRule>
    <cfRule type="cellIs" dxfId="2134" priority="3125" operator="equal">
      <formula>"FINALIZADO"</formula>
    </cfRule>
    <cfRule type="cellIs" dxfId="2133" priority="3124" operator="equal">
      <formula>"EM PROCESSO"</formula>
    </cfRule>
  </conditionalFormatting>
  <conditionalFormatting sqref="D9:D89">
    <cfRule type="cellIs" dxfId="2132" priority="3123" operator="equal">
      <formula>"NÃO INICIADO"</formula>
    </cfRule>
  </conditionalFormatting>
  <conditionalFormatting sqref="D9:D89">
    <cfRule type="cellIs" dxfId="2131" priority="3122" operator="equal">
      <formula>"FINALIZADO"</formula>
    </cfRule>
  </conditionalFormatting>
  <conditionalFormatting sqref="D9:D89">
    <cfRule type="cellIs" dxfId="2130" priority="3121" operator="equal">
      <formula>"EM PROCESSO"</formula>
    </cfRule>
  </conditionalFormatting>
  <conditionalFormatting sqref="D9:D16">
    <cfRule type="cellIs" dxfId="2129" priority="3120" operator="equal">
      <formula>"NÃO INICIADO"</formula>
    </cfRule>
    <cfRule type="cellIs" dxfId="2128" priority="2299" operator="equal">
      <formula>"EM PROCESSO"</formula>
    </cfRule>
    <cfRule type="cellIs" dxfId="2127" priority="1915" operator="equal">
      <formula>"EM PROCESSO"</formula>
    </cfRule>
    <cfRule type="cellIs" dxfId="2126" priority="1370" operator="equal">
      <formula>"FINALIZADO"</formula>
    </cfRule>
    <cfRule type="cellIs" dxfId="2125" priority="1251" operator="equal">
      <formula>"NÃO INICIADO"</formula>
    </cfRule>
    <cfRule type="cellIs" dxfId="2124" priority="717" operator="equal">
      <formula>"NÃO INICIADO"</formula>
    </cfRule>
  </conditionalFormatting>
  <conditionalFormatting sqref="D9:D16">
    <cfRule type="cellIs" dxfId="2123" priority="3119" operator="equal">
      <formula>"FINALIZADO"</formula>
    </cfRule>
    <cfRule type="cellIs" dxfId="2122" priority="2857" operator="equal">
      <formula>"EM PROCESSO"</formula>
    </cfRule>
    <cfRule type="cellIs" dxfId="2121" priority="1916" operator="equal">
      <formula>"FINALIZADO"</formula>
    </cfRule>
    <cfRule type="cellIs" dxfId="2120" priority="1159" operator="equal">
      <formula>"EM PROCESSO"</formula>
    </cfRule>
    <cfRule type="cellIs" dxfId="2119" priority="715" operator="equal">
      <formula>"EM PROCESSO"</formula>
    </cfRule>
  </conditionalFormatting>
  <conditionalFormatting sqref="D9:D16">
    <cfRule type="cellIs" dxfId="2118" priority="3118" operator="equal">
      <formula>"EM PROCESSO"</formula>
    </cfRule>
    <cfRule type="cellIs" dxfId="2117" priority="1662" operator="equal">
      <formula>"NÃO INICIADO"</formula>
    </cfRule>
    <cfRule type="cellIs" dxfId="2116" priority="997" operator="equal">
      <formula>"EM PROCESSO"</formula>
    </cfRule>
  </conditionalFormatting>
  <conditionalFormatting sqref="D9:D435">
    <cfRule type="cellIs" dxfId="2115" priority="3114" operator="equal">
      <formula>"NÃO INICIADO"</formula>
    </cfRule>
    <cfRule type="cellIs" dxfId="2114" priority="3113" operator="equal">
      <formula>"FINALIZADO"</formula>
    </cfRule>
    <cfRule type="cellIs" dxfId="2113" priority="3112" operator="equal">
      <formula>"EM PROCESSO"</formula>
    </cfRule>
  </conditionalFormatting>
  <conditionalFormatting sqref="D9:D345">
    <cfRule type="cellIs" dxfId="2112" priority="3111" operator="equal">
      <formula>"NÃO INICIADO"</formula>
    </cfRule>
    <cfRule type="cellIs" dxfId="2111" priority="3110" operator="equal">
      <formula>"FINALIZADO"</formula>
    </cfRule>
    <cfRule type="cellIs" dxfId="2110" priority="3109" operator="equal">
      <formula>"EM PROCESSO"</formula>
    </cfRule>
  </conditionalFormatting>
  <conditionalFormatting sqref="D9:D193">
    <cfRule type="cellIs" dxfId="2109" priority="3108" operator="equal">
      <formula>"NÃO INICIADO"</formula>
    </cfRule>
  </conditionalFormatting>
  <conditionalFormatting sqref="D9:D193">
    <cfRule type="cellIs" dxfId="2108" priority="3107" operator="equal">
      <formula>"FINALIZADO"</formula>
    </cfRule>
  </conditionalFormatting>
  <conditionalFormatting sqref="D9:D193">
    <cfRule type="cellIs" dxfId="2107" priority="3106" operator="equal">
      <formula>"EM PROCESSO"</formula>
    </cfRule>
  </conditionalFormatting>
  <conditionalFormatting sqref="D9:D644">
    <cfRule type="cellIs" dxfId="2106" priority="3105" operator="equal">
      <formula>"NÃO INICIADO"</formula>
    </cfRule>
    <cfRule type="cellIs" dxfId="2105" priority="3104" operator="equal">
      <formula>"FINALIZADO"</formula>
    </cfRule>
    <cfRule type="cellIs" dxfId="2104" priority="3103" operator="equal">
      <formula>"EM PROCESSO"</formula>
    </cfRule>
  </conditionalFormatting>
  <conditionalFormatting sqref="D9:D105">
    <cfRule type="cellIs" dxfId="2103" priority="3102" operator="equal">
      <formula>"NÃO INICIADO"</formula>
    </cfRule>
  </conditionalFormatting>
  <conditionalFormatting sqref="D9:D105">
    <cfRule type="cellIs" dxfId="2102" priority="3101" operator="equal">
      <formula>"FINALIZADO"</formula>
    </cfRule>
  </conditionalFormatting>
  <conditionalFormatting sqref="D9:D105">
    <cfRule type="cellIs" dxfId="2101" priority="3100" operator="equal">
      <formula>"EM PROCESSO"</formula>
    </cfRule>
  </conditionalFormatting>
  <conditionalFormatting sqref="D9:D22">
    <cfRule type="cellIs" dxfId="2100" priority="3095" operator="equal">
      <formula>"FINALIZADO"</formula>
    </cfRule>
    <cfRule type="cellIs" dxfId="2099" priority="1248" operator="equal">
      <formula>"NÃO INICIADO"</formula>
    </cfRule>
  </conditionalFormatting>
  <conditionalFormatting sqref="D9:D22">
    <cfRule type="cellIs" dxfId="2098" priority="3094" operator="equal">
      <formula>"EM PROCESSO"</formula>
    </cfRule>
  </conditionalFormatting>
  <conditionalFormatting sqref="D9:D68">
    <cfRule type="cellIs" dxfId="2097" priority="3088" operator="equal">
      <formula>"EM PROCESSO"</formula>
    </cfRule>
  </conditionalFormatting>
  <conditionalFormatting sqref="D9:D17">
    <cfRule type="cellIs" dxfId="2096" priority="3086" operator="equal">
      <formula>"FINALIZADO"</formula>
    </cfRule>
  </conditionalFormatting>
  <conditionalFormatting sqref="D9:D17">
    <cfRule type="cellIs" dxfId="2095" priority="3085" operator="equal">
      <formula>"EM PROCESSO"</formula>
    </cfRule>
  </conditionalFormatting>
  <conditionalFormatting sqref="D9:D699">
    <cfRule type="cellIs" dxfId="2094" priority="3084" operator="equal">
      <formula>"NÃO INICIADO"</formula>
    </cfRule>
    <cfRule type="cellIs" dxfId="2093" priority="3083" operator="equal">
      <formula>"FINALIZADO"</formula>
    </cfRule>
    <cfRule type="cellIs" dxfId="2092" priority="3082" operator="equal">
      <formula>"EM PROCESSO"</formula>
    </cfRule>
  </conditionalFormatting>
  <conditionalFormatting sqref="D9:D492">
    <cfRule type="cellIs" dxfId="2091" priority="3081" operator="equal">
      <formula>"NÃO INICIADO"</formula>
    </cfRule>
    <cfRule type="cellIs" dxfId="2090" priority="3080" operator="equal">
      <formula>"FINALIZADO"</formula>
    </cfRule>
    <cfRule type="cellIs" dxfId="2089" priority="3079" operator="equal">
      <formula>"EM PROCESSO"</formula>
    </cfRule>
  </conditionalFormatting>
  <conditionalFormatting sqref="D9:D13">
    <cfRule type="cellIs" dxfId="2088" priority="3077" operator="equal">
      <formula>"FINALIZADO"</formula>
    </cfRule>
  </conditionalFormatting>
  <conditionalFormatting sqref="D9:D13">
    <cfRule type="cellIs" dxfId="2087" priority="3076" operator="equal">
      <formula>"EM PROCESSO"</formula>
    </cfRule>
    <cfRule type="cellIs" dxfId="2086" priority="2627" operator="equal">
      <formula>"FINALIZADO"</formula>
    </cfRule>
    <cfRule type="cellIs" dxfId="2085" priority="2492" operator="equal">
      <formula>"FINALIZADO"</formula>
    </cfRule>
    <cfRule type="cellIs" dxfId="2084" priority="884" operator="equal">
      <formula>"FINALIZADO"</formula>
    </cfRule>
    <cfRule type="cellIs" dxfId="2083" priority="395" operator="equal">
      <formula>"FINALIZADO"</formula>
    </cfRule>
  </conditionalFormatting>
  <conditionalFormatting sqref="D9:D32">
    <cfRule type="cellIs" dxfId="2082" priority="3075" operator="equal">
      <formula>"NÃO INICIADO"</formula>
    </cfRule>
  </conditionalFormatting>
  <conditionalFormatting sqref="D9:D32">
    <cfRule type="cellIs" dxfId="2081" priority="3074" operator="equal">
      <formula>"FINALIZADO"</formula>
    </cfRule>
  </conditionalFormatting>
  <conditionalFormatting sqref="D9:D32">
    <cfRule type="cellIs" dxfId="2080" priority="3073" operator="equal">
      <formula>"EM PROCESSO"</formula>
    </cfRule>
  </conditionalFormatting>
  <conditionalFormatting sqref="D9:D107">
    <cfRule type="cellIs" dxfId="2079" priority="3072" operator="equal">
      <formula>"NÃO INICIADO"</formula>
    </cfRule>
  </conditionalFormatting>
  <conditionalFormatting sqref="D9:D107">
    <cfRule type="cellIs" dxfId="2078" priority="3071" operator="equal">
      <formula>"FINALIZADO"</formula>
    </cfRule>
  </conditionalFormatting>
  <conditionalFormatting sqref="D9:D107">
    <cfRule type="cellIs" dxfId="2077" priority="3070" operator="equal">
      <formula>"EM PROCESSO"</formula>
    </cfRule>
  </conditionalFormatting>
  <conditionalFormatting sqref="D9:D132">
    <cfRule type="cellIs" dxfId="2076" priority="3069" operator="equal">
      <formula>"NÃO INICIADO"</formula>
    </cfRule>
  </conditionalFormatting>
  <conditionalFormatting sqref="D9:D132">
    <cfRule type="cellIs" dxfId="2075" priority="3068" operator="equal">
      <formula>"FINALIZADO"</formula>
    </cfRule>
  </conditionalFormatting>
  <conditionalFormatting sqref="D9:D132">
    <cfRule type="cellIs" dxfId="2074" priority="3067" operator="equal">
      <formula>"EM PROCESSO"</formula>
    </cfRule>
  </conditionalFormatting>
  <conditionalFormatting sqref="D9:D77">
    <cfRule type="cellIs" dxfId="2073" priority="3065" operator="equal">
      <formula>"FINALIZADO"</formula>
    </cfRule>
  </conditionalFormatting>
  <conditionalFormatting sqref="D9:D77">
    <cfRule type="cellIs" dxfId="2072" priority="3064" operator="equal">
      <formula>"EM PROCESSO"</formula>
    </cfRule>
  </conditionalFormatting>
  <conditionalFormatting sqref="D9:D235">
    <cfRule type="cellIs" dxfId="2071" priority="3063" operator="equal">
      <formula>"NÃO INICIADO"</formula>
    </cfRule>
  </conditionalFormatting>
  <conditionalFormatting sqref="D9:D235">
    <cfRule type="cellIs" dxfId="2070" priority="3062" operator="equal">
      <formula>"FINALIZADO"</formula>
    </cfRule>
  </conditionalFormatting>
  <conditionalFormatting sqref="D9:D235">
    <cfRule type="cellIs" dxfId="2069" priority="3061" operator="equal">
      <formula>"EM PROCESSO"</formula>
    </cfRule>
  </conditionalFormatting>
  <conditionalFormatting sqref="D9:D42">
    <cfRule type="cellIs" dxfId="2068" priority="3060" operator="equal">
      <formula>"NÃO INICIADO"</formula>
    </cfRule>
  </conditionalFormatting>
  <conditionalFormatting sqref="D9:D42">
    <cfRule type="cellIs" dxfId="2067" priority="3059" operator="equal">
      <formula>"FINALIZADO"</formula>
    </cfRule>
  </conditionalFormatting>
  <conditionalFormatting sqref="D9:D42">
    <cfRule type="cellIs" dxfId="2066" priority="3058" operator="equal">
      <formula>"EM PROCESSO"</formula>
    </cfRule>
  </conditionalFormatting>
  <conditionalFormatting sqref="D9:D253">
    <cfRule type="cellIs" dxfId="2065" priority="3057" operator="equal">
      <formula>"NÃO INICIADO"</formula>
    </cfRule>
  </conditionalFormatting>
  <conditionalFormatting sqref="D9:D253">
    <cfRule type="cellIs" dxfId="2064" priority="3056" operator="equal">
      <formula>"FINALIZADO"</formula>
    </cfRule>
  </conditionalFormatting>
  <conditionalFormatting sqref="D9:D253">
    <cfRule type="cellIs" dxfId="2063" priority="3055" operator="equal">
      <formula>"EM PROCESSO"</formula>
    </cfRule>
  </conditionalFormatting>
  <conditionalFormatting sqref="D9:D14">
    <cfRule type="cellIs" dxfId="2062" priority="3046" operator="equal">
      <formula>"EM PROCESSO"</formula>
    </cfRule>
    <cfRule type="cellIs" dxfId="2061" priority="1945" operator="equal">
      <formula>"EM PROCESSO"</formula>
    </cfRule>
    <cfRule type="cellIs" dxfId="2060" priority="1627" operator="equal">
      <formula>"EM PROCESSO"</formula>
    </cfRule>
  </conditionalFormatting>
  <conditionalFormatting sqref="D9:D21">
    <cfRule type="cellIs" dxfId="2059" priority="3042" operator="equal">
      <formula>"NÃO INICIADO"</formula>
    </cfRule>
  </conditionalFormatting>
  <conditionalFormatting sqref="D9:D21">
    <cfRule type="cellIs" dxfId="2058" priority="3041" operator="equal">
      <formula>"FINALIZADO"</formula>
    </cfRule>
    <cfRule type="cellIs" dxfId="2057" priority="2204" operator="equal">
      <formula>"FINALIZADO"</formula>
    </cfRule>
  </conditionalFormatting>
  <conditionalFormatting sqref="D9:D21">
    <cfRule type="cellIs" dxfId="2056" priority="3040" operator="equal">
      <formula>"EM PROCESSO"</formula>
    </cfRule>
    <cfRule type="cellIs" dxfId="2055" priority="1885" operator="equal">
      <formula>"EM PROCESSO"</formula>
    </cfRule>
    <cfRule type="cellIs" dxfId="2054" priority="1879" operator="equal">
      <formula>"EM PROCESSO"</formula>
    </cfRule>
  </conditionalFormatting>
  <conditionalFormatting sqref="D9:D205">
    <cfRule type="cellIs" dxfId="2053" priority="3039" operator="equal">
      <formula>"NÃO INICIADO"</formula>
    </cfRule>
  </conditionalFormatting>
  <conditionalFormatting sqref="D9:D205">
    <cfRule type="cellIs" dxfId="2052" priority="3038" operator="equal">
      <formula>"FINALIZADO"</formula>
    </cfRule>
  </conditionalFormatting>
  <conditionalFormatting sqref="D9:D205">
    <cfRule type="cellIs" dxfId="2051" priority="3037" operator="equal">
      <formula>"EM PROCESSO"</formula>
    </cfRule>
  </conditionalFormatting>
  <conditionalFormatting sqref="D9:D31">
    <cfRule type="cellIs" dxfId="2050" priority="3034" operator="equal">
      <formula>"EM PROCESSO"</formula>
    </cfRule>
  </conditionalFormatting>
  <conditionalFormatting sqref="D9:D296">
    <cfRule type="cellIs" dxfId="2049" priority="3033" operator="equal">
      <formula>"NÃO INICIADO"</formula>
    </cfRule>
  </conditionalFormatting>
  <conditionalFormatting sqref="D9:D296">
    <cfRule type="cellIs" dxfId="2048" priority="3032" operator="equal">
      <formula>"FINALIZADO"</formula>
    </cfRule>
  </conditionalFormatting>
  <conditionalFormatting sqref="D9:D296">
    <cfRule type="cellIs" dxfId="2047" priority="3031" operator="equal">
      <formula>"EM PROCESSO"</formula>
    </cfRule>
  </conditionalFormatting>
  <conditionalFormatting sqref="D9:D94">
    <cfRule type="cellIs" dxfId="2046" priority="3030" operator="equal">
      <formula>"NÃO INICIADO"</formula>
    </cfRule>
  </conditionalFormatting>
  <conditionalFormatting sqref="D9:D94">
    <cfRule type="cellIs" dxfId="2045" priority="3029" operator="equal">
      <formula>"FINALIZADO"</formula>
    </cfRule>
  </conditionalFormatting>
  <conditionalFormatting sqref="D9:D94">
    <cfRule type="cellIs" dxfId="2044" priority="3028" operator="equal">
      <formula>"EM PROCESSO"</formula>
    </cfRule>
  </conditionalFormatting>
  <conditionalFormatting sqref="D9:D150">
    <cfRule type="cellIs" dxfId="2043" priority="3027" operator="equal">
      <formula>"NÃO INICIADO"</formula>
    </cfRule>
    <cfRule type="cellIs" dxfId="2042" priority="3025" operator="equal">
      <formula>"EM PROCESSO"</formula>
    </cfRule>
  </conditionalFormatting>
  <conditionalFormatting sqref="D9:D968">
    <cfRule type="cellIs" dxfId="2041" priority="3024" operator="equal">
      <formula>"NÃO INICIADO"</formula>
    </cfRule>
    <cfRule type="cellIs" dxfId="2040" priority="3023" operator="equal">
      <formula>"FINALIZADO"</formula>
    </cfRule>
    <cfRule type="cellIs" dxfId="2039" priority="3022" operator="equal">
      <formula>"EM PROCESSO"</formula>
    </cfRule>
  </conditionalFormatting>
  <conditionalFormatting sqref="D9:D49">
    <cfRule type="cellIs" dxfId="2038" priority="3021" operator="equal">
      <formula>"NÃO INICIADO"</formula>
    </cfRule>
  </conditionalFormatting>
  <conditionalFormatting sqref="D9:D49">
    <cfRule type="cellIs" dxfId="2037" priority="3020" operator="equal">
      <formula>"FINALIZADO"</formula>
    </cfRule>
  </conditionalFormatting>
  <conditionalFormatting sqref="D9:D49">
    <cfRule type="cellIs" dxfId="2036" priority="3019" operator="equal">
      <formula>"EM PROCESSO"</formula>
    </cfRule>
  </conditionalFormatting>
  <conditionalFormatting sqref="D9:D13">
    <cfRule type="cellIs" dxfId="2035" priority="3014" operator="equal">
      <formula>"FINALIZADO"</formula>
    </cfRule>
    <cfRule type="cellIs" dxfId="2034" priority="2038" operator="equal">
      <formula>"EM PROCESSO"</formula>
    </cfRule>
    <cfRule type="cellIs" dxfId="2033" priority="394" operator="equal">
      <formula>"EM PROCESSO"</formula>
    </cfRule>
    <cfRule type="cellIs" dxfId="2032" priority="259" operator="equal">
      <formula>"EM PROCESSO"</formula>
    </cfRule>
    <cfRule type="cellIs" dxfId="2031" priority="95" operator="equal">
      <formula>"FINALIZADO"</formula>
    </cfRule>
  </conditionalFormatting>
  <conditionalFormatting sqref="D9:D13">
    <cfRule type="cellIs" dxfId="2030" priority="3013" operator="equal">
      <formula>"EM PROCESSO"</formula>
    </cfRule>
    <cfRule type="cellIs" dxfId="2029" priority="2062" operator="equal">
      <formula>"EM PROCESSO"</formula>
    </cfRule>
    <cfRule type="cellIs" dxfId="2028" priority="137" operator="equal">
      <formula>"FINALIZADO"</formula>
    </cfRule>
  </conditionalFormatting>
  <conditionalFormatting sqref="D9:D147">
    <cfRule type="cellIs" dxfId="2027" priority="3012" operator="equal">
      <formula>"NÃO INICIADO"</formula>
    </cfRule>
  </conditionalFormatting>
  <conditionalFormatting sqref="D9:D147">
    <cfRule type="cellIs" dxfId="2026" priority="3011" operator="equal">
      <formula>"FINALIZADO"</formula>
    </cfRule>
  </conditionalFormatting>
  <conditionalFormatting sqref="D9:D147">
    <cfRule type="cellIs" dxfId="2025" priority="3010" operator="equal">
      <formula>"EM PROCESSO"</formula>
    </cfRule>
  </conditionalFormatting>
  <conditionalFormatting sqref="D9:D146">
    <cfRule type="cellIs" dxfId="2024" priority="3009" operator="equal">
      <formula>"NÃO INICIADO"</formula>
    </cfRule>
  </conditionalFormatting>
  <conditionalFormatting sqref="D9:D146">
    <cfRule type="cellIs" dxfId="2023" priority="3008" operator="equal">
      <formula>"FINALIZADO"</formula>
    </cfRule>
  </conditionalFormatting>
  <conditionalFormatting sqref="D9:D146">
    <cfRule type="cellIs" dxfId="2022" priority="3007" operator="equal">
      <formula>"EM PROCESSO"</formula>
    </cfRule>
  </conditionalFormatting>
  <conditionalFormatting sqref="D9:D202">
    <cfRule type="cellIs" dxfId="2021" priority="3006" operator="equal">
      <formula>"NÃO INICIADO"</formula>
    </cfRule>
  </conditionalFormatting>
  <conditionalFormatting sqref="D9:D202">
    <cfRule type="cellIs" dxfId="2020" priority="3005" operator="equal">
      <formula>"FINALIZADO"</formula>
    </cfRule>
  </conditionalFormatting>
  <conditionalFormatting sqref="D9:D202">
    <cfRule type="cellIs" dxfId="2019" priority="3004" operator="equal">
      <formula>"EM PROCESSO"</formula>
    </cfRule>
  </conditionalFormatting>
  <conditionalFormatting sqref="D9:D38">
    <cfRule type="cellIs" dxfId="2018" priority="3003" operator="equal">
      <formula>"NÃO INICIADO"</formula>
    </cfRule>
  </conditionalFormatting>
  <conditionalFormatting sqref="D9:D38">
    <cfRule type="cellIs" dxfId="2017" priority="3002" operator="equal">
      <formula>"FINALIZADO"</formula>
    </cfRule>
  </conditionalFormatting>
  <conditionalFormatting sqref="D9:D38">
    <cfRule type="cellIs" dxfId="2016" priority="3001" operator="equal">
      <formula>"EM PROCESSO"</formula>
    </cfRule>
  </conditionalFormatting>
  <conditionalFormatting sqref="D9:D308">
    <cfRule type="cellIs" dxfId="2015" priority="3000" operator="equal">
      <formula>"NÃO INICIADO"</formula>
    </cfRule>
  </conditionalFormatting>
  <conditionalFormatting sqref="D9:D308">
    <cfRule type="cellIs" dxfId="2014" priority="2999" operator="equal">
      <formula>"FINALIZADO"</formula>
    </cfRule>
  </conditionalFormatting>
  <conditionalFormatting sqref="D9:D308">
    <cfRule type="cellIs" dxfId="2013" priority="2998" operator="equal">
      <formula>"EM PROCESSO"</formula>
    </cfRule>
  </conditionalFormatting>
  <conditionalFormatting sqref="D9:D197">
    <cfRule type="cellIs" dxfId="2012" priority="2997" operator="equal">
      <formula>"NÃO INICIADO"</formula>
    </cfRule>
  </conditionalFormatting>
  <conditionalFormatting sqref="D9:D197">
    <cfRule type="cellIs" dxfId="2011" priority="2996" operator="equal">
      <formula>"FINALIZADO"</formula>
    </cfRule>
  </conditionalFormatting>
  <conditionalFormatting sqref="D9:D197">
    <cfRule type="cellIs" dxfId="2010" priority="2995" operator="equal">
      <formula>"EM PROCESSO"</formula>
    </cfRule>
  </conditionalFormatting>
  <conditionalFormatting sqref="D9:D71">
    <cfRule type="cellIs" dxfId="2009" priority="2994" operator="equal">
      <formula>"NÃO INICIADO"</formula>
    </cfRule>
  </conditionalFormatting>
  <conditionalFormatting sqref="D9:D71">
    <cfRule type="cellIs" dxfId="2008" priority="2993" operator="equal">
      <formula>"FINALIZADO"</formula>
    </cfRule>
  </conditionalFormatting>
  <conditionalFormatting sqref="D9:D71">
    <cfRule type="cellIs" dxfId="2007" priority="2992" operator="equal">
      <formula>"EM PROCESSO"</formula>
    </cfRule>
  </conditionalFormatting>
  <conditionalFormatting sqref="D9:D95">
    <cfRule type="cellIs" dxfId="2006" priority="2991" operator="equal">
      <formula>"NÃO INICIADO"</formula>
    </cfRule>
  </conditionalFormatting>
  <conditionalFormatting sqref="D9:D95">
    <cfRule type="cellIs" dxfId="2005" priority="2990" operator="equal">
      <formula>"FINALIZADO"</formula>
    </cfRule>
  </conditionalFormatting>
  <conditionalFormatting sqref="D9:D95">
    <cfRule type="cellIs" dxfId="2004" priority="2989" operator="equal">
      <formula>"EM PROCESSO"</formula>
    </cfRule>
  </conditionalFormatting>
  <conditionalFormatting sqref="D9:D37">
    <cfRule type="cellIs" dxfId="2003" priority="2988" operator="equal">
      <formula>"NÃO INICIADO"</formula>
    </cfRule>
  </conditionalFormatting>
  <conditionalFormatting sqref="D9:D37">
    <cfRule type="cellIs" dxfId="2002" priority="2987" operator="equal">
      <formula>"FINALIZADO"</formula>
    </cfRule>
  </conditionalFormatting>
  <conditionalFormatting sqref="D9:D37">
    <cfRule type="cellIs" dxfId="2001" priority="2986" operator="equal">
      <formula>"EM PROCESSO"</formula>
    </cfRule>
  </conditionalFormatting>
  <conditionalFormatting sqref="D9:D14">
    <cfRule type="cellIs" dxfId="2000" priority="2982" operator="equal">
      <formula>"NÃO INICIADO"</formula>
    </cfRule>
    <cfRule type="cellIs" dxfId="1999" priority="315" operator="equal">
      <formula>"NÃO INICIADO"</formula>
    </cfRule>
    <cfRule type="cellIs" dxfId="1998" priority="124" operator="equal">
      <formula>"EM PROCESSO"</formula>
    </cfRule>
  </conditionalFormatting>
  <conditionalFormatting sqref="D9:D14">
    <cfRule type="cellIs" dxfId="1997" priority="2981" operator="equal">
      <formula>"FINALIZADO"</formula>
    </cfRule>
    <cfRule type="cellIs" dxfId="1996" priority="629" operator="equal">
      <formula>"FINALIZADO"</formula>
    </cfRule>
    <cfRule type="cellIs" dxfId="1995" priority="125" operator="equal">
      <formula>"FINALIZADO"</formula>
    </cfRule>
  </conditionalFormatting>
  <conditionalFormatting sqref="D9:D14">
    <cfRule type="cellIs" dxfId="1994" priority="2980" operator="equal">
      <formula>"EM PROCESSO"</formula>
    </cfRule>
    <cfRule type="cellIs" dxfId="1993" priority="314" operator="equal">
      <formula>"FINALIZADO"</formula>
    </cfRule>
  </conditionalFormatting>
  <conditionalFormatting sqref="D9:D37">
    <cfRule type="cellIs" dxfId="1992" priority="2973" operator="equal">
      <formula>"NÃO INICIADO"</formula>
    </cfRule>
  </conditionalFormatting>
  <conditionalFormatting sqref="D9:D37">
    <cfRule type="cellIs" dxfId="1991" priority="2972" operator="equal">
      <formula>"FINALIZADO"</formula>
    </cfRule>
  </conditionalFormatting>
  <conditionalFormatting sqref="D9:D37">
    <cfRule type="cellIs" dxfId="1990" priority="2971" operator="equal">
      <formula>"EM PROCESSO"</formula>
    </cfRule>
  </conditionalFormatting>
  <conditionalFormatting sqref="D9:D40">
    <cfRule type="cellIs" dxfId="1989" priority="2970" operator="equal">
      <formula>"NÃO INICIADO"</formula>
    </cfRule>
    <cfRule type="cellIs" dxfId="1988" priority="738" operator="equal">
      <formula>"NÃO INICIADO"</formula>
    </cfRule>
  </conditionalFormatting>
  <conditionalFormatting sqref="D9:D40">
    <cfRule type="cellIs" dxfId="1987" priority="2969" operator="equal">
      <formula>"FINALIZADO"</formula>
    </cfRule>
    <cfRule type="cellIs" dxfId="1986" priority="737" operator="equal">
      <formula>"FINALIZADO"</formula>
    </cfRule>
    <cfRule type="cellIs" dxfId="1985" priority="368" operator="equal">
      <formula>"FINALIZADO"</formula>
    </cfRule>
  </conditionalFormatting>
  <conditionalFormatting sqref="D9:D40">
    <cfRule type="cellIs" dxfId="1984" priority="2968" operator="equal">
      <formula>"EM PROCESSO"</formula>
    </cfRule>
    <cfRule type="cellIs" dxfId="1983" priority="1500" operator="equal">
      <formula>"NÃO INICIADO"</formula>
    </cfRule>
  </conditionalFormatting>
  <conditionalFormatting sqref="D9:D171">
    <cfRule type="cellIs" dxfId="1982" priority="2967" operator="equal">
      <formula>"NÃO INICIADO"</formula>
    </cfRule>
  </conditionalFormatting>
  <conditionalFormatting sqref="D9:D171">
    <cfRule type="cellIs" dxfId="1981" priority="2966" operator="equal">
      <formula>"FINALIZADO"</formula>
    </cfRule>
  </conditionalFormatting>
  <conditionalFormatting sqref="D9:D171">
    <cfRule type="cellIs" dxfId="1980" priority="2965" operator="equal">
      <formula>"EM PROCESSO"</formula>
    </cfRule>
  </conditionalFormatting>
  <conditionalFormatting sqref="D9:D93">
    <cfRule type="cellIs" dxfId="1979" priority="2964" operator="equal">
      <formula>"NÃO INICIADO"</formula>
    </cfRule>
  </conditionalFormatting>
  <conditionalFormatting sqref="D9:D93">
    <cfRule type="cellIs" dxfId="1978" priority="2963" operator="equal">
      <formula>"FINALIZADO"</formula>
    </cfRule>
    <cfRule type="cellIs" dxfId="1977" priority="1428" operator="equal">
      <formula>"NÃO INICIADO"</formula>
    </cfRule>
  </conditionalFormatting>
  <conditionalFormatting sqref="D9:D93">
    <cfRule type="cellIs" dxfId="1976" priority="2962" operator="equal">
      <formula>"EM PROCESSO"</formula>
    </cfRule>
  </conditionalFormatting>
  <conditionalFormatting sqref="D9:D84">
    <cfRule type="cellIs" dxfId="1975" priority="2961" operator="equal">
      <formula>"NÃO INICIADO"</formula>
    </cfRule>
  </conditionalFormatting>
  <conditionalFormatting sqref="D9:D84">
    <cfRule type="cellIs" dxfId="1974" priority="2960" operator="equal">
      <formula>"FINALIZADO"</formula>
    </cfRule>
  </conditionalFormatting>
  <conditionalFormatting sqref="D9:D84">
    <cfRule type="cellIs" dxfId="1973" priority="2959" operator="equal">
      <formula>"EM PROCESSO"</formula>
    </cfRule>
  </conditionalFormatting>
  <conditionalFormatting sqref="D9:D429">
    <cfRule type="cellIs" dxfId="1972" priority="2958" operator="equal">
      <formula>"NÃO INICIADO"</formula>
    </cfRule>
    <cfRule type="cellIs" dxfId="1971" priority="2957" operator="equal">
      <formula>"FINALIZADO"</formula>
    </cfRule>
    <cfRule type="cellIs" dxfId="1970" priority="2956" operator="equal">
      <formula>"EM PROCESSO"</formula>
    </cfRule>
  </conditionalFormatting>
  <conditionalFormatting sqref="D9:D174">
    <cfRule type="cellIs" dxfId="1969" priority="2955" operator="equal">
      <formula>"NÃO INICIADO"</formula>
    </cfRule>
  </conditionalFormatting>
  <conditionalFormatting sqref="D9:D174">
    <cfRule type="cellIs" dxfId="1968" priority="2954" operator="equal">
      <formula>"FINALIZADO"</formula>
    </cfRule>
  </conditionalFormatting>
  <conditionalFormatting sqref="D9:D174">
    <cfRule type="cellIs" dxfId="1967" priority="2953" operator="equal">
      <formula>"EM PROCESSO"</formula>
    </cfRule>
  </conditionalFormatting>
  <conditionalFormatting sqref="D9:D503">
    <cfRule type="cellIs" dxfId="1966" priority="2952" operator="equal">
      <formula>"NÃO INICIADO"</formula>
    </cfRule>
    <cfRule type="cellIs" dxfId="1965" priority="2951" operator="equal">
      <formula>"FINALIZADO"</formula>
    </cfRule>
    <cfRule type="cellIs" dxfId="1964" priority="2950" operator="equal">
      <formula>"EM PROCESSO"</formula>
    </cfRule>
  </conditionalFormatting>
  <conditionalFormatting sqref="D9:D39">
    <cfRule type="cellIs" dxfId="1963" priority="2949" operator="equal">
      <formula>"NÃO INICIADO"</formula>
    </cfRule>
    <cfRule type="cellIs" dxfId="1962" priority="1399" operator="equal">
      <formula>"EM PROCESSO"</formula>
    </cfRule>
    <cfRule type="cellIs" dxfId="1961" priority="218" operator="equal">
      <formula>"FINALIZADO"</formula>
    </cfRule>
  </conditionalFormatting>
  <conditionalFormatting sqref="D9:D39">
    <cfRule type="cellIs" dxfId="1960" priority="2948" operator="equal">
      <formula>"FINALIZADO"</formula>
    </cfRule>
    <cfRule type="cellIs" dxfId="1959" priority="1968" operator="equal">
      <formula>"NÃO INICIADO"</formula>
    </cfRule>
    <cfRule type="cellIs" dxfId="1958" priority="1430" operator="equal">
      <formula>"FINALIZADO"</formula>
    </cfRule>
    <cfRule type="cellIs" dxfId="1957" priority="1416" operator="equal">
      <formula>"NÃO INICIADO"</formula>
    </cfRule>
    <cfRule type="cellIs" dxfId="1956" priority="1413" operator="equal">
      <formula>"NÃO INICIADO"</formula>
    </cfRule>
  </conditionalFormatting>
  <conditionalFormatting sqref="D9:D39">
    <cfRule type="cellIs" dxfId="1955" priority="2947" operator="equal">
      <formula>"EM PROCESSO"</formula>
    </cfRule>
  </conditionalFormatting>
  <conditionalFormatting sqref="D9:D31">
    <cfRule type="cellIs" dxfId="1954" priority="2946" operator="equal">
      <formula>"NÃO INICIADO"</formula>
    </cfRule>
  </conditionalFormatting>
  <conditionalFormatting sqref="D9:D31">
    <cfRule type="cellIs" dxfId="1953" priority="2945" operator="equal">
      <formula>"FINALIZADO"</formula>
    </cfRule>
  </conditionalFormatting>
  <conditionalFormatting sqref="D9:D31">
    <cfRule type="cellIs" dxfId="1952" priority="2944" operator="equal">
      <formula>"EM PROCESSO"</formula>
    </cfRule>
  </conditionalFormatting>
  <conditionalFormatting sqref="D9:D40">
    <cfRule type="cellIs" dxfId="1951" priority="2934" operator="equal">
      <formula>"NÃO INICIADO"</formula>
    </cfRule>
  </conditionalFormatting>
  <conditionalFormatting sqref="D9:D40">
    <cfRule type="cellIs" dxfId="1950" priority="2933" operator="equal">
      <formula>"FINALIZADO"</formula>
    </cfRule>
  </conditionalFormatting>
  <conditionalFormatting sqref="D9:D40">
    <cfRule type="cellIs" dxfId="1949" priority="2932" operator="equal">
      <formula>"EM PROCESSO"</formula>
    </cfRule>
  </conditionalFormatting>
  <conditionalFormatting sqref="D9:D82">
    <cfRule type="cellIs" dxfId="1948" priority="2928" operator="equal">
      <formula>"NÃO INICIADO"</formula>
    </cfRule>
  </conditionalFormatting>
  <conditionalFormatting sqref="D9:D82">
    <cfRule type="cellIs" dxfId="1947" priority="2927" operator="equal">
      <formula>"FINALIZADO"</formula>
    </cfRule>
  </conditionalFormatting>
  <conditionalFormatting sqref="D9:D82">
    <cfRule type="cellIs" dxfId="1946" priority="2926" operator="equal">
      <formula>"EM PROCESSO"</formula>
    </cfRule>
  </conditionalFormatting>
  <conditionalFormatting sqref="D9:D669">
    <cfRule type="cellIs" dxfId="1945" priority="2925" operator="equal">
      <formula>"NÃO INICIADO"</formula>
    </cfRule>
    <cfRule type="cellIs" dxfId="1944" priority="2924" operator="equal">
      <formula>"FINALIZADO"</formula>
    </cfRule>
    <cfRule type="cellIs" dxfId="1943" priority="2923" operator="equal">
      <formula>"EM PROCESSO"</formula>
    </cfRule>
  </conditionalFormatting>
  <conditionalFormatting sqref="D9:D194">
    <cfRule type="cellIs" dxfId="1942" priority="2922" operator="equal">
      <formula>"NÃO INICIADO"</formula>
    </cfRule>
  </conditionalFormatting>
  <conditionalFormatting sqref="D9:D194">
    <cfRule type="cellIs" dxfId="1941" priority="2921" operator="equal">
      <formula>"FINALIZADO"</formula>
    </cfRule>
  </conditionalFormatting>
  <conditionalFormatting sqref="D9:D194">
    <cfRule type="cellIs" dxfId="1940" priority="2920" operator="equal">
      <formula>"EM PROCESSO"</formula>
    </cfRule>
  </conditionalFormatting>
  <conditionalFormatting sqref="D9:D142">
    <cfRule type="cellIs" dxfId="1939" priority="2919" operator="equal">
      <formula>"NÃO INICIADO"</formula>
    </cfRule>
  </conditionalFormatting>
  <conditionalFormatting sqref="D9:D142">
    <cfRule type="cellIs" dxfId="1938" priority="2918" operator="equal">
      <formula>"FINALIZADO"</formula>
    </cfRule>
  </conditionalFormatting>
  <conditionalFormatting sqref="D9:D142">
    <cfRule type="cellIs" dxfId="1937" priority="2917" operator="equal">
      <formula>"EM PROCESSO"</formula>
    </cfRule>
  </conditionalFormatting>
  <conditionalFormatting sqref="D9:D84">
    <cfRule type="cellIs" dxfId="1936" priority="2916" operator="equal">
      <formula>"NÃO INICIADO"</formula>
    </cfRule>
  </conditionalFormatting>
  <conditionalFormatting sqref="D9:D84">
    <cfRule type="cellIs" dxfId="1935" priority="2915" operator="equal">
      <formula>"FINALIZADO"</formula>
    </cfRule>
  </conditionalFormatting>
  <conditionalFormatting sqref="D9:D84">
    <cfRule type="cellIs" dxfId="1934" priority="2914" operator="equal">
      <formula>"EM PROCESSO"</formula>
    </cfRule>
  </conditionalFormatting>
  <conditionalFormatting sqref="D9:D81">
    <cfRule type="cellIs" dxfId="1933" priority="2913" operator="equal">
      <formula>"NÃO INICIADO"</formula>
    </cfRule>
  </conditionalFormatting>
  <conditionalFormatting sqref="D9:D81">
    <cfRule type="cellIs" dxfId="1932" priority="2912" operator="equal">
      <formula>"FINALIZADO"</formula>
    </cfRule>
  </conditionalFormatting>
  <conditionalFormatting sqref="D9:D81">
    <cfRule type="cellIs" dxfId="1931" priority="2911" operator="equal">
      <formula>"EM PROCESSO"</formula>
    </cfRule>
  </conditionalFormatting>
  <conditionalFormatting sqref="D9:D585">
    <cfRule type="cellIs" dxfId="1930" priority="2910" operator="equal">
      <formula>"NÃO INICIADO"</formula>
    </cfRule>
    <cfRule type="cellIs" dxfId="1929" priority="2909" operator="equal">
      <formula>"FINALIZADO"</formula>
    </cfRule>
    <cfRule type="cellIs" dxfId="1928" priority="2908" operator="equal">
      <formula>"EM PROCESSO"</formula>
    </cfRule>
  </conditionalFormatting>
  <conditionalFormatting sqref="D9:D571">
    <cfRule type="cellIs" dxfId="1927" priority="2907" operator="equal">
      <formula>"NÃO INICIADO"</formula>
    </cfRule>
    <cfRule type="cellIs" dxfId="1926" priority="2906" operator="equal">
      <formula>"FINALIZADO"</formula>
    </cfRule>
    <cfRule type="cellIs" dxfId="1925" priority="2905" operator="equal">
      <formula>"EM PROCESSO"</formula>
    </cfRule>
  </conditionalFormatting>
  <conditionalFormatting sqref="D9:D511">
    <cfRule type="cellIs" dxfId="1924" priority="2904" operator="equal">
      <formula>"NÃO INICIADO"</formula>
    </cfRule>
    <cfRule type="cellIs" dxfId="1923" priority="2903" operator="equal">
      <formula>"FINALIZADO"</formula>
    </cfRule>
    <cfRule type="cellIs" dxfId="1922" priority="2902" operator="equal">
      <formula>"EM PROCESSO"</formula>
    </cfRule>
  </conditionalFormatting>
  <conditionalFormatting sqref="D9:D580">
    <cfRule type="cellIs" dxfId="1921" priority="2901" operator="equal">
      <formula>"NÃO INICIADO"</formula>
    </cfRule>
    <cfRule type="cellIs" dxfId="1920" priority="2900" operator="equal">
      <formula>"FINALIZADO"</formula>
    </cfRule>
    <cfRule type="cellIs" dxfId="1919" priority="2899" operator="equal">
      <formula>"EM PROCESSO"</formula>
    </cfRule>
  </conditionalFormatting>
  <conditionalFormatting sqref="D9:D558">
    <cfRule type="cellIs" dxfId="1918" priority="2898" operator="equal">
      <formula>"NÃO INICIADO"</formula>
    </cfRule>
    <cfRule type="cellIs" dxfId="1917" priority="2897" operator="equal">
      <formula>"FINALIZADO"</formula>
    </cfRule>
    <cfRule type="cellIs" dxfId="1916" priority="2896" operator="equal">
      <formula>"EM PROCESSO"</formula>
    </cfRule>
  </conditionalFormatting>
  <conditionalFormatting sqref="D9:D244">
    <cfRule type="cellIs" dxfId="1915" priority="2895" operator="equal">
      <formula>"NÃO INICIADO"</formula>
    </cfRule>
  </conditionalFormatting>
  <conditionalFormatting sqref="D9:D244">
    <cfRule type="cellIs" dxfId="1914" priority="2894" operator="equal">
      <formula>"FINALIZADO"</formula>
    </cfRule>
  </conditionalFormatting>
  <conditionalFormatting sqref="D9:D244">
    <cfRule type="cellIs" dxfId="1913" priority="2893" operator="equal">
      <formula>"EM PROCESSO"</formula>
    </cfRule>
  </conditionalFormatting>
  <conditionalFormatting sqref="D9:D61">
    <cfRule type="cellIs" dxfId="1912" priority="2892" operator="equal">
      <formula>"NÃO INICIADO"</formula>
    </cfRule>
  </conditionalFormatting>
  <conditionalFormatting sqref="D9:D61">
    <cfRule type="cellIs" dxfId="1911" priority="2891" operator="equal">
      <formula>"FINALIZADO"</formula>
    </cfRule>
  </conditionalFormatting>
  <conditionalFormatting sqref="D9:D61">
    <cfRule type="cellIs" dxfId="1910" priority="2890" operator="equal">
      <formula>"EM PROCESSO"</formula>
    </cfRule>
  </conditionalFormatting>
  <conditionalFormatting sqref="D9:D250">
    <cfRule type="cellIs" dxfId="1909" priority="2886" operator="equal">
      <formula>"NÃO INICIADO"</formula>
    </cfRule>
  </conditionalFormatting>
  <conditionalFormatting sqref="D9:D250">
    <cfRule type="cellIs" dxfId="1908" priority="2885" operator="equal">
      <formula>"FINALIZADO"</formula>
    </cfRule>
  </conditionalFormatting>
  <conditionalFormatting sqref="D9:D250">
    <cfRule type="cellIs" dxfId="1907" priority="2884" operator="equal">
      <formula>"EM PROCESSO"</formula>
    </cfRule>
  </conditionalFormatting>
  <conditionalFormatting sqref="D9:D64">
    <cfRule type="cellIs" dxfId="1906" priority="2883" operator="equal">
      <formula>"NÃO INICIADO"</formula>
    </cfRule>
  </conditionalFormatting>
  <conditionalFormatting sqref="D9:D64">
    <cfRule type="cellIs" dxfId="1905" priority="2882" operator="equal">
      <formula>"FINALIZADO"</formula>
    </cfRule>
  </conditionalFormatting>
  <conditionalFormatting sqref="D9:D64">
    <cfRule type="cellIs" dxfId="1904" priority="2881" operator="equal">
      <formula>"EM PROCESSO"</formula>
    </cfRule>
  </conditionalFormatting>
  <conditionalFormatting sqref="D9:D23">
    <cfRule type="cellIs" dxfId="1903" priority="2880" operator="equal">
      <formula>"NÃO INICIADO"</formula>
    </cfRule>
  </conditionalFormatting>
  <conditionalFormatting sqref="D9:D23">
    <cfRule type="cellIs" dxfId="1902" priority="2879" operator="equal">
      <formula>"FINALIZADO"</formula>
    </cfRule>
  </conditionalFormatting>
  <conditionalFormatting sqref="D9:D23">
    <cfRule type="cellIs" dxfId="1901" priority="2878" operator="equal">
      <formula>"EM PROCESSO"</formula>
    </cfRule>
  </conditionalFormatting>
  <conditionalFormatting sqref="D9:D287">
    <cfRule type="cellIs" dxfId="1900" priority="2877" operator="equal">
      <formula>"NÃO INICIADO"</formula>
    </cfRule>
  </conditionalFormatting>
  <conditionalFormatting sqref="D9:D287">
    <cfRule type="cellIs" dxfId="1899" priority="2876" operator="equal">
      <formula>"FINALIZADO"</formula>
    </cfRule>
  </conditionalFormatting>
  <conditionalFormatting sqref="D9:D287">
    <cfRule type="cellIs" dxfId="1898" priority="2875" operator="equal">
      <formula>"EM PROCESSO"</formula>
    </cfRule>
  </conditionalFormatting>
  <conditionalFormatting sqref="D9:D282">
    <cfRule type="cellIs" dxfId="1897" priority="2874" operator="equal">
      <formula>"NÃO INICIADO"</formula>
    </cfRule>
  </conditionalFormatting>
  <conditionalFormatting sqref="D9:D282">
    <cfRule type="cellIs" dxfId="1896" priority="2873" operator="equal">
      <formula>"FINALIZADO"</formula>
    </cfRule>
  </conditionalFormatting>
  <conditionalFormatting sqref="D9:D282">
    <cfRule type="cellIs" dxfId="1895" priority="2872" operator="equal">
      <formula>"EM PROCESSO"</formula>
    </cfRule>
  </conditionalFormatting>
  <conditionalFormatting sqref="D9:D698">
    <cfRule type="cellIs" dxfId="1894" priority="2871" operator="equal">
      <formula>"NÃO INICIADO"</formula>
    </cfRule>
    <cfRule type="cellIs" dxfId="1893" priority="2870" operator="equal">
      <formula>"FINALIZADO"</formula>
    </cfRule>
    <cfRule type="cellIs" dxfId="1892" priority="2869" operator="equal">
      <formula>"EM PROCESSO"</formula>
    </cfRule>
  </conditionalFormatting>
  <conditionalFormatting sqref="D9:D532">
    <cfRule type="cellIs" dxfId="1891" priority="2868" operator="equal">
      <formula>"NÃO INICIADO"</formula>
    </cfRule>
    <cfRule type="cellIs" dxfId="1890" priority="2867" operator="equal">
      <formula>"FINALIZADO"</formula>
    </cfRule>
    <cfRule type="cellIs" dxfId="1889" priority="2866" operator="equal">
      <formula>"EM PROCESSO"</formula>
    </cfRule>
  </conditionalFormatting>
  <conditionalFormatting sqref="D9:D146">
    <cfRule type="cellIs" dxfId="1888" priority="2865" operator="equal">
      <formula>"NÃO INICIADO"</formula>
    </cfRule>
  </conditionalFormatting>
  <conditionalFormatting sqref="D9:D146">
    <cfRule type="cellIs" dxfId="1887" priority="2864" operator="equal">
      <formula>"FINALIZADO"</formula>
    </cfRule>
  </conditionalFormatting>
  <conditionalFormatting sqref="D9:D146">
    <cfRule type="cellIs" dxfId="1886" priority="2863" operator="equal">
      <formula>"EM PROCESSO"</formula>
    </cfRule>
  </conditionalFormatting>
  <conditionalFormatting sqref="D9:D19">
    <cfRule type="cellIs" dxfId="1885" priority="2862" operator="equal">
      <formula>"NÃO INICIADO"</formula>
    </cfRule>
    <cfRule type="cellIs" dxfId="1884" priority="2603" operator="equal">
      <formula>"FINALIZADO"</formula>
    </cfRule>
  </conditionalFormatting>
  <conditionalFormatting sqref="D9:D19">
    <cfRule type="cellIs" dxfId="1883" priority="2861" operator="equal">
      <formula>"FINALIZADO"</formula>
    </cfRule>
    <cfRule type="cellIs" dxfId="1882" priority="1742" operator="equal">
      <formula>"FINALIZADO"</formula>
    </cfRule>
  </conditionalFormatting>
  <conditionalFormatting sqref="D9:D19">
    <cfRule type="cellIs" dxfId="1881" priority="2860" operator="equal">
      <formula>"EM PROCESSO"</formula>
    </cfRule>
    <cfRule type="cellIs" dxfId="1880" priority="2604" operator="equal">
      <formula>"NÃO INICIADO"</formula>
    </cfRule>
  </conditionalFormatting>
  <conditionalFormatting sqref="D9:D125">
    <cfRule type="cellIs" dxfId="1879" priority="2856" operator="equal">
      <formula>"NÃO INICIADO"</formula>
    </cfRule>
  </conditionalFormatting>
  <conditionalFormatting sqref="D9:D125">
    <cfRule type="cellIs" dxfId="1878" priority="2855" operator="equal">
      <formula>"FINALIZADO"</formula>
    </cfRule>
  </conditionalFormatting>
  <conditionalFormatting sqref="D9:D125">
    <cfRule type="cellIs" dxfId="1877" priority="2854" operator="equal">
      <formula>"EM PROCESSO"</formula>
    </cfRule>
  </conditionalFormatting>
  <conditionalFormatting sqref="D9:D253">
    <cfRule type="cellIs" dxfId="1876" priority="2853" operator="equal">
      <formula>"NÃO INICIADO"</formula>
    </cfRule>
  </conditionalFormatting>
  <conditionalFormatting sqref="D9:D253">
    <cfRule type="cellIs" dxfId="1875" priority="2852" operator="equal">
      <formula>"FINALIZADO"</formula>
    </cfRule>
  </conditionalFormatting>
  <conditionalFormatting sqref="D9:D253">
    <cfRule type="cellIs" dxfId="1874" priority="2851" operator="equal">
      <formula>"EM PROCESSO"</formula>
    </cfRule>
  </conditionalFormatting>
  <conditionalFormatting sqref="D9:D190">
    <cfRule type="cellIs" dxfId="1873" priority="2850" operator="equal">
      <formula>"NÃO INICIADO"</formula>
    </cfRule>
  </conditionalFormatting>
  <conditionalFormatting sqref="D9:D190">
    <cfRule type="cellIs" dxfId="1872" priority="2849" operator="equal">
      <formula>"FINALIZADO"</formula>
    </cfRule>
  </conditionalFormatting>
  <conditionalFormatting sqref="D9:D190">
    <cfRule type="cellIs" dxfId="1871" priority="2848" operator="equal">
      <formula>"EM PROCESSO"</formula>
    </cfRule>
  </conditionalFormatting>
  <conditionalFormatting sqref="D9:D50">
    <cfRule type="cellIs" dxfId="1870" priority="2847" operator="equal">
      <formula>"NÃO INICIADO"</formula>
    </cfRule>
  </conditionalFormatting>
  <conditionalFormatting sqref="D9:D50">
    <cfRule type="cellIs" dxfId="1869" priority="2846" operator="equal">
      <formula>"FINALIZADO"</formula>
    </cfRule>
  </conditionalFormatting>
  <conditionalFormatting sqref="D9:D50">
    <cfRule type="cellIs" dxfId="1868" priority="2845" operator="equal">
      <formula>"EM PROCESSO"</formula>
    </cfRule>
  </conditionalFormatting>
  <conditionalFormatting sqref="D9:D19">
    <cfRule type="cellIs" dxfId="1867" priority="2844" operator="equal">
      <formula>"NÃO INICIADO"</formula>
    </cfRule>
    <cfRule type="cellIs" dxfId="1866" priority="2249" operator="equal">
      <formula>"FINALIZADO"</formula>
    </cfRule>
  </conditionalFormatting>
  <conditionalFormatting sqref="D9:D19">
    <cfRule type="cellIs" dxfId="1865" priority="2843" operator="equal">
      <formula>"FINALIZADO"</formula>
    </cfRule>
  </conditionalFormatting>
  <conditionalFormatting sqref="D9:D19">
    <cfRule type="cellIs" dxfId="1864" priority="2842" operator="equal">
      <formula>"EM PROCESSO"</formula>
    </cfRule>
  </conditionalFormatting>
  <conditionalFormatting sqref="D9:D219">
    <cfRule type="cellIs" dxfId="1863" priority="2841" operator="equal">
      <formula>"NÃO INICIADO"</formula>
    </cfRule>
  </conditionalFormatting>
  <conditionalFormatting sqref="D9:D219">
    <cfRule type="cellIs" dxfId="1862" priority="2840" operator="equal">
      <formula>"FINALIZADO"</formula>
    </cfRule>
  </conditionalFormatting>
  <conditionalFormatting sqref="D9:D219">
    <cfRule type="cellIs" dxfId="1861" priority="2839" operator="equal">
      <formula>"EM PROCESSO"</formula>
    </cfRule>
  </conditionalFormatting>
  <conditionalFormatting sqref="D9:D434">
    <cfRule type="cellIs" dxfId="1860" priority="2838" operator="equal">
      <formula>"NÃO INICIADO"</formula>
    </cfRule>
    <cfRule type="cellIs" dxfId="1859" priority="2837" operator="equal">
      <formula>"FINALIZADO"</formula>
    </cfRule>
    <cfRule type="cellIs" dxfId="1858" priority="2836" operator="equal">
      <formula>"EM PROCESSO"</formula>
    </cfRule>
  </conditionalFormatting>
  <conditionalFormatting sqref="D9:D87">
    <cfRule type="cellIs" dxfId="1857" priority="2835" operator="equal">
      <formula>"NÃO INICIADO"</formula>
    </cfRule>
  </conditionalFormatting>
  <conditionalFormatting sqref="D9:D87">
    <cfRule type="cellIs" dxfId="1856" priority="2834" operator="equal">
      <formula>"FINALIZADO"</formula>
    </cfRule>
  </conditionalFormatting>
  <conditionalFormatting sqref="D9:D87">
    <cfRule type="cellIs" dxfId="1855" priority="2833" operator="equal">
      <formula>"EM PROCESSO"</formula>
    </cfRule>
  </conditionalFormatting>
  <conditionalFormatting sqref="D9:D69">
    <cfRule type="cellIs" dxfId="1854" priority="2832" operator="equal">
      <formula>"NÃO INICIADO"</formula>
    </cfRule>
  </conditionalFormatting>
  <conditionalFormatting sqref="D9:D69">
    <cfRule type="cellIs" dxfId="1853" priority="2831" operator="equal">
      <formula>"FINALIZADO"</formula>
    </cfRule>
  </conditionalFormatting>
  <conditionalFormatting sqref="D9:D69">
    <cfRule type="cellIs" dxfId="1852" priority="2830" operator="equal">
      <formula>"EM PROCESSO"</formula>
    </cfRule>
  </conditionalFormatting>
  <conditionalFormatting sqref="D9:D93">
    <cfRule type="cellIs" dxfId="1851" priority="2829" operator="equal">
      <formula>"NÃO INICIADO"</formula>
    </cfRule>
  </conditionalFormatting>
  <conditionalFormatting sqref="D9:D93">
    <cfRule type="cellIs" dxfId="1850" priority="2828" operator="equal">
      <formula>"FINALIZADO"</formula>
    </cfRule>
  </conditionalFormatting>
  <conditionalFormatting sqref="D9:D93">
    <cfRule type="cellIs" dxfId="1849" priority="2827" operator="equal">
      <formula>"EM PROCESSO"</formula>
    </cfRule>
  </conditionalFormatting>
  <conditionalFormatting sqref="D9:D74">
    <cfRule type="cellIs" dxfId="1848" priority="2826" operator="equal">
      <formula>"NÃO INICIADO"</formula>
    </cfRule>
  </conditionalFormatting>
  <conditionalFormatting sqref="D9:D74">
    <cfRule type="cellIs" dxfId="1847" priority="2825" operator="equal">
      <formula>"FINALIZADO"</formula>
    </cfRule>
  </conditionalFormatting>
  <conditionalFormatting sqref="D9:D74">
    <cfRule type="cellIs" dxfId="1846" priority="2824" operator="equal">
      <formula>"EM PROCESSO"</formula>
    </cfRule>
  </conditionalFormatting>
  <conditionalFormatting sqref="D9:D24">
    <cfRule type="cellIs" dxfId="1845" priority="2823" operator="equal">
      <formula>"NÃO INICIADO"</formula>
    </cfRule>
  </conditionalFormatting>
  <conditionalFormatting sqref="D9:D24">
    <cfRule type="cellIs" dxfId="1844" priority="2822" operator="equal">
      <formula>"FINALIZADO"</formula>
    </cfRule>
  </conditionalFormatting>
  <conditionalFormatting sqref="D9:D24">
    <cfRule type="cellIs" dxfId="1843" priority="2821" operator="equal">
      <formula>"EM PROCESSO"</formula>
    </cfRule>
  </conditionalFormatting>
  <conditionalFormatting sqref="D9:D33">
    <cfRule type="cellIs" dxfId="1842" priority="2820" operator="equal">
      <formula>"NÃO INICIADO"</formula>
    </cfRule>
  </conditionalFormatting>
  <conditionalFormatting sqref="D9:D33">
    <cfRule type="cellIs" dxfId="1841" priority="2819" operator="equal">
      <formula>"FINALIZADO"</formula>
    </cfRule>
  </conditionalFormatting>
  <conditionalFormatting sqref="D9:D33">
    <cfRule type="cellIs" dxfId="1840" priority="2818" operator="equal">
      <formula>"EM PROCESSO"</formula>
    </cfRule>
  </conditionalFormatting>
  <conditionalFormatting sqref="D9:D238">
    <cfRule type="cellIs" dxfId="1839" priority="2817" operator="equal">
      <formula>"NÃO INICIADO"</formula>
    </cfRule>
  </conditionalFormatting>
  <conditionalFormatting sqref="D9:D238">
    <cfRule type="cellIs" dxfId="1838" priority="2816" operator="equal">
      <formula>"FINALIZADO"</formula>
    </cfRule>
  </conditionalFormatting>
  <conditionalFormatting sqref="D9:D238">
    <cfRule type="cellIs" dxfId="1837" priority="2815" operator="equal">
      <formula>"EM PROCESSO"</formula>
    </cfRule>
  </conditionalFormatting>
  <conditionalFormatting sqref="D9:D141">
    <cfRule type="cellIs" dxfId="1836" priority="2814" operator="equal">
      <formula>"NÃO INICIADO"</formula>
    </cfRule>
  </conditionalFormatting>
  <conditionalFormatting sqref="D9:D141">
    <cfRule type="cellIs" dxfId="1835" priority="2813" operator="equal">
      <formula>"FINALIZADO"</formula>
    </cfRule>
  </conditionalFormatting>
  <conditionalFormatting sqref="D9:D141">
    <cfRule type="cellIs" dxfId="1834" priority="2812" operator="equal">
      <formula>"EM PROCESSO"</formula>
    </cfRule>
  </conditionalFormatting>
  <conditionalFormatting sqref="D9:D218">
    <cfRule type="cellIs" dxfId="1833" priority="2811" operator="equal">
      <formula>"NÃO INICIADO"</formula>
    </cfRule>
  </conditionalFormatting>
  <conditionalFormatting sqref="D9:D218">
    <cfRule type="cellIs" dxfId="1832" priority="2810" operator="equal">
      <formula>"FINALIZADO"</formula>
    </cfRule>
  </conditionalFormatting>
  <conditionalFormatting sqref="D9:D218">
    <cfRule type="cellIs" dxfId="1831" priority="2809" operator="equal">
      <formula>"EM PROCESSO"</formula>
    </cfRule>
  </conditionalFormatting>
  <conditionalFormatting sqref="D9:D69">
    <cfRule type="cellIs" dxfId="1830" priority="2808" operator="equal">
      <formula>"NÃO INICIADO"</formula>
    </cfRule>
  </conditionalFormatting>
  <conditionalFormatting sqref="D9:D69">
    <cfRule type="cellIs" dxfId="1829" priority="2807" operator="equal">
      <formula>"FINALIZADO"</formula>
    </cfRule>
  </conditionalFormatting>
  <conditionalFormatting sqref="D9:D69">
    <cfRule type="cellIs" dxfId="1828" priority="2806" operator="equal">
      <formula>"EM PROCESSO"</formula>
    </cfRule>
  </conditionalFormatting>
  <conditionalFormatting sqref="D9:D59">
    <cfRule type="cellIs" dxfId="1827" priority="2802" operator="equal">
      <formula>"NÃO INICIADO"</formula>
    </cfRule>
  </conditionalFormatting>
  <conditionalFormatting sqref="D9:D59">
    <cfRule type="cellIs" dxfId="1826" priority="2801" operator="equal">
      <formula>"FINALIZADO"</formula>
    </cfRule>
  </conditionalFormatting>
  <conditionalFormatting sqref="D9:D59">
    <cfRule type="cellIs" dxfId="1825" priority="2800" operator="equal">
      <formula>"EM PROCESSO"</formula>
    </cfRule>
  </conditionalFormatting>
  <conditionalFormatting sqref="D9:D69">
    <cfRule type="cellIs" dxfId="1824" priority="2793" operator="equal">
      <formula>"NÃO INICIADO"</formula>
    </cfRule>
  </conditionalFormatting>
  <conditionalFormatting sqref="D9:D69">
    <cfRule type="cellIs" dxfId="1823" priority="2792" operator="equal">
      <formula>"FINALIZADO"</formula>
    </cfRule>
  </conditionalFormatting>
  <conditionalFormatting sqref="D9:D69">
    <cfRule type="cellIs" dxfId="1822" priority="2791" operator="equal">
      <formula>"EM PROCESSO"</formula>
    </cfRule>
  </conditionalFormatting>
  <conditionalFormatting sqref="D9:D40">
    <cfRule type="cellIs" dxfId="1821" priority="2790" operator="equal">
      <formula>"NÃO INICIADO"</formula>
    </cfRule>
  </conditionalFormatting>
  <conditionalFormatting sqref="D9:D40">
    <cfRule type="cellIs" dxfId="1820" priority="2789" operator="equal">
      <formula>"FINALIZADO"</formula>
    </cfRule>
  </conditionalFormatting>
  <conditionalFormatting sqref="D9:D40">
    <cfRule type="cellIs" dxfId="1819" priority="2788" operator="equal">
      <formula>"EM PROCESSO"</formula>
    </cfRule>
    <cfRule type="cellIs" dxfId="1818" priority="1499" operator="equal">
      <formula>"FINALIZADO"</formula>
    </cfRule>
  </conditionalFormatting>
  <conditionalFormatting sqref="D9:D215">
    <cfRule type="cellIs" dxfId="1817" priority="2787" operator="equal">
      <formula>"NÃO INICIADO"</formula>
    </cfRule>
  </conditionalFormatting>
  <conditionalFormatting sqref="D9:D215">
    <cfRule type="cellIs" dxfId="1816" priority="2786" operator="equal">
      <formula>"FINALIZADO"</formula>
    </cfRule>
  </conditionalFormatting>
  <conditionalFormatting sqref="D9:D215">
    <cfRule type="cellIs" dxfId="1815" priority="2785" operator="equal">
      <formula>"EM PROCESSO"</formula>
    </cfRule>
  </conditionalFormatting>
  <conditionalFormatting sqref="D9:D116">
    <cfRule type="cellIs" dxfId="1814" priority="2784" operator="equal">
      <formula>"NÃO INICIADO"</formula>
    </cfRule>
  </conditionalFormatting>
  <conditionalFormatting sqref="D9:D116">
    <cfRule type="cellIs" dxfId="1813" priority="2783" operator="equal">
      <formula>"FINALIZADO"</formula>
    </cfRule>
  </conditionalFormatting>
  <conditionalFormatting sqref="D9:D116">
    <cfRule type="cellIs" dxfId="1812" priority="2782" operator="equal">
      <formula>"EM PROCESSO"</formula>
    </cfRule>
  </conditionalFormatting>
  <conditionalFormatting sqref="D9:D176">
    <cfRule type="cellIs" dxfId="1811" priority="2781" operator="equal">
      <formula>"NÃO INICIADO"</formula>
    </cfRule>
  </conditionalFormatting>
  <conditionalFormatting sqref="D9:D176">
    <cfRule type="cellIs" dxfId="1810" priority="2780" operator="equal">
      <formula>"FINALIZADO"</formula>
    </cfRule>
  </conditionalFormatting>
  <conditionalFormatting sqref="D9:D176">
    <cfRule type="cellIs" dxfId="1809" priority="2779" operator="equal">
      <formula>"EM PROCESSO"</formula>
    </cfRule>
  </conditionalFormatting>
  <conditionalFormatting sqref="D9:D133">
    <cfRule type="cellIs" dxfId="1808" priority="2778" operator="equal">
      <formula>"NÃO INICIADO"</formula>
    </cfRule>
  </conditionalFormatting>
  <conditionalFormatting sqref="D9:D133">
    <cfRule type="cellIs" dxfId="1807" priority="2777" operator="equal">
      <formula>"FINALIZADO"</formula>
    </cfRule>
  </conditionalFormatting>
  <conditionalFormatting sqref="D9:D133">
    <cfRule type="cellIs" dxfId="1806" priority="2776" operator="equal">
      <formula>"EM PROCESSO"</formula>
    </cfRule>
  </conditionalFormatting>
  <conditionalFormatting sqref="D9:D86">
    <cfRule type="cellIs" dxfId="1805" priority="2775" operator="equal">
      <formula>"NÃO INICIADO"</formula>
    </cfRule>
  </conditionalFormatting>
  <conditionalFormatting sqref="D9:D86">
    <cfRule type="cellIs" dxfId="1804" priority="2774" operator="equal">
      <formula>"FINALIZADO"</formula>
    </cfRule>
  </conditionalFormatting>
  <conditionalFormatting sqref="D9:D86">
    <cfRule type="cellIs" dxfId="1803" priority="2773" operator="equal">
      <formula>"EM PROCESSO"</formula>
    </cfRule>
  </conditionalFormatting>
  <conditionalFormatting sqref="D9:D130">
    <cfRule type="cellIs" dxfId="1802" priority="2757" operator="equal">
      <formula>"NÃO INICIADO"</formula>
    </cfRule>
  </conditionalFormatting>
  <conditionalFormatting sqref="D9:D130">
    <cfRule type="cellIs" dxfId="1801" priority="2756" operator="equal">
      <formula>"FINALIZADO"</formula>
    </cfRule>
    <cfRule type="cellIs" dxfId="1800" priority="837" operator="equal">
      <formula>"NÃO INICIADO"</formula>
    </cfRule>
    <cfRule type="cellIs" dxfId="1799" priority="835" operator="equal">
      <formula>"EM PROCESSO"</formula>
    </cfRule>
  </conditionalFormatting>
  <conditionalFormatting sqref="D9:D130">
    <cfRule type="cellIs" dxfId="1798" priority="2755" operator="equal">
      <formula>"EM PROCESSO"</formula>
    </cfRule>
  </conditionalFormatting>
  <conditionalFormatting sqref="D9:D46">
    <cfRule type="cellIs" dxfId="1797" priority="2754" operator="equal">
      <formula>"NÃO INICIADO"</formula>
    </cfRule>
    <cfRule type="cellIs" dxfId="1796" priority="654" operator="equal">
      <formula>"NÃO INICIADO"</formula>
    </cfRule>
    <cfRule type="cellIs" dxfId="1795" priority="652" operator="equal">
      <formula>"EM PROCESSO"</formula>
    </cfRule>
  </conditionalFormatting>
  <conditionalFormatting sqref="D9:D46">
    <cfRule type="cellIs" dxfId="1794" priority="2753" operator="equal">
      <formula>"FINALIZADO"</formula>
    </cfRule>
  </conditionalFormatting>
  <conditionalFormatting sqref="D9:D46">
    <cfRule type="cellIs" dxfId="1793" priority="2752" operator="equal">
      <formula>"EM PROCESSO"</formula>
    </cfRule>
  </conditionalFormatting>
  <conditionalFormatting sqref="D9:D84">
    <cfRule type="cellIs" dxfId="1792" priority="2751" operator="equal">
      <formula>"NÃO INICIADO"</formula>
    </cfRule>
  </conditionalFormatting>
  <conditionalFormatting sqref="D9:D84">
    <cfRule type="cellIs" dxfId="1791" priority="2750" operator="equal">
      <formula>"FINALIZADO"</formula>
    </cfRule>
  </conditionalFormatting>
  <conditionalFormatting sqref="D9:D84">
    <cfRule type="cellIs" dxfId="1790" priority="2749" operator="equal">
      <formula>"EM PROCESSO"</formula>
    </cfRule>
  </conditionalFormatting>
  <conditionalFormatting sqref="D9:D310">
    <cfRule type="cellIs" dxfId="1789" priority="2748" operator="equal">
      <formula>"NÃO INICIADO"</formula>
    </cfRule>
  </conditionalFormatting>
  <conditionalFormatting sqref="D9:D310">
    <cfRule type="cellIs" dxfId="1788" priority="2747" operator="equal">
      <formula>"FINALIZADO"</formula>
    </cfRule>
  </conditionalFormatting>
  <conditionalFormatting sqref="D9:D310">
    <cfRule type="cellIs" dxfId="1787" priority="2746" operator="equal">
      <formula>"EM PROCESSO"</formula>
    </cfRule>
  </conditionalFormatting>
  <conditionalFormatting sqref="D9:D397">
    <cfRule type="cellIs" dxfId="1786" priority="2745" operator="equal">
      <formula>"NÃO INICIADO"</formula>
    </cfRule>
    <cfRule type="cellIs" dxfId="1785" priority="2744" operator="equal">
      <formula>"FINALIZADO"</formula>
    </cfRule>
    <cfRule type="cellIs" dxfId="1784" priority="2743" operator="equal">
      <formula>"EM PROCESSO"</formula>
    </cfRule>
  </conditionalFormatting>
  <conditionalFormatting sqref="D9:D207">
    <cfRule type="cellIs" dxfId="1783" priority="2742" operator="equal">
      <formula>"NÃO INICIADO"</formula>
    </cfRule>
  </conditionalFormatting>
  <conditionalFormatting sqref="D9:D207">
    <cfRule type="cellIs" dxfId="1782" priority="2741" operator="equal">
      <formula>"FINALIZADO"</formula>
    </cfRule>
  </conditionalFormatting>
  <conditionalFormatting sqref="D9:D207">
    <cfRule type="cellIs" dxfId="1781" priority="2740" operator="equal">
      <formula>"EM PROCESSO"</formula>
    </cfRule>
  </conditionalFormatting>
  <conditionalFormatting sqref="D9:D287">
    <cfRule type="cellIs" dxfId="1780" priority="2739" operator="equal">
      <formula>"NÃO INICIADO"</formula>
    </cfRule>
  </conditionalFormatting>
  <conditionalFormatting sqref="D9:D287">
    <cfRule type="cellIs" dxfId="1779" priority="2738" operator="equal">
      <formula>"FINALIZADO"</formula>
    </cfRule>
  </conditionalFormatting>
  <conditionalFormatting sqref="D9:D287">
    <cfRule type="cellIs" dxfId="1778" priority="2737" operator="equal">
      <formula>"EM PROCESSO"</formula>
    </cfRule>
  </conditionalFormatting>
  <conditionalFormatting sqref="D9:D101">
    <cfRule type="cellIs" dxfId="1777" priority="2736" operator="equal">
      <formula>"NÃO INICIADO"</formula>
    </cfRule>
  </conditionalFormatting>
  <conditionalFormatting sqref="D9:D101">
    <cfRule type="cellIs" dxfId="1776" priority="2735" operator="equal">
      <formula>"FINALIZADO"</formula>
    </cfRule>
  </conditionalFormatting>
  <conditionalFormatting sqref="D9:D101">
    <cfRule type="cellIs" dxfId="1775" priority="2734" operator="equal">
      <formula>"EM PROCESSO"</formula>
    </cfRule>
  </conditionalFormatting>
  <conditionalFormatting sqref="D9:D15">
    <cfRule type="cellIs" dxfId="1774" priority="2732" operator="equal">
      <formula>"FINALIZADO"</formula>
    </cfRule>
    <cfRule type="cellIs" dxfId="1773" priority="855" operator="equal">
      <formula>"NÃO INICIADO"</formula>
    </cfRule>
    <cfRule type="cellIs" dxfId="1772" priority="793" operator="equal">
      <formula>"EM PROCESSO"</formula>
    </cfRule>
    <cfRule type="cellIs" dxfId="1771" priority="790" operator="equal">
      <formula>"EM PROCESSO"</formula>
    </cfRule>
  </conditionalFormatting>
  <conditionalFormatting sqref="D9:D15">
    <cfRule type="cellIs" dxfId="1770" priority="2731" operator="equal">
      <formula>"EM PROCESSO"</formula>
    </cfRule>
    <cfRule type="cellIs" dxfId="1769" priority="2697" operator="equal">
      <formula>"NÃO INICIADO"</formula>
    </cfRule>
  </conditionalFormatting>
  <conditionalFormatting sqref="D9:D23">
    <cfRule type="cellIs" dxfId="1768" priority="2730" operator="equal">
      <formula>"NÃO INICIADO"</formula>
    </cfRule>
    <cfRule type="cellIs" dxfId="1767" priority="1122" operator="equal">
      <formula>"NÃO INICIADO"</formula>
    </cfRule>
    <cfRule type="cellIs" dxfId="1766" priority="936" operator="equal">
      <formula>"NÃO INICIADO"</formula>
    </cfRule>
  </conditionalFormatting>
  <conditionalFormatting sqref="D9:D23">
    <cfRule type="cellIs" dxfId="1765" priority="2729" operator="equal">
      <formula>"FINALIZADO"</formula>
    </cfRule>
  </conditionalFormatting>
  <conditionalFormatting sqref="D9:D23">
    <cfRule type="cellIs" dxfId="1764" priority="2728" operator="equal">
      <formula>"EM PROCESSO"</formula>
    </cfRule>
    <cfRule type="cellIs" dxfId="1763" priority="1567" operator="equal">
      <formula>"EM PROCESSO"</formula>
    </cfRule>
    <cfRule type="cellIs" dxfId="1762" priority="1121" operator="equal">
      <formula>"FINALIZADO"</formula>
    </cfRule>
  </conditionalFormatting>
  <conditionalFormatting sqref="D9:D46">
    <cfRule type="cellIs" dxfId="1761" priority="2727" operator="equal">
      <formula>"NÃO INICIADO"</formula>
    </cfRule>
  </conditionalFormatting>
  <conditionalFormatting sqref="D9:D46">
    <cfRule type="cellIs" dxfId="1760" priority="2726" operator="equal">
      <formula>"FINALIZADO"</formula>
    </cfRule>
    <cfRule type="cellIs" dxfId="1759" priority="653" operator="equal">
      <formula>"FINALIZADO"</formula>
    </cfRule>
  </conditionalFormatting>
  <conditionalFormatting sqref="D9:D46">
    <cfRule type="cellIs" dxfId="1758" priority="2725" operator="equal">
      <formula>"EM PROCESSO"</formula>
    </cfRule>
  </conditionalFormatting>
  <conditionalFormatting sqref="D9:D30">
    <cfRule type="cellIs" dxfId="1757" priority="2723" operator="equal">
      <formula>"FINALIZADO"</formula>
    </cfRule>
  </conditionalFormatting>
  <conditionalFormatting sqref="D9:D30">
    <cfRule type="cellIs" dxfId="1756" priority="2722" operator="equal">
      <formula>"EM PROCESSO"</formula>
    </cfRule>
  </conditionalFormatting>
  <conditionalFormatting sqref="D9:D27">
    <cfRule type="cellIs" dxfId="1755" priority="2721" operator="equal">
      <formula>"NÃO INICIADO"</formula>
    </cfRule>
  </conditionalFormatting>
  <conditionalFormatting sqref="D9:D27">
    <cfRule type="cellIs" dxfId="1754" priority="2720" operator="equal">
      <formula>"FINALIZADO"</formula>
    </cfRule>
  </conditionalFormatting>
  <conditionalFormatting sqref="D9:D27">
    <cfRule type="cellIs" dxfId="1753" priority="2719" operator="equal">
      <formula>"EM PROCESSO"</formula>
    </cfRule>
  </conditionalFormatting>
  <conditionalFormatting sqref="D9:D166">
    <cfRule type="cellIs" dxfId="1752" priority="2718" operator="equal">
      <formula>"NÃO INICIADO"</formula>
    </cfRule>
  </conditionalFormatting>
  <conditionalFormatting sqref="D9:D166">
    <cfRule type="cellIs" dxfId="1751" priority="2717" operator="equal">
      <formula>"FINALIZADO"</formula>
    </cfRule>
  </conditionalFormatting>
  <conditionalFormatting sqref="D9:D166">
    <cfRule type="cellIs" dxfId="1750" priority="2716" operator="equal">
      <formula>"EM PROCESSO"</formula>
    </cfRule>
  </conditionalFormatting>
  <conditionalFormatting sqref="D9:D256">
    <cfRule type="cellIs" dxfId="1749" priority="2715" operator="equal">
      <formula>"NÃO INICIADO"</formula>
    </cfRule>
  </conditionalFormatting>
  <conditionalFormatting sqref="D9:D256">
    <cfRule type="cellIs" dxfId="1748" priority="2714" operator="equal">
      <formula>"FINALIZADO"</formula>
    </cfRule>
  </conditionalFormatting>
  <conditionalFormatting sqref="D9:D256">
    <cfRule type="cellIs" dxfId="1747" priority="2713" operator="equal">
      <formula>"EM PROCESSO"</formula>
    </cfRule>
  </conditionalFormatting>
  <conditionalFormatting sqref="D9:D169">
    <cfRule type="cellIs" dxfId="1746" priority="2712" operator="equal">
      <formula>"NÃO INICIADO"</formula>
    </cfRule>
  </conditionalFormatting>
  <conditionalFormatting sqref="D9:D169">
    <cfRule type="cellIs" dxfId="1745" priority="2711" operator="equal">
      <formula>"FINALIZADO"</formula>
    </cfRule>
  </conditionalFormatting>
  <conditionalFormatting sqref="D9:D169">
    <cfRule type="cellIs" dxfId="1744" priority="2710" operator="equal">
      <formula>"EM PROCESSO"</formula>
    </cfRule>
  </conditionalFormatting>
  <conditionalFormatting sqref="D9:D110">
    <cfRule type="cellIs" dxfId="1743" priority="2709" operator="equal">
      <formula>"NÃO INICIADO"</formula>
    </cfRule>
  </conditionalFormatting>
  <conditionalFormatting sqref="D9:D110">
    <cfRule type="cellIs" dxfId="1742" priority="2708" operator="equal">
      <formula>"FINALIZADO"</formula>
    </cfRule>
  </conditionalFormatting>
  <conditionalFormatting sqref="D9:D110">
    <cfRule type="cellIs" dxfId="1741" priority="2707" operator="equal">
      <formula>"EM PROCESSO"</formula>
    </cfRule>
  </conditionalFormatting>
  <conditionalFormatting sqref="D9:D65">
    <cfRule type="cellIs" dxfId="1740" priority="2706" operator="equal">
      <formula>"NÃO INICIADO"</formula>
    </cfRule>
  </conditionalFormatting>
  <conditionalFormatting sqref="D9:D65">
    <cfRule type="cellIs" dxfId="1739" priority="2705" operator="equal">
      <formula>"FINALIZADO"</formula>
    </cfRule>
  </conditionalFormatting>
  <conditionalFormatting sqref="D9:D65">
    <cfRule type="cellIs" dxfId="1738" priority="2704" operator="equal">
      <formula>"EM PROCESSO"</formula>
    </cfRule>
  </conditionalFormatting>
  <conditionalFormatting sqref="D9:D15">
    <cfRule type="cellIs" dxfId="1737" priority="2696" operator="equal">
      <formula>"FINALIZADO"</formula>
    </cfRule>
    <cfRule type="cellIs" dxfId="1736" priority="2342" operator="equal">
      <formula>"FINALIZADO"</formula>
    </cfRule>
  </conditionalFormatting>
  <conditionalFormatting sqref="D9:D15">
    <cfRule type="cellIs" dxfId="1735" priority="2695" operator="equal">
      <formula>"EM PROCESSO"</formula>
    </cfRule>
    <cfRule type="cellIs" dxfId="1734" priority="2352" operator="equal">
      <formula>"NÃO INICIADO"</formula>
    </cfRule>
    <cfRule type="cellIs" dxfId="1733" priority="2341" operator="equal">
      <formula>"EM PROCESSO"</formula>
    </cfRule>
  </conditionalFormatting>
  <conditionalFormatting sqref="D9:D70">
    <cfRule type="cellIs" dxfId="1732" priority="2691" operator="equal">
      <formula>"NÃO INICIADO"</formula>
    </cfRule>
  </conditionalFormatting>
  <conditionalFormatting sqref="D9:D70">
    <cfRule type="cellIs" dxfId="1731" priority="2690" operator="equal">
      <formula>"FINALIZADO"</formula>
    </cfRule>
  </conditionalFormatting>
  <conditionalFormatting sqref="D9:D70">
    <cfRule type="cellIs" dxfId="1730" priority="2689" operator="equal">
      <formula>"EM PROCESSO"</formula>
    </cfRule>
  </conditionalFormatting>
  <conditionalFormatting sqref="D9:D158">
    <cfRule type="cellIs" dxfId="1729" priority="2688" operator="equal">
      <formula>"NÃO INICIADO"</formula>
    </cfRule>
  </conditionalFormatting>
  <conditionalFormatting sqref="D9:D158">
    <cfRule type="cellIs" dxfId="1728" priority="2687" operator="equal">
      <formula>"FINALIZADO"</formula>
    </cfRule>
    <cfRule type="cellIs" dxfId="1727" priority="179" operator="equal">
      <formula>"FINALIZADO"</formula>
    </cfRule>
  </conditionalFormatting>
  <conditionalFormatting sqref="D9:D158">
    <cfRule type="cellIs" dxfId="1726" priority="2686" operator="equal">
      <formula>"EM PROCESSO"</formula>
    </cfRule>
  </conditionalFormatting>
  <conditionalFormatting sqref="D9:D47">
    <cfRule type="cellIs" dxfId="1725" priority="2685" operator="equal">
      <formula>"NÃO INICIADO"</formula>
    </cfRule>
  </conditionalFormatting>
  <conditionalFormatting sqref="D9:D47">
    <cfRule type="cellIs" dxfId="1724" priority="2684" operator="equal">
      <formula>"FINALIZADO"</formula>
    </cfRule>
  </conditionalFormatting>
  <conditionalFormatting sqref="D9:D47">
    <cfRule type="cellIs" dxfId="1723" priority="2683" operator="equal">
      <formula>"EM PROCESSO"</formula>
    </cfRule>
  </conditionalFormatting>
  <conditionalFormatting sqref="D9:D110">
    <cfRule type="cellIs" dxfId="1722" priority="2682" operator="equal">
      <formula>"NÃO INICIADO"</formula>
    </cfRule>
  </conditionalFormatting>
  <conditionalFormatting sqref="D9:D110">
    <cfRule type="cellIs" dxfId="1721" priority="2681" operator="equal">
      <formula>"FINALIZADO"</formula>
    </cfRule>
  </conditionalFormatting>
  <conditionalFormatting sqref="D9:D110">
    <cfRule type="cellIs" dxfId="1720" priority="2680" operator="equal">
      <formula>"EM PROCESSO"</formula>
    </cfRule>
  </conditionalFormatting>
  <conditionalFormatting sqref="D9:D157">
    <cfRule type="cellIs" dxfId="1719" priority="2679" operator="equal">
      <formula>"NÃO INICIADO"</formula>
    </cfRule>
  </conditionalFormatting>
  <conditionalFormatting sqref="D9:D157">
    <cfRule type="cellIs" dxfId="1718" priority="2678" operator="equal">
      <formula>"FINALIZADO"</formula>
    </cfRule>
  </conditionalFormatting>
  <conditionalFormatting sqref="D9:D157">
    <cfRule type="cellIs" dxfId="1717" priority="2677" operator="equal">
      <formula>"EM PROCESSO"</formula>
    </cfRule>
  </conditionalFormatting>
  <conditionalFormatting sqref="D9:D49">
    <cfRule type="cellIs" dxfId="1716" priority="2676" operator="equal">
      <formula>"NÃO INICIADO"</formula>
    </cfRule>
  </conditionalFormatting>
  <conditionalFormatting sqref="D9:D49">
    <cfRule type="cellIs" dxfId="1715" priority="2675" operator="equal">
      <formula>"FINALIZADO"</formula>
    </cfRule>
  </conditionalFormatting>
  <conditionalFormatting sqref="D9:D49">
    <cfRule type="cellIs" dxfId="1714" priority="2674" operator="equal">
      <formula>"EM PROCESSO"</formula>
    </cfRule>
  </conditionalFormatting>
  <conditionalFormatting sqref="D9:D232">
    <cfRule type="cellIs" dxfId="1713" priority="2673" operator="equal">
      <formula>"NÃO INICIADO"</formula>
    </cfRule>
  </conditionalFormatting>
  <conditionalFormatting sqref="D9:D232">
    <cfRule type="cellIs" dxfId="1712" priority="2672" operator="equal">
      <formula>"FINALIZADO"</formula>
    </cfRule>
  </conditionalFormatting>
  <conditionalFormatting sqref="D9:D232">
    <cfRule type="cellIs" dxfId="1711" priority="2671" operator="equal">
      <formula>"EM PROCESSO"</formula>
    </cfRule>
  </conditionalFormatting>
  <conditionalFormatting sqref="D9:D48">
    <cfRule type="cellIs" dxfId="1710" priority="2667" operator="equal">
      <formula>"NÃO INICIADO"</formula>
    </cfRule>
  </conditionalFormatting>
  <conditionalFormatting sqref="D9:D48">
    <cfRule type="cellIs" dxfId="1709" priority="2666" operator="equal">
      <formula>"FINALIZADO"</formula>
    </cfRule>
  </conditionalFormatting>
  <conditionalFormatting sqref="D9:D48">
    <cfRule type="cellIs" dxfId="1708" priority="2665" operator="equal">
      <formula>"EM PROCESSO"</formula>
    </cfRule>
  </conditionalFormatting>
  <conditionalFormatting sqref="D9:D15">
    <cfRule type="cellIs" dxfId="1707" priority="2660" operator="equal">
      <formula>"FINALIZADO"</formula>
    </cfRule>
    <cfRule type="cellIs" dxfId="1706" priority="1314" operator="equal">
      <formula>"NÃO INICIADO"</formula>
    </cfRule>
    <cfRule type="cellIs" dxfId="1705" priority="1305" operator="equal">
      <formula>"NÃO INICIADO"</formula>
    </cfRule>
    <cfRule type="cellIs" dxfId="1704" priority="820" operator="equal">
      <formula>"EM PROCESSO"</formula>
    </cfRule>
  </conditionalFormatting>
  <conditionalFormatting sqref="D9:D15">
    <cfRule type="cellIs" dxfId="1703" priority="2659" operator="equal">
      <formula>"EM PROCESSO"</formula>
    </cfRule>
    <cfRule type="cellIs" dxfId="1702" priority="853" operator="equal">
      <formula>"EM PROCESSO"</formula>
    </cfRule>
    <cfRule type="cellIs" dxfId="1701" priority="207" operator="equal">
      <formula>"NÃO INICIADO"</formula>
    </cfRule>
  </conditionalFormatting>
  <conditionalFormatting sqref="D9:D112">
    <cfRule type="cellIs" dxfId="1700" priority="2655" operator="equal">
      <formula>"NÃO INICIADO"</formula>
    </cfRule>
  </conditionalFormatting>
  <conditionalFormatting sqref="D9:D112">
    <cfRule type="cellIs" dxfId="1699" priority="2654" operator="equal">
      <formula>"FINALIZADO"</formula>
    </cfRule>
  </conditionalFormatting>
  <conditionalFormatting sqref="D9:D112">
    <cfRule type="cellIs" dxfId="1698" priority="2653" operator="equal">
      <formula>"EM PROCESSO"</formula>
    </cfRule>
  </conditionalFormatting>
  <conditionalFormatting sqref="D9:D57">
    <cfRule type="cellIs" dxfId="1697" priority="2652" operator="equal">
      <formula>"NÃO INICIADO"</formula>
    </cfRule>
  </conditionalFormatting>
  <conditionalFormatting sqref="D9:D57">
    <cfRule type="cellIs" dxfId="1696" priority="2651" operator="equal">
      <formula>"FINALIZADO"</formula>
    </cfRule>
  </conditionalFormatting>
  <conditionalFormatting sqref="D9:D57">
    <cfRule type="cellIs" dxfId="1695" priority="2650" operator="equal">
      <formula>"EM PROCESSO"</formula>
    </cfRule>
  </conditionalFormatting>
  <conditionalFormatting sqref="D9:D109">
    <cfRule type="cellIs" dxfId="1694" priority="2649" operator="equal">
      <formula>"NÃO INICIADO"</formula>
    </cfRule>
  </conditionalFormatting>
  <conditionalFormatting sqref="D9:D109">
    <cfRule type="cellIs" dxfId="1693" priority="2648" operator="equal">
      <formula>"FINALIZADO"</formula>
    </cfRule>
  </conditionalFormatting>
  <conditionalFormatting sqref="D9:D109">
    <cfRule type="cellIs" dxfId="1692" priority="2647" operator="equal">
      <formula>"EM PROCESSO"</formula>
    </cfRule>
  </conditionalFormatting>
  <conditionalFormatting sqref="D9:D213">
    <cfRule type="cellIs" dxfId="1691" priority="2646" operator="equal">
      <formula>"NÃO INICIADO"</formula>
    </cfRule>
  </conditionalFormatting>
  <conditionalFormatting sqref="D9:D213">
    <cfRule type="cellIs" dxfId="1690" priority="2645" operator="equal">
      <formula>"FINALIZADO"</formula>
    </cfRule>
  </conditionalFormatting>
  <conditionalFormatting sqref="D9:D213">
    <cfRule type="cellIs" dxfId="1689" priority="2644" operator="equal">
      <formula>"EM PROCESSO"</formula>
    </cfRule>
  </conditionalFormatting>
  <conditionalFormatting sqref="D9:D88">
    <cfRule type="cellIs" dxfId="1688" priority="2643" operator="equal">
      <formula>"NÃO INICIADO"</formula>
    </cfRule>
  </conditionalFormatting>
  <conditionalFormatting sqref="D9:D88">
    <cfRule type="cellIs" dxfId="1687" priority="2642" operator="equal">
      <formula>"FINALIZADO"</formula>
    </cfRule>
  </conditionalFormatting>
  <conditionalFormatting sqref="D9:D88">
    <cfRule type="cellIs" dxfId="1686" priority="2641" operator="equal">
      <formula>"EM PROCESSO"</formula>
    </cfRule>
  </conditionalFormatting>
  <conditionalFormatting sqref="D9:D174">
    <cfRule type="cellIs" dxfId="1685" priority="2640" operator="equal">
      <formula>"NÃO INICIADO"</formula>
    </cfRule>
  </conditionalFormatting>
  <conditionalFormatting sqref="D9:D174">
    <cfRule type="cellIs" dxfId="1684" priority="2639" operator="equal">
      <formula>"FINALIZADO"</formula>
    </cfRule>
  </conditionalFormatting>
  <conditionalFormatting sqref="D9:D174">
    <cfRule type="cellIs" dxfId="1683" priority="2638" operator="equal">
      <formula>"EM PROCESSO"</formula>
    </cfRule>
  </conditionalFormatting>
  <conditionalFormatting sqref="D9:D29">
    <cfRule type="cellIs" dxfId="1682" priority="2625" operator="equal">
      <formula>"NÃO INICIADO"</formula>
    </cfRule>
  </conditionalFormatting>
  <conditionalFormatting sqref="D9:D29">
    <cfRule type="cellIs" dxfId="1681" priority="2624" operator="equal">
      <formula>"FINALIZADO"</formula>
    </cfRule>
  </conditionalFormatting>
  <conditionalFormatting sqref="D9:D29">
    <cfRule type="cellIs" dxfId="1680" priority="2623" operator="equal">
      <formula>"EM PROCESSO"</formula>
    </cfRule>
  </conditionalFormatting>
  <conditionalFormatting sqref="D9:D129">
    <cfRule type="cellIs" dxfId="1679" priority="2622" operator="equal">
      <formula>"NÃO INICIADO"</formula>
    </cfRule>
  </conditionalFormatting>
  <conditionalFormatting sqref="D9:D129">
    <cfRule type="cellIs" dxfId="1678" priority="2621" operator="equal">
      <formula>"FINALIZADO"</formula>
    </cfRule>
  </conditionalFormatting>
  <conditionalFormatting sqref="D9:D129">
    <cfRule type="cellIs" dxfId="1677" priority="2620" operator="equal">
      <formula>"EM PROCESSO"</formula>
    </cfRule>
  </conditionalFormatting>
  <conditionalFormatting sqref="D9:D114">
    <cfRule type="cellIs" dxfId="1676" priority="2615" operator="equal">
      <formula>"FINALIZADO"</formula>
    </cfRule>
  </conditionalFormatting>
  <conditionalFormatting sqref="D9:D114">
    <cfRule type="cellIs" dxfId="1675" priority="2614" operator="equal">
      <formula>"EM PROCESSO"</formula>
    </cfRule>
  </conditionalFormatting>
  <conditionalFormatting sqref="D9:D127">
    <cfRule type="cellIs" dxfId="1674" priority="2613" operator="equal">
      <formula>"NÃO INICIADO"</formula>
    </cfRule>
  </conditionalFormatting>
  <conditionalFormatting sqref="D9:D127">
    <cfRule type="cellIs" dxfId="1673" priority="2612" operator="equal">
      <formula>"FINALIZADO"</formula>
    </cfRule>
  </conditionalFormatting>
  <conditionalFormatting sqref="D9:D127">
    <cfRule type="cellIs" dxfId="1672" priority="2611" operator="equal">
      <formula>"EM PROCESSO"</formula>
    </cfRule>
  </conditionalFormatting>
  <conditionalFormatting sqref="D9:D58">
    <cfRule type="cellIs" dxfId="1671" priority="2610" operator="equal">
      <formula>"NÃO INICIADO"</formula>
    </cfRule>
  </conditionalFormatting>
  <conditionalFormatting sqref="D9:D58">
    <cfRule type="cellIs" dxfId="1670" priority="2609" operator="equal">
      <formula>"FINALIZADO"</formula>
    </cfRule>
  </conditionalFormatting>
  <conditionalFormatting sqref="D9:D58">
    <cfRule type="cellIs" dxfId="1669" priority="2608" operator="equal">
      <formula>"EM PROCESSO"</formula>
    </cfRule>
  </conditionalFormatting>
  <conditionalFormatting sqref="D9:D180">
    <cfRule type="cellIs" dxfId="1668" priority="2607" operator="equal">
      <formula>"NÃO INICIADO"</formula>
    </cfRule>
  </conditionalFormatting>
  <conditionalFormatting sqref="D9:D180">
    <cfRule type="cellIs" dxfId="1667" priority="2606" operator="equal">
      <formula>"FINALIZADO"</formula>
    </cfRule>
  </conditionalFormatting>
  <conditionalFormatting sqref="D9:D180">
    <cfRule type="cellIs" dxfId="1666" priority="2605" operator="equal">
      <formula>"EM PROCESSO"</formula>
    </cfRule>
  </conditionalFormatting>
  <conditionalFormatting sqref="D9:D23">
    <cfRule type="cellIs" dxfId="1665" priority="2601" operator="equal">
      <formula>"NÃO INICIADO"</formula>
    </cfRule>
  </conditionalFormatting>
  <conditionalFormatting sqref="D9:D23">
    <cfRule type="cellIs" dxfId="1664" priority="2600" operator="equal">
      <formula>"FINALIZADO"</formula>
    </cfRule>
    <cfRule type="cellIs" dxfId="1663" priority="1120" operator="equal">
      <formula>"EM PROCESSO"</formula>
    </cfRule>
  </conditionalFormatting>
  <conditionalFormatting sqref="D9:D23">
    <cfRule type="cellIs" dxfId="1662" priority="2599" operator="equal">
      <formula>"EM PROCESSO"</formula>
    </cfRule>
  </conditionalFormatting>
  <conditionalFormatting sqref="D9:D64">
    <cfRule type="cellIs" dxfId="1661" priority="2595" operator="equal">
      <formula>"NÃO INICIADO"</formula>
    </cfRule>
  </conditionalFormatting>
  <conditionalFormatting sqref="D9:D64">
    <cfRule type="cellIs" dxfId="1660" priority="2594" operator="equal">
      <formula>"FINALIZADO"</formula>
    </cfRule>
  </conditionalFormatting>
  <conditionalFormatting sqref="D9:D64">
    <cfRule type="cellIs" dxfId="1659" priority="2593" operator="equal">
      <formula>"EM PROCESSO"</formula>
    </cfRule>
  </conditionalFormatting>
  <conditionalFormatting sqref="D9:D62">
    <cfRule type="cellIs" dxfId="1658" priority="2583" operator="equal">
      <formula>"NÃO INICIADO"</formula>
    </cfRule>
  </conditionalFormatting>
  <conditionalFormatting sqref="D9:D62">
    <cfRule type="cellIs" dxfId="1657" priority="2582" operator="equal">
      <formula>"FINALIZADO"</formula>
    </cfRule>
  </conditionalFormatting>
  <conditionalFormatting sqref="D9:D62">
    <cfRule type="cellIs" dxfId="1656" priority="2581" operator="equal">
      <formula>"EM PROCESSO"</formula>
    </cfRule>
  </conditionalFormatting>
  <conditionalFormatting sqref="D9:D24">
    <cfRule type="cellIs" dxfId="1655" priority="2580" operator="equal">
      <formula>"NÃO INICIADO"</formula>
    </cfRule>
  </conditionalFormatting>
  <conditionalFormatting sqref="D9:D24">
    <cfRule type="cellIs" dxfId="1654" priority="2579" operator="equal">
      <formula>"FINALIZADO"</formula>
    </cfRule>
  </conditionalFormatting>
  <conditionalFormatting sqref="D9:D24">
    <cfRule type="cellIs" dxfId="1653" priority="2578" operator="equal">
      <formula>"EM PROCESSO"</formula>
    </cfRule>
  </conditionalFormatting>
  <conditionalFormatting sqref="D9:D164">
    <cfRule type="cellIs" dxfId="1652" priority="2577" operator="equal">
      <formula>"NÃO INICIADO"</formula>
    </cfRule>
  </conditionalFormatting>
  <conditionalFormatting sqref="D9:D164">
    <cfRule type="cellIs" dxfId="1651" priority="2576" operator="equal">
      <formula>"FINALIZADO"</formula>
    </cfRule>
  </conditionalFormatting>
  <conditionalFormatting sqref="D9:D164">
    <cfRule type="cellIs" dxfId="1650" priority="2575" operator="equal">
      <formula>"EM PROCESSO"</formula>
    </cfRule>
  </conditionalFormatting>
  <conditionalFormatting sqref="D9:D84">
    <cfRule type="cellIs" dxfId="1649" priority="2574" operator="equal">
      <formula>"NÃO INICIADO"</formula>
    </cfRule>
  </conditionalFormatting>
  <conditionalFormatting sqref="D9:D84">
    <cfRule type="cellIs" dxfId="1648" priority="2573" operator="equal">
      <formula>"FINALIZADO"</formula>
    </cfRule>
  </conditionalFormatting>
  <conditionalFormatting sqref="D9:D84">
    <cfRule type="cellIs" dxfId="1647" priority="2572" operator="equal">
      <formula>"EM PROCESSO"</formula>
    </cfRule>
  </conditionalFormatting>
  <conditionalFormatting sqref="D9:D433">
    <cfRule type="cellIs" dxfId="1646" priority="2571" operator="equal">
      <formula>"NÃO INICIADO"</formula>
    </cfRule>
    <cfRule type="cellIs" dxfId="1645" priority="2570" operator="equal">
      <formula>"FINALIZADO"</formula>
    </cfRule>
    <cfRule type="cellIs" dxfId="1644" priority="2569" operator="equal">
      <formula>"EM PROCESSO"</formula>
    </cfRule>
  </conditionalFormatting>
  <conditionalFormatting sqref="D9:D467">
    <cfRule type="cellIs" dxfId="1643" priority="2568" operator="equal">
      <formula>"NÃO INICIADO"</formula>
    </cfRule>
    <cfRule type="cellIs" dxfId="1642" priority="2567" operator="equal">
      <formula>"FINALIZADO"</formula>
    </cfRule>
    <cfRule type="cellIs" dxfId="1641" priority="2566" operator="equal">
      <formula>"EM PROCESSO"</formula>
    </cfRule>
  </conditionalFormatting>
  <conditionalFormatting sqref="D9:D568">
    <cfRule type="cellIs" dxfId="1640" priority="2565" operator="equal">
      <formula>"NÃO INICIADO"</formula>
    </cfRule>
    <cfRule type="cellIs" dxfId="1639" priority="2564" operator="equal">
      <formula>"FINALIZADO"</formula>
    </cfRule>
    <cfRule type="cellIs" dxfId="1638" priority="2563" operator="equal">
      <formula>"EM PROCESSO"</formula>
    </cfRule>
  </conditionalFormatting>
  <conditionalFormatting sqref="D9:D290">
    <cfRule type="cellIs" dxfId="1637" priority="2562" operator="equal">
      <formula>"NÃO INICIADO"</formula>
    </cfRule>
  </conditionalFormatting>
  <conditionalFormatting sqref="D9:D290">
    <cfRule type="cellIs" dxfId="1636" priority="2561" operator="equal">
      <formula>"FINALIZADO"</formula>
    </cfRule>
  </conditionalFormatting>
  <conditionalFormatting sqref="D9:D290">
    <cfRule type="cellIs" dxfId="1635" priority="2560" operator="equal">
      <formula>"EM PROCESSO"</formula>
    </cfRule>
  </conditionalFormatting>
  <conditionalFormatting sqref="D9:D147">
    <cfRule type="cellIs" dxfId="1634" priority="2559" operator="equal">
      <formula>"NÃO INICIADO"</formula>
    </cfRule>
  </conditionalFormatting>
  <conditionalFormatting sqref="D9:D147">
    <cfRule type="cellIs" dxfId="1633" priority="2558" operator="equal">
      <formula>"FINALIZADO"</formula>
    </cfRule>
  </conditionalFormatting>
  <conditionalFormatting sqref="D9:D147">
    <cfRule type="cellIs" dxfId="1632" priority="2557" operator="equal">
      <formula>"EM PROCESSO"</formula>
    </cfRule>
  </conditionalFormatting>
  <conditionalFormatting sqref="D9:D45">
    <cfRule type="cellIs" dxfId="1631" priority="2547" operator="equal">
      <formula>"NÃO INICIADO"</formula>
    </cfRule>
  </conditionalFormatting>
  <conditionalFormatting sqref="D9:D45">
    <cfRule type="cellIs" dxfId="1630" priority="2546" operator="equal">
      <formula>"FINALIZADO"</formula>
    </cfRule>
  </conditionalFormatting>
  <conditionalFormatting sqref="D9:D45">
    <cfRule type="cellIs" dxfId="1629" priority="2545" operator="equal">
      <formula>"EM PROCESSO"</formula>
    </cfRule>
  </conditionalFormatting>
  <conditionalFormatting sqref="D9:D32">
    <cfRule type="cellIs" dxfId="1628" priority="2544" operator="equal">
      <formula>"NÃO INICIADO"</formula>
    </cfRule>
  </conditionalFormatting>
  <conditionalFormatting sqref="D9:D32">
    <cfRule type="cellIs" dxfId="1627" priority="2543" operator="equal">
      <formula>"FINALIZADO"</formula>
    </cfRule>
  </conditionalFormatting>
  <conditionalFormatting sqref="D9:D32">
    <cfRule type="cellIs" dxfId="1626" priority="2542" operator="equal">
      <formula>"EM PROCESSO"</formula>
    </cfRule>
  </conditionalFormatting>
  <conditionalFormatting sqref="D9:D146">
    <cfRule type="cellIs" dxfId="1625" priority="2541" operator="equal">
      <formula>"NÃO INICIADO"</formula>
    </cfRule>
  </conditionalFormatting>
  <conditionalFormatting sqref="D9:D146">
    <cfRule type="cellIs" dxfId="1624" priority="2540" operator="equal">
      <formula>"FINALIZADO"</formula>
    </cfRule>
  </conditionalFormatting>
  <conditionalFormatting sqref="D9:D146">
    <cfRule type="cellIs" dxfId="1623" priority="2539" operator="equal">
      <formula>"EM PROCESSO"</formula>
    </cfRule>
  </conditionalFormatting>
  <conditionalFormatting sqref="D9:D183">
    <cfRule type="cellIs" dxfId="1622" priority="2538" operator="equal">
      <formula>"NÃO INICIADO"</formula>
    </cfRule>
  </conditionalFormatting>
  <conditionalFormatting sqref="D9:D183">
    <cfRule type="cellIs" dxfId="1621" priority="2537" operator="equal">
      <formula>"FINALIZADO"</formula>
    </cfRule>
  </conditionalFormatting>
  <conditionalFormatting sqref="D9:D183">
    <cfRule type="cellIs" dxfId="1620" priority="2536" operator="equal">
      <formula>"EM PROCESSO"</formula>
    </cfRule>
  </conditionalFormatting>
  <conditionalFormatting sqref="D9:D377">
    <cfRule type="cellIs" dxfId="1619" priority="2535" operator="equal">
      <formula>"NÃO INICIADO"</formula>
    </cfRule>
    <cfRule type="cellIs" dxfId="1618" priority="2534" operator="equal">
      <formula>"FINALIZADO"</formula>
    </cfRule>
    <cfRule type="cellIs" dxfId="1617" priority="2533" operator="equal">
      <formula>"EM PROCESSO"</formula>
    </cfRule>
  </conditionalFormatting>
  <conditionalFormatting sqref="D9:D484">
    <cfRule type="cellIs" dxfId="1616" priority="2532" operator="equal">
      <formula>"NÃO INICIADO"</formula>
    </cfRule>
    <cfRule type="cellIs" dxfId="1615" priority="2531" operator="equal">
      <formula>"FINALIZADO"</formula>
    </cfRule>
    <cfRule type="cellIs" dxfId="1614" priority="2530" operator="equal">
      <formula>"EM PROCESSO"</formula>
    </cfRule>
  </conditionalFormatting>
  <conditionalFormatting sqref="D9:D203">
    <cfRule type="cellIs" dxfId="1613" priority="2529" operator="equal">
      <formula>"NÃO INICIADO"</formula>
    </cfRule>
  </conditionalFormatting>
  <conditionalFormatting sqref="D9:D203">
    <cfRule type="cellIs" dxfId="1612" priority="2528" operator="equal">
      <formula>"FINALIZADO"</formula>
    </cfRule>
  </conditionalFormatting>
  <conditionalFormatting sqref="D9:D203">
    <cfRule type="cellIs" dxfId="1611" priority="2527" operator="equal">
      <formula>"EM PROCESSO"</formula>
    </cfRule>
  </conditionalFormatting>
  <conditionalFormatting sqref="D9:D218">
    <cfRule type="cellIs" dxfId="1610" priority="2526" operator="equal">
      <formula>"NÃO INICIADO"</formula>
    </cfRule>
  </conditionalFormatting>
  <conditionalFormatting sqref="D9:D218">
    <cfRule type="cellIs" dxfId="1609" priority="2525" operator="equal">
      <formula>"FINALIZADO"</formula>
    </cfRule>
  </conditionalFormatting>
  <conditionalFormatting sqref="D9:D218">
    <cfRule type="cellIs" dxfId="1608" priority="2524" operator="equal">
      <formula>"EM PROCESSO"</formula>
    </cfRule>
  </conditionalFormatting>
  <conditionalFormatting sqref="D9:D62">
    <cfRule type="cellIs" dxfId="1607" priority="2523" operator="equal">
      <formula>"NÃO INICIADO"</formula>
    </cfRule>
  </conditionalFormatting>
  <conditionalFormatting sqref="D9:D62">
    <cfRule type="cellIs" dxfId="1606" priority="2522" operator="equal">
      <formula>"FINALIZADO"</formula>
    </cfRule>
  </conditionalFormatting>
  <conditionalFormatting sqref="D9:D62">
    <cfRule type="cellIs" dxfId="1605" priority="2521" operator="equal">
      <formula>"EM PROCESSO"</formula>
    </cfRule>
  </conditionalFormatting>
  <conditionalFormatting sqref="D9:D16">
    <cfRule type="cellIs" dxfId="1604" priority="2516" operator="equal">
      <formula>"FINALIZADO"</formula>
    </cfRule>
    <cfRule type="cellIs" dxfId="1603" priority="999" operator="equal">
      <formula>"NÃO INICIADO"</formula>
    </cfRule>
    <cfRule type="cellIs" dxfId="1602" priority="60" operator="equal">
      <formula>"NÃO INICIADO"</formula>
    </cfRule>
  </conditionalFormatting>
  <conditionalFormatting sqref="D9:D16">
    <cfRule type="cellIs" dxfId="1601" priority="2515" operator="equal">
      <formula>"EM PROCESSO"</formula>
    </cfRule>
    <cfRule type="cellIs" dxfId="1600" priority="405" operator="equal">
      <formula>"NÃO INICIADO"</formula>
    </cfRule>
  </conditionalFormatting>
  <conditionalFormatting sqref="D9:D171">
    <cfRule type="cellIs" dxfId="1599" priority="2514" operator="equal">
      <formula>"NÃO INICIADO"</formula>
    </cfRule>
  </conditionalFormatting>
  <conditionalFormatting sqref="D9:D171">
    <cfRule type="cellIs" dxfId="1598" priority="2513" operator="equal">
      <formula>"FINALIZADO"</formula>
    </cfRule>
  </conditionalFormatting>
  <conditionalFormatting sqref="D9:D171">
    <cfRule type="cellIs" dxfId="1597" priority="2512" operator="equal">
      <formula>"EM PROCESSO"</formula>
    </cfRule>
  </conditionalFormatting>
  <conditionalFormatting sqref="D9:D155">
    <cfRule type="cellIs" dxfId="1596" priority="2508" operator="equal">
      <formula>"NÃO INICIADO"</formula>
    </cfRule>
  </conditionalFormatting>
  <conditionalFormatting sqref="D9:D155">
    <cfRule type="cellIs" dxfId="1595" priority="2507" operator="equal">
      <formula>"FINALIZADO"</formula>
    </cfRule>
  </conditionalFormatting>
  <conditionalFormatting sqref="D9:D155">
    <cfRule type="cellIs" dxfId="1594" priority="2506" operator="equal">
      <formula>"EM PROCESSO"</formula>
    </cfRule>
  </conditionalFormatting>
  <conditionalFormatting sqref="D9:D60">
    <cfRule type="cellIs" dxfId="1593" priority="2505" operator="equal">
      <formula>"NÃO INICIADO"</formula>
    </cfRule>
  </conditionalFormatting>
  <conditionalFormatting sqref="D9:D60">
    <cfRule type="cellIs" dxfId="1592" priority="2504" operator="equal">
      <formula>"FINALIZADO"</formula>
    </cfRule>
  </conditionalFormatting>
  <conditionalFormatting sqref="D9:D60">
    <cfRule type="cellIs" dxfId="1591" priority="2503" operator="equal">
      <formula>"EM PROCESSO"</formula>
    </cfRule>
  </conditionalFormatting>
  <conditionalFormatting sqref="D9:D182">
    <cfRule type="cellIs" dxfId="1590" priority="2502" operator="equal">
      <formula>"NÃO INICIADO"</formula>
    </cfRule>
  </conditionalFormatting>
  <conditionalFormatting sqref="D9:D182">
    <cfRule type="cellIs" dxfId="1589" priority="2501" operator="equal">
      <formula>"FINALIZADO"</formula>
    </cfRule>
  </conditionalFormatting>
  <conditionalFormatting sqref="D9:D182">
    <cfRule type="cellIs" dxfId="1588" priority="2500" operator="equal">
      <formula>"EM PROCESSO"</formula>
    </cfRule>
  </conditionalFormatting>
  <conditionalFormatting sqref="D9:D25">
    <cfRule type="cellIs" dxfId="1587" priority="2499" operator="equal">
      <formula>"NÃO INICIADO"</formula>
    </cfRule>
    <cfRule type="cellIs" dxfId="1586" priority="371" operator="equal">
      <formula>"FINALIZADO"</formula>
    </cfRule>
  </conditionalFormatting>
  <conditionalFormatting sqref="D9:D25">
    <cfRule type="cellIs" dxfId="1585" priority="2498" operator="equal">
      <formula>"FINALIZADO"</formula>
    </cfRule>
  </conditionalFormatting>
  <conditionalFormatting sqref="D9:D25">
    <cfRule type="cellIs" dxfId="1584" priority="2497" operator="equal">
      <formula>"EM PROCESSO"</formula>
    </cfRule>
  </conditionalFormatting>
  <conditionalFormatting sqref="D9:D18">
    <cfRule type="cellIs" dxfId="1583" priority="2496" operator="equal">
      <formula>"NÃO INICIADO"</formula>
    </cfRule>
  </conditionalFormatting>
  <conditionalFormatting sqref="D9:D18">
    <cfRule type="cellIs" dxfId="1582" priority="2495" operator="equal">
      <formula>"FINALIZADO"</formula>
    </cfRule>
    <cfRule type="cellIs" dxfId="1581" priority="2345" operator="equal">
      <formula>"FINALIZADO"</formula>
    </cfRule>
    <cfRule type="cellIs" dxfId="1580" priority="926" operator="equal">
      <formula>"FINALIZADO"</formula>
    </cfRule>
  </conditionalFormatting>
  <conditionalFormatting sqref="D9:D18">
    <cfRule type="cellIs" dxfId="1579" priority="2494" operator="equal">
      <formula>"EM PROCESSO"</formula>
    </cfRule>
    <cfRule type="cellIs" dxfId="1578" priority="925" operator="equal">
      <formula>"EM PROCESSO"</formula>
    </cfRule>
  </conditionalFormatting>
  <conditionalFormatting sqref="D9:D38">
    <cfRule type="cellIs" dxfId="1577" priority="2487" operator="equal">
      <formula>"NÃO INICIADO"</formula>
    </cfRule>
  </conditionalFormatting>
  <conditionalFormatting sqref="D9:D38">
    <cfRule type="cellIs" dxfId="1576" priority="2486" operator="equal">
      <formula>"FINALIZADO"</formula>
    </cfRule>
    <cfRule type="cellIs" dxfId="1575" priority="1791" operator="equal">
      <formula>"NÃO INICIADO"</formula>
    </cfRule>
  </conditionalFormatting>
  <conditionalFormatting sqref="D9:D38">
    <cfRule type="cellIs" dxfId="1574" priority="2485" operator="equal">
      <formula>"EM PROCESSO"</formula>
    </cfRule>
    <cfRule type="cellIs" dxfId="1573" priority="1779" operator="equal">
      <formula>"NÃO INICIADO"</formula>
    </cfRule>
  </conditionalFormatting>
  <conditionalFormatting sqref="D9:D115">
    <cfRule type="cellIs" dxfId="1572" priority="2481" operator="equal">
      <formula>"NÃO INICIADO"</formula>
    </cfRule>
  </conditionalFormatting>
  <conditionalFormatting sqref="D9:D115">
    <cfRule type="cellIs" dxfId="1571" priority="2480" operator="equal">
      <formula>"FINALIZADO"</formula>
    </cfRule>
  </conditionalFormatting>
  <conditionalFormatting sqref="D9:D115">
    <cfRule type="cellIs" dxfId="1570" priority="2479" operator="equal">
      <formula>"EM PROCESSO"</formula>
    </cfRule>
  </conditionalFormatting>
  <conditionalFormatting sqref="D9:D224">
    <cfRule type="cellIs" dxfId="1569" priority="2478" operator="equal">
      <formula>"NÃO INICIADO"</formula>
    </cfRule>
  </conditionalFormatting>
  <conditionalFormatting sqref="D9:D224">
    <cfRule type="cellIs" dxfId="1568" priority="2477" operator="equal">
      <formula>"FINALIZADO"</formula>
    </cfRule>
  </conditionalFormatting>
  <conditionalFormatting sqref="D9:D224">
    <cfRule type="cellIs" dxfId="1567" priority="2476" operator="equal">
      <formula>"EM PROCESSO"</formula>
    </cfRule>
  </conditionalFormatting>
  <conditionalFormatting sqref="D9:D163">
    <cfRule type="cellIs" dxfId="1566" priority="2475" operator="equal">
      <formula>"NÃO INICIADO"</formula>
    </cfRule>
  </conditionalFormatting>
  <conditionalFormatting sqref="D9:D163">
    <cfRule type="cellIs" dxfId="1565" priority="2474" operator="equal">
      <formula>"FINALIZADO"</formula>
    </cfRule>
  </conditionalFormatting>
  <conditionalFormatting sqref="D9:D163">
    <cfRule type="cellIs" dxfId="1564" priority="2473" operator="equal">
      <formula>"EM PROCESSO"</formula>
    </cfRule>
  </conditionalFormatting>
  <conditionalFormatting sqref="D9:D165">
    <cfRule type="cellIs" dxfId="1563" priority="2472" operator="equal">
      <formula>"NÃO INICIADO"</formula>
    </cfRule>
  </conditionalFormatting>
  <conditionalFormatting sqref="D9:D165">
    <cfRule type="cellIs" dxfId="1562" priority="2471" operator="equal">
      <formula>"FINALIZADO"</formula>
    </cfRule>
  </conditionalFormatting>
  <conditionalFormatting sqref="D9:D165">
    <cfRule type="cellIs" dxfId="1561" priority="2470" operator="equal">
      <formula>"EM PROCESSO"</formula>
    </cfRule>
  </conditionalFormatting>
  <conditionalFormatting sqref="D9:D41">
    <cfRule type="cellIs" dxfId="1560" priority="2469" operator="equal">
      <formula>"NÃO INICIADO"</formula>
    </cfRule>
    <cfRule type="cellIs" dxfId="1559" priority="1718" operator="equal">
      <formula>"FINALIZADO"</formula>
    </cfRule>
  </conditionalFormatting>
  <conditionalFormatting sqref="D9:D41">
    <cfRule type="cellIs" dxfId="1558" priority="2468" operator="equal">
      <formula>"FINALIZADO"</formula>
    </cfRule>
  </conditionalFormatting>
  <conditionalFormatting sqref="D9:D41">
    <cfRule type="cellIs" dxfId="1557" priority="2467" operator="equal">
      <formula>"EM PROCESSO"</formula>
    </cfRule>
  </conditionalFormatting>
  <conditionalFormatting sqref="D9:D30">
    <cfRule type="cellIs" dxfId="1556" priority="2465" operator="equal">
      <formula>"FINALIZADO"</formula>
    </cfRule>
  </conditionalFormatting>
  <conditionalFormatting sqref="D9:D30">
    <cfRule type="cellIs" dxfId="1555" priority="2464" operator="equal">
      <formula>"EM PROCESSO"</formula>
    </cfRule>
  </conditionalFormatting>
  <conditionalFormatting sqref="D9:D14">
    <cfRule type="cellIs" dxfId="1554" priority="2454" operator="equal">
      <formula>"NÃO INICIADO"</formula>
    </cfRule>
    <cfRule type="cellIs" dxfId="1553" priority="2241" operator="equal">
      <formula>"NÃO INICIADO"</formula>
    </cfRule>
    <cfRule type="cellIs" dxfId="1552" priority="1407" operator="equal">
      <formula>"NÃO INICIADO"</formula>
    </cfRule>
    <cfRule type="cellIs" dxfId="1551" priority="408" operator="equal">
      <formula>"NÃO INICIADO"</formula>
    </cfRule>
  </conditionalFormatting>
  <conditionalFormatting sqref="D9:D14">
    <cfRule type="cellIs" dxfId="1550" priority="2453" operator="equal">
      <formula>"FINALIZADO"</formula>
    </cfRule>
    <cfRule type="cellIs" dxfId="1549" priority="1946" operator="equal">
      <formula>"FINALIZADO"</formula>
    </cfRule>
  </conditionalFormatting>
  <conditionalFormatting sqref="D9:D14">
    <cfRule type="cellIs" dxfId="1548" priority="2452" operator="equal">
      <formula>"EM PROCESSO"</formula>
    </cfRule>
  </conditionalFormatting>
  <conditionalFormatting sqref="D9:D31">
    <cfRule type="cellIs" dxfId="1547" priority="2442" operator="equal">
      <formula>"NÃO INICIADO"</formula>
    </cfRule>
  </conditionalFormatting>
  <conditionalFormatting sqref="D9:D31">
    <cfRule type="cellIs" dxfId="1546" priority="2441" operator="equal">
      <formula>"FINALIZADO"</formula>
    </cfRule>
  </conditionalFormatting>
  <conditionalFormatting sqref="D9:D31">
    <cfRule type="cellIs" dxfId="1545" priority="2440" operator="equal">
      <formula>"EM PROCESSO"</formula>
    </cfRule>
  </conditionalFormatting>
  <conditionalFormatting sqref="D9:D30">
    <cfRule type="cellIs" dxfId="1544" priority="2438" operator="equal">
      <formula>"FINALIZADO"</formula>
    </cfRule>
  </conditionalFormatting>
  <conditionalFormatting sqref="D9:D30">
    <cfRule type="cellIs" dxfId="1543" priority="2437" operator="equal">
      <formula>"EM PROCESSO"</formula>
    </cfRule>
  </conditionalFormatting>
  <conditionalFormatting sqref="D9:D99">
    <cfRule type="cellIs" dxfId="1542" priority="2436" operator="equal">
      <formula>"NÃO INICIADO"</formula>
    </cfRule>
  </conditionalFormatting>
  <conditionalFormatting sqref="D9:D99">
    <cfRule type="cellIs" dxfId="1541" priority="2435" operator="equal">
      <formula>"FINALIZADO"</formula>
    </cfRule>
  </conditionalFormatting>
  <conditionalFormatting sqref="D9:D99">
    <cfRule type="cellIs" dxfId="1540" priority="2434" operator="equal">
      <formula>"EM PROCESSO"</formula>
    </cfRule>
  </conditionalFormatting>
  <conditionalFormatting sqref="D9:D169">
    <cfRule type="cellIs" dxfId="1539" priority="2433" operator="equal">
      <formula>"NÃO INICIADO"</formula>
    </cfRule>
  </conditionalFormatting>
  <conditionalFormatting sqref="D9:D169">
    <cfRule type="cellIs" dxfId="1538" priority="2432" operator="equal">
      <formula>"FINALIZADO"</formula>
    </cfRule>
  </conditionalFormatting>
  <conditionalFormatting sqref="D9:D169">
    <cfRule type="cellIs" dxfId="1537" priority="2431" operator="equal">
      <formula>"EM PROCESSO"</formula>
    </cfRule>
  </conditionalFormatting>
  <conditionalFormatting sqref="D9:D122">
    <cfRule type="cellIs" dxfId="1536" priority="2430" operator="equal">
      <formula>"NÃO INICIADO"</formula>
    </cfRule>
  </conditionalFormatting>
  <conditionalFormatting sqref="D9:D122">
    <cfRule type="cellIs" dxfId="1535" priority="2429" operator="equal">
      <formula>"FINALIZADO"</formula>
    </cfRule>
  </conditionalFormatting>
  <conditionalFormatting sqref="D9:D122">
    <cfRule type="cellIs" dxfId="1534" priority="2428" operator="equal">
      <formula>"EM PROCESSO"</formula>
    </cfRule>
  </conditionalFormatting>
  <conditionalFormatting sqref="D9:D43">
    <cfRule type="cellIs" dxfId="1533" priority="2427" operator="equal">
      <formula>"NÃO INICIADO"</formula>
    </cfRule>
  </conditionalFormatting>
  <conditionalFormatting sqref="D9:D43">
    <cfRule type="cellIs" dxfId="1532" priority="2426" operator="equal">
      <formula>"FINALIZADO"</formula>
    </cfRule>
  </conditionalFormatting>
  <conditionalFormatting sqref="D9:D43">
    <cfRule type="cellIs" dxfId="1531" priority="2425" operator="equal">
      <formula>"EM PROCESSO"</formula>
    </cfRule>
  </conditionalFormatting>
  <conditionalFormatting sqref="D9:D135">
    <cfRule type="cellIs" dxfId="1530" priority="2424" operator="equal">
      <formula>"NÃO INICIADO"</formula>
    </cfRule>
  </conditionalFormatting>
  <conditionalFormatting sqref="D9:D135">
    <cfRule type="cellIs" dxfId="1529" priority="2423" operator="equal">
      <formula>"FINALIZADO"</formula>
    </cfRule>
  </conditionalFormatting>
  <conditionalFormatting sqref="D9:D135">
    <cfRule type="cellIs" dxfId="1528" priority="2422" operator="equal">
      <formula>"EM PROCESSO"</formula>
    </cfRule>
  </conditionalFormatting>
  <conditionalFormatting sqref="D9:D52">
    <cfRule type="cellIs" dxfId="1527" priority="2397" operator="equal">
      <formula>"NÃO INICIADO"</formula>
    </cfRule>
  </conditionalFormatting>
  <conditionalFormatting sqref="D9:D52">
    <cfRule type="cellIs" dxfId="1526" priority="2396" operator="equal">
      <formula>"FINALIZADO"</formula>
    </cfRule>
  </conditionalFormatting>
  <conditionalFormatting sqref="D9:D52">
    <cfRule type="cellIs" dxfId="1525" priority="2395" operator="equal">
      <formula>"EM PROCESSO"</formula>
    </cfRule>
  </conditionalFormatting>
  <conditionalFormatting sqref="D9:D17">
    <cfRule type="cellIs" dxfId="1524" priority="2394" operator="equal">
      <formula>"NÃO INICIADO"</formula>
    </cfRule>
  </conditionalFormatting>
  <conditionalFormatting sqref="D9:D17">
    <cfRule type="cellIs" dxfId="1523" priority="2393" operator="equal">
      <formula>"FINALIZADO"</formula>
    </cfRule>
    <cfRule type="cellIs" dxfId="1522" priority="78" operator="equal">
      <formula>"NÃO INICIADO"</formula>
    </cfRule>
  </conditionalFormatting>
  <conditionalFormatting sqref="D9:D17">
    <cfRule type="cellIs" dxfId="1521" priority="2392" operator="equal">
      <formula>"EM PROCESSO"</formula>
    </cfRule>
    <cfRule type="cellIs" dxfId="1520" priority="487" operator="equal">
      <formula>"EM PROCESSO"</formula>
    </cfRule>
  </conditionalFormatting>
  <conditionalFormatting sqref="D9:D107">
    <cfRule type="cellIs" dxfId="1519" priority="2391" operator="equal">
      <formula>"NÃO INICIADO"</formula>
    </cfRule>
  </conditionalFormatting>
  <conditionalFormatting sqref="D9:D107">
    <cfRule type="cellIs" dxfId="1518" priority="2390" operator="equal">
      <formula>"FINALIZADO"</formula>
    </cfRule>
  </conditionalFormatting>
  <conditionalFormatting sqref="D9:D107">
    <cfRule type="cellIs" dxfId="1517" priority="2389" operator="equal">
      <formula>"EM PROCESSO"</formula>
    </cfRule>
  </conditionalFormatting>
  <conditionalFormatting sqref="D9:D94">
    <cfRule type="cellIs" dxfId="1516" priority="2388" operator="equal">
      <formula>"NÃO INICIADO"</formula>
    </cfRule>
  </conditionalFormatting>
  <conditionalFormatting sqref="D9:D94">
    <cfRule type="cellIs" dxfId="1515" priority="2387" operator="equal">
      <formula>"FINALIZADO"</formula>
    </cfRule>
  </conditionalFormatting>
  <conditionalFormatting sqref="D9:D94">
    <cfRule type="cellIs" dxfId="1514" priority="2386" operator="equal">
      <formula>"EM PROCESSO"</formula>
    </cfRule>
  </conditionalFormatting>
  <conditionalFormatting sqref="D9:D266">
    <cfRule type="cellIs" dxfId="1513" priority="2385" operator="equal">
      <formula>"NÃO INICIADO"</formula>
    </cfRule>
  </conditionalFormatting>
  <conditionalFormatting sqref="D9:D266">
    <cfRule type="cellIs" dxfId="1512" priority="2384" operator="equal">
      <formula>"FINALIZADO"</formula>
    </cfRule>
  </conditionalFormatting>
  <conditionalFormatting sqref="D9:D266">
    <cfRule type="cellIs" dxfId="1511" priority="2383" operator="equal">
      <formula>"EM PROCESSO"</formula>
    </cfRule>
  </conditionalFormatting>
  <conditionalFormatting sqref="D9:D346">
    <cfRule type="cellIs" dxfId="1510" priority="2382" operator="equal">
      <formula>"NÃO INICIADO"</formula>
    </cfRule>
  </conditionalFormatting>
  <conditionalFormatting sqref="D9:D346">
    <cfRule type="cellIs" dxfId="1509" priority="2381" operator="equal">
      <formula>"FINALIZADO"</formula>
    </cfRule>
  </conditionalFormatting>
  <conditionalFormatting sqref="D9:D346">
    <cfRule type="cellIs" dxfId="1508" priority="2380" operator="equal">
      <formula>"EM PROCESSO"</formula>
    </cfRule>
  </conditionalFormatting>
  <conditionalFormatting sqref="D9:D72">
    <cfRule type="cellIs" dxfId="1507" priority="2379" operator="equal">
      <formula>"NÃO INICIADO"</formula>
    </cfRule>
  </conditionalFormatting>
  <conditionalFormatting sqref="D9:D72">
    <cfRule type="cellIs" dxfId="1506" priority="2378" operator="equal">
      <formula>"FINALIZADO"</formula>
    </cfRule>
  </conditionalFormatting>
  <conditionalFormatting sqref="D9:D72">
    <cfRule type="cellIs" dxfId="1505" priority="2377" operator="equal">
      <formula>"EM PROCESSO"</formula>
    </cfRule>
  </conditionalFormatting>
  <conditionalFormatting sqref="D9:D105">
    <cfRule type="cellIs" dxfId="1504" priority="2376" operator="equal">
      <formula>"NÃO INICIADO"</formula>
    </cfRule>
  </conditionalFormatting>
  <conditionalFormatting sqref="D9:D105">
    <cfRule type="cellIs" dxfId="1503" priority="2375" operator="equal">
      <formula>"FINALIZADO"</formula>
    </cfRule>
  </conditionalFormatting>
  <conditionalFormatting sqref="D9:D105">
    <cfRule type="cellIs" dxfId="1502" priority="2374" operator="equal">
      <formula>"EM PROCESSO"</formula>
    </cfRule>
  </conditionalFormatting>
  <conditionalFormatting sqref="D9:D334">
    <cfRule type="cellIs" dxfId="1501" priority="2373" operator="equal">
      <formula>"NÃO INICIADO"</formula>
    </cfRule>
  </conditionalFormatting>
  <conditionalFormatting sqref="D9:D334">
    <cfRule type="cellIs" dxfId="1500" priority="2372" operator="equal">
      <formula>"FINALIZADO"</formula>
    </cfRule>
  </conditionalFormatting>
  <conditionalFormatting sqref="D9:D334">
    <cfRule type="cellIs" dxfId="1499" priority="2371" operator="equal">
      <formula>"EM PROCESSO"</formula>
    </cfRule>
  </conditionalFormatting>
  <conditionalFormatting sqref="D9:D174">
    <cfRule type="cellIs" dxfId="1498" priority="2355" operator="equal">
      <formula>"NÃO INICIADO"</formula>
    </cfRule>
    <cfRule type="cellIs" dxfId="1497" priority="1425" operator="equal">
      <formula>"NÃO INICIADO"</formula>
    </cfRule>
  </conditionalFormatting>
  <conditionalFormatting sqref="D9:D174">
    <cfRule type="cellIs" dxfId="1496" priority="2354" operator="equal">
      <formula>"FINALIZADO"</formula>
    </cfRule>
  </conditionalFormatting>
  <conditionalFormatting sqref="D9:D174">
    <cfRule type="cellIs" dxfId="1495" priority="2353" operator="equal">
      <formula>"EM PROCESSO"</formula>
    </cfRule>
  </conditionalFormatting>
  <conditionalFormatting sqref="D9:D25">
    <cfRule type="cellIs" dxfId="1494" priority="2349" operator="equal">
      <formula>"NÃO INICIADO"</formula>
    </cfRule>
    <cfRule type="cellIs" dxfId="1493" priority="397" operator="equal">
      <formula>"EM PROCESSO"</formula>
    </cfRule>
    <cfRule type="cellIs" dxfId="1492" priority="370" operator="equal">
      <formula>"EM PROCESSO"</formula>
    </cfRule>
  </conditionalFormatting>
  <conditionalFormatting sqref="D9:D25">
    <cfRule type="cellIs" dxfId="1491" priority="2348" operator="equal">
      <formula>"FINALIZADO"</formula>
    </cfRule>
    <cfRule type="cellIs" dxfId="1490" priority="398" operator="equal">
      <formula>"FINALIZADO"</formula>
    </cfRule>
  </conditionalFormatting>
  <conditionalFormatting sqref="D9:D25">
    <cfRule type="cellIs" dxfId="1489" priority="2347" operator="equal">
      <formula>"EM PROCESSO"</formula>
    </cfRule>
  </conditionalFormatting>
  <conditionalFormatting sqref="D9:D144">
    <cfRule type="cellIs" dxfId="1488" priority="2340" operator="equal">
      <formula>"NÃO INICIADO"</formula>
    </cfRule>
  </conditionalFormatting>
  <conditionalFormatting sqref="D9:D144">
    <cfRule type="cellIs" dxfId="1487" priority="2339" operator="equal">
      <formula>"FINALIZADO"</formula>
    </cfRule>
  </conditionalFormatting>
  <conditionalFormatting sqref="D9:D144">
    <cfRule type="cellIs" dxfId="1486" priority="2338" operator="equal">
      <formula>"EM PROCESSO"</formula>
    </cfRule>
  </conditionalFormatting>
  <conditionalFormatting sqref="D9:D233">
    <cfRule type="cellIs" dxfId="1485" priority="2337" operator="equal">
      <formula>"NÃO INICIADO"</formula>
    </cfRule>
  </conditionalFormatting>
  <conditionalFormatting sqref="D9:D233">
    <cfRule type="cellIs" dxfId="1484" priority="2336" operator="equal">
      <formula>"FINALIZADO"</formula>
    </cfRule>
  </conditionalFormatting>
  <conditionalFormatting sqref="D9:D233">
    <cfRule type="cellIs" dxfId="1483" priority="2335" operator="equal">
      <formula>"EM PROCESSO"</formula>
    </cfRule>
  </conditionalFormatting>
  <conditionalFormatting sqref="D9:D140">
    <cfRule type="cellIs" dxfId="1482" priority="2334" operator="equal">
      <formula>"NÃO INICIADO"</formula>
    </cfRule>
  </conditionalFormatting>
  <conditionalFormatting sqref="D9:D140">
    <cfRule type="cellIs" dxfId="1481" priority="2333" operator="equal">
      <formula>"FINALIZADO"</formula>
    </cfRule>
  </conditionalFormatting>
  <conditionalFormatting sqref="D9:D140">
    <cfRule type="cellIs" dxfId="1480" priority="2332" operator="equal">
      <formula>"EM PROCESSO"</formula>
    </cfRule>
  </conditionalFormatting>
  <conditionalFormatting sqref="D9:D46">
    <cfRule type="cellIs" dxfId="1479" priority="2331" operator="equal">
      <formula>"NÃO INICIADO"</formula>
    </cfRule>
  </conditionalFormatting>
  <conditionalFormatting sqref="D9:D46">
    <cfRule type="cellIs" dxfId="1478" priority="2330" operator="equal">
      <formula>"FINALIZADO"</formula>
    </cfRule>
  </conditionalFormatting>
  <conditionalFormatting sqref="D9:D46">
    <cfRule type="cellIs" dxfId="1477" priority="2329" operator="equal">
      <formula>"EM PROCESSO"</formula>
    </cfRule>
  </conditionalFormatting>
  <conditionalFormatting sqref="D9:D157">
    <cfRule type="cellIs" dxfId="1476" priority="2328" operator="equal">
      <formula>"NÃO INICIADO"</formula>
    </cfRule>
  </conditionalFormatting>
  <conditionalFormatting sqref="D9:D157">
    <cfRule type="cellIs" dxfId="1475" priority="2327" operator="equal">
      <formula>"FINALIZADO"</formula>
    </cfRule>
  </conditionalFormatting>
  <conditionalFormatting sqref="D9:D157">
    <cfRule type="cellIs" dxfId="1474" priority="2326" operator="equal">
      <formula>"EM PROCESSO"</formula>
    </cfRule>
  </conditionalFormatting>
  <conditionalFormatting sqref="D9:D224">
    <cfRule type="cellIs" dxfId="1473" priority="2307" operator="equal">
      <formula>"NÃO INICIADO"</formula>
    </cfRule>
  </conditionalFormatting>
  <conditionalFormatting sqref="D9:D224">
    <cfRule type="cellIs" dxfId="1472" priority="2306" operator="equal">
      <formula>"FINALIZADO"</formula>
    </cfRule>
  </conditionalFormatting>
  <conditionalFormatting sqref="D9:D224">
    <cfRule type="cellIs" dxfId="1471" priority="2305" operator="equal">
      <formula>"EM PROCESSO"</formula>
    </cfRule>
  </conditionalFormatting>
  <conditionalFormatting sqref="D9:D181">
    <cfRule type="cellIs" dxfId="1470" priority="2304" operator="equal">
      <formula>"NÃO INICIADO"</formula>
    </cfRule>
  </conditionalFormatting>
  <conditionalFormatting sqref="D9:D181">
    <cfRule type="cellIs" dxfId="1469" priority="2303" operator="equal">
      <formula>"FINALIZADO"</formula>
    </cfRule>
  </conditionalFormatting>
  <conditionalFormatting sqref="D9:D181">
    <cfRule type="cellIs" dxfId="1468" priority="2302" operator="equal">
      <formula>"EM PROCESSO"</formula>
    </cfRule>
  </conditionalFormatting>
  <conditionalFormatting sqref="D9:D275">
    <cfRule type="cellIs" dxfId="1467" priority="2298" operator="equal">
      <formula>"NÃO INICIADO"</formula>
    </cfRule>
  </conditionalFormatting>
  <conditionalFormatting sqref="D9:D275">
    <cfRule type="cellIs" dxfId="1466" priority="2297" operator="equal">
      <formula>"FINALIZADO"</formula>
    </cfRule>
  </conditionalFormatting>
  <conditionalFormatting sqref="D9:D275">
    <cfRule type="cellIs" dxfId="1465" priority="2296" operator="equal">
      <formula>"EM PROCESSO"</formula>
    </cfRule>
  </conditionalFormatting>
  <conditionalFormatting sqref="D9:D25">
    <cfRule type="cellIs" dxfId="1464" priority="2295" operator="equal">
      <formula>"NÃO INICIADO"</formula>
    </cfRule>
  </conditionalFormatting>
  <conditionalFormatting sqref="D9:D25">
    <cfRule type="cellIs" dxfId="1463" priority="2294" operator="equal">
      <formula>"FINALIZADO"</formula>
    </cfRule>
  </conditionalFormatting>
  <conditionalFormatting sqref="D9:D25">
    <cfRule type="cellIs" dxfId="1462" priority="2293" operator="equal">
      <formula>"EM PROCESSO"</formula>
    </cfRule>
  </conditionalFormatting>
  <conditionalFormatting sqref="D9:D278">
    <cfRule type="cellIs" dxfId="1461" priority="2292" operator="equal">
      <formula>"NÃO INICIADO"</formula>
    </cfRule>
  </conditionalFormatting>
  <conditionalFormatting sqref="D9:D278">
    <cfRule type="cellIs" dxfId="1460" priority="2291" operator="equal">
      <formula>"FINALIZADO"</formula>
    </cfRule>
  </conditionalFormatting>
  <conditionalFormatting sqref="D9:D278">
    <cfRule type="cellIs" dxfId="1459" priority="2290" operator="equal">
      <formula>"EM PROCESSO"</formula>
    </cfRule>
  </conditionalFormatting>
  <conditionalFormatting sqref="D9:D75">
    <cfRule type="cellIs" dxfId="1458" priority="2289" operator="equal">
      <formula>"NÃO INICIADO"</formula>
    </cfRule>
  </conditionalFormatting>
  <conditionalFormatting sqref="D9:D75">
    <cfRule type="cellIs" dxfId="1457" priority="2288" operator="equal">
      <formula>"FINALIZADO"</formula>
    </cfRule>
  </conditionalFormatting>
  <conditionalFormatting sqref="D9:D75">
    <cfRule type="cellIs" dxfId="1456" priority="2287" operator="equal">
      <formula>"EM PROCESSO"</formula>
    </cfRule>
  </conditionalFormatting>
  <conditionalFormatting sqref="D9:D17">
    <cfRule type="cellIs" dxfId="1455" priority="2282" operator="equal">
      <formula>"FINALIZADO"</formula>
    </cfRule>
  </conditionalFormatting>
  <conditionalFormatting sqref="D9:D17">
    <cfRule type="cellIs" dxfId="1454" priority="2281" operator="equal">
      <formula>"EM PROCESSO"</formula>
    </cfRule>
  </conditionalFormatting>
  <conditionalFormatting sqref="D9:D25">
    <cfRule type="cellIs" dxfId="1453" priority="2277" operator="equal">
      <formula>"NÃO INICIADO"</formula>
    </cfRule>
  </conditionalFormatting>
  <conditionalFormatting sqref="D9:D25">
    <cfRule type="cellIs" dxfId="1452" priority="2276" operator="equal">
      <formula>"FINALIZADO"</formula>
    </cfRule>
  </conditionalFormatting>
  <conditionalFormatting sqref="D9:D25">
    <cfRule type="cellIs" dxfId="1451" priority="2275" operator="equal">
      <formula>"EM PROCESSO"</formula>
    </cfRule>
  </conditionalFormatting>
  <conditionalFormatting sqref="D9:D23">
    <cfRule type="cellIs" dxfId="1450" priority="2274" operator="equal">
      <formula>"NÃO INICIADO"</formula>
    </cfRule>
    <cfRule type="cellIs" dxfId="1449" priority="1568" operator="equal">
      <formula>"FINALIZADO"</formula>
    </cfRule>
  </conditionalFormatting>
  <conditionalFormatting sqref="D9:D23">
    <cfRule type="cellIs" dxfId="1448" priority="2273" operator="equal">
      <formula>"FINALIZADO"</formula>
    </cfRule>
  </conditionalFormatting>
  <conditionalFormatting sqref="D9:D23">
    <cfRule type="cellIs" dxfId="1447" priority="2272" operator="equal">
      <formula>"EM PROCESSO"</formula>
    </cfRule>
  </conditionalFormatting>
  <conditionalFormatting sqref="D9:D150">
    <cfRule type="cellIs" dxfId="1446" priority="2271" operator="equal">
      <formula>"NÃO INICIADO"</formula>
    </cfRule>
  </conditionalFormatting>
  <conditionalFormatting sqref="D9:D150">
    <cfRule type="cellIs" dxfId="1445" priority="2270" operator="equal">
      <formula>"FINALIZADO"</formula>
    </cfRule>
  </conditionalFormatting>
  <conditionalFormatting sqref="D9:D150">
    <cfRule type="cellIs" dxfId="1444" priority="2269" operator="equal">
      <formula>"EM PROCESSO"</formula>
    </cfRule>
  </conditionalFormatting>
  <conditionalFormatting sqref="D9:D239">
    <cfRule type="cellIs" dxfId="1443" priority="2268" operator="equal">
      <formula>"NÃO INICIADO"</formula>
    </cfRule>
  </conditionalFormatting>
  <conditionalFormatting sqref="D9:D239">
    <cfRule type="cellIs" dxfId="1442" priority="2267" operator="equal">
      <formula>"FINALIZADO"</formula>
    </cfRule>
  </conditionalFormatting>
  <conditionalFormatting sqref="D9:D239">
    <cfRule type="cellIs" dxfId="1441" priority="2266" operator="equal">
      <formula>"EM PROCESSO"</formula>
    </cfRule>
  </conditionalFormatting>
  <conditionalFormatting sqref="D9:D166">
    <cfRule type="cellIs" dxfId="1440" priority="2265" operator="equal">
      <formula>"NÃO INICIADO"</formula>
    </cfRule>
  </conditionalFormatting>
  <conditionalFormatting sqref="D9:D166">
    <cfRule type="cellIs" dxfId="1439" priority="2264" operator="equal">
      <formula>"FINALIZADO"</formula>
    </cfRule>
  </conditionalFormatting>
  <conditionalFormatting sqref="D9:D166">
    <cfRule type="cellIs" dxfId="1438" priority="2263" operator="equal">
      <formula>"EM PROCESSO"</formula>
    </cfRule>
  </conditionalFormatting>
  <conditionalFormatting sqref="D9:D296">
    <cfRule type="cellIs" dxfId="1437" priority="2262" operator="equal">
      <formula>"NÃO INICIADO"</formula>
    </cfRule>
  </conditionalFormatting>
  <conditionalFormatting sqref="D9:D296">
    <cfRule type="cellIs" dxfId="1436" priority="2261" operator="equal">
      <formula>"FINALIZADO"</formula>
    </cfRule>
  </conditionalFormatting>
  <conditionalFormatting sqref="D9:D296">
    <cfRule type="cellIs" dxfId="1435" priority="2260" operator="equal">
      <formula>"EM PROCESSO"</formula>
    </cfRule>
  </conditionalFormatting>
  <conditionalFormatting sqref="D9:D135">
    <cfRule type="cellIs" dxfId="1434" priority="2259" operator="equal">
      <formula>"NÃO INICIADO"</formula>
    </cfRule>
  </conditionalFormatting>
  <conditionalFormatting sqref="D9:D135">
    <cfRule type="cellIs" dxfId="1433" priority="2258" operator="equal">
      <formula>"FINALIZADO"</formula>
    </cfRule>
  </conditionalFormatting>
  <conditionalFormatting sqref="D9:D135">
    <cfRule type="cellIs" dxfId="1432" priority="2257" operator="equal">
      <formula>"EM PROCESSO"</formula>
    </cfRule>
  </conditionalFormatting>
  <conditionalFormatting sqref="D9:D250">
    <cfRule type="cellIs" dxfId="1431" priority="2256" operator="equal">
      <formula>"NÃO INICIADO"</formula>
    </cfRule>
  </conditionalFormatting>
  <conditionalFormatting sqref="D9:D250">
    <cfRule type="cellIs" dxfId="1430" priority="2255" operator="equal">
      <formula>"FINALIZADO"</formula>
    </cfRule>
  </conditionalFormatting>
  <conditionalFormatting sqref="D9:D250">
    <cfRule type="cellIs" dxfId="1429" priority="2254" operator="equal">
      <formula>"EM PROCESSO"</formula>
    </cfRule>
  </conditionalFormatting>
  <conditionalFormatting sqref="D9:D98">
    <cfRule type="cellIs" dxfId="1428" priority="2238" operator="equal">
      <formula>"NÃO INICIADO"</formula>
    </cfRule>
  </conditionalFormatting>
  <conditionalFormatting sqref="D9:D98">
    <cfRule type="cellIs" dxfId="1427" priority="2237" operator="equal">
      <formula>"FINALIZADO"</formula>
    </cfRule>
  </conditionalFormatting>
  <conditionalFormatting sqref="D9:D98">
    <cfRule type="cellIs" dxfId="1426" priority="2236" operator="equal">
      <formula>"EM PROCESSO"</formula>
    </cfRule>
  </conditionalFormatting>
  <conditionalFormatting sqref="D9:D41">
    <cfRule type="cellIs" dxfId="1425" priority="2235" operator="equal">
      <formula>"NÃO INICIADO"</formula>
    </cfRule>
    <cfRule type="cellIs" dxfId="1424" priority="493" operator="equal">
      <formula>"EM PROCESSO"</formula>
    </cfRule>
  </conditionalFormatting>
  <conditionalFormatting sqref="D9:D41">
    <cfRule type="cellIs" dxfId="1423" priority="2234" operator="equal">
      <formula>"FINALIZADO"</formula>
    </cfRule>
    <cfRule type="cellIs" dxfId="1422" priority="494" operator="equal">
      <formula>"FINALIZADO"</formula>
    </cfRule>
  </conditionalFormatting>
  <conditionalFormatting sqref="D9:D41">
    <cfRule type="cellIs" dxfId="1421" priority="2233" operator="equal">
      <formula>"EM PROCESSO"</formula>
    </cfRule>
  </conditionalFormatting>
  <conditionalFormatting sqref="D9:D107">
    <cfRule type="cellIs" dxfId="1420" priority="2232" operator="equal">
      <formula>"NÃO INICIADO"</formula>
    </cfRule>
  </conditionalFormatting>
  <conditionalFormatting sqref="D9:D107">
    <cfRule type="cellIs" dxfId="1419" priority="2231" operator="equal">
      <formula>"FINALIZADO"</formula>
    </cfRule>
  </conditionalFormatting>
  <conditionalFormatting sqref="D9:D107">
    <cfRule type="cellIs" dxfId="1418" priority="2230" operator="equal">
      <formula>"EM PROCESSO"</formula>
    </cfRule>
  </conditionalFormatting>
  <conditionalFormatting sqref="D9:D159">
    <cfRule type="cellIs" dxfId="1417" priority="2229" operator="equal">
      <formula>"NÃO INICIADO"</formula>
    </cfRule>
  </conditionalFormatting>
  <conditionalFormatting sqref="D9:D159">
    <cfRule type="cellIs" dxfId="1416" priority="2228" operator="equal">
      <formula>"FINALIZADO"</formula>
    </cfRule>
  </conditionalFormatting>
  <conditionalFormatting sqref="D9:D159">
    <cfRule type="cellIs" dxfId="1415" priority="2227" operator="equal">
      <formula>"EM PROCESSO"</formula>
    </cfRule>
  </conditionalFormatting>
  <conditionalFormatting sqref="D9:D61">
    <cfRule type="cellIs" dxfId="1414" priority="2226" operator="equal">
      <formula>"NÃO INICIADO"</formula>
    </cfRule>
  </conditionalFormatting>
  <conditionalFormatting sqref="D9:D61">
    <cfRule type="cellIs" dxfId="1413" priority="2225" operator="equal">
      <formula>"FINALIZADO"</formula>
    </cfRule>
  </conditionalFormatting>
  <conditionalFormatting sqref="D9:D61">
    <cfRule type="cellIs" dxfId="1412" priority="2224" operator="equal">
      <formula>"EM PROCESSO"</formula>
    </cfRule>
  </conditionalFormatting>
  <conditionalFormatting sqref="D9:D193">
    <cfRule type="cellIs" dxfId="1411" priority="2220" operator="equal">
      <formula>"NÃO INICIADO"</formula>
    </cfRule>
  </conditionalFormatting>
  <conditionalFormatting sqref="D9:D193">
    <cfRule type="cellIs" dxfId="1410" priority="2219" operator="equal">
      <formula>"FINALIZADO"</formula>
    </cfRule>
  </conditionalFormatting>
  <conditionalFormatting sqref="D9:D193">
    <cfRule type="cellIs" dxfId="1409" priority="2218" operator="equal">
      <formula>"EM PROCESSO"</formula>
    </cfRule>
  </conditionalFormatting>
  <conditionalFormatting sqref="D9:D16">
    <cfRule type="cellIs" dxfId="1408" priority="2208" operator="equal">
      <formula>"NÃO INICIADO"</formula>
    </cfRule>
    <cfRule type="cellIs" dxfId="1407" priority="1882" operator="equal">
      <formula>"EM PROCESSO"</formula>
    </cfRule>
    <cfRule type="cellIs" dxfId="1406" priority="998" operator="equal">
      <formula>"FINALIZADO"</formula>
    </cfRule>
    <cfRule type="cellIs" dxfId="1405" priority="118" operator="equal">
      <formula>"EM PROCESSO"</formula>
    </cfRule>
  </conditionalFormatting>
  <conditionalFormatting sqref="D9:D16">
    <cfRule type="cellIs" dxfId="1404" priority="2207" operator="equal">
      <formula>"FINALIZADO"</formula>
    </cfRule>
    <cfRule type="cellIs" dxfId="1403" priority="1883" operator="equal">
      <formula>"FINALIZADO"</formula>
    </cfRule>
  </conditionalFormatting>
  <conditionalFormatting sqref="D9:D16">
    <cfRule type="cellIs" dxfId="1402" priority="2206" operator="equal">
      <formula>"EM PROCESSO"</formula>
    </cfRule>
    <cfRule type="cellIs" dxfId="1401" priority="1681" operator="equal">
      <formula>"EM PROCESSO"</formula>
    </cfRule>
    <cfRule type="cellIs" dxfId="1400" priority="1345" operator="equal">
      <formula>"EM PROCESSO"</formula>
    </cfRule>
  </conditionalFormatting>
  <conditionalFormatting sqref="D9:D267">
    <cfRule type="cellIs" dxfId="1399" priority="2202" operator="equal">
      <formula>"NÃO INICIADO"</formula>
    </cfRule>
  </conditionalFormatting>
  <conditionalFormatting sqref="D9:D267">
    <cfRule type="cellIs" dxfId="1398" priority="2201" operator="equal">
      <formula>"FINALIZADO"</formula>
    </cfRule>
  </conditionalFormatting>
  <conditionalFormatting sqref="D9:D267">
    <cfRule type="cellIs" dxfId="1397" priority="2200" operator="equal">
      <formula>"EM PROCESSO"</formula>
    </cfRule>
  </conditionalFormatting>
  <conditionalFormatting sqref="D9:D193">
    <cfRule type="cellIs" dxfId="1396" priority="2199" operator="equal">
      <formula>"NÃO INICIADO"</formula>
    </cfRule>
  </conditionalFormatting>
  <conditionalFormatting sqref="D9:D193">
    <cfRule type="cellIs" dxfId="1395" priority="2198" operator="equal">
      <formula>"FINALIZADO"</formula>
    </cfRule>
  </conditionalFormatting>
  <conditionalFormatting sqref="D9:D193">
    <cfRule type="cellIs" dxfId="1394" priority="2197" operator="equal">
      <formula>"EM PROCESSO"</formula>
    </cfRule>
  </conditionalFormatting>
  <conditionalFormatting sqref="D9:D251">
    <cfRule type="cellIs" dxfId="1393" priority="2196" operator="equal">
      <formula>"NÃO INICIADO"</formula>
    </cfRule>
  </conditionalFormatting>
  <conditionalFormatting sqref="D9:D251">
    <cfRule type="cellIs" dxfId="1392" priority="2195" operator="equal">
      <formula>"FINALIZADO"</formula>
    </cfRule>
  </conditionalFormatting>
  <conditionalFormatting sqref="D9:D251">
    <cfRule type="cellIs" dxfId="1391" priority="2194" operator="equal">
      <formula>"EM PROCESSO"</formula>
    </cfRule>
  </conditionalFormatting>
  <conditionalFormatting sqref="D9:D402">
    <cfRule type="cellIs" dxfId="1390" priority="2193" operator="equal">
      <formula>"NÃO INICIADO"</formula>
    </cfRule>
    <cfRule type="cellIs" dxfId="1389" priority="2192" operator="equal">
      <formula>"FINALIZADO"</formula>
    </cfRule>
    <cfRule type="cellIs" dxfId="1388" priority="2191" operator="equal">
      <formula>"EM PROCESSO"</formula>
    </cfRule>
  </conditionalFormatting>
  <conditionalFormatting sqref="D9:D68">
    <cfRule type="cellIs" dxfId="1387" priority="2190" operator="equal">
      <formula>"NÃO INICIADO"</formula>
    </cfRule>
  </conditionalFormatting>
  <conditionalFormatting sqref="D9:D68">
    <cfRule type="cellIs" dxfId="1386" priority="2189" operator="equal">
      <formula>"FINALIZADO"</formula>
    </cfRule>
  </conditionalFormatting>
  <conditionalFormatting sqref="D9:D68">
    <cfRule type="cellIs" dxfId="1385" priority="2188" operator="equal">
      <formula>"EM PROCESSO"</formula>
    </cfRule>
  </conditionalFormatting>
  <conditionalFormatting sqref="D9:D22">
    <cfRule type="cellIs" dxfId="1384" priority="2187" operator="equal">
      <formula>"NÃO INICIADO"</formula>
    </cfRule>
    <cfRule type="cellIs" dxfId="1383" priority="2118" operator="equal">
      <formula>"NÃO INICIADO"</formula>
    </cfRule>
    <cfRule type="cellIs" dxfId="1382" priority="1796" operator="equal">
      <formula>"FINALIZADO"</formula>
    </cfRule>
    <cfRule type="cellIs" dxfId="1381" priority="1162" operator="equal">
      <formula>"EM PROCESSO"</formula>
    </cfRule>
  </conditionalFormatting>
  <conditionalFormatting sqref="D9:D22">
    <cfRule type="cellIs" dxfId="1380" priority="2186" operator="equal">
      <formula>"FINALIZADO"</formula>
    </cfRule>
  </conditionalFormatting>
  <conditionalFormatting sqref="D9:D22">
    <cfRule type="cellIs" dxfId="1379" priority="2185" operator="equal">
      <formula>"EM PROCESSO"</formula>
    </cfRule>
    <cfRule type="cellIs" dxfId="1378" priority="1247" operator="equal">
      <formula>"FINALIZADO"</formula>
    </cfRule>
  </conditionalFormatting>
  <conditionalFormatting sqref="D9:D136">
    <cfRule type="cellIs" dxfId="1377" priority="2181" operator="equal">
      <formula>"NÃO INICIADO"</formula>
    </cfRule>
  </conditionalFormatting>
  <conditionalFormatting sqref="D9:D136">
    <cfRule type="cellIs" dxfId="1376" priority="2180" operator="equal">
      <formula>"FINALIZADO"</formula>
    </cfRule>
  </conditionalFormatting>
  <conditionalFormatting sqref="D9:D136">
    <cfRule type="cellIs" dxfId="1375" priority="2179" operator="equal">
      <formula>"EM PROCESSO"</formula>
    </cfRule>
  </conditionalFormatting>
  <conditionalFormatting sqref="D9:D291">
    <cfRule type="cellIs" dxfId="1374" priority="2178" operator="equal">
      <formula>"NÃO INICIADO"</formula>
    </cfRule>
  </conditionalFormatting>
  <conditionalFormatting sqref="D9:D291">
    <cfRule type="cellIs" dxfId="1373" priority="2177" operator="equal">
      <formula>"FINALIZADO"</formula>
    </cfRule>
  </conditionalFormatting>
  <conditionalFormatting sqref="D9:D291">
    <cfRule type="cellIs" dxfId="1372" priority="2176" operator="equal">
      <formula>"EM PROCESSO"</formula>
    </cfRule>
  </conditionalFormatting>
  <conditionalFormatting sqref="D9:D349">
    <cfRule type="cellIs" dxfId="1371" priority="2175" operator="equal">
      <formula>"NÃO INICIADO"</formula>
    </cfRule>
  </conditionalFormatting>
  <conditionalFormatting sqref="D9:D349">
    <cfRule type="cellIs" dxfId="1370" priority="2174" operator="equal">
      <formula>"FINALIZADO"</formula>
    </cfRule>
  </conditionalFormatting>
  <conditionalFormatting sqref="D9:D349">
    <cfRule type="cellIs" dxfId="1369" priority="2173" operator="equal">
      <formula>"EM PROCESSO"</formula>
    </cfRule>
  </conditionalFormatting>
  <conditionalFormatting sqref="D9:D319">
    <cfRule type="cellIs" dxfId="1368" priority="2172" operator="equal">
      <formula>"NÃO INICIADO"</formula>
    </cfRule>
  </conditionalFormatting>
  <conditionalFormatting sqref="D9:D319">
    <cfRule type="cellIs" dxfId="1367" priority="2171" operator="equal">
      <formula>"FINALIZADO"</formula>
    </cfRule>
  </conditionalFormatting>
  <conditionalFormatting sqref="D9:D319">
    <cfRule type="cellIs" dxfId="1366" priority="2170" operator="equal">
      <formula>"EM PROCESSO"</formula>
    </cfRule>
  </conditionalFormatting>
  <conditionalFormatting sqref="D9:D385">
    <cfRule type="cellIs" dxfId="1365" priority="2169" operator="equal">
      <formula>"NÃO INICIADO"</formula>
    </cfRule>
    <cfRule type="cellIs" dxfId="1364" priority="2168" operator="equal">
      <formula>"FINALIZADO"</formula>
    </cfRule>
    <cfRule type="cellIs" dxfId="1363" priority="2167" operator="equal">
      <formula>"EM PROCESSO"</formula>
    </cfRule>
  </conditionalFormatting>
  <conditionalFormatting sqref="D9:D95">
    <cfRule type="cellIs" dxfId="1362" priority="2166" operator="equal">
      <formula>"NÃO INICIADO"</formula>
    </cfRule>
  </conditionalFormatting>
  <conditionalFormatting sqref="D9:D95">
    <cfRule type="cellIs" dxfId="1361" priority="2165" operator="equal">
      <formula>"FINALIZADO"</formula>
    </cfRule>
  </conditionalFormatting>
  <conditionalFormatting sqref="D9:D95">
    <cfRule type="cellIs" dxfId="1360" priority="2164" operator="equal">
      <formula>"EM PROCESSO"</formula>
    </cfRule>
  </conditionalFormatting>
  <conditionalFormatting sqref="D9:D41">
    <cfRule type="cellIs" dxfId="1359" priority="2163" operator="equal">
      <formula>"NÃO INICIADO"</formula>
    </cfRule>
    <cfRule type="cellIs" dxfId="1358" priority="1937" operator="equal">
      <formula>"FINALIZADO"</formula>
    </cfRule>
  </conditionalFormatting>
  <conditionalFormatting sqref="D9:D41">
    <cfRule type="cellIs" dxfId="1357" priority="2162" operator="equal">
      <formula>"FINALIZADO"</formula>
    </cfRule>
  </conditionalFormatting>
  <conditionalFormatting sqref="D9:D41">
    <cfRule type="cellIs" dxfId="1356" priority="2161" operator="equal">
      <formula>"EM PROCESSO"</formula>
    </cfRule>
  </conditionalFormatting>
  <conditionalFormatting sqref="D9:D40">
    <cfRule type="cellIs" dxfId="1355" priority="2160" operator="equal">
      <formula>"NÃO INICIADO"</formula>
    </cfRule>
    <cfRule type="cellIs" dxfId="1354" priority="736" operator="equal">
      <formula>"EM PROCESSO"</formula>
    </cfRule>
  </conditionalFormatting>
  <conditionalFormatting sqref="D9:D40">
    <cfRule type="cellIs" dxfId="1353" priority="2159" operator="equal">
      <formula>"FINALIZADO"</formula>
    </cfRule>
  </conditionalFormatting>
  <conditionalFormatting sqref="D9:D40">
    <cfRule type="cellIs" dxfId="1352" priority="2158" operator="equal">
      <formula>"EM PROCESSO"</formula>
    </cfRule>
  </conditionalFormatting>
  <conditionalFormatting sqref="D9:D78">
    <cfRule type="cellIs" dxfId="1351" priority="2153" operator="equal">
      <formula>"FINALIZADO"</formula>
    </cfRule>
  </conditionalFormatting>
  <conditionalFormatting sqref="D9:D78">
    <cfRule type="cellIs" dxfId="1350" priority="2152" operator="equal">
      <formula>"EM PROCESSO"</formula>
    </cfRule>
  </conditionalFormatting>
  <conditionalFormatting sqref="D9:D150">
    <cfRule type="cellIs" dxfId="1349" priority="2151" operator="equal">
      <formula>"NÃO INICIADO"</formula>
    </cfRule>
  </conditionalFormatting>
  <conditionalFormatting sqref="D9:D150">
    <cfRule type="cellIs" dxfId="1348" priority="2150" operator="equal">
      <formula>"FINALIZADO"</formula>
    </cfRule>
  </conditionalFormatting>
  <conditionalFormatting sqref="D9:D150">
    <cfRule type="cellIs" dxfId="1347" priority="2149" operator="equal">
      <formula>"EM PROCESSO"</formula>
    </cfRule>
  </conditionalFormatting>
  <conditionalFormatting sqref="D9:D49">
    <cfRule type="cellIs" dxfId="1346" priority="2148" operator="equal">
      <formula>"NÃO INICIADO"</formula>
    </cfRule>
  </conditionalFormatting>
  <conditionalFormatting sqref="D9:D49">
    <cfRule type="cellIs" dxfId="1345" priority="2147" operator="equal">
      <formula>"FINALIZADO"</formula>
    </cfRule>
  </conditionalFormatting>
  <conditionalFormatting sqref="D9:D49">
    <cfRule type="cellIs" dxfId="1344" priority="2146" operator="equal">
      <formula>"EM PROCESSO"</formula>
    </cfRule>
  </conditionalFormatting>
  <conditionalFormatting sqref="D9:D148">
    <cfRule type="cellIs" dxfId="1343" priority="2145" operator="equal">
      <formula>"NÃO INICIADO"</formula>
    </cfRule>
  </conditionalFormatting>
  <conditionalFormatting sqref="D9:D148">
    <cfRule type="cellIs" dxfId="1342" priority="2144" operator="equal">
      <formula>"FINALIZADO"</formula>
    </cfRule>
  </conditionalFormatting>
  <conditionalFormatting sqref="D9:D148">
    <cfRule type="cellIs" dxfId="1341" priority="2143" operator="equal">
      <formula>"EM PROCESSO"</formula>
    </cfRule>
  </conditionalFormatting>
  <conditionalFormatting sqref="D9:D215">
    <cfRule type="cellIs" dxfId="1340" priority="2142" operator="equal">
      <formula>"NÃO INICIADO"</formula>
    </cfRule>
  </conditionalFormatting>
  <conditionalFormatting sqref="D9:D215">
    <cfRule type="cellIs" dxfId="1339" priority="2141" operator="equal">
      <formula>"FINALIZADO"</formula>
    </cfRule>
  </conditionalFormatting>
  <conditionalFormatting sqref="D9:D215">
    <cfRule type="cellIs" dxfId="1338" priority="2140" operator="equal">
      <formula>"EM PROCESSO"</formula>
    </cfRule>
  </conditionalFormatting>
  <conditionalFormatting sqref="D9:D194">
    <cfRule type="cellIs" dxfId="1337" priority="2139" operator="equal">
      <formula>"NÃO INICIADO"</formula>
    </cfRule>
  </conditionalFormatting>
  <conditionalFormatting sqref="D9:D194">
    <cfRule type="cellIs" dxfId="1336" priority="2138" operator="equal">
      <formula>"FINALIZADO"</formula>
    </cfRule>
  </conditionalFormatting>
  <conditionalFormatting sqref="D9:D194">
    <cfRule type="cellIs" dxfId="1335" priority="2137" operator="equal">
      <formula>"EM PROCESSO"</formula>
    </cfRule>
  </conditionalFormatting>
  <conditionalFormatting sqref="D9:D46">
    <cfRule type="cellIs" dxfId="1334" priority="2136" operator="equal">
      <formula>"NÃO INICIADO"</formula>
    </cfRule>
  </conditionalFormatting>
  <conditionalFormatting sqref="D9:D46">
    <cfRule type="cellIs" dxfId="1333" priority="2135" operator="equal">
      <formula>"FINALIZADO"</formula>
    </cfRule>
  </conditionalFormatting>
  <conditionalFormatting sqref="D9:D46">
    <cfRule type="cellIs" dxfId="1332" priority="2134" operator="equal">
      <formula>"EM PROCESSO"</formula>
    </cfRule>
  </conditionalFormatting>
  <conditionalFormatting sqref="D9:D146">
    <cfRule type="cellIs" dxfId="1331" priority="2133" operator="equal">
      <formula>"NÃO INICIADO"</formula>
    </cfRule>
  </conditionalFormatting>
  <conditionalFormatting sqref="D9:D146">
    <cfRule type="cellIs" dxfId="1330" priority="2132" operator="equal">
      <formula>"FINALIZADO"</formula>
    </cfRule>
  </conditionalFormatting>
  <conditionalFormatting sqref="D9:D146">
    <cfRule type="cellIs" dxfId="1329" priority="2131" operator="equal">
      <formula>"EM PROCESSO"</formula>
    </cfRule>
  </conditionalFormatting>
  <conditionalFormatting sqref="D9:D22">
    <cfRule type="cellIs" dxfId="1328" priority="2117" operator="equal">
      <formula>"FINALIZADO"</formula>
    </cfRule>
    <cfRule type="cellIs" dxfId="1327" priority="2086" operator="equal">
      <formula>"EM PROCESSO"</formula>
    </cfRule>
  </conditionalFormatting>
  <conditionalFormatting sqref="D9:D22">
    <cfRule type="cellIs" dxfId="1326" priority="2116" operator="equal">
      <formula>"EM PROCESSO"</formula>
    </cfRule>
  </conditionalFormatting>
  <conditionalFormatting sqref="D9:D27">
    <cfRule type="cellIs" dxfId="1325" priority="2115" operator="equal">
      <formula>"NÃO INICIADO"</formula>
    </cfRule>
  </conditionalFormatting>
  <conditionalFormatting sqref="D9:D27">
    <cfRule type="cellIs" dxfId="1324" priority="2114" operator="equal">
      <formula>"FINALIZADO"</formula>
    </cfRule>
  </conditionalFormatting>
  <conditionalFormatting sqref="D9:D27">
    <cfRule type="cellIs" dxfId="1323" priority="2113" operator="equal">
      <formula>"EM PROCESSO"</formula>
    </cfRule>
  </conditionalFormatting>
  <conditionalFormatting sqref="D9:D165">
    <cfRule type="cellIs" dxfId="1322" priority="2112" operator="equal">
      <formula>"NÃO INICIADO"</formula>
    </cfRule>
  </conditionalFormatting>
  <conditionalFormatting sqref="D9:D165">
    <cfRule type="cellIs" dxfId="1321" priority="2111" operator="equal">
      <formula>"FINALIZADO"</formula>
    </cfRule>
  </conditionalFormatting>
  <conditionalFormatting sqref="D9:D165">
    <cfRule type="cellIs" dxfId="1320" priority="2110" operator="equal">
      <formula>"EM PROCESSO"</formula>
    </cfRule>
  </conditionalFormatting>
  <conditionalFormatting sqref="D9:D148">
    <cfRule type="cellIs" dxfId="1319" priority="2109" operator="equal">
      <formula>"NÃO INICIADO"</formula>
    </cfRule>
  </conditionalFormatting>
  <conditionalFormatting sqref="D9:D148">
    <cfRule type="cellIs" dxfId="1318" priority="2108" operator="equal">
      <formula>"FINALIZADO"</formula>
    </cfRule>
  </conditionalFormatting>
  <conditionalFormatting sqref="D9:D148">
    <cfRule type="cellIs" dxfId="1317" priority="2107" operator="equal">
      <formula>"EM PROCESSO"</formula>
    </cfRule>
  </conditionalFormatting>
  <conditionalFormatting sqref="D9:D173">
    <cfRule type="cellIs" dxfId="1316" priority="2106" operator="equal">
      <formula>"NÃO INICIADO"</formula>
    </cfRule>
  </conditionalFormatting>
  <conditionalFormatting sqref="D9:D173">
    <cfRule type="cellIs" dxfId="1315" priority="2105" operator="equal">
      <formula>"FINALIZADO"</formula>
    </cfRule>
  </conditionalFormatting>
  <conditionalFormatting sqref="D9:D173">
    <cfRule type="cellIs" dxfId="1314" priority="2104" operator="equal">
      <formula>"EM PROCESSO"</formula>
    </cfRule>
  </conditionalFormatting>
  <conditionalFormatting sqref="D9:D134">
    <cfRule type="cellIs" dxfId="1313" priority="2103" operator="equal">
      <formula>"NÃO INICIADO"</formula>
    </cfRule>
  </conditionalFormatting>
  <conditionalFormatting sqref="D9:D134">
    <cfRule type="cellIs" dxfId="1312" priority="2102" operator="equal">
      <formula>"FINALIZADO"</formula>
    </cfRule>
  </conditionalFormatting>
  <conditionalFormatting sqref="D9:D134">
    <cfRule type="cellIs" dxfId="1311" priority="2101" operator="equal">
      <formula>"EM PROCESSO"</formula>
    </cfRule>
  </conditionalFormatting>
  <conditionalFormatting sqref="D9:D80">
    <cfRule type="cellIs" dxfId="1310" priority="2100" operator="equal">
      <formula>"NÃO INICIADO"</formula>
    </cfRule>
  </conditionalFormatting>
  <conditionalFormatting sqref="D9:D80">
    <cfRule type="cellIs" dxfId="1309" priority="2099" operator="equal">
      <formula>"FINALIZADO"</formula>
    </cfRule>
    <cfRule type="cellIs" dxfId="1308" priority="422" operator="equal">
      <formula>"FINALIZADO"</formula>
    </cfRule>
    <cfRule type="cellIs" dxfId="1307" priority="354" operator="equal">
      <formula>"NÃO INICIADO"</formula>
    </cfRule>
    <cfRule type="cellIs" dxfId="1306" priority="352" operator="equal">
      <formula>"EM PROCESSO"</formula>
    </cfRule>
  </conditionalFormatting>
  <conditionalFormatting sqref="D9:D80">
    <cfRule type="cellIs" dxfId="1305" priority="2098" operator="equal">
      <formula>"EM PROCESSO"</formula>
    </cfRule>
    <cfRule type="cellIs" dxfId="1304" priority="423" operator="equal">
      <formula>"NÃO INICIADO"</formula>
    </cfRule>
    <cfRule type="cellIs" dxfId="1303" priority="421" operator="equal">
      <formula>"EM PROCESSO"</formula>
    </cfRule>
    <cfRule type="cellIs" dxfId="1302" priority="353" operator="equal">
      <formula>"FINALIZADO"</formula>
    </cfRule>
  </conditionalFormatting>
  <conditionalFormatting sqref="D9:D42">
    <cfRule type="cellIs" dxfId="1301" priority="2085" operator="equal">
      <formula>"NÃO INICIADO"</formula>
    </cfRule>
    <cfRule type="cellIs" dxfId="1300" priority="71" operator="equal">
      <formula>"FINALIZADO"</formula>
    </cfRule>
  </conditionalFormatting>
  <conditionalFormatting sqref="D9:D42">
    <cfRule type="cellIs" dxfId="1299" priority="2084" operator="equal">
      <formula>"FINALIZADO"</formula>
    </cfRule>
  </conditionalFormatting>
  <conditionalFormatting sqref="D9:D42">
    <cfRule type="cellIs" dxfId="1298" priority="2083" operator="equal">
      <formula>"EM PROCESSO"</formula>
    </cfRule>
  </conditionalFormatting>
  <conditionalFormatting sqref="D9:D76">
    <cfRule type="cellIs" dxfId="1297" priority="2082" operator="equal">
      <formula>"NÃO INICIADO"</formula>
    </cfRule>
  </conditionalFormatting>
  <conditionalFormatting sqref="D9:D76">
    <cfRule type="cellIs" dxfId="1296" priority="2081" operator="equal">
      <formula>"FINALIZADO"</formula>
    </cfRule>
  </conditionalFormatting>
  <conditionalFormatting sqref="D9:D76">
    <cfRule type="cellIs" dxfId="1295" priority="2080" operator="equal">
      <formula>"EM PROCESSO"</formula>
    </cfRule>
  </conditionalFormatting>
  <conditionalFormatting sqref="D9:D167">
    <cfRule type="cellIs" dxfId="1294" priority="2079" operator="equal">
      <formula>"NÃO INICIADO"</formula>
    </cfRule>
  </conditionalFormatting>
  <conditionalFormatting sqref="D9:D167">
    <cfRule type="cellIs" dxfId="1293" priority="2078" operator="equal">
      <formula>"FINALIZADO"</formula>
    </cfRule>
  </conditionalFormatting>
  <conditionalFormatting sqref="D9:D167">
    <cfRule type="cellIs" dxfId="1292" priority="2077" operator="equal">
      <formula>"EM PROCESSO"</formula>
    </cfRule>
  </conditionalFormatting>
  <conditionalFormatting sqref="D9:D112">
    <cfRule type="cellIs" dxfId="1291" priority="2076" operator="equal">
      <formula>"NÃO INICIADO"</formula>
    </cfRule>
    <cfRule type="cellIs" dxfId="1290" priority="30" operator="equal">
      <formula>"NÃO INICIADO"</formula>
    </cfRule>
    <cfRule type="cellIs" dxfId="1289" priority="28" operator="equal">
      <formula>"EM PROCESSO"</formula>
    </cfRule>
  </conditionalFormatting>
  <conditionalFormatting sqref="D9:D112">
    <cfRule type="cellIs" dxfId="1288" priority="2075" operator="equal">
      <formula>"FINALIZADO"</formula>
    </cfRule>
  </conditionalFormatting>
  <conditionalFormatting sqref="D9:D112">
    <cfRule type="cellIs" dxfId="1287" priority="2074" operator="equal">
      <formula>"EM PROCESSO"</formula>
    </cfRule>
  </conditionalFormatting>
  <conditionalFormatting sqref="D9:D60">
    <cfRule type="cellIs" dxfId="1286" priority="2073" operator="equal">
      <formula>"NÃO INICIADO"</formula>
    </cfRule>
  </conditionalFormatting>
  <conditionalFormatting sqref="D9:D60">
    <cfRule type="cellIs" dxfId="1285" priority="2072" operator="equal">
      <formula>"FINALIZADO"</formula>
    </cfRule>
  </conditionalFormatting>
  <conditionalFormatting sqref="D9:D60">
    <cfRule type="cellIs" dxfId="1284" priority="2071" operator="equal">
      <formula>"EM PROCESSO"</formula>
    </cfRule>
  </conditionalFormatting>
  <conditionalFormatting sqref="D9:D151">
    <cfRule type="cellIs" dxfId="1283" priority="2070" operator="equal">
      <formula>"NÃO INICIADO"</formula>
    </cfRule>
  </conditionalFormatting>
  <conditionalFormatting sqref="D9:D151">
    <cfRule type="cellIs" dxfId="1282" priority="2069" operator="equal">
      <formula>"FINALIZADO"</formula>
    </cfRule>
  </conditionalFormatting>
  <conditionalFormatting sqref="D9:D151">
    <cfRule type="cellIs" dxfId="1281" priority="2068" operator="equal">
      <formula>"EM PROCESSO"</formula>
    </cfRule>
  </conditionalFormatting>
  <conditionalFormatting sqref="D9:D113">
    <cfRule type="cellIs" dxfId="1280" priority="2067" operator="equal">
      <formula>"NÃO INICIADO"</formula>
    </cfRule>
  </conditionalFormatting>
  <conditionalFormatting sqref="D9:D113">
    <cfRule type="cellIs" dxfId="1279" priority="2066" operator="equal">
      <formula>"FINALIZADO"</formula>
    </cfRule>
  </conditionalFormatting>
  <conditionalFormatting sqref="D9:D113">
    <cfRule type="cellIs" dxfId="1278" priority="2065" operator="equal">
      <formula>"EM PROCESSO"</formula>
    </cfRule>
  </conditionalFormatting>
  <conditionalFormatting sqref="D9:D66">
    <cfRule type="cellIs" dxfId="1277" priority="2061" operator="equal">
      <formula>"NÃO INICIADO"</formula>
    </cfRule>
  </conditionalFormatting>
  <conditionalFormatting sqref="D9:D66">
    <cfRule type="cellIs" dxfId="1276" priority="2060" operator="equal">
      <formula>"FINALIZADO"</formula>
    </cfRule>
  </conditionalFormatting>
  <conditionalFormatting sqref="D9:D66">
    <cfRule type="cellIs" dxfId="1275" priority="2059" operator="equal">
      <formula>"EM PROCESSO"</formula>
    </cfRule>
  </conditionalFormatting>
  <conditionalFormatting sqref="D9:D32">
    <cfRule type="cellIs" dxfId="1274" priority="2052" operator="equal">
      <formula>"NÃO INICIADO"</formula>
    </cfRule>
  </conditionalFormatting>
  <conditionalFormatting sqref="D9:D32">
    <cfRule type="cellIs" dxfId="1273" priority="2051" operator="equal">
      <formula>"FINALIZADO"</formula>
    </cfRule>
  </conditionalFormatting>
  <conditionalFormatting sqref="D9:D32">
    <cfRule type="cellIs" dxfId="1272" priority="2050" operator="equal">
      <formula>"EM PROCESSO"</formula>
    </cfRule>
  </conditionalFormatting>
  <conditionalFormatting sqref="D9:D50">
    <cfRule type="cellIs" dxfId="1271" priority="2049" operator="equal">
      <formula>"NÃO INICIADO"</formula>
    </cfRule>
  </conditionalFormatting>
  <conditionalFormatting sqref="D9:D50">
    <cfRule type="cellIs" dxfId="1270" priority="2048" operator="equal">
      <formula>"FINALIZADO"</formula>
    </cfRule>
  </conditionalFormatting>
  <conditionalFormatting sqref="D9:D50">
    <cfRule type="cellIs" dxfId="1269" priority="2047" operator="equal">
      <formula>"EM PROCESSO"</formula>
    </cfRule>
  </conditionalFormatting>
  <conditionalFormatting sqref="D9:D149">
    <cfRule type="cellIs" dxfId="1268" priority="2046" operator="equal">
      <formula>"NÃO INICIADO"</formula>
    </cfRule>
  </conditionalFormatting>
  <conditionalFormatting sqref="D9:D149">
    <cfRule type="cellIs" dxfId="1267" priority="2045" operator="equal">
      <formula>"FINALIZADO"</formula>
    </cfRule>
  </conditionalFormatting>
  <conditionalFormatting sqref="D9:D149">
    <cfRule type="cellIs" dxfId="1266" priority="2044" operator="equal">
      <formula>"EM PROCESSO"</formula>
    </cfRule>
  </conditionalFormatting>
  <conditionalFormatting sqref="D9:D143">
    <cfRule type="cellIs" dxfId="1265" priority="2043" operator="equal">
      <formula>"NÃO INICIADO"</formula>
    </cfRule>
  </conditionalFormatting>
  <conditionalFormatting sqref="D9:D143">
    <cfRule type="cellIs" dxfId="1264" priority="2042" operator="equal">
      <formula>"FINALIZADO"</formula>
    </cfRule>
  </conditionalFormatting>
  <conditionalFormatting sqref="D9:D143">
    <cfRule type="cellIs" dxfId="1263" priority="2041" operator="equal">
      <formula>"EM PROCESSO"</formula>
    </cfRule>
  </conditionalFormatting>
  <conditionalFormatting sqref="D9:D67">
    <cfRule type="cellIs" dxfId="1262" priority="2037" operator="equal">
      <formula>"NÃO INICIADO"</formula>
    </cfRule>
  </conditionalFormatting>
  <conditionalFormatting sqref="D9:D67">
    <cfRule type="cellIs" dxfId="1261" priority="2036" operator="equal">
      <formula>"FINALIZADO"</formula>
    </cfRule>
  </conditionalFormatting>
  <conditionalFormatting sqref="D9:D67">
    <cfRule type="cellIs" dxfId="1260" priority="2035" operator="equal">
      <formula>"EM PROCESSO"</formula>
    </cfRule>
  </conditionalFormatting>
  <conditionalFormatting sqref="D9:D73">
    <cfRule type="cellIs" dxfId="1259" priority="2034" operator="equal">
      <formula>"NÃO INICIADO"</formula>
    </cfRule>
  </conditionalFormatting>
  <conditionalFormatting sqref="D9:D73">
    <cfRule type="cellIs" dxfId="1258" priority="2033" operator="equal">
      <formula>"FINALIZADO"</formula>
    </cfRule>
  </conditionalFormatting>
  <conditionalFormatting sqref="D9:D73">
    <cfRule type="cellIs" dxfId="1257" priority="2032" operator="equal">
      <formula>"EM PROCESSO"</formula>
    </cfRule>
  </conditionalFormatting>
  <conditionalFormatting sqref="D9:D114">
    <cfRule type="cellIs" dxfId="1256" priority="2031" operator="equal">
      <formula>"NÃO INICIADO"</formula>
    </cfRule>
  </conditionalFormatting>
  <conditionalFormatting sqref="D9:D114">
    <cfRule type="cellIs" dxfId="1255" priority="2030" operator="equal">
      <formula>"FINALIZADO"</formula>
    </cfRule>
  </conditionalFormatting>
  <conditionalFormatting sqref="D9:D114">
    <cfRule type="cellIs" dxfId="1254" priority="2029" operator="equal">
      <formula>"EM PROCESSO"</formula>
    </cfRule>
  </conditionalFormatting>
  <conditionalFormatting sqref="D9:D20">
    <cfRule type="cellIs" dxfId="1253" priority="2022" operator="equal">
      <formula>"NÃO INICIADO"</formula>
    </cfRule>
  </conditionalFormatting>
  <conditionalFormatting sqref="D9:D20">
    <cfRule type="cellIs" dxfId="1252" priority="2021" operator="equal">
      <formula>"FINALIZADO"</formula>
    </cfRule>
  </conditionalFormatting>
  <conditionalFormatting sqref="D9:D20">
    <cfRule type="cellIs" dxfId="1251" priority="2020" operator="equal">
      <formula>"EM PROCESSO"</formula>
    </cfRule>
  </conditionalFormatting>
  <conditionalFormatting sqref="D9:D48">
    <cfRule type="cellIs" dxfId="1250" priority="2013" operator="equal">
      <formula>"NÃO INICIADO"</formula>
    </cfRule>
  </conditionalFormatting>
  <conditionalFormatting sqref="D9:D48">
    <cfRule type="cellIs" dxfId="1249" priority="2012" operator="equal">
      <formula>"FINALIZADO"</formula>
    </cfRule>
  </conditionalFormatting>
  <conditionalFormatting sqref="D9:D48">
    <cfRule type="cellIs" dxfId="1248" priority="2011" operator="equal">
      <formula>"EM PROCESSO"</formula>
    </cfRule>
  </conditionalFormatting>
  <conditionalFormatting sqref="D9:D30">
    <cfRule type="cellIs" dxfId="1247" priority="2003" operator="equal">
      <formula>"FINALIZADO"</formula>
    </cfRule>
  </conditionalFormatting>
  <conditionalFormatting sqref="D9:D30">
    <cfRule type="cellIs" dxfId="1246" priority="2002" operator="equal">
      <formula>"EM PROCESSO"</formula>
    </cfRule>
  </conditionalFormatting>
  <conditionalFormatting sqref="D9:D180">
    <cfRule type="cellIs" dxfId="1245" priority="2001" operator="equal">
      <formula>"NÃO INICIADO"</formula>
    </cfRule>
  </conditionalFormatting>
  <conditionalFormatting sqref="D9:D180">
    <cfRule type="cellIs" dxfId="1244" priority="2000" operator="equal">
      <formula>"FINALIZADO"</formula>
    </cfRule>
  </conditionalFormatting>
  <conditionalFormatting sqref="D9:D180">
    <cfRule type="cellIs" dxfId="1243" priority="1999" operator="equal">
      <formula>"EM PROCESSO"</formula>
    </cfRule>
  </conditionalFormatting>
  <conditionalFormatting sqref="D9:D62">
    <cfRule type="cellIs" dxfId="1242" priority="1998" operator="equal">
      <formula>"NÃO INICIADO"</formula>
    </cfRule>
  </conditionalFormatting>
  <conditionalFormatting sqref="D9:D62">
    <cfRule type="cellIs" dxfId="1241" priority="1997" operator="equal">
      <formula>"FINALIZADO"</formula>
    </cfRule>
  </conditionalFormatting>
  <conditionalFormatting sqref="D9:D62">
    <cfRule type="cellIs" dxfId="1240" priority="1996" operator="equal">
      <formula>"EM PROCESSO"</formula>
    </cfRule>
  </conditionalFormatting>
  <conditionalFormatting sqref="D9:D313">
    <cfRule type="cellIs" dxfId="1239" priority="1995" operator="equal">
      <formula>"NÃO INICIADO"</formula>
    </cfRule>
  </conditionalFormatting>
  <conditionalFormatting sqref="D9:D313">
    <cfRule type="cellIs" dxfId="1238" priority="1994" operator="equal">
      <formula>"FINALIZADO"</formula>
    </cfRule>
  </conditionalFormatting>
  <conditionalFormatting sqref="D9:D313">
    <cfRule type="cellIs" dxfId="1237" priority="1993" operator="equal">
      <formula>"EM PROCESSO"</formula>
    </cfRule>
  </conditionalFormatting>
  <conditionalFormatting sqref="D9:D398">
    <cfRule type="cellIs" dxfId="1236" priority="1992" operator="equal">
      <formula>"NÃO INICIADO"</formula>
    </cfRule>
    <cfRule type="cellIs" dxfId="1235" priority="1991" operator="equal">
      <formula>"FINALIZADO"</formula>
    </cfRule>
    <cfRule type="cellIs" dxfId="1234" priority="1990" operator="equal">
      <formula>"EM PROCESSO"</formula>
    </cfRule>
  </conditionalFormatting>
  <conditionalFormatting sqref="D9:D136">
    <cfRule type="cellIs" dxfId="1233" priority="1989" operator="equal">
      <formula>"NÃO INICIADO"</formula>
    </cfRule>
    <cfRule type="cellIs" dxfId="1232" priority="363" operator="equal">
      <formula>"NÃO INICIADO"</formula>
    </cfRule>
  </conditionalFormatting>
  <conditionalFormatting sqref="D9:D136">
    <cfRule type="cellIs" dxfId="1231" priority="1988" operator="equal">
      <formula>"FINALIZADO"</formula>
    </cfRule>
  </conditionalFormatting>
  <conditionalFormatting sqref="D9:D136">
    <cfRule type="cellIs" dxfId="1230" priority="1987" operator="equal">
      <formula>"EM PROCESSO"</formula>
    </cfRule>
  </conditionalFormatting>
  <conditionalFormatting sqref="D9:D194">
    <cfRule type="cellIs" dxfId="1229" priority="1983" operator="equal">
      <formula>"NÃO INICIADO"</formula>
    </cfRule>
  </conditionalFormatting>
  <conditionalFormatting sqref="D9:D194">
    <cfRule type="cellIs" dxfId="1228" priority="1982" operator="equal">
      <formula>"FINALIZADO"</formula>
    </cfRule>
  </conditionalFormatting>
  <conditionalFormatting sqref="D9:D194">
    <cfRule type="cellIs" dxfId="1227" priority="1981" operator="equal">
      <formula>"EM PROCESSO"</formula>
    </cfRule>
  </conditionalFormatting>
  <conditionalFormatting sqref="D9:D61">
    <cfRule type="cellIs" dxfId="1226" priority="1965" operator="equal">
      <formula>"NÃO INICIADO"</formula>
    </cfRule>
  </conditionalFormatting>
  <conditionalFormatting sqref="D9:D61">
    <cfRule type="cellIs" dxfId="1225" priority="1964" operator="equal">
      <formula>"FINALIZADO"</formula>
    </cfRule>
  </conditionalFormatting>
  <conditionalFormatting sqref="D9:D61">
    <cfRule type="cellIs" dxfId="1224" priority="1963" operator="equal">
      <formula>"EM PROCESSO"</formula>
    </cfRule>
  </conditionalFormatting>
  <conditionalFormatting sqref="D9:D196">
    <cfRule type="cellIs" dxfId="1223" priority="1962" operator="equal">
      <formula>"NÃO INICIADO"</formula>
    </cfRule>
  </conditionalFormatting>
  <conditionalFormatting sqref="D9:D196">
    <cfRule type="cellIs" dxfId="1222" priority="1961" operator="equal">
      <formula>"FINALIZADO"</formula>
    </cfRule>
  </conditionalFormatting>
  <conditionalFormatting sqref="D9:D196">
    <cfRule type="cellIs" dxfId="1221" priority="1960" operator="equal">
      <formula>"EM PROCESSO"</formula>
    </cfRule>
  </conditionalFormatting>
  <conditionalFormatting sqref="D9:D214">
    <cfRule type="cellIs" dxfId="1220" priority="1959" operator="equal">
      <formula>"NÃO INICIADO"</formula>
    </cfRule>
  </conditionalFormatting>
  <conditionalFormatting sqref="D9:D214">
    <cfRule type="cellIs" dxfId="1219" priority="1958" operator="equal">
      <formula>"FINALIZADO"</formula>
    </cfRule>
  </conditionalFormatting>
  <conditionalFormatting sqref="D9:D214">
    <cfRule type="cellIs" dxfId="1218" priority="1957" operator="equal">
      <formula>"EM PROCESSO"</formula>
    </cfRule>
  </conditionalFormatting>
  <conditionalFormatting sqref="D9:D220">
    <cfRule type="cellIs" dxfId="1217" priority="1956" operator="equal">
      <formula>"NÃO INICIADO"</formula>
    </cfRule>
  </conditionalFormatting>
  <conditionalFormatting sqref="D9:D220">
    <cfRule type="cellIs" dxfId="1216" priority="1955" operator="equal">
      <formula>"FINALIZADO"</formula>
    </cfRule>
  </conditionalFormatting>
  <conditionalFormatting sqref="D9:D220">
    <cfRule type="cellIs" dxfId="1215" priority="1954" operator="equal">
      <formula>"EM PROCESSO"</formula>
    </cfRule>
  </conditionalFormatting>
  <conditionalFormatting sqref="D9:D50">
    <cfRule type="cellIs" dxfId="1214" priority="1953" operator="equal">
      <formula>"NÃO INICIADO"</formula>
    </cfRule>
  </conditionalFormatting>
  <conditionalFormatting sqref="D9:D50">
    <cfRule type="cellIs" dxfId="1213" priority="1952" operator="equal">
      <formula>"FINALIZADO"</formula>
    </cfRule>
  </conditionalFormatting>
  <conditionalFormatting sqref="D9:D50">
    <cfRule type="cellIs" dxfId="1212" priority="1951" operator="equal">
      <formula>"EM PROCESSO"</formula>
    </cfRule>
  </conditionalFormatting>
  <conditionalFormatting sqref="D9:D95">
    <cfRule type="cellIs" dxfId="1211" priority="1950" operator="equal">
      <formula>"NÃO INICIADO"</formula>
    </cfRule>
  </conditionalFormatting>
  <conditionalFormatting sqref="D9:D95">
    <cfRule type="cellIs" dxfId="1210" priority="1949" operator="equal">
      <formula>"FINALIZADO"</formula>
    </cfRule>
  </conditionalFormatting>
  <conditionalFormatting sqref="D9:D95">
    <cfRule type="cellIs" dxfId="1209" priority="1948" operator="equal">
      <formula>"EM PROCESSO"</formula>
    </cfRule>
  </conditionalFormatting>
  <conditionalFormatting sqref="D9:D41">
    <cfRule type="cellIs" dxfId="1208" priority="1938" operator="equal">
      <formula>"NÃO INICIADO"</formula>
    </cfRule>
    <cfRule type="cellIs" dxfId="1207" priority="1936" operator="equal">
      <formula>"EM PROCESSO"</formula>
    </cfRule>
    <cfRule type="cellIs" dxfId="1206" priority="495" operator="equal">
      <formula>"NÃO INICIADO"</formula>
    </cfRule>
  </conditionalFormatting>
  <conditionalFormatting sqref="D9:D30">
    <cfRule type="cellIs" dxfId="1205" priority="1934" operator="equal">
      <formula>"FINALIZADO"</formula>
    </cfRule>
  </conditionalFormatting>
  <conditionalFormatting sqref="D9:D30">
    <cfRule type="cellIs" dxfId="1204" priority="1933" operator="equal">
      <formula>"EM PROCESSO"</formula>
    </cfRule>
  </conditionalFormatting>
  <conditionalFormatting sqref="D9:D113">
    <cfRule type="cellIs" dxfId="1203" priority="1932" operator="equal">
      <formula>"NÃO INICIADO"</formula>
    </cfRule>
  </conditionalFormatting>
  <conditionalFormatting sqref="D9:D113">
    <cfRule type="cellIs" dxfId="1202" priority="1931" operator="equal">
      <formula>"FINALIZADO"</formula>
    </cfRule>
    <cfRule type="cellIs" dxfId="1201" priority="335" operator="equal">
      <formula>"FINALIZADO"</formula>
    </cfRule>
  </conditionalFormatting>
  <conditionalFormatting sqref="D9:D113">
    <cfRule type="cellIs" dxfId="1200" priority="1930" operator="equal">
      <formula>"EM PROCESSO"</formula>
    </cfRule>
    <cfRule type="cellIs" dxfId="1199" priority="336" operator="equal">
      <formula>"NÃO INICIADO"</formula>
    </cfRule>
    <cfRule type="cellIs" dxfId="1198" priority="334" operator="equal">
      <formula>"EM PROCESSO"</formula>
    </cfRule>
  </conditionalFormatting>
  <conditionalFormatting sqref="D9:D169">
    <cfRule type="cellIs" dxfId="1197" priority="1929" operator="equal">
      <formula>"NÃO INICIADO"</formula>
    </cfRule>
  </conditionalFormatting>
  <conditionalFormatting sqref="D9:D169">
    <cfRule type="cellIs" dxfId="1196" priority="1928" operator="equal">
      <formula>"FINALIZADO"</formula>
    </cfRule>
  </conditionalFormatting>
  <conditionalFormatting sqref="D9:D169">
    <cfRule type="cellIs" dxfId="1195" priority="1927" operator="equal">
      <formula>"EM PROCESSO"</formula>
    </cfRule>
  </conditionalFormatting>
  <conditionalFormatting sqref="D9:D149">
    <cfRule type="cellIs" dxfId="1194" priority="1926" operator="equal">
      <formula>"NÃO INICIADO"</formula>
    </cfRule>
  </conditionalFormatting>
  <conditionalFormatting sqref="D9:D149">
    <cfRule type="cellIs" dxfId="1193" priority="1925" operator="equal">
      <formula>"FINALIZADO"</formula>
    </cfRule>
  </conditionalFormatting>
  <conditionalFormatting sqref="D9:D149">
    <cfRule type="cellIs" dxfId="1192" priority="1924" operator="equal">
      <formula>"EM PROCESSO"</formula>
    </cfRule>
  </conditionalFormatting>
  <conditionalFormatting sqref="D9:D35">
    <cfRule type="cellIs" dxfId="1191" priority="1923" operator="equal">
      <formula>"NÃO INICIADO"</formula>
    </cfRule>
  </conditionalFormatting>
  <conditionalFormatting sqref="D9:D35">
    <cfRule type="cellIs" dxfId="1190" priority="1922" operator="equal">
      <formula>"FINALIZADO"</formula>
    </cfRule>
  </conditionalFormatting>
  <conditionalFormatting sqref="D9:D35">
    <cfRule type="cellIs" dxfId="1189" priority="1921" operator="equal">
      <formula>"EM PROCESSO"</formula>
    </cfRule>
  </conditionalFormatting>
  <conditionalFormatting sqref="D9:D74">
    <cfRule type="cellIs" dxfId="1188" priority="1920" operator="equal">
      <formula>"NÃO INICIADO"</formula>
    </cfRule>
  </conditionalFormatting>
  <conditionalFormatting sqref="D9:D74">
    <cfRule type="cellIs" dxfId="1187" priority="1919" operator="equal">
      <formula>"FINALIZADO"</formula>
    </cfRule>
  </conditionalFormatting>
  <conditionalFormatting sqref="D9:D74">
    <cfRule type="cellIs" dxfId="1186" priority="1918" operator="equal">
      <formula>"EM PROCESSO"</formula>
    </cfRule>
  </conditionalFormatting>
  <conditionalFormatting sqref="D9:D130">
    <cfRule type="cellIs" dxfId="1185" priority="1914" operator="equal">
      <formula>"NÃO INICIADO"</formula>
    </cfRule>
  </conditionalFormatting>
  <conditionalFormatting sqref="D9:D130">
    <cfRule type="cellIs" dxfId="1184" priority="1913" operator="equal">
      <formula>"FINALIZADO"</formula>
    </cfRule>
  </conditionalFormatting>
  <conditionalFormatting sqref="D9:D130">
    <cfRule type="cellIs" dxfId="1183" priority="1912" operator="equal">
      <formula>"EM PROCESSO"</formula>
    </cfRule>
  </conditionalFormatting>
  <conditionalFormatting sqref="D9:D78">
    <cfRule type="cellIs" dxfId="1182" priority="1904" operator="equal">
      <formula>"FINALIZADO"</formula>
    </cfRule>
  </conditionalFormatting>
  <conditionalFormatting sqref="D9:D78">
    <cfRule type="cellIs" dxfId="1181" priority="1903" operator="equal">
      <formula>"EM PROCESSO"</formula>
    </cfRule>
  </conditionalFormatting>
  <conditionalFormatting sqref="D9:D28">
    <cfRule type="cellIs" dxfId="1180" priority="1902" operator="equal">
      <formula>"NÃO INICIADO"</formula>
    </cfRule>
  </conditionalFormatting>
  <conditionalFormatting sqref="D9:D28">
    <cfRule type="cellIs" dxfId="1179" priority="1901" operator="equal">
      <formula>"FINALIZADO"</formula>
    </cfRule>
  </conditionalFormatting>
  <conditionalFormatting sqref="D9:D28">
    <cfRule type="cellIs" dxfId="1178" priority="1900" operator="equal">
      <formula>"EM PROCESSO"</formula>
    </cfRule>
    <cfRule type="cellIs" dxfId="1177" priority="296" operator="equal">
      <formula>"FINALIZADO"</formula>
    </cfRule>
    <cfRule type="cellIs" dxfId="1176" priority="11" operator="equal">
      <formula>"FINALIZADO"</formula>
    </cfRule>
  </conditionalFormatting>
  <conditionalFormatting sqref="D9:D183">
    <cfRule type="cellIs" dxfId="1175" priority="1899" operator="equal">
      <formula>"NÃO INICIADO"</formula>
    </cfRule>
  </conditionalFormatting>
  <conditionalFormatting sqref="D9:D183">
    <cfRule type="cellIs" dxfId="1174" priority="1898" operator="equal">
      <formula>"FINALIZADO"</formula>
    </cfRule>
  </conditionalFormatting>
  <conditionalFormatting sqref="D9:D183">
    <cfRule type="cellIs" dxfId="1173" priority="1897" operator="equal">
      <formula>"EM PROCESSO"</formula>
    </cfRule>
  </conditionalFormatting>
  <conditionalFormatting sqref="D9:D126">
    <cfRule type="cellIs" dxfId="1172" priority="1896" operator="equal">
      <formula>"NÃO INICIADO"</formula>
    </cfRule>
  </conditionalFormatting>
  <conditionalFormatting sqref="D9:D126">
    <cfRule type="cellIs" dxfId="1171" priority="1895" operator="equal">
      <formula>"FINALIZADO"</formula>
    </cfRule>
  </conditionalFormatting>
  <conditionalFormatting sqref="D9:D126">
    <cfRule type="cellIs" dxfId="1170" priority="1894" operator="equal">
      <formula>"EM PROCESSO"</formula>
    </cfRule>
  </conditionalFormatting>
  <conditionalFormatting sqref="D9:D42">
    <cfRule type="cellIs" dxfId="1169" priority="1893" operator="equal">
      <formula>"NÃO INICIADO"</formula>
    </cfRule>
  </conditionalFormatting>
  <conditionalFormatting sqref="D9:D42">
    <cfRule type="cellIs" dxfId="1168" priority="1892" operator="equal">
      <formula>"FINALIZADO"</formula>
    </cfRule>
  </conditionalFormatting>
  <conditionalFormatting sqref="D9:D42">
    <cfRule type="cellIs" dxfId="1167" priority="1891" operator="equal">
      <formula>"EM PROCESSO"</formula>
    </cfRule>
    <cfRule type="cellIs" dxfId="1166" priority="70" operator="equal">
      <formula>"EM PROCESSO"</formula>
    </cfRule>
  </conditionalFormatting>
  <conditionalFormatting sqref="D9:D53">
    <cfRule type="cellIs" dxfId="1165" priority="1890" operator="equal">
      <formula>"NÃO INICIADO"</formula>
    </cfRule>
    <cfRule type="cellIs" dxfId="1164" priority="1298" operator="equal">
      <formula>"FINALIZADO"</formula>
    </cfRule>
    <cfRule type="cellIs" dxfId="1163" priority="1295" operator="equal">
      <formula>"FINALIZADO"</formula>
    </cfRule>
  </conditionalFormatting>
  <conditionalFormatting sqref="D9:D53">
    <cfRule type="cellIs" dxfId="1162" priority="1889" operator="equal">
      <formula>"FINALIZADO"</formula>
    </cfRule>
  </conditionalFormatting>
  <conditionalFormatting sqref="D9:D53">
    <cfRule type="cellIs" dxfId="1161" priority="1888" operator="equal">
      <formula>"EM PROCESSO"</formula>
    </cfRule>
  </conditionalFormatting>
  <conditionalFormatting sqref="D9:D90">
    <cfRule type="cellIs" dxfId="1160" priority="1866" operator="equal">
      <formula>"NÃO INICIADO"</formula>
    </cfRule>
  </conditionalFormatting>
  <conditionalFormatting sqref="D9:D90">
    <cfRule type="cellIs" dxfId="1159" priority="1865" operator="equal">
      <formula>"FINALIZADO"</formula>
    </cfRule>
  </conditionalFormatting>
  <conditionalFormatting sqref="D9:D90">
    <cfRule type="cellIs" dxfId="1158" priority="1864" operator="equal">
      <formula>"EM PROCESSO"</formula>
    </cfRule>
  </conditionalFormatting>
  <conditionalFormatting sqref="D9:D36">
    <cfRule type="cellIs" dxfId="1157" priority="1863" operator="equal">
      <formula>"NÃO INICIADO"</formula>
    </cfRule>
  </conditionalFormatting>
  <conditionalFormatting sqref="D9:D36">
    <cfRule type="cellIs" dxfId="1156" priority="1862" operator="equal">
      <formula>"FINALIZADO"</formula>
    </cfRule>
  </conditionalFormatting>
  <conditionalFormatting sqref="D9:D36">
    <cfRule type="cellIs" dxfId="1155" priority="1861" operator="equal">
      <formula>"EM PROCESSO"</formula>
    </cfRule>
  </conditionalFormatting>
  <conditionalFormatting sqref="D9:D101">
    <cfRule type="cellIs" dxfId="1154" priority="1857" operator="equal">
      <formula>"NÃO INICIADO"</formula>
    </cfRule>
  </conditionalFormatting>
  <conditionalFormatting sqref="D9:D101">
    <cfRule type="cellIs" dxfId="1153" priority="1856" operator="equal">
      <formula>"FINALIZADO"</formula>
    </cfRule>
  </conditionalFormatting>
  <conditionalFormatting sqref="D9:D101">
    <cfRule type="cellIs" dxfId="1152" priority="1855" operator="equal">
      <formula>"EM PROCESSO"</formula>
    </cfRule>
  </conditionalFormatting>
  <conditionalFormatting sqref="D9:D235">
    <cfRule type="cellIs" dxfId="1151" priority="1854" operator="equal">
      <formula>"NÃO INICIADO"</formula>
    </cfRule>
  </conditionalFormatting>
  <conditionalFormatting sqref="D9:D235">
    <cfRule type="cellIs" dxfId="1150" priority="1853" operator="equal">
      <formula>"FINALIZADO"</formula>
    </cfRule>
  </conditionalFormatting>
  <conditionalFormatting sqref="D9:D235">
    <cfRule type="cellIs" dxfId="1149" priority="1852" operator="equal">
      <formula>"EM PROCESSO"</formula>
    </cfRule>
  </conditionalFormatting>
  <conditionalFormatting sqref="D9:D24">
    <cfRule type="cellIs" dxfId="1148" priority="1851" operator="equal">
      <formula>"NÃO INICIADO"</formula>
    </cfRule>
    <cfRule type="cellIs" dxfId="1147" priority="588" operator="equal">
      <formula>"NÃO INICIADO"</formula>
    </cfRule>
    <cfRule type="cellIs" dxfId="1146" priority="342" operator="equal">
      <formula>"NÃO INICIADO"</formula>
    </cfRule>
  </conditionalFormatting>
  <conditionalFormatting sqref="D9:D24">
    <cfRule type="cellIs" dxfId="1145" priority="1850" operator="equal">
      <formula>"FINALIZADO"</formula>
    </cfRule>
    <cfRule type="cellIs" dxfId="1144" priority="587" operator="equal">
      <formula>"FINALIZADO"</formula>
    </cfRule>
  </conditionalFormatting>
  <conditionalFormatting sqref="D9:D24">
    <cfRule type="cellIs" dxfId="1143" priority="1849" operator="equal">
      <formula>"EM PROCESSO"</formula>
    </cfRule>
    <cfRule type="cellIs" dxfId="1142" priority="586" operator="equal">
      <formula>"EM PROCESSO"</formula>
    </cfRule>
  </conditionalFormatting>
  <conditionalFormatting sqref="D9:D63">
    <cfRule type="cellIs" dxfId="1141" priority="1845" operator="equal">
      <formula>"NÃO INICIADO"</formula>
    </cfRule>
  </conditionalFormatting>
  <conditionalFormatting sqref="D9:D63">
    <cfRule type="cellIs" dxfId="1140" priority="1844" operator="equal">
      <formula>"FINALIZADO"</formula>
    </cfRule>
  </conditionalFormatting>
  <conditionalFormatting sqref="D9:D63">
    <cfRule type="cellIs" dxfId="1139" priority="1843" operator="equal">
      <formula>"EM PROCESSO"</formula>
    </cfRule>
  </conditionalFormatting>
  <conditionalFormatting sqref="D9:D85">
    <cfRule type="cellIs" dxfId="1138" priority="1833" operator="equal">
      <formula>"NÃO INICIADO"</formula>
    </cfRule>
  </conditionalFormatting>
  <conditionalFormatting sqref="D9:D85">
    <cfRule type="cellIs" dxfId="1137" priority="1832" operator="equal">
      <formula>"FINALIZADO"</formula>
    </cfRule>
    <cfRule type="cellIs" dxfId="1136" priority="465" operator="equal">
      <formula>"NÃO INICIADO"</formula>
    </cfRule>
  </conditionalFormatting>
  <conditionalFormatting sqref="D9:D85">
    <cfRule type="cellIs" dxfId="1135" priority="1831" operator="equal">
      <formula>"EM PROCESSO"</formula>
    </cfRule>
  </conditionalFormatting>
  <conditionalFormatting sqref="D9:D55">
    <cfRule type="cellIs" dxfId="1134" priority="1830" operator="equal">
      <formula>"NÃO INICIADO"</formula>
    </cfRule>
  </conditionalFormatting>
  <conditionalFormatting sqref="D9:D55">
    <cfRule type="cellIs" dxfId="1133" priority="1829" operator="equal">
      <formula>"FINALIZADO"</formula>
    </cfRule>
  </conditionalFormatting>
  <conditionalFormatting sqref="D9:D55">
    <cfRule type="cellIs" dxfId="1132" priority="1828" operator="equal">
      <formula>"EM PROCESSO"</formula>
    </cfRule>
  </conditionalFormatting>
  <conditionalFormatting sqref="D9:D87">
    <cfRule type="cellIs" dxfId="1131" priority="1827" operator="equal">
      <formula>"NÃO INICIADO"</formula>
    </cfRule>
  </conditionalFormatting>
  <conditionalFormatting sqref="D9:D87">
    <cfRule type="cellIs" dxfId="1130" priority="1826" operator="equal">
      <formula>"FINALIZADO"</formula>
    </cfRule>
  </conditionalFormatting>
  <conditionalFormatting sqref="D9:D87">
    <cfRule type="cellIs" dxfId="1129" priority="1825" operator="equal">
      <formula>"EM PROCESSO"</formula>
    </cfRule>
  </conditionalFormatting>
  <conditionalFormatting sqref="D9:D353">
    <cfRule type="cellIs" dxfId="1128" priority="1824" operator="equal">
      <formula>"NÃO INICIADO"</formula>
    </cfRule>
  </conditionalFormatting>
  <conditionalFormatting sqref="D9:D353">
    <cfRule type="cellIs" dxfId="1127" priority="1823" operator="equal">
      <formula>"FINALIZADO"</formula>
    </cfRule>
  </conditionalFormatting>
  <conditionalFormatting sqref="D9:D353">
    <cfRule type="cellIs" dxfId="1126" priority="1822" operator="equal">
      <formula>"EM PROCESSO"</formula>
    </cfRule>
  </conditionalFormatting>
  <conditionalFormatting sqref="D9:D374">
    <cfRule type="cellIs" dxfId="1125" priority="1821" operator="equal">
      <formula>"NÃO INICIADO"</formula>
    </cfRule>
  </conditionalFormatting>
  <conditionalFormatting sqref="D9:D374">
    <cfRule type="cellIs" dxfId="1124" priority="1820" operator="equal">
      <formula>"FINALIZADO"</formula>
    </cfRule>
  </conditionalFormatting>
  <conditionalFormatting sqref="D9:D374">
    <cfRule type="cellIs" dxfId="1123" priority="1819" operator="equal">
      <formula>"EM PROCESSO"</formula>
    </cfRule>
  </conditionalFormatting>
  <conditionalFormatting sqref="D9:D141">
    <cfRule type="cellIs" dxfId="1122" priority="1818" operator="equal">
      <formula>"NÃO INICIADO"</formula>
    </cfRule>
  </conditionalFormatting>
  <conditionalFormatting sqref="D9:D141">
    <cfRule type="cellIs" dxfId="1121" priority="1817" operator="equal">
      <formula>"FINALIZADO"</formula>
    </cfRule>
  </conditionalFormatting>
  <conditionalFormatting sqref="D9:D141">
    <cfRule type="cellIs" dxfId="1120" priority="1816" operator="equal">
      <formula>"EM PROCESSO"</formula>
    </cfRule>
  </conditionalFormatting>
  <conditionalFormatting sqref="D9:D112">
    <cfRule type="cellIs" dxfId="1119" priority="1815" operator="equal">
      <formula>"NÃO INICIADO"</formula>
    </cfRule>
  </conditionalFormatting>
  <conditionalFormatting sqref="D9:D112">
    <cfRule type="cellIs" dxfId="1118" priority="1814" operator="equal">
      <formula>"FINALIZADO"</formula>
    </cfRule>
  </conditionalFormatting>
  <conditionalFormatting sqref="D9:D112">
    <cfRule type="cellIs" dxfId="1117" priority="1813" operator="equal">
      <formula>"EM PROCESSO"</formula>
    </cfRule>
  </conditionalFormatting>
  <conditionalFormatting sqref="D9:D64">
    <cfRule type="cellIs" dxfId="1116" priority="1812" operator="equal">
      <formula>"NÃO INICIADO"</formula>
    </cfRule>
  </conditionalFormatting>
  <conditionalFormatting sqref="D9:D64">
    <cfRule type="cellIs" dxfId="1115" priority="1811" operator="equal">
      <formula>"FINALIZADO"</formula>
    </cfRule>
  </conditionalFormatting>
  <conditionalFormatting sqref="D9:D64">
    <cfRule type="cellIs" dxfId="1114" priority="1810" operator="equal">
      <formula>"EM PROCESSO"</formula>
    </cfRule>
  </conditionalFormatting>
  <conditionalFormatting sqref="D9:D23">
    <cfRule type="cellIs" dxfId="1113" priority="1809" operator="equal">
      <formula>"NÃO INICIADO"</formula>
    </cfRule>
  </conditionalFormatting>
  <conditionalFormatting sqref="D9:D23">
    <cfRule type="cellIs" dxfId="1112" priority="1808" operator="equal">
      <formula>"FINALIZADO"</formula>
    </cfRule>
  </conditionalFormatting>
  <conditionalFormatting sqref="D9:D23">
    <cfRule type="cellIs" dxfId="1111" priority="1807" operator="equal">
      <formula>"EM PROCESSO"</formula>
    </cfRule>
    <cfRule type="cellIs" dxfId="1110" priority="934" operator="equal">
      <formula>"EM PROCESSO"</formula>
    </cfRule>
  </conditionalFormatting>
  <conditionalFormatting sqref="D9:D44">
    <cfRule type="cellIs" dxfId="1109" priority="1800" operator="equal">
      <formula>"NÃO INICIADO"</formula>
    </cfRule>
  </conditionalFormatting>
  <conditionalFormatting sqref="D9:D44">
    <cfRule type="cellIs" dxfId="1108" priority="1799" operator="equal">
      <formula>"FINALIZADO"</formula>
    </cfRule>
  </conditionalFormatting>
  <conditionalFormatting sqref="D9:D44">
    <cfRule type="cellIs" dxfId="1107" priority="1798" operator="equal">
      <formula>"EM PROCESSO"</formula>
    </cfRule>
  </conditionalFormatting>
  <conditionalFormatting sqref="D9:D22">
    <cfRule type="cellIs" dxfId="1106" priority="1795" operator="equal">
      <formula>"EM PROCESSO"</formula>
    </cfRule>
    <cfRule type="cellIs" dxfId="1105" priority="1163" operator="equal">
      <formula>"FINALIZADO"</formula>
    </cfRule>
  </conditionalFormatting>
  <conditionalFormatting sqref="D9:D76">
    <cfRule type="cellIs" dxfId="1104" priority="1794" operator="equal">
      <formula>"NÃO INICIADO"</formula>
    </cfRule>
  </conditionalFormatting>
  <conditionalFormatting sqref="D9:D76">
    <cfRule type="cellIs" dxfId="1103" priority="1793" operator="equal">
      <formula>"FINALIZADO"</formula>
    </cfRule>
  </conditionalFormatting>
  <conditionalFormatting sqref="D9:D76">
    <cfRule type="cellIs" dxfId="1102" priority="1792" operator="equal">
      <formula>"EM PROCESSO"</formula>
    </cfRule>
  </conditionalFormatting>
  <conditionalFormatting sqref="D9:D38">
    <cfRule type="cellIs" dxfId="1101" priority="1790" operator="equal">
      <formula>"FINALIZADO"</formula>
    </cfRule>
  </conditionalFormatting>
  <conditionalFormatting sqref="D9:D38">
    <cfRule type="cellIs" dxfId="1100" priority="1789" operator="equal">
      <formula>"EM PROCESSO"</formula>
    </cfRule>
    <cfRule type="cellIs" dxfId="1099" priority="1778" operator="equal">
      <formula>"FINALIZADO"</formula>
    </cfRule>
  </conditionalFormatting>
  <conditionalFormatting sqref="D9:D164">
    <cfRule type="cellIs" dxfId="1098" priority="1788" operator="equal">
      <formula>"NÃO INICIADO"</formula>
    </cfRule>
  </conditionalFormatting>
  <conditionalFormatting sqref="D9:D164">
    <cfRule type="cellIs" dxfId="1097" priority="1787" operator="equal">
      <formula>"FINALIZADO"</formula>
    </cfRule>
  </conditionalFormatting>
  <conditionalFormatting sqref="D9:D164">
    <cfRule type="cellIs" dxfId="1096" priority="1786" operator="equal">
      <formula>"EM PROCESSO"</formula>
    </cfRule>
  </conditionalFormatting>
  <conditionalFormatting sqref="D9:D136">
    <cfRule type="cellIs" dxfId="1095" priority="1782" operator="equal">
      <formula>"NÃO INICIADO"</formula>
    </cfRule>
  </conditionalFormatting>
  <conditionalFormatting sqref="D9:D136">
    <cfRule type="cellIs" dxfId="1094" priority="1781" operator="equal">
      <formula>"FINALIZADO"</formula>
    </cfRule>
  </conditionalFormatting>
  <conditionalFormatting sqref="D9:D136">
    <cfRule type="cellIs" dxfId="1093" priority="1780" operator="equal">
      <formula>"EM PROCESSO"</formula>
    </cfRule>
  </conditionalFormatting>
  <conditionalFormatting sqref="D9:D56">
    <cfRule type="cellIs" dxfId="1092" priority="1773" operator="equal">
      <formula>"NÃO INICIADO"</formula>
    </cfRule>
  </conditionalFormatting>
  <conditionalFormatting sqref="D9:D56">
    <cfRule type="cellIs" dxfId="1091" priority="1772" operator="equal">
      <formula>"FINALIZADO"</formula>
    </cfRule>
  </conditionalFormatting>
  <conditionalFormatting sqref="D9:D56">
    <cfRule type="cellIs" dxfId="1090" priority="1771" operator="equal">
      <formula>"EM PROCESSO"</formula>
    </cfRule>
  </conditionalFormatting>
  <conditionalFormatting sqref="D9:D30">
    <cfRule type="cellIs" dxfId="1089" priority="1757" operator="equal">
      <formula>"FINALIZADO"</formula>
    </cfRule>
  </conditionalFormatting>
  <conditionalFormatting sqref="D9:D30">
    <cfRule type="cellIs" dxfId="1088" priority="1756" operator="equal">
      <formula>"EM PROCESSO"</formula>
    </cfRule>
  </conditionalFormatting>
  <conditionalFormatting sqref="D9:D72">
    <cfRule type="cellIs" dxfId="1087" priority="1755" operator="equal">
      <formula>"NÃO INICIADO"</formula>
    </cfRule>
  </conditionalFormatting>
  <conditionalFormatting sqref="D9:D72">
    <cfRule type="cellIs" dxfId="1086" priority="1754" operator="equal">
      <formula>"FINALIZADO"</formula>
    </cfRule>
  </conditionalFormatting>
  <conditionalFormatting sqref="D9:D72">
    <cfRule type="cellIs" dxfId="1085" priority="1753" operator="equal">
      <formula>"EM PROCESSO"</formula>
    </cfRule>
  </conditionalFormatting>
  <conditionalFormatting sqref="D9:D24">
    <cfRule type="cellIs" dxfId="1084" priority="1752" operator="equal">
      <formula>"NÃO INICIADO"</formula>
    </cfRule>
    <cfRule type="cellIs" dxfId="1083" priority="341" operator="equal">
      <formula>"FINALIZADO"</formula>
    </cfRule>
  </conditionalFormatting>
  <conditionalFormatting sqref="D9:D24">
    <cfRule type="cellIs" dxfId="1082" priority="1751" operator="equal">
      <formula>"FINALIZADO"</formula>
    </cfRule>
  </conditionalFormatting>
  <conditionalFormatting sqref="D9:D24">
    <cfRule type="cellIs" dxfId="1081" priority="1750" operator="equal">
      <formula>"EM PROCESSO"</formula>
    </cfRule>
    <cfRule type="cellIs" dxfId="1080" priority="939" operator="equal">
      <formula>"NÃO INICIADO"</formula>
    </cfRule>
  </conditionalFormatting>
  <conditionalFormatting sqref="D9:D184">
    <cfRule type="cellIs" dxfId="1079" priority="1749" operator="equal">
      <formula>"NÃO INICIADO"</formula>
    </cfRule>
  </conditionalFormatting>
  <conditionalFormatting sqref="D9:D184">
    <cfRule type="cellIs" dxfId="1078" priority="1748" operator="equal">
      <formula>"FINALIZADO"</formula>
    </cfRule>
  </conditionalFormatting>
  <conditionalFormatting sqref="D9:D184">
    <cfRule type="cellIs" dxfId="1077" priority="1747" operator="equal">
      <formula>"EM PROCESSO"</formula>
    </cfRule>
  </conditionalFormatting>
  <conditionalFormatting sqref="D9:D202">
    <cfRule type="cellIs" dxfId="1076" priority="1746" operator="equal">
      <formula>"NÃO INICIADO"</formula>
    </cfRule>
  </conditionalFormatting>
  <conditionalFormatting sqref="D9:D202">
    <cfRule type="cellIs" dxfId="1075" priority="1745" operator="equal">
      <formula>"FINALIZADO"</formula>
    </cfRule>
  </conditionalFormatting>
  <conditionalFormatting sqref="D9:D202">
    <cfRule type="cellIs" dxfId="1074" priority="1744" operator="equal">
      <formula>"EM PROCESSO"</formula>
    </cfRule>
  </conditionalFormatting>
  <conditionalFormatting sqref="D9:D49">
    <cfRule type="cellIs" dxfId="1073" priority="1740" operator="equal">
      <formula>"NÃO INICIADO"</formula>
    </cfRule>
  </conditionalFormatting>
  <conditionalFormatting sqref="D9:D49">
    <cfRule type="cellIs" dxfId="1072" priority="1739" operator="equal">
      <formula>"FINALIZADO"</formula>
    </cfRule>
  </conditionalFormatting>
  <conditionalFormatting sqref="D9:D49">
    <cfRule type="cellIs" dxfId="1071" priority="1738" operator="equal">
      <formula>"EM PROCESSO"</formula>
    </cfRule>
  </conditionalFormatting>
  <conditionalFormatting sqref="D9:D39">
    <cfRule type="cellIs" dxfId="1070" priority="1734" operator="equal">
      <formula>"NÃO INICIADO"</formula>
    </cfRule>
    <cfRule type="cellIs" dxfId="1069" priority="1431" operator="equal">
      <formula>"NÃO INICIADO"</formula>
    </cfRule>
  </conditionalFormatting>
  <conditionalFormatting sqref="D9:D39">
    <cfRule type="cellIs" dxfId="1068" priority="1733" operator="equal">
      <formula>"FINALIZADO"</formula>
    </cfRule>
    <cfRule type="cellIs" dxfId="1067" priority="1400" operator="equal">
      <formula>"FINALIZADO"</formula>
    </cfRule>
  </conditionalFormatting>
  <conditionalFormatting sqref="D9:D39">
    <cfRule type="cellIs" dxfId="1066" priority="1732" operator="equal">
      <formula>"EM PROCESSO"</formula>
    </cfRule>
  </conditionalFormatting>
  <conditionalFormatting sqref="D9:D45">
    <cfRule type="cellIs" dxfId="1065" priority="1731" operator="equal">
      <formula>"NÃO INICIADO"</formula>
    </cfRule>
  </conditionalFormatting>
  <conditionalFormatting sqref="D9:D45">
    <cfRule type="cellIs" dxfId="1064" priority="1730" operator="equal">
      <formula>"FINALIZADO"</formula>
    </cfRule>
  </conditionalFormatting>
  <conditionalFormatting sqref="D9:D45">
    <cfRule type="cellIs" dxfId="1063" priority="1729" operator="equal">
      <formula>"EM PROCESSO"</formula>
    </cfRule>
  </conditionalFormatting>
  <conditionalFormatting sqref="D9:D41">
    <cfRule type="cellIs" dxfId="1062" priority="1719" operator="equal">
      <formula>"NÃO INICIADO"</formula>
    </cfRule>
    <cfRule type="cellIs" dxfId="1061" priority="1717" operator="equal">
      <formula>"EM PROCESSO"</formula>
    </cfRule>
  </conditionalFormatting>
  <conditionalFormatting sqref="D9:D103">
    <cfRule type="cellIs" dxfId="1060" priority="1716" operator="equal">
      <formula>"NÃO INICIADO"</formula>
    </cfRule>
  </conditionalFormatting>
  <conditionalFormatting sqref="D9:D103">
    <cfRule type="cellIs" dxfId="1059" priority="1715" operator="equal">
      <formula>"FINALIZADO"</formula>
    </cfRule>
  </conditionalFormatting>
  <conditionalFormatting sqref="D9:D103">
    <cfRule type="cellIs" dxfId="1058" priority="1714" operator="equal">
      <formula>"EM PROCESSO"</formula>
    </cfRule>
  </conditionalFormatting>
  <conditionalFormatting sqref="D9:D97">
    <cfRule type="cellIs" dxfId="1057" priority="1713" operator="equal">
      <formula>"NÃO INICIADO"</formula>
    </cfRule>
  </conditionalFormatting>
  <conditionalFormatting sqref="D9:D97">
    <cfRule type="cellIs" dxfId="1056" priority="1712" operator="equal">
      <formula>"FINALIZADO"</formula>
    </cfRule>
  </conditionalFormatting>
  <conditionalFormatting sqref="D9:D97">
    <cfRule type="cellIs" dxfId="1055" priority="1711" operator="equal">
      <formula>"EM PROCESSO"</formula>
    </cfRule>
  </conditionalFormatting>
  <conditionalFormatting sqref="D9:D223">
    <cfRule type="cellIs" dxfId="1054" priority="1710" operator="equal">
      <formula>"NÃO INICIADO"</formula>
    </cfRule>
  </conditionalFormatting>
  <conditionalFormatting sqref="D9:D223">
    <cfRule type="cellIs" dxfId="1053" priority="1709" operator="equal">
      <formula>"FINALIZADO"</formula>
    </cfRule>
  </conditionalFormatting>
  <conditionalFormatting sqref="D9:D223">
    <cfRule type="cellIs" dxfId="1052" priority="1708" operator="equal">
      <formula>"EM PROCESSO"</formula>
    </cfRule>
  </conditionalFormatting>
  <conditionalFormatting sqref="D9:D141">
    <cfRule type="cellIs" dxfId="1051" priority="1707" operator="equal">
      <formula>"NÃO INICIADO"</formula>
    </cfRule>
  </conditionalFormatting>
  <conditionalFormatting sqref="D9:D141">
    <cfRule type="cellIs" dxfId="1050" priority="1706" operator="equal">
      <formula>"FINALIZADO"</formula>
    </cfRule>
  </conditionalFormatting>
  <conditionalFormatting sqref="D9:D141">
    <cfRule type="cellIs" dxfId="1049" priority="1705" operator="equal">
      <formula>"EM PROCESSO"</formula>
    </cfRule>
  </conditionalFormatting>
  <conditionalFormatting sqref="D9:D32">
    <cfRule type="cellIs" dxfId="1048" priority="1704" operator="equal">
      <formula>"NÃO INICIADO"</formula>
    </cfRule>
  </conditionalFormatting>
  <conditionalFormatting sqref="D9:D32">
    <cfRule type="cellIs" dxfId="1047" priority="1703" operator="equal">
      <formula>"FINALIZADO"</formula>
    </cfRule>
  </conditionalFormatting>
  <conditionalFormatting sqref="D9:D32">
    <cfRule type="cellIs" dxfId="1046" priority="1702" operator="equal">
      <formula>"EM PROCESSO"</formula>
    </cfRule>
  </conditionalFormatting>
  <conditionalFormatting sqref="D9:D62">
    <cfRule type="cellIs" dxfId="1045" priority="1701" operator="equal">
      <formula>"NÃO INICIADO"</formula>
    </cfRule>
  </conditionalFormatting>
  <conditionalFormatting sqref="D9:D62">
    <cfRule type="cellIs" dxfId="1044" priority="1700" operator="equal">
      <formula>"FINALIZADO"</formula>
    </cfRule>
  </conditionalFormatting>
  <conditionalFormatting sqref="D9:D62">
    <cfRule type="cellIs" dxfId="1043" priority="1699" operator="equal">
      <formula>"EM PROCESSO"</formula>
    </cfRule>
  </conditionalFormatting>
  <conditionalFormatting sqref="D9:D16">
    <cfRule type="cellIs" dxfId="1042" priority="1698" operator="equal">
      <formula>"NÃO INICIADO"</formula>
    </cfRule>
    <cfRule type="cellIs" dxfId="1041" priority="1682" operator="equal">
      <formula>"FINALIZADO"</formula>
    </cfRule>
    <cfRule type="cellIs" dxfId="1040" priority="1347" operator="equal">
      <formula>"NÃO INICIADO"</formula>
    </cfRule>
    <cfRule type="cellIs" dxfId="1039" priority="403" operator="equal">
      <formula>"EM PROCESSO"</formula>
    </cfRule>
  </conditionalFormatting>
  <conditionalFormatting sqref="D9:D16">
    <cfRule type="cellIs" dxfId="1038" priority="1697" operator="equal">
      <formula>"FINALIZADO"</formula>
    </cfRule>
    <cfRule type="cellIs" dxfId="1037" priority="1683" operator="equal">
      <formula>"NÃO INICIADO"</formula>
    </cfRule>
    <cfRule type="cellIs" dxfId="1036" priority="1250" operator="equal">
      <formula>"FINALIZADO"</formula>
    </cfRule>
  </conditionalFormatting>
  <conditionalFormatting sqref="D9:D16">
    <cfRule type="cellIs" dxfId="1035" priority="1696" operator="equal">
      <formula>"EM PROCESSO"</formula>
    </cfRule>
    <cfRule type="cellIs" dxfId="1034" priority="1369" operator="equal">
      <formula>"EM PROCESSO"</formula>
    </cfRule>
    <cfRule type="cellIs" dxfId="1033" priority="1346" operator="equal">
      <formula>"FINALIZADO"</formula>
    </cfRule>
    <cfRule type="cellIs" dxfId="1032" priority="1249" operator="equal">
      <formula>"EM PROCESSO"</formula>
    </cfRule>
    <cfRule type="cellIs" dxfId="1031" priority="1161" operator="equal">
      <formula>"NÃO INICIADO"</formula>
    </cfRule>
    <cfRule type="cellIs" dxfId="1030" priority="716" operator="equal">
      <formula>"FINALIZADO"</formula>
    </cfRule>
    <cfRule type="cellIs" dxfId="1029" priority="120" operator="equal">
      <formula>"NÃO INICIADO"</formula>
    </cfRule>
  </conditionalFormatting>
  <conditionalFormatting sqref="D9:D55">
    <cfRule type="cellIs" dxfId="1028" priority="1680" operator="equal">
      <formula>"NÃO INICIADO"</formula>
    </cfRule>
  </conditionalFormatting>
  <conditionalFormatting sqref="D9:D55">
    <cfRule type="cellIs" dxfId="1027" priority="1679" operator="equal">
      <formula>"FINALIZADO"</formula>
    </cfRule>
  </conditionalFormatting>
  <conditionalFormatting sqref="D9:D55">
    <cfRule type="cellIs" dxfId="1026" priority="1678" operator="equal">
      <formula>"EM PROCESSO"</formula>
    </cfRule>
  </conditionalFormatting>
  <conditionalFormatting sqref="D9:D165">
    <cfRule type="cellIs" dxfId="1025" priority="1677" operator="equal">
      <formula>"NÃO INICIADO"</formula>
    </cfRule>
  </conditionalFormatting>
  <conditionalFormatting sqref="D9:D165">
    <cfRule type="cellIs" dxfId="1024" priority="1676" operator="equal">
      <formula>"FINALIZADO"</formula>
    </cfRule>
  </conditionalFormatting>
  <conditionalFormatting sqref="D9:D165">
    <cfRule type="cellIs" dxfId="1023" priority="1675" operator="equal">
      <formula>"EM PROCESSO"</formula>
    </cfRule>
  </conditionalFormatting>
  <conditionalFormatting sqref="D9:D156">
    <cfRule type="cellIs" dxfId="1022" priority="1674" operator="equal">
      <formula>"NÃO INICIADO"</formula>
    </cfRule>
  </conditionalFormatting>
  <conditionalFormatting sqref="D9:D156">
    <cfRule type="cellIs" dxfId="1021" priority="1673" operator="equal">
      <formula>"FINALIZADO"</formula>
    </cfRule>
  </conditionalFormatting>
  <conditionalFormatting sqref="D9:D156">
    <cfRule type="cellIs" dxfId="1020" priority="1672" operator="equal">
      <formula>"EM PROCESSO"</formula>
    </cfRule>
  </conditionalFormatting>
  <conditionalFormatting sqref="D9:D46">
    <cfRule type="cellIs" dxfId="1019" priority="1671" operator="equal">
      <formula>"NÃO INICIADO"</formula>
    </cfRule>
  </conditionalFormatting>
  <conditionalFormatting sqref="D9:D46">
    <cfRule type="cellIs" dxfId="1018" priority="1670" operator="equal">
      <formula>"FINALIZADO"</formula>
    </cfRule>
  </conditionalFormatting>
  <conditionalFormatting sqref="D9:D46">
    <cfRule type="cellIs" dxfId="1017" priority="1669" operator="equal">
      <formula>"EM PROCESSO"</formula>
    </cfRule>
  </conditionalFormatting>
  <conditionalFormatting sqref="D9:D51">
    <cfRule type="cellIs" dxfId="1016" priority="1668" operator="equal">
      <formula>"NÃO INICIADO"</formula>
    </cfRule>
  </conditionalFormatting>
  <conditionalFormatting sqref="D9:D51">
    <cfRule type="cellIs" dxfId="1015" priority="1667" operator="equal">
      <formula>"FINALIZADO"</formula>
    </cfRule>
  </conditionalFormatting>
  <conditionalFormatting sqref="D9:D51">
    <cfRule type="cellIs" dxfId="1014" priority="1666" operator="equal">
      <formula>"EM PROCESSO"</formula>
    </cfRule>
  </conditionalFormatting>
  <conditionalFormatting sqref="D9:D49">
    <cfRule type="cellIs" dxfId="1013" priority="1653" operator="equal">
      <formula>"NÃO INICIADO"</formula>
    </cfRule>
  </conditionalFormatting>
  <conditionalFormatting sqref="D9:D49">
    <cfRule type="cellIs" dxfId="1012" priority="1652" operator="equal">
      <formula>"FINALIZADO"</formula>
    </cfRule>
  </conditionalFormatting>
  <conditionalFormatting sqref="D9:D49">
    <cfRule type="cellIs" dxfId="1011" priority="1651" operator="equal">
      <formula>"EM PROCESSO"</formula>
    </cfRule>
  </conditionalFormatting>
  <conditionalFormatting sqref="D9:D105">
    <cfRule type="cellIs" dxfId="1010" priority="1650" operator="equal">
      <formula>"NÃO INICIADO"</formula>
    </cfRule>
  </conditionalFormatting>
  <conditionalFormatting sqref="D9:D105">
    <cfRule type="cellIs" dxfId="1009" priority="1649" operator="equal">
      <formula>"FINALIZADO"</formula>
    </cfRule>
  </conditionalFormatting>
  <conditionalFormatting sqref="D9:D105">
    <cfRule type="cellIs" dxfId="1008" priority="1648" operator="equal">
      <formula>"EM PROCESSO"</formula>
    </cfRule>
  </conditionalFormatting>
  <conditionalFormatting sqref="D9:D374">
    <cfRule type="cellIs" dxfId="1007" priority="1647" operator="equal">
      <formula>"NÃO INICIADO"</formula>
    </cfRule>
  </conditionalFormatting>
  <conditionalFormatting sqref="D9:D374">
    <cfRule type="cellIs" dxfId="1006" priority="1646" operator="equal">
      <formula>"FINALIZADO"</formula>
    </cfRule>
  </conditionalFormatting>
  <conditionalFormatting sqref="D9:D374">
    <cfRule type="cellIs" dxfId="1005" priority="1645" operator="equal">
      <formula>"EM PROCESSO"</formula>
    </cfRule>
  </conditionalFormatting>
  <conditionalFormatting sqref="D9:D107">
    <cfRule type="cellIs" dxfId="1004" priority="1644" operator="equal">
      <formula>"NÃO INICIADO"</formula>
    </cfRule>
  </conditionalFormatting>
  <conditionalFormatting sqref="D9:D107">
    <cfRule type="cellIs" dxfId="1003" priority="1643" operator="equal">
      <formula>"FINALIZADO"</formula>
    </cfRule>
  </conditionalFormatting>
  <conditionalFormatting sqref="D9:D107">
    <cfRule type="cellIs" dxfId="1002" priority="1642" operator="equal">
      <formula>"EM PROCESSO"</formula>
    </cfRule>
  </conditionalFormatting>
  <conditionalFormatting sqref="D9:D101">
    <cfRule type="cellIs" dxfId="1001" priority="1641" operator="equal">
      <formula>"NÃO INICIADO"</formula>
    </cfRule>
  </conditionalFormatting>
  <conditionalFormatting sqref="D9:D101">
    <cfRule type="cellIs" dxfId="1000" priority="1640" operator="equal">
      <formula>"FINALIZADO"</formula>
    </cfRule>
  </conditionalFormatting>
  <conditionalFormatting sqref="D9:D101">
    <cfRule type="cellIs" dxfId="999" priority="1639" operator="equal">
      <formula>"EM PROCESSO"</formula>
    </cfRule>
  </conditionalFormatting>
  <conditionalFormatting sqref="D9:D131">
    <cfRule type="cellIs" dxfId="998" priority="1638" operator="equal">
      <formula>"NÃO INICIADO"</formula>
    </cfRule>
  </conditionalFormatting>
  <conditionalFormatting sqref="D9:D131">
    <cfRule type="cellIs" dxfId="997" priority="1637" operator="equal">
      <formula>"FINALIZADO"</formula>
    </cfRule>
  </conditionalFormatting>
  <conditionalFormatting sqref="D9:D131">
    <cfRule type="cellIs" dxfId="996" priority="1636" operator="equal">
      <formula>"EM PROCESSO"</formula>
    </cfRule>
  </conditionalFormatting>
  <conditionalFormatting sqref="D9:D399">
    <cfRule type="cellIs" dxfId="995" priority="1635" operator="equal">
      <formula>"NÃO INICIADO"</formula>
    </cfRule>
    <cfRule type="cellIs" dxfId="994" priority="1634" operator="equal">
      <formula>"FINALIZADO"</formula>
    </cfRule>
    <cfRule type="cellIs" dxfId="993" priority="1633" operator="equal">
      <formula>"EM PROCESSO"</formula>
    </cfRule>
  </conditionalFormatting>
  <conditionalFormatting sqref="D9:D66">
    <cfRule type="cellIs" dxfId="992" priority="1614" operator="equal">
      <formula>"NÃO INICIADO"</formula>
    </cfRule>
  </conditionalFormatting>
  <conditionalFormatting sqref="D9:D66">
    <cfRule type="cellIs" dxfId="991" priority="1613" operator="equal">
      <formula>"FINALIZADO"</formula>
    </cfRule>
  </conditionalFormatting>
  <conditionalFormatting sqref="D9:D66">
    <cfRule type="cellIs" dxfId="990" priority="1612" operator="equal">
      <formula>"EM PROCESSO"</formula>
    </cfRule>
  </conditionalFormatting>
  <conditionalFormatting sqref="D9:D28">
    <cfRule type="cellIs" dxfId="989" priority="1611" operator="equal">
      <formula>"NÃO INICIADO"</formula>
    </cfRule>
  </conditionalFormatting>
  <conditionalFormatting sqref="D9:D28">
    <cfRule type="cellIs" dxfId="988" priority="1610" operator="equal">
      <formula>"FINALIZADO"</formula>
    </cfRule>
  </conditionalFormatting>
  <conditionalFormatting sqref="D9:D28">
    <cfRule type="cellIs" dxfId="987" priority="1609" operator="equal">
      <formula>"EM PROCESSO"</formula>
    </cfRule>
  </conditionalFormatting>
  <conditionalFormatting sqref="D9:D30">
    <cfRule type="cellIs" dxfId="986" priority="1607" operator="equal">
      <formula>"FINALIZADO"</formula>
    </cfRule>
  </conditionalFormatting>
  <conditionalFormatting sqref="D9:D30">
    <cfRule type="cellIs" dxfId="985" priority="1606" operator="equal">
      <formula>"EM PROCESSO"</formula>
    </cfRule>
  </conditionalFormatting>
  <conditionalFormatting sqref="D9:D137">
    <cfRule type="cellIs" dxfId="984" priority="1605" operator="equal">
      <formula>"NÃO INICIADO"</formula>
    </cfRule>
  </conditionalFormatting>
  <conditionalFormatting sqref="D9:D137">
    <cfRule type="cellIs" dxfId="983" priority="1604" operator="equal">
      <formula>"FINALIZADO"</formula>
    </cfRule>
  </conditionalFormatting>
  <conditionalFormatting sqref="D9:D137">
    <cfRule type="cellIs" dxfId="982" priority="1603" operator="equal">
      <formula>"EM PROCESSO"</formula>
    </cfRule>
  </conditionalFormatting>
  <conditionalFormatting sqref="D9:D194">
    <cfRule type="cellIs" dxfId="981" priority="1602" operator="equal">
      <formula>"NÃO INICIADO"</formula>
    </cfRule>
  </conditionalFormatting>
  <conditionalFormatting sqref="D9:D194">
    <cfRule type="cellIs" dxfId="980" priority="1601" operator="equal">
      <formula>"FINALIZADO"</formula>
    </cfRule>
  </conditionalFormatting>
  <conditionalFormatting sqref="D9:D194">
    <cfRule type="cellIs" dxfId="979" priority="1600" operator="equal">
      <formula>"EM PROCESSO"</formula>
    </cfRule>
  </conditionalFormatting>
  <conditionalFormatting sqref="D9:D292">
    <cfRule type="cellIs" dxfId="978" priority="1599" operator="equal">
      <formula>"NÃO INICIADO"</formula>
    </cfRule>
  </conditionalFormatting>
  <conditionalFormatting sqref="D9:D292">
    <cfRule type="cellIs" dxfId="977" priority="1598" operator="equal">
      <formula>"FINALIZADO"</formula>
    </cfRule>
  </conditionalFormatting>
  <conditionalFormatting sqref="D9:D292">
    <cfRule type="cellIs" dxfId="976" priority="1597" operator="equal">
      <formula>"EM PROCESSO"</formula>
    </cfRule>
  </conditionalFormatting>
  <conditionalFormatting sqref="D9:D31">
    <cfRule type="cellIs" dxfId="975" priority="1596" operator="equal">
      <formula>"NÃO INICIADO"</formula>
    </cfRule>
  </conditionalFormatting>
  <conditionalFormatting sqref="D9:D31">
    <cfRule type="cellIs" dxfId="974" priority="1595" operator="equal">
      <formula>"FINALIZADO"</formula>
    </cfRule>
  </conditionalFormatting>
  <conditionalFormatting sqref="D9:D31">
    <cfRule type="cellIs" dxfId="973" priority="1594" operator="equal">
      <formula>"EM PROCESSO"</formula>
    </cfRule>
  </conditionalFormatting>
  <conditionalFormatting sqref="D9:D36">
    <cfRule type="cellIs" dxfId="972" priority="1584" operator="equal">
      <formula>"NÃO INICIADO"</formula>
    </cfRule>
  </conditionalFormatting>
  <conditionalFormatting sqref="D9:D36">
    <cfRule type="cellIs" dxfId="971" priority="1583" operator="equal">
      <formula>"FINALIZADO"</formula>
    </cfRule>
  </conditionalFormatting>
  <conditionalFormatting sqref="D9:D36">
    <cfRule type="cellIs" dxfId="970" priority="1582" operator="equal">
      <formula>"EM PROCESSO"</formula>
    </cfRule>
  </conditionalFormatting>
  <conditionalFormatting sqref="D9:D70">
    <cfRule type="cellIs" dxfId="969" priority="1581" operator="equal">
      <formula>"NÃO INICIADO"</formula>
    </cfRule>
  </conditionalFormatting>
  <conditionalFormatting sqref="D9:D70">
    <cfRule type="cellIs" dxfId="968" priority="1580" operator="equal">
      <formula>"FINALIZADO"</formula>
    </cfRule>
  </conditionalFormatting>
  <conditionalFormatting sqref="D9:D70">
    <cfRule type="cellIs" dxfId="967" priority="1579" operator="equal">
      <formula>"EM PROCESSO"</formula>
    </cfRule>
  </conditionalFormatting>
  <conditionalFormatting sqref="D9:D68">
    <cfRule type="cellIs" dxfId="966" priority="1578" operator="equal">
      <formula>"NÃO INICIADO"</formula>
    </cfRule>
  </conditionalFormatting>
  <conditionalFormatting sqref="D9:D68">
    <cfRule type="cellIs" dxfId="965" priority="1577" operator="equal">
      <formula>"FINALIZADO"</formula>
    </cfRule>
  </conditionalFormatting>
  <conditionalFormatting sqref="D9:D68">
    <cfRule type="cellIs" dxfId="964" priority="1576" operator="equal">
      <formula>"EM PROCESSO"</formula>
    </cfRule>
  </conditionalFormatting>
  <conditionalFormatting sqref="D9:D172">
    <cfRule type="cellIs" dxfId="963" priority="1575" operator="equal">
      <formula>"NÃO INICIADO"</formula>
    </cfRule>
  </conditionalFormatting>
  <conditionalFormatting sqref="D9:D172">
    <cfRule type="cellIs" dxfId="962" priority="1574" operator="equal">
      <formula>"FINALIZADO"</formula>
    </cfRule>
  </conditionalFormatting>
  <conditionalFormatting sqref="D9:D172">
    <cfRule type="cellIs" dxfId="961" priority="1573" operator="equal">
      <formula>"EM PROCESSO"</formula>
    </cfRule>
  </conditionalFormatting>
  <conditionalFormatting sqref="D9:D159">
    <cfRule type="cellIs" dxfId="960" priority="1572" operator="equal">
      <formula>"NÃO INICIADO"</formula>
    </cfRule>
  </conditionalFormatting>
  <conditionalFormatting sqref="D9:D159">
    <cfRule type="cellIs" dxfId="959" priority="1571" operator="equal">
      <formula>"FINALIZADO"</formula>
    </cfRule>
  </conditionalFormatting>
  <conditionalFormatting sqref="D9:D159">
    <cfRule type="cellIs" dxfId="958" priority="1570" operator="equal">
      <formula>"EM PROCESSO"</formula>
    </cfRule>
  </conditionalFormatting>
  <conditionalFormatting sqref="D9:D112">
    <cfRule type="cellIs" dxfId="957" priority="1566" operator="equal">
      <formula>"NÃO INICIADO"</formula>
    </cfRule>
  </conditionalFormatting>
  <conditionalFormatting sqref="D9:D112">
    <cfRule type="cellIs" dxfId="956" priority="1565" operator="equal">
      <formula>"FINALIZADO"</formula>
    </cfRule>
  </conditionalFormatting>
  <conditionalFormatting sqref="D9:D112">
    <cfRule type="cellIs" dxfId="955" priority="1564" operator="equal">
      <formula>"EM PROCESSO"</formula>
    </cfRule>
  </conditionalFormatting>
  <conditionalFormatting sqref="D9:D24">
    <cfRule type="cellIs" dxfId="954" priority="1539" operator="equal">
      <formula>"NÃO INICIADO"</formula>
    </cfRule>
  </conditionalFormatting>
  <conditionalFormatting sqref="D9:D24">
    <cfRule type="cellIs" dxfId="953" priority="1538" operator="equal">
      <formula>"FINALIZADO"</formula>
    </cfRule>
  </conditionalFormatting>
  <conditionalFormatting sqref="D9:D24">
    <cfRule type="cellIs" dxfId="952" priority="1537" operator="equal">
      <formula>"EM PROCESSO"</formula>
    </cfRule>
  </conditionalFormatting>
  <conditionalFormatting sqref="D9:D66">
    <cfRule type="cellIs" dxfId="951" priority="1536" operator="equal">
      <formula>"NÃO INICIADO"</formula>
    </cfRule>
  </conditionalFormatting>
  <conditionalFormatting sqref="D9:D66">
    <cfRule type="cellIs" dxfId="950" priority="1535" operator="equal">
      <formula>"FINALIZADO"</formula>
    </cfRule>
  </conditionalFormatting>
  <conditionalFormatting sqref="D9:D66">
    <cfRule type="cellIs" dxfId="949" priority="1534" operator="equal">
      <formula>"EM PROCESSO"</formula>
    </cfRule>
  </conditionalFormatting>
  <conditionalFormatting sqref="D9:D44">
    <cfRule type="cellIs" dxfId="948" priority="1533" operator="equal">
      <formula>"NÃO INICIADO"</formula>
    </cfRule>
  </conditionalFormatting>
  <conditionalFormatting sqref="D9:D44">
    <cfRule type="cellIs" dxfId="947" priority="1532" operator="equal">
      <formula>"FINALIZADO"</formula>
    </cfRule>
  </conditionalFormatting>
  <conditionalFormatting sqref="D9:D44">
    <cfRule type="cellIs" dxfId="946" priority="1531" operator="equal">
      <formula>"EM PROCESSO"</formula>
    </cfRule>
  </conditionalFormatting>
  <conditionalFormatting sqref="D9:D170">
    <cfRule type="cellIs" dxfId="945" priority="1530" operator="equal">
      <formula>"NÃO INICIADO"</formula>
    </cfRule>
  </conditionalFormatting>
  <conditionalFormatting sqref="D9:D170">
    <cfRule type="cellIs" dxfId="944" priority="1529" operator="equal">
      <formula>"FINALIZADO"</formula>
    </cfRule>
  </conditionalFormatting>
  <conditionalFormatting sqref="D9:D170">
    <cfRule type="cellIs" dxfId="943" priority="1528" operator="equal">
      <formula>"EM PROCESSO"</formula>
    </cfRule>
  </conditionalFormatting>
  <conditionalFormatting sqref="D9:D132">
    <cfRule type="cellIs" dxfId="942" priority="1527" operator="equal">
      <formula>"NÃO INICIADO"</formula>
    </cfRule>
  </conditionalFormatting>
  <conditionalFormatting sqref="D9:D132">
    <cfRule type="cellIs" dxfId="941" priority="1526" operator="equal">
      <formula>"FINALIZADO"</formula>
    </cfRule>
  </conditionalFormatting>
  <conditionalFormatting sqref="D9:D132">
    <cfRule type="cellIs" dxfId="940" priority="1525" operator="equal">
      <formula>"EM PROCESSO"</formula>
    </cfRule>
  </conditionalFormatting>
  <conditionalFormatting sqref="D9:D36">
    <cfRule type="cellIs" dxfId="939" priority="1524" operator="equal">
      <formula>"NÃO INICIADO"</formula>
    </cfRule>
  </conditionalFormatting>
  <conditionalFormatting sqref="D9:D36">
    <cfRule type="cellIs" dxfId="938" priority="1523" operator="equal">
      <formula>"FINALIZADO"</formula>
    </cfRule>
  </conditionalFormatting>
  <conditionalFormatting sqref="D9:D36">
    <cfRule type="cellIs" dxfId="937" priority="1522" operator="equal">
      <formula>"EM PROCESSO"</formula>
    </cfRule>
  </conditionalFormatting>
  <conditionalFormatting sqref="D9:D70">
    <cfRule type="cellIs" dxfId="936" priority="1521" operator="equal">
      <formula>"NÃO INICIADO"</formula>
    </cfRule>
  </conditionalFormatting>
  <conditionalFormatting sqref="D9:D70">
    <cfRule type="cellIs" dxfId="935" priority="1520" operator="equal">
      <formula>"FINALIZADO"</formula>
    </cfRule>
  </conditionalFormatting>
  <conditionalFormatting sqref="D9:D70">
    <cfRule type="cellIs" dxfId="934" priority="1519" operator="equal">
      <formula>"EM PROCESSO"</formula>
    </cfRule>
  </conditionalFormatting>
  <conditionalFormatting sqref="D9:D20">
    <cfRule type="cellIs" dxfId="933" priority="1512" operator="equal">
      <formula>"NÃO INICIADO"</formula>
    </cfRule>
  </conditionalFormatting>
  <conditionalFormatting sqref="D9:D20">
    <cfRule type="cellIs" dxfId="932" priority="1511" operator="equal">
      <formula>"FINALIZADO"</formula>
    </cfRule>
  </conditionalFormatting>
  <conditionalFormatting sqref="D9:D20">
    <cfRule type="cellIs" dxfId="931" priority="1510" operator="equal">
      <formula>"EM PROCESSO"</formula>
    </cfRule>
  </conditionalFormatting>
  <conditionalFormatting sqref="D9:D30">
    <cfRule type="cellIs" dxfId="930" priority="1502" operator="equal">
      <formula>"FINALIZADO"</formula>
    </cfRule>
  </conditionalFormatting>
  <conditionalFormatting sqref="D9:D30">
    <cfRule type="cellIs" dxfId="929" priority="1501" operator="equal">
      <formula>"EM PROCESSO"</formula>
    </cfRule>
  </conditionalFormatting>
  <conditionalFormatting sqref="D9:D42">
    <cfRule type="cellIs" dxfId="928" priority="1497" operator="equal">
      <formula>"NÃO INICIADO"</formula>
    </cfRule>
  </conditionalFormatting>
  <conditionalFormatting sqref="D9:D42">
    <cfRule type="cellIs" dxfId="927" priority="1496" operator="equal">
      <formula>"FINALIZADO"</formula>
    </cfRule>
    <cfRule type="cellIs" dxfId="926" priority="72" operator="equal">
      <formula>"NÃO INICIADO"</formula>
    </cfRule>
  </conditionalFormatting>
  <conditionalFormatting sqref="D9:D42">
    <cfRule type="cellIs" dxfId="925" priority="1495" operator="equal">
      <formula>"EM PROCESSO"</formula>
    </cfRule>
  </conditionalFormatting>
  <conditionalFormatting sqref="D9:D143">
    <cfRule type="cellIs" dxfId="924" priority="1494" operator="equal">
      <formula>"NÃO INICIADO"</formula>
    </cfRule>
    <cfRule type="cellIs" dxfId="923" priority="1492" operator="equal">
      <formula>"EM PROCESSO"</formula>
    </cfRule>
  </conditionalFormatting>
  <conditionalFormatting sqref="D9:D156">
    <cfRule type="cellIs" dxfId="922" priority="1491" operator="equal">
      <formula>"NÃO INICIADO"</formula>
    </cfRule>
  </conditionalFormatting>
  <conditionalFormatting sqref="D9:D156">
    <cfRule type="cellIs" dxfId="921" priority="1490" operator="equal">
      <formula>"FINALIZADO"</formula>
    </cfRule>
  </conditionalFormatting>
  <conditionalFormatting sqref="D9:D156">
    <cfRule type="cellIs" dxfId="920" priority="1489" operator="equal">
      <formula>"EM PROCESSO"</formula>
    </cfRule>
  </conditionalFormatting>
  <conditionalFormatting sqref="D9:D46">
    <cfRule type="cellIs" dxfId="919" priority="1488" operator="equal">
      <formula>"NÃO INICIADO"</formula>
    </cfRule>
  </conditionalFormatting>
  <conditionalFormatting sqref="D9:D46">
    <cfRule type="cellIs" dxfId="918" priority="1487" operator="equal">
      <formula>"FINALIZADO"</formula>
    </cfRule>
  </conditionalFormatting>
  <conditionalFormatting sqref="D9:D46">
    <cfRule type="cellIs" dxfId="917" priority="1486" operator="equal">
      <formula>"EM PROCESSO"</formula>
    </cfRule>
  </conditionalFormatting>
  <conditionalFormatting sqref="D9:D96">
    <cfRule type="cellIs" dxfId="916" priority="1485" operator="equal">
      <formula>"NÃO INICIADO"</formula>
    </cfRule>
  </conditionalFormatting>
  <conditionalFormatting sqref="D9:D96">
    <cfRule type="cellIs" dxfId="915" priority="1484" operator="equal">
      <formula>"FINALIZADO"</formula>
    </cfRule>
  </conditionalFormatting>
  <conditionalFormatting sqref="D9:D96">
    <cfRule type="cellIs" dxfId="914" priority="1483" operator="equal">
      <formula>"EM PROCESSO"</formula>
    </cfRule>
  </conditionalFormatting>
  <conditionalFormatting sqref="D9:D61">
    <cfRule type="cellIs" dxfId="913" priority="1464" operator="equal">
      <formula>"NÃO INICIADO"</formula>
    </cfRule>
  </conditionalFormatting>
  <conditionalFormatting sqref="D9:D61">
    <cfRule type="cellIs" dxfId="912" priority="1463" operator="equal">
      <formula>"FINALIZADO"</formula>
    </cfRule>
  </conditionalFormatting>
  <conditionalFormatting sqref="D9:D61">
    <cfRule type="cellIs" dxfId="911" priority="1462" operator="equal">
      <formula>"EM PROCESSO"</formula>
    </cfRule>
  </conditionalFormatting>
  <conditionalFormatting sqref="D9:D52">
    <cfRule type="cellIs" dxfId="910" priority="1461" operator="equal">
      <formula>"NÃO INICIADO"</formula>
    </cfRule>
  </conditionalFormatting>
  <conditionalFormatting sqref="D9:D52">
    <cfRule type="cellIs" dxfId="909" priority="1460" operator="equal">
      <formula>"FINALIZADO"</formula>
    </cfRule>
  </conditionalFormatting>
  <conditionalFormatting sqref="D9:D52">
    <cfRule type="cellIs" dxfId="908" priority="1459" operator="equal">
      <formula>"EM PROCESSO"</formula>
    </cfRule>
  </conditionalFormatting>
  <conditionalFormatting sqref="D9:D66">
    <cfRule type="cellIs" dxfId="907" priority="1458" operator="equal">
      <formula>"NÃO INICIADO"</formula>
    </cfRule>
  </conditionalFormatting>
  <conditionalFormatting sqref="D9:D66">
    <cfRule type="cellIs" dxfId="906" priority="1457" operator="equal">
      <formula>"FINALIZADO"</formula>
    </cfRule>
  </conditionalFormatting>
  <conditionalFormatting sqref="D9:D66">
    <cfRule type="cellIs" dxfId="905" priority="1456" operator="equal">
      <formula>"EM PROCESSO"</formula>
    </cfRule>
  </conditionalFormatting>
  <conditionalFormatting sqref="D9:D510">
    <cfRule type="cellIs" dxfId="904" priority="1455" operator="equal">
      <formula>"NÃO INICIADO"</formula>
    </cfRule>
    <cfRule type="cellIs" dxfId="903" priority="1454" operator="equal">
      <formula>"FINALIZADO"</formula>
    </cfRule>
    <cfRule type="cellIs" dxfId="902" priority="1453" operator="equal">
      <formula>"EM PROCESSO"</formula>
    </cfRule>
  </conditionalFormatting>
  <conditionalFormatting sqref="D9:D349">
    <cfRule type="cellIs" dxfId="901" priority="1452" operator="equal">
      <formula>"NÃO INICIADO"</formula>
    </cfRule>
  </conditionalFormatting>
  <conditionalFormatting sqref="D9:D349">
    <cfRule type="cellIs" dxfId="900" priority="1451" operator="equal">
      <formula>"FINALIZADO"</formula>
    </cfRule>
  </conditionalFormatting>
  <conditionalFormatting sqref="D9:D349">
    <cfRule type="cellIs" dxfId="899" priority="1450" operator="equal">
      <formula>"EM PROCESSO"</formula>
    </cfRule>
  </conditionalFormatting>
  <conditionalFormatting sqref="D9:D223">
    <cfRule type="cellIs" dxfId="898" priority="1449" operator="equal">
      <formula>"NÃO INICIADO"</formula>
    </cfRule>
  </conditionalFormatting>
  <conditionalFormatting sqref="D9:D223">
    <cfRule type="cellIs" dxfId="897" priority="1448" operator="equal">
      <formula>"FINALIZADO"</formula>
    </cfRule>
  </conditionalFormatting>
  <conditionalFormatting sqref="D9:D223">
    <cfRule type="cellIs" dxfId="896" priority="1447" operator="equal">
      <formula>"EM PROCESSO"</formula>
    </cfRule>
  </conditionalFormatting>
  <conditionalFormatting sqref="D9:D60">
    <cfRule type="cellIs" dxfId="895" priority="1446" operator="equal">
      <formula>"NÃO INICIADO"</formula>
    </cfRule>
  </conditionalFormatting>
  <conditionalFormatting sqref="D9:D60">
    <cfRule type="cellIs" dxfId="894" priority="1445" operator="equal">
      <formula>"FINALIZADO"</formula>
    </cfRule>
  </conditionalFormatting>
  <conditionalFormatting sqref="D9:D60">
    <cfRule type="cellIs" dxfId="893" priority="1444" operator="equal">
      <formula>"EM PROCESSO"</formula>
    </cfRule>
  </conditionalFormatting>
  <conditionalFormatting sqref="D9:D32">
    <cfRule type="cellIs" dxfId="892" priority="1443" operator="equal">
      <formula>"NÃO INICIADO"</formula>
    </cfRule>
  </conditionalFormatting>
  <conditionalFormatting sqref="D9:D32">
    <cfRule type="cellIs" dxfId="891" priority="1442" operator="equal">
      <formula>"FINALIZADO"</formula>
    </cfRule>
  </conditionalFormatting>
  <conditionalFormatting sqref="D9:D32">
    <cfRule type="cellIs" dxfId="890" priority="1441" operator="equal">
      <formula>"EM PROCESSO"</formula>
    </cfRule>
  </conditionalFormatting>
  <conditionalFormatting sqref="D9:D36">
    <cfRule type="cellIs" dxfId="889" priority="1434" operator="equal">
      <formula>"NÃO INICIADO"</formula>
    </cfRule>
  </conditionalFormatting>
  <conditionalFormatting sqref="D9:D36">
    <cfRule type="cellIs" dxfId="888" priority="1433" operator="equal">
      <formula>"FINALIZADO"</formula>
    </cfRule>
  </conditionalFormatting>
  <conditionalFormatting sqref="D9:D36">
    <cfRule type="cellIs" dxfId="887" priority="1432" operator="equal">
      <formula>"EM PROCESSO"</formula>
    </cfRule>
  </conditionalFormatting>
  <conditionalFormatting sqref="D9:D93">
    <cfRule type="cellIs" dxfId="886" priority="1427" operator="equal">
      <formula>"FINALIZADO"</formula>
    </cfRule>
  </conditionalFormatting>
  <conditionalFormatting sqref="D9:D93">
    <cfRule type="cellIs" dxfId="885" priority="1426" operator="equal">
      <formula>"EM PROCESSO"</formula>
    </cfRule>
  </conditionalFormatting>
  <conditionalFormatting sqref="D9:D174">
    <cfRule type="cellIs" dxfId="884" priority="1424" operator="equal">
      <formula>"FINALIZADO"</formula>
    </cfRule>
  </conditionalFormatting>
  <conditionalFormatting sqref="D9:D174">
    <cfRule type="cellIs" dxfId="883" priority="1423" operator="equal">
      <formula>"EM PROCESSO"</formula>
    </cfRule>
  </conditionalFormatting>
  <conditionalFormatting sqref="D9:D179">
    <cfRule type="cellIs" dxfId="882" priority="1422" operator="equal">
      <formula>"NÃO INICIADO"</formula>
    </cfRule>
  </conditionalFormatting>
  <conditionalFormatting sqref="D9:D179">
    <cfRule type="cellIs" dxfId="881" priority="1421" operator="equal">
      <formula>"FINALIZADO"</formula>
    </cfRule>
  </conditionalFormatting>
  <conditionalFormatting sqref="D9:D179">
    <cfRule type="cellIs" dxfId="880" priority="1420" operator="equal">
      <formula>"EM PROCESSO"</formula>
    </cfRule>
  </conditionalFormatting>
  <conditionalFormatting sqref="D9:D129">
    <cfRule type="cellIs" dxfId="879" priority="1419" operator="equal">
      <formula>"NÃO INICIADO"</formula>
    </cfRule>
  </conditionalFormatting>
  <conditionalFormatting sqref="D9:D129">
    <cfRule type="cellIs" dxfId="878" priority="1418" operator="equal">
      <formula>"FINALIZADO"</formula>
    </cfRule>
  </conditionalFormatting>
  <conditionalFormatting sqref="D9:D129">
    <cfRule type="cellIs" dxfId="877" priority="1417" operator="equal">
      <formula>"EM PROCESSO"</formula>
    </cfRule>
  </conditionalFormatting>
  <conditionalFormatting sqref="D9:D42">
    <cfRule type="cellIs" dxfId="876" priority="1410" operator="equal">
      <formula>"NÃO INICIADO"</formula>
    </cfRule>
  </conditionalFormatting>
  <conditionalFormatting sqref="D9:D42">
    <cfRule type="cellIs" dxfId="875" priority="1409" operator="equal">
      <formula>"FINALIZADO"</formula>
    </cfRule>
  </conditionalFormatting>
  <conditionalFormatting sqref="D9:D42">
    <cfRule type="cellIs" dxfId="874" priority="1408" operator="equal">
      <formula>"EM PROCESSO"</formula>
    </cfRule>
  </conditionalFormatting>
  <conditionalFormatting sqref="D9:D22">
    <cfRule type="cellIs" dxfId="873" priority="1402" operator="equal">
      <formula>"EM PROCESSO"</formula>
    </cfRule>
  </conditionalFormatting>
  <conditionalFormatting sqref="D9:D69">
    <cfRule type="cellIs" dxfId="872" priority="1392" operator="equal">
      <formula>"NÃO INICIADO"</formula>
    </cfRule>
  </conditionalFormatting>
  <conditionalFormatting sqref="D9:D69">
    <cfRule type="cellIs" dxfId="871" priority="1391" operator="equal">
      <formula>"FINALIZADO"</formula>
    </cfRule>
  </conditionalFormatting>
  <conditionalFormatting sqref="D9:D69">
    <cfRule type="cellIs" dxfId="870" priority="1390" operator="equal">
      <formula>"EM PROCESSO"</formula>
    </cfRule>
  </conditionalFormatting>
  <conditionalFormatting sqref="D9:D73">
    <cfRule type="cellIs" dxfId="869" priority="1389" operator="equal">
      <formula>"NÃO INICIADO"</formula>
    </cfRule>
  </conditionalFormatting>
  <conditionalFormatting sqref="D9:D73">
    <cfRule type="cellIs" dxfId="868" priority="1388" operator="equal">
      <formula>"FINALIZADO"</formula>
    </cfRule>
  </conditionalFormatting>
  <conditionalFormatting sqref="D9:D73">
    <cfRule type="cellIs" dxfId="867" priority="1387" operator="equal">
      <formula>"EM PROCESSO"</formula>
    </cfRule>
  </conditionalFormatting>
  <conditionalFormatting sqref="D9:D130">
    <cfRule type="cellIs" dxfId="866" priority="1386" operator="equal">
      <formula>"NÃO INICIADO"</formula>
    </cfRule>
  </conditionalFormatting>
  <conditionalFormatting sqref="D9:D130">
    <cfRule type="cellIs" dxfId="865" priority="1385" operator="equal">
      <formula>"FINALIZADO"</formula>
    </cfRule>
  </conditionalFormatting>
  <conditionalFormatting sqref="D9:D130">
    <cfRule type="cellIs" dxfId="864" priority="1384" operator="equal">
      <formula>"EM PROCESSO"</formula>
    </cfRule>
  </conditionalFormatting>
  <conditionalFormatting sqref="D9:D20">
    <cfRule type="cellIs" dxfId="863" priority="1383" operator="equal">
      <formula>"NÃO INICIADO"</formula>
    </cfRule>
  </conditionalFormatting>
  <conditionalFormatting sqref="D9:D20">
    <cfRule type="cellIs" dxfId="862" priority="1382" operator="equal">
      <formula>"FINALIZADO"</formula>
    </cfRule>
  </conditionalFormatting>
  <conditionalFormatting sqref="D9:D20">
    <cfRule type="cellIs" dxfId="861" priority="1381" operator="equal">
      <formula>"EM PROCESSO"</formula>
    </cfRule>
  </conditionalFormatting>
  <conditionalFormatting sqref="D9:D149">
    <cfRule type="cellIs" dxfId="860" priority="1380" operator="equal">
      <formula>"NÃO INICIADO"</formula>
    </cfRule>
  </conditionalFormatting>
  <conditionalFormatting sqref="D9:D149">
    <cfRule type="cellIs" dxfId="859" priority="1379" operator="equal">
      <formula>"FINALIZADO"</formula>
    </cfRule>
  </conditionalFormatting>
  <conditionalFormatting sqref="D9:D149">
    <cfRule type="cellIs" dxfId="858" priority="1378" operator="equal">
      <formula>"EM PROCESSO"</formula>
    </cfRule>
  </conditionalFormatting>
  <conditionalFormatting sqref="D9:D104">
    <cfRule type="cellIs" dxfId="857" priority="1377" operator="equal">
      <formula>"NÃO INICIADO"</formula>
    </cfRule>
  </conditionalFormatting>
  <conditionalFormatting sqref="D9:D104">
    <cfRule type="cellIs" dxfId="856" priority="1376" operator="equal">
      <formula>"FINALIZADO"</formula>
    </cfRule>
  </conditionalFormatting>
  <conditionalFormatting sqref="D9:D104">
    <cfRule type="cellIs" dxfId="855" priority="1375" operator="equal">
      <formula>"EM PROCESSO"</formula>
    </cfRule>
  </conditionalFormatting>
  <conditionalFormatting sqref="D9:D99">
    <cfRule type="cellIs" dxfId="854" priority="1374" operator="equal">
      <formula>"NÃO INICIADO"</formula>
    </cfRule>
  </conditionalFormatting>
  <conditionalFormatting sqref="D9:D99">
    <cfRule type="cellIs" dxfId="853" priority="1373" operator="equal">
      <formula>"FINALIZADO"</formula>
    </cfRule>
  </conditionalFormatting>
  <conditionalFormatting sqref="D9:D99">
    <cfRule type="cellIs" dxfId="852" priority="1372" operator="equal">
      <formula>"EM PROCESSO"</formula>
    </cfRule>
  </conditionalFormatting>
  <conditionalFormatting sqref="D9:D104">
    <cfRule type="cellIs" dxfId="851" priority="1365" operator="equal">
      <formula>"NÃO INICIADO"</formula>
    </cfRule>
    <cfRule type="cellIs" dxfId="850" priority="1361" operator="equal">
      <formula>"FINALIZADO"</formula>
    </cfRule>
  </conditionalFormatting>
  <conditionalFormatting sqref="D9:D104">
    <cfRule type="cellIs" dxfId="849" priority="1364" operator="equal">
      <formula>"FINALIZADO"</formula>
    </cfRule>
    <cfRule type="cellIs" dxfId="848" priority="1362" operator="equal">
      <formula>"NÃO INICIADO"</formula>
    </cfRule>
    <cfRule type="cellIs" dxfId="847" priority="1355" operator="equal">
      <formula>"FINALIZADO"</formula>
    </cfRule>
  </conditionalFormatting>
  <conditionalFormatting sqref="D9:D104">
    <cfRule type="cellIs" dxfId="846" priority="1363" operator="equal">
      <formula>"EM PROCESSO"</formula>
    </cfRule>
    <cfRule type="cellIs" dxfId="845" priority="1356" operator="equal">
      <formula>"NÃO INICIADO"</formula>
    </cfRule>
    <cfRule type="cellIs" dxfId="844" priority="1352" operator="equal">
      <formula>"FINALIZADO"</formula>
    </cfRule>
  </conditionalFormatting>
  <conditionalFormatting sqref="D9:D104">
    <cfRule type="cellIs" dxfId="843" priority="1360" operator="equal">
      <formula>"EM PROCESSO"</formula>
    </cfRule>
    <cfRule type="cellIs" dxfId="842" priority="1353" operator="equal">
      <formula>"NÃO INICIADO"</formula>
    </cfRule>
  </conditionalFormatting>
  <conditionalFormatting sqref="D9:D104">
    <cfRule type="cellIs" dxfId="841" priority="1354" operator="equal">
      <formula>"EM PROCESSO"</formula>
    </cfRule>
  </conditionalFormatting>
  <conditionalFormatting sqref="D9:D104">
    <cfRule type="cellIs" dxfId="840" priority="1351" operator="equal">
      <formula>"EM PROCESSO"</formula>
    </cfRule>
  </conditionalFormatting>
  <conditionalFormatting sqref="D9:D74">
    <cfRule type="cellIs" dxfId="839" priority="1350" operator="equal">
      <formula>"NÃO INICIADO"</formula>
    </cfRule>
  </conditionalFormatting>
  <conditionalFormatting sqref="D9:D74">
    <cfRule type="cellIs" dxfId="838" priority="1349" operator="equal">
      <formula>"FINALIZADO"</formula>
    </cfRule>
  </conditionalFormatting>
  <conditionalFormatting sqref="D9:D74">
    <cfRule type="cellIs" dxfId="837" priority="1348" operator="equal">
      <formula>"EM PROCESSO"</formula>
    </cfRule>
  </conditionalFormatting>
  <conditionalFormatting sqref="D9:D40">
    <cfRule type="cellIs" dxfId="836" priority="1344" operator="equal">
      <formula>"NÃO INICIADO"</formula>
    </cfRule>
  </conditionalFormatting>
  <conditionalFormatting sqref="D9:D40">
    <cfRule type="cellIs" dxfId="835" priority="1343" operator="equal">
      <formula>"FINALIZADO"</formula>
    </cfRule>
  </conditionalFormatting>
  <conditionalFormatting sqref="D9:D40">
    <cfRule type="cellIs" dxfId="834" priority="1342" operator="equal">
      <formula>"EM PROCESSO"</formula>
    </cfRule>
  </conditionalFormatting>
  <conditionalFormatting sqref="D9:D61">
    <cfRule type="cellIs" dxfId="833" priority="1341" operator="equal">
      <formula>"NÃO INICIADO"</formula>
    </cfRule>
  </conditionalFormatting>
  <conditionalFormatting sqref="D9:D61">
    <cfRule type="cellIs" dxfId="832" priority="1340" operator="equal">
      <formula>"FINALIZADO"</formula>
    </cfRule>
  </conditionalFormatting>
  <conditionalFormatting sqref="D9:D61">
    <cfRule type="cellIs" dxfId="831" priority="1339" operator="equal">
      <formula>"EM PROCESSO"</formula>
    </cfRule>
  </conditionalFormatting>
  <conditionalFormatting sqref="D9:D31">
    <cfRule type="cellIs" dxfId="830" priority="1338" operator="equal">
      <formula>"NÃO INICIADO"</formula>
    </cfRule>
  </conditionalFormatting>
  <conditionalFormatting sqref="D9:D31">
    <cfRule type="cellIs" dxfId="829" priority="1337" operator="equal">
      <formula>"FINALIZADO"</formula>
    </cfRule>
  </conditionalFormatting>
  <conditionalFormatting sqref="D9:D31">
    <cfRule type="cellIs" dxfId="828" priority="1336" operator="equal">
      <formula>"EM PROCESSO"</formula>
    </cfRule>
  </conditionalFormatting>
  <conditionalFormatting sqref="D9:D123">
    <cfRule type="cellIs" dxfId="827" priority="1335" operator="equal">
      <formula>"NÃO INICIADO"</formula>
    </cfRule>
  </conditionalFormatting>
  <conditionalFormatting sqref="D9:D123">
    <cfRule type="cellIs" dxfId="826" priority="1334" operator="equal">
      <formula>"FINALIZADO"</formula>
    </cfRule>
  </conditionalFormatting>
  <conditionalFormatting sqref="D9:D123">
    <cfRule type="cellIs" dxfId="825" priority="1333" operator="equal">
      <formula>"EM PROCESSO"</formula>
    </cfRule>
  </conditionalFormatting>
  <conditionalFormatting sqref="D9:D27">
    <cfRule type="cellIs" dxfId="824" priority="1332" operator="equal">
      <formula>"NÃO INICIADO"</formula>
    </cfRule>
  </conditionalFormatting>
  <conditionalFormatting sqref="D9:D27">
    <cfRule type="cellIs" dxfId="823" priority="1331" operator="equal">
      <formula>"FINALIZADO"</formula>
    </cfRule>
  </conditionalFormatting>
  <conditionalFormatting sqref="D9:D27">
    <cfRule type="cellIs" dxfId="822" priority="1330" operator="equal">
      <formula>"EM PROCESSO"</formula>
    </cfRule>
  </conditionalFormatting>
  <conditionalFormatting sqref="D9:D139">
    <cfRule type="cellIs" dxfId="821" priority="1329" operator="equal">
      <formula>"NÃO INICIADO"</formula>
    </cfRule>
  </conditionalFormatting>
  <conditionalFormatting sqref="D9:D139">
    <cfRule type="cellIs" dxfId="820" priority="1328" operator="equal">
      <formula>"FINALIZADO"</formula>
    </cfRule>
  </conditionalFormatting>
  <conditionalFormatting sqref="D9:D139">
    <cfRule type="cellIs" dxfId="819" priority="1327" operator="equal">
      <formula>"EM PROCESSO"</formula>
    </cfRule>
  </conditionalFormatting>
  <conditionalFormatting sqref="D9:D83">
    <cfRule type="cellIs" dxfId="818" priority="1326" operator="equal">
      <formula>"NÃO INICIADO"</formula>
    </cfRule>
  </conditionalFormatting>
  <conditionalFormatting sqref="D9:D83">
    <cfRule type="cellIs" dxfId="817" priority="1325" operator="equal">
      <formula>"FINALIZADO"</formula>
    </cfRule>
  </conditionalFormatting>
  <conditionalFormatting sqref="D9:D83">
    <cfRule type="cellIs" dxfId="816" priority="1324" operator="equal">
      <formula>"EM PROCESSO"</formula>
    </cfRule>
  </conditionalFormatting>
  <conditionalFormatting sqref="D9:D169">
    <cfRule type="cellIs" dxfId="815" priority="1323" operator="equal">
      <formula>"NÃO INICIADO"</formula>
    </cfRule>
  </conditionalFormatting>
  <conditionalFormatting sqref="D9:D169">
    <cfRule type="cellIs" dxfId="814" priority="1322" operator="equal">
      <formula>"FINALIZADO"</formula>
    </cfRule>
  </conditionalFormatting>
  <conditionalFormatting sqref="D9:D169">
    <cfRule type="cellIs" dxfId="813" priority="1321" operator="equal">
      <formula>"EM PROCESSO"</formula>
    </cfRule>
  </conditionalFormatting>
  <conditionalFormatting sqref="D9:D25">
    <cfRule type="cellIs" dxfId="812" priority="1320" operator="equal">
      <formula>"NÃO INICIADO"</formula>
    </cfRule>
  </conditionalFormatting>
  <conditionalFormatting sqref="D9:D25">
    <cfRule type="cellIs" dxfId="811" priority="1319" operator="equal">
      <formula>"FINALIZADO"</formula>
    </cfRule>
    <cfRule type="cellIs" dxfId="810" priority="372" operator="equal">
      <formula>"NÃO INICIADO"</formula>
    </cfRule>
    <cfRule type="cellIs" dxfId="809" priority="230" operator="equal">
      <formula>"FINALIZADO"</formula>
    </cfRule>
  </conditionalFormatting>
  <conditionalFormatting sqref="D9:D25">
    <cfRule type="cellIs" dxfId="808" priority="1318" operator="equal">
      <formula>"EM PROCESSO"</formula>
    </cfRule>
    <cfRule type="cellIs" dxfId="807" priority="229" operator="equal">
      <formula>"EM PROCESSO"</formula>
    </cfRule>
  </conditionalFormatting>
  <conditionalFormatting sqref="D9:D51">
    <cfRule type="cellIs" dxfId="806" priority="1302" operator="equal">
      <formula>"NÃO INICIADO"</formula>
    </cfRule>
  </conditionalFormatting>
  <conditionalFormatting sqref="D9:D51">
    <cfRule type="cellIs" dxfId="805" priority="1301" operator="equal">
      <formula>"FINALIZADO"</formula>
    </cfRule>
  </conditionalFormatting>
  <conditionalFormatting sqref="D9:D51">
    <cfRule type="cellIs" dxfId="804" priority="1300" operator="equal">
      <formula>"EM PROCESSO"</formula>
    </cfRule>
  </conditionalFormatting>
  <conditionalFormatting sqref="D9:D135">
    <cfRule type="cellIs" dxfId="803" priority="1293" operator="equal">
      <formula>"NÃO INICIADO"</formula>
    </cfRule>
  </conditionalFormatting>
  <conditionalFormatting sqref="D9:D135">
    <cfRule type="cellIs" dxfId="802" priority="1292" operator="equal">
      <formula>"FINALIZADO"</formula>
    </cfRule>
  </conditionalFormatting>
  <conditionalFormatting sqref="D9:D135">
    <cfRule type="cellIs" dxfId="801" priority="1291" operator="equal">
      <formula>"EM PROCESSO"</formula>
    </cfRule>
  </conditionalFormatting>
  <conditionalFormatting sqref="D9:D86">
    <cfRule type="cellIs" dxfId="800" priority="1290" operator="equal">
      <formula>"NÃO INICIADO"</formula>
    </cfRule>
  </conditionalFormatting>
  <conditionalFormatting sqref="D9:D86">
    <cfRule type="cellIs" dxfId="799" priority="1289" operator="equal">
      <formula>"FINALIZADO"</formula>
    </cfRule>
  </conditionalFormatting>
  <conditionalFormatting sqref="D9:D86">
    <cfRule type="cellIs" dxfId="798" priority="1288" operator="equal">
      <formula>"EM PROCESSO"</formula>
    </cfRule>
  </conditionalFormatting>
  <conditionalFormatting sqref="D9:D113">
    <cfRule type="cellIs" dxfId="797" priority="1287" operator="equal">
      <formula>"NÃO INICIADO"</formula>
    </cfRule>
  </conditionalFormatting>
  <conditionalFormatting sqref="D9:D113">
    <cfRule type="cellIs" dxfId="796" priority="1286" operator="equal">
      <formula>"FINALIZADO"</formula>
    </cfRule>
  </conditionalFormatting>
  <conditionalFormatting sqref="D9:D113">
    <cfRule type="cellIs" dxfId="795" priority="1285" operator="equal">
      <formula>"EM PROCESSO"</formula>
    </cfRule>
  </conditionalFormatting>
  <conditionalFormatting sqref="D9:D108">
    <cfRule type="cellIs" dxfId="794" priority="1284" operator="equal">
      <formula>"NÃO INICIADO"</formula>
    </cfRule>
  </conditionalFormatting>
  <conditionalFormatting sqref="D9:D108">
    <cfRule type="cellIs" dxfId="793" priority="1283" operator="equal">
      <formula>"FINALIZADO"</formula>
    </cfRule>
  </conditionalFormatting>
  <conditionalFormatting sqref="D9:D108">
    <cfRule type="cellIs" dxfId="792" priority="1282" operator="equal">
      <formula>"EM PROCESSO"</formula>
    </cfRule>
  </conditionalFormatting>
  <conditionalFormatting sqref="D9:D31">
    <cfRule type="cellIs" dxfId="791" priority="1281" operator="equal">
      <formula>"NÃO INICIADO"</formula>
    </cfRule>
  </conditionalFormatting>
  <conditionalFormatting sqref="D9:D31">
    <cfRule type="cellIs" dxfId="790" priority="1280" operator="equal">
      <formula>"FINALIZADO"</formula>
    </cfRule>
  </conditionalFormatting>
  <conditionalFormatting sqref="D9:D31">
    <cfRule type="cellIs" dxfId="789" priority="1279" operator="equal">
      <formula>"EM PROCESSO"</formula>
    </cfRule>
  </conditionalFormatting>
  <conditionalFormatting sqref="D9:D110">
    <cfRule type="cellIs" dxfId="788" priority="1269" operator="equal">
      <formula>"NÃO INICIADO"</formula>
    </cfRule>
  </conditionalFormatting>
  <conditionalFormatting sqref="D9:D110">
    <cfRule type="cellIs" dxfId="787" priority="1268" operator="equal">
      <formula>"FINALIZADO"</formula>
    </cfRule>
  </conditionalFormatting>
  <conditionalFormatting sqref="D9:D110">
    <cfRule type="cellIs" dxfId="786" priority="1267" operator="equal">
      <formula>"EM PROCESSO"</formula>
    </cfRule>
  </conditionalFormatting>
  <conditionalFormatting sqref="D9:D108">
    <cfRule type="cellIs" dxfId="785" priority="1266" operator="equal">
      <formula>"NÃO INICIADO"</formula>
    </cfRule>
  </conditionalFormatting>
  <conditionalFormatting sqref="D9:D108">
    <cfRule type="cellIs" dxfId="784" priority="1265" operator="equal">
      <formula>"FINALIZADO"</formula>
    </cfRule>
  </conditionalFormatting>
  <conditionalFormatting sqref="D9:D108">
    <cfRule type="cellIs" dxfId="783" priority="1264" operator="equal">
      <formula>"EM PROCESSO"</formula>
    </cfRule>
  </conditionalFormatting>
  <conditionalFormatting sqref="D9:D66">
    <cfRule type="cellIs" dxfId="782" priority="1263" operator="equal">
      <formula>"NÃO INICIADO"</formula>
    </cfRule>
    <cfRule type="cellIs" dxfId="781" priority="1259" operator="equal">
      <formula>"FINALIZADO"</formula>
    </cfRule>
  </conditionalFormatting>
  <conditionalFormatting sqref="D9:D66">
    <cfRule type="cellIs" dxfId="780" priority="1262" operator="equal">
      <formula>"FINALIZADO"</formula>
    </cfRule>
    <cfRule type="cellIs" dxfId="779" priority="1260" operator="equal">
      <formula>"NÃO INICIADO"</formula>
    </cfRule>
  </conditionalFormatting>
  <conditionalFormatting sqref="D9:D66">
    <cfRule type="cellIs" dxfId="778" priority="1261" operator="equal">
      <formula>"EM PROCESSO"</formula>
    </cfRule>
  </conditionalFormatting>
  <conditionalFormatting sqref="D9:D66">
    <cfRule type="cellIs" dxfId="777" priority="1258" operator="equal">
      <formula>"EM PROCESSO"</formula>
    </cfRule>
  </conditionalFormatting>
  <conditionalFormatting sqref="D9:D124">
    <cfRule type="cellIs" dxfId="776" priority="1257" operator="equal">
      <formula>"NÃO INICIADO"</formula>
    </cfRule>
  </conditionalFormatting>
  <conditionalFormatting sqref="D9:D124">
    <cfRule type="cellIs" dxfId="775" priority="1256" operator="equal">
      <formula>"FINALIZADO"</formula>
    </cfRule>
  </conditionalFormatting>
  <conditionalFormatting sqref="D9:D124">
    <cfRule type="cellIs" dxfId="774" priority="1255" operator="equal">
      <formula>"EM PROCESSO"</formula>
    </cfRule>
  </conditionalFormatting>
  <conditionalFormatting sqref="D9:D126">
    <cfRule type="cellIs" dxfId="773" priority="1254" operator="equal">
      <formula>"NÃO INICIADO"</formula>
    </cfRule>
  </conditionalFormatting>
  <conditionalFormatting sqref="D9:D126">
    <cfRule type="cellIs" dxfId="772" priority="1253" operator="equal">
      <formula>"FINALIZADO"</formula>
    </cfRule>
  </conditionalFormatting>
  <conditionalFormatting sqref="D9:D126">
    <cfRule type="cellIs" dxfId="771" priority="1252" operator="equal">
      <formula>"EM PROCESSO"</formula>
    </cfRule>
  </conditionalFormatting>
  <conditionalFormatting sqref="D9:D21">
    <cfRule type="cellIs" dxfId="770" priority="1245" operator="equal">
      <formula>"NÃO INICIADO"</formula>
    </cfRule>
  </conditionalFormatting>
  <conditionalFormatting sqref="D9:D21">
    <cfRule type="cellIs" dxfId="769" priority="1244" operator="equal">
      <formula>"FINALIZADO"</formula>
    </cfRule>
  </conditionalFormatting>
  <conditionalFormatting sqref="D9:D21">
    <cfRule type="cellIs" dxfId="768" priority="1243" operator="equal">
      <formula>"EM PROCESSO"</formula>
    </cfRule>
  </conditionalFormatting>
  <conditionalFormatting sqref="D9:D17">
    <cfRule type="cellIs" dxfId="767" priority="1241" operator="equal">
      <formula>"FINALIZADO"</formula>
    </cfRule>
  </conditionalFormatting>
  <conditionalFormatting sqref="D9:D17">
    <cfRule type="cellIs" dxfId="766" priority="1240" operator="equal">
      <formula>"EM PROCESSO"</formula>
    </cfRule>
  </conditionalFormatting>
  <conditionalFormatting sqref="D9:D43">
    <cfRule type="cellIs" dxfId="765" priority="1239" operator="equal">
      <formula>"NÃO INICIADO"</formula>
    </cfRule>
  </conditionalFormatting>
  <conditionalFormatting sqref="D9:D43">
    <cfRule type="cellIs" dxfId="764" priority="1238" operator="equal">
      <formula>"FINALIZADO"</formula>
    </cfRule>
  </conditionalFormatting>
  <conditionalFormatting sqref="D9:D43">
    <cfRule type="cellIs" dxfId="763" priority="1237" operator="equal">
      <formula>"EM PROCESSO"</formula>
    </cfRule>
  </conditionalFormatting>
  <conditionalFormatting sqref="D9:D333">
    <cfRule type="cellIs" dxfId="762" priority="1236" operator="equal">
      <formula>"NÃO INICIADO"</formula>
    </cfRule>
  </conditionalFormatting>
  <conditionalFormatting sqref="D9:D333">
    <cfRule type="cellIs" dxfId="761" priority="1235" operator="equal">
      <formula>"FINALIZADO"</formula>
    </cfRule>
  </conditionalFormatting>
  <conditionalFormatting sqref="D9:D333">
    <cfRule type="cellIs" dxfId="760" priority="1234" operator="equal">
      <formula>"EM PROCESSO"</formula>
    </cfRule>
  </conditionalFormatting>
  <conditionalFormatting sqref="D9:D65">
    <cfRule type="cellIs" dxfId="759" priority="1233" operator="equal">
      <formula>"NÃO INICIADO"</formula>
    </cfRule>
  </conditionalFormatting>
  <conditionalFormatting sqref="D9:D65">
    <cfRule type="cellIs" dxfId="758" priority="1232" operator="equal">
      <formula>"FINALIZADO"</formula>
    </cfRule>
  </conditionalFormatting>
  <conditionalFormatting sqref="D9:D65">
    <cfRule type="cellIs" dxfId="757" priority="1231" operator="equal">
      <formula>"EM PROCESSO"</formula>
    </cfRule>
  </conditionalFormatting>
  <conditionalFormatting sqref="D9:D124">
    <cfRule type="cellIs" dxfId="756" priority="1230" operator="equal">
      <formula>"NÃO INICIADO"</formula>
    </cfRule>
  </conditionalFormatting>
  <conditionalFormatting sqref="D9:D124">
    <cfRule type="cellIs" dxfId="755" priority="1229" operator="equal">
      <formula>"FINALIZADO"</formula>
    </cfRule>
  </conditionalFormatting>
  <conditionalFormatting sqref="D9:D124">
    <cfRule type="cellIs" dxfId="754" priority="1228" operator="equal">
      <formula>"EM PROCESSO"</formula>
    </cfRule>
  </conditionalFormatting>
  <conditionalFormatting sqref="D9:D126">
    <cfRule type="cellIs" dxfId="753" priority="1227" operator="equal">
      <formula>"NÃO INICIADO"</formula>
    </cfRule>
  </conditionalFormatting>
  <conditionalFormatting sqref="D9:D126">
    <cfRule type="cellIs" dxfId="752" priority="1226" operator="equal">
      <formula>"FINALIZADO"</formula>
    </cfRule>
  </conditionalFormatting>
  <conditionalFormatting sqref="D9:D126">
    <cfRule type="cellIs" dxfId="751" priority="1225" operator="equal">
      <formula>"EM PROCESSO"</formula>
    </cfRule>
  </conditionalFormatting>
  <conditionalFormatting sqref="D9:D21">
    <cfRule type="cellIs" dxfId="750" priority="1224" operator="equal">
      <formula>"NÃO INICIADO"</formula>
    </cfRule>
  </conditionalFormatting>
  <conditionalFormatting sqref="D9:D21">
    <cfRule type="cellIs" dxfId="749" priority="1223" operator="equal">
      <formula>"FINALIZADO"</formula>
    </cfRule>
  </conditionalFormatting>
  <conditionalFormatting sqref="D9:D21">
    <cfRule type="cellIs" dxfId="748" priority="1222" operator="equal">
      <formula>"EM PROCESSO"</formula>
    </cfRule>
  </conditionalFormatting>
  <conditionalFormatting sqref="D9:D95">
    <cfRule type="cellIs" dxfId="747" priority="1221" operator="equal">
      <formula>"NÃO INICIADO"</formula>
    </cfRule>
  </conditionalFormatting>
  <conditionalFormatting sqref="D9:D95">
    <cfRule type="cellIs" dxfId="746" priority="1220" operator="equal">
      <formula>"FINALIZADO"</formula>
    </cfRule>
  </conditionalFormatting>
  <conditionalFormatting sqref="D9:D95">
    <cfRule type="cellIs" dxfId="745" priority="1219" operator="equal">
      <formula>"EM PROCESSO"</formula>
    </cfRule>
  </conditionalFormatting>
  <conditionalFormatting sqref="D9:D43">
    <cfRule type="cellIs" dxfId="744" priority="1218" operator="equal">
      <formula>"NÃO INICIADO"</formula>
    </cfRule>
  </conditionalFormatting>
  <conditionalFormatting sqref="D9:D43">
    <cfRule type="cellIs" dxfId="743" priority="1217" operator="equal">
      <formula>"FINALIZADO"</formula>
    </cfRule>
  </conditionalFormatting>
  <conditionalFormatting sqref="D9:D43">
    <cfRule type="cellIs" dxfId="742" priority="1216" operator="equal">
      <formula>"EM PROCESSO"</formula>
    </cfRule>
  </conditionalFormatting>
  <conditionalFormatting sqref="D9:D132">
    <cfRule type="cellIs" dxfId="741" priority="1215" operator="equal">
      <formula>"NÃO INICIADO"</formula>
    </cfRule>
  </conditionalFormatting>
  <conditionalFormatting sqref="D9:D132">
    <cfRule type="cellIs" dxfId="740" priority="1214" operator="equal">
      <formula>"FINALIZADO"</formula>
    </cfRule>
  </conditionalFormatting>
  <conditionalFormatting sqref="D9:D132">
    <cfRule type="cellIs" dxfId="739" priority="1213" operator="equal">
      <formula>"EM PROCESSO"</formula>
    </cfRule>
  </conditionalFormatting>
  <conditionalFormatting sqref="D9:D216">
    <cfRule type="cellIs" dxfId="738" priority="1209" operator="equal">
      <formula>"NÃO INICIADO"</formula>
    </cfRule>
  </conditionalFormatting>
  <conditionalFormatting sqref="D9:D216">
    <cfRule type="cellIs" dxfId="737" priority="1208" operator="equal">
      <formula>"FINALIZADO"</formula>
    </cfRule>
  </conditionalFormatting>
  <conditionalFormatting sqref="D9:D216">
    <cfRule type="cellIs" dxfId="736" priority="1207" operator="equal">
      <formula>"EM PROCESSO"</formula>
    </cfRule>
  </conditionalFormatting>
  <conditionalFormatting sqref="D9:D225">
    <cfRule type="cellIs" dxfId="735" priority="1206" operator="equal">
      <formula>"NÃO INICIADO"</formula>
    </cfRule>
  </conditionalFormatting>
  <conditionalFormatting sqref="D9:D225">
    <cfRule type="cellIs" dxfId="734" priority="1205" operator="equal">
      <formula>"FINALIZADO"</formula>
    </cfRule>
  </conditionalFormatting>
  <conditionalFormatting sqref="D9:D225">
    <cfRule type="cellIs" dxfId="733" priority="1204" operator="equal">
      <formula>"EM PROCESSO"</formula>
    </cfRule>
  </conditionalFormatting>
  <conditionalFormatting sqref="D9:D39">
    <cfRule type="cellIs" dxfId="732" priority="1188" operator="equal">
      <formula>"NÃO INICIADO"</formula>
    </cfRule>
  </conditionalFormatting>
  <conditionalFormatting sqref="D9:D39">
    <cfRule type="cellIs" dxfId="731" priority="1187" operator="equal">
      <formula>"FINALIZADO"</formula>
    </cfRule>
  </conditionalFormatting>
  <conditionalFormatting sqref="D9:D39">
    <cfRule type="cellIs" dxfId="730" priority="1186" operator="equal">
      <formula>"EM PROCESSO"</formula>
    </cfRule>
  </conditionalFormatting>
  <conditionalFormatting sqref="D9:D116">
    <cfRule type="cellIs" dxfId="729" priority="1185" operator="equal">
      <formula>"NÃO INICIADO"</formula>
    </cfRule>
  </conditionalFormatting>
  <conditionalFormatting sqref="D9:D116">
    <cfRule type="cellIs" dxfId="728" priority="1184" operator="equal">
      <formula>"FINALIZADO"</formula>
    </cfRule>
  </conditionalFormatting>
  <conditionalFormatting sqref="D9:D116">
    <cfRule type="cellIs" dxfId="727" priority="1183" operator="equal">
      <formula>"EM PROCESSO"</formula>
    </cfRule>
  </conditionalFormatting>
  <conditionalFormatting sqref="D9:D39">
    <cfRule type="cellIs" dxfId="726" priority="1182" operator="equal">
      <formula>"NÃO INICIADO"</formula>
    </cfRule>
    <cfRule type="cellIs" dxfId="725" priority="219" operator="equal">
      <formula>"NÃO INICIADO"</formula>
    </cfRule>
    <cfRule type="cellIs" dxfId="724" priority="217" operator="equal">
      <formula>"EM PROCESSO"</formula>
    </cfRule>
  </conditionalFormatting>
  <conditionalFormatting sqref="D9:D39">
    <cfRule type="cellIs" dxfId="723" priority="1181" operator="equal">
      <formula>"FINALIZADO"</formula>
    </cfRule>
  </conditionalFormatting>
  <conditionalFormatting sqref="D9:D39">
    <cfRule type="cellIs" dxfId="722" priority="1180" operator="equal">
      <formula>"EM PROCESSO"</formula>
    </cfRule>
  </conditionalFormatting>
  <conditionalFormatting sqref="D9:D112">
    <cfRule type="cellIs" dxfId="721" priority="1179" operator="equal">
      <formula>"NÃO INICIADO"</formula>
    </cfRule>
  </conditionalFormatting>
  <conditionalFormatting sqref="D9:D112">
    <cfRule type="cellIs" dxfId="720" priority="1178" operator="equal">
      <formula>"FINALIZADO"</formula>
    </cfRule>
  </conditionalFormatting>
  <conditionalFormatting sqref="D9:D112">
    <cfRule type="cellIs" dxfId="719" priority="1177" operator="equal">
      <formula>"EM PROCESSO"</formula>
    </cfRule>
  </conditionalFormatting>
  <conditionalFormatting sqref="D9:D25">
    <cfRule type="cellIs" dxfId="718" priority="1176" operator="equal">
      <formula>"NÃO INICIADO"</formula>
    </cfRule>
  </conditionalFormatting>
  <conditionalFormatting sqref="D9:D25">
    <cfRule type="cellIs" dxfId="717" priority="1175" operator="equal">
      <formula>"FINALIZADO"</formula>
    </cfRule>
  </conditionalFormatting>
  <conditionalFormatting sqref="D9:D25">
    <cfRule type="cellIs" dxfId="716" priority="1174" operator="equal">
      <formula>"EM PROCESSO"</formula>
    </cfRule>
  </conditionalFormatting>
  <conditionalFormatting sqref="D9:D139">
    <cfRule type="cellIs" dxfId="715" priority="1173" operator="equal">
      <formula>"NÃO INICIADO"</formula>
    </cfRule>
  </conditionalFormatting>
  <conditionalFormatting sqref="D9:D139">
    <cfRule type="cellIs" dxfId="714" priority="1172" operator="equal">
      <formula>"FINALIZADO"</formula>
    </cfRule>
  </conditionalFormatting>
  <conditionalFormatting sqref="D9:D139">
    <cfRule type="cellIs" dxfId="713" priority="1171" operator="equal">
      <formula>"EM PROCESSO"</formula>
    </cfRule>
  </conditionalFormatting>
  <conditionalFormatting sqref="D9:D121">
    <cfRule type="cellIs" dxfId="712" priority="1170" operator="equal">
      <formula>"NÃO INICIADO"</formula>
    </cfRule>
  </conditionalFormatting>
  <conditionalFormatting sqref="D9:D121">
    <cfRule type="cellIs" dxfId="711" priority="1169" operator="equal">
      <formula>"FINALIZADO"</formula>
    </cfRule>
  </conditionalFormatting>
  <conditionalFormatting sqref="D9:D121">
    <cfRule type="cellIs" dxfId="710" priority="1168" operator="equal">
      <formula>"EM PROCESSO"</formula>
    </cfRule>
  </conditionalFormatting>
  <conditionalFormatting sqref="D9:D108">
    <cfRule type="cellIs" dxfId="709" priority="1167" operator="equal">
      <formula>"NÃO INICIADO"</formula>
    </cfRule>
  </conditionalFormatting>
  <conditionalFormatting sqref="D9:D108">
    <cfRule type="cellIs" dxfId="708" priority="1166" operator="equal">
      <formula>"FINALIZADO"</formula>
    </cfRule>
  </conditionalFormatting>
  <conditionalFormatting sqref="D9:D108">
    <cfRule type="cellIs" dxfId="707" priority="1165" operator="equal">
      <formula>"EM PROCESSO"</formula>
    </cfRule>
  </conditionalFormatting>
  <conditionalFormatting sqref="D9:D21">
    <cfRule type="cellIs" dxfId="706" priority="1149" operator="equal">
      <formula>"NÃO INICIADO"</formula>
    </cfRule>
  </conditionalFormatting>
  <conditionalFormatting sqref="D9:D21">
    <cfRule type="cellIs" dxfId="705" priority="1148" operator="equal">
      <formula>"FINALIZADO"</formula>
    </cfRule>
  </conditionalFormatting>
  <conditionalFormatting sqref="D9:D21">
    <cfRule type="cellIs" dxfId="704" priority="1147" operator="equal">
      <formula>"EM PROCESSO"</formula>
    </cfRule>
  </conditionalFormatting>
  <conditionalFormatting sqref="D9:D38">
    <cfRule type="cellIs" dxfId="703" priority="1143" operator="equal">
      <formula>"NÃO INICIADO"</formula>
    </cfRule>
  </conditionalFormatting>
  <conditionalFormatting sqref="D9:D38">
    <cfRule type="cellIs" dxfId="702" priority="1142" operator="equal">
      <formula>"FINALIZADO"</formula>
    </cfRule>
  </conditionalFormatting>
  <conditionalFormatting sqref="D9:D38">
    <cfRule type="cellIs" dxfId="701" priority="1141" operator="equal">
      <formula>"EM PROCESSO"</formula>
    </cfRule>
  </conditionalFormatting>
  <conditionalFormatting sqref="D9:D54">
    <cfRule type="cellIs" dxfId="700" priority="1140" operator="equal">
      <formula>"NÃO INICIADO"</formula>
    </cfRule>
  </conditionalFormatting>
  <conditionalFormatting sqref="D9:D54">
    <cfRule type="cellIs" dxfId="699" priority="1139" operator="equal">
      <formula>"FINALIZADO"</formula>
    </cfRule>
  </conditionalFormatting>
  <conditionalFormatting sqref="D9:D54">
    <cfRule type="cellIs" dxfId="698" priority="1138" operator="equal">
      <formula>"EM PROCESSO"</formula>
    </cfRule>
  </conditionalFormatting>
  <conditionalFormatting sqref="D9:D56">
    <cfRule type="cellIs" dxfId="697" priority="1137" operator="equal">
      <formula>"NÃO INICIADO"</formula>
    </cfRule>
  </conditionalFormatting>
  <conditionalFormatting sqref="D9:D56">
    <cfRule type="cellIs" dxfId="696" priority="1136" operator="equal">
      <formula>"FINALIZADO"</formula>
    </cfRule>
  </conditionalFormatting>
  <conditionalFormatting sqref="D9:D56">
    <cfRule type="cellIs" dxfId="695" priority="1135" operator="equal">
      <formula>"EM PROCESSO"</formula>
    </cfRule>
  </conditionalFormatting>
  <conditionalFormatting sqref="D9:D120">
    <cfRule type="cellIs" dxfId="694" priority="1134" operator="equal">
      <formula>"NÃO INICIADO"</formula>
    </cfRule>
  </conditionalFormatting>
  <conditionalFormatting sqref="D9:D120">
    <cfRule type="cellIs" dxfId="693" priority="1133" operator="equal">
      <formula>"FINALIZADO"</formula>
    </cfRule>
  </conditionalFormatting>
  <conditionalFormatting sqref="D9:D120">
    <cfRule type="cellIs" dxfId="692" priority="1132" operator="equal">
      <formula>"EM PROCESSO"</formula>
    </cfRule>
  </conditionalFormatting>
  <conditionalFormatting sqref="D9:D108">
    <cfRule type="cellIs" dxfId="691" priority="1131" operator="equal">
      <formula>"NÃO INICIADO"</formula>
    </cfRule>
  </conditionalFormatting>
  <conditionalFormatting sqref="D9:D108">
    <cfRule type="cellIs" dxfId="690" priority="1130" operator="equal">
      <formula>"FINALIZADO"</formula>
    </cfRule>
  </conditionalFormatting>
  <conditionalFormatting sqref="D9:D108">
    <cfRule type="cellIs" dxfId="689" priority="1129" operator="equal">
      <formula>"EM PROCESSO"</formula>
    </cfRule>
  </conditionalFormatting>
  <conditionalFormatting sqref="D9:D114">
    <cfRule type="cellIs" dxfId="688" priority="1128" operator="equal">
      <formula>"NÃO INICIADO"</formula>
    </cfRule>
  </conditionalFormatting>
  <conditionalFormatting sqref="D9:D114">
    <cfRule type="cellIs" dxfId="687" priority="1127" operator="equal">
      <formula>"FINALIZADO"</formula>
    </cfRule>
  </conditionalFormatting>
  <conditionalFormatting sqref="D9:D114">
    <cfRule type="cellIs" dxfId="686" priority="1126" operator="equal">
      <formula>"EM PROCESSO"</formula>
    </cfRule>
  </conditionalFormatting>
  <conditionalFormatting sqref="D9:D94">
    <cfRule type="cellIs" dxfId="685" priority="1125" operator="equal">
      <formula>"NÃO INICIADO"</formula>
    </cfRule>
  </conditionalFormatting>
  <conditionalFormatting sqref="D9:D94">
    <cfRule type="cellIs" dxfId="684" priority="1124" operator="equal">
      <formula>"FINALIZADO"</formula>
    </cfRule>
  </conditionalFormatting>
  <conditionalFormatting sqref="D9:D94">
    <cfRule type="cellIs" dxfId="683" priority="1123" operator="equal">
      <formula>"EM PROCESSO"</formula>
    </cfRule>
  </conditionalFormatting>
  <conditionalFormatting sqref="D9:D48">
    <cfRule type="cellIs" dxfId="682" priority="1104" operator="equal">
      <formula>"NÃO INICIADO"</formula>
    </cfRule>
  </conditionalFormatting>
  <conditionalFormatting sqref="D9:D48">
    <cfRule type="cellIs" dxfId="681" priority="1103" operator="equal">
      <formula>"FINALIZADO"</formula>
    </cfRule>
  </conditionalFormatting>
  <conditionalFormatting sqref="D9:D48">
    <cfRule type="cellIs" dxfId="680" priority="1102" operator="equal">
      <formula>"EM PROCESSO"</formula>
    </cfRule>
  </conditionalFormatting>
  <conditionalFormatting sqref="D9:D34">
    <cfRule type="cellIs" dxfId="679" priority="1101" operator="equal">
      <formula>"NÃO INICIADO"</formula>
    </cfRule>
  </conditionalFormatting>
  <conditionalFormatting sqref="D9:D34">
    <cfRule type="cellIs" dxfId="678" priority="1100" operator="equal">
      <formula>"FINALIZADO"</formula>
    </cfRule>
  </conditionalFormatting>
  <conditionalFormatting sqref="D9:D34">
    <cfRule type="cellIs" dxfId="677" priority="1099" operator="equal">
      <formula>"EM PROCESSO"</formula>
    </cfRule>
  </conditionalFormatting>
  <conditionalFormatting sqref="D9:D54">
    <cfRule type="cellIs" dxfId="676" priority="1098" operator="equal">
      <formula>"NÃO INICIADO"</formula>
    </cfRule>
  </conditionalFormatting>
  <conditionalFormatting sqref="D9:D54">
    <cfRule type="cellIs" dxfId="675" priority="1097" operator="equal">
      <formula>"FINALIZADO"</formula>
    </cfRule>
  </conditionalFormatting>
  <conditionalFormatting sqref="D9:D54">
    <cfRule type="cellIs" dxfId="674" priority="1096" operator="equal">
      <formula>"EM PROCESSO"</formula>
    </cfRule>
  </conditionalFormatting>
  <conditionalFormatting sqref="D9:D135">
    <cfRule type="cellIs" dxfId="673" priority="1095" operator="equal">
      <formula>"NÃO INICIADO"</formula>
    </cfRule>
  </conditionalFormatting>
  <conditionalFormatting sqref="D9:D135">
    <cfRule type="cellIs" dxfId="672" priority="1094" operator="equal">
      <formula>"FINALIZADO"</formula>
    </cfRule>
  </conditionalFormatting>
  <conditionalFormatting sqref="D9:D135">
    <cfRule type="cellIs" dxfId="671" priority="1093" operator="equal">
      <formula>"EM PROCESSO"</formula>
    </cfRule>
  </conditionalFormatting>
  <conditionalFormatting sqref="D9:D104">
    <cfRule type="cellIs" dxfId="670" priority="1092" operator="equal">
      <formula>"NÃO INICIADO"</formula>
    </cfRule>
  </conditionalFormatting>
  <conditionalFormatting sqref="D9:D104">
    <cfRule type="cellIs" dxfId="669" priority="1091" operator="equal">
      <formula>"FINALIZADO"</formula>
    </cfRule>
  </conditionalFormatting>
  <conditionalFormatting sqref="D9:D104">
    <cfRule type="cellIs" dxfId="668" priority="1090" operator="equal">
      <formula>"EM PROCESSO"</formula>
    </cfRule>
  </conditionalFormatting>
  <conditionalFormatting sqref="D9:D108">
    <cfRule type="cellIs" dxfId="667" priority="1086" operator="equal">
      <formula>"NÃO INICIADO"</formula>
    </cfRule>
  </conditionalFormatting>
  <conditionalFormatting sqref="D9:D108">
    <cfRule type="cellIs" dxfId="666" priority="1085" operator="equal">
      <formula>"FINALIZADO"</formula>
    </cfRule>
  </conditionalFormatting>
  <conditionalFormatting sqref="D9:D108">
    <cfRule type="cellIs" dxfId="665" priority="1084" operator="equal">
      <formula>"EM PROCESSO"</formula>
    </cfRule>
  </conditionalFormatting>
  <conditionalFormatting sqref="D9:D92">
    <cfRule type="cellIs" dxfId="664" priority="1083" operator="equal">
      <formula>"NÃO INICIADO"</formula>
    </cfRule>
  </conditionalFormatting>
  <conditionalFormatting sqref="D9:D92">
    <cfRule type="cellIs" dxfId="663" priority="1082" operator="equal">
      <formula>"FINALIZADO"</formula>
    </cfRule>
  </conditionalFormatting>
  <conditionalFormatting sqref="D9:D92">
    <cfRule type="cellIs" dxfId="662" priority="1081" operator="equal">
      <formula>"EM PROCESSO"</formula>
    </cfRule>
  </conditionalFormatting>
  <conditionalFormatting sqref="D9:D35">
    <cfRule type="cellIs" dxfId="661" priority="1062" operator="equal">
      <formula>"NÃO INICIADO"</formula>
    </cfRule>
  </conditionalFormatting>
  <conditionalFormatting sqref="D9:D35">
    <cfRule type="cellIs" dxfId="660" priority="1061" operator="equal">
      <formula>"FINALIZADO"</formula>
    </cfRule>
  </conditionalFormatting>
  <conditionalFormatting sqref="D9:D35">
    <cfRule type="cellIs" dxfId="659" priority="1060" operator="equal">
      <formula>"EM PROCESSO"</formula>
    </cfRule>
  </conditionalFormatting>
  <conditionalFormatting sqref="D9:D179">
    <cfRule type="cellIs" dxfId="658" priority="1059" operator="equal">
      <formula>"NÃO INICIADO"</formula>
    </cfRule>
  </conditionalFormatting>
  <conditionalFormatting sqref="D9:D179">
    <cfRule type="cellIs" dxfId="657" priority="1058" operator="equal">
      <formula>"FINALIZADO"</formula>
    </cfRule>
  </conditionalFormatting>
  <conditionalFormatting sqref="D9:D179">
    <cfRule type="cellIs" dxfId="656" priority="1057" operator="equal">
      <formula>"EM PROCESSO"</formula>
    </cfRule>
  </conditionalFormatting>
  <conditionalFormatting sqref="D9:D99">
    <cfRule type="cellIs" dxfId="655" priority="1056" operator="equal">
      <formula>"NÃO INICIADO"</formula>
    </cfRule>
  </conditionalFormatting>
  <conditionalFormatting sqref="D9:D99">
    <cfRule type="cellIs" dxfId="654" priority="1055" operator="equal">
      <formula>"FINALIZADO"</formula>
    </cfRule>
  </conditionalFormatting>
  <conditionalFormatting sqref="D9:D99">
    <cfRule type="cellIs" dxfId="653" priority="1054" operator="equal">
      <formula>"EM PROCESSO"</formula>
    </cfRule>
  </conditionalFormatting>
  <conditionalFormatting sqref="D9:D460">
    <cfRule type="cellIs" dxfId="652" priority="1053" operator="equal">
      <formula>"NÃO INICIADO"</formula>
    </cfRule>
    <cfRule type="cellIs" dxfId="651" priority="1052" operator="equal">
      <formula>"FINALIZADO"</formula>
    </cfRule>
    <cfRule type="cellIs" dxfId="650" priority="1051" operator="equal">
      <formula>"EM PROCESSO"</formula>
    </cfRule>
  </conditionalFormatting>
  <conditionalFormatting sqref="D9:D89">
    <cfRule type="cellIs" dxfId="649" priority="1050" operator="equal">
      <formula>"NÃO INICIADO"</formula>
    </cfRule>
  </conditionalFormatting>
  <conditionalFormatting sqref="D9:D89">
    <cfRule type="cellIs" dxfId="648" priority="1049" operator="equal">
      <formula>"FINALIZADO"</formula>
    </cfRule>
  </conditionalFormatting>
  <conditionalFormatting sqref="D9:D89">
    <cfRule type="cellIs" dxfId="647" priority="1048" operator="equal">
      <formula>"EM PROCESSO"</formula>
    </cfRule>
  </conditionalFormatting>
  <conditionalFormatting sqref="D9:D82">
    <cfRule type="cellIs" dxfId="646" priority="1047" operator="equal">
      <formula>"NÃO INICIADO"</formula>
    </cfRule>
  </conditionalFormatting>
  <conditionalFormatting sqref="D9:D82">
    <cfRule type="cellIs" dxfId="645" priority="1046" operator="equal">
      <formula>"FINALIZADO"</formula>
    </cfRule>
  </conditionalFormatting>
  <conditionalFormatting sqref="D9:D82">
    <cfRule type="cellIs" dxfId="644" priority="1045" operator="equal">
      <formula>"EM PROCESSO"</formula>
    </cfRule>
  </conditionalFormatting>
  <conditionalFormatting sqref="D9:D105">
    <cfRule type="cellIs" dxfId="643" priority="1044" operator="equal">
      <formula>"NÃO INICIADO"</formula>
    </cfRule>
  </conditionalFormatting>
  <conditionalFormatting sqref="D9:D105">
    <cfRule type="cellIs" dxfId="642" priority="1043" operator="equal">
      <formula>"FINALIZADO"</formula>
    </cfRule>
  </conditionalFormatting>
  <conditionalFormatting sqref="D9:D105">
    <cfRule type="cellIs" dxfId="641" priority="1042" operator="equal">
      <formula>"EM PROCESSO"</formula>
    </cfRule>
  </conditionalFormatting>
  <conditionalFormatting sqref="D9:D348">
    <cfRule type="cellIs" dxfId="640" priority="1041" operator="equal">
      <formula>"NÃO INICIADO"</formula>
    </cfRule>
  </conditionalFormatting>
  <conditionalFormatting sqref="D9:D348">
    <cfRule type="cellIs" dxfId="639" priority="1040" operator="equal">
      <formula>"FINALIZADO"</formula>
    </cfRule>
  </conditionalFormatting>
  <conditionalFormatting sqref="D9:D348">
    <cfRule type="cellIs" dxfId="638" priority="1039" operator="equal">
      <formula>"EM PROCESSO"</formula>
    </cfRule>
  </conditionalFormatting>
  <conditionalFormatting sqref="D9:D343">
    <cfRule type="cellIs" dxfId="637" priority="1038" operator="equal">
      <formula>"NÃO INICIADO"</formula>
    </cfRule>
  </conditionalFormatting>
  <conditionalFormatting sqref="D9:D343">
    <cfRule type="cellIs" dxfId="636" priority="1037" operator="equal">
      <formula>"FINALIZADO"</formula>
    </cfRule>
  </conditionalFormatting>
  <conditionalFormatting sqref="D9:D343">
    <cfRule type="cellIs" dxfId="635" priority="1036" operator="equal">
      <formula>"EM PROCESSO"</formula>
    </cfRule>
  </conditionalFormatting>
  <conditionalFormatting sqref="D9:D297">
    <cfRule type="cellIs" dxfId="634" priority="1035" operator="equal">
      <formula>"NÃO INICIADO"</formula>
    </cfRule>
  </conditionalFormatting>
  <conditionalFormatting sqref="D9:D297">
    <cfRule type="cellIs" dxfId="633" priority="1034" operator="equal">
      <formula>"FINALIZADO"</formula>
    </cfRule>
  </conditionalFormatting>
  <conditionalFormatting sqref="D9:D297">
    <cfRule type="cellIs" dxfId="632" priority="1033" operator="equal">
      <formula>"EM PROCESSO"</formula>
    </cfRule>
  </conditionalFormatting>
  <conditionalFormatting sqref="D9:D27">
    <cfRule type="cellIs" dxfId="631" priority="1026" operator="equal">
      <formula>"NÃO INICIADO"</formula>
    </cfRule>
  </conditionalFormatting>
  <conditionalFormatting sqref="D9:D27">
    <cfRule type="cellIs" dxfId="630" priority="1025" operator="equal">
      <formula>"FINALIZADO"</formula>
    </cfRule>
  </conditionalFormatting>
  <conditionalFormatting sqref="D9:D27">
    <cfRule type="cellIs" dxfId="629" priority="1024" operator="equal">
      <formula>"EM PROCESSO"</formula>
    </cfRule>
  </conditionalFormatting>
  <conditionalFormatting sqref="D9:D56">
    <cfRule type="cellIs" dxfId="628" priority="1020" operator="equal">
      <formula>"NÃO INICIADO"</formula>
    </cfRule>
  </conditionalFormatting>
  <conditionalFormatting sqref="D9:D56">
    <cfRule type="cellIs" dxfId="627" priority="1019" operator="equal">
      <formula>"FINALIZADO"</formula>
    </cfRule>
  </conditionalFormatting>
  <conditionalFormatting sqref="D9:D56">
    <cfRule type="cellIs" dxfId="626" priority="1018" operator="equal">
      <formula>"EM PROCESSO"</formula>
    </cfRule>
  </conditionalFormatting>
  <conditionalFormatting sqref="D9:D48">
    <cfRule type="cellIs" dxfId="625" priority="1017" operator="equal">
      <formula>"NÃO INICIADO"</formula>
    </cfRule>
  </conditionalFormatting>
  <conditionalFormatting sqref="D9:D48">
    <cfRule type="cellIs" dxfId="624" priority="1016" operator="equal">
      <formula>"FINALIZADO"</formula>
    </cfRule>
  </conditionalFormatting>
  <conditionalFormatting sqref="D9:D48">
    <cfRule type="cellIs" dxfId="623" priority="1015" operator="equal">
      <formula>"EM PROCESSO"</formula>
    </cfRule>
  </conditionalFormatting>
  <conditionalFormatting sqref="D9:D133">
    <cfRule type="cellIs" dxfId="622" priority="1014" operator="equal">
      <formula>"NÃO INICIADO"</formula>
    </cfRule>
  </conditionalFormatting>
  <conditionalFormatting sqref="D9:D133">
    <cfRule type="cellIs" dxfId="621" priority="1013" operator="equal">
      <formula>"FINALIZADO"</formula>
    </cfRule>
  </conditionalFormatting>
  <conditionalFormatting sqref="D9:D133">
    <cfRule type="cellIs" dxfId="620" priority="1012" operator="equal">
      <formula>"EM PROCESSO"</formula>
    </cfRule>
  </conditionalFormatting>
  <conditionalFormatting sqref="D9:D103">
    <cfRule type="cellIs" dxfId="619" priority="1011" operator="equal">
      <formula>"NÃO INICIADO"</formula>
    </cfRule>
  </conditionalFormatting>
  <conditionalFormatting sqref="D9:D103">
    <cfRule type="cellIs" dxfId="618" priority="1010" operator="equal">
      <formula>"FINALIZADO"</formula>
    </cfRule>
  </conditionalFormatting>
  <conditionalFormatting sqref="D9:D103">
    <cfRule type="cellIs" dxfId="617" priority="1009" operator="equal">
      <formula>"EM PROCESSO"</formula>
    </cfRule>
  </conditionalFormatting>
  <conditionalFormatting sqref="D9:D138">
    <cfRule type="cellIs" dxfId="616" priority="1008" operator="equal">
      <formula>"NÃO INICIADO"</formula>
    </cfRule>
  </conditionalFormatting>
  <conditionalFormatting sqref="D9:D138">
    <cfRule type="cellIs" dxfId="615" priority="1007" operator="equal">
      <formula>"FINALIZADO"</formula>
    </cfRule>
  </conditionalFormatting>
  <conditionalFormatting sqref="D9:D138">
    <cfRule type="cellIs" dxfId="614" priority="1006" operator="equal">
      <formula>"EM PROCESSO"</formula>
    </cfRule>
  </conditionalFormatting>
  <conditionalFormatting sqref="D9:D141">
    <cfRule type="cellIs" dxfId="613" priority="1005" operator="equal">
      <formula>"NÃO INICIADO"</formula>
    </cfRule>
  </conditionalFormatting>
  <conditionalFormatting sqref="D9:D141">
    <cfRule type="cellIs" dxfId="612" priority="1004" operator="equal">
      <formula>"FINALIZADO"</formula>
    </cfRule>
  </conditionalFormatting>
  <conditionalFormatting sqref="D9:D141">
    <cfRule type="cellIs" dxfId="611" priority="1003" operator="equal">
      <formula>"EM PROCESSO"</formula>
    </cfRule>
  </conditionalFormatting>
  <conditionalFormatting sqref="D9:D115">
    <cfRule type="cellIs" dxfId="610" priority="1002" operator="equal">
      <formula>"NÃO INICIADO"</formula>
    </cfRule>
  </conditionalFormatting>
  <conditionalFormatting sqref="D9:D115">
    <cfRule type="cellIs" dxfId="609" priority="1001" operator="equal">
      <formula>"FINALIZADO"</formula>
    </cfRule>
  </conditionalFormatting>
  <conditionalFormatting sqref="D9:D115">
    <cfRule type="cellIs" dxfId="608" priority="1000" operator="equal">
      <formula>"EM PROCESSO"</formula>
    </cfRule>
  </conditionalFormatting>
  <conditionalFormatting sqref="D9:D33">
    <cfRule type="cellIs" dxfId="607" priority="990" operator="equal">
      <formula>"NÃO INICIADO"</formula>
    </cfRule>
  </conditionalFormatting>
  <conditionalFormatting sqref="D9:D33">
    <cfRule type="cellIs" dxfId="606" priority="989" operator="equal">
      <formula>"FINALIZADO"</formula>
    </cfRule>
  </conditionalFormatting>
  <conditionalFormatting sqref="D9:D33">
    <cfRule type="cellIs" dxfId="605" priority="988" operator="equal">
      <formula>"EM PROCESSO"</formula>
    </cfRule>
  </conditionalFormatting>
  <conditionalFormatting sqref="D9:D47">
    <cfRule type="cellIs" dxfId="604" priority="987" operator="equal">
      <formula>"NÃO INICIADO"</formula>
    </cfRule>
  </conditionalFormatting>
  <conditionalFormatting sqref="D9:D47">
    <cfRule type="cellIs" dxfId="603" priority="986" operator="equal">
      <formula>"FINALIZADO"</formula>
    </cfRule>
  </conditionalFormatting>
  <conditionalFormatting sqref="D9:D47">
    <cfRule type="cellIs" dxfId="602" priority="985" operator="equal">
      <formula>"EM PROCESSO"</formula>
    </cfRule>
  </conditionalFormatting>
  <conditionalFormatting sqref="D9:D90">
    <cfRule type="cellIs" dxfId="601" priority="984" operator="equal">
      <formula>"NÃO INICIADO"</formula>
    </cfRule>
  </conditionalFormatting>
  <conditionalFormatting sqref="D9:D90">
    <cfRule type="cellIs" dxfId="600" priority="983" operator="equal">
      <formula>"FINALIZADO"</formula>
    </cfRule>
  </conditionalFormatting>
  <conditionalFormatting sqref="D9:D90">
    <cfRule type="cellIs" dxfId="599" priority="982" operator="equal">
      <formula>"EM PROCESSO"</formula>
    </cfRule>
  </conditionalFormatting>
  <conditionalFormatting sqref="D9:D106">
    <cfRule type="cellIs" dxfId="598" priority="981" operator="equal">
      <formula>"NÃO INICIADO"</formula>
    </cfRule>
  </conditionalFormatting>
  <conditionalFormatting sqref="D9:D106">
    <cfRule type="cellIs" dxfId="597" priority="980" operator="equal">
      <formula>"FINALIZADO"</formula>
    </cfRule>
  </conditionalFormatting>
  <conditionalFormatting sqref="D9:D106">
    <cfRule type="cellIs" dxfId="596" priority="979" operator="equal">
      <formula>"EM PROCESSO"</formula>
    </cfRule>
  </conditionalFormatting>
  <conditionalFormatting sqref="D9:D160">
    <cfRule type="cellIs" dxfId="595" priority="975" operator="equal">
      <formula>"NÃO INICIADO"</formula>
    </cfRule>
  </conditionalFormatting>
  <conditionalFormatting sqref="D9:D160">
    <cfRule type="cellIs" dxfId="594" priority="974" operator="equal">
      <formula>"FINALIZADO"</formula>
    </cfRule>
  </conditionalFormatting>
  <conditionalFormatting sqref="D9:D160">
    <cfRule type="cellIs" dxfId="593" priority="973" operator="equal">
      <formula>"EM PROCESSO"</formula>
    </cfRule>
  </conditionalFormatting>
  <conditionalFormatting sqref="D9:D88">
    <cfRule type="cellIs" dxfId="592" priority="972" operator="equal">
      <formula>"NÃO INICIADO"</formula>
    </cfRule>
  </conditionalFormatting>
  <conditionalFormatting sqref="D9:D88">
    <cfRule type="cellIs" dxfId="591" priority="971" operator="equal">
      <formula>"FINALIZADO"</formula>
    </cfRule>
  </conditionalFormatting>
  <conditionalFormatting sqref="D9:D88">
    <cfRule type="cellIs" dxfId="590" priority="970" operator="equal">
      <formula>"EM PROCESSO"</formula>
    </cfRule>
  </conditionalFormatting>
  <conditionalFormatting sqref="D9:D29">
    <cfRule type="cellIs" dxfId="589" priority="969" operator="equal">
      <formula>"NÃO INICIADO"</formula>
    </cfRule>
  </conditionalFormatting>
  <conditionalFormatting sqref="D9:D29">
    <cfRule type="cellIs" dxfId="588" priority="968" operator="equal">
      <formula>"FINALIZADO"</formula>
    </cfRule>
  </conditionalFormatting>
  <conditionalFormatting sqref="D9:D29">
    <cfRule type="cellIs" dxfId="587" priority="967" operator="equal">
      <formula>"EM PROCESSO"</formula>
    </cfRule>
  </conditionalFormatting>
  <conditionalFormatting sqref="D9:D74">
    <cfRule type="cellIs" dxfId="586" priority="960" operator="equal">
      <formula>"NÃO INICIADO"</formula>
    </cfRule>
  </conditionalFormatting>
  <conditionalFormatting sqref="D9:D74">
    <cfRule type="cellIs" dxfId="585" priority="959" operator="equal">
      <formula>"FINALIZADO"</formula>
    </cfRule>
  </conditionalFormatting>
  <conditionalFormatting sqref="D9:D74">
    <cfRule type="cellIs" dxfId="584" priority="958" operator="equal">
      <formula>"EM PROCESSO"</formula>
    </cfRule>
  </conditionalFormatting>
  <conditionalFormatting sqref="D9:D54">
    <cfRule type="cellIs" dxfId="583" priority="957" operator="equal">
      <formula>"NÃO INICIADO"</formula>
    </cfRule>
  </conditionalFormatting>
  <conditionalFormatting sqref="D9:D54">
    <cfRule type="cellIs" dxfId="582" priority="956" operator="equal">
      <formula>"FINALIZADO"</formula>
    </cfRule>
  </conditionalFormatting>
  <conditionalFormatting sqref="D9:D54">
    <cfRule type="cellIs" dxfId="581" priority="955" operator="equal">
      <formula>"EM PROCESSO"</formula>
    </cfRule>
  </conditionalFormatting>
  <conditionalFormatting sqref="D9:D130">
    <cfRule type="cellIs" dxfId="580" priority="954" operator="equal">
      <formula>"NÃO INICIADO"</formula>
    </cfRule>
    <cfRule type="cellIs" dxfId="579" priority="836" operator="equal">
      <formula>"FINALIZADO"</formula>
    </cfRule>
  </conditionalFormatting>
  <conditionalFormatting sqref="D9:D130">
    <cfRule type="cellIs" dxfId="578" priority="953" operator="equal">
      <formula>"FINALIZADO"</formula>
    </cfRule>
  </conditionalFormatting>
  <conditionalFormatting sqref="D9:D130">
    <cfRule type="cellIs" dxfId="577" priority="952" operator="equal">
      <formula>"EM PROCESSO"</formula>
    </cfRule>
  </conditionalFormatting>
  <conditionalFormatting sqref="D9:D653">
    <cfRule type="cellIs" dxfId="576" priority="951" operator="equal">
      <formula>"NÃO INICIADO"</formula>
    </cfRule>
    <cfRule type="cellIs" dxfId="575" priority="950" operator="equal">
      <formula>"FINALIZADO"</formula>
    </cfRule>
    <cfRule type="cellIs" dxfId="574" priority="949" operator="equal">
      <formula>"EM PROCESSO"</formula>
    </cfRule>
  </conditionalFormatting>
  <conditionalFormatting sqref="D9:D264">
    <cfRule type="cellIs" dxfId="573" priority="948" operator="equal">
      <formula>"NÃO INICIADO"</formula>
    </cfRule>
  </conditionalFormatting>
  <conditionalFormatting sqref="D9:D264">
    <cfRule type="cellIs" dxfId="572" priority="947" operator="equal">
      <formula>"FINALIZADO"</formula>
    </cfRule>
  </conditionalFormatting>
  <conditionalFormatting sqref="D9:D264">
    <cfRule type="cellIs" dxfId="571" priority="946" operator="equal">
      <formula>"EM PROCESSO"</formula>
    </cfRule>
  </conditionalFormatting>
  <conditionalFormatting sqref="D9:D303">
    <cfRule type="cellIs" dxfId="570" priority="945" operator="equal">
      <formula>"NÃO INICIADO"</formula>
    </cfRule>
  </conditionalFormatting>
  <conditionalFormatting sqref="D9:D303">
    <cfRule type="cellIs" dxfId="569" priority="944" operator="equal">
      <formula>"FINALIZADO"</formula>
    </cfRule>
  </conditionalFormatting>
  <conditionalFormatting sqref="D9:D303">
    <cfRule type="cellIs" dxfId="568" priority="943" operator="equal">
      <formula>"EM PROCESSO"</formula>
    </cfRule>
  </conditionalFormatting>
  <conditionalFormatting sqref="D9:D186">
    <cfRule type="cellIs" dxfId="567" priority="942" operator="equal">
      <formula>"NÃO INICIADO"</formula>
    </cfRule>
  </conditionalFormatting>
  <conditionalFormatting sqref="D9:D186">
    <cfRule type="cellIs" dxfId="566" priority="941" operator="equal">
      <formula>"FINALIZADO"</formula>
    </cfRule>
  </conditionalFormatting>
  <conditionalFormatting sqref="D9:D186">
    <cfRule type="cellIs" dxfId="565" priority="940" operator="equal">
      <formula>"EM PROCESSO"</formula>
    </cfRule>
  </conditionalFormatting>
  <conditionalFormatting sqref="D9:D33">
    <cfRule type="cellIs" dxfId="564" priority="933" operator="equal">
      <formula>"NÃO INICIADO"</formula>
    </cfRule>
  </conditionalFormatting>
  <conditionalFormatting sqref="D9:D33">
    <cfRule type="cellIs" dxfId="563" priority="932" operator="equal">
      <formula>"FINALIZADO"</formula>
    </cfRule>
  </conditionalFormatting>
  <conditionalFormatting sqref="D9:D33">
    <cfRule type="cellIs" dxfId="562" priority="931" operator="equal">
      <formula>"EM PROCESSO"</formula>
    </cfRule>
  </conditionalFormatting>
  <conditionalFormatting sqref="D9:D35">
    <cfRule type="cellIs" dxfId="561" priority="930" operator="equal">
      <formula>"NÃO INICIADO"</formula>
    </cfRule>
  </conditionalFormatting>
  <conditionalFormatting sqref="D9:D35">
    <cfRule type="cellIs" dxfId="560" priority="929" operator="equal">
      <formula>"FINALIZADO"</formula>
    </cfRule>
  </conditionalFormatting>
  <conditionalFormatting sqref="D9:D35">
    <cfRule type="cellIs" dxfId="559" priority="928" operator="equal">
      <formula>"EM PROCESSO"</formula>
    </cfRule>
  </conditionalFormatting>
  <conditionalFormatting sqref="D9:D551">
    <cfRule type="cellIs" dxfId="558" priority="924" operator="equal">
      <formula>"NÃO INICIADO"</formula>
    </cfRule>
    <cfRule type="cellIs" dxfId="557" priority="923" operator="equal">
      <formula>"FINALIZADO"</formula>
    </cfRule>
    <cfRule type="cellIs" dxfId="556" priority="922" operator="equal">
      <formula>"EM PROCESSO"</formula>
    </cfRule>
  </conditionalFormatting>
  <conditionalFormatting sqref="D9:D89">
    <cfRule type="cellIs" dxfId="555" priority="921" operator="equal">
      <formula>"NÃO INICIADO"</formula>
    </cfRule>
  </conditionalFormatting>
  <conditionalFormatting sqref="D9:D89">
    <cfRule type="cellIs" dxfId="554" priority="920" operator="equal">
      <formula>"FINALIZADO"</formula>
    </cfRule>
  </conditionalFormatting>
  <conditionalFormatting sqref="D9:D89">
    <cfRule type="cellIs" dxfId="553" priority="919" operator="equal">
      <formula>"EM PROCESSO"</formula>
    </cfRule>
  </conditionalFormatting>
  <conditionalFormatting sqref="D9:D160">
    <cfRule type="cellIs" dxfId="552" priority="918" operator="equal">
      <formula>"NÃO INICIADO"</formula>
    </cfRule>
  </conditionalFormatting>
  <conditionalFormatting sqref="D9:D160">
    <cfRule type="cellIs" dxfId="551" priority="917" operator="equal">
      <formula>"FINALIZADO"</formula>
    </cfRule>
  </conditionalFormatting>
  <conditionalFormatting sqref="D9:D160">
    <cfRule type="cellIs" dxfId="550" priority="916" operator="equal">
      <formula>"EM PROCESSO"</formula>
    </cfRule>
  </conditionalFormatting>
  <conditionalFormatting sqref="D9:D91">
    <cfRule type="cellIs" dxfId="549" priority="915" operator="equal">
      <formula>"NÃO INICIADO"</formula>
    </cfRule>
  </conditionalFormatting>
  <conditionalFormatting sqref="D9:D91">
    <cfRule type="cellIs" dxfId="548" priority="914" operator="equal">
      <formula>"FINALIZADO"</formula>
    </cfRule>
  </conditionalFormatting>
  <conditionalFormatting sqref="D9:D91">
    <cfRule type="cellIs" dxfId="547" priority="913" operator="equal">
      <formula>"EM PROCESSO"</formula>
    </cfRule>
  </conditionalFormatting>
  <conditionalFormatting sqref="D9:D34">
    <cfRule type="cellIs" dxfId="546" priority="906" operator="equal">
      <formula>"NÃO INICIADO"</formula>
    </cfRule>
    <cfRule type="cellIs" dxfId="545" priority="902" operator="equal">
      <formula>"FINALIZADO"</formula>
    </cfRule>
  </conditionalFormatting>
  <conditionalFormatting sqref="D9:D34">
    <cfRule type="cellIs" dxfId="544" priority="905" operator="equal">
      <formula>"FINALIZADO"</formula>
    </cfRule>
    <cfRule type="cellIs" dxfId="543" priority="903" operator="equal">
      <formula>"NÃO INICIADO"</formula>
    </cfRule>
  </conditionalFormatting>
  <conditionalFormatting sqref="D9:D34">
    <cfRule type="cellIs" dxfId="542" priority="904" operator="equal">
      <formula>"EM PROCESSO"</formula>
    </cfRule>
  </conditionalFormatting>
  <conditionalFormatting sqref="D9:D34">
    <cfRule type="cellIs" dxfId="541" priority="901" operator="equal">
      <formula>"EM PROCESSO"</formula>
    </cfRule>
  </conditionalFormatting>
  <conditionalFormatting sqref="D9:D27">
    <cfRule type="cellIs" dxfId="540" priority="900" operator="equal">
      <formula>"NÃO INICIADO"</formula>
    </cfRule>
  </conditionalFormatting>
  <conditionalFormatting sqref="D9:D27">
    <cfRule type="cellIs" dxfId="539" priority="899" operator="equal">
      <formula>"FINALIZADO"</formula>
    </cfRule>
  </conditionalFormatting>
  <conditionalFormatting sqref="D9:D27">
    <cfRule type="cellIs" dxfId="538" priority="898" operator="equal">
      <formula>"EM PROCESSO"</formula>
    </cfRule>
  </conditionalFormatting>
  <conditionalFormatting sqref="D9:D173">
    <cfRule type="cellIs" dxfId="537" priority="897" operator="equal">
      <formula>"NÃO INICIADO"</formula>
    </cfRule>
  </conditionalFormatting>
  <conditionalFormatting sqref="D9:D173">
    <cfRule type="cellIs" dxfId="536" priority="896" operator="equal">
      <formula>"FINALIZADO"</formula>
    </cfRule>
  </conditionalFormatting>
  <conditionalFormatting sqref="D9:D173">
    <cfRule type="cellIs" dxfId="535" priority="895" operator="equal">
      <formula>"EM PROCESSO"</formula>
    </cfRule>
  </conditionalFormatting>
  <conditionalFormatting sqref="D9:D83">
    <cfRule type="cellIs" dxfId="534" priority="894" operator="equal">
      <formula>"NÃO INICIADO"</formula>
    </cfRule>
  </conditionalFormatting>
  <conditionalFormatting sqref="D9:D83">
    <cfRule type="cellIs" dxfId="533" priority="893" operator="equal">
      <formula>"FINALIZADO"</formula>
    </cfRule>
  </conditionalFormatting>
  <conditionalFormatting sqref="D9:D83">
    <cfRule type="cellIs" dxfId="532" priority="892" operator="equal">
      <formula>"EM PROCESSO"</formula>
    </cfRule>
  </conditionalFormatting>
  <conditionalFormatting sqref="D9:D135">
    <cfRule type="cellIs" dxfId="531" priority="891" operator="equal">
      <formula>"NÃO INICIADO"</formula>
    </cfRule>
  </conditionalFormatting>
  <conditionalFormatting sqref="D9:D135">
    <cfRule type="cellIs" dxfId="530" priority="890" operator="equal">
      <formula>"FINALIZADO"</formula>
    </cfRule>
  </conditionalFormatting>
  <conditionalFormatting sqref="D9:D135">
    <cfRule type="cellIs" dxfId="529" priority="889" operator="equal">
      <formula>"EM PROCESSO"</formula>
    </cfRule>
  </conditionalFormatting>
  <conditionalFormatting sqref="D9:D74">
    <cfRule type="cellIs" dxfId="528" priority="888" operator="equal">
      <formula>"NÃO INICIADO"</formula>
    </cfRule>
  </conditionalFormatting>
  <conditionalFormatting sqref="D9:D74">
    <cfRule type="cellIs" dxfId="527" priority="887" operator="equal">
      <formula>"FINALIZADO"</formula>
    </cfRule>
  </conditionalFormatting>
  <conditionalFormatting sqref="D9:D74">
    <cfRule type="cellIs" dxfId="526" priority="886" operator="equal">
      <formula>"EM PROCESSO"</formula>
    </cfRule>
  </conditionalFormatting>
  <conditionalFormatting sqref="D9:D63">
    <cfRule type="cellIs" dxfId="525" priority="873" operator="equal">
      <formula>"NÃO INICIADO"</formula>
    </cfRule>
  </conditionalFormatting>
  <conditionalFormatting sqref="D9:D63">
    <cfRule type="cellIs" dxfId="524" priority="872" operator="equal">
      <formula>"FINALIZADO"</formula>
    </cfRule>
  </conditionalFormatting>
  <conditionalFormatting sqref="D9:D63">
    <cfRule type="cellIs" dxfId="523" priority="871" operator="equal">
      <formula>"EM PROCESSO"</formula>
    </cfRule>
  </conditionalFormatting>
  <conditionalFormatting sqref="D9:D55">
    <cfRule type="cellIs" dxfId="522" priority="870" operator="equal">
      <formula>"NÃO INICIADO"</formula>
    </cfRule>
  </conditionalFormatting>
  <conditionalFormatting sqref="D9:D55">
    <cfRule type="cellIs" dxfId="521" priority="869" operator="equal">
      <formula>"FINALIZADO"</formula>
    </cfRule>
  </conditionalFormatting>
  <conditionalFormatting sqref="D9:D55">
    <cfRule type="cellIs" dxfId="520" priority="868" operator="equal">
      <formula>"EM PROCESSO"</formula>
    </cfRule>
  </conditionalFormatting>
  <conditionalFormatting sqref="D9:D220">
    <cfRule type="cellIs" dxfId="519" priority="867" operator="equal">
      <formula>"NÃO INICIADO"</formula>
    </cfRule>
  </conditionalFormatting>
  <conditionalFormatting sqref="D9:D220">
    <cfRule type="cellIs" dxfId="518" priority="866" operator="equal">
      <formula>"FINALIZADO"</formula>
    </cfRule>
  </conditionalFormatting>
  <conditionalFormatting sqref="D9:D220">
    <cfRule type="cellIs" dxfId="517" priority="865" operator="equal">
      <formula>"EM PROCESSO"</formula>
    </cfRule>
  </conditionalFormatting>
  <conditionalFormatting sqref="D9:D100">
    <cfRule type="cellIs" dxfId="516" priority="864" operator="equal">
      <formula>"NÃO INICIADO"</formula>
    </cfRule>
  </conditionalFormatting>
  <conditionalFormatting sqref="D9:D100">
    <cfRule type="cellIs" dxfId="515" priority="863" operator="equal">
      <formula>"FINALIZADO"</formula>
    </cfRule>
  </conditionalFormatting>
  <conditionalFormatting sqref="D9:D100">
    <cfRule type="cellIs" dxfId="514" priority="862" operator="equal">
      <formula>"EM PROCESSO"</formula>
    </cfRule>
  </conditionalFormatting>
  <conditionalFormatting sqref="D9:D141">
    <cfRule type="cellIs" dxfId="513" priority="861" operator="equal">
      <formula>"NÃO INICIADO"</formula>
    </cfRule>
  </conditionalFormatting>
  <conditionalFormatting sqref="D9:D141">
    <cfRule type="cellIs" dxfId="512" priority="860" operator="equal">
      <formula>"FINALIZADO"</formula>
    </cfRule>
  </conditionalFormatting>
  <conditionalFormatting sqref="D9:D141">
    <cfRule type="cellIs" dxfId="511" priority="859" operator="equal">
      <formula>"EM PROCESSO"</formula>
    </cfRule>
  </conditionalFormatting>
  <conditionalFormatting sqref="D9:D46">
    <cfRule type="cellIs" dxfId="510" priority="858" operator="equal">
      <formula>"NÃO INICIADO"</formula>
    </cfRule>
  </conditionalFormatting>
  <conditionalFormatting sqref="D9:D46">
    <cfRule type="cellIs" dxfId="509" priority="857" operator="equal">
      <formula>"FINALIZADO"</formula>
    </cfRule>
  </conditionalFormatting>
  <conditionalFormatting sqref="D9:D46">
    <cfRule type="cellIs" dxfId="508" priority="856" operator="equal">
      <formula>"EM PROCESSO"</formula>
    </cfRule>
  </conditionalFormatting>
  <conditionalFormatting sqref="D9:D28">
    <cfRule type="cellIs" dxfId="507" priority="849" operator="equal">
      <formula>"NÃO INICIADO"</formula>
    </cfRule>
  </conditionalFormatting>
  <conditionalFormatting sqref="D9:D28">
    <cfRule type="cellIs" dxfId="506" priority="848" operator="equal">
      <formula>"FINALIZADO"</formula>
    </cfRule>
  </conditionalFormatting>
  <conditionalFormatting sqref="D9:D28">
    <cfRule type="cellIs" dxfId="505" priority="847" operator="equal">
      <formula>"EM PROCESSO"</formula>
    </cfRule>
  </conditionalFormatting>
  <conditionalFormatting sqref="D9:D36">
    <cfRule type="cellIs" dxfId="504" priority="843" operator="equal">
      <formula>"NÃO INICIADO"</formula>
    </cfRule>
  </conditionalFormatting>
  <conditionalFormatting sqref="D9:D36">
    <cfRule type="cellIs" dxfId="503" priority="842" operator="equal">
      <formula>"FINALIZADO"</formula>
    </cfRule>
  </conditionalFormatting>
  <conditionalFormatting sqref="D9:D36">
    <cfRule type="cellIs" dxfId="502" priority="841" operator="equal">
      <formula>"EM PROCESSO"</formula>
    </cfRule>
  </conditionalFormatting>
  <conditionalFormatting sqref="D9:D69">
    <cfRule type="cellIs" dxfId="501" priority="840" operator="equal">
      <formula>"NÃO INICIADO"</formula>
    </cfRule>
  </conditionalFormatting>
  <conditionalFormatting sqref="D9:D69">
    <cfRule type="cellIs" dxfId="500" priority="839" operator="equal">
      <formula>"FINALIZADO"</formula>
    </cfRule>
  </conditionalFormatting>
  <conditionalFormatting sqref="D9:D69">
    <cfRule type="cellIs" dxfId="499" priority="838" operator="equal">
      <formula>"EM PROCESSO"</formula>
    </cfRule>
  </conditionalFormatting>
  <conditionalFormatting sqref="D9:D80">
    <cfRule type="cellIs" dxfId="498" priority="834" operator="equal">
      <formula>"NÃO INICIADO"</formula>
    </cfRule>
  </conditionalFormatting>
  <conditionalFormatting sqref="D9:D80">
    <cfRule type="cellIs" dxfId="497" priority="833" operator="equal">
      <formula>"FINALIZADO"</formula>
    </cfRule>
  </conditionalFormatting>
  <conditionalFormatting sqref="D9:D80">
    <cfRule type="cellIs" dxfId="496" priority="832" operator="equal">
      <formula>"EM PROCESSO"</formula>
    </cfRule>
  </conditionalFormatting>
  <conditionalFormatting sqref="D9:D93">
    <cfRule type="cellIs" dxfId="495" priority="831" operator="equal">
      <formula>"NÃO INICIADO"</formula>
    </cfRule>
  </conditionalFormatting>
  <conditionalFormatting sqref="D9:D93">
    <cfRule type="cellIs" dxfId="494" priority="830" operator="equal">
      <formula>"FINALIZADO"</formula>
    </cfRule>
  </conditionalFormatting>
  <conditionalFormatting sqref="D9:D93">
    <cfRule type="cellIs" dxfId="493" priority="829" operator="equal">
      <formula>"EM PROCESSO"</formula>
    </cfRule>
  </conditionalFormatting>
  <conditionalFormatting sqref="D9:D102">
    <cfRule type="cellIs" dxfId="492" priority="828" operator="equal">
      <formula>"NÃO INICIADO"</formula>
    </cfRule>
  </conditionalFormatting>
  <conditionalFormatting sqref="D9:D102">
    <cfRule type="cellIs" dxfId="491" priority="827" operator="equal">
      <formula>"FINALIZADO"</formula>
    </cfRule>
  </conditionalFormatting>
  <conditionalFormatting sqref="D9:D102">
    <cfRule type="cellIs" dxfId="490" priority="826" operator="equal">
      <formula>"EM PROCESSO"</formula>
    </cfRule>
  </conditionalFormatting>
  <conditionalFormatting sqref="D9:D90">
    <cfRule type="cellIs" dxfId="489" priority="816" operator="equal">
      <formula>"NÃO INICIADO"</formula>
    </cfRule>
  </conditionalFormatting>
  <conditionalFormatting sqref="D9:D90">
    <cfRule type="cellIs" dxfId="488" priority="815" operator="equal">
      <formula>"FINALIZADO"</formula>
    </cfRule>
  </conditionalFormatting>
  <conditionalFormatting sqref="D9:D90">
    <cfRule type="cellIs" dxfId="487" priority="814" operator="equal">
      <formula>"EM PROCESSO"</formula>
    </cfRule>
  </conditionalFormatting>
  <conditionalFormatting sqref="D9:D100">
    <cfRule type="cellIs" dxfId="486" priority="813" operator="equal">
      <formula>"NÃO INICIADO"</formula>
    </cfRule>
  </conditionalFormatting>
  <conditionalFormatting sqref="D9:D100">
    <cfRule type="cellIs" dxfId="485" priority="812" operator="equal">
      <formula>"FINALIZADO"</formula>
    </cfRule>
  </conditionalFormatting>
  <conditionalFormatting sqref="D9:D100">
    <cfRule type="cellIs" dxfId="484" priority="811" operator="equal">
      <formula>"EM PROCESSO"</formula>
    </cfRule>
  </conditionalFormatting>
  <conditionalFormatting sqref="D9:D365">
    <cfRule type="cellIs" dxfId="483" priority="807" operator="equal">
      <formula>"NÃO INICIADO"</formula>
    </cfRule>
  </conditionalFormatting>
  <conditionalFormatting sqref="D9:D365">
    <cfRule type="cellIs" dxfId="482" priority="806" operator="equal">
      <formula>"FINALIZADO"</formula>
    </cfRule>
  </conditionalFormatting>
  <conditionalFormatting sqref="D9:D365">
    <cfRule type="cellIs" dxfId="481" priority="805" operator="equal">
      <formula>"EM PROCESSO"</formula>
    </cfRule>
  </conditionalFormatting>
  <conditionalFormatting sqref="D9:D192">
    <cfRule type="cellIs" dxfId="480" priority="804" operator="equal">
      <formula>"NÃO INICIADO"</formula>
    </cfRule>
  </conditionalFormatting>
  <conditionalFormatting sqref="D9:D192">
    <cfRule type="cellIs" dxfId="479" priority="803" operator="equal">
      <formula>"FINALIZADO"</formula>
    </cfRule>
  </conditionalFormatting>
  <conditionalFormatting sqref="D9:D192">
    <cfRule type="cellIs" dxfId="478" priority="802" operator="equal">
      <formula>"EM PROCESSO"</formula>
    </cfRule>
  </conditionalFormatting>
  <conditionalFormatting sqref="D9:D219">
    <cfRule type="cellIs" dxfId="477" priority="801" operator="equal">
      <formula>"NÃO INICIADO"</formula>
    </cfRule>
  </conditionalFormatting>
  <conditionalFormatting sqref="D9:D219">
    <cfRule type="cellIs" dxfId="476" priority="800" operator="equal">
      <formula>"FINALIZADO"</formula>
    </cfRule>
  </conditionalFormatting>
  <conditionalFormatting sqref="D9:D219">
    <cfRule type="cellIs" dxfId="475" priority="799" operator="equal">
      <formula>"EM PROCESSO"</formula>
    </cfRule>
  </conditionalFormatting>
  <conditionalFormatting sqref="D9:D122">
    <cfRule type="cellIs" dxfId="474" priority="798" operator="equal">
      <formula>"NÃO INICIADO"</formula>
    </cfRule>
  </conditionalFormatting>
  <conditionalFormatting sqref="D9:D122">
    <cfRule type="cellIs" dxfId="473" priority="797" operator="equal">
      <formula>"FINALIZADO"</formula>
    </cfRule>
  </conditionalFormatting>
  <conditionalFormatting sqref="D9:D122">
    <cfRule type="cellIs" dxfId="472" priority="796" operator="equal">
      <formula>"EM PROCESSO"</formula>
    </cfRule>
  </conditionalFormatting>
  <conditionalFormatting sqref="D9:D32">
    <cfRule type="cellIs" dxfId="471" priority="780" operator="equal">
      <formula>"NÃO INICIADO"</formula>
    </cfRule>
  </conditionalFormatting>
  <conditionalFormatting sqref="D9:D32">
    <cfRule type="cellIs" dxfId="470" priority="779" operator="equal">
      <formula>"FINALIZADO"</formula>
    </cfRule>
  </conditionalFormatting>
  <conditionalFormatting sqref="D9:D32">
    <cfRule type="cellIs" dxfId="469" priority="778" operator="equal">
      <formula>"EM PROCESSO"</formula>
    </cfRule>
  </conditionalFormatting>
  <conditionalFormatting sqref="D9:D18">
    <cfRule type="cellIs" dxfId="468" priority="776" operator="equal">
      <formula>"FINALIZADO"</formula>
    </cfRule>
  </conditionalFormatting>
  <conditionalFormatting sqref="D9:D18">
    <cfRule type="cellIs" dxfId="467" priority="775" operator="equal">
      <formula>"EM PROCESSO"</formula>
    </cfRule>
  </conditionalFormatting>
  <conditionalFormatting sqref="D9:D90">
    <cfRule type="cellIs" dxfId="466" priority="774" operator="equal">
      <formula>"NÃO INICIADO"</formula>
    </cfRule>
  </conditionalFormatting>
  <conditionalFormatting sqref="D9:D90">
    <cfRule type="cellIs" dxfId="465" priority="773" operator="equal">
      <formula>"FINALIZADO"</formula>
    </cfRule>
  </conditionalFormatting>
  <conditionalFormatting sqref="D9:D90">
    <cfRule type="cellIs" dxfId="464" priority="772" operator="equal">
      <formula>"EM PROCESSO"</formula>
    </cfRule>
  </conditionalFormatting>
  <conditionalFormatting sqref="D9:D35">
    <cfRule type="cellIs" dxfId="463" priority="771" operator="equal">
      <formula>"NÃO INICIADO"</formula>
    </cfRule>
  </conditionalFormatting>
  <conditionalFormatting sqref="D9:D35">
    <cfRule type="cellIs" dxfId="462" priority="770" operator="equal">
      <formula>"FINALIZADO"</formula>
    </cfRule>
  </conditionalFormatting>
  <conditionalFormatting sqref="D9:D35">
    <cfRule type="cellIs" dxfId="461" priority="769" operator="equal">
      <formula>"EM PROCESSO"</formula>
    </cfRule>
  </conditionalFormatting>
  <conditionalFormatting sqref="D9:D171">
    <cfRule type="cellIs" dxfId="460" priority="768" operator="equal">
      <formula>"NÃO INICIADO"</formula>
    </cfRule>
  </conditionalFormatting>
  <conditionalFormatting sqref="D9:D171">
    <cfRule type="cellIs" dxfId="459" priority="767" operator="equal">
      <formula>"FINALIZADO"</formula>
    </cfRule>
  </conditionalFormatting>
  <conditionalFormatting sqref="D9:D171">
    <cfRule type="cellIs" dxfId="458" priority="766" operator="equal">
      <formula>"EM PROCESSO"</formula>
    </cfRule>
  </conditionalFormatting>
  <conditionalFormatting sqref="D9:D136">
    <cfRule type="cellIs" dxfId="457" priority="765" operator="equal">
      <formula>"NÃO INICIADO"</formula>
    </cfRule>
  </conditionalFormatting>
  <conditionalFormatting sqref="D9:D136">
    <cfRule type="cellIs" dxfId="456" priority="764" operator="equal">
      <formula>"FINALIZADO"</formula>
    </cfRule>
  </conditionalFormatting>
  <conditionalFormatting sqref="D9:D136">
    <cfRule type="cellIs" dxfId="455" priority="763" operator="equal">
      <formula>"EM PROCESSO"</formula>
    </cfRule>
  </conditionalFormatting>
  <conditionalFormatting sqref="D9:D92">
    <cfRule type="cellIs" dxfId="454" priority="762" operator="equal">
      <formula>"NÃO INICIADO"</formula>
    </cfRule>
    <cfRule type="cellIs" dxfId="453" priority="758" operator="equal">
      <formula>"FINALIZADO"</formula>
    </cfRule>
  </conditionalFormatting>
  <conditionalFormatting sqref="D9:D92">
    <cfRule type="cellIs" dxfId="452" priority="761" operator="equal">
      <formula>"FINALIZADO"</formula>
    </cfRule>
    <cfRule type="cellIs" dxfId="451" priority="759" operator="equal">
      <formula>"NÃO INICIADO"</formula>
    </cfRule>
  </conditionalFormatting>
  <conditionalFormatting sqref="D9:D92">
    <cfRule type="cellIs" dxfId="450" priority="760" operator="equal">
      <formula>"EM PROCESSO"</formula>
    </cfRule>
  </conditionalFormatting>
  <conditionalFormatting sqref="D9:D92">
    <cfRule type="cellIs" dxfId="449" priority="757" operator="equal">
      <formula>"EM PROCESSO"</formula>
    </cfRule>
  </conditionalFormatting>
  <conditionalFormatting sqref="D9:D31">
    <cfRule type="cellIs" dxfId="448" priority="750" operator="equal">
      <formula>"NÃO INICIADO"</formula>
    </cfRule>
  </conditionalFormatting>
  <conditionalFormatting sqref="D9:D31">
    <cfRule type="cellIs" dxfId="447" priority="749" operator="equal">
      <formula>"FINALIZADO"</formula>
    </cfRule>
  </conditionalFormatting>
  <conditionalFormatting sqref="D9:D31">
    <cfRule type="cellIs" dxfId="446" priority="748" operator="equal">
      <formula>"EM PROCESSO"</formula>
    </cfRule>
  </conditionalFormatting>
  <conditionalFormatting sqref="D9:D39">
    <cfRule type="cellIs" dxfId="445" priority="744" operator="equal">
      <formula>"NÃO INICIADO"</formula>
    </cfRule>
  </conditionalFormatting>
  <conditionalFormatting sqref="D9:D39">
    <cfRule type="cellIs" dxfId="444" priority="743" operator="equal">
      <formula>"FINALIZADO"</formula>
    </cfRule>
  </conditionalFormatting>
  <conditionalFormatting sqref="D9:D39">
    <cfRule type="cellIs" dxfId="443" priority="742" operator="equal">
      <formula>"EM PROCESSO"</formula>
    </cfRule>
  </conditionalFormatting>
  <conditionalFormatting sqref="D9:D201">
    <cfRule type="cellIs" dxfId="442" priority="741" operator="equal">
      <formula>"NÃO INICIADO"</formula>
    </cfRule>
  </conditionalFormatting>
  <conditionalFormatting sqref="D9:D201">
    <cfRule type="cellIs" dxfId="441" priority="740" operator="equal">
      <formula>"FINALIZADO"</formula>
    </cfRule>
  </conditionalFormatting>
  <conditionalFormatting sqref="D9:D201">
    <cfRule type="cellIs" dxfId="440" priority="739" operator="equal">
      <formula>"EM PROCESSO"</formula>
    </cfRule>
  </conditionalFormatting>
  <conditionalFormatting sqref="D9:D49">
    <cfRule type="cellIs" dxfId="439" priority="735" operator="equal">
      <formula>"NÃO INICIADO"</formula>
    </cfRule>
  </conditionalFormatting>
  <conditionalFormatting sqref="D9:D49">
    <cfRule type="cellIs" dxfId="438" priority="734" operator="equal">
      <formula>"FINALIZADO"</formula>
    </cfRule>
  </conditionalFormatting>
  <conditionalFormatting sqref="D9:D49">
    <cfRule type="cellIs" dxfId="437" priority="733" operator="equal">
      <formula>"EM PROCESSO"</formula>
    </cfRule>
  </conditionalFormatting>
  <conditionalFormatting sqref="D9:D81">
    <cfRule type="cellIs" dxfId="436" priority="732" operator="equal">
      <formula>"NÃO INICIADO"</formula>
    </cfRule>
  </conditionalFormatting>
  <conditionalFormatting sqref="D9:D81">
    <cfRule type="cellIs" dxfId="435" priority="731" operator="equal">
      <formula>"FINALIZADO"</formula>
    </cfRule>
  </conditionalFormatting>
  <conditionalFormatting sqref="D9:D81">
    <cfRule type="cellIs" dxfId="434" priority="730" operator="equal">
      <formula>"EM PROCESSO"</formula>
    </cfRule>
  </conditionalFormatting>
  <conditionalFormatting sqref="D9:D28">
    <cfRule type="cellIs" dxfId="433" priority="726" operator="equal">
      <formula>"NÃO INICIADO"</formula>
    </cfRule>
  </conditionalFormatting>
  <conditionalFormatting sqref="D9:D28">
    <cfRule type="cellIs" dxfId="432" priority="725" operator="equal">
      <formula>"FINALIZADO"</formula>
    </cfRule>
  </conditionalFormatting>
  <conditionalFormatting sqref="D9:D28">
    <cfRule type="cellIs" dxfId="431" priority="724" operator="equal">
      <formula>"EM PROCESSO"</formula>
    </cfRule>
  </conditionalFormatting>
  <conditionalFormatting sqref="D9:D43">
    <cfRule type="cellIs" dxfId="430" priority="723" operator="equal">
      <formula>"NÃO INICIADO"</formula>
    </cfRule>
  </conditionalFormatting>
  <conditionalFormatting sqref="D9:D43">
    <cfRule type="cellIs" dxfId="429" priority="722" operator="equal">
      <formula>"FINALIZADO"</formula>
    </cfRule>
  </conditionalFormatting>
  <conditionalFormatting sqref="D9:D43">
    <cfRule type="cellIs" dxfId="428" priority="721" operator="equal">
      <formula>"EM PROCESSO"</formula>
    </cfRule>
  </conditionalFormatting>
  <conditionalFormatting sqref="D9:D38">
    <cfRule type="cellIs" dxfId="427" priority="720" operator="equal">
      <formula>"NÃO INICIADO"</formula>
    </cfRule>
  </conditionalFormatting>
  <conditionalFormatting sqref="D9:D38">
    <cfRule type="cellIs" dxfId="426" priority="719" operator="equal">
      <formula>"FINALIZADO"</formula>
    </cfRule>
  </conditionalFormatting>
  <conditionalFormatting sqref="D9:D38">
    <cfRule type="cellIs" dxfId="425" priority="718" operator="equal">
      <formula>"EM PROCESSO"</formula>
    </cfRule>
  </conditionalFormatting>
  <conditionalFormatting sqref="D9:D49">
    <cfRule type="cellIs" dxfId="424" priority="714" operator="equal">
      <formula>"NÃO INICIADO"</formula>
    </cfRule>
  </conditionalFormatting>
  <conditionalFormatting sqref="D9:D49">
    <cfRule type="cellIs" dxfId="423" priority="713" operator="equal">
      <formula>"FINALIZADO"</formula>
    </cfRule>
  </conditionalFormatting>
  <conditionalFormatting sqref="D9:D49">
    <cfRule type="cellIs" dxfId="422" priority="712" operator="equal">
      <formula>"EM PROCESSO"</formula>
    </cfRule>
  </conditionalFormatting>
  <conditionalFormatting sqref="D9:D170">
    <cfRule type="cellIs" dxfId="421" priority="711" operator="equal">
      <formula>"NÃO INICIADO"</formula>
    </cfRule>
  </conditionalFormatting>
  <conditionalFormatting sqref="D9:D170">
    <cfRule type="cellIs" dxfId="420" priority="710" operator="equal">
      <formula>"FINALIZADO"</formula>
    </cfRule>
  </conditionalFormatting>
  <conditionalFormatting sqref="D9:D170">
    <cfRule type="cellIs" dxfId="419" priority="709" operator="equal">
      <formula>"EM PROCESSO"</formula>
    </cfRule>
  </conditionalFormatting>
  <conditionalFormatting sqref="D9:D104">
    <cfRule type="cellIs" dxfId="418" priority="708" operator="equal">
      <formula>"NÃO INICIADO"</formula>
    </cfRule>
  </conditionalFormatting>
  <conditionalFormatting sqref="D9:D104">
    <cfRule type="cellIs" dxfId="417" priority="707" operator="equal">
      <formula>"FINALIZADO"</formula>
    </cfRule>
  </conditionalFormatting>
  <conditionalFormatting sqref="D9:D104">
    <cfRule type="cellIs" dxfId="416" priority="706" operator="equal">
      <formula>"EM PROCESSO"</formula>
    </cfRule>
  </conditionalFormatting>
  <conditionalFormatting sqref="D9:D83">
    <cfRule type="cellIs" dxfId="415" priority="705" operator="equal">
      <formula>"NÃO INICIADO"</formula>
    </cfRule>
  </conditionalFormatting>
  <conditionalFormatting sqref="D9:D83">
    <cfRule type="cellIs" dxfId="414" priority="704" operator="equal">
      <formula>"FINALIZADO"</formula>
    </cfRule>
  </conditionalFormatting>
  <conditionalFormatting sqref="D9:D83">
    <cfRule type="cellIs" dxfId="413" priority="703" operator="equal">
      <formula>"EM PROCESSO"</formula>
    </cfRule>
  </conditionalFormatting>
  <conditionalFormatting sqref="D9:D97">
    <cfRule type="cellIs" dxfId="412" priority="696" operator="equal">
      <formula>"NÃO INICIADO"</formula>
    </cfRule>
  </conditionalFormatting>
  <conditionalFormatting sqref="D9:D97">
    <cfRule type="cellIs" dxfId="411" priority="695" operator="equal">
      <formula>"FINALIZADO"</formula>
    </cfRule>
  </conditionalFormatting>
  <conditionalFormatting sqref="D9:D97">
    <cfRule type="cellIs" dxfId="410" priority="694" operator="equal">
      <formula>"EM PROCESSO"</formula>
    </cfRule>
  </conditionalFormatting>
  <conditionalFormatting sqref="D9:D238">
    <cfRule type="cellIs" dxfId="409" priority="693" operator="equal">
      <formula>"NÃO INICIADO"</formula>
    </cfRule>
  </conditionalFormatting>
  <conditionalFormatting sqref="D9:D238">
    <cfRule type="cellIs" dxfId="408" priority="692" operator="equal">
      <formula>"FINALIZADO"</formula>
    </cfRule>
  </conditionalFormatting>
  <conditionalFormatting sqref="D9:D238">
    <cfRule type="cellIs" dxfId="407" priority="691" operator="equal">
      <formula>"EM PROCESSO"</formula>
    </cfRule>
  </conditionalFormatting>
  <conditionalFormatting sqref="D9:D28">
    <cfRule type="cellIs" dxfId="406" priority="690" operator="equal">
      <formula>"NÃO INICIADO"</formula>
    </cfRule>
  </conditionalFormatting>
  <conditionalFormatting sqref="D9:D28">
    <cfRule type="cellIs" dxfId="405" priority="689" operator="equal">
      <formula>"FINALIZADO"</formula>
    </cfRule>
  </conditionalFormatting>
  <conditionalFormatting sqref="D9:D28">
    <cfRule type="cellIs" dxfId="404" priority="688" operator="equal">
      <formula>"EM PROCESSO"</formula>
    </cfRule>
  </conditionalFormatting>
  <conditionalFormatting sqref="D9:D30">
    <cfRule type="cellIs" dxfId="403" priority="686" operator="equal">
      <formula>"FINALIZADO"</formula>
    </cfRule>
  </conditionalFormatting>
  <conditionalFormatting sqref="D9:D30">
    <cfRule type="cellIs" dxfId="402" priority="685" operator="equal">
      <formula>"EM PROCESSO"</formula>
    </cfRule>
  </conditionalFormatting>
  <conditionalFormatting sqref="D9:D72">
    <cfRule type="cellIs" dxfId="401" priority="684" operator="equal">
      <formula>"NÃO INICIADO"</formula>
    </cfRule>
  </conditionalFormatting>
  <conditionalFormatting sqref="D9:D72">
    <cfRule type="cellIs" dxfId="400" priority="683" operator="equal">
      <formula>"FINALIZADO"</formula>
    </cfRule>
  </conditionalFormatting>
  <conditionalFormatting sqref="D9:D72">
    <cfRule type="cellIs" dxfId="399" priority="682" operator="equal">
      <formula>"EM PROCESSO"</formula>
    </cfRule>
  </conditionalFormatting>
  <conditionalFormatting sqref="D9:D23">
    <cfRule type="cellIs" dxfId="398" priority="681" operator="equal">
      <formula>"NÃO INICIADO"</formula>
    </cfRule>
  </conditionalFormatting>
  <conditionalFormatting sqref="D9:D23">
    <cfRule type="cellIs" dxfId="397" priority="680" operator="equal">
      <formula>"FINALIZADO"</formula>
    </cfRule>
  </conditionalFormatting>
  <conditionalFormatting sqref="D9:D23">
    <cfRule type="cellIs" dxfId="396" priority="679" operator="equal">
      <formula>"EM PROCESSO"</formula>
    </cfRule>
  </conditionalFormatting>
  <conditionalFormatting sqref="D9:D170">
    <cfRule type="cellIs" dxfId="395" priority="678" operator="equal">
      <formula>"NÃO INICIADO"</formula>
    </cfRule>
  </conditionalFormatting>
  <conditionalFormatting sqref="D9:D170">
    <cfRule type="cellIs" dxfId="394" priority="677" operator="equal">
      <formula>"FINALIZADO"</formula>
    </cfRule>
  </conditionalFormatting>
  <conditionalFormatting sqref="D9:D170">
    <cfRule type="cellIs" dxfId="393" priority="676" operator="equal">
      <formula>"EM PROCESSO"</formula>
    </cfRule>
  </conditionalFormatting>
  <conditionalFormatting sqref="D9:D83">
    <cfRule type="cellIs" dxfId="392" priority="675" operator="equal">
      <formula>"NÃO INICIADO"</formula>
    </cfRule>
  </conditionalFormatting>
  <conditionalFormatting sqref="D9:D83">
    <cfRule type="cellIs" dxfId="391" priority="674" operator="equal">
      <formula>"FINALIZADO"</formula>
    </cfRule>
  </conditionalFormatting>
  <conditionalFormatting sqref="D9:D83">
    <cfRule type="cellIs" dxfId="390" priority="673" operator="equal">
      <formula>"EM PROCESSO"</formula>
    </cfRule>
  </conditionalFormatting>
  <conditionalFormatting sqref="D9:D85">
    <cfRule type="cellIs" dxfId="389" priority="672" operator="equal">
      <formula>"NÃO INICIADO"</formula>
    </cfRule>
    <cfRule type="cellIs" dxfId="388" priority="285" operator="equal">
      <formula>"NÃO INICIADO"</formula>
    </cfRule>
  </conditionalFormatting>
  <conditionalFormatting sqref="D9:D85">
    <cfRule type="cellIs" dxfId="387" priority="671" operator="equal">
      <formula>"FINALIZADO"</formula>
    </cfRule>
    <cfRule type="cellIs" dxfId="386" priority="463" operator="equal">
      <formula>"EM PROCESSO"</formula>
    </cfRule>
  </conditionalFormatting>
  <conditionalFormatting sqref="D9:D85">
    <cfRule type="cellIs" dxfId="385" priority="670" operator="equal">
      <formula>"EM PROCESSO"</formula>
    </cfRule>
    <cfRule type="cellIs" dxfId="384" priority="284" operator="equal">
      <formula>"FINALIZADO"</formula>
    </cfRule>
  </conditionalFormatting>
  <conditionalFormatting sqref="D9:D36">
    <cfRule type="cellIs" dxfId="383" priority="669" operator="equal">
      <formula>"NÃO INICIADO"</formula>
    </cfRule>
  </conditionalFormatting>
  <conditionalFormatting sqref="D9:D36">
    <cfRule type="cellIs" dxfId="382" priority="668" operator="equal">
      <formula>"FINALIZADO"</formula>
    </cfRule>
  </conditionalFormatting>
  <conditionalFormatting sqref="D9:D36">
    <cfRule type="cellIs" dxfId="381" priority="667" operator="equal">
      <formula>"EM PROCESSO"</formula>
    </cfRule>
  </conditionalFormatting>
  <conditionalFormatting sqref="D9:D38">
    <cfRule type="cellIs" dxfId="380" priority="663" operator="equal">
      <formula>"NÃO INICIADO"</formula>
    </cfRule>
  </conditionalFormatting>
  <conditionalFormatting sqref="D9:D38">
    <cfRule type="cellIs" dxfId="379" priority="662" operator="equal">
      <formula>"FINALIZADO"</formula>
    </cfRule>
  </conditionalFormatting>
  <conditionalFormatting sqref="D9:D38">
    <cfRule type="cellIs" dxfId="378" priority="661" operator="equal">
      <formula>"EM PROCESSO"</formula>
    </cfRule>
  </conditionalFormatting>
  <conditionalFormatting sqref="D9:D64">
    <cfRule type="cellIs" dxfId="377" priority="660" operator="equal">
      <formula>"NÃO INICIADO"</formula>
    </cfRule>
    <cfRule type="cellIs" dxfId="376" priority="656" operator="equal">
      <formula>"FINALIZADO"</formula>
    </cfRule>
  </conditionalFormatting>
  <conditionalFormatting sqref="D9:D64">
    <cfRule type="cellIs" dxfId="375" priority="659" operator="equal">
      <formula>"FINALIZADO"</formula>
    </cfRule>
    <cfRule type="cellIs" dxfId="374" priority="657" operator="equal">
      <formula>"NÃO INICIADO"</formula>
    </cfRule>
  </conditionalFormatting>
  <conditionalFormatting sqref="D9:D64">
    <cfRule type="cellIs" dxfId="373" priority="658" operator="equal">
      <formula>"EM PROCESSO"</formula>
    </cfRule>
  </conditionalFormatting>
  <conditionalFormatting sqref="D9:D64">
    <cfRule type="cellIs" dxfId="372" priority="655" operator="equal">
      <formula>"EM PROCESSO"</formula>
    </cfRule>
  </conditionalFormatting>
  <conditionalFormatting sqref="D9:D45">
    <cfRule type="cellIs" dxfId="371" priority="651" operator="equal">
      <formula>"NÃO INICIADO"</formula>
    </cfRule>
  </conditionalFormatting>
  <conditionalFormatting sqref="D9:D45">
    <cfRule type="cellIs" dxfId="370" priority="650" operator="equal">
      <formula>"FINALIZADO"</formula>
    </cfRule>
  </conditionalFormatting>
  <conditionalFormatting sqref="D9:D45">
    <cfRule type="cellIs" dxfId="369" priority="649" operator="equal">
      <formula>"EM PROCESSO"</formula>
    </cfRule>
  </conditionalFormatting>
  <conditionalFormatting sqref="D9:D530">
    <cfRule type="cellIs" dxfId="368" priority="648" operator="equal">
      <formula>"NÃO INICIADO"</formula>
    </cfRule>
    <cfRule type="cellIs" dxfId="367" priority="647" operator="equal">
      <formula>"FINALIZADO"</formula>
    </cfRule>
    <cfRule type="cellIs" dxfId="366" priority="646" operator="equal">
      <formula>"EM PROCESSO"</formula>
    </cfRule>
  </conditionalFormatting>
  <conditionalFormatting sqref="D9:D71">
    <cfRule type="cellIs" dxfId="365" priority="645" operator="equal">
      <formula>"NÃO INICIADO"</formula>
    </cfRule>
  </conditionalFormatting>
  <conditionalFormatting sqref="D9:D71">
    <cfRule type="cellIs" dxfId="364" priority="644" operator="equal">
      <formula>"FINALIZADO"</formula>
    </cfRule>
  </conditionalFormatting>
  <conditionalFormatting sqref="D9:D71">
    <cfRule type="cellIs" dxfId="363" priority="643" operator="equal">
      <formula>"EM PROCESSO"</formula>
    </cfRule>
  </conditionalFormatting>
  <conditionalFormatting sqref="D9:D315">
    <cfRule type="cellIs" dxfId="362" priority="642" operator="equal">
      <formula>"NÃO INICIADO"</formula>
    </cfRule>
  </conditionalFormatting>
  <conditionalFormatting sqref="D9:D315">
    <cfRule type="cellIs" dxfId="361" priority="641" operator="equal">
      <formula>"FINALIZADO"</formula>
    </cfRule>
  </conditionalFormatting>
  <conditionalFormatting sqref="D9:D315">
    <cfRule type="cellIs" dxfId="360" priority="640" operator="equal">
      <formula>"EM PROCESSO"</formula>
    </cfRule>
  </conditionalFormatting>
  <conditionalFormatting sqref="D9:D221">
    <cfRule type="cellIs" dxfId="359" priority="639" operator="equal">
      <formula>"NÃO INICIADO"</formula>
    </cfRule>
  </conditionalFormatting>
  <conditionalFormatting sqref="D9:D221">
    <cfRule type="cellIs" dxfId="358" priority="638" operator="equal">
      <formula>"FINALIZADO"</formula>
    </cfRule>
  </conditionalFormatting>
  <conditionalFormatting sqref="D9:D221">
    <cfRule type="cellIs" dxfId="357" priority="637" operator="equal">
      <formula>"EM PROCESSO"</formula>
    </cfRule>
  </conditionalFormatting>
  <conditionalFormatting sqref="D9:D45">
    <cfRule type="cellIs" dxfId="356" priority="636" operator="equal">
      <formula>"NÃO INICIADO"</formula>
    </cfRule>
  </conditionalFormatting>
  <conditionalFormatting sqref="D9:D45">
    <cfRule type="cellIs" dxfId="355" priority="635" operator="equal">
      <formula>"FINALIZADO"</formula>
    </cfRule>
  </conditionalFormatting>
  <conditionalFormatting sqref="D9:D45">
    <cfRule type="cellIs" dxfId="354" priority="634" operator="equal">
      <formula>"EM PROCESSO"</formula>
    </cfRule>
  </conditionalFormatting>
  <conditionalFormatting sqref="D9:D226">
    <cfRule type="cellIs" dxfId="353" priority="633" operator="equal">
      <formula>"NÃO INICIADO"</formula>
    </cfRule>
  </conditionalFormatting>
  <conditionalFormatting sqref="D9:D226">
    <cfRule type="cellIs" dxfId="352" priority="632" operator="equal">
      <formula>"FINALIZADO"</formula>
    </cfRule>
  </conditionalFormatting>
  <conditionalFormatting sqref="D9:D226">
    <cfRule type="cellIs" dxfId="351" priority="631" operator="equal">
      <formula>"EM PROCESSO"</formula>
    </cfRule>
  </conditionalFormatting>
  <conditionalFormatting sqref="D9:D58">
    <cfRule type="cellIs" dxfId="350" priority="627" operator="equal">
      <formula>"NÃO INICIADO"</formula>
    </cfRule>
  </conditionalFormatting>
  <conditionalFormatting sqref="D9:D58">
    <cfRule type="cellIs" dxfId="349" priority="626" operator="equal">
      <formula>"FINALIZADO"</formula>
    </cfRule>
  </conditionalFormatting>
  <conditionalFormatting sqref="D9:D58">
    <cfRule type="cellIs" dxfId="348" priority="625" operator="equal">
      <formula>"EM PROCESSO"</formula>
    </cfRule>
  </conditionalFormatting>
  <conditionalFormatting sqref="D9:D20">
    <cfRule type="cellIs" dxfId="347" priority="624" operator="equal">
      <formula>"NÃO INICIADO"</formula>
    </cfRule>
  </conditionalFormatting>
  <conditionalFormatting sqref="D9:D20">
    <cfRule type="cellIs" dxfId="346" priority="623" operator="equal">
      <formula>"FINALIZADO"</formula>
    </cfRule>
  </conditionalFormatting>
  <conditionalFormatting sqref="D9:D20">
    <cfRule type="cellIs" dxfId="345" priority="622" operator="equal">
      <formula>"EM PROCESSO"</formula>
    </cfRule>
  </conditionalFormatting>
  <conditionalFormatting sqref="D9:D32">
    <cfRule type="cellIs" dxfId="344" priority="621" operator="equal">
      <formula>"NÃO INICIADO"</formula>
    </cfRule>
  </conditionalFormatting>
  <conditionalFormatting sqref="D9:D32">
    <cfRule type="cellIs" dxfId="343" priority="620" operator="equal">
      <formula>"FINALIZADO"</formula>
    </cfRule>
  </conditionalFormatting>
  <conditionalFormatting sqref="D9:D32">
    <cfRule type="cellIs" dxfId="342" priority="619" operator="equal">
      <formula>"EM PROCESSO"</formula>
    </cfRule>
  </conditionalFormatting>
  <conditionalFormatting sqref="D9:D472">
    <cfRule type="cellIs" dxfId="341" priority="618" operator="equal">
      <formula>"NÃO INICIADO"</formula>
    </cfRule>
    <cfRule type="cellIs" dxfId="340" priority="617" operator="equal">
      <formula>"FINALIZADO"</formula>
    </cfRule>
    <cfRule type="cellIs" dxfId="339" priority="616" operator="equal">
      <formula>"EM PROCESSO"</formula>
    </cfRule>
  </conditionalFormatting>
  <conditionalFormatting sqref="D9:D27">
    <cfRule type="cellIs" dxfId="338" priority="615" operator="equal">
      <formula>"NÃO INICIADO"</formula>
    </cfRule>
  </conditionalFormatting>
  <conditionalFormatting sqref="D9:D27">
    <cfRule type="cellIs" dxfId="337" priority="614" operator="equal">
      <formula>"FINALIZADO"</formula>
    </cfRule>
  </conditionalFormatting>
  <conditionalFormatting sqref="D9:D27">
    <cfRule type="cellIs" dxfId="336" priority="613" operator="equal">
      <formula>"EM PROCESSO"</formula>
    </cfRule>
  </conditionalFormatting>
  <conditionalFormatting sqref="D9:D117">
    <cfRule type="cellIs" dxfId="335" priority="612" operator="equal">
      <formula>"NÃO INICIADO"</formula>
    </cfRule>
  </conditionalFormatting>
  <conditionalFormatting sqref="D9:D117">
    <cfRule type="cellIs" dxfId="334" priority="611" operator="equal">
      <formula>"FINALIZADO"</formula>
    </cfRule>
  </conditionalFormatting>
  <conditionalFormatting sqref="D9:D117">
    <cfRule type="cellIs" dxfId="333" priority="610" operator="equal">
      <formula>"EM PROCESSO"</formula>
    </cfRule>
  </conditionalFormatting>
  <conditionalFormatting sqref="D9:D96">
    <cfRule type="cellIs" dxfId="332" priority="609" operator="equal">
      <formula>"NÃO INICIADO"</formula>
    </cfRule>
  </conditionalFormatting>
  <conditionalFormatting sqref="D9:D96">
    <cfRule type="cellIs" dxfId="331" priority="608" operator="equal">
      <formula>"FINALIZADO"</formula>
    </cfRule>
  </conditionalFormatting>
  <conditionalFormatting sqref="D9:D96">
    <cfRule type="cellIs" dxfId="330" priority="607" operator="equal">
      <formula>"EM PROCESSO"</formula>
    </cfRule>
  </conditionalFormatting>
  <conditionalFormatting sqref="D9:D108">
    <cfRule type="cellIs" dxfId="329" priority="606" operator="equal">
      <formula>"NÃO INICIADO"</formula>
    </cfRule>
  </conditionalFormatting>
  <conditionalFormatting sqref="D9:D108">
    <cfRule type="cellIs" dxfId="328" priority="605" operator="equal">
      <formula>"FINALIZADO"</formula>
    </cfRule>
  </conditionalFormatting>
  <conditionalFormatting sqref="D9:D108">
    <cfRule type="cellIs" dxfId="327" priority="604" operator="equal">
      <formula>"EM PROCESSO"</formula>
    </cfRule>
  </conditionalFormatting>
  <conditionalFormatting sqref="D9:D26">
    <cfRule type="cellIs" dxfId="326" priority="597" operator="equal">
      <formula>"NÃO INICIADO"</formula>
    </cfRule>
  </conditionalFormatting>
  <conditionalFormatting sqref="D9:D26">
    <cfRule type="cellIs" dxfId="325" priority="596" operator="equal">
      <formula>"FINALIZADO"</formula>
    </cfRule>
  </conditionalFormatting>
  <conditionalFormatting sqref="D9:D26">
    <cfRule type="cellIs" dxfId="324" priority="595" operator="equal">
      <formula>"EM PROCESSO"</formula>
    </cfRule>
  </conditionalFormatting>
  <conditionalFormatting sqref="D9:D52">
    <cfRule type="cellIs" dxfId="323" priority="594" operator="equal">
      <formula>"NÃO INICIADO"</formula>
    </cfRule>
  </conditionalFormatting>
  <conditionalFormatting sqref="D9:D52">
    <cfRule type="cellIs" dxfId="322" priority="593" operator="equal">
      <formula>"FINALIZADO"</formula>
    </cfRule>
  </conditionalFormatting>
  <conditionalFormatting sqref="D9:D52">
    <cfRule type="cellIs" dxfId="321" priority="592" operator="equal">
      <formula>"EM PROCESSO"</formula>
    </cfRule>
  </conditionalFormatting>
  <conditionalFormatting sqref="D9:D60">
    <cfRule type="cellIs" dxfId="320" priority="591" operator="equal">
      <formula>"NÃO INICIADO"</formula>
    </cfRule>
  </conditionalFormatting>
  <conditionalFormatting sqref="D9:D60">
    <cfRule type="cellIs" dxfId="319" priority="590" operator="equal">
      <formula>"FINALIZADO"</formula>
    </cfRule>
  </conditionalFormatting>
  <conditionalFormatting sqref="D9:D60">
    <cfRule type="cellIs" dxfId="318" priority="589" operator="equal">
      <formula>"EM PROCESSO"</formula>
    </cfRule>
  </conditionalFormatting>
  <conditionalFormatting sqref="D9:D182">
    <cfRule type="cellIs" dxfId="317" priority="585" operator="equal">
      <formula>"NÃO INICIADO"</formula>
    </cfRule>
  </conditionalFormatting>
  <conditionalFormatting sqref="D9:D182">
    <cfRule type="cellIs" dxfId="316" priority="584" operator="equal">
      <formula>"FINALIZADO"</formula>
    </cfRule>
  </conditionalFormatting>
  <conditionalFormatting sqref="D9:D182">
    <cfRule type="cellIs" dxfId="315" priority="583" operator="equal">
      <formula>"EM PROCESSO"</formula>
    </cfRule>
  </conditionalFormatting>
  <conditionalFormatting sqref="D9:D147">
    <cfRule type="cellIs" dxfId="314" priority="582" operator="equal">
      <formula>"NÃO INICIADO"</formula>
    </cfRule>
  </conditionalFormatting>
  <conditionalFormatting sqref="D9:D147">
    <cfRule type="cellIs" dxfId="313" priority="581" operator="equal">
      <formula>"FINALIZADO"</formula>
    </cfRule>
  </conditionalFormatting>
  <conditionalFormatting sqref="D9:D147">
    <cfRule type="cellIs" dxfId="312" priority="580" operator="equal">
      <formula>"EM PROCESSO"</formula>
    </cfRule>
  </conditionalFormatting>
  <conditionalFormatting sqref="D9:D104">
    <cfRule type="cellIs" dxfId="311" priority="579" operator="equal">
      <formula>"NÃO INICIADO"</formula>
    </cfRule>
  </conditionalFormatting>
  <conditionalFormatting sqref="D9:D104">
    <cfRule type="cellIs" dxfId="310" priority="578" operator="equal">
      <formula>"FINALIZADO"</formula>
    </cfRule>
  </conditionalFormatting>
  <conditionalFormatting sqref="D9:D104">
    <cfRule type="cellIs" dxfId="309" priority="577" operator="equal">
      <formula>"EM PROCESSO"</formula>
    </cfRule>
  </conditionalFormatting>
  <conditionalFormatting sqref="D9:D92">
    <cfRule type="cellIs" dxfId="308" priority="576" operator="equal">
      <formula>"NÃO INICIADO"</formula>
    </cfRule>
  </conditionalFormatting>
  <conditionalFormatting sqref="D9:D92">
    <cfRule type="cellIs" dxfId="307" priority="575" operator="equal">
      <formula>"FINALIZADO"</formula>
    </cfRule>
  </conditionalFormatting>
  <conditionalFormatting sqref="D9:D92">
    <cfRule type="cellIs" dxfId="306" priority="574" operator="equal">
      <formula>"EM PROCESSO"</formula>
    </cfRule>
  </conditionalFormatting>
  <conditionalFormatting sqref="D9:D71">
    <cfRule type="cellIs" dxfId="305" priority="573" operator="equal">
      <formula>"NÃO INICIADO"</formula>
    </cfRule>
  </conditionalFormatting>
  <conditionalFormatting sqref="D9:D71">
    <cfRule type="cellIs" dxfId="304" priority="572" operator="equal">
      <formula>"FINALIZADO"</formula>
    </cfRule>
  </conditionalFormatting>
  <conditionalFormatting sqref="D9:D71">
    <cfRule type="cellIs" dxfId="303" priority="571" operator="equal">
      <formula>"EM PROCESSO"</formula>
    </cfRule>
  </conditionalFormatting>
  <conditionalFormatting sqref="D9:D30">
    <cfRule type="cellIs" dxfId="302" priority="563" operator="equal">
      <formula>"FINALIZADO"</formula>
    </cfRule>
  </conditionalFormatting>
  <conditionalFormatting sqref="D9:D30">
    <cfRule type="cellIs" dxfId="301" priority="562" operator="equal">
      <formula>"EM PROCESSO"</formula>
    </cfRule>
  </conditionalFormatting>
  <conditionalFormatting sqref="D9:D22">
    <cfRule type="cellIs" dxfId="300" priority="561" operator="equal">
      <formula>"NÃO INICIADO"</formula>
    </cfRule>
  </conditionalFormatting>
  <conditionalFormatting sqref="D9:D22">
    <cfRule type="cellIs" dxfId="299" priority="560" operator="equal">
      <formula>"FINALIZADO"</formula>
    </cfRule>
  </conditionalFormatting>
  <conditionalFormatting sqref="D9:D22">
    <cfRule type="cellIs" dxfId="298" priority="559" operator="equal">
      <formula>"EM PROCESSO"</formula>
    </cfRule>
  </conditionalFormatting>
  <conditionalFormatting sqref="D9:D45">
    <cfRule type="cellIs" dxfId="297" priority="558" operator="equal">
      <formula>"NÃO INICIADO"</formula>
    </cfRule>
  </conditionalFormatting>
  <conditionalFormatting sqref="D9:D45">
    <cfRule type="cellIs" dxfId="296" priority="557" operator="equal">
      <formula>"FINALIZADO"</formula>
    </cfRule>
  </conditionalFormatting>
  <conditionalFormatting sqref="D9:D45">
    <cfRule type="cellIs" dxfId="295" priority="556" operator="equal">
      <formula>"EM PROCESSO"</formula>
    </cfRule>
  </conditionalFormatting>
  <conditionalFormatting sqref="D9:D155">
    <cfRule type="cellIs" dxfId="294" priority="555" operator="equal">
      <formula>"NÃO INICIADO"</formula>
    </cfRule>
  </conditionalFormatting>
  <conditionalFormatting sqref="D9:D155">
    <cfRule type="cellIs" dxfId="293" priority="554" operator="equal">
      <formula>"FINALIZADO"</formula>
    </cfRule>
  </conditionalFormatting>
  <conditionalFormatting sqref="D9:D155">
    <cfRule type="cellIs" dxfId="292" priority="553" operator="equal">
      <formula>"EM PROCESSO"</formula>
    </cfRule>
  </conditionalFormatting>
  <conditionalFormatting sqref="D9:D27">
    <cfRule type="cellIs" dxfId="291" priority="552" operator="equal">
      <formula>"NÃO INICIADO"</formula>
    </cfRule>
  </conditionalFormatting>
  <conditionalFormatting sqref="D9:D27">
    <cfRule type="cellIs" dxfId="290" priority="551" operator="equal">
      <formula>"FINALIZADO"</formula>
    </cfRule>
  </conditionalFormatting>
  <conditionalFormatting sqref="D9:D27">
    <cfRule type="cellIs" dxfId="289" priority="550" operator="equal">
      <formula>"EM PROCESSO"</formula>
    </cfRule>
  </conditionalFormatting>
  <conditionalFormatting sqref="D9:D109">
    <cfRule type="cellIs" dxfId="288" priority="549" operator="equal">
      <formula>"NÃO INICIADO"</formula>
    </cfRule>
  </conditionalFormatting>
  <conditionalFormatting sqref="D9:D109">
    <cfRule type="cellIs" dxfId="287" priority="548" operator="equal">
      <formula>"FINALIZADO"</formula>
    </cfRule>
  </conditionalFormatting>
  <conditionalFormatting sqref="D9:D109">
    <cfRule type="cellIs" dxfId="286" priority="547" operator="equal">
      <formula>"EM PROCESSO"</formula>
    </cfRule>
  </conditionalFormatting>
  <conditionalFormatting sqref="D9:D76">
    <cfRule type="cellIs" dxfId="285" priority="546" operator="equal">
      <formula>"NÃO INICIADO"</formula>
    </cfRule>
  </conditionalFormatting>
  <conditionalFormatting sqref="D9:D76">
    <cfRule type="cellIs" dxfId="284" priority="545" operator="equal">
      <formula>"FINALIZADO"</formula>
    </cfRule>
  </conditionalFormatting>
  <conditionalFormatting sqref="D9:D76">
    <cfRule type="cellIs" dxfId="283" priority="544" operator="equal">
      <formula>"EM PROCESSO"</formula>
    </cfRule>
  </conditionalFormatting>
  <conditionalFormatting sqref="D9:D74">
    <cfRule type="cellIs" dxfId="282" priority="543" operator="equal">
      <formula>"NÃO INICIADO"</formula>
    </cfRule>
  </conditionalFormatting>
  <conditionalFormatting sqref="D9:D74">
    <cfRule type="cellIs" dxfId="281" priority="542" operator="equal">
      <formula>"FINALIZADO"</formula>
    </cfRule>
  </conditionalFormatting>
  <conditionalFormatting sqref="D9:D74">
    <cfRule type="cellIs" dxfId="280" priority="541" operator="equal">
      <formula>"EM PROCESSO"</formula>
    </cfRule>
  </conditionalFormatting>
  <conditionalFormatting sqref="D9:D33">
    <cfRule type="cellIs" dxfId="279" priority="537" operator="equal">
      <formula>"NÃO INICIADO"</formula>
    </cfRule>
  </conditionalFormatting>
  <conditionalFormatting sqref="D9:D33">
    <cfRule type="cellIs" dxfId="278" priority="536" operator="equal">
      <formula>"FINALIZADO"</formula>
    </cfRule>
  </conditionalFormatting>
  <conditionalFormatting sqref="D9:D33">
    <cfRule type="cellIs" dxfId="277" priority="535" operator="equal">
      <formula>"EM PROCESSO"</formula>
    </cfRule>
  </conditionalFormatting>
  <conditionalFormatting sqref="D9:D27">
    <cfRule type="cellIs" dxfId="276" priority="534" operator="equal">
      <formula>"NÃO INICIADO"</formula>
    </cfRule>
  </conditionalFormatting>
  <conditionalFormatting sqref="D9:D27">
    <cfRule type="cellIs" dxfId="275" priority="533" operator="equal">
      <formula>"FINALIZADO"</formula>
    </cfRule>
  </conditionalFormatting>
  <conditionalFormatting sqref="D9:D27">
    <cfRule type="cellIs" dxfId="274" priority="532" operator="equal">
      <formula>"EM PROCESSO"</formula>
    </cfRule>
  </conditionalFormatting>
  <conditionalFormatting sqref="D9:D77">
    <cfRule type="cellIs" dxfId="273" priority="530" operator="equal">
      <formula>"FINALIZADO"</formula>
    </cfRule>
  </conditionalFormatting>
  <conditionalFormatting sqref="D9:D77">
    <cfRule type="cellIs" dxfId="272" priority="529" operator="equal">
      <formula>"EM PROCESSO"</formula>
    </cfRule>
  </conditionalFormatting>
  <conditionalFormatting sqref="D9:D166">
    <cfRule type="cellIs" dxfId="271" priority="525" operator="equal">
      <formula>"NÃO INICIADO"</formula>
    </cfRule>
  </conditionalFormatting>
  <conditionalFormatting sqref="D9:D166">
    <cfRule type="cellIs" dxfId="270" priority="524" operator="equal">
      <formula>"FINALIZADO"</formula>
    </cfRule>
  </conditionalFormatting>
  <conditionalFormatting sqref="D9:D166">
    <cfRule type="cellIs" dxfId="269" priority="523" operator="equal">
      <formula>"EM PROCESSO"</formula>
    </cfRule>
  </conditionalFormatting>
  <conditionalFormatting sqref="D9:D21">
    <cfRule type="cellIs" dxfId="268" priority="522" operator="equal">
      <formula>"NÃO INICIADO"</formula>
    </cfRule>
  </conditionalFormatting>
  <conditionalFormatting sqref="D9:D21">
    <cfRule type="cellIs" dxfId="267" priority="521" operator="equal">
      <formula>"FINALIZADO"</formula>
    </cfRule>
  </conditionalFormatting>
  <conditionalFormatting sqref="D9:D21">
    <cfRule type="cellIs" dxfId="266" priority="520" operator="equal">
      <formula>"EM PROCESSO"</formula>
    </cfRule>
  </conditionalFormatting>
  <conditionalFormatting sqref="D9:D85">
    <cfRule type="cellIs" dxfId="265" priority="519" operator="equal">
      <formula>"NÃO INICIADO"</formula>
    </cfRule>
  </conditionalFormatting>
  <conditionalFormatting sqref="D9:D85">
    <cfRule type="cellIs" dxfId="264" priority="518" operator="equal">
      <formula>"FINALIZADO"</formula>
    </cfRule>
  </conditionalFormatting>
  <conditionalFormatting sqref="D9:D85">
    <cfRule type="cellIs" dxfId="263" priority="517" operator="equal">
      <formula>"EM PROCESSO"</formula>
    </cfRule>
    <cfRule type="cellIs" dxfId="262" priority="283" operator="equal">
      <formula>"EM PROCESSO"</formula>
    </cfRule>
  </conditionalFormatting>
  <conditionalFormatting sqref="D9:D75">
    <cfRule type="cellIs" dxfId="261" priority="516" operator="equal">
      <formula>"NÃO INICIADO"</formula>
    </cfRule>
  </conditionalFormatting>
  <conditionalFormatting sqref="D9:D75">
    <cfRule type="cellIs" dxfId="260" priority="515" operator="equal">
      <formula>"FINALIZADO"</formula>
    </cfRule>
  </conditionalFormatting>
  <conditionalFormatting sqref="D9:D75">
    <cfRule type="cellIs" dxfId="259" priority="514" operator="equal">
      <formula>"EM PROCESSO"</formula>
    </cfRule>
  </conditionalFormatting>
  <conditionalFormatting sqref="D9:D71">
    <cfRule type="cellIs" dxfId="258" priority="513" operator="equal">
      <formula>"NÃO INICIADO"</formula>
    </cfRule>
  </conditionalFormatting>
  <conditionalFormatting sqref="D9:D71">
    <cfRule type="cellIs" dxfId="257" priority="512" operator="equal">
      <formula>"FINALIZADO"</formula>
    </cfRule>
  </conditionalFormatting>
  <conditionalFormatting sqref="D9:D71">
    <cfRule type="cellIs" dxfId="256" priority="511" operator="equal">
      <formula>"EM PROCESSO"</formula>
    </cfRule>
  </conditionalFormatting>
  <conditionalFormatting sqref="D9:D95">
    <cfRule type="cellIs" dxfId="255" priority="501" operator="equal">
      <formula>"NÃO INICIADO"</formula>
    </cfRule>
  </conditionalFormatting>
  <conditionalFormatting sqref="D9:D95">
    <cfRule type="cellIs" dxfId="254" priority="500" operator="equal">
      <formula>"FINALIZADO"</formula>
    </cfRule>
  </conditionalFormatting>
  <conditionalFormatting sqref="D9:D95">
    <cfRule type="cellIs" dxfId="253" priority="499" operator="equal">
      <formula>"EM PROCESSO"</formula>
    </cfRule>
  </conditionalFormatting>
  <conditionalFormatting sqref="D9:D158">
    <cfRule type="cellIs" dxfId="252" priority="498" operator="equal">
      <formula>"NÃO INICIADO"</formula>
    </cfRule>
  </conditionalFormatting>
  <conditionalFormatting sqref="D9:D158">
    <cfRule type="cellIs" dxfId="251" priority="497" operator="equal">
      <formula>"FINALIZADO"</formula>
    </cfRule>
  </conditionalFormatting>
  <conditionalFormatting sqref="D9:D158">
    <cfRule type="cellIs" dxfId="250" priority="496" operator="equal">
      <formula>"EM PROCESSO"</formula>
    </cfRule>
  </conditionalFormatting>
  <conditionalFormatting sqref="D9:D194">
    <cfRule type="cellIs" dxfId="249" priority="492" operator="equal">
      <formula>"NÃO INICIADO"</formula>
    </cfRule>
  </conditionalFormatting>
  <conditionalFormatting sqref="D9:D194">
    <cfRule type="cellIs" dxfId="248" priority="491" operator="equal">
      <formula>"FINALIZADO"</formula>
    </cfRule>
  </conditionalFormatting>
  <conditionalFormatting sqref="D9:D194">
    <cfRule type="cellIs" dxfId="247" priority="490" operator="equal">
      <formula>"EM PROCESSO"</formula>
    </cfRule>
  </conditionalFormatting>
  <conditionalFormatting sqref="D9:D54">
    <cfRule type="cellIs" dxfId="246" priority="486" operator="equal">
      <formula>"NÃO INICIADO"</formula>
    </cfRule>
  </conditionalFormatting>
  <conditionalFormatting sqref="D9:D54">
    <cfRule type="cellIs" dxfId="245" priority="485" operator="equal">
      <formula>"FINALIZADO"</formula>
    </cfRule>
  </conditionalFormatting>
  <conditionalFormatting sqref="D9:D54">
    <cfRule type="cellIs" dxfId="244" priority="484" operator="equal">
      <formula>"EM PROCESSO"</formula>
    </cfRule>
  </conditionalFormatting>
  <conditionalFormatting sqref="D9:D29">
    <cfRule type="cellIs" dxfId="243" priority="471" operator="equal">
      <formula>"NÃO INICIADO"</formula>
    </cfRule>
  </conditionalFormatting>
  <conditionalFormatting sqref="D9:D29">
    <cfRule type="cellIs" dxfId="242" priority="470" operator="equal">
      <formula>"FINALIZADO"</formula>
    </cfRule>
  </conditionalFormatting>
  <conditionalFormatting sqref="D9:D29">
    <cfRule type="cellIs" dxfId="241" priority="469" operator="equal">
      <formula>"EM PROCESSO"</formula>
    </cfRule>
  </conditionalFormatting>
  <conditionalFormatting sqref="D9:D175">
    <cfRule type="cellIs" dxfId="240" priority="462" operator="equal">
      <formula>"NÃO INICIADO"</formula>
    </cfRule>
  </conditionalFormatting>
  <conditionalFormatting sqref="D9:D175">
    <cfRule type="cellIs" dxfId="239" priority="461" operator="equal">
      <formula>"FINALIZADO"</formula>
    </cfRule>
  </conditionalFormatting>
  <conditionalFormatting sqref="D9:D175">
    <cfRule type="cellIs" dxfId="238" priority="460" operator="equal">
      <formula>"EM PROCESSO"</formula>
    </cfRule>
  </conditionalFormatting>
  <conditionalFormatting sqref="D9:D109">
    <cfRule type="cellIs" dxfId="237" priority="459" operator="equal">
      <formula>"NÃO INICIADO"</formula>
    </cfRule>
  </conditionalFormatting>
  <conditionalFormatting sqref="D9:D109">
    <cfRule type="cellIs" dxfId="236" priority="458" operator="equal">
      <formula>"FINALIZADO"</formula>
    </cfRule>
  </conditionalFormatting>
  <conditionalFormatting sqref="D9:D109">
    <cfRule type="cellIs" dxfId="235" priority="457" operator="equal">
      <formula>"EM PROCESSO"</formula>
    </cfRule>
  </conditionalFormatting>
  <conditionalFormatting sqref="D9:D175">
    <cfRule type="cellIs" dxfId="234" priority="456" operator="equal">
      <formula>"NÃO INICIADO"</formula>
    </cfRule>
  </conditionalFormatting>
  <conditionalFormatting sqref="D9:D175">
    <cfRule type="cellIs" dxfId="233" priority="455" operator="equal">
      <formula>"FINALIZADO"</formula>
    </cfRule>
  </conditionalFormatting>
  <conditionalFormatting sqref="D9:D175">
    <cfRule type="cellIs" dxfId="232" priority="454" operator="equal">
      <formula>"EM PROCESSO"</formula>
    </cfRule>
  </conditionalFormatting>
  <conditionalFormatting sqref="D9:D94">
    <cfRule type="cellIs" dxfId="231" priority="453" operator="equal">
      <formula>"NÃO INICIADO"</formula>
    </cfRule>
  </conditionalFormatting>
  <conditionalFormatting sqref="D9:D94">
    <cfRule type="cellIs" dxfId="230" priority="452" operator="equal">
      <formula>"FINALIZADO"</formula>
    </cfRule>
  </conditionalFormatting>
  <conditionalFormatting sqref="D9:D94">
    <cfRule type="cellIs" dxfId="229" priority="451" operator="equal">
      <formula>"EM PROCESSO"</formula>
    </cfRule>
  </conditionalFormatting>
  <conditionalFormatting sqref="D9:D79">
    <cfRule type="cellIs" dxfId="228" priority="450" operator="equal">
      <formula>"NÃO INICIADO"</formula>
    </cfRule>
  </conditionalFormatting>
  <conditionalFormatting sqref="D9:D79">
    <cfRule type="cellIs" dxfId="227" priority="449" operator="equal">
      <formula>"FINALIZADO"</formula>
    </cfRule>
  </conditionalFormatting>
  <conditionalFormatting sqref="D9:D79">
    <cfRule type="cellIs" dxfId="226" priority="448" operator="equal">
      <formula>"EM PROCESSO"</formula>
    </cfRule>
  </conditionalFormatting>
  <conditionalFormatting sqref="D9:D26">
    <cfRule type="cellIs" dxfId="225" priority="441" operator="equal">
      <formula>"NÃO INICIADO"</formula>
    </cfRule>
  </conditionalFormatting>
  <conditionalFormatting sqref="D9:D26">
    <cfRule type="cellIs" dxfId="224" priority="440" operator="equal">
      <formula>"FINALIZADO"</formula>
    </cfRule>
  </conditionalFormatting>
  <conditionalFormatting sqref="D9:D26">
    <cfRule type="cellIs" dxfId="223" priority="439" operator="equal">
      <formula>"EM PROCESSO"</formula>
    </cfRule>
  </conditionalFormatting>
  <conditionalFormatting sqref="D9:D47">
    <cfRule type="cellIs" dxfId="222" priority="435" operator="equal">
      <formula>"NÃO INICIADO"</formula>
    </cfRule>
  </conditionalFormatting>
  <conditionalFormatting sqref="D9:D47">
    <cfRule type="cellIs" dxfId="221" priority="434" operator="equal">
      <formula>"FINALIZADO"</formula>
    </cfRule>
  </conditionalFormatting>
  <conditionalFormatting sqref="D9:D47">
    <cfRule type="cellIs" dxfId="220" priority="433" operator="equal">
      <formula>"EM PROCESSO"</formula>
    </cfRule>
  </conditionalFormatting>
  <conditionalFormatting sqref="D9:D179">
    <cfRule type="cellIs" dxfId="219" priority="432" operator="equal">
      <formula>"NÃO INICIADO"</formula>
    </cfRule>
  </conditionalFormatting>
  <conditionalFormatting sqref="D9:D179">
    <cfRule type="cellIs" dxfId="218" priority="431" operator="equal">
      <formula>"FINALIZADO"</formula>
    </cfRule>
  </conditionalFormatting>
  <conditionalFormatting sqref="D9:D179">
    <cfRule type="cellIs" dxfId="217" priority="430" operator="equal">
      <formula>"EM PROCESSO"</formula>
    </cfRule>
  </conditionalFormatting>
  <conditionalFormatting sqref="D9:D20">
    <cfRule type="cellIs" dxfId="216" priority="429" operator="equal">
      <formula>"NÃO INICIADO"</formula>
    </cfRule>
  </conditionalFormatting>
  <conditionalFormatting sqref="D9:D20">
    <cfRule type="cellIs" dxfId="215" priority="428" operator="equal">
      <formula>"FINALIZADO"</formula>
    </cfRule>
  </conditionalFormatting>
  <conditionalFormatting sqref="D9:D20">
    <cfRule type="cellIs" dxfId="214" priority="427" operator="equal">
      <formula>"EM PROCESSO"</formula>
    </cfRule>
  </conditionalFormatting>
  <conditionalFormatting sqref="D9:D110">
    <cfRule type="cellIs" dxfId="213" priority="426" operator="equal">
      <formula>"NÃO INICIADO"</formula>
    </cfRule>
  </conditionalFormatting>
  <conditionalFormatting sqref="D9:D110">
    <cfRule type="cellIs" dxfId="212" priority="425" operator="equal">
      <formula>"FINALIZADO"</formula>
    </cfRule>
  </conditionalFormatting>
  <conditionalFormatting sqref="D9:D110">
    <cfRule type="cellIs" dxfId="211" priority="424" operator="equal">
      <formula>"EM PROCESSO"</formula>
    </cfRule>
  </conditionalFormatting>
  <conditionalFormatting sqref="D9:D71">
    <cfRule type="cellIs" dxfId="210" priority="420" operator="equal">
      <formula>"NÃO INICIADO"</formula>
    </cfRule>
  </conditionalFormatting>
  <conditionalFormatting sqref="D9:D71">
    <cfRule type="cellIs" dxfId="209" priority="419" operator="equal">
      <formula>"FINALIZADO"</formula>
    </cfRule>
  </conditionalFormatting>
  <conditionalFormatting sqref="D9:D71">
    <cfRule type="cellIs" dxfId="208" priority="418" operator="equal">
      <formula>"EM PROCESSO"</formula>
    </cfRule>
  </conditionalFormatting>
  <conditionalFormatting sqref="D9:D23">
    <cfRule type="cellIs" dxfId="207" priority="402" operator="equal">
      <formula>"NÃO INICIADO"</formula>
    </cfRule>
  </conditionalFormatting>
  <conditionalFormatting sqref="D9:D23">
    <cfRule type="cellIs" dxfId="206" priority="401" operator="equal">
      <formula>"FINALIZADO"</formula>
    </cfRule>
  </conditionalFormatting>
  <conditionalFormatting sqref="D9:D23">
    <cfRule type="cellIs" dxfId="205" priority="400" operator="equal">
      <formula>"EM PROCESSO"</formula>
    </cfRule>
  </conditionalFormatting>
  <conditionalFormatting sqref="D9:D144">
    <cfRule type="cellIs" dxfId="204" priority="393" operator="equal">
      <formula>"NÃO INICIADO"</formula>
    </cfRule>
  </conditionalFormatting>
  <conditionalFormatting sqref="D9:D144">
    <cfRule type="cellIs" dxfId="203" priority="392" operator="equal">
      <formula>"FINALIZADO"</formula>
    </cfRule>
  </conditionalFormatting>
  <conditionalFormatting sqref="D9:D144">
    <cfRule type="cellIs" dxfId="202" priority="391" operator="equal">
      <formula>"EM PROCESSO"</formula>
    </cfRule>
  </conditionalFormatting>
  <conditionalFormatting sqref="D9:D109">
    <cfRule type="cellIs" dxfId="201" priority="390" operator="equal">
      <formula>"NÃO INICIADO"</formula>
    </cfRule>
  </conditionalFormatting>
  <conditionalFormatting sqref="D9:D109">
    <cfRule type="cellIs" dxfId="200" priority="389" operator="equal">
      <formula>"FINALIZADO"</formula>
    </cfRule>
  </conditionalFormatting>
  <conditionalFormatting sqref="D9:D109">
    <cfRule type="cellIs" dxfId="199" priority="388" operator="equal">
      <formula>"EM PROCESSO"</formula>
    </cfRule>
  </conditionalFormatting>
  <conditionalFormatting sqref="D9:D76">
    <cfRule type="cellIs" dxfId="198" priority="387" operator="equal">
      <formula>"NÃO INICIADO"</formula>
    </cfRule>
  </conditionalFormatting>
  <conditionalFormatting sqref="D9:D76">
    <cfRule type="cellIs" dxfId="197" priority="386" operator="equal">
      <formula>"FINALIZADO"</formula>
    </cfRule>
  </conditionalFormatting>
  <conditionalFormatting sqref="D9:D76">
    <cfRule type="cellIs" dxfId="196" priority="385" operator="equal">
      <formula>"EM PROCESSO"</formula>
    </cfRule>
  </conditionalFormatting>
  <conditionalFormatting sqref="D9:D53">
    <cfRule type="cellIs" dxfId="195" priority="384" operator="equal">
      <formula>"NÃO INICIADO"</formula>
    </cfRule>
  </conditionalFormatting>
  <conditionalFormatting sqref="D9:D53">
    <cfRule type="cellIs" dxfId="194" priority="383" operator="equal">
      <formula>"FINALIZADO"</formula>
    </cfRule>
  </conditionalFormatting>
  <conditionalFormatting sqref="D9:D53">
    <cfRule type="cellIs" dxfId="193" priority="382" operator="equal">
      <formula>"EM PROCESSO"</formula>
    </cfRule>
  </conditionalFormatting>
  <conditionalFormatting sqref="D9:D70">
    <cfRule type="cellIs" dxfId="192" priority="366" operator="equal">
      <formula>"NÃO INICIADO"</formula>
    </cfRule>
  </conditionalFormatting>
  <conditionalFormatting sqref="D9:D70">
    <cfRule type="cellIs" dxfId="191" priority="365" operator="equal">
      <formula>"FINALIZADO"</formula>
    </cfRule>
  </conditionalFormatting>
  <conditionalFormatting sqref="D9:D70">
    <cfRule type="cellIs" dxfId="190" priority="364" operator="equal">
      <formula>"EM PROCESSO"</formula>
    </cfRule>
  </conditionalFormatting>
  <conditionalFormatting sqref="D9:D136">
    <cfRule type="cellIs" dxfId="189" priority="362" operator="equal">
      <formula>"FINALIZADO"</formula>
    </cfRule>
  </conditionalFormatting>
  <conditionalFormatting sqref="D9:D136">
    <cfRule type="cellIs" dxfId="188" priority="361" operator="equal">
      <formula>"EM PROCESSO"</formula>
    </cfRule>
  </conditionalFormatting>
  <conditionalFormatting sqref="D9:D23">
    <cfRule type="cellIs" dxfId="187" priority="360" operator="equal">
      <formula>"NÃO INICIADO"</formula>
    </cfRule>
  </conditionalFormatting>
  <conditionalFormatting sqref="D9:D23">
    <cfRule type="cellIs" dxfId="186" priority="359" operator="equal">
      <formula>"FINALIZADO"</formula>
    </cfRule>
  </conditionalFormatting>
  <conditionalFormatting sqref="D9:D23">
    <cfRule type="cellIs" dxfId="185" priority="358" operator="equal">
      <formula>"EM PROCESSO"</formula>
    </cfRule>
  </conditionalFormatting>
  <conditionalFormatting sqref="D9:D77">
    <cfRule type="cellIs" dxfId="184" priority="356" operator="equal">
      <formula>"FINALIZADO"</formula>
    </cfRule>
  </conditionalFormatting>
  <conditionalFormatting sqref="D9:D77">
    <cfRule type="cellIs" dxfId="183" priority="355" operator="equal">
      <formula>"EM PROCESSO"</formula>
    </cfRule>
  </conditionalFormatting>
  <conditionalFormatting sqref="D9:D56">
    <cfRule type="cellIs" dxfId="182" priority="351" operator="equal">
      <formula>"NÃO INICIADO"</formula>
    </cfRule>
  </conditionalFormatting>
  <conditionalFormatting sqref="D9:D56">
    <cfRule type="cellIs" dxfId="181" priority="350" operator="equal">
      <formula>"FINALIZADO"</formula>
    </cfRule>
  </conditionalFormatting>
  <conditionalFormatting sqref="D9:D56">
    <cfRule type="cellIs" dxfId="180" priority="349" operator="equal">
      <formula>"EM PROCESSO"</formula>
    </cfRule>
  </conditionalFormatting>
  <conditionalFormatting sqref="D9:D76">
    <cfRule type="cellIs" dxfId="179" priority="339" operator="equal">
      <formula>"NÃO INICIADO"</formula>
    </cfRule>
  </conditionalFormatting>
  <conditionalFormatting sqref="D9:D76">
    <cfRule type="cellIs" dxfId="178" priority="338" operator="equal">
      <formula>"FINALIZADO"</formula>
    </cfRule>
  </conditionalFormatting>
  <conditionalFormatting sqref="D9:D76">
    <cfRule type="cellIs" dxfId="177" priority="337" operator="equal">
      <formula>"EM PROCESSO"</formula>
    </cfRule>
  </conditionalFormatting>
  <conditionalFormatting sqref="D9:D74">
    <cfRule type="cellIs" dxfId="176" priority="333" operator="equal">
      <formula>"NÃO INICIADO"</formula>
    </cfRule>
  </conditionalFormatting>
  <conditionalFormatting sqref="D9:D74">
    <cfRule type="cellIs" dxfId="175" priority="332" operator="equal">
      <formula>"FINALIZADO"</formula>
    </cfRule>
  </conditionalFormatting>
  <conditionalFormatting sqref="D9:D74">
    <cfRule type="cellIs" dxfId="174" priority="331" operator="equal">
      <formula>"EM PROCESSO"</formula>
    </cfRule>
  </conditionalFormatting>
  <conditionalFormatting sqref="D9:D342">
    <cfRule type="cellIs" dxfId="173" priority="330" operator="equal">
      <formula>"NÃO INICIADO"</formula>
    </cfRule>
  </conditionalFormatting>
  <conditionalFormatting sqref="D9:D342">
    <cfRule type="cellIs" dxfId="172" priority="329" operator="equal">
      <formula>"FINALIZADO"</formula>
    </cfRule>
  </conditionalFormatting>
  <conditionalFormatting sqref="D9:D342">
    <cfRule type="cellIs" dxfId="171" priority="328" operator="equal">
      <formula>"EM PROCESSO"</formula>
    </cfRule>
  </conditionalFormatting>
  <conditionalFormatting sqref="D9:D136">
    <cfRule type="cellIs" dxfId="170" priority="327" operator="equal">
      <formula>"NÃO INICIADO"</formula>
    </cfRule>
  </conditionalFormatting>
  <conditionalFormatting sqref="D9:D136">
    <cfRule type="cellIs" dxfId="169" priority="326" operator="equal">
      <formula>"FINALIZADO"</formula>
    </cfRule>
  </conditionalFormatting>
  <conditionalFormatting sqref="D9:D136">
    <cfRule type="cellIs" dxfId="168" priority="325" operator="equal">
      <formula>"EM PROCESSO"</formula>
    </cfRule>
  </conditionalFormatting>
  <conditionalFormatting sqref="D9:D161">
    <cfRule type="cellIs" dxfId="167" priority="324" operator="equal">
      <formula>"NÃO INICIADO"</formula>
    </cfRule>
  </conditionalFormatting>
  <conditionalFormatting sqref="D9:D161">
    <cfRule type="cellIs" dxfId="166" priority="323" operator="equal">
      <formula>"FINALIZADO"</formula>
    </cfRule>
  </conditionalFormatting>
  <conditionalFormatting sqref="D9:D161">
    <cfRule type="cellIs" dxfId="165" priority="322" operator="equal">
      <formula>"EM PROCESSO"</formula>
    </cfRule>
  </conditionalFormatting>
  <conditionalFormatting sqref="D9:D148">
    <cfRule type="cellIs" dxfId="164" priority="321" operator="equal">
      <formula>"NÃO INICIADO"</formula>
    </cfRule>
  </conditionalFormatting>
  <conditionalFormatting sqref="D9:D148">
    <cfRule type="cellIs" dxfId="163" priority="320" operator="equal">
      <formula>"FINALIZADO"</formula>
    </cfRule>
  </conditionalFormatting>
  <conditionalFormatting sqref="D9:D148">
    <cfRule type="cellIs" dxfId="162" priority="319" operator="equal">
      <formula>"EM PROCESSO"</formula>
    </cfRule>
  </conditionalFormatting>
  <conditionalFormatting sqref="D9:D21">
    <cfRule type="cellIs" dxfId="161" priority="300" operator="equal">
      <formula>"NÃO INICIADO"</formula>
    </cfRule>
  </conditionalFormatting>
  <conditionalFormatting sqref="D9:D21">
    <cfRule type="cellIs" dxfId="160" priority="299" operator="equal">
      <formula>"FINALIZADO"</formula>
    </cfRule>
  </conditionalFormatting>
  <conditionalFormatting sqref="D9:D21">
    <cfRule type="cellIs" dxfId="159" priority="298" operator="equal">
      <formula>"EM PROCESSO"</formula>
    </cfRule>
  </conditionalFormatting>
  <conditionalFormatting sqref="D9:D28">
    <cfRule type="cellIs" dxfId="158" priority="297" operator="equal">
      <formula>"NÃO INICIADO"</formula>
    </cfRule>
    <cfRule type="cellIs" dxfId="157" priority="295" operator="equal">
      <formula>"EM PROCESSO"</formula>
    </cfRule>
  </conditionalFormatting>
  <conditionalFormatting sqref="D9:D27">
    <cfRule type="cellIs" dxfId="156" priority="294" operator="equal">
      <formula>"NÃO INICIADO"</formula>
    </cfRule>
  </conditionalFormatting>
  <conditionalFormatting sqref="D9:D27">
    <cfRule type="cellIs" dxfId="155" priority="293" operator="equal">
      <formula>"FINALIZADO"</formula>
    </cfRule>
  </conditionalFormatting>
  <conditionalFormatting sqref="D9:D27">
    <cfRule type="cellIs" dxfId="154" priority="292" operator="equal">
      <formula>"EM PROCESSO"</formula>
    </cfRule>
  </conditionalFormatting>
  <conditionalFormatting sqref="D9:D154">
    <cfRule type="cellIs" dxfId="153" priority="291" operator="equal">
      <formula>"NÃO INICIADO"</formula>
    </cfRule>
  </conditionalFormatting>
  <conditionalFormatting sqref="D9:D154">
    <cfRule type="cellIs" dxfId="152" priority="290" operator="equal">
      <formula>"FINALIZADO"</formula>
    </cfRule>
  </conditionalFormatting>
  <conditionalFormatting sqref="D9:D154">
    <cfRule type="cellIs" dxfId="151" priority="289" operator="equal">
      <formula>"EM PROCESSO"</formula>
    </cfRule>
  </conditionalFormatting>
  <conditionalFormatting sqref="D9:D49">
    <cfRule type="cellIs" dxfId="150" priority="288" operator="equal">
      <formula>"NÃO INICIADO"</formula>
    </cfRule>
  </conditionalFormatting>
  <conditionalFormatting sqref="D9:D49">
    <cfRule type="cellIs" dxfId="149" priority="287" operator="equal">
      <formula>"FINALIZADO"</formula>
    </cfRule>
  </conditionalFormatting>
  <conditionalFormatting sqref="D9:D49">
    <cfRule type="cellIs" dxfId="148" priority="286" operator="equal">
      <formula>"EM PROCESSO"</formula>
    </cfRule>
  </conditionalFormatting>
  <conditionalFormatting sqref="D9:D70">
    <cfRule type="cellIs" dxfId="147" priority="282" operator="equal">
      <formula>"NÃO INICIADO"</formula>
    </cfRule>
  </conditionalFormatting>
  <conditionalFormatting sqref="D9:D70">
    <cfRule type="cellIs" dxfId="146" priority="281" operator="equal">
      <formula>"FINALIZADO"</formula>
    </cfRule>
  </conditionalFormatting>
  <conditionalFormatting sqref="D9:D70">
    <cfRule type="cellIs" dxfId="145" priority="280" operator="equal">
      <formula>"EM PROCESSO"</formula>
    </cfRule>
  </conditionalFormatting>
  <conditionalFormatting sqref="D9:D43">
    <cfRule type="cellIs" dxfId="144" priority="255" operator="equal">
      <formula>"NÃO INICIADO"</formula>
    </cfRule>
  </conditionalFormatting>
  <conditionalFormatting sqref="D9:D43">
    <cfRule type="cellIs" dxfId="143" priority="254" operator="equal">
      <formula>"FINALIZADO"</formula>
    </cfRule>
  </conditionalFormatting>
  <conditionalFormatting sqref="D9:D43">
    <cfRule type="cellIs" dxfId="142" priority="253" operator="equal">
      <formula>"EM PROCESSO"</formula>
    </cfRule>
  </conditionalFormatting>
  <conditionalFormatting sqref="D9:D145">
    <cfRule type="cellIs" dxfId="141" priority="252" operator="equal">
      <formula>"NÃO INICIADO"</formula>
    </cfRule>
  </conditionalFormatting>
  <conditionalFormatting sqref="D9:D145">
    <cfRule type="cellIs" dxfId="140" priority="251" operator="equal">
      <formula>"FINALIZADO"</formula>
    </cfRule>
  </conditionalFormatting>
  <conditionalFormatting sqref="D9:D145">
    <cfRule type="cellIs" dxfId="139" priority="250" operator="equal">
      <formula>"EM PROCESSO"</formula>
    </cfRule>
  </conditionalFormatting>
  <conditionalFormatting sqref="D9:D86">
    <cfRule type="cellIs" dxfId="138" priority="246" operator="equal">
      <formula>"NÃO INICIADO"</formula>
    </cfRule>
  </conditionalFormatting>
  <conditionalFormatting sqref="D9:D86">
    <cfRule type="cellIs" dxfId="137" priority="245" operator="equal">
      <formula>"FINALIZADO"</formula>
    </cfRule>
  </conditionalFormatting>
  <conditionalFormatting sqref="D9:D86">
    <cfRule type="cellIs" dxfId="136" priority="244" operator="equal">
      <formula>"EM PROCESSO"</formula>
    </cfRule>
  </conditionalFormatting>
  <conditionalFormatting sqref="D9:D43">
    <cfRule type="cellIs" dxfId="135" priority="228" operator="equal">
      <formula>"NÃO INICIADO"</formula>
    </cfRule>
  </conditionalFormatting>
  <conditionalFormatting sqref="D9:D43">
    <cfRule type="cellIs" dxfId="134" priority="227" operator="equal">
      <formula>"FINALIZADO"</formula>
    </cfRule>
  </conditionalFormatting>
  <conditionalFormatting sqref="D9:D43">
    <cfRule type="cellIs" dxfId="133" priority="226" operator="equal">
      <formula>"EM PROCESSO"</formula>
    </cfRule>
  </conditionalFormatting>
  <conditionalFormatting sqref="D9:D139">
    <cfRule type="cellIs" dxfId="132" priority="222" operator="equal">
      <formula>"NÃO INICIADO"</formula>
    </cfRule>
  </conditionalFormatting>
  <conditionalFormatting sqref="D9:D139">
    <cfRule type="cellIs" dxfId="131" priority="221" operator="equal">
      <formula>"FINALIZADO"</formula>
    </cfRule>
  </conditionalFormatting>
  <conditionalFormatting sqref="D9:D139">
    <cfRule type="cellIs" dxfId="130" priority="220" operator="equal">
      <formula>"EM PROCESSO"</formula>
    </cfRule>
  </conditionalFormatting>
  <conditionalFormatting sqref="D9:D63">
    <cfRule type="cellIs" dxfId="129" priority="216" operator="equal">
      <formula>"NÃO INICIADO"</formula>
    </cfRule>
  </conditionalFormatting>
  <conditionalFormatting sqref="D9:D63">
    <cfRule type="cellIs" dxfId="128" priority="215" operator="equal">
      <formula>"FINALIZADO"</formula>
    </cfRule>
  </conditionalFormatting>
  <conditionalFormatting sqref="D9:D63">
    <cfRule type="cellIs" dxfId="127" priority="214" operator="equal">
      <formula>"EM PROCESSO"</formula>
    </cfRule>
  </conditionalFormatting>
  <conditionalFormatting sqref="D9:D65">
    <cfRule type="cellIs" dxfId="126" priority="213" operator="equal">
      <formula>"NÃO INICIADO"</formula>
    </cfRule>
  </conditionalFormatting>
  <conditionalFormatting sqref="D9:D65">
    <cfRule type="cellIs" dxfId="125" priority="212" operator="equal">
      <formula>"FINALIZADO"</formula>
    </cfRule>
  </conditionalFormatting>
  <conditionalFormatting sqref="D9:D65">
    <cfRule type="cellIs" dxfId="124" priority="211" operator="equal">
      <formula>"EM PROCESSO"</formula>
    </cfRule>
  </conditionalFormatting>
  <conditionalFormatting sqref="D9:D60">
    <cfRule type="cellIs" dxfId="123" priority="210" operator="equal">
      <formula>"NÃO INICIADO"</formula>
    </cfRule>
  </conditionalFormatting>
  <conditionalFormatting sqref="D9:D60">
    <cfRule type="cellIs" dxfId="122" priority="209" operator="equal">
      <formula>"FINALIZADO"</formula>
    </cfRule>
  </conditionalFormatting>
  <conditionalFormatting sqref="D9:D60">
    <cfRule type="cellIs" dxfId="121" priority="208" operator="equal">
      <formula>"EM PROCESSO"</formula>
    </cfRule>
  </conditionalFormatting>
  <conditionalFormatting sqref="D9:D31">
    <cfRule type="cellIs" dxfId="120" priority="201" operator="equal">
      <formula>"NÃO INICIADO"</formula>
    </cfRule>
  </conditionalFormatting>
  <conditionalFormatting sqref="D9:D31">
    <cfRule type="cellIs" dxfId="119" priority="200" operator="equal">
      <formula>"FINALIZADO"</formula>
    </cfRule>
  </conditionalFormatting>
  <conditionalFormatting sqref="D9:D31">
    <cfRule type="cellIs" dxfId="118" priority="199" operator="equal">
      <formula>"EM PROCESSO"</formula>
    </cfRule>
  </conditionalFormatting>
  <conditionalFormatting sqref="D9:D49">
    <cfRule type="cellIs" dxfId="117" priority="198" operator="equal">
      <formula>"NÃO INICIADO"</formula>
    </cfRule>
  </conditionalFormatting>
  <conditionalFormatting sqref="D9:D49">
    <cfRule type="cellIs" dxfId="116" priority="197" operator="equal">
      <formula>"FINALIZADO"</formula>
    </cfRule>
  </conditionalFormatting>
  <conditionalFormatting sqref="D9:D49">
    <cfRule type="cellIs" dxfId="115" priority="196" operator="equal">
      <formula>"EM PROCESSO"</formula>
    </cfRule>
  </conditionalFormatting>
  <conditionalFormatting sqref="D9:D156">
    <cfRule type="cellIs" dxfId="114" priority="195" operator="equal">
      <formula>"NÃO INICIADO"</formula>
    </cfRule>
    <cfRule type="cellIs" dxfId="113" priority="193" operator="equal">
      <formula>"EM PROCESSO"</formula>
    </cfRule>
  </conditionalFormatting>
  <conditionalFormatting sqref="D9:D50">
    <cfRule type="cellIs" dxfId="112" priority="192" operator="equal">
      <formula>"NÃO INICIADO"</formula>
    </cfRule>
  </conditionalFormatting>
  <conditionalFormatting sqref="D9:D50">
    <cfRule type="cellIs" dxfId="111" priority="191" operator="equal">
      <formula>"FINALIZADO"</formula>
    </cfRule>
  </conditionalFormatting>
  <conditionalFormatting sqref="D9:D50">
    <cfRule type="cellIs" dxfId="110" priority="190" operator="equal">
      <formula>"EM PROCESSO"</formula>
    </cfRule>
  </conditionalFormatting>
  <conditionalFormatting sqref="D9:D346">
    <cfRule type="cellIs" dxfId="109" priority="189" operator="equal">
      <formula>"NÃO INICIADO"</formula>
    </cfRule>
  </conditionalFormatting>
  <conditionalFormatting sqref="D9:D346">
    <cfRule type="cellIs" dxfId="108" priority="188" operator="equal">
      <formula>"FINALIZADO"</formula>
    </cfRule>
  </conditionalFormatting>
  <conditionalFormatting sqref="D9:D346">
    <cfRule type="cellIs" dxfId="107" priority="187" operator="equal">
      <formula>"EM PROCESSO"</formula>
    </cfRule>
  </conditionalFormatting>
  <conditionalFormatting sqref="D9:D180">
    <cfRule type="cellIs" dxfId="106" priority="186" operator="equal">
      <formula>"NÃO INICIADO"</formula>
    </cfRule>
  </conditionalFormatting>
  <conditionalFormatting sqref="D9:D180">
    <cfRule type="cellIs" dxfId="105" priority="185" operator="equal">
      <formula>"FINALIZADO"</formula>
    </cfRule>
  </conditionalFormatting>
  <conditionalFormatting sqref="D9:D180">
    <cfRule type="cellIs" dxfId="104" priority="184" operator="equal">
      <formula>"EM PROCESSO"</formula>
    </cfRule>
  </conditionalFormatting>
  <conditionalFormatting sqref="D9:D92">
    <cfRule type="cellIs" dxfId="103" priority="183" operator="equal">
      <formula>"NÃO INICIADO"</formula>
    </cfRule>
  </conditionalFormatting>
  <conditionalFormatting sqref="D9:D92">
    <cfRule type="cellIs" dxfId="102" priority="182" operator="equal">
      <formula>"FINALIZADO"</formula>
    </cfRule>
  </conditionalFormatting>
  <conditionalFormatting sqref="D9:D92">
    <cfRule type="cellIs" dxfId="101" priority="181" operator="equal">
      <formula>"EM PROCESSO"</formula>
    </cfRule>
  </conditionalFormatting>
  <conditionalFormatting sqref="D9:D158">
    <cfRule type="cellIs" dxfId="100" priority="180" operator="equal">
      <formula>"NÃO INICIADO"</formula>
    </cfRule>
    <cfRule type="cellIs" dxfId="99" priority="178" operator="equal">
      <formula>"EM PROCESSO"</formula>
    </cfRule>
  </conditionalFormatting>
  <conditionalFormatting sqref="D9:D29">
    <cfRule type="cellIs" dxfId="98" priority="174" operator="equal">
      <formula>"NÃO INICIADO"</formula>
    </cfRule>
    <cfRule type="cellIs" dxfId="97" priority="172" operator="equal">
      <formula>"EM PROCESSO"</formula>
    </cfRule>
  </conditionalFormatting>
  <conditionalFormatting sqref="D9:D23">
    <cfRule type="cellIs" dxfId="96" priority="171" operator="equal">
      <formula>"NÃO INICIADO"</formula>
    </cfRule>
  </conditionalFormatting>
  <conditionalFormatting sqref="D9:D23">
    <cfRule type="cellIs" dxfId="95" priority="170" operator="equal">
      <formula>"FINALIZADO"</formula>
    </cfRule>
  </conditionalFormatting>
  <conditionalFormatting sqref="D9:D23">
    <cfRule type="cellIs" dxfId="94" priority="169" operator="equal">
      <formula>"EM PROCESSO"</formula>
    </cfRule>
  </conditionalFormatting>
  <conditionalFormatting sqref="D9:D45">
    <cfRule type="cellIs" dxfId="93" priority="168" operator="equal">
      <formula>"NÃO INICIADO"</formula>
    </cfRule>
  </conditionalFormatting>
  <conditionalFormatting sqref="D9:D45">
    <cfRule type="cellIs" dxfId="92" priority="167" operator="equal">
      <formula>"FINALIZADO"</formula>
    </cfRule>
  </conditionalFormatting>
  <conditionalFormatting sqref="D9:D45">
    <cfRule type="cellIs" dxfId="91" priority="166" operator="equal">
      <formula>"EM PROCESSO"</formula>
    </cfRule>
  </conditionalFormatting>
  <conditionalFormatting sqref="D9:D150">
    <cfRule type="cellIs" dxfId="90" priority="165" operator="equal">
      <formula>"NÃO INICIADO"</formula>
    </cfRule>
  </conditionalFormatting>
  <conditionalFormatting sqref="D9:D150">
    <cfRule type="cellIs" dxfId="89" priority="164" operator="equal">
      <formula>"FINALIZADO"</formula>
    </cfRule>
  </conditionalFormatting>
  <conditionalFormatting sqref="D9:D150">
    <cfRule type="cellIs" dxfId="88" priority="163" operator="equal">
      <formula>"EM PROCESSO"</formula>
    </cfRule>
  </conditionalFormatting>
  <conditionalFormatting sqref="D9:D200">
    <cfRule type="cellIs" dxfId="87" priority="162" operator="equal">
      <formula>"NÃO INICIADO"</formula>
    </cfRule>
  </conditionalFormatting>
  <conditionalFormatting sqref="D9:D200">
    <cfRule type="cellIs" dxfId="86" priority="161" operator="equal">
      <formula>"FINALIZADO"</formula>
    </cfRule>
  </conditionalFormatting>
  <conditionalFormatting sqref="D9:D200">
    <cfRule type="cellIs" dxfId="85" priority="160" operator="equal">
      <formula>"EM PROCESSO"</formula>
    </cfRule>
  </conditionalFormatting>
  <conditionalFormatting sqref="D9:D98">
    <cfRule type="cellIs" dxfId="84" priority="159" operator="equal">
      <formula>"NÃO INICIADO"</formula>
    </cfRule>
  </conditionalFormatting>
  <conditionalFormatting sqref="D9:D98">
    <cfRule type="cellIs" dxfId="83" priority="158" operator="equal">
      <formula>"FINALIZADO"</formula>
    </cfRule>
  </conditionalFormatting>
  <conditionalFormatting sqref="D9:D98">
    <cfRule type="cellIs" dxfId="82" priority="157" operator="equal">
      <formula>"EM PROCESSO"</formula>
    </cfRule>
  </conditionalFormatting>
  <conditionalFormatting sqref="D9:D52">
    <cfRule type="cellIs" dxfId="81" priority="156" operator="equal">
      <formula>"NÃO INICIADO"</formula>
    </cfRule>
    <cfRule type="cellIs" dxfId="80" priority="154" operator="equal">
      <formula>"EM PROCESSO"</formula>
    </cfRule>
  </conditionalFormatting>
  <conditionalFormatting sqref="D9:D88">
    <cfRule type="cellIs" dxfId="79" priority="153" operator="equal">
      <formula>"NÃO INICIADO"</formula>
    </cfRule>
  </conditionalFormatting>
  <conditionalFormatting sqref="D9:D88">
    <cfRule type="cellIs" dxfId="78" priority="152" operator="equal">
      <formula>"FINALIZADO"</formula>
    </cfRule>
  </conditionalFormatting>
  <conditionalFormatting sqref="D9:D88">
    <cfRule type="cellIs" dxfId="77" priority="151" operator="equal">
      <formula>"EM PROCESSO"</formula>
    </cfRule>
  </conditionalFormatting>
  <conditionalFormatting sqref="D9:D46">
    <cfRule type="cellIs" dxfId="76" priority="123" operator="equal">
      <formula>"NÃO INICIADO"</formula>
    </cfRule>
  </conditionalFormatting>
  <conditionalFormatting sqref="D9:D46">
    <cfRule type="cellIs" dxfId="75" priority="122" operator="equal">
      <formula>"FINALIZADO"</formula>
    </cfRule>
  </conditionalFormatting>
  <conditionalFormatting sqref="D9:D46">
    <cfRule type="cellIs" dxfId="74" priority="121" operator="equal">
      <formula>"EM PROCESSO"</formula>
    </cfRule>
  </conditionalFormatting>
  <conditionalFormatting sqref="D9:D182">
    <cfRule type="cellIs" dxfId="73" priority="117" operator="equal">
      <formula>"NÃO INICIADO"</formula>
    </cfRule>
  </conditionalFormatting>
  <conditionalFormatting sqref="D9:D182">
    <cfRule type="cellIs" dxfId="72" priority="116" operator="equal">
      <formula>"FINALIZADO"</formula>
    </cfRule>
  </conditionalFormatting>
  <conditionalFormatting sqref="D9:D182">
    <cfRule type="cellIs" dxfId="71" priority="115" operator="equal">
      <formula>"EM PROCESSO"</formula>
    </cfRule>
  </conditionalFormatting>
  <conditionalFormatting sqref="D9:D30">
    <cfRule type="cellIs" dxfId="70" priority="113" operator="equal">
      <formula>"FINALIZADO"</formula>
    </cfRule>
    <cfRule type="cellIs" dxfId="69" priority="111" operator="equal">
      <formula>"NÃO INICIADO"</formula>
    </cfRule>
  </conditionalFormatting>
  <conditionalFormatting sqref="D9:D30">
    <cfRule type="cellIs" dxfId="68" priority="112" operator="equal">
      <formula>"EM PROCESSO"</formula>
    </cfRule>
  </conditionalFormatting>
  <conditionalFormatting sqref="D9:D30">
    <cfRule type="cellIs" dxfId="67" priority="109" operator="equal">
      <formula>"EM PROCESSO"</formula>
    </cfRule>
  </conditionalFormatting>
  <conditionalFormatting sqref="D9:D88">
    <cfRule type="cellIs" dxfId="66" priority="108" operator="equal">
      <formula>"NÃO INICIADO"</formula>
    </cfRule>
  </conditionalFormatting>
  <conditionalFormatting sqref="D9:D88">
    <cfRule type="cellIs" dxfId="65" priority="107" operator="equal">
      <formula>"FINALIZADO"</formula>
    </cfRule>
  </conditionalFormatting>
  <conditionalFormatting sqref="D9:D88">
    <cfRule type="cellIs" dxfId="64" priority="106" operator="equal">
      <formula>"EM PROCESSO"</formula>
    </cfRule>
  </conditionalFormatting>
  <conditionalFormatting sqref="D9:D50">
    <cfRule type="cellIs" dxfId="63" priority="105" operator="equal">
      <formula>"NÃO INICIADO"</formula>
    </cfRule>
  </conditionalFormatting>
  <conditionalFormatting sqref="D9:D50">
    <cfRule type="cellIs" dxfId="62" priority="104" operator="equal">
      <formula>"FINALIZADO"</formula>
    </cfRule>
  </conditionalFormatting>
  <conditionalFormatting sqref="D9:D50">
    <cfRule type="cellIs" dxfId="61" priority="103" operator="equal">
      <formula>"EM PROCESSO"</formula>
    </cfRule>
  </conditionalFormatting>
  <conditionalFormatting sqref="D9:D28">
    <cfRule type="cellIs" dxfId="60" priority="93" operator="equal">
      <formula>"NÃO INICIADO"</formula>
    </cfRule>
  </conditionalFormatting>
  <conditionalFormatting sqref="D9:D28">
    <cfRule type="cellIs" dxfId="59" priority="92" operator="equal">
      <formula>"FINALIZADO"</formula>
    </cfRule>
  </conditionalFormatting>
  <conditionalFormatting sqref="D9:D28">
    <cfRule type="cellIs" dxfId="58" priority="91" operator="equal">
      <formula>"EM PROCESSO"</formula>
    </cfRule>
  </conditionalFormatting>
  <conditionalFormatting sqref="D9:D29">
    <cfRule type="cellIs" dxfId="57" priority="90" operator="equal">
      <formula>"NÃO INICIADO"</formula>
    </cfRule>
    <cfRule type="cellIs" dxfId="56" priority="88" operator="equal">
      <formula>"EM PROCESSO"</formula>
    </cfRule>
  </conditionalFormatting>
  <conditionalFormatting sqref="D9:D43">
    <cfRule type="cellIs" dxfId="55" priority="87" operator="equal">
      <formula>"NÃO INICIADO"</formula>
    </cfRule>
  </conditionalFormatting>
  <conditionalFormatting sqref="D9:D43">
    <cfRule type="cellIs" dxfId="54" priority="86" operator="equal">
      <formula>"FINALIZADO"</formula>
    </cfRule>
  </conditionalFormatting>
  <conditionalFormatting sqref="D9:D43">
    <cfRule type="cellIs" dxfId="53" priority="85" operator="equal">
      <formula>"EM PROCESSO"</formula>
    </cfRule>
  </conditionalFormatting>
  <conditionalFormatting sqref="D9:D121">
    <cfRule type="cellIs" dxfId="52" priority="84" operator="equal">
      <formula>"NÃO INICIADO"</formula>
    </cfRule>
  </conditionalFormatting>
  <conditionalFormatting sqref="D9:D121">
    <cfRule type="cellIs" dxfId="51" priority="83" operator="equal">
      <formula>"FINALIZADO"</formula>
    </cfRule>
  </conditionalFormatting>
  <conditionalFormatting sqref="D9:D121">
    <cfRule type="cellIs" dxfId="50" priority="82" operator="equal">
      <formula>"EM PROCESSO"</formula>
    </cfRule>
  </conditionalFormatting>
  <conditionalFormatting sqref="D9:D58">
    <cfRule type="cellIs" dxfId="49" priority="81" operator="equal">
      <formula>"NÃO INICIADO"</formula>
    </cfRule>
  </conditionalFormatting>
  <conditionalFormatting sqref="D9:D58">
    <cfRule type="cellIs" dxfId="48" priority="80" operator="equal">
      <formula>"FINALIZADO"</formula>
    </cfRule>
  </conditionalFormatting>
  <conditionalFormatting sqref="D9:D58">
    <cfRule type="cellIs" dxfId="47" priority="79" operator="equal">
      <formula>"EM PROCESSO"</formula>
    </cfRule>
  </conditionalFormatting>
  <conditionalFormatting sqref="D9:D21">
    <cfRule type="cellIs" dxfId="46" priority="75" operator="equal">
      <formula>"NÃO INICIADO"</formula>
    </cfRule>
  </conditionalFormatting>
  <conditionalFormatting sqref="D9:D21">
    <cfRule type="cellIs" dxfId="45" priority="74" operator="equal">
      <formula>"FINALIZADO"</formula>
    </cfRule>
  </conditionalFormatting>
  <conditionalFormatting sqref="D9:D21">
    <cfRule type="cellIs" dxfId="44" priority="73" operator="equal">
      <formula>"EM PROCESSO"</formula>
    </cfRule>
  </conditionalFormatting>
  <conditionalFormatting sqref="D9:D67">
    <cfRule type="cellIs" dxfId="43" priority="69" operator="equal">
      <formula>"NÃO INICIADO"</formula>
    </cfRule>
  </conditionalFormatting>
  <conditionalFormatting sqref="D9:D67">
    <cfRule type="cellIs" dxfId="42" priority="68" operator="equal">
      <formula>"FINALIZADO"</formula>
    </cfRule>
  </conditionalFormatting>
  <conditionalFormatting sqref="D9:D67">
    <cfRule type="cellIs" dxfId="41" priority="67" operator="equal">
      <formula>"EM PROCESSO"</formula>
    </cfRule>
  </conditionalFormatting>
  <conditionalFormatting sqref="D9:D21">
    <cfRule type="cellIs" dxfId="40" priority="66" operator="equal">
      <formula>"NÃO INICIADO"</formula>
    </cfRule>
  </conditionalFormatting>
  <conditionalFormatting sqref="D9:D21">
    <cfRule type="cellIs" dxfId="39" priority="65" operator="equal">
      <formula>"FINALIZADO"</formula>
    </cfRule>
  </conditionalFormatting>
  <conditionalFormatting sqref="D9:D21">
    <cfRule type="cellIs" dxfId="38" priority="64" operator="equal">
      <formula>"EM PROCESSO"</formula>
    </cfRule>
  </conditionalFormatting>
  <conditionalFormatting sqref="D9:D37">
    <cfRule type="cellIs" dxfId="37" priority="54" operator="equal">
      <formula>"NÃO INICIADO"</formula>
    </cfRule>
    <cfRule type="cellIs" dxfId="36" priority="50" operator="equal">
      <formula>"FINALIZADO"</formula>
    </cfRule>
  </conditionalFormatting>
  <conditionalFormatting sqref="D9:D37">
    <cfRule type="cellIs" dxfId="35" priority="53" operator="equal">
      <formula>"FINALIZADO"</formula>
    </cfRule>
    <cfRule type="cellIs" dxfId="34" priority="51" operator="equal">
      <formula>"NÃO INICIADO"</formula>
    </cfRule>
  </conditionalFormatting>
  <conditionalFormatting sqref="D9:D37">
    <cfRule type="cellIs" dxfId="33" priority="52" operator="equal">
      <formula>"EM PROCESSO"</formula>
    </cfRule>
  </conditionalFormatting>
  <conditionalFormatting sqref="D9:D37">
    <cfRule type="cellIs" dxfId="32" priority="49" operator="equal">
      <formula>"EM PROCESSO"</formula>
    </cfRule>
  </conditionalFormatting>
  <conditionalFormatting sqref="D9:D82">
    <cfRule type="cellIs" dxfId="31" priority="48" operator="equal">
      <formula>"NÃO INICIADO"</formula>
    </cfRule>
  </conditionalFormatting>
  <conditionalFormatting sqref="D9:D82">
    <cfRule type="cellIs" dxfId="30" priority="47" operator="equal">
      <formula>"FINALIZADO"</formula>
    </cfRule>
  </conditionalFormatting>
  <conditionalFormatting sqref="D9:D82">
    <cfRule type="cellIs" dxfId="29" priority="46" operator="equal">
      <formula>"EM PROCESSO"</formula>
    </cfRule>
  </conditionalFormatting>
  <conditionalFormatting sqref="D9:D72">
    <cfRule type="cellIs" dxfId="28" priority="45" operator="equal">
      <formula>"NÃO INICIADO"</formula>
    </cfRule>
  </conditionalFormatting>
  <conditionalFormatting sqref="D9:D72">
    <cfRule type="cellIs" dxfId="27" priority="44" operator="equal">
      <formula>"FINALIZADO"</formula>
    </cfRule>
  </conditionalFormatting>
  <conditionalFormatting sqref="D9:D72">
    <cfRule type="cellIs" dxfId="26" priority="43" operator="equal">
      <formula>"EM PROCESSO"</formula>
    </cfRule>
  </conditionalFormatting>
  <conditionalFormatting sqref="D9:D88">
    <cfRule type="cellIs" dxfId="25" priority="42" operator="equal">
      <formula>"NÃO INICIADO"</formula>
    </cfRule>
  </conditionalFormatting>
  <conditionalFormatting sqref="D9:D88">
    <cfRule type="cellIs" dxfId="24" priority="41" operator="equal">
      <formula>"FINALIZADO"</formula>
    </cfRule>
  </conditionalFormatting>
  <conditionalFormatting sqref="D9:D88">
    <cfRule type="cellIs" dxfId="23" priority="40" operator="equal">
      <formula>"EM PROCESSO"</formula>
    </cfRule>
  </conditionalFormatting>
  <conditionalFormatting sqref="D9:D422">
    <cfRule type="cellIs" dxfId="22" priority="39" operator="equal">
      <formula>"NÃO INICIADO"</formula>
    </cfRule>
    <cfRule type="cellIs" dxfId="21" priority="38" operator="equal">
      <formula>"FINALIZADO"</formula>
    </cfRule>
    <cfRule type="cellIs" dxfId="20" priority="37" operator="equal">
      <formula>"EM PROCESSO"</formula>
    </cfRule>
  </conditionalFormatting>
  <conditionalFormatting sqref="D9:D46">
    <cfRule type="cellIs" dxfId="19" priority="36" operator="equal">
      <formula>"NÃO INICIADO"</formula>
    </cfRule>
  </conditionalFormatting>
  <conditionalFormatting sqref="D9:D46">
    <cfRule type="cellIs" dxfId="18" priority="35" operator="equal">
      <formula>"FINALIZADO"</formula>
    </cfRule>
  </conditionalFormatting>
  <conditionalFormatting sqref="D9:D46">
    <cfRule type="cellIs" dxfId="17" priority="34" operator="equal">
      <formula>"EM PROCESSO"</formula>
    </cfRule>
  </conditionalFormatting>
  <conditionalFormatting sqref="D9:D203">
    <cfRule type="cellIs" dxfId="16" priority="33" operator="equal">
      <formula>"NÃO INICIADO"</formula>
    </cfRule>
  </conditionalFormatting>
  <conditionalFormatting sqref="D9:D203">
    <cfRule type="cellIs" dxfId="15" priority="32" operator="equal">
      <formula>"FINALIZADO"</formula>
    </cfRule>
  </conditionalFormatting>
  <conditionalFormatting sqref="D9:D203">
    <cfRule type="cellIs" dxfId="14" priority="31" operator="equal">
      <formula>"EM PROCESSO"</formula>
    </cfRule>
  </conditionalFormatting>
  <conditionalFormatting sqref="D9:D53">
    <cfRule type="cellIs" dxfId="13" priority="27" operator="equal">
      <formula>"NÃO INICIADO"</formula>
    </cfRule>
  </conditionalFormatting>
  <conditionalFormatting sqref="D9:D53">
    <cfRule type="cellIs" dxfId="12" priority="26" operator="equal">
      <formula>"FINALIZADO"</formula>
    </cfRule>
  </conditionalFormatting>
  <conditionalFormatting sqref="D9:D53">
    <cfRule type="cellIs" dxfId="11" priority="25" operator="equal">
      <formula>"EM PROCESSO"</formula>
    </cfRule>
  </conditionalFormatting>
  <conditionalFormatting sqref="D9:D28">
    <cfRule type="cellIs" dxfId="10" priority="12" operator="equal">
      <formula>"NÃO INICIADO"</formula>
    </cfRule>
    <cfRule type="cellIs" dxfId="9" priority="10" operator="equal">
      <formula>"EM PROCESSO"</formula>
    </cfRule>
  </conditionalFormatting>
  <conditionalFormatting sqref="D9:D496">
    <cfRule type="cellIs" dxfId="8" priority="9" operator="equal">
      <formula>"NÃO INICIADO"</formula>
    </cfRule>
  </conditionalFormatting>
  <conditionalFormatting sqref="D9:D496">
    <cfRule type="cellIs" dxfId="7" priority="8" operator="equal">
      <formula>"FINALIZADO"</formula>
    </cfRule>
  </conditionalFormatting>
  <conditionalFormatting sqref="D9:D496">
    <cfRule type="cellIs" dxfId="6" priority="7" operator="equal">
      <formula>"EM PROCESSO"</formula>
    </cfRule>
  </conditionalFormatting>
  <conditionalFormatting sqref="D9:D100">
    <cfRule type="cellIs" dxfId="5" priority="6" operator="equal">
      <formula>"NÃO INICIADO"</formula>
    </cfRule>
  </conditionalFormatting>
  <conditionalFormatting sqref="D9:D100">
    <cfRule type="cellIs" dxfId="4" priority="5" operator="equal">
      <formula>"FINALIZADO"</formula>
    </cfRule>
  </conditionalFormatting>
  <conditionalFormatting sqref="D9:D100">
    <cfRule type="cellIs" dxfId="3" priority="4" operator="equal">
      <formula>"EM PROCESSO"</formula>
    </cfRule>
  </conditionalFormatting>
  <conditionalFormatting sqref="D9:D34">
    <cfRule type="cellIs" dxfId="2" priority="3" operator="equal">
      <formula>"NÃO INICIADO"</formula>
    </cfRule>
  </conditionalFormatting>
  <conditionalFormatting sqref="D9:D34">
    <cfRule type="cellIs" dxfId="1" priority="2" operator="equal">
      <formula>"FINALIZADO"</formula>
    </cfRule>
  </conditionalFormatting>
  <conditionalFormatting sqref="D9:D34">
    <cfRule type="cellIs" dxfId="0" priority="1" operator="equal">
      <formula>"EM PROCESSO"</formula>
    </cfRule>
  </conditionalFormatting>
  <dataValidations count="1">
    <dataValidation type="list" allowBlank="1" showInputMessage="1" showErrorMessage="1" sqref="C4" xr:uid="{83A9A642-F1DF-42CC-9423-9D062E9F5E86}">
      <formula1>"Marcela,Felipe,Maria,Michele"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pedidointerrompido">
                <anchor moveWithCells="1" sizeWithCells="1">
                  <from>
                    <xdr:col>12</xdr:col>
                    <xdr:colOff>908957</xdr:colOff>
                    <xdr:row>2</xdr:row>
                    <xdr:rowOff>97971</xdr:rowOff>
                  </from>
                  <to>
                    <xdr:col>14</xdr:col>
                    <xdr:colOff>250371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1F3992D-BC7A-42B5-A740-D09B0149001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C5:C6</xm:sqref>
        </x14:conditionalFormatting>
        <x14:conditionalFormatting xmlns:xm="http://schemas.microsoft.com/office/excel/2006/main">
          <x14:cfRule type="dataBar" id="{DCF82D28-DCE0-45BB-94C6-64B0CCB896C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C6</xm:sqref>
        </x14:conditionalFormatting>
        <x14:conditionalFormatting xmlns:xm="http://schemas.microsoft.com/office/excel/2006/main">
          <x14:cfRule type="dataBar" id="{9C23E4D6-585C-4CA7-A0E3-43D6E8A91B6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Q12</xm:sqref>
        </x14:conditionalFormatting>
        <x14:conditionalFormatting xmlns:xm="http://schemas.microsoft.com/office/excel/2006/main">
          <x14:cfRule type="dataBar" id="{80F6347E-0288-4319-A5D2-E5F60F6BB72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Q13:Q411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BB89E6-E477-4158-A589-BC4F4CA033C9}">
  <sheetPr codeName="Planilha4"/>
  <dimension ref="A1"/>
  <sheetViews>
    <sheetView workbookViewId="0">
      <selection activeCell="B22" sqref="B22"/>
    </sheetView>
  </sheetViews>
  <sheetFormatPr defaultRowHeight="14.6" x14ac:dyDescent="0.4"/>
  <sheetData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SUPORTE</vt:lpstr>
      <vt:lpstr>MENU</vt:lpstr>
      <vt:lpstr>DATABASE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Flávio Pinto</dc:creator>
  <cp:lastModifiedBy>KiwKiw LTDA</cp:lastModifiedBy>
  <dcterms:created xsi:type="dcterms:W3CDTF">2022-03-30T19:01:26Z</dcterms:created>
  <dcterms:modified xsi:type="dcterms:W3CDTF">2026-04-11T01:11:11Z</dcterms:modified>
</cp:coreProperties>
</file>